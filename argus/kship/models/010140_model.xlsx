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44400억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47440억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54109억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57673억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38778억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41523억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44400억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47440억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50744억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54109억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57673억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61502억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
[sls_link]</t>
      </text>
    </comment>
    <comment ref="AF38" authorId="0" shapeId="0">
      <text>
        <t>추정: 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
[sls_link]</t>
      </text>
    </comment>
    <comment ref="AG38" authorId="0" shapeId="0">
      <text>
        <t>추정: 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H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I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K38" authorId="0" shapeId="0">
      <text>
        <t>추정: 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L38" authorId="0" shapeId="0">
      <text>
        <t>추정: 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M38" authorId="0" shapeId="0">
      <text>
        <t>추정: 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N38" authorId="0" shapeId="0">
      <text>
        <t>추정: 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4,203억 vs 54억 · 2027 12,540억 vs 16,454억 · 2028 12,554억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18800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19562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-0.005896407</v>
      </c>
      <c r="AD30" s="29" t="n">
        <v>-0.004079818</v>
      </c>
      <c r="AE30" s="30" t="n"/>
      <c r="AF30" s="29" t="n">
        <v>0.004218953</v>
      </c>
      <c r="AG30" s="29" t="n">
        <v>-0.008234640999999999</v>
      </c>
      <c r="AH30" s="29" t="n">
        <v>-0.002103201</v>
      </c>
      <c r="AI30" s="29" t="n">
        <v>0.001307811</v>
      </c>
      <c r="AJ30" s="30" t="n"/>
      <c r="AK30" s="29" t="n">
        <v>0.00178583</v>
      </c>
      <c r="AL30" s="29" t="n">
        <v>-0.009358874</v>
      </c>
      <c r="AM30" s="29" t="n">
        <v>0.00404136</v>
      </c>
      <c r="AN30" s="29" t="n">
        <v>-0.003248432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-0.005896407</v>
      </c>
      <c r="AD31" s="29" t="n">
        <v>-0.004079818</v>
      </c>
      <c r="AE31" s="30" t="n"/>
      <c r="AF31" s="29" t="n">
        <v>0.004218953</v>
      </c>
      <c r="AG31" s="29" t="n">
        <v>-0.008234640999999999</v>
      </c>
      <c r="AH31" s="29" t="n">
        <v>-0.002103201</v>
      </c>
      <c r="AI31" s="29" t="n">
        <v>0.001307811</v>
      </c>
      <c r="AJ31" s="30" t="n"/>
      <c r="AK31" s="29" t="n">
        <v>0.00178583</v>
      </c>
      <c r="AL31" s="29" t="n">
        <v>-0.009358874</v>
      </c>
      <c r="AM31" s="29" t="n">
        <v>0.00404136</v>
      </c>
      <c r="AN31" s="29" t="n">
        <v>-0.003248432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0.117696979</v>
      </c>
      <c r="AE33" s="25" t="n"/>
      <c r="AF33" s="31" t="n">
        <v>0.105844145</v>
      </c>
      <c r="AG33" s="31" t="n">
        <v>0.10031119</v>
      </c>
      <c r="AH33" s="31" t="n">
        <v>0.096345942</v>
      </c>
      <c r="AI33" s="31" t="n">
        <v>0.095510867</v>
      </c>
      <c r="AJ33" s="25" t="n"/>
      <c r="AK33" s="31" t="n">
        <v>0.08880083900000001</v>
      </c>
      <c r="AL33" s="31" t="n">
        <v>0.086376723</v>
      </c>
      <c r="AM33" s="31" t="n">
        <v>0.08540807</v>
      </c>
      <c r="AN33" s="31" t="n">
        <v>0.08081408299999999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0.075754507</v>
      </c>
      <c r="AE34" s="25" t="n"/>
      <c r="AF34" s="31" t="n">
        <v>0.07078142799999999</v>
      </c>
      <c r="AG34" s="31" t="n">
        <v>0.069278432</v>
      </c>
      <c r="AH34" s="31" t="n">
        <v>0.06847078500000001</v>
      </c>
      <c r="AI34" s="31" t="n">
        <v>0.069647946</v>
      </c>
      <c r="AJ34" s="25" t="n"/>
      <c r="AK34" s="31" t="n">
        <v>0.066320798</v>
      </c>
      <c r="AL34" s="31" t="n">
        <v>0.065870348</v>
      </c>
      <c r="AM34" s="31" t="n">
        <v>0.066384733</v>
      </c>
      <c r="AN34" s="31" t="n">
        <v>0.063934693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13156.023651</v>
      </c>
      <c r="AE40" s="30" t="n"/>
      <c r="AF40" s="29" t="n">
        <v>13091.795142</v>
      </c>
      <c r="AG40" s="29" t="n">
        <v>13126.005182</v>
      </c>
      <c r="AH40" s="29" t="n">
        <v>13160.423704</v>
      </c>
      <c r="AI40" s="29" t="n">
        <v>13160.437503</v>
      </c>
      <c r="AJ40" s="30" t="n"/>
      <c r="AK40" s="29" t="n">
        <v>13126.189754</v>
      </c>
      <c r="AL40" s="29" t="n">
        <v>13126.074654</v>
      </c>
      <c r="AM40" s="29" t="n">
        <v>13160.508521</v>
      </c>
      <c r="AN40" s="29" t="n">
        <v>13139.937928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0.099458965</v>
      </c>
      <c r="AE42" s="25">
        <f>IFERROR(subQ!AE40/subQ!AE38,"")</f>
        <v/>
      </c>
      <c r="AF42" s="31" t="n">
        <v>0.099459142</v>
      </c>
      <c r="AG42" s="31" t="n">
        <v>0.09968992</v>
      </c>
      <c r="AH42" s="31" t="n">
        <v>0.09980491</v>
      </c>
      <c r="AI42" s="31" t="n">
        <v>0.09980496599999999</v>
      </c>
      <c r="AJ42" s="25">
        <f>IFERROR(subQ!AJ40/subQ!AJ38,"")</f>
        <v/>
      </c>
      <c r="AK42" s="31" t="n">
        <v>0.099980682</v>
      </c>
      <c r="AL42" s="31" t="n">
        <v>0.09998064299999999</v>
      </c>
      <c r="AM42" s="31" t="n">
        <v>0.099980633</v>
      </c>
      <c r="AN42" s="31" t="n">
        <v>0.099980703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18900</v>
      </c>
      <c r="E47" s="2" t="inlineStr">
        <is>
          <t>원 — 네이버 정규장 종가(aik 확정종가 대조 · aik 19,540원)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0.2200000341595637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0.04463848141516285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0.01229700690146045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0.05576846454460622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1817.364</v>
      </c>
      <c r="Y5" s="26" t="n">
        <v>1778.359</v>
      </c>
      <c r="Z5" s="26" t="n">
        <v>1724.767</v>
      </c>
      <c r="AA5" s="26" t="n">
        <v>1656.15</v>
      </c>
      <c r="AB5" s="26" t="n">
        <v>1656.15</v>
      </c>
      <c r="AC5" s="26" t="n">
        <v>1406.893</v>
      </c>
      <c r="AD5" s="26" t="n">
        <v>1305.506</v>
      </c>
      <c r="AE5" s="26" t="n">
        <v>1260.75</v>
      </c>
      <c r="AF5" s="26" t="n">
        <v>1081.682</v>
      </c>
      <c r="AG5" s="26" t="n">
        <v>757.006</v>
      </c>
      <c r="AH5" s="26" t="n">
        <v>589.686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6362.629</v>
      </c>
      <c r="AS5" s="26" t="n">
        <v>6815.426</v>
      </c>
      <c r="AT5" s="26" t="n">
        <v>5054.831</v>
      </c>
      <c r="AU5" s="26" t="n">
        <v>2035.895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1728.228</v>
      </c>
      <c r="Y6" s="26" t="n">
        <v>1691.161</v>
      </c>
      <c r="Z6" s="26" t="n">
        <v>1677.599</v>
      </c>
      <c r="AA6" s="26" t="n">
        <v>1628.848</v>
      </c>
      <c r="AB6" s="26" t="n">
        <v>1628.848</v>
      </c>
      <c r="AC6" s="26" t="n">
        <v>1406.893</v>
      </c>
      <c r="AD6" s="26" t="n">
        <v>1305.506</v>
      </c>
      <c r="AE6" s="26" t="n">
        <v>1260.75</v>
      </c>
      <c r="AF6" s="26" t="n">
        <v>1081.682</v>
      </c>
      <c r="AG6" s="26" t="n">
        <v>757.006</v>
      </c>
      <c r="AH6" s="26" t="n">
        <v>589.686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6008.994</v>
      </c>
      <c r="AS6" s="26" t="n">
        <v>6626.456</v>
      </c>
      <c r="AT6" s="26" t="n">
        <v>5054.831</v>
      </c>
      <c r="AU6" s="26" t="n">
        <v>2035.895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833.033</v>
      </c>
      <c r="Y10" s="26" t="n">
        <v>815.426</v>
      </c>
      <c r="Z10" s="26" t="n">
        <v>792.134</v>
      </c>
      <c r="AA10" s="26" t="n">
        <v>733.653</v>
      </c>
      <c r="AB10" s="26" t="n">
        <v>733.653</v>
      </c>
      <c r="AC10" s="26" t="n">
        <v>691.758</v>
      </c>
      <c r="AD10" s="26" t="n">
        <v>665.192</v>
      </c>
      <c r="AE10" s="26" t="n">
        <v>625.736</v>
      </c>
      <c r="AF10" s="26" t="n">
        <v>448.137</v>
      </c>
      <c r="AG10" s="26" t="n">
        <v>315.816</v>
      </c>
      <c r="AH10" s="26" t="n">
        <v>199.927</v>
      </c>
      <c r="AI10" s="26" t="n">
        <v>80.166</v>
      </c>
      <c r="AP10" s="26" t="n">
        <v>193.223</v>
      </c>
      <c r="AQ10" s="26" t="n">
        <v>845.6369999999999</v>
      </c>
      <c r="AR10" s="26" t="n">
        <v>2583.939</v>
      </c>
      <c r="AS10" s="26" t="n">
        <v>3074.866</v>
      </c>
      <c r="AT10" s="26" t="n">
        <v>2430.823</v>
      </c>
      <c r="AU10" s="26" t="n">
        <v>595.909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1728.228</v>
      </c>
      <c r="Y13" s="26" t="n">
        <v>1691.161</v>
      </c>
      <c r="Z13" s="26" t="n">
        <v>1677.599</v>
      </c>
      <c r="AA13" s="26" t="n">
        <v>1628.848</v>
      </c>
      <c r="AB13" s="26" t="n">
        <v>1628.848</v>
      </c>
      <c r="AC13" s="26" t="n">
        <v>1406.893</v>
      </c>
      <c r="AD13" s="26" t="n">
        <v>1305.506</v>
      </c>
      <c r="AE13" s="26" t="n">
        <v>1260.75</v>
      </c>
      <c r="AF13" s="26" t="n">
        <v>1081.682</v>
      </c>
      <c r="AG13" s="26" t="n">
        <v>757.006</v>
      </c>
      <c r="AH13" s="26" t="n">
        <v>589.686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5485.055</v>
      </c>
      <c r="AS13" s="26" t="n">
        <v>6626.456</v>
      </c>
      <c r="AT13" s="26" t="n">
        <v>5054.831</v>
      </c>
      <c r="AU13" s="26" t="n">
        <v>2035.895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1439.04</v>
      </c>
      <c r="Y16" s="13" t="n">
        <v>1439.01</v>
      </c>
      <c r="Z16" s="13" t="n">
        <v>1441.8</v>
      </c>
      <c r="AA16" s="13" t="n">
        <v>1443.8</v>
      </c>
      <c r="AB16" s="13" t="n">
        <v>1443.8</v>
      </c>
      <c r="AC16" s="13" t="n">
        <v>1452.52</v>
      </c>
      <c r="AD16" s="13" t="n">
        <v>1452.78</v>
      </c>
      <c r="AE16" s="13" t="n">
        <v>1453.81</v>
      </c>
      <c r="AF16" s="13" t="n">
        <v>1457.56</v>
      </c>
      <c r="AG16" s="13" t="n">
        <v>1463.2</v>
      </c>
      <c r="AH16" s="13" t="n">
        <v>1465.73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1345.14</v>
      </c>
      <c r="Y17" s="13" t="n">
        <v>1341.49</v>
      </c>
      <c r="Z17" s="13" t="n">
        <v>1341.49</v>
      </c>
      <c r="AA17" s="13" t="n">
        <v>1341.49</v>
      </c>
      <c r="AB17" s="13" t="n">
        <v>1341.49</v>
      </c>
      <c r="AC17" s="13" t="n">
        <v>1341.49</v>
      </c>
      <c r="AD17" s="13" t="n">
        <v>1341.49</v>
      </c>
      <c r="AE17" s="13" t="n">
        <v>1341.49</v>
      </c>
      <c r="AF17" s="13" t="n">
        <v>1341.49</v>
      </c>
      <c r="AG17" s="13" t="n">
        <v>1341.49</v>
      </c>
      <c r="AH17" s="13" t="n">
        <v>1341.49</v>
      </c>
      <c r="AI17" s="13" t="n">
        <v>1341.49</v>
      </c>
      <c r="AJ17" s="13" t="n">
        <v>1341.49</v>
      </c>
      <c r="AK17" s="13" t="n">
        <v>1341.49</v>
      </c>
      <c r="AL17" s="13" t="n">
        <v>1341.49</v>
      </c>
      <c r="AM17" s="13" t="n">
        <v>1341.49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1410.87</v>
      </c>
      <c r="Y18" s="13" t="n">
        <v>1409.75</v>
      </c>
      <c r="Z18" s="13" t="n">
        <v>1411.71</v>
      </c>
      <c r="AA18" s="13" t="n">
        <v>1413.11</v>
      </c>
      <c r="AB18" s="13" t="n">
        <v>1413.11</v>
      </c>
      <c r="AC18" s="13" t="n">
        <v>1419.21</v>
      </c>
      <c r="AD18" s="13" t="n">
        <v>1419.39</v>
      </c>
      <c r="AE18" s="13" t="n">
        <v>1420.11</v>
      </c>
      <c r="AF18" s="13" t="n">
        <v>1422.74</v>
      </c>
      <c r="AG18" s="13" t="n">
        <v>1426.69</v>
      </c>
      <c r="AH18" s="13" t="n">
        <v>1428.46</v>
      </c>
      <c r="AI18" s="13" t="n">
        <v>1432.28</v>
      </c>
      <c r="AJ18" s="13" t="n">
        <v>1442.22</v>
      </c>
      <c r="AK18" s="13" t="n">
        <v>1450.41</v>
      </c>
      <c r="AL18" s="13" t="n">
        <v>1453.67</v>
      </c>
      <c r="AM18" s="13" t="n">
        <v>1453.67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2564060.4</v>
      </c>
      <c r="Y19" s="18" t="n">
        <v>2507048.5</v>
      </c>
      <c r="Z19" s="18" t="n">
        <v>2434866</v>
      </c>
      <c r="AA19" s="18" t="n">
        <v>2340319.8</v>
      </c>
      <c r="AB19" s="18" t="n">
        <v>2340319.8</v>
      </c>
      <c r="AC19" s="18" t="n">
        <v>1996679.4</v>
      </c>
      <c r="AD19" s="18" t="n">
        <v>1853025.9</v>
      </c>
      <c r="AE19" s="18" t="n">
        <v>1790407.1</v>
      </c>
      <c r="AF19" s="18" t="n">
        <v>1538949.4</v>
      </c>
      <c r="AG19" s="18" t="n">
        <v>1080011.4</v>
      </c>
      <c r="AH19" s="18" t="n">
        <v>842340.3</v>
      </c>
      <c r="AI19" s="18" t="n">
        <v>618509.7</v>
      </c>
      <c r="AJ19" s="18" t="n">
        <v>371182.1</v>
      </c>
      <c r="AK19" s="18" t="n">
        <v>264106.6</v>
      </c>
      <c r="AL19" s="18" t="n">
        <v>252598.7</v>
      </c>
      <c r="AM19" s="18" t="n">
        <v>52740.4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9101368.6</v>
      </c>
      <c r="AS19" s="18" t="n">
        <v>9622554.1</v>
      </c>
      <c r="AT19" s="18" t="n">
        <v>7179061.8</v>
      </c>
      <c r="AU19" s="18" t="n">
        <v>2912043.5</v>
      </c>
      <c r="AV19" s="18" t="n">
        <v>569445.7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2442792.9</v>
      </c>
      <c r="Y20" s="18" t="n">
        <v>2388512.7</v>
      </c>
      <c r="Z20" s="18" t="n">
        <v>2371317.4</v>
      </c>
      <c r="AA20" s="18" t="n">
        <v>2304067.9</v>
      </c>
      <c r="AB20" s="18" t="n">
        <v>2304067.9</v>
      </c>
      <c r="AC20" s="18" t="n">
        <v>1996679.4</v>
      </c>
      <c r="AD20" s="18" t="n">
        <v>1853025.9</v>
      </c>
      <c r="AE20" s="18" t="n">
        <v>1790407.1</v>
      </c>
      <c r="AF20" s="18" t="n">
        <v>1538949.4</v>
      </c>
      <c r="AG20" s="18" t="n">
        <v>1080011.4</v>
      </c>
      <c r="AH20" s="18" t="n">
        <v>842340.3</v>
      </c>
      <c r="AI20" s="18" t="n">
        <v>618509.7</v>
      </c>
      <c r="AJ20" s="18" t="n">
        <v>371182.1</v>
      </c>
      <c r="AK20" s="18" t="n">
        <v>264106.6</v>
      </c>
      <c r="AL20" s="18" t="n">
        <v>252598.7</v>
      </c>
      <c r="AM20" s="18" t="n">
        <v>52740.4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8610977.4</v>
      </c>
      <c r="AS20" s="18" t="n">
        <v>9367965.9</v>
      </c>
      <c r="AT20" s="18" t="n">
        <v>7179061.8</v>
      </c>
      <c r="AU20" s="18" t="n">
        <v>2912043.5</v>
      </c>
      <c r="AV20" s="18" t="n">
        <v>569445.7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2127160</v>
      </c>
      <c r="Y21" s="18" t="n">
        <v>2079310.1</v>
      </c>
      <c r="Z21" s="18" t="n">
        <v>2058679.2</v>
      </c>
      <c r="AA21" s="18" t="n">
        <v>1987994.1</v>
      </c>
      <c r="AB21" s="18" t="n">
        <v>1987994.1</v>
      </c>
      <c r="AC21" s="18" t="n">
        <v>1684041.2</v>
      </c>
      <c r="AD21" s="18" t="n">
        <v>1540387.7</v>
      </c>
      <c r="AE21" s="18" t="n">
        <v>1474333.3</v>
      </c>
      <c r="AF21" s="18" t="n">
        <v>1224926</v>
      </c>
      <c r="AG21" s="18" t="n">
        <v>816941.8</v>
      </c>
      <c r="AH21" s="18" t="n">
        <v>609404.4</v>
      </c>
      <c r="AI21" s="18" t="n">
        <v>469869</v>
      </c>
      <c r="AJ21" s="18" t="n">
        <v>348909.2</v>
      </c>
      <c r="AK21" s="18" t="n">
        <v>249822.9</v>
      </c>
      <c r="AL21" s="18" t="n">
        <v>252598.7</v>
      </c>
      <c r="AM21" s="18" t="n">
        <v>52740.4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315632.9</v>
      </c>
      <c r="Y22" s="18" t="n">
        <v>309202.7</v>
      </c>
      <c r="Z22" s="18" t="n">
        <v>312638.2</v>
      </c>
      <c r="AA22" s="18" t="n">
        <v>316073.8</v>
      </c>
      <c r="AB22" s="18" t="n">
        <v>316073.8</v>
      </c>
      <c r="AC22" s="18" t="n">
        <v>312638.2</v>
      </c>
      <c r="AD22" s="18" t="n">
        <v>312638.2</v>
      </c>
      <c r="AE22" s="18" t="n">
        <v>316073.8</v>
      </c>
      <c r="AF22" s="18" t="n">
        <v>314023.5</v>
      </c>
      <c r="AG22" s="18" t="n">
        <v>263069.7</v>
      </c>
      <c r="AH22" s="18" t="n">
        <v>232935.9</v>
      </c>
      <c r="AI22" s="18" t="n">
        <v>148640.7</v>
      </c>
      <c r="AJ22" s="18" t="n">
        <v>22272.9</v>
      </c>
      <c r="AK22" s="18" t="n">
        <v>14283.7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원/달러(평균)",환율,MATCH(X$1,변수H,0),0),1345.14)</f>
        <v/>
      </c>
      <c r="Y28" s="13">
        <f>IFERROR(VLOOKUP(" 원/달러(평균)",환율,MATCH(Y$1,변수H,0),0),1341.49)</f>
        <v/>
      </c>
      <c r="Z28" s="13">
        <f>IFERROR(VLOOKUP(" 원/달러(평균)",환율,MATCH(Z$1,변수H,0),0),1341.49)</f>
        <v/>
      </c>
      <c r="AA28" s="13">
        <f>IFERROR(VLOOKUP(" 원/달러(평균)",환율,MATCH(AA$1,변수H,0),0),1341.49)</f>
        <v/>
      </c>
      <c r="AB28" s="13">
        <f>IFERROR(VLOOKUP(" 원/달러(평균)",환율,MATCH(AB$1,변수H,0),0),1341.49)</f>
        <v/>
      </c>
      <c r="AC28" s="13">
        <f>IFERROR(VLOOKUP(" 원/달러(평균)",환율,MATCH(AC$1,변수H,0),0),1341.49)</f>
        <v/>
      </c>
      <c r="AD28" s="13">
        <f>IFERROR(VLOOKUP(" 원/달러(평균)",환율,MATCH(AD$1,변수H,0),0),1341.49)</f>
        <v/>
      </c>
      <c r="AE28" s="13">
        <f>IFERROR(VLOOKUP(" 원/달러(평균)",환율,MATCH(AE$1,변수H,0),0),1341.49)</f>
        <v/>
      </c>
      <c r="AF28" s="13">
        <f>IFERROR(VLOOKUP(" 원/달러(평균)",환율,MATCH(AF$1,변수H,0),0),1341.49)</f>
        <v/>
      </c>
      <c r="AG28" s="13">
        <f>IFERROR(VLOOKUP(" 원/달러(평균)",환율,MATCH(AG$1,변수H,0),0),1341.49)</f>
        <v/>
      </c>
      <c r="AH28" s="13">
        <f>IFERROR(VLOOKUP(" 원/달러(평균)",환율,MATCH(AH$1,변수H,0),0),1341.49)</f>
        <v/>
      </c>
      <c r="AI28" s="13">
        <f>IFERROR(VLOOKUP(" 원/달러(평균)",환율,MATCH(AI$1,변수H,0),0),1341.49)</f>
        <v/>
      </c>
      <c r="AJ28" s="13">
        <f>IFERROR(VLOOKUP(" 원/달러(평균)",환율,MATCH(AJ$1,변수H,0),0),1341.49)</f>
        <v/>
      </c>
      <c r="AK28" s="13">
        <f>IFERROR(VLOOKUP(" 원/달러(평균)",환율,MATCH(AK$1,변수H,0),0),1341.49)</f>
        <v/>
      </c>
      <c r="AL28" s="13">
        <f>IFERROR(VLOOKUP(" 원/달러(평균)",환율,MATCH(AL$1,변수H,0),0),1341.49)</f>
        <v/>
      </c>
      <c r="AM28" s="13">
        <f>IFERROR(VLOOKUP(" 원/달러(평균)",환율,MATCH(AM$1,변수H,0),0),1341.49)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46.737</v>
      </c>
      <c r="Y84" s="26" t="n">
        <v>46.223</v>
      </c>
      <c r="Z84" s="26" t="n">
        <v>46.737</v>
      </c>
      <c r="AA84" s="26" t="n">
        <v>47.25</v>
      </c>
      <c r="AB84" s="26" t="n">
        <v>47.25</v>
      </c>
      <c r="AC84" s="26" t="n">
        <v>46.737</v>
      </c>
      <c r="AD84" s="26" t="n">
        <v>46.737</v>
      </c>
      <c r="AE84" s="26" t="n">
        <v>47.25</v>
      </c>
      <c r="AF84" s="26" t="n">
        <v>47.25</v>
      </c>
      <c r="AG84" s="26" t="n">
        <v>46.223</v>
      </c>
      <c r="AH84" s="26" t="n">
        <v>31.331</v>
      </c>
      <c r="AX84" s="35" t="n">
        <v>0</v>
      </c>
      <c r="AY84" s="16" t="n">
        <v>1345.14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499.725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499.725</v>
      </c>
      <c r="F197" t="n">
        <v>1345.14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1280.1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14.76</v>
      </c>
    </row>
    <row r="32">
      <c r="C32" s="2" t="inlineStr">
        <is>
          <t>pbr_now</t>
        </is>
      </c>
      <c r="D32" t="n">
        <v>3.38</v>
      </c>
    </row>
    <row r="33">
      <c r="C33" s="2" t="inlineStr">
        <is>
          <t>roe_fwd</t>
        </is>
      </c>
      <c r="D33" t="n">
        <v>0.2291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