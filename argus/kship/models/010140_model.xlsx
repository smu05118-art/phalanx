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21285억(sls.by_quarter.marine_hedged_krw_m_signed_by_origin(헤지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3158억 제외(패널 신규에 포함으로 봄)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20781억(sls.by_quarter.marine_hedged_krw_m_signed_by_origin(헤지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3090억 제외(패널 신규에 포함으로 봄)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20575억(sls.by_quarter.marine_hedged_krw_m_signed_by_origin(헤지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3124억 제외(패널 신규에 포함으로 봄)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19869억(sls.by_quarter.marine_hedged_krw_m_signed_by_origin(헤지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3158억 제외(패널 신규에 포함으로 봄)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19869억(sls.by_quarter.marine_hedged_krw_m_signed_by_origin(헤지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3158억 제외(패널 신규에 포함으로 봄)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16831억(sls.by_quarter.marine_hedged_krw_m_signed_by_origin(헤지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3124억 제외(패널 신규에 포함으로 봄)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15395억(sls.by_quarter.marine_hedged_krw_m_signed_by_origin(헤지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3124억 제외(패널 신규에 포함으로 봄)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14735억(sls.by_quarter.marine_hedged_krw_m_signed_by_origin(헤지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3158억 제외(패널 신규에 포함으로 봄)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12242억(sls.by_quarter.marine_hedged_krw_m_signed_by_origin(헤지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3138억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D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F9" authorId="0" shapeId="0">
      <text>
        <t>추정: 매출액 × OPM(SLS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G9" authorId="0" shapeId="0">
      <text>
        <t>추정: 매출액 × OPM(SLS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H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I9" authorId="0" shapeId="0">
      <text>
        <t>추정: 매출액 × OPM(SLS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K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L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M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N9" authorId="0" shapeId="0">
      <text>
        <t>추정: 매출액 × OPM(SLS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10.74%→10.80%))
[identity]</t>
      </text>
    </comment>
    <comment ref="AC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D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F10" authorId="0" shapeId="0">
      <text>
        <t>추정: SLS 코호트 타겟 10.7%(코호트 모드 reference_anchor; 등급 비중 95% × 코호트 10.8% + 등급없음 5%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G10" authorId="0" shapeId="0">
      <text>
        <t>추정: SLS 코호트 타겟 10.8%(코호트 모드 reference_anchor; 등급 비중 97% × 코호트 10.8% + 등급없음 3%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H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I10" authorId="0" shapeId="0">
      <text>
        <t>추정: SLS 코호트 타겟 10.8%(코호트 모드 reference_anchor; 등급 비중 98% × 코호트 10.8% + 등급없음 2%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K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L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M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N10" authorId="0" shapeId="0">
      <text>
        <t>추정: SLS 코호트 타겟 10.8%(코호트 모드 reference_anchor; 등급 비중 100% × 코호트 10.8% + 등급없음 0% × 최근 4분기 실측 OPM 중위 9.7%) + 회사 캘리브레이션 -0.8%p(최근 4분기 실측−타겟 중위) — 신규수주 매출에도 같은 타겟 — 코호트 경로 없음 → 실측 중위 고정(원 타겟 전 분기 10.8% 상수(코호트 모드 reference_anchor); 경로 변화는 등급 없는 비중의 실측 중위 9.7% 채움에서만, 추정 구간 타겟 10.74%→10.80%)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35966억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38502억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41150억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44011억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47092억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50471억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53933억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57598억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61509억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35966억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38502억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41150억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44011억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47092억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50471억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53933억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57598억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61509억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
[sls_link]</t>
      </text>
    </comment>
    <comment ref="AD38" authorId="0" shapeId="0">
      <text>
        <t>추정: SLS 해양 원화 21285억(sls.by_quarter.marine_hedged_krw_m_signed_by_origin(헤지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3158억 제외(패널 신규에 포함으로 봄)
[sls_link]</t>
      </text>
    </comment>
    <comment ref="AF38" authorId="0" shapeId="0">
      <text>
        <t>추정: SLS 해양 원화 20781억(sls.by_quarter.marine_hedged_krw_m_signed_by_origin(헤지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3090억 제외(패널 신규에 포함으로 봄)
[sls_link]</t>
      </text>
    </comment>
    <comment ref="AG38" authorId="0" shapeId="0">
      <text>
        <t>추정: SLS 해양 원화 20575억(sls.by_quarter.marine_hedged_krw_m_signed_by_origin(헤지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3124억 제외(패널 신규에 포함으로 봄)
[sls_link]</t>
      </text>
    </comment>
    <comment ref="AH38" authorId="0" shapeId="0">
      <text>
        <t>추정: SLS 해양 원화 19869억(sls.by_quarter.marine_hedged_krw_m_signed_by_origin(헤지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3158억 제외(패널 신규에 포함으로 봄)
[sls_link]</t>
      </text>
    </comment>
    <comment ref="AI38" authorId="0" shapeId="0">
      <text>
        <t>추정: SLS 해양 원화 19869억(sls.by_quarter.marine_hedged_krw_m_signed_by_origin(헤지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3158억 제외(패널 신규에 포함으로 봄)
[sls_link]</t>
      </text>
    </comment>
    <comment ref="AK38" authorId="0" shapeId="0">
      <text>
        <t>추정: SLS 해양 원화 16831억(sls.by_quarter.marine_hedged_krw_m_signed_by_origin(헤지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3124억 제외(패널 신규에 포함으로 봄)
[sls_link]</t>
      </text>
    </comment>
    <comment ref="AL38" authorId="0" shapeId="0">
      <text>
        <t>추정: SLS 해양 원화 15395억(sls.by_quarter.marine_hedged_krw_m_signed_by_origin(헤지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3124억 제외(패널 신규에 포함으로 봄)
[sls_link]</t>
      </text>
    </comment>
    <comment ref="AM38" authorId="0" shapeId="0">
      <text>
        <t>추정: SLS 해양 원화 14735억(sls.by_quarter.marine_hedged_krw_m_signed_by_origin(헤지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3158억 제외(패널 신규에 포함으로 봄)
[sls_link]</t>
      </text>
    </comment>
    <comment ref="AN38" authorId="0" shapeId="0">
      <text>
        <t>추정: SLS 해양 원화 12242억(sls.by_quarter.marine_hedged_krw_m_signed_by_origin(헤지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3138억 제외(패널 신규에 포함으로 봄)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10.8% 상수(코호트 모드 reference_anchor); 경로 변화는 등급 없는 비중의 실측 중위 9.7% 채움에서만, 추정 구간 타겟 10.74%→10.80%) / 추정 매출조선 = 2026Q2 기준 잔고 소진분 + forecast_panel base 신규수주 매출(new_order_revenue, 미보정 book-value proxy, status partial; FY합 117,902억) — 보수/낙관은 scenarios 블록(합산 안 함) / origin 이후 공시 수주 7건 36,582억은 패널 신규에 포함된 것으로 보아 기존 SLS 에서 제외 — 추정 창 SLS −29,280억(2026 4,204억 · 2027 12,531억 · 2028 12,545억)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제외 SLS vs 패널 base 신규 매출: 2026 4,204억 vs 688억 · 2027 12,531억 vs 29,126억 · 2028 12,545억 vs 88,088억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19540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19350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19735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-0.002946966</v>
      </c>
      <c r="AD30" s="29" t="n">
        <v>0.003964858</v>
      </c>
      <c r="AE30" s="30" t="n"/>
      <c r="AF30" s="29" t="n">
        <v>-0.009040717</v>
      </c>
      <c r="AG30" s="29" t="n">
        <v>0.006612437</v>
      </c>
      <c r="AH30" s="29" t="n">
        <v>0.002261545</v>
      </c>
      <c r="AI30" s="29" t="n">
        <v>5.104e-06</v>
      </c>
      <c r="AJ30" s="30" t="n"/>
      <c r="AK30" s="29" t="n">
        <v>-0.004200418</v>
      </c>
      <c r="AL30" s="29" t="n">
        <v>0.00269112</v>
      </c>
      <c r="AM30" s="29" t="n">
        <v>0.001507008</v>
      </c>
      <c r="AN30" s="29" t="n">
        <v>-0.006788747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-0.002946966</v>
      </c>
      <c r="AD31" s="29" t="n">
        <v>0.003964858</v>
      </c>
      <c r="AE31" s="30" t="n"/>
      <c r="AF31" s="29" t="n">
        <v>-0.009040717</v>
      </c>
      <c r="AG31" s="29" t="n">
        <v>0.006612437</v>
      </c>
      <c r="AH31" s="29" t="n">
        <v>0.002261545</v>
      </c>
      <c r="AI31" s="29" t="n">
        <v>5.104e-06</v>
      </c>
      <c r="AJ31" s="30" t="n"/>
      <c r="AK31" s="29" t="n">
        <v>-0.004200418</v>
      </c>
      <c r="AL31" s="29" t="n">
        <v>0.00269112</v>
      </c>
      <c r="AM31" s="29" t="n">
        <v>0.001507008</v>
      </c>
      <c r="AN31" s="29" t="n">
        <v>-0.006788747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0.121235518</v>
      </c>
      <c r="AD33" s="31" t="n">
        <v>0.109681061</v>
      </c>
      <c r="AE33" s="25" t="n"/>
      <c r="AF33" s="31" t="n">
        <v>0.103223111</v>
      </c>
      <c r="AG33" s="31" t="n">
        <v>0.101076186</v>
      </c>
      <c r="AH33" s="31" t="n">
        <v>0.098850941</v>
      </c>
      <c r="AI33" s="31" t="n">
        <v>0.098675913</v>
      </c>
      <c r="AJ33" s="25" t="n"/>
      <c r="AK33" s="31" t="n">
        <v>0.09201411900000001</v>
      </c>
      <c r="AL33" s="31" t="n">
        <v>0.08918844400000001</v>
      </c>
      <c r="AM33" s="31" t="n">
        <v>0.087403175</v>
      </c>
      <c r="AN33" s="31" t="n">
        <v>0.081839353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0.074700172</v>
      </c>
      <c r="AD34" s="31" t="n">
        <v>0.07050669499999999</v>
      </c>
      <c r="AE34" s="25" t="n"/>
      <c r="AF34" s="31" t="n">
        <v>0.06878379799999999</v>
      </c>
      <c r="AG34" s="31" t="n">
        <v>0.06952373000000001</v>
      </c>
      <c r="AH34" s="31" t="n">
        <v>0.069998778</v>
      </c>
      <c r="AI34" s="31" t="n">
        <v>0.071758988</v>
      </c>
      <c r="AJ34" s="25" t="n"/>
      <c r="AK34" s="31" t="n">
        <v>0.068594744</v>
      </c>
      <c r="AL34" s="31" t="n">
        <v>0.067945799</v>
      </c>
      <c r="AM34" s="31" t="n">
        <v>0.067909847</v>
      </c>
      <c r="AN34" s="31" t="n">
        <v>0.06474793700000001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9999.694702999999</v>
      </c>
      <c r="AD40" s="29" t="n">
        <v>9999.6991</v>
      </c>
      <c r="AE40" s="30" t="n"/>
      <c r="AF40" s="29" t="n">
        <v>9999.769095</v>
      </c>
      <c r="AG40" s="29" t="n">
        <v>9999.618796000001</v>
      </c>
      <c r="AH40" s="29" t="n">
        <v>9999.690769000001</v>
      </c>
      <c r="AI40" s="29" t="n">
        <v>9999.70456</v>
      </c>
      <c r="AJ40" s="30" t="n"/>
      <c r="AK40" s="29" t="n">
        <v>9999.802422000001</v>
      </c>
      <c r="AL40" s="29" t="n">
        <v>9999.703111000001</v>
      </c>
      <c r="AM40" s="29" t="n">
        <v>9999.7729</v>
      </c>
      <c r="AN40" s="29" t="n">
        <v>9999.708468000001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687.89</v>
      </c>
      <c r="AE41" s="30">
        <f>subQ!AE39</f>
        <v/>
      </c>
      <c r="AF41" s="29" t="n">
        <v>2562.78</v>
      </c>
      <c r="AG41" s="29" t="n">
        <v>5341.48</v>
      </c>
      <c r="AH41" s="29" t="n">
        <v>8740.809999999999</v>
      </c>
      <c r="AI41" s="29" t="n">
        <v>12480.75</v>
      </c>
      <c r="AJ41" s="30">
        <f>subQ!AJ39</f>
        <v/>
      </c>
      <c r="AK41" s="29" t="n">
        <v>16399.95</v>
      </c>
      <c r="AL41" s="29" t="n">
        <v>20325.4</v>
      </c>
      <c r="AM41" s="29" t="n">
        <v>24039.28</v>
      </c>
      <c r="AN41" s="29" t="n">
        <v>27323.75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0.09941024</v>
      </c>
      <c r="AD42" s="31" t="n">
        <v>0.099459066</v>
      </c>
      <c r="AE42" s="25">
        <f>IFERROR(subQ!AE40/subQ!AE38,"")</f>
        <v/>
      </c>
      <c r="AF42" s="31" t="n">
        <v>0.099459058</v>
      </c>
      <c r="AG42" s="31" t="n">
        <v>0.09969014</v>
      </c>
      <c r="AH42" s="31" t="n">
        <v>0.09980499399999999</v>
      </c>
      <c r="AI42" s="31" t="n">
        <v>0.09980512</v>
      </c>
      <c r="AJ42" s="25">
        <f>IFERROR(subQ!AJ40/subQ!AJ38,"")</f>
        <v/>
      </c>
      <c r="AK42" s="31" t="n">
        <v>0.09998061599999999</v>
      </c>
      <c r="AL42" s="31" t="n">
        <v>0.099980687</v>
      </c>
      <c r="AM42" s="31" t="n">
        <v>0.099980625</v>
      </c>
      <c r="AN42" s="31" t="n">
        <v>0.099980652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0.09940721299999999</v>
      </c>
      <c r="AD44" s="31" t="n">
        <v>0.099459441</v>
      </c>
      <c r="AE44" s="25">
        <f>IFERROR(subQ!AE43/subQ!AE42,"")</f>
        <v/>
      </c>
      <c r="AF44" s="31" t="n">
        <v>0.099459441</v>
      </c>
      <c r="AG44" s="31" t="n">
        <v>0.099694466</v>
      </c>
      <c r="AH44" s="31" t="n">
        <v>0.099807627</v>
      </c>
      <c r="AI44" s="31" t="n">
        <v>0.099807627</v>
      </c>
      <c r="AJ44" s="25">
        <f>IFERROR(subQ!AJ43/subQ!AJ42,"")</f>
        <v/>
      </c>
      <c r="AK44" s="31" t="n">
        <v>0.09998172</v>
      </c>
      <c r="AL44" s="31" t="n">
        <v>0.09998172</v>
      </c>
      <c r="AM44" s="31" t="n">
        <v>0.09998172</v>
      </c>
      <c r="AN44" s="31" t="n">
        <v>0.09998172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19540</v>
      </c>
      <c r="E47" s="2" t="inlineStr">
        <is>
          <t>원 — 네이버 정규장 종가(aik 확정종가 대조 · aik 19,960원)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20261007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0.2200000633240189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0.04463847348901893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0.01229665961540446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0.0557670234890925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7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7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7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7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7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7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7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7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7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7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7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7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7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7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7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7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7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7" t="n">
        <v>0</v>
      </c>
      <c r="Y53" s="18" t="n">
        <v>0</v>
      </c>
      <c r="Z53" s="37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7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7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7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7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7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7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7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7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7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7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7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7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7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7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7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7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7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7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7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7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7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7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7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7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7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7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7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7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7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7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7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7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7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7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7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7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7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7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7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7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7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7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7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7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7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7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7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7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7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7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7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7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7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7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7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7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7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7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7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7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7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7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7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7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7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7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7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7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7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7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7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7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7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7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7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7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7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7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7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7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7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7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7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7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7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7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7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7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7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7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7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7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7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7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7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7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7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7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7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7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7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7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7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7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7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7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7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7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7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7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7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7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7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7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7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7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7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7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7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7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7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7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7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7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7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7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7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7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7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7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7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7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7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7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7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7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7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7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7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7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7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7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7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7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7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7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7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7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7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7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7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7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7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7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7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7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7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7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7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7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7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7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7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7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7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7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7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7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7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7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7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7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7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7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7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7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7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7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표(레퍼런스 실측 캘리브레이션): ①적자 −1.1% ②BEP 1% ③중마진 4.3% ④호황 5.4% ⑤초호황 10.8%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1817.262</v>
      </c>
      <c r="Y5" s="26" t="n">
        <v>1778.258</v>
      </c>
      <c r="Z5" s="26" t="n">
        <v>1724.665</v>
      </c>
      <c r="AA5" s="26" t="n">
        <v>1656.046</v>
      </c>
      <c r="AB5" s="26" t="n">
        <v>1656.046</v>
      </c>
      <c r="AC5" s="26" t="n">
        <v>1406.791</v>
      </c>
      <c r="AD5" s="26" t="n">
        <v>1305.404</v>
      </c>
      <c r="AE5" s="26" t="n">
        <v>1260.647</v>
      </c>
      <c r="AF5" s="26" t="n">
        <v>1081.579</v>
      </c>
      <c r="AG5" s="26" t="n">
        <v>756.905</v>
      </c>
      <c r="AH5" s="26" t="n">
        <v>589.6180000000001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6362.527</v>
      </c>
      <c r="AS5" s="26" t="n">
        <v>6815.015</v>
      </c>
      <c r="AT5" s="26" t="n">
        <v>5054.421</v>
      </c>
      <c r="AU5" s="26" t="n">
        <v>2035.726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1728.127</v>
      </c>
      <c r="Y6" s="26" t="n">
        <v>1691.06</v>
      </c>
      <c r="Z6" s="26" t="n">
        <v>1677.497</v>
      </c>
      <c r="AA6" s="26" t="n">
        <v>1628.745</v>
      </c>
      <c r="AB6" s="26" t="n">
        <v>1628.745</v>
      </c>
      <c r="AC6" s="26" t="n">
        <v>1406.791</v>
      </c>
      <c r="AD6" s="26" t="n">
        <v>1305.404</v>
      </c>
      <c r="AE6" s="26" t="n">
        <v>1260.647</v>
      </c>
      <c r="AF6" s="26" t="n">
        <v>1081.579</v>
      </c>
      <c r="AG6" s="26" t="n">
        <v>756.905</v>
      </c>
      <c r="AH6" s="26" t="n">
        <v>589.6180000000001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6008.893</v>
      </c>
      <c r="AS6" s="26" t="n">
        <v>6626.047</v>
      </c>
      <c r="AT6" s="26" t="n">
        <v>5054.421</v>
      </c>
      <c r="AU6" s="26" t="n">
        <v>2035.726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832.931</v>
      </c>
      <c r="Y10" s="26" t="n">
        <v>815.325</v>
      </c>
      <c r="Z10" s="26" t="n">
        <v>792.032</v>
      </c>
      <c r="AA10" s="26" t="n">
        <v>733.55</v>
      </c>
      <c r="AB10" s="26" t="n">
        <v>733.55</v>
      </c>
      <c r="AC10" s="26" t="n">
        <v>691.6559999999999</v>
      </c>
      <c r="AD10" s="26" t="n">
        <v>665.09</v>
      </c>
      <c r="AE10" s="26" t="n">
        <v>625.633</v>
      </c>
      <c r="AF10" s="26" t="n">
        <v>448.034</v>
      </c>
      <c r="AG10" s="26" t="n">
        <v>315.715</v>
      </c>
      <c r="AH10" s="26" t="n">
        <v>199.859</v>
      </c>
      <c r="AI10" s="26" t="n">
        <v>80.166</v>
      </c>
      <c r="AP10" s="26" t="n">
        <v>193.223</v>
      </c>
      <c r="AQ10" s="26" t="n">
        <v>845.6369999999999</v>
      </c>
      <c r="AR10" s="26" t="n">
        <v>2583.837</v>
      </c>
      <c r="AS10" s="26" t="n">
        <v>3074.457</v>
      </c>
      <c r="AT10" s="26" t="n">
        <v>2430.413</v>
      </c>
      <c r="AU10" s="26" t="n">
        <v>595.74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1728.127</v>
      </c>
      <c r="Y13" s="26" t="n">
        <v>1691.06</v>
      </c>
      <c r="Z13" s="26" t="n">
        <v>1677.497</v>
      </c>
      <c r="AA13" s="26" t="n">
        <v>1628.745</v>
      </c>
      <c r="AB13" s="26" t="n">
        <v>1628.745</v>
      </c>
      <c r="AC13" s="26" t="n">
        <v>1406.791</v>
      </c>
      <c r="AD13" s="26" t="n">
        <v>1305.404</v>
      </c>
      <c r="AE13" s="26" t="n">
        <v>1260.647</v>
      </c>
      <c r="AF13" s="26" t="n">
        <v>1081.579</v>
      </c>
      <c r="AG13" s="26" t="n">
        <v>756.905</v>
      </c>
      <c r="AH13" s="26" t="n">
        <v>589.6180000000001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5484.954</v>
      </c>
      <c r="AS13" s="26" t="n">
        <v>6626.047</v>
      </c>
      <c r="AT13" s="26" t="n">
        <v>5054.421</v>
      </c>
      <c r="AU13" s="26" t="n">
        <v>2035.726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1439.12</v>
      </c>
      <c r="Y16" s="13" t="n">
        <v>1439.09</v>
      </c>
      <c r="Z16" s="13" t="n">
        <v>1441.89</v>
      </c>
      <c r="AA16" s="13" t="n">
        <v>1443.89</v>
      </c>
      <c r="AB16" s="13" t="n">
        <v>1443.89</v>
      </c>
      <c r="AC16" s="13" t="n">
        <v>1452.63</v>
      </c>
      <c r="AD16" s="13" t="n">
        <v>1452.89</v>
      </c>
      <c r="AE16" s="13" t="n">
        <v>1453.93</v>
      </c>
      <c r="AF16" s="13" t="n">
        <v>1457.7</v>
      </c>
      <c r="AG16" s="13" t="n">
        <v>1463.4</v>
      </c>
      <c r="AH16" s="13" t="n">
        <v>1465.9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1348.08</v>
      </c>
      <c r="Y17" s="13" t="n">
        <v>1338.78</v>
      </c>
      <c r="Z17" s="13" t="n">
        <v>1338.78</v>
      </c>
      <c r="AA17" s="13" t="n">
        <v>1338.78</v>
      </c>
      <c r="AB17" s="13" t="n">
        <v>1338.78</v>
      </c>
      <c r="AC17" s="13" t="n">
        <v>1338.78</v>
      </c>
      <c r="AD17" s="13" t="n">
        <v>1338.78</v>
      </c>
      <c r="AE17" s="13" t="n">
        <v>1338.78</v>
      </c>
      <c r="AF17" s="13" t="n">
        <v>1338.78</v>
      </c>
      <c r="AG17" s="13" t="n">
        <v>1338.78</v>
      </c>
      <c r="AH17" s="13" t="n">
        <v>1338.78</v>
      </c>
      <c r="AI17" s="13" t="n">
        <v>1338.78</v>
      </c>
      <c r="AJ17" s="13" t="n">
        <v>1338.78</v>
      </c>
      <c r="AK17" s="13" t="n">
        <v>1338.78</v>
      </c>
      <c r="AL17" s="13" t="n">
        <v>1338.78</v>
      </c>
      <c r="AM17" s="13" t="n">
        <v>1338.78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1411.81</v>
      </c>
      <c r="Y18" s="13" t="n">
        <v>1409</v>
      </c>
      <c r="Z18" s="13" t="n">
        <v>1410.95</v>
      </c>
      <c r="AA18" s="13" t="n">
        <v>1412.36</v>
      </c>
      <c r="AB18" s="13" t="n">
        <v>1412.36</v>
      </c>
      <c r="AC18" s="13" t="n">
        <v>1418.47</v>
      </c>
      <c r="AD18" s="13" t="n">
        <v>1418.66</v>
      </c>
      <c r="AE18" s="13" t="n">
        <v>1419.38</v>
      </c>
      <c r="AF18" s="13" t="n">
        <v>1422.02</v>
      </c>
      <c r="AG18" s="13" t="n">
        <v>1426.01</v>
      </c>
      <c r="AH18" s="13" t="n">
        <v>1427.76</v>
      </c>
      <c r="AI18" s="13" t="n">
        <v>1431.47</v>
      </c>
      <c r="AJ18" s="13" t="n">
        <v>1441.4</v>
      </c>
      <c r="AK18" s="13" t="n">
        <v>1449.59</v>
      </c>
      <c r="AL18" s="13" t="n">
        <v>1452.86</v>
      </c>
      <c r="AM18" s="13" t="n">
        <v>1452.86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2565622.1</v>
      </c>
      <c r="Y19" s="18" t="n">
        <v>2505562.2</v>
      </c>
      <c r="Z19" s="18" t="n">
        <v>2433422.8</v>
      </c>
      <c r="AA19" s="18" t="n">
        <v>2338932</v>
      </c>
      <c r="AB19" s="18" t="n">
        <v>2338932</v>
      </c>
      <c r="AC19" s="18" t="n">
        <v>1995494.7</v>
      </c>
      <c r="AD19" s="18" t="n">
        <v>1851923.6</v>
      </c>
      <c r="AE19" s="18" t="n">
        <v>1789340.7</v>
      </c>
      <c r="AF19" s="18" t="n">
        <v>1538028.6</v>
      </c>
      <c r="AG19" s="18" t="n">
        <v>1079355.5</v>
      </c>
      <c r="AH19" s="18" t="n">
        <v>841833.4</v>
      </c>
      <c r="AI19" s="18" t="n">
        <v>618158.7</v>
      </c>
      <c r="AJ19" s="18" t="n">
        <v>370972.8</v>
      </c>
      <c r="AK19" s="18" t="n">
        <v>263958.5</v>
      </c>
      <c r="AL19" s="18" t="n">
        <v>252457.4</v>
      </c>
      <c r="AM19" s="18" t="n">
        <v>52710.9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9102930.300000001</v>
      </c>
      <c r="AS19" s="18" t="n">
        <v>9616849</v>
      </c>
      <c r="AT19" s="18" t="n">
        <v>7174787.6</v>
      </c>
      <c r="AU19" s="18" t="n">
        <v>2910320.4</v>
      </c>
      <c r="AV19" s="18" t="n">
        <v>569126.8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2444276</v>
      </c>
      <c r="Y20" s="18" t="n">
        <v>2387097.3</v>
      </c>
      <c r="Z20" s="18" t="n">
        <v>2369912.6</v>
      </c>
      <c r="AA20" s="18" t="n">
        <v>2302702.2</v>
      </c>
      <c r="AB20" s="18" t="n">
        <v>2302702.2</v>
      </c>
      <c r="AC20" s="18" t="n">
        <v>1995494.7</v>
      </c>
      <c r="AD20" s="18" t="n">
        <v>1851923.6</v>
      </c>
      <c r="AE20" s="18" t="n">
        <v>1789340.7</v>
      </c>
      <c r="AF20" s="18" t="n">
        <v>1538028.6</v>
      </c>
      <c r="AG20" s="18" t="n">
        <v>1079355.5</v>
      </c>
      <c r="AH20" s="18" t="n">
        <v>841833.4</v>
      </c>
      <c r="AI20" s="18" t="n">
        <v>618158.7</v>
      </c>
      <c r="AJ20" s="18" t="n">
        <v>370972.8</v>
      </c>
      <c r="AK20" s="18" t="n">
        <v>263958.5</v>
      </c>
      <c r="AL20" s="18" t="n">
        <v>252457.4</v>
      </c>
      <c r="AM20" s="18" t="n">
        <v>52710.9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8612460.5</v>
      </c>
      <c r="AS20" s="18" t="n">
        <v>9362414.300000001</v>
      </c>
      <c r="AT20" s="18" t="n">
        <v>7174787.6</v>
      </c>
      <c r="AU20" s="18" t="n">
        <v>2910320.4</v>
      </c>
      <c r="AV20" s="18" t="n">
        <v>569126.8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2128483.5</v>
      </c>
      <c r="Y21" s="18" t="n">
        <v>2078116.7</v>
      </c>
      <c r="Z21" s="18" t="n">
        <v>2057498.8</v>
      </c>
      <c r="AA21" s="18" t="n">
        <v>1986855.4</v>
      </c>
      <c r="AB21" s="18" t="n">
        <v>1986855.4</v>
      </c>
      <c r="AC21" s="18" t="n">
        <v>1683080.9</v>
      </c>
      <c r="AD21" s="18" t="n">
        <v>1539509.8</v>
      </c>
      <c r="AE21" s="18" t="n">
        <v>1473493.8</v>
      </c>
      <c r="AF21" s="18" t="n">
        <v>1224230.9</v>
      </c>
      <c r="AG21" s="18" t="n">
        <v>816480.9</v>
      </c>
      <c r="AH21" s="18" t="n">
        <v>609061.6</v>
      </c>
      <c r="AI21" s="18" t="n">
        <v>469604.5</v>
      </c>
      <c r="AJ21" s="18" t="n">
        <v>348712.9</v>
      </c>
      <c r="AK21" s="18" t="n">
        <v>249683.2</v>
      </c>
      <c r="AL21" s="18" t="n">
        <v>252457.4</v>
      </c>
      <c r="AM21" s="18" t="n">
        <v>52710.9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315792.5</v>
      </c>
      <c r="Y22" s="18" t="n">
        <v>308980.6</v>
      </c>
      <c r="Z22" s="18" t="n">
        <v>312413.8</v>
      </c>
      <c r="AA22" s="18" t="n">
        <v>315846.9</v>
      </c>
      <c r="AB22" s="18" t="n">
        <v>315846.9</v>
      </c>
      <c r="AC22" s="18" t="n">
        <v>312413.8</v>
      </c>
      <c r="AD22" s="18" t="n">
        <v>312413.8</v>
      </c>
      <c r="AE22" s="18" t="n">
        <v>315846.9</v>
      </c>
      <c r="AF22" s="18" t="n">
        <v>313797.7</v>
      </c>
      <c r="AG22" s="18" t="n">
        <v>262874.5</v>
      </c>
      <c r="AH22" s="18" t="n">
        <v>232771.8</v>
      </c>
      <c r="AI22" s="18" t="n">
        <v>148554.2</v>
      </c>
      <c r="AJ22" s="18" t="n">
        <v>22259.9</v>
      </c>
      <c r="AK22" s="18" t="n">
        <v>14275.4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0.108</v>
      </c>
      <c r="F23" s="21" t="n">
        <v>0.108</v>
      </c>
      <c r="G23" s="21" t="n">
        <v>0.108</v>
      </c>
      <c r="H23" s="21" t="n">
        <v>0.108</v>
      </c>
      <c r="I23" s="21" t="n">
        <v>0.108</v>
      </c>
      <c r="J23" s="21" t="n">
        <v>0.108</v>
      </c>
      <c r="K23" s="21" t="n">
        <v>0.108</v>
      </c>
      <c r="L23" s="21" t="n">
        <v>0.108</v>
      </c>
      <c r="M23" s="21" t="n">
        <v>0.108</v>
      </c>
      <c r="N23" s="21" t="n">
        <v>0.108</v>
      </c>
      <c r="O23" s="21" t="n">
        <v>0.108</v>
      </c>
      <c r="P23" s="21" t="n">
        <v>0.108</v>
      </c>
      <c r="Q23" s="21" t="n">
        <v>0.108</v>
      </c>
      <c r="R23" s="21" t="n">
        <v>0.108</v>
      </c>
      <c r="S23" s="21" t="n">
        <v>0.108</v>
      </c>
      <c r="T23" s="21" t="n">
        <v>0.108</v>
      </c>
      <c r="U23" s="21" t="n">
        <v>0.108</v>
      </c>
      <c r="V23" s="21" t="n">
        <v>0.108</v>
      </c>
      <c r="W23" s="21" t="n">
        <v>0.108</v>
      </c>
      <c r="X23" s="21" t="n">
        <v>0.108</v>
      </c>
      <c r="Y23" s="21" t="n">
        <v>0.108</v>
      </c>
      <c r="Z23" s="21" t="n">
        <v>0.108</v>
      </c>
      <c r="AA23" s="21" t="n">
        <v>0.108</v>
      </c>
      <c r="AB23" s="21" t="n">
        <v>0.108</v>
      </c>
      <c r="AC23" s="21" t="n">
        <v>0.108</v>
      </c>
      <c r="AD23" s="21" t="n">
        <v>0.108</v>
      </c>
      <c r="AE23" s="21" t="n">
        <v>0.108</v>
      </c>
      <c r="AF23" s="21" t="n">
        <v>0.108</v>
      </c>
      <c r="AG23" s="21" t="n">
        <v>0.108</v>
      </c>
      <c r="AH23" s="21" t="n">
        <v>0.108</v>
      </c>
      <c r="AI23" s="21" t="n">
        <v>0.108</v>
      </c>
      <c r="AJ23" s="21" t="n">
        <v>0.108</v>
      </c>
      <c r="AK23" s="21" t="n">
        <v>0.108</v>
      </c>
      <c r="AL23" s="21" t="n">
        <v>0.108</v>
      </c>
      <c r="AM23" s="21" t="n">
        <v>0.108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원/달러(평균)",환율,MATCH(X$1,변수H,0),0),1348.08)</f>
        <v/>
      </c>
      <c r="Y28" s="13">
        <f>IFERROR(VLOOKUP(" 원/달러(평균)",환율,MATCH(Y$1,변수H,0),0),1338.78)</f>
        <v/>
      </c>
      <c r="Z28" s="13">
        <f>IFERROR(VLOOKUP(" 원/달러(평균)",환율,MATCH(Z$1,변수H,0),0),1338.78)</f>
        <v/>
      </c>
      <c r="AA28" s="13">
        <f>IFERROR(VLOOKUP(" 원/달러(평균)",환율,MATCH(AA$1,변수H,0),0),1338.78)</f>
        <v/>
      </c>
      <c r="AB28" s="13">
        <f>IFERROR(VLOOKUP(" 원/달러(평균)",환율,MATCH(AB$1,변수H,0),0),1338.78)</f>
        <v/>
      </c>
      <c r="AC28" s="13">
        <f>IFERROR(VLOOKUP(" 원/달러(평균)",환율,MATCH(AC$1,변수H,0),0),1338.78)</f>
        <v/>
      </c>
      <c r="AD28" s="13">
        <f>IFERROR(VLOOKUP(" 원/달러(평균)",환율,MATCH(AD$1,변수H,0),0),1338.78)</f>
        <v/>
      </c>
      <c r="AE28" s="13">
        <f>IFERROR(VLOOKUP(" 원/달러(평균)",환율,MATCH(AE$1,변수H,0),0),1338.78)</f>
        <v/>
      </c>
      <c r="AF28" s="13">
        <f>IFERROR(VLOOKUP(" 원/달러(평균)",환율,MATCH(AF$1,변수H,0),0),1338.78)</f>
        <v/>
      </c>
      <c r="AG28" s="13">
        <f>IFERROR(VLOOKUP(" 원/달러(평균)",환율,MATCH(AG$1,변수H,0),0),1338.78)</f>
        <v/>
      </c>
      <c r="AH28" s="13">
        <f>IFERROR(VLOOKUP(" 원/달러(평균)",환율,MATCH(AH$1,변수H,0),0),1338.78)</f>
        <v/>
      </c>
      <c r="AI28" s="13">
        <f>IFERROR(VLOOKUP(" 원/달러(평균)",환율,MATCH(AI$1,변수H,0),0),1338.78)</f>
        <v/>
      </c>
      <c r="AJ28" s="13">
        <f>IFERROR(VLOOKUP(" 원/달러(평균)",환율,MATCH(AJ$1,변수H,0),0),1338.78)</f>
        <v/>
      </c>
      <c r="AK28" s="13">
        <f>IFERROR(VLOOKUP(" 원/달러(평균)",환율,MATCH(AK$1,변수H,0),0),1338.78)</f>
        <v/>
      </c>
      <c r="AL28" s="13">
        <f>IFERROR(VLOOKUP(" 원/달러(평균)",환율,MATCH(AL$1,변수H,0),0),1338.78)</f>
        <v/>
      </c>
      <c r="AM28" s="13">
        <f>IFERROR(VLOOKUP(" 원/달러(평균)",환율,MATCH(AM$1,변수H,0),0),1338.78)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46.635</v>
      </c>
      <c r="Y84" s="26" t="n">
        <v>46.122</v>
      </c>
      <c r="Z84" s="26" t="n">
        <v>46.635</v>
      </c>
      <c r="AA84" s="26" t="n">
        <v>47.147</v>
      </c>
      <c r="AB84" s="26" t="n">
        <v>47.147</v>
      </c>
      <c r="AC84" s="26" t="n">
        <v>46.635</v>
      </c>
      <c r="AD84" s="26" t="n">
        <v>46.635</v>
      </c>
      <c r="AE84" s="26" t="n">
        <v>47.147</v>
      </c>
      <c r="AF84" s="26" t="n">
        <v>47.147</v>
      </c>
      <c r="AG84" s="26" t="n">
        <v>46.122</v>
      </c>
      <c r="AH84" s="26" t="n">
        <v>31.263</v>
      </c>
      <c r="AX84" s="35" t="n">
        <v>0</v>
      </c>
      <c r="AY84" s="16" t="n">
        <v>1348.08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498.635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498.635</v>
      </c>
      <c r="F197" t="n">
        <v>1348.08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reference_calibrated 적용. 레퍼런스 미포 SLS 셀 OPM 을 2023~2027 매출가중한 유효 표는 ①-1.1% ②1% ③4.3% ④5.4% ⑤10.8%(이전 가정 표 ①-5% ②0% ③5% ④10% ⑤15% 는 레퍼런스 2024~26 보다 +3.8~5.1%p 높다 — cohort_opm_calibration.by_year). 다음 분기 2026Q3 타겟: 가정 15.00% vs 캘리브레이션 10.80%. 다른 표는 --opm-table assumed (하류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338.54</v>
      </c>
      <c r="G18" s="20">
        <f>SUM(E18:F18)</f>
        <v/>
      </c>
      <c r="H18" s="34" t="n">
        <v>1269.27</v>
      </c>
      <c r="I18" s="34" t="n">
        <v>2664.86</v>
      </c>
      <c r="J18" s="34" t="n">
        <v>4397.96</v>
      </c>
      <c r="K18" s="34" t="n">
        <v>6341.88</v>
      </c>
      <c r="L18" s="20">
        <f>SUM(H18:K18)</f>
        <v/>
      </c>
      <c r="M18" s="34" t="n">
        <v>8394.040000000001</v>
      </c>
      <c r="N18" s="34" t="n">
        <v>10449.47</v>
      </c>
      <c r="O18" s="34" t="n">
        <v>12394.12</v>
      </c>
      <c r="P18" s="34" t="n">
        <v>14113.92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1106.18</v>
      </c>
      <c r="G24" s="20">
        <f>SUM(E24:F24)</f>
        <v/>
      </c>
      <c r="H24" s="34" t="n">
        <v>4057.61</v>
      </c>
      <c r="I24" s="34" t="n">
        <v>8303.59</v>
      </c>
      <c r="J24" s="34" t="n">
        <v>13293.43</v>
      </c>
      <c r="K24" s="34" t="n">
        <v>18488.76</v>
      </c>
      <c r="L24" s="20">
        <f>SUM(H24:K24)</f>
        <v/>
      </c>
      <c r="M24" s="34" t="n">
        <v>23813.75</v>
      </c>
      <c r="N24" s="34" t="n">
        <v>29147.25</v>
      </c>
      <c r="O24" s="34" t="n">
        <v>34193.29</v>
      </c>
      <c r="P24" s="34" t="n">
        <v>38655.89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1234.7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15.83</v>
      </c>
    </row>
    <row r="32">
      <c r="C32" s="2" t="inlineStr">
        <is>
          <t>pbr_now</t>
        </is>
      </c>
      <c r="D32" t="n">
        <v>3.5</v>
      </c>
    </row>
    <row r="33">
      <c r="C33" s="2" t="inlineStr">
        <is>
          <t>roe_fwd</t>
        </is>
      </c>
      <c r="D33" t="n">
        <v>0.221</v>
      </c>
    </row>
    <row r="34">
      <c r="C34" s="2" t="inlineStr">
        <is>
          <t>fair_pbr</t>
        </is>
      </c>
      <c r="D34" t="n">
        <v>2.46</v>
      </c>
    </row>
    <row r="35">
      <c r="C35" s="2" t="inlineStr">
        <is>
          <t>fair_value_pbr</t>
        </is>
      </c>
      <c r="D35" t="n">
        <v>13700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