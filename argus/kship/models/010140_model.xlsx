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BS별도!$C$5:$AO$106</definedName>
    <definedName name="SUBQH">subQ!$A$1:$AO$1</definedName>
    <definedName name="subQ">subQ!$A$5:$AO$47</definedName>
    <definedName name="SLS_H">SLS!$A$1:$AV$1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4.46%(최근 4분기 중위)</t>
      </text>
    </comment>
    <comment ref="AD21" authorId="0" shapeId="0">
      <text>
        <t>3절 스칼라 '판관비율' 참조 — 숫자로 덮어쓰면 이 분기만 바뀐다
매출액 × 판관비율 4.46%(최근 4분기 중위)</t>
      </text>
    </comment>
    <comment ref="AF21" authorId="0" shapeId="0">
      <text>
        <t>3절 스칼라 '판관비율' 참조 — 숫자로 덮어쓰면 이 분기만 바뀐다
매출액 × 판관비율 4.46%(최근 4분기 중위)</t>
      </text>
    </comment>
    <comment ref="AG21" authorId="0" shapeId="0">
      <text>
        <t>3절 스칼라 '판관비율' 참조 — 숫자로 덮어쓰면 이 분기만 바뀐다
매출액 × 판관비율 4.46%(최근 4분기 중위)</t>
      </text>
    </comment>
    <comment ref="AH21" authorId="0" shapeId="0">
      <text>
        <t>3절 스칼라 '판관비율' 참조 — 숫자로 덮어쓰면 이 분기만 바뀐다
매출액 × 판관비율 4.46%(최근 4분기 중위)</t>
      </text>
    </comment>
    <comment ref="AI21" authorId="0" shapeId="0">
      <text>
        <t>3절 스칼라 '판관비율' 참조 — 숫자로 덮어쓰면 이 분기만 바뀐다
매출액 × 판관비율 4.46%(최근 4분기 중위)</t>
      </text>
    </comment>
    <comment ref="AK21" authorId="0" shapeId="0">
      <text>
        <t>3절 스칼라 '판관비율' 참조 — 숫자로 덮어쓰면 이 분기만 바뀐다
매출액 × 판관비율 4.46%(최근 4분기 중위)</t>
      </text>
    </comment>
    <comment ref="AL21" authorId="0" shapeId="0">
      <text>
        <t>3절 스칼라 '판관비율' 참조 — 숫자로 덮어쓰면 이 분기만 바뀐다
매출액 × 판관비율 4.46%(최근 4분기 중위)</t>
      </text>
    </comment>
    <comment ref="AM21" authorId="0" shapeId="0">
      <text>
        <t>3절 스칼라 '판관비율' 참조 — 숫자로 덮어쓰면 이 분기만 바뀐다
매출액 × 판관비율 4.46%(최근 4분기 중위)</t>
      </text>
    </comment>
    <comment ref="AN21" authorId="0" shapeId="0">
      <text>
        <t>3절 스칼라 '판관비율' 참조 — 숫자로 덮어쓰면 이 분기만 바뀐다
매출액 × 판관비율 4.46%(최근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9999.72; 계약 스케줄 소수 3자리 반올림 차 포함)
SLS 해양 원화 21603억(sls.by_quarter.marine_hedged_krw_m_signed_by_origin(헤지 70% 적용; origin 2026Q2 이후 체결 7건 제외 — 패널 신규에 포함)) + 원장 밖 잔고 소진 10000억(최근 4분기 '부문매출−SLS' 중위 10000억/분기, 잔여 120931억) + 신규수주 매출 0억(forecast_panel.json.gz scenarios.base new_order_revenue(KRW_million÷100), status partial, calibrated=false, book-value proxy) · origin 이후 공시 수주 SLS 1046억 제외(패널 신규에 포함으로 봄)</t>
      </text>
    </comment>
    <comment ref="AD40" authorId="0" shapeId="0">
      <text>
        <t>역산: 모델 매출조선 − SLS 재구성 원화/100 − 매출조선신규 (모델 runoff_per_q 9999.72; 계약 스케줄 소수 3자리 반올림 차 포함)
SLS 해양 원화 21276억(sls.by_quarter.marine_hedged_krw_m_signed_by_origin(헤지 70% 적용; origin 2026Q2 이후 체결 7건 제외 — 패널 신규에 포함)) + 원장 밖 잔고 소진 10000억(최근 4분기 '부문매출−SLS' 중위 10000억/분기, 잔여 110931억) + 신규수주 매출 688억(forecast_panel.json.gz scenarios.base new_order_revenue(KRW_million÷100), status partial, calibrated=false, book-value proxy) · origin 이후 공시 수주 SLS 3157억 제외(패널 신규에 포함으로 봄)</t>
      </text>
    </comment>
    <comment ref="AF40" authorId="0" shapeId="0">
      <text>
        <t>역산: 모델 매출조선 − SLS 재구성 원화/100 − 매출조선신규 (모델 runoff_per_q 9999.72; 계약 스케줄 소수 3자리 반올림 차 포함)
SLS 해양 원화 20781억(sls.by_quarter.marine_hedged_krw_m_signed_by_origin(헤지 70% 적용; origin 2026Q2 이후 체결 7건 제외 — 패널 신규에 포함)) + 원장 밖 잔고 소진 10000억(최근 4분기 '부문매출−SLS' 중위 10000억/분기, 잔여 100931억) + 신규수주 매출 2563억(forecast_panel.json.gz scenarios.base new_order_revenue(KRW_million÷100), status partial, calibrated=false, book-value proxy) · origin 이후 공시 수주 SLS 3090억 제외(패널 신규에 포함으로 봄)</t>
      </text>
    </comment>
    <comment ref="AG40" authorId="0" shapeId="0">
      <text>
        <t>역산: 모델 매출조선 − SLS 재구성 원화/100 − 매출조선신규 (모델 runoff_per_q 9999.72; 계약 스케줄 소수 3자리 반올림 차 포함)
SLS 해양 원화 20575억(sls.by_quarter.marine_hedged_krw_m_signed_by_origin(헤지 70% 적용; origin 2026Q2 이후 체결 7건 제외 — 패널 신규에 포함)) + 원장 밖 잔고 소진 10000억(최근 4분기 '부문매출−SLS' 중위 10000억/분기, 잔여 90931억) + 신규수주 매출 5341억(forecast_panel.json.gz scenarios.base new_order_revenue(KRW_million÷100), status partial, calibrated=false, book-value proxy) · origin 이후 공시 수주 SLS 3124억 제외(패널 신규에 포함으로 봄)</t>
      </text>
    </comment>
    <comment ref="AH40" authorId="0" shapeId="0">
      <text>
        <t>역산: 모델 매출조선 − SLS 재구성 원화/100 − 매출조선신규 (모델 runoff_per_q 9999.72; 계약 스케줄 소수 3자리 반올림 차 포함)
SLS 해양 원화 19868억(sls.by_quarter.marine_hedged_krw_m_signed_by_origin(헤지 70% 적용; origin 2026Q2 이후 체결 7건 제외 — 패널 신규에 포함)) + 원장 밖 잔고 소진 10000억(최근 4분기 '부문매출−SLS' 중위 10000억/분기, 잔여 80932억) + 신규수주 매출 8741억(forecast_panel.json.gz scenarios.base new_order_revenue(KRW_million÷100), status partial, calibrated=false, book-value proxy) · origin 이후 공시 수주 SLS 3159억 제외(패널 신규에 포함으로 봄)</t>
      </text>
    </comment>
    <comment ref="AI40" authorId="0" shapeId="0">
      <text>
        <t>역산: 모델 매출조선 − SLS 재구성 원화/100 − 매출조선신규 (모델 runoff_per_q 9999.72; 계약 스케줄 소수 3자리 반올림 차 포함)
SLS 해양 원화 19868억(sls.by_quarter.marine_hedged_krw_m_signed_by_origin(헤지 70% 적용; origin 2026Q2 이후 체결 7건 제외 — 패널 신규에 포함)) + 원장 밖 잔고 소진 10000억(최근 4분기 '부문매출−SLS' 중위 10000억/분기, 잔여 70932억) + 신규수주 매출 12481억(forecast_panel.json.gz scenarios.base new_order_revenue(KRW_million÷100), status partial, calibrated=false, book-value proxy) · origin 이후 공시 수주 SLS 3159억 제외(패널 신규에 포함으로 봄)</t>
      </text>
    </comment>
    <comment ref="AK40" authorId="0" shapeId="0">
      <text>
        <t>역산: 모델 매출조선 − SLS 재구성 원화/100 − 매출조선신규 (모델 runoff_per_q 9999.72; 계약 스케줄 소수 3자리 반올림 차 포함)
SLS 해양 원화 16830억(sls.by_quarter.marine_hedged_krw_m_signed_by_origin(헤지 70% 적용; origin 2026Q2 이후 체결 7건 제외 — 패널 신규에 포함)) + 원장 밖 잔고 소진 10000억(최근 4분기 '부문매출−SLS' 중위 10000억/분기, 잔여 60932억) + 신규수주 매출 16400억(forecast_panel.json.gz scenarios.base new_order_revenue(KRW_million÷100), status partial, calibrated=false, book-value proxy) · origin 이후 공시 수주 SLS 3124억 제외(패널 신규에 포함으로 봄)</t>
      </text>
    </comment>
    <comment ref="AL40" authorId="0" shapeId="0">
      <text>
        <t>역산: 모델 매출조선 − SLS 재구성 원화/100 − 매출조선신규 (모델 runoff_per_q 9999.72; 계약 스케줄 소수 3자리 반올림 차 포함)
SLS 해양 원화 15395억(sls.by_quarter.marine_hedged_krw_m_signed_by_origin(헤지 70% 적용; origin 2026Q2 이후 체결 7건 제외 — 패널 신규에 포함)) + 원장 밖 잔고 소진 10000억(최근 4분기 '부문매출−SLS' 중위 10000억/분기, 잔여 50933억) + 신규수주 매출 20325억(forecast_panel.json.gz scenarios.base new_order_revenue(KRW_million÷100), status partial, calibrated=false, book-value proxy) · origin 이후 공시 수주 SLS 3124억 제외(패널 신규에 포함으로 봄)</t>
      </text>
    </comment>
    <comment ref="AM40" authorId="0" shapeId="0">
      <text>
        <t>역산: 모델 매출조선 − SLS 재구성 원화/100 − 매출조선신규 (모델 runoff_per_q 9999.72; 계약 스케줄 소수 3자리 반올림 차 포함)
SLS 해양 원화 14735억(sls.by_quarter.marine_hedged_krw_m_signed_by_origin(헤지 70% 적용; origin 2026Q2 이후 체결 7건 제외 — 패널 신규에 포함)) + 원장 밖 잔고 소진 10000억(최근 4분기 '부문매출−SLS' 중위 10000억/분기, 잔여 40933억) + 신규수주 매출 24039억(forecast_panel.json.gz scenarios.base new_order_revenue(KRW_million÷100), status partial, calibrated=false, book-value proxy) · origin 이후 공시 수주 SLS 3159억 제외(패널 신규에 포함으로 봄)</t>
      </text>
    </comment>
    <comment ref="AN40" authorId="0" shapeId="0">
      <text>
        <t>역산: 모델 매출조선 − SLS 재구성 원화/100 − 매출조선신규 (모델 runoff_per_q 9999.72; 계약 스케줄 소수 3자리 반올림 차 포함)
SLS 해양 원화 12242억(sls.by_quarter.marine_hedged_krw_m_signed_by_origin(헤지 70% 적용; origin 2026Q2 이후 체결 7건 제외 — 패널 신규에 포함)) + 원장 밖 잔고 소진 10000억(최근 4분기 '부문매출−SLS' 중위 10000억/분기, 잔여 30933억) + 신규수주 매출 27324억(forecast_panel.json.gz scenarios.base new_order_revenue(KRW_million÷100), status partial, calibrated=false, book-value proxy) · origin 이후 공시 수주 SLS 3138억 제외(패널 신규에 포함으로 봄)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1149억 유지</t>
      </text>
    </comment>
    <comment ref="AD43" authorId="0" shapeId="0">
      <text>
        <t>모델값 역산(implied): v / 전년동기 − 1
기타 부문(연결 − 조선 부문) 최근 4분기 중위 1149억 유지</t>
      </text>
    </comment>
    <comment ref="AF43" authorId="0" shapeId="0">
      <text>
        <t>모델값 역산(implied): v / 전년동기 − 1
기타 부문(연결 − 조선 부문) 최근 4분기 중위 1149억 유지</t>
      </text>
    </comment>
    <comment ref="AG43" authorId="0" shapeId="0">
      <text>
        <t>모델값 역산(implied): v / 전년동기 − 1
기타 부문(연결 − 조선 부문) 최근 4분기 중위 1149억 유지</t>
      </text>
    </comment>
    <comment ref="AH43" authorId="0" shapeId="0">
      <text>
        <t>모델값 역산(implied): v / 전년동기 − 1
기타 부문(연결 − 조선 부문) 최근 4분기 중위 1149억 유지</t>
      </text>
    </comment>
    <comment ref="AI43" authorId="0" shapeId="0">
      <text>
        <t>모델값 역산(implied): v / 전년동기 − 1
기타 부문(연결 − 조선 부문) 최근 4분기 중위 1149억 유지</t>
      </text>
    </comment>
    <comment ref="AK43" authorId="0" shapeId="0">
      <text>
        <t>모델값 역산(implied): v / 전년동기 − 1
기타 부문(연결 − 조선 부문) 최근 4분기 중위 1149억 유지</t>
      </text>
    </comment>
    <comment ref="AL43" authorId="0" shapeId="0">
      <text>
        <t>모델값 역산(implied): v / 전년동기 − 1
기타 부문(연결 − 조선 부문) 최근 4분기 중위 1149억 유지</t>
      </text>
    </comment>
    <comment ref="AM43" authorId="0" shapeId="0">
      <text>
        <t>모델값 역산(implied): v / 전년동기 − 1
기타 부문(연결 − 조선 부문) 최근 4분기 중위 1149억 유지</t>
      </text>
    </comment>
    <comment ref="AN43" authorId="0" shapeId="0">
      <text>
        <t>모델값 역산(implied): v / 전년동기 − 1
기타 부문(연결 − 조선 부문) 최근 4분기 중위 1149억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4.46%(최근 4분기 중위)
[ratio]</t>
      </text>
    </comment>
    <comment ref="AD8" authorId="0" shapeId="0">
      <text>
        <t>추정: 매출액 × 판관비율 4.46%(최근 4분기 중위)
[ratio]</t>
      </text>
    </comment>
    <comment ref="AF8" authorId="0" shapeId="0">
      <text>
        <t>추정: 매출액 × 판관비율 4.46%(최근 4분기 중위)
[ratio]</t>
      </text>
    </comment>
    <comment ref="AG8" authorId="0" shapeId="0">
      <text>
        <t>추정: 매출액 × 판관비율 4.46%(최근 4분기 중위)
[ratio]</t>
      </text>
    </comment>
    <comment ref="AH8" authorId="0" shapeId="0">
      <text>
        <t>추정: 매출액 × 판관비율 4.46%(최근 4분기 중위)
[ratio]</t>
      </text>
    </comment>
    <comment ref="AI8" authorId="0" shapeId="0">
      <text>
        <t>추정: 매출액 × 판관비율 4.46%(최근 4분기 중위)
[ratio]</t>
      </text>
    </comment>
    <comment ref="AK8" authorId="0" shapeId="0">
      <text>
        <t>추정: 매출액 × 판관비율 4.46%(최근 4분기 중위)
[ratio]</t>
      </text>
    </comment>
    <comment ref="AL8" authorId="0" shapeId="0">
      <text>
        <t>추정: 매출액 × 판관비율 4.46%(최근 4분기 중위)
[ratio]</t>
      </text>
    </comment>
    <comment ref="AM8" authorId="0" shapeId="0">
      <text>
        <t>추정: 매출액 × 판관비율 4.46%(최근 4분기 중위)
[ratio]</t>
      </text>
    </comment>
    <comment ref="AN8" authorId="0" shapeId="0">
      <text>
        <t>추정: 매출액 × 판관비율 4.46%(최근 4분기 중위)
[ratio]</t>
      </text>
    </comment>
    <comment ref="AC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D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F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G9" authorId="0" shapeId="0">
      <text>
        <t>추정: 매출액 × OPM(SLS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H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I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K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L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M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N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C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D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F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G10" authorId="0" shapeId="0">
      <text>
        <t>추정: 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H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I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K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L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M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N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C11" authorId="0" shapeId="0">
      <text>
        <t>추정: 이자손익 + 외환손익 0 + 파생상품손익 0 + 기타금융손익 -0.01억(최근 4분기(2025Q3~2026Q2) 잔차 중위) (항등식); 이자손익 = 이자발생자산 33466억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-0.01억(최근 4분기(2025Q3~2026Q2) 잔차 중위) (항등식); 이자손익 = 이자발생자산 35966억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-0.01억(최근 4분기(2025Q3~2026Q2) 잔차 중위) (항등식); 이자손익 = 이자발생자산 38501억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-0.01억(최근 4분기(2025Q3~2026Q2) 잔차 중위) (항등식); 이자손익 = 이자발생자산 41150억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-0.01억(최근 4분기(2025Q3~2026Q2) 잔차 중위) (항등식); 이자손익 = 이자발생자산 44011억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-0.01억(최근 4분기(2025Q3~2026Q2) 잔차 중위) (항등식); 이자손익 = 이자발생자산 47091억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-0.01억(최근 4분기(2025Q3~2026Q2) 잔차 중위) (항등식); 이자손익 = 이자발생자산 50471억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-0.01억(최근 4분기(2025Q3~2026Q2) 잔차 중위) (항등식); 이자손익 = 이자발생자산 53933억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-0.01억(최근 4분기(2025Q3~2026Q2) 잔차 중위) (항등식); 이자손익 = 이자발생자산 57597억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-0.01억(최근 4분기(2025Q3~2026Q2) 잔차 중위) (항등식); 이자손익 = 이자발생자산 61509억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C12" authorId="0" shapeId="0">
      <text>
        <t>추정: 이자발생자산 33466억 × 1.23%(주석 이자수익 ÷ 평균 이자발생자산(2025Q3~2026Q2)) − 총차입금 11021억 × 5.58%(주석 이자비용 ÷ 평균 총차입금(2025Q3~2026Q2)) (연율) ÷ 4
[interest]</t>
      </text>
    </comment>
    <comment ref="AD12" authorId="0" shapeId="0">
      <text>
        <t>추정: 이자발생자산 35966억 × 1.23%(주석 이자수익 ÷ 평균 이자발생자산(2025Q3~2026Q2)) − 총차입금 11021억 × 5.58%(주석 이자비용 ÷ 평균 총차입금(2025Q3~2026Q2)) (연율) ÷ 4
[interest]</t>
      </text>
    </comment>
    <comment ref="AF12" authorId="0" shapeId="0">
      <text>
        <t>추정: 이자발생자산 38501억 × 1.23%(주석 이자수익 ÷ 평균 이자발생자산(2025Q3~2026Q2)) − 총차입금 11021억 × 5.58%(주석 이자비용 ÷ 평균 총차입금(2025Q3~2026Q2)) (연율) ÷ 4
[interest]</t>
      </text>
    </comment>
    <comment ref="AG12" authorId="0" shapeId="0">
      <text>
        <t>추정: 이자발생자산 41150억 × 1.23%(주석 이자수익 ÷ 평균 이자발생자산(2025Q3~2026Q2)) − 총차입금 11021억 × 5.58%(주석 이자비용 ÷ 평균 총차입금(2025Q3~2026Q2)) (연율) ÷ 4
[interest]</t>
      </text>
    </comment>
    <comment ref="AH12" authorId="0" shapeId="0">
      <text>
        <t>추정: 이자발생자산 44011억 × 1.23%(주석 이자수익 ÷ 평균 이자발생자산(2025Q3~2026Q2)) − 총차입금 11021억 × 5.58%(주석 이자비용 ÷ 평균 총차입금(2025Q3~2026Q2)) (연율) ÷ 4
[interest]</t>
      </text>
    </comment>
    <comment ref="AI12" authorId="0" shapeId="0">
      <text>
        <t>추정: 이자발생자산 47091억 × 1.23%(주석 이자수익 ÷ 평균 이자발생자산(2025Q3~2026Q2)) − 총차입금 11021억 × 5.58%(주석 이자비용 ÷ 평균 총차입금(2025Q3~2026Q2)) (연율) ÷ 4
[interest]</t>
      </text>
    </comment>
    <comment ref="AK12" authorId="0" shapeId="0">
      <text>
        <t>추정: 이자발생자산 50471억 × 1.23%(주석 이자수익 ÷ 평균 이자발생자산(2025Q3~2026Q2)) − 총차입금 11021억 × 5.58%(주석 이자비용 ÷ 평균 총차입금(2025Q3~2026Q2)) (연율) ÷ 4
[interest]</t>
      </text>
    </comment>
    <comment ref="AL12" authorId="0" shapeId="0">
      <text>
        <t>추정: 이자발생자산 53933억 × 1.23%(주석 이자수익 ÷ 평균 이자발생자산(2025Q3~2026Q2)) − 총차입금 11021억 × 5.58%(주석 이자비용 ÷ 평균 총차입금(2025Q3~2026Q2)) (연율) ÷ 4
[interest]</t>
      </text>
    </comment>
    <comment ref="AM12" authorId="0" shapeId="0">
      <text>
        <t>추정: 이자발생자산 57597억 × 1.23%(주석 이자수익 ÷ 평균 이자발생자산(2025Q3~2026Q2)) − 총차입금 11021억 × 5.58%(주석 이자비용 ÷ 평균 총차입금(2025Q3~2026Q2)) (연율) ÷ 4
[interest]</t>
      </text>
    </comment>
    <comment ref="AN12" authorId="0" shapeId="0">
      <text>
        <t>추정: 이자발생자산 61509억 × 1.23%(주석 이자수익 ÷ 평균 이자발생자산(2025Q3~2026Q2)) − 총차입금 11021억 × 5.58%(주석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D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F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G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H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I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K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L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M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N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21603억(sls.by_quarter.marine_hedged_krw_m_signed_by_origin(헤지 70% 적용; origin 2026Q2 이후 체결 7건 제외 — 패널 신규에 포함)) + 원장 밖 잔고 소진 10000억(최근 4분기 '부문매출−SLS' 중위 10000억/분기, 잔여 120931억) + 신규수주 매출 0억(forecast_panel.json.gz scenarios.base new_order_revenue(KRW_million÷100), status partial, calibrated=false, book-value proxy) · origin 이후 공시 수주 SLS 1046억 제외(패널 신규에 포함으로 봄)
[sls_link]</t>
      </text>
    </comment>
    <comment ref="AD38" authorId="0" shapeId="0">
      <text>
        <t>추정: SLS 해양 원화 21276억(sls.by_quarter.marine_hedged_krw_m_signed_by_origin(헤지 70% 적용; origin 2026Q2 이후 체결 7건 제외 — 패널 신규에 포함)) + 원장 밖 잔고 소진 10000억(최근 4분기 '부문매출−SLS' 중위 10000억/분기, 잔여 110931억) + 신규수주 매출 688억(forecast_panel.json.gz scenarios.base new_order_revenue(KRW_million÷100), status partial, calibrated=false, book-value proxy) · origin 이후 공시 수주 SLS 3157억 제외(패널 신규에 포함으로 봄)
[sls_link]</t>
      </text>
    </comment>
    <comment ref="AF38" authorId="0" shapeId="0">
      <text>
        <t>추정: SLS 해양 원화 20781억(sls.by_quarter.marine_hedged_krw_m_signed_by_origin(헤지 70% 적용; origin 2026Q2 이후 체결 7건 제외 — 패널 신규에 포함)) + 원장 밖 잔고 소진 10000억(최근 4분기 '부문매출−SLS' 중위 10000억/분기, 잔여 100931억) + 신규수주 매출 2563억(forecast_panel.json.gz scenarios.base new_order_revenue(KRW_million÷100), status partial, calibrated=false, book-value proxy) · origin 이후 공시 수주 SLS 3090억 제외(패널 신규에 포함으로 봄)
[sls_link]</t>
      </text>
    </comment>
    <comment ref="AG38" authorId="0" shapeId="0">
      <text>
        <t>추정: SLS 해양 원화 20575억(sls.by_quarter.marine_hedged_krw_m_signed_by_origin(헤지 70% 적용; origin 2026Q2 이후 체결 7건 제외 — 패널 신규에 포함)) + 원장 밖 잔고 소진 10000억(최근 4분기 '부문매출−SLS' 중위 10000억/분기, 잔여 90931억) + 신규수주 매출 5341억(forecast_panel.json.gz scenarios.base new_order_revenue(KRW_million÷100), status partial, calibrated=false, book-value proxy) · origin 이후 공시 수주 SLS 3124억 제외(패널 신규에 포함으로 봄)
[sls_link]</t>
      </text>
    </comment>
    <comment ref="AH38" authorId="0" shapeId="0">
      <text>
        <t>추정: SLS 해양 원화 19868억(sls.by_quarter.marine_hedged_krw_m_signed_by_origin(헤지 70% 적용; origin 2026Q2 이후 체결 7건 제외 — 패널 신규에 포함)) + 원장 밖 잔고 소진 10000억(최근 4분기 '부문매출−SLS' 중위 10000억/분기, 잔여 80932억) + 신규수주 매출 8741억(forecast_panel.json.gz scenarios.base new_order_revenue(KRW_million÷100), status partial, calibrated=false, book-value proxy) · origin 이후 공시 수주 SLS 3159억 제외(패널 신규에 포함으로 봄)
[sls_link]</t>
      </text>
    </comment>
    <comment ref="AI38" authorId="0" shapeId="0">
      <text>
        <t>추정: SLS 해양 원화 19868억(sls.by_quarter.marine_hedged_krw_m_signed_by_origin(헤지 70% 적용; origin 2026Q2 이후 체결 7건 제외 — 패널 신규에 포함)) + 원장 밖 잔고 소진 10000억(최근 4분기 '부문매출−SLS' 중위 10000억/분기, 잔여 70932억) + 신규수주 매출 12481억(forecast_panel.json.gz scenarios.base new_order_revenue(KRW_million÷100), status partial, calibrated=false, book-value proxy) · origin 이후 공시 수주 SLS 3159억 제외(패널 신규에 포함으로 봄)
[sls_link]</t>
      </text>
    </comment>
    <comment ref="AK38" authorId="0" shapeId="0">
      <text>
        <t>추정: SLS 해양 원화 16830억(sls.by_quarter.marine_hedged_krw_m_signed_by_origin(헤지 70% 적용; origin 2026Q2 이후 체결 7건 제외 — 패널 신규에 포함)) + 원장 밖 잔고 소진 10000억(최근 4분기 '부문매출−SLS' 중위 10000억/분기, 잔여 60932억) + 신규수주 매출 16400억(forecast_panel.json.gz scenarios.base new_order_revenue(KRW_million÷100), status partial, calibrated=false, book-value proxy) · origin 이후 공시 수주 SLS 3124억 제외(패널 신규에 포함으로 봄)
[sls_link]</t>
      </text>
    </comment>
    <comment ref="AL38" authorId="0" shapeId="0">
      <text>
        <t>추정: SLS 해양 원화 15395억(sls.by_quarter.marine_hedged_krw_m_signed_by_origin(헤지 70% 적용; origin 2026Q2 이후 체결 7건 제외 — 패널 신규에 포함)) + 원장 밖 잔고 소진 10000억(최근 4분기 '부문매출−SLS' 중위 10000억/분기, 잔여 50933억) + 신규수주 매출 20325억(forecast_panel.json.gz scenarios.base new_order_revenue(KRW_million÷100), status partial, calibrated=false, book-value proxy) · origin 이후 공시 수주 SLS 3124억 제외(패널 신규에 포함으로 봄)
[sls_link]</t>
      </text>
    </comment>
    <comment ref="AM38" authorId="0" shapeId="0">
      <text>
        <t>추정: SLS 해양 원화 14735억(sls.by_quarter.marine_hedged_krw_m_signed_by_origin(헤지 70% 적용; origin 2026Q2 이후 체결 7건 제외 — 패널 신규에 포함)) + 원장 밖 잔고 소진 10000억(최근 4분기 '부문매출−SLS' 중위 10000억/분기, 잔여 40933억) + 신규수주 매출 24039억(forecast_panel.json.gz scenarios.base new_order_revenue(KRW_million÷100), status partial, calibrated=false, book-value proxy) · origin 이후 공시 수주 SLS 3159억 제외(패널 신규에 포함으로 봄)
[sls_link]</t>
      </text>
    </comment>
    <comment ref="AN38" authorId="0" shapeId="0">
      <text>
        <t>추정: SLS 해양 원화 12242억(sls.by_quarter.marine_hedged_krw_m_signed_by_origin(헤지 70% 적용; origin 2026Q2 이후 체결 7건 제외 — 패널 신규에 포함)) + 원장 밖 잔고 소진 10000억(최근 4분기 '부문매출−SLS' 중위 10000억/분기, 잔여 30933억) + 신규수주 매출 27324억(forecast_panel.json.gz scenarios.base new_order_revenue(KRW_million÷100), status partial, calibrated=false, book-value proxy) · origin 이후 공시 수주 SLS 3138억 제외(패널 신규에 포함으로 봄)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D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F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G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H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I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K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L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M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N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1149억 유지
[yoy]</t>
      </text>
    </comment>
    <comment ref="AD42" authorId="0" shapeId="0">
      <text>
        <t>추정: 기타 부문(연결 − 조선 부문) 최근 4분기 중위 1149억 유지
[yoy]</t>
      </text>
    </comment>
    <comment ref="AF42" authorId="0" shapeId="0">
      <text>
        <t>추정: 기타 부문(연결 − 조선 부문) 최근 4분기 중위 1149억 유지
[yoy]</t>
      </text>
    </comment>
    <comment ref="AG42" authorId="0" shapeId="0">
      <text>
        <t>추정: 기타 부문(연결 − 조선 부문) 최근 4분기 중위 1149억 유지
[yoy]</t>
      </text>
    </comment>
    <comment ref="AH42" authorId="0" shapeId="0">
      <text>
        <t>추정: 기타 부문(연결 − 조선 부문) 최근 4분기 중위 1149억 유지
[yoy]</t>
      </text>
    </comment>
    <comment ref="AI42" authorId="0" shapeId="0">
      <text>
        <t>추정: 기타 부문(연결 − 조선 부문) 최근 4분기 중위 1149억 유지
[yoy]</t>
      </text>
    </comment>
    <comment ref="AK42" authorId="0" shapeId="0">
      <text>
        <t>추정: 기타 부문(연결 − 조선 부문) 최근 4분기 중위 1149억 유지
[yoy]</t>
      </text>
    </comment>
    <comment ref="AL42" authorId="0" shapeId="0">
      <text>
        <t>추정: 기타 부문(연결 − 조선 부문) 최근 4분기 중위 1149억 유지
[yoy]</t>
      </text>
    </comment>
    <comment ref="AM42" authorId="0" shapeId="0">
      <text>
        <t>추정: 기타 부문(연결 − 조선 부문) 최근 4분기 중위 1149억 유지
[yoy]</t>
      </text>
    </comment>
    <comment ref="AN42" authorId="0" shapeId="0">
      <text>
        <t>추정: 기타 부문(연결 − 조선 부문) 최근 4분기 중위 1149억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X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4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삼성중공업(010140)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-65.5% 가 5~27% 밖; 세전 &gt; 0 분기 중위 1.0% 도 5~27% 밖 → 법정세율 근사 22% 가정</t>
        </is>
      </c>
    </row>
    <row r="23">
      <c r="A23" t="inlineStr">
        <is>
          <t>· 판관비율 4.46%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1.23% / 부채 5.58% — 이자손익 = (전분기 이자발생자산 × 자산이자율 − 전분기 총차입금 × 부채이자율)/4, 최소자승 역산(모델 assumptions [0.0123, 0.0558]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53건 중 포함 38건(marine_hedged_krw_m_signed_by_origin), 재구성 최대차 10.3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46.2배가 3~40 밖(턴어라운드 왜곡)))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assets/models/010140.json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매출(14972억) &gt; 연결 매출(14838억) — 부문표/파서 문제(yards 레인 확인) / 2025Q2 조선 부문 매출(31509억) &gt; 연결 매출(26830억) — 부문표/파서 문제(yards 레인 확인) / OPM 경로: 코호트 경로 없음 → 실측 중위 고정(원 타겟 전 분기 10.8% 상수(코호트 모드 reference_anchor); 경로 변화는 등급 없는 비중의 실측 중위 9.7% 채움에서만, 추정 구간 타겟 10.74%→10.80%) / 추정 매출조선 = 2026Q2 기준 잔고 소진분 + forecast_panel base 신규수주 매출(new_order_revenue, 미보정 book-value proxy, status partial; FY합 117,902억) — 보수/낙관은 scenarios 블록(합산 안 함) / origin 이후 공시 수주 7건 36,582억은 패널 신규에 포함된 것으로 보아 기존 SLS 에서 제외 — 추정 창 SLS −29,280억(2026 4,203억 · 2027 12,532억 · 2028 12,546억)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8건을 제외(industry_axes.schedule_exclusions.not_known_at_origin); 2026Q3 공시 수주 29,860억 vs 패널 base 신규수주 32,424억(92%); 2026Q4 공시 수주 6,722억 vs 패널 base 신규수주 32,424억(21%). 공시 수주의 인식 시점·진행률(선형, 체결 분기부터)은 패널 가정과 다르다(calibrated=false) — FY 제외 SLS vs 패널 base 신규 매출: 2026 4,203억 vs 688억 · 2027 12,532억 vs 29,126억 · 2028 12,546억 vs 88,088억 / 감가상각비가 face·CF 에 없음(주석 미파싱) → EBITDA·EV/EBITDA 미산출 / 금융손익 실적→추정 단절: 최근 4분기 실적 -907/-773/-1348/-294(중위 -840억) → 추정 2026Q3 -51억(차 +789억, +94%)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6.5, "op_wape_pct": 39.7,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29660.89, "rev_act": 26348.19, "op_pred": 1722.17, "op_act": 2380.82}, {"q": "2025Q4", "rev_pred": 29381.56, "rev_act": 28379.29, "op_pred": 1705.95, "op_act": 2962.35}, {"q": "2026Q1", "rev_pred": 29237.07, "rev_act": 29022.51, "op_pred": 1697.56, "op_act": 2731.18}, {"q": "2026Q2", "rev_pred": 29309.33, "rev_act": 32307.12, "op_pred": 1701.76, "op_act": 3250.24}]}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5670</v>
      </c>
      <c r="F15" s="9" t="n"/>
      <c r="G15" s="18" t="n">
        <v>5680</v>
      </c>
      <c r="H15" s="18" t="n">
        <v>6070</v>
      </c>
      <c r="I15" s="18" t="n">
        <v>5310</v>
      </c>
      <c r="J15" s="18" t="n">
        <v>5110</v>
      </c>
      <c r="K15" s="9" t="n"/>
      <c r="L15" s="18" t="n">
        <v>5170</v>
      </c>
      <c r="M15" s="18" t="n">
        <v>6670</v>
      </c>
      <c r="N15" s="18" t="n">
        <v>7840</v>
      </c>
      <c r="O15" s="18" t="n">
        <v>7750</v>
      </c>
      <c r="P15" s="9" t="n"/>
      <c r="Q15" s="18" t="n">
        <v>8560</v>
      </c>
      <c r="R15" s="18" t="n">
        <v>9350</v>
      </c>
      <c r="S15" s="18" t="n">
        <v>10030</v>
      </c>
      <c r="T15" s="18" t="n">
        <v>11300</v>
      </c>
      <c r="U15" s="9" t="n"/>
      <c r="V15" s="18" t="n">
        <v>13480</v>
      </c>
      <c r="W15" s="18" t="n">
        <v>16760</v>
      </c>
      <c r="X15" s="18" t="n">
        <v>21900</v>
      </c>
      <c r="Y15" s="18" t="n">
        <v>24100</v>
      </c>
      <c r="Z15" s="9" t="n"/>
      <c r="AA15" s="18" t="n">
        <v>24450</v>
      </c>
      <c r="AB15" s="19" t="n">
        <v>23300</v>
      </c>
      <c r="AC15" s="20" t="n">
        <v>19840</v>
      </c>
      <c r="AD15" s="20" t="n">
        <v>18890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6740</v>
      </c>
      <c r="F16" s="9" t="n"/>
      <c r="G16" s="18" t="n">
        <v>6180</v>
      </c>
      <c r="H16" s="18" t="n">
        <v>6450</v>
      </c>
      <c r="I16" s="18" t="n">
        <v>6310</v>
      </c>
      <c r="J16" s="18" t="n">
        <v>5570</v>
      </c>
      <c r="K16" s="9" t="n"/>
      <c r="L16" s="18" t="n">
        <v>5950</v>
      </c>
      <c r="M16" s="18" t="n">
        <v>6990</v>
      </c>
      <c r="N16" s="18" t="n">
        <v>9470</v>
      </c>
      <c r="O16" s="18" t="n">
        <v>8300</v>
      </c>
      <c r="P16" s="9" t="n"/>
      <c r="Q16" s="18" t="n">
        <v>9390</v>
      </c>
      <c r="R16" s="18" t="n">
        <v>10300</v>
      </c>
      <c r="S16" s="18" t="n">
        <v>12280</v>
      </c>
      <c r="T16" s="18" t="n">
        <v>12290</v>
      </c>
      <c r="U16" s="9" t="n"/>
      <c r="V16" s="18" t="n">
        <v>15840</v>
      </c>
      <c r="W16" s="18" t="n">
        <v>18550</v>
      </c>
      <c r="X16" s="18" t="n">
        <v>22800</v>
      </c>
      <c r="Y16" s="18" t="n">
        <v>32500</v>
      </c>
      <c r="Z16" s="9" t="n"/>
      <c r="AA16" s="18" t="n">
        <v>32000</v>
      </c>
      <c r="AB16" s="19" t="n">
        <v>35350</v>
      </c>
      <c r="AC16" s="20" t="n">
        <v>24500</v>
      </c>
      <c r="AD16" s="20" t="n">
        <v>20150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5070</v>
      </c>
      <c r="F17" s="9" t="n"/>
      <c r="G17" s="18" t="n">
        <v>5020</v>
      </c>
      <c r="H17" s="18" t="n">
        <v>5400</v>
      </c>
      <c r="I17" s="18" t="n">
        <v>5180</v>
      </c>
      <c r="J17" s="18" t="n">
        <v>5000</v>
      </c>
      <c r="K17" s="9" t="n"/>
      <c r="L17" s="18" t="n">
        <v>4790</v>
      </c>
      <c r="M17" s="18" t="n">
        <v>5130</v>
      </c>
      <c r="N17" s="18" t="n">
        <v>6600</v>
      </c>
      <c r="O17" s="18" t="n">
        <v>6810</v>
      </c>
      <c r="P17" s="9" t="n"/>
      <c r="Q17" s="18" t="n">
        <v>6980</v>
      </c>
      <c r="R17" s="18" t="n">
        <v>8290</v>
      </c>
      <c r="S17" s="18" t="n">
        <v>9290</v>
      </c>
      <c r="T17" s="18" t="n">
        <v>9330</v>
      </c>
      <c r="U17" s="9" t="n"/>
      <c r="V17" s="18" t="n">
        <v>11220</v>
      </c>
      <c r="W17" s="18" t="n">
        <v>12650</v>
      </c>
      <c r="X17" s="18" t="n">
        <v>15610</v>
      </c>
      <c r="Y17" s="18" t="n">
        <v>20850</v>
      </c>
      <c r="Z17" s="9" t="n"/>
      <c r="AA17" s="18" t="n">
        <v>23000</v>
      </c>
      <c r="AB17" s="19" t="n">
        <v>22200</v>
      </c>
      <c r="AC17" s="20" t="n">
        <v>18440</v>
      </c>
      <c r="AD17" s="20" t="n">
        <v>18800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5806</v>
      </c>
      <c r="F18" s="9" t="n"/>
      <c r="G18" s="18" t="n">
        <v>5619</v>
      </c>
      <c r="H18" s="18" t="n">
        <v>5817.7</v>
      </c>
      <c r="I18" s="18" t="n">
        <v>5694.6</v>
      </c>
      <c r="J18" s="18" t="n">
        <v>5218.2</v>
      </c>
      <c r="K18" s="9" t="n"/>
      <c r="L18" s="18" t="n">
        <v>5307.1</v>
      </c>
      <c r="M18" s="18" t="n">
        <v>5952.8</v>
      </c>
      <c r="N18" s="18" t="n">
        <v>8334.200000000001</v>
      </c>
      <c r="O18" s="18" t="n">
        <v>7583.2</v>
      </c>
      <c r="P18" s="9" t="n"/>
      <c r="Q18" s="18" t="n">
        <v>7732</v>
      </c>
      <c r="R18" s="18" t="n">
        <v>9306.5</v>
      </c>
      <c r="S18" s="18" t="n">
        <v>10491.9</v>
      </c>
      <c r="T18" s="18" t="n">
        <v>10783</v>
      </c>
      <c r="U18" s="9" t="n"/>
      <c r="V18" s="18" t="n">
        <v>13524.5</v>
      </c>
      <c r="W18" s="18" t="n">
        <v>15345.3</v>
      </c>
      <c r="X18" s="18" t="n">
        <v>19674.6</v>
      </c>
      <c r="Y18" s="18" t="n">
        <v>25321.2</v>
      </c>
      <c r="Z18" s="9" t="n"/>
      <c r="AA18" s="18" t="n">
        <v>28202.5</v>
      </c>
      <c r="AB18" s="19" t="n">
        <v>28704.1</v>
      </c>
      <c r="AC18" s="20" t="n">
        <v>21422.3</v>
      </c>
      <c r="AD18" s="20" t="n">
        <v>19560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-0.01</v>
      </c>
      <c r="AD24" s="29" t="n">
        <v>-0.01</v>
      </c>
      <c r="AE24" s="30">
        <f>subQ!AE15</f>
        <v/>
      </c>
      <c r="AF24" s="29" t="n">
        <v>-0.01</v>
      </c>
      <c r="AG24" s="29" t="n">
        <v>-0.01</v>
      </c>
      <c r="AH24" s="29" t="n">
        <v>-0.01</v>
      </c>
      <c r="AI24" s="29" t="n">
        <v>-0.01</v>
      </c>
      <c r="AJ24" s="30">
        <f>subQ!AJ15</f>
        <v/>
      </c>
      <c r="AK24" s="29" t="n">
        <v>-0.01</v>
      </c>
      <c r="AL24" s="29" t="n">
        <v>-0.01</v>
      </c>
      <c r="AM24" s="29" t="n">
        <v>-0.01</v>
      </c>
      <c r="AN24" s="29" t="n">
        <v>-0.01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</v>
      </c>
      <c r="AD26" s="29" t="n">
        <v>-0</v>
      </c>
      <c r="AE26" s="30">
        <f>subQ!AE17</f>
        <v/>
      </c>
      <c r="AF26" s="29" t="n">
        <v>-0</v>
      </c>
      <c r="AG26" s="29" t="n">
        <v>-0</v>
      </c>
      <c r="AH26" s="29" t="n">
        <v>-0</v>
      </c>
      <c r="AI26" s="29" t="n">
        <v>-0</v>
      </c>
      <c r="AJ26" s="30">
        <f>subQ!AJ17</f>
        <v/>
      </c>
      <c r="AK26" s="29" t="n">
        <v>-0</v>
      </c>
      <c r="AL26" s="29" t="n">
        <v>-0</v>
      </c>
      <c r="AM26" s="29" t="n">
        <v>-0</v>
      </c>
      <c r="AN26" s="29" t="n">
        <v>-0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24">
        <f>$D$54</f>
        <v/>
      </c>
      <c r="AD27" s="24">
        <f>$D$54</f>
        <v/>
      </c>
      <c r="AE27" s="25">
        <f>IFERROR(subQ!AE19/subQ!AE18,"")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IFERROR(subQ!AJ19/subQ!AJ18,"")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1.5e-08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-0.003478913</v>
      </c>
      <c r="AD30" s="29" t="n">
        <v>-0.001485397</v>
      </c>
      <c r="AE30" s="30" t="n"/>
      <c r="AF30" s="29" t="n">
        <v>-0.001765401</v>
      </c>
      <c r="AG30" s="29" t="n">
        <v>0.004167238</v>
      </c>
      <c r="AH30" s="29" t="n">
        <v>6.4144e-05</v>
      </c>
      <c r="AI30" s="29" t="n">
        <v>0.008159668</v>
      </c>
      <c r="AJ30" s="30" t="n"/>
      <c r="AK30" s="29" t="n">
        <v>-0.007942183</v>
      </c>
      <c r="AL30" s="29" t="n">
        <v>0.009335932999999999</v>
      </c>
      <c r="AM30" s="29" t="n">
        <v>-0.001465706</v>
      </c>
      <c r="AN30" s="29" t="n">
        <v>-0.001567171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-0.003478913</v>
      </c>
      <c r="AD31" s="29" t="n">
        <v>-0.001485397</v>
      </c>
      <c r="AE31" s="30" t="n"/>
      <c r="AF31" s="29" t="n">
        <v>-0.001765401</v>
      </c>
      <c r="AG31" s="29" t="n">
        <v>0.004167238</v>
      </c>
      <c r="AH31" s="29" t="n">
        <v>6.4144e-05</v>
      </c>
      <c r="AI31" s="29" t="n">
        <v>0.008159668</v>
      </c>
      <c r="AJ31" s="30" t="n"/>
      <c r="AK31" s="29" t="n">
        <v>-0.007942183</v>
      </c>
      <c r="AL31" s="29" t="n">
        <v>0.009335932999999999</v>
      </c>
      <c r="AM31" s="29" t="n">
        <v>-0.001465706</v>
      </c>
      <c r="AN31" s="29" t="n">
        <v>-0.001567171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-2.81e-07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0.121235518</v>
      </c>
      <c r="AD33" s="31" t="n">
        <v>0.109652515</v>
      </c>
      <c r="AE33" s="25" t="n"/>
      <c r="AF33" s="31" t="n">
        <v>0.103224597</v>
      </c>
      <c r="AG33" s="31" t="n">
        <v>0.10107759</v>
      </c>
      <c r="AH33" s="31" t="n">
        <v>0.098852262</v>
      </c>
      <c r="AI33" s="31" t="n">
        <v>0.09867719799999999</v>
      </c>
      <c r="AJ33" s="25" t="n"/>
      <c r="AK33" s="31" t="n">
        <v>0.092015229</v>
      </c>
      <c r="AL33" s="31" t="n">
        <v>0.089189715</v>
      </c>
      <c r="AM33" s="31" t="n">
        <v>0.087404126</v>
      </c>
      <c r="AN33" s="31" t="n">
        <v>0.081840388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0.074700172</v>
      </c>
      <c r="AD34" s="31" t="n">
        <v>0.07048834399999999</v>
      </c>
      <c r="AE34" s="25" t="n"/>
      <c r="AF34" s="31" t="n">
        <v>0.068784198</v>
      </c>
      <c r="AG34" s="31" t="n">
        <v>0.069523924</v>
      </c>
      <c r="AH34" s="31" t="n">
        <v>0.069999484</v>
      </c>
      <c r="AI34" s="31" t="n">
        <v>0.07175928099999999</v>
      </c>
      <c r="AJ34" s="25" t="n"/>
      <c r="AK34" s="31" t="n">
        <v>0.068595421</v>
      </c>
      <c r="AL34" s="31" t="n">
        <v>0.06794626300000001</v>
      </c>
      <c r="AM34" s="31" t="n">
        <v>0.06791049</v>
      </c>
      <c r="AN34" s="31" t="n">
        <v>0.06474851700000001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0.036122998</v>
      </c>
      <c r="AD36" s="31" t="n">
        <v>-0.0336799</v>
      </c>
      <c r="AE36" s="25" t="n"/>
      <c r="AF36" s="31" t="n">
        <v>0.503779987</v>
      </c>
      <c r="AG36" s="31" t="n">
        <v>-0.12017348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>
        <f>IFERROR(subQ!G38-SLS!E141/100,"")</f>
        <v/>
      </c>
      <c r="H40" s="26">
        <f>IFERROR(subQ!H38-SLS!F141/100,"")</f>
        <v/>
      </c>
      <c r="I40" s="26">
        <f>IFERROR(subQ!I38-SLS!G141/100,"")</f>
        <v/>
      </c>
      <c r="J40" s="26">
        <f>IFERROR(subQ!J38-SLS!H141/100,"")</f>
        <v/>
      </c>
      <c r="K40" s="27" t="n"/>
      <c r="L40" s="26">
        <f>IFERROR(subQ!L38-SLS!I141/100,"")</f>
        <v/>
      </c>
      <c r="M40" s="26">
        <f>IFERROR(subQ!M38-SLS!J141/100,"")</f>
        <v/>
      </c>
      <c r="N40" s="26">
        <f>IFERROR(subQ!N38-SLS!K141/100,"")</f>
        <v/>
      </c>
      <c r="O40" s="26">
        <f>IFERROR(subQ!O38-SLS!L141/100,"")</f>
        <v/>
      </c>
      <c r="P40" s="27" t="n"/>
      <c r="Q40" s="26">
        <f>IFERROR(subQ!Q38-SLS!M141/100,"")</f>
        <v/>
      </c>
      <c r="R40" s="26">
        <f>IFERROR(subQ!R38-SLS!N141/100,"")</f>
        <v/>
      </c>
      <c r="S40" s="26">
        <f>IFERROR(subQ!S38-SLS!O141/100,"")</f>
        <v/>
      </c>
      <c r="T40" s="26">
        <f>IFERROR(subQ!T38-SLS!P141/100,"")</f>
        <v/>
      </c>
      <c r="U40" s="27" t="n"/>
      <c r="V40" s="26">
        <f>IFERROR(subQ!V38-SLS!Q141/100,"")</f>
        <v/>
      </c>
      <c r="W40" s="26">
        <f>IFERROR(subQ!W38-SLS!R141/100,"")</f>
        <v/>
      </c>
      <c r="X40" s="26">
        <f>IFERROR(subQ!X38-SLS!S141/100,"")</f>
        <v/>
      </c>
      <c r="Y40" s="26">
        <f>IFERROR(subQ!Y38-SLS!T141/100,"")</f>
        <v/>
      </c>
      <c r="Z40" s="27" t="n"/>
      <c r="AA40" s="26">
        <f>IFERROR(subQ!AA38-SLS!U141/100,"")</f>
        <v/>
      </c>
      <c r="AB40" s="28">
        <f>IFERROR(subQ!AB38-SLS!V141/100,"")</f>
        <v/>
      </c>
      <c r="AC40" s="29" t="n">
        <v>9999.694702999999</v>
      </c>
      <c r="AD40" s="29" t="n">
        <v>9999.702010000001</v>
      </c>
      <c r="AE40" s="30" t="n"/>
      <c r="AF40" s="29" t="n">
        <v>9999.765426</v>
      </c>
      <c r="AG40" s="29" t="n">
        <v>9999.620798</v>
      </c>
      <c r="AH40" s="29" t="n">
        <v>9999.688937000001</v>
      </c>
      <c r="AI40" s="29" t="n">
        <v>9999.702728</v>
      </c>
      <c r="AJ40" s="30" t="n"/>
      <c r="AK40" s="29" t="n">
        <v>9999.80133</v>
      </c>
      <c r="AL40" s="29" t="n">
        <v>9999.694647</v>
      </c>
      <c r="AM40" s="29" t="n">
        <v>9999.77168</v>
      </c>
      <c r="AN40" s="29" t="n">
        <v>9999.709298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687.89</v>
      </c>
      <c r="AE41" s="30">
        <f>subQ!AE39</f>
        <v/>
      </c>
      <c r="AF41" s="29" t="n">
        <v>2562.78</v>
      </c>
      <c r="AG41" s="29" t="n">
        <v>5341.48</v>
      </c>
      <c r="AH41" s="29" t="n">
        <v>8740.809999999999</v>
      </c>
      <c r="AI41" s="29" t="n">
        <v>12480.75</v>
      </c>
      <c r="AJ41" s="30">
        <f>subQ!AJ39</f>
        <v/>
      </c>
      <c r="AK41" s="29" t="n">
        <v>16399.95</v>
      </c>
      <c r="AL41" s="29" t="n">
        <v>20325.4</v>
      </c>
      <c r="AM41" s="29" t="n">
        <v>24039.28</v>
      </c>
      <c r="AN41" s="29" t="n">
        <v>27323.75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0.09941024</v>
      </c>
      <c r="AD42" s="31" t="n">
        <v>0.09945911</v>
      </c>
      <c r="AE42" s="25">
        <f>IFERROR(subQ!AE40/subQ!AE38,"")</f>
        <v/>
      </c>
      <c r="AF42" s="31" t="n">
        <v>0.09945905100000001</v>
      </c>
      <c r="AG42" s="31" t="n">
        <v>0.099690109</v>
      </c>
      <c r="AH42" s="31" t="n">
        <v>0.09980493999999999</v>
      </c>
      <c r="AI42" s="31" t="n">
        <v>0.099805071</v>
      </c>
      <c r="AJ42" s="25">
        <f>IFERROR(subQ!AJ40/subQ!AJ38,"")</f>
        <v/>
      </c>
      <c r="AK42" s="31" t="n">
        <v>0.099980662</v>
      </c>
      <c r="AL42" s="31" t="n">
        <v>0.099980687</v>
      </c>
      <c r="AM42" s="31" t="n">
        <v>0.099980584</v>
      </c>
      <c r="AN42" s="31" t="n">
        <v>0.099980712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-0.781934592</v>
      </c>
      <c r="AD43" s="31" t="n">
        <v>0.936338047</v>
      </c>
      <c r="AE43" s="25" t="n"/>
      <c r="AF43" s="31" t="n">
        <v>0.24127238</v>
      </c>
      <c r="AG43" s="31" t="n">
        <v>-0.162748156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0.09940721299999999</v>
      </c>
      <c r="AD44" s="31" t="n">
        <v>0.099459441</v>
      </c>
      <c r="AE44" s="25">
        <f>IFERROR(subQ!AE43/subQ!AE42,"")</f>
        <v/>
      </c>
      <c r="AF44" s="31" t="n">
        <v>0.099459441</v>
      </c>
      <c r="AG44" s="31" t="n">
        <v>0.099694466</v>
      </c>
      <c r="AH44" s="31" t="n">
        <v>0.099807627</v>
      </c>
      <c r="AI44" s="31" t="n">
        <v>0.099807627</v>
      </c>
      <c r="AJ44" s="25">
        <f>IFERROR(subQ!AJ43/subQ!AJ42,"")</f>
        <v/>
      </c>
      <c r="AK44" s="31" t="n">
        <v>0.09998172</v>
      </c>
      <c r="AL44" s="31" t="n">
        <v>0.09998172</v>
      </c>
      <c r="AM44" s="31" t="n">
        <v>0.09998172</v>
      </c>
      <c r="AN44" s="31" t="n">
        <v>0.09998172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18890</v>
      </c>
      <c r="E47" s="2" t="inlineStr">
        <is>
          <t>원 — 네이버 정규장 종가(aik 확정종가 대조 · aik 19,700원)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46.2배가 3~40 밖(턴어라운드 왜곡))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0.2199999756439437</v>
      </c>
      <c r="E54" s="2" t="inlineStr">
        <is>
          <t>연결 — 법인세 = MAX(세전,0) × 세율(역산, 재현 오차 ≤ 0.05억 · 모델 assumptions 0.22) · 최근 12분기 유효세율 -65.5% 가 5~27% 밖; 세전 &gt; 0 분기 중위 1.0%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0.04463846471412587</v>
      </c>
      <c r="E55" s="2" t="inlineStr">
        <is>
          <t>연결 — 판관비 = 매출액 × 판관비율(역산, 재현 오차 ≤ 0.05억 · 모델 assumptions 0.0446)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0.01229725690290061</v>
      </c>
      <c r="E57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0.05576921540244233</v>
      </c>
      <c r="E58" s="2" t="inlineStr">
        <is>
          <t>연결 — 같은 수식의 부채 쪽(총차입금 행이 없으면 0)(역산, 재현 오차 ≤ 0.05억 · 모델 assumptions 0.0558)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삼성중공업(연)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5593582.86</v>
      </c>
      <c r="F5" s="37" t="n">
        <v>5593582.86</v>
      </c>
      <c r="G5" s="18" t="n">
        <v>5770158.44</v>
      </c>
      <c r="H5" s="18" t="n">
        <v>7127608.89</v>
      </c>
      <c r="I5" s="18" t="n">
        <v>9502252.65</v>
      </c>
      <c r="J5" s="18" t="n">
        <v>8411943.460000001</v>
      </c>
      <c r="K5" s="37" t="n">
        <v>8411943.460000001</v>
      </c>
      <c r="L5" s="18" t="n">
        <v>8604416.560000001</v>
      </c>
      <c r="M5" s="18" t="n">
        <v>8950612.58</v>
      </c>
      <c r="N5" s="18" t="n">
        <v>10617374.16</v>
      </c>
      <c r="O5" s="18" t="n">
        <v>9245491.74</v>
      </c>
      <c r="P5" s="37" t="n">
        <v>9245491.74</v>
      </c>
      <c r="Q5" s="18" t="n">
        <v>9803428.59</v>
      </c>
      <c r="R5" s="18" t="n">
        <v>9931850.93</v>
      </c>
      <c r="S5" s="18" t="n">
        <v>8569495.99</v>
      </c>
      <c r="T5" s="18" t="n">
        <v>9369985.1</v>
      </c>
      <c r="U5" s="37" t="n">
        <v>9369985.1</v>
      </c>
      <c r="V5" s="18" t="n">
        <v>8642748.84</v>
      </c>
      <c r="W5" s="18" t="n">
        <v>7000349.86</v>
      </c>
      <c r="X5" s="18" t="n">
        <v>7324552.68</v>
      </c>
      <c r="Y5" s="18" t="n">
        <v>7407076.77</v>
      </c>
      <c r="Z5" s="37" t="n">
        <v>7407076.77</v>
      </c>
      <c r="AA5" s="18" t="n">
        <v>8264307.35</v>
      </c>
      <c r="AB5" s="19" t="n">
        <v>9684057.189999999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571214.29</v>
      </c>
      <c r="F6" s="37" t="n">
        <v>571214.29</v>
      </c>
      <c r="G6" s="18" t="n">
        <v>674797.03</v>
      </c>
      <c r="H6" s="18" t="n">
        <v>915384</v>
      </c>
      <c r="I6" s="18" t="n">
        <v>827177.36</v>
      </c>
      <c r="J6" s="18" t="n">
        <v>919191.7</v>
      </c>
      <c r="K6" s="37" t="n">
        <v>919191.7</v>
      </c>
      <c r="L6" s="18" t="n">
        <v>287073.93</v>
      </c>
      <c r="M6" s="18" t="n">
        <v>651449.1800000001</v>
      </c>
      <c r="N6" s="18" t="n">
        <v>493848.92</v>
      </c>
      <c r="O6" s="18" t="n">
        <v>583811.7</v>
      </c>
      <c r="P6" s="37" t="n">
        <v>583811.7</v>
      </c>
      <c r="Q6" s="18" t="n">
        <v>789036.13</v>
      </c>
      <c r="R6" s="18" t="n">
        <v>325535.34</v>
      </c>
      <c r="S6" s="18" t="n">
        <v>630473.16</v>
      </c>
      <c r="T6" s="18" t="n">
        <v>955961.85</v>
      </c>
      <c r="U6" s="37" t="n">
        <v>955961.85</v>
      </c>
      <c r="V6" s="18" t="n">
        <v>519674.1</v>
      </c>
      <c r="W6" s="18" t="n">
        <v>596771.16</v>
      </c>
      <c r="X6" s="18" t="n">
        <v>1403023.04</v>
      </c>
      <c r="Y6" s="18" t="n">
        <v>772614.65</v>
      </c>
      <c r="Z6" s="37" t="n">
        <v>772614.65</v>
      </c>
      <c r="AA6" s="18" t="n">
        <v>1038042.76</v>
      </c>
      <c r="AB6" s="19" t="n">
        <v>807415.28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599476.1800000001</v>
      </c>
      <c r="F7" s="37" t="n">
        <v>599476.1800000001</v>
      </c>
      <c r="G7" s="18" t="n">
        <v>196247.24</v>
      </c>
      <c r="H7" s="18" t="n">
        <v>349164.39</v>
      </c>
      <c r="I7" s="18" t="n">
        <v>105679.94</v>
      </c>
      <c r="J7" s="18" t="n">
        <v>113168.77</v>
      </c>
      <c r="K7" s="37" t="n">
        <v>113168.77</v>
      </c>
      <c r="L7" s="18" t="n">
        <v>374474.41</v>
      </c>
      <c r="M7" s="18" t="n">
        <v>306317.63</v>
      </c>
      <c r="N7" s="18" t="n">
        <v>179305.37</v>
      </c>
      <c r="O7" s="18" t="n">
        <v>155368.15</v>
      </c>
      <c r="P7" s="37" t="n">
        <v>155368.15</v>
      </c>
      <c r="Q7" s="18" t="n">
        <v>92235.25</v>
      </c>
      <c r="R7" s="18" t="n">
        <v>86844.71000000001</v>
      </c>
      <c r="S7" s="18" t="n">
        <v>52682.26</v>
      </c>
      <c r="T7" s="18" t="n">
        <v>47755.09</v>
      </c>
      <c r="U7" s="37" t="n">
        <v>47755.09</v>
      </c>
      <c r="V7" s="18" t="n">
        <v>45612</v>
      </c>
      <c r="W7" s="18" t="n">
        <v>69708.61</v>
      </c>
      <c r="X7" s="18" t="n">
        <v>266258.93</v>
      </c>
      <c r="Y7" s="18" t="n">
        <v>311797</v>
      </c>
      <c r="Z7" s="37" t="n">
        <v>311797</v>
      </c>
      <c r="AA7" s="18" t="n">
        <v>608399.54</v>
      </c>
      <c r="AB7" s="19" t="n">
        <v>726657.4300000001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1037314.18</v>
      </c>
      <c r="F8" s="37" t="n">
        <v>1037314.18</v>
      </c>
      <c r="G8" s="18" t="n">
        <v>886645.09</v>
      </c>
      <c r="H8" s="18" t="n">
        <v>2125512.78</v>
      </c>
      <c r="I8" s="18" t="n">
        <v>3705580.7</v>
      </c>
      <c r="J8" s="18" t="n">
        <v>2026903.34</v>
      </c>
      <c r="K8" s="37" t="n">
        <v>2026903.34</v>
      </c>
      <c r="L8" s="18" t="n">
        <v>2401333.25</v>
      </c>
      <c r="M8" s="18" t="n">
        <v>2223202.43</v>
      </c>
      <c r="N8" s="18" t="n">
        <v>2794106.3</v>
      </c>
      <c r="O8" s="18" t="n">
        <v>1534347.53</v>
      </c>
      <c r="P8" s="37" t="n">
        <v>1534347.53</v>
      </c>
      <c r="Q8" s="18" t="n">
        <v>2087189.76</v>
      </c>
      <c r="R8" s="18" t="n">
        <v>2488058.05</v>
      </c>
      <c r="S8" s="18" t="n">
        <v>1507853.6</v>
      </c>
      <c r="T8" s="18" t="n">
        <v>2098941.25</v>
      </c>
      <c r="U8" s="37" t="n">
        <v>2098941.25</v>
      </c>
      <c r="V8" s="18" t="n">
        <v>1841864.84</v>
      </c>
      <c r="W8" s="18" t="n">
        <v>1132440.78</v>
      </c>
      <c r="X8" s="18" t="n">
        <v>1159064.8</v>
      </c>
      <c r="Y8" s="18" t="n">
        <v>1356867.79</v>
      </c>
      <c r="Z8" s="37" t="n">
        <v>1356867.79</v>
      </c>
      <c r="AA8" s="18" t="n">
        <v>2056992.82</v>
      </c>
      <c r="AB8" s="19" t="n">
        <v>2356775.73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146050.59</v>
      </c>
      <c r="F9" s="37" t="n">
        <v>146050.59</v>
      </c>
      <c r="G9" s="18" t="n">
        <v>206468.68</v>
      </c>
      <c r="H9" s="18" t="n">
        <v>150443.92</v>
      </c>
      <c r="I9" s="18" t="n">
        <v>262997.63</v>
      </c>
      <c r="J9" s="18" t="n">
        <v>770435.61</v>
      </c>
      <c r="K9" s="37" t="n">
        <v>770435.61</v>
      </c>
      <c r="L9" s="18" t="n">
        <v>536078.64</v>
      </c>
      <c r="M9" s="18" t="n">
        <v>408678.54</v>
      </c>
      <c r="N9" s="18" t="n">
        <v>978717.2</v>
      </c>
      <c r="O9" s="18" t="n">
        <v>541144.14</v>
      </c>
      <c r="P9" s="37" t="n">
        <v>541144.14</v>
      </c>
      <c r="Q9" s="18" t="n">
        <v>640813.36</v>
      </c>
      <c r="R9" s="18" t="n">
        <v>531626.9300000001</v>
      </c>
      <c r="S9" s="18" t="n">
        <v>439394.87</v>
      </c>
      <c r="T9" s="18" t="n">
        <v>1185653.55</v>
      </c>
      <c r="U9" s="37" t="n">
        <v>1185653.55</v>
      </c>
      <c r="V9" s="18" t="n">
        <v>976833.49</v>
      </c>
      <c r="W9" s="18" t="n">
        <v>535100.23</v>
      </c>
      <c r="X9" s="18" t="n">
        <v>385245.66</v>
      </c>
      <c r="Y9" s="18" t="n">
        <v>1418753.38</v>
      </c>
      <c r="Z9" s="37" t="n">
        <v>1418753.38</v>
      </c>
      <c r="AA9" s="18" t="n">
        <v>678802.85</v>
      </c>
      <c r="AB9" s="19" t="n">
        <v>678786.0600000001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1532623.75</v>
      </c>
      <c r="F10" s="37" t="n">
        <v>1532623.75</v>
      </c>
      <c r="G10" s="18" t="n">
        <v>1636704.08</v>
      </c>
      <c r="H10" s="18" t="n">
        <v>1652084.97</v>
      </c>
      <c r="I10" s="18" t="n">
        <v>2296810.45</v>
      </c>
      <c r="J10" s="18" t="n">
        <v>2319153.15</v>
      </c>
      <c r="K10" s="37" t="n">
        <v>2319153.15</v>
      </c>
      <c r="L10" s="18" t="n">
        <v>2369921.26</v>
      </c>
      <c r="M10" s="18" t="n">
        <v>2914358.63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380271.13</v>
      </c>
      <c r="F11" s="37" t="n">
        <v>380271.13</v>
      </c>
      <c r="G11" s="18" t="n">
        <v>414557.9</v>
      </c>
      <c r="H11" s="18" t="n">
        <v>457741.86</v>
      </c>
      <c r="I11" s="18" t="n">
        <v>536309.36</v>
      </c>
      <c r="J11" s="18" t="n">
        <v>546864.92</v>
      </c>
      <c r="K11" s="37" t="n">
        <v>546864.92</v>
      </c>
      <c r="L11" s="18" t="n">
        <v>610370.64</v>
      </c>
      <c r="M11" s="18" t="n">
        <v>683985.5600000001</v>
      </c>
      <c r="N11" s="18" t="n">
        <v>696749.11</v>
      </c>
      <c r="O11" s="18" t="n">
        <v>782581.09</v>
      </c>
      <c r="P11" s="37" t="n">
        <v>782581.09</v>
      </c>
      <c r="Q11" s="18" t="n">
        <v>784169.84</v>
      </c>
      <c r="R11" s="18" t="n">
        <v>824377.36</v>
      </c>
      <c r="S11" s="18" t="n">
        <v>851667.01</v>
      </c>
      <c r="T11" s="18" t="n">
        <v>880646.88</v>
      </c>
      <c r="U11" s="37" t="n">
        <v>880646.88</v>
      </c>
      <c r="V11" s="18" t="n">
        <v>952542.38</v>
      </c>
      <c r="W11" s="18" t="n">
        <v>819761.38</v>
      </c>
      <c r="X11" s="18" t="n">
        <v>859787.58</v>
      </c>
      <c r="Y11" s="18" t="n">
        <v>899488</v>
      </c>
      <c r="Z11" s="37" t="n">
        <v>899488</v>
      </c>
      <c r="AA11" s="18" t="n">
        <v>829881.75</v>
      </c>
      <c r="AB11" s="19" t="n">
        <v>959947.1800000001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380271.13</v>
      </c>
      <c r="F12" s="37" t="n">
        <v>380271.13</v>
      </c>
      <c r="G12" s="18" t="n">
        <v>414557.9</v>
      </c>
      <c r="H12" s="18" t="n">
        <v>457741.86</v>
      </c>
      <c r="I12" s="18" t="n">
        <v>536309.36</v>
      </c>
      <c r="J12" s="18" t="n">
        <v>546864.92</v>
      </c>
      <c r="K12" s="37" t="n">
        <v>546864.92</v>
      </c>
      <c r="L12" s="18" t="n">
        <v>610370.64</v>
      </c>
      <c r="M12" s="18" t="n">
        <v>683985.5600000001</v>
      </c>
      <c r="N12" s="18" t="n">
        <v>696749.11</v>
      </c>
      <c r="O12" s="18" t="n">
        <v>782581.09</v>
      </c>
      <c r="P12" s="37" t="n">
        <v>782581.09</v>
      </c>
      <c r="Q12" s="18" t="n">
        <v>784169.84</v>
      </c>
      <c r="R12" s="18" t="n">
        <v>824377.36</v>
      </c>
      <c r="S12" s="18" t="n">
        <v>851667.01</v>
      </c>
      <c r="T12" s="18" t="n">
        <v>880646.88</v>
      </c>
      <c r="U12" s="37" t="n">
        <v>880646.88</v>
      </c>
      <c r="V12" s="18" t="n">
        <v>952542.38</v>
      </c>
      <c r="W12" s="18" t="n">
        <v>819761.38</v>
      </c>
      <c r="X12" s="18" t="n">
        <v>859787.58</v>
      </c>
      <c r="Y12" s="18" t="n">
        <v>899488</v>
      </c>
      <c r="Z12" s="37" t="n">
        <v>899488</v>
      </c>
      <c r="AA12" s="18" t="n">
        <v>829881.75</v>
      </c>
      <c r="AB12" s="19" t="n">
        <v>959947.1800000001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524219.16</v>
      </c>
      <c r="F13" s="37" t="n">
        <v>524219.16</v>
      </c>
      <c r="G13" s="18" t="n">
        <v>572165.86</v>
      </c>
      <c r="H13" s="18" t="n">
        <v>647195.9399999999</v>
      </c>
      <c r="I13" s="18" t="n">
        <v>719448.08</v>
      </c>
      <c r="J13" s="18" t="n">
        <v>713578.0699999999</v>
      </c>
      <c r="K13" s="37" t="n">
        <v>713578.0699999999</v>
      </c>
      <c r="L13" s="18" t="n">
        <v>845765.22</v>
      </c>
      <c r="M13" s="18" t="n">
        <v>900819.2</v>
      </c>
      <c r="N13" s="18" t="n">
        <v>926097.36</v>
      </c>
      <c r="O13" s="18" t="n">
        <v>984183.1800000001</v>
      </c>
      <c r="P13" s="37" t="n">
        <v>984183.1800000001</v>
      </c>
      <c r="Q13" s="18" t="n">
        <v>997444.05</v>
      </c>
      <c r="R13" s="18" t="n">
        <v>1031966.55</v>
      </c>
      <c r="S13" s="18" t="n">
        <v>1076792.59</v>
      </c>
      <c r="T13" s="18" t="n">
        <v>1032126.98</v>
      </c>
      <c r="U13" s="37" t="n">
        <v>1032126.98</v>
      </c>
      <c r="V13" s="18" t="n">
        <v>1140212.56</v>
      </c>
      <c r="W13" s="18" t="n">
        <v>1023707.79</v>
      </c>
      <c r="X13" s="18" t="n">
        <v>1085580.85</v>
      </c>
      <c r="Y13" s="18" t="n">
        <v>1121950.92</v>
      </c>
      <c r="Z13" s="37" t="n">
        <v>1121950.92</v>
      </c>
      <c r="AA13" s="18" t="n">
        <v>1067327.27</v>
      </c>
      <c r="AB13" s="19" t="n">
        <v>1201255.17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449552.93</v>
      </c>
      <c r="I14" s="18" t="n">
        <v>925051.78</v>
      </c>
      <c r="J14" s="18" t="n">
        <v>852661.8</v>
      </c>
      <c r="K14" s="37" t="n">
        <v>852661.8</v>
      </c>
      <c r="L14" s="18" t="n">
        <v>546299.73</v>
      </c>
      <c r="M14" s="18" t="n">
        <v>393147.66</v>
      </c>
      <c r="N14" s="18" t="n">
        <v>499261.69</v>
      </c>
      <c r="O14" s="18" t="n">
        <v>265825.97</v>
      </c>
      <c r="P14" s="37" t="n">
        <v>265825.97</v>
      </c>
      <c r="Q14" s="18" t="n">
        <v>309901.32</v>
      </c>
      <c r="R14" s="18" t="n">
        <v>373077.69</v>
      </c>
      <c r="S14" s="18" t="n">
        <v>237510.23</v>
      </c>
      <c r="T14" s="18" t="n">
        <v>630502.42</v>
      </c>
      <c r="U14" s="37" t="n">
        <v>630502.42</v>
      </c>
      <c r="V14" s="18" t="n">
        <v>428417.24</v>
      </c>
      <c r="W14" s="18" t="n">
        <v>529470.3199999999</v>
      </c>
      <c r="X14" s="18" t="n">
        <v>241363.2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1487633.55</v>
      </c>
      <c r="F16" s="37" t="n">
        <v>1487633.55</v>
      </c>
      <c r="G16" s="18" t="n">
        <v>1549255.33</v>
      </c>
      <c r="H16" s="18" t="n">
        <v>1546715.82</v>
      </c>
      <c r="I16" s="18" t="n">
        <v>1601466.49</v>
      </c>
      <c r="J16" s="18" t="n">
        <v>1573509.69</v>
      </c>
      <c r="K16" s="37" t="n">
        <v>1573509.69</v>
      </c>
      <c r="L16" s="18" t="n">
        <v>1722224.72</v>
      </c>
      <c r="M16" s="18" t="n">
        <v>1763087.51</v>
      </c>
      <c r="N16" s="18" t="n">
        <v>1838285.03</v>
      </c>
      <c r="O16" s="18" t="n">
        <v>1729150.32</v>
      </c>
      <c r="P16" s="37" t="n">
        <v>1729150.32</v>
      </c>
      <c r="Q16" s="18" t="n">
        <v>1162977.1</v>
      </c>
      <c r="R16" s="18" t="n">
        <v>904171.77</v>
      </c>
      <c r="S16" s="18" t="n">
        <v>919122.63</v>
      </c>
      <c r="T16" s="18" t="n">
        <v>452452.89</v>
      </c>
      <c r="U16" s="37" t="n">
        <v>452452.89</v>
      </c>
      <c r="V16" s="18" t="n">
        <v>499653.81</v>
      </c>
      <c r="W16" s="18" t="n">
        <v>500284.61</v>
      </c>
      <c r="X16" s="18" t="n">
        <v>463223.2</v>
      </c>
      <c r="Y16" s="18" t="n">
        <v>489645.27</v>
      </c>
      <c r="Z16" s="37" t="n">
        <v>489645.27</v>
      </c>
      <c r="AA16" s="18" t="n">
        <v>677272.38</v>
      </c>
      <c r="AB16" s="19" t="n">
        <v>497750.84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26614.93</v>
      </c>
      <c r="F17" s="37" t="n">
        <v>26614.93</v>
      </c>
      <c r="G17" s="18" t="n">
        <v>12280.94</v>
      </c>
      <c r="H17" s="18" t="n">
        <v>11109.02</v>
      </c>
      <c r="I17" s="18" t="n">
        <v>11862.56</v>
      </c>
      <c r="J17" s="18" t="n">
        <v>11490.77</v>
      </c>
      <c r="K17" s="37" t="n">
        <v>11490.77</v>
      </c>
      <c r="L17" s="18" t="n">
        <v>10230.48</v>
      </c>
      <c r="M17" s="18" t="n">
        <v>11112.22</v>
      </c>
      <c r="N17" s="18" t="n">
        <v>13783.4</v>
      </c>
      <c r="O17" s="18" t="n">
        <v>14578.44</v>
      </c>
      <c r="P17" s="37" t="n">
        <v>14578.44</v>
      </c>
      <c r="Q17" s="18" t="n">
        <v>13945.21</v>
      </c>
      <c r="R17" s="18" t="n">
        <v>10106.82</v>
      </c>
      <c r="S17" s="18" t="n">
        <v>10139.44</v>
      </c>
      <c r="T17" s="18" t="n">
        <v>10018.26</v>
      </c>
      <c r="U17" s="37" t="n">
        <v>10018.26</v>
      </c>
      <c r="V17" s="18" t="n">
        <v>10164.28</v>
      </c>
      <c r="W17" s="18" t="n">
        <v>5394.03</v>
      </c>
      <c r="X17" s="18" t="n">
        <v>6097.55</v>
      </c>
      <c r="Y17" s="18" t="n">
        <v>3990.43</v>
      </c>
      <c r="Z17" s="37" t="n">
        <v>3990.43</v>
      </c>
      <c r="AA17" s="18" t="n">
        <v>4210.94</v>
      </c>
      <c r="AB17" s="19" t="n">
        <v>4436.94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77503.31</v>
      </c>
      <c r="F18" s="37" t="n">
        <v>77503.31</v>
      </c>
      <c r="G18" s="18" t="n">
        <v>77444.39999999999</v>
      </c>
      <c r="H18" s="18" t="n">
        <v>79162.44</v>
      </c>
      <c r="I18" s="18" t="n">
        <v>76909.37</v>
      </c>
      <c r="J18" s="18" t="n">
        <v>77681.13</v>
      </c>
      <c r="K18" s="37" t="n">
        <v>77681.13</v>
      </c>
      <c r="L18" s="18" t="n">
        <v>77791.28999999999</v>
      </c>
      <c r="M18" s="18" t="n">
        <v>77904.86</v>
      </c>
      <c r="N18" s="18" t="n">
        <v>74737.3</v>
      </c>
      <c r="O18" s="18" t="n">
        <v>74387.67</v>
      </c>
      <c r="P18" s="37" t="n">
        <v>74387.67</v>
      </c>
      <c r="Q18" s="18" t="n">
        <v>72561.05</v>
      </c>
      <c r="R18" s="18" t="n">
        <v>72158.06</v>
      </c>
      <c r="S18" s="18" t="n">
        <v>69561.11</v>
      </c>
      <c r="T18" s="18" t="n">
        <v>62127.39</v>
      </c>
      <c r="U18" s="37" t="n">
        <v>62127.39</v>
      </c>
      <c r="V18" s="18" t="n">
        <v>192678.45</v>
      </c>
      <c r="W18" s="18" t="n">
        <v>63117.63</v>
      </c>
      <c r="X18" s="18" t="n">
        <v>64448.28</v>
      </c>
      <c r="Y18" s="18" t="n">
        <v>66751.36</v>
      </c>
      <c r="Z18" s="37" t="n">
        <v>66751.36</v>
      </c>
      <c r="AA18" s="18" t="n">
        <v>67766.39</v>
      </c>
      <c r="AB18" s="19" t="n">
        <v>802498.99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190409.1</v>
      </c>
      <c r="F19" s="37" t="n">
        <v>190409.1</v>
      </c>
      <c r="G19" s="18" t="n">
        <v>154397.03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6545013.1</v>
      </c>
      <c r="F20" s="37" t="n">
        <v>6545013.1</v>
      </c>
      <c r="G20" s="18" t="n">
        <v>6516720.86</v>
      </c>
      <c r="H20" s="18" t="n">
        <v>6668840.53</v>
      </c>
      <c r="I20" s="18" t="n">
        <v>7358807.64</v>
      </c>
      <c r="J20" s="18" t="n">
        <v>6079754.52</v>
      </c>
      <c r="K20" s="37" t="n">
        <v>6079754.52</v>
      </c>
      <c r="L20" s="18" t="n">
        <v>6047471.65</v>
      </c>
      <c r="M20" s="18" t="n">
        <v>6030569.21</v>
      </c>
      <c r="N20" s="18" t="n">
        <v>5981824.77</v>
      </c>
      <c r="O20" s="18" t="n">
        <v>6347897.41</v>
      </c>
      <c r="P20" s="37" t="n">
        <v>6347897.41</v>
      </c>
      <c r="Q20" s="18" t="n">
        <v>6555576.85</v>
      </c>
      <c r="R20" s="18" t="n">
        <v>6846397.03</v>
      </c>
      <c r="S20" s="18" t="n">
        <v>6506473.13</v>
      </c>
      <c r="T20" s="18" t="n">
        <v>7824652.03</v>
      </c>
      <c r="U20" s="37" t="n">
        <v>7824652.03</v>
      </c>
      <c r="V20" s="18" t="n">
        <v>7638407.18</v>
      </c>
      <c r="W20" s="18" t="n">
        <v>6941369.61</v>
      </c>
      <c r="X20" s="18" t="n">
        <v>7214897.03</v>
      </c>
      <c r="Y20" s="18" t="n">
        <v>7541794.33</v>
      </c>
      <c r="Z20" s="37" t="n">
        <v>7541794.33</v>
      </c>
      <c r="AA20" s="18" t="n">
        <v>8304415.63</v>
      </c>
      <c r="AB20" s="19" t="n">
        <v>8275325.01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45675.73</v>
      </c>
      <c r="F21" s="37" t="n">
        <v>45675.73</v>
      </c>
      <c r="G21" s="18" t="n">
        <v>46431.26</v>
      </c>
      <c r="H21" s="18" t="n">
        <v>46357.6</v>
      </c>
      <c r="I21" s="18" t="n">
        <v>46000.34</v>
      </c>
      <c r="J21" s="18" t="n">
        <v>85746</v>
      </c>
      <c r="K21" s="37" t="n">
        <v>85746</v>
      </c>
      <c r="L21" s="18" t="n">
        <v>85772.36</v>
      </c>
      <c r="M21" s="18" t="n">
        <v>85997.98</v>
      </c>
      <c r="N21" s="18" t="n">
        <v>85924.39999999999</v>
      </c>
      <c r="O21" s="18" t="n">
        <v>87302.10000000001</v>
      </c>
      <c r="P21" s="37" t="n">
        <v>87302.10000000001</v>
      </c>
      <c r="Q21" s="18" t="n">
        <v>87591.22</v>
      </c>
      <c r="R21" s="18" t="n">
        <v>87461.09</v>
      </c>
      <c r="S21" s="18" t="n">
        <v>88424.58</v>
      </c>
      <c r="T21" s="18" t="n">
        <v>102341.44</v>
      </c>
      <c r="U21" s="37" t="n">
        <v>102341.44</v>
      </c>
      <c r="V21" s="18" t="n">
        <v>119960.07</v>
      </c>
      <c r="W21" s="18" t="n">
        <v>119983.32</v>
      </c>
      <c r="X21" s="18" t="n">
        <v>176895.16</v>
      </c>
      <c r="Y21" s="18" t="n">
        <v>168378.3</v>
      </c>
      <c r="Z21" s="37" t="n">
        <v>168378.3</v>
      </c>
      <c r="AA21" s="18" t="n">
        <v>165783.22</v>
      </c>
      <c r="AB21" s="19" t="n">
        <v>182438.21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559853.24</v>
      </c>
      <c r="F22" s="37" t="n">
        <v>559853.24</v>
      </c>
      <c r="G22" s="18" t="n">
        <v>544073</v>
      </c>
      <c r="H22" s="18" t="n">
        <v>835696.1</v>
      </c>
      <c r="I22" s="18" t="n">
        <v>1666349.24</v>
      </c>
      <c r="J22" s="18" t="n">
        <v>384139.02</v>
      </c>
      <c r="K22" s="37" t="n">
        <v>384139.02</v>
      </c>
      <c r="L22" s="18" t="n">
        <v>367452.94</v>
      </c>
      <c r="M22" s="18" t="n">
        <v>365553.34</v>
      </c>
      <c r="N22" s="18" t="n">
        <v>367095.25</v>
      </c>
      <c r="O22" s="18" t="n">
        <v>460924.51</v>
      </c>
      <c r="P22" s="37" t="n">
        <v>460924.51</v>
      </c>
      <c r="Q22" s="18" t="n">
        <v>689950.46</v>
      </c>
      <c r="R22" s="18" t="n">
        <v>1024559.9</v>
      </c>
      <c r="S22" s="18" t="n">
        <v>653424.89</v>
      </c>
      <c r="T22" s="18" t="n">
        <v>1679662.22</v>
      </c>
      <c r="U22" s="37" t="n">
        <v>1679662.22</v>
      </c>
      <c r="V22" s="18" t="n">
        <v>1535372.06</v>
      </c>
      <c r="W22" s="18" t="n">
        <v>768416.09</v>
      </c>
      <c r="X22" s="18" t="n">
        <v>1112203.88</v>
      </c>
      <c r="Y22" s="18" t="n">
        <v>1531860.18</v>
      </c>
      <c r="Z22" s="37" t="n">
        <v>1531860.18</v>
      </c>
      <c r="AA22" s="18" t="n">
        <v>2376022.3</v>
      </c>
      <c r="AB22" s="19" t="n">
        <v>2443685.27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933.53</v>
      </c>
      <c r="F23" s="37" t="n">
        <v>933.53</v>
      </c>
      <c r="G23" s="18" t="n">
        <v>835.3</v>
      </c>
      <c r="H23" s="18" t="n">
        <v>735.4</v>
      </c>
      <c r="I23" s="18" t="n">
        <v>599.61</v>
      </c>
      <c r="J23" s="18" t="n">
        <v>120.27</v>
      </c>
      <c r="K23" s="37" t="n">
        <v>120.27</v>
      </c>
      <c r="L23" s="18" t="n">
        <v>80.62</v>
      </c>
      <c r="M23" s="18" t="n">
        <v>68.65000000000001</v>
      </c>
      <c r="N23" s="18" t="n">
        <v>57.99</v>
      </c>
      <c r="O23" s="18" t="n">
        <v>53.63</v>
      </c>
      <c r="P23" s="37" t="n">
        <v>53.63</v>
      </c>
      <c r="Q23" s="18" t="n">
        <v>62.42</v>
      </c>
      <c r="R23" s="18" t="n">
        <v>63.15</v>
      </c>
      <c r="S23" s="18" t="n">
        <v>54.07</v>
      </c>
      <c r="T23" s="18" t="n">
        <v>51.4</v>
      </c>
      <c r="U23" s="37" t="n">
        <v>51.4</v>
      </c>
      <c r="V23" s="18" t="n">
        <v>66.70999999999999</v>
      </c>
      <c r="W23" s="18" t="n">
        <v>66.79000000000001</v>
      </c>
      <c r="X23" s="18" t="n">
        <v>65.23999999999999</v>
      </c>
      <c r="Y23" s="18" t="n">
        <v>69.76000000000001</v>
      </c>
      <c r="Z23" s="37" t="n">
        <v>69.76000000000001</v>
      </c>
      <c r="AA23" s="18" t="n">
        <v>71.97</v>
      </c>
      <c r="AB23" s="19" t="n">
        <v>77.38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5613735.22</v>
      </c>
      <c r="F24" s="37" t="n">
        <v>5613735.22</v>
      </c>
      <c r="G24" s="18" t="n">
        <v>5588616.63</v>
      </c>
      <c r="H24" s="18" t="n">
        <v>5551065.31</v>
      </c>
      <c r="I24" s="18" t="n">
        <v>5548466.96</v>
      </c>
      <c r="J24" s="18" t="n">
        <v>5235398.75</v>
      </c>
      <c r="K24" s="37" t="n">
        <v>5235398.75</v>
      </c>
      <c r="L24" s="18" t="n">
        <v>5232765.64</v>
      </c>
      <c r="M24" s="18" t="n">
        <v>5219108.56</v>
      </c>
      <c r="N24" s="18" t="n">
        <v>5227209.74</v>
      </c>
      <c r="O24" s="18" t="n">
        <v>5208721.66</v>
      </c>
      <c r="P24" s="37" t="n">
        <v>5208721.66</v>
      </c>
      <c r="Q24" s="18" t="n">
        <v>5200152.82</v>
      </c>
      <c r="R24" s="18" t="n">
        <v>5201568.89</v>
      </c>
      <c r="S24" s="18" t="n">
        <v>5184646.27</v>
      </c>
      <c r="T24" s="18" t="n">
        <v>5115872.19</v>
      </c>
      <c r="U24" s="37" t="n">
        <v>5115872.19</v>
      </c>
      <c r="V24" s="18" t="n">
        <v>5082731.53</v>
      </c>
      <c r="W24" s="18" t="n">
        <v>5073650.75</v>
      </c>
      <c r="X24" s="18" t="n">
        <v>5089571.73</v>
      </c>
      <c r="Y24" s="18" t="n">
        <v>5107108.28</v>
      </c>
      <c r="Z24" s="37" t="n">
        <v>5107108.28</v>
      </c>
      <c r="AA24" s="18" t="n">
        <v>5113631.38</v>
      </c>
      <c r="AB24" s="19" t="n">
        <v>5130883.21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38511.42</v>
      </c>
      <c r="F25" s="37" t="n">
        <v>38511.42</v>
      </c>
      <c r="G25" s="18" t="n">
        <v>55189.54</v>
      </c>
      <c r="H25" s="18" t="n">
        <v>65576.87</v>
      </c>
      <c r="I25" s="18" t="n">
        <v>68785.33</v>
      </c>
      <c r="J25" s="18" t="n">
        <v>100697.39</v>
      </c>
      <c r="K25" s="37" t="n">
        <v>100697.39</v>
      </c>
      <c r="L25" s="18" t="n">
        <v>128057.68</v>
      </c>
      <c r="M25" s="18" t="n">
        <v>116542.37</v>
      </c>
      <c r="N25" s="18" t="n">
        <v>106903.78</v>
      </c>
      <c r="O25" s="18" t="n">
        <v>174483.14</v>
      </c>
      <c r="P25" s="37" t="n">
        <v>174483.14</v>
      </c>
      <c r="Q25" s="18" t="n">
        <v>247877.06</v>
      </c>
      <c r="R25" s="18" t="n">
        <v>262129.67</v>
      </c>
      <c r="S25" s="18" t="n">
        <v>237311.3</v>
      </c>
      <c r="T25" s="18" t="n">
        <v>259254.49</v>
      </c>
      <c r="U25" s="37" t="n">
        <v>259254.49</v>
      </c>
      <c r="V25" s="18" t="n">
        <v>249835.04</v>
      </c>
      <c r="W25" s="18" t="n">
        <v>225889.61</v>
      </c>
      <c r="X25" s="18" t="n">
        <v>214881.42</v>
      </c>
      <c r="Y25" s="18" t="n">
        <v>194996.63</v>
      </c>
      <c r="Z25" s="37" t="n">
        <v>194996.63</v>
      </c>
      <c r="AA25" s="18" t="n">
        <v>206532.19</v>
      </c>
      <c r="AB25" s="19" t="n">
        <v>181398.02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82337.36</v>
      </c>
      <c r="F26" s="37" t="n">
        <v>82337.36</v>
      </c>
      <c r="G26" s="18" t="n">
        <v>102854.14</v>
      </c>
      <c r="H26" s="18" t="n">
        <v>102595.02</v>
      </c>
      <c r="I26" s="18" t="n">
        <v>107414.62</v>
      </c>
      <c r="J26" s="18" t="n">
        <v>228106.95</v>
      </c>
      <c r="K26" s="37" t="n">
        <v>228106.95</v>
      </c>
      <c r="L26" s="18" t="n">
        <v>251804.84</v>
      </c>
      <c r="M26" s="18" t="n">
        <v>244270.25</v>
      </c>
      <c r="N26" s="18" t="n">
        <v>229706.53</v>
      </c>
      <c r="O26" s="18" t="n">
        <v>304846.98</v>
      </c>
      <c r="P26" s="37" t="n">
        <v>304846.98</v>
      </c>
      <c r="Q26" s="18" t="n">
        <v>368345.2</v>
      </c>
      <c r="R26" s="18" t="n">
        <v>373491.22</v>
      </c>
      <c r="S26" s="18" t="n">
        <v>338043.19</v>
      </c>
      <c r="T26" s="18" t="n">
        <v>354214.93</v>
      </c>
      <c r="U26" s="37" t="n">
        <v>354214.93</v>
      </c>
      <c r="V26" s="18" t="n">
        <v>330072.99</v>
      </c>
      <c r="W26" s="18" t="n">
        <v>289107.72</v>
      </c>
      <c r="X26" s="18" t="n">
        <v>261085.6</v>
      </c>
      <c r="Y26" s="18" t="n">
        <v>287174.4</v>
      </c>
      <c r="Z26" s="37" t="n">
        <v>287174.4</v>
      </c>
      <c r="AA26" s="18" t="n">
        <v>289735.71</v>
      </c>
      <c r="AB26" s="19" t="n">
        <v>231607.88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투자부동산</t>
        </is>
      </c>
      <c r="E27" s="18" t="n">
        <v>17616.35</v>
      </c>
      <c r="F27" s="37" t="n">
        <v>17616.35</v>
      </c>
      <c r="G27" s="18" t="n">
        <v>17576.88</v>
      </c>
      <c r="H27" s="18" t="n">
        <v>276.71</v>
      </c>
      <c r="I27" s="18" t="n">
        <v>275.67</v>
      </c>
      <c r="J27" s="18" t="n">
        <v>274.64</v>
      </c>
      <c r="K27" s="37" t="n">
        <v>274.64</v>
      </c>
      <c r="L27" s="18" t="n">
        <v>273.6</v>
      </c>
      <c r="O27" s="18" t="n">
        <v>0</v>
      </c>
      <c r="P27" s="37" t="n">
        <v>0</v>
      </c>
      <c r="T27" s="18" t="n">
        <v>0</v>
      </c>
      <c r="U27" s="37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무형자산</t>
        </is>
      </c>
      <c r="E28" s="18" t="n">
        <v>24422.52</v>
      </c>
      <c r="F28" s="37" t="n">
        <v>24422.52</v>
      </c>
      <c r="G28" s="18" t="n">
        <v>24818.85</v>
      </c>
      <c r="H28" s="18" t="n">
        <v>23874.94</v>
      </c>
      <c r="I28" s="18" t="n">
        <v>23889.11</v>
      </c>
      <c r="J28" s="18" t="n">
        <v>26426.7</v>
      </c>
      <c r="K28" s="37" t="n">
        <v>26426.7</v>
      </c>
      <c r="L28" s="18" t="n">
        <v>26800.51</v>
      </c>
      <c r="M28" s="18" t="n">
        <v>26925.69</v>
      </c>
      <c r="N28" s="18" t="n">
        <v>27003.04</v>
      </c>
      <c r="O28" s="18" t="n">
        <v>26973.12</v>
      </c>
      <c r="P28" s="37" t="n">
        <v>26973.12</v>
      </c>
      <c r="Q28" s="18" t="n">
        <v>26864.83</v>
      </c>
      <c r="R28" s="18" t="n">
        <v>26927</v>
      </c>
      <c r="S28" s="18" t="n">
        <v>27782.86</v>
      </c>
      <c r="T28" s="18" t="n">
        <v>27842.41</v>
      </c>
      <c r="U28" s="37" t="n">
        <v>27842.41</v>
      </c>
      <c r="V28" s="18" t="n">
        <v>32982.37</v>
      </c>
      <c r="W28" s="18" t="n">
        <v>32201.14</v>
      </c>
      <c r="X28" s="18" t="n">
        <v>32048.09</v>
      </c>
      <c r="Y28" s="18" t="n">
        <v>32017.07</v>
      </c>
      <c r="Z28" s="37" t="n">
        <v>32017.07</v>
      </c>
      <c r="AA28" s="18" t="n">
        <v>35744.31</v>
      </c>
      <c r="AB28" s="19" t="n">
        <v>38340.32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비유동파생상품자산</t>
        </is>
      </c>
      <c r="E29" s="18" t="n">
        <v>145141.39</v>
      </c>
      <c r="F29" s="37" t="n">
        <v>145141.39</v>
      </c>
      <c r="G29" s="18" t="n">
        <v>139065.54</v>
      </c>
      <c r="H29" s="18" t="n">
        <v>244581.2</v>
      </c>
      <c r="I29" s="18" t="n">
        <v>375130.81</v>
      </c>
      <c r="J29" s="18" t="n">
        <v>83310.77</v>
      </c>
      <c r="K29" s="37" t="n">
        <v>83310.77</v>
      </c>
      <c r="L29" s="18" t="n">
        <v>57634.16</v>
      </c>
      <c r="M29" s="18" t="n">
        <v>51230.65</v>
      </c>
      <c r="N29" s="18" t="n">
        <v>33177.76</v>
      </c>
      <c r="O29" s="18" t="n">
        <v>95504.63</v>
      </c>
      <c r="P29" s="37" t="n">
        <v>95504.63</v>
      </c>
      <c r="Q29" s="18" t="n">
        <v>60902.38</v>
      </c>
      <c r="R29" s="18" t="n">
        <v>114313.77</v>
      </c>
      <c r="S29" s="18" t="n">
        <v>101646.1</v>
      </c>
      <c r="T29" s="18" t="n">
        <v>276472.07</v>
      </c>
      <c r="U29" s="37" t="n">
        <v>276472.07</v>
      </c>
      <c r="V29" s="18" t="n">
        <v>246317.46</v>
      </c>
      <c r="W29" s="18" t="n">
        <v>235830.96</v>
      </c>
      <c r="X29" s="18" t="n">
        <v>156941.09</v>
      </c>
      <c r="Y29" s="18" t="n">
        <v>242790.83</v>
      </c>
      <c r="Z29" s="37" t="n">
        <v>242790.83</v>
      </c>
      <c r="AA29" s="18" t="n">
        <v>436336.76</v>
      </c>
      <c r="AB29" s="19" t="n">
        <v>454061.37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비유동확정계약자산</t>
        </is>
      </c>
      <c r="E30" s="18" t="n">
        <v>368102.59</v>
      </c>
      <c r="F30" s="37" t="n">
        <v>368102.59</v>
      </c>
      <c r="G30" s="18" t="n">
        <v>357740.9</v>
      </c>
      <c r="H30" s="18" t="n">
        <v>544021.9</v>
      </c>
      <c r="I30" s="18" t="n">
        <v>1244618.48</v>
      </c>
      <c r="J30" s="18" t="n">
        <v>214961.98</v>
      </c>
      <c r="K30" s="37" t="n">
        <v>214961.98</v>
      </c>
      <c r="L30" s="18" t="n">
        <v>223965.8</v>
      </c>
      <c r="M30" s="18" t="n">
        <v>228256.06</v>
      </c>
      <c r="N30" s="18" t="n">
        <v>247935.1</v>
      </c>
      <c r="O30" s="18" t="n">
        <v>278064.15</v>
      </c>
      <c r="P30" s="37" t="n">
        <v>278064.15</v>
      </c>
      <c r="Q30" s="18" t="n">
        <v>541394.4399999999</v>
      </c>
      <c r="R30" s="18" t="n">
        <v>822721.89</v>
      </c>
      <c r="S30" s="18" t="n">
        <v>463300.14</v>
      </c>
      <c r="T30" s="18" t="n">
        <v>1300797.31</v>
      </c>
      <c r="U30" s="37" t="n">
        <v>1300797.31</v>
      </c>
      <c r="V30" s="18" t="n">
        <v>1169027.82</v>
      </c>
      <c r="W30" s="18" t="n">
        <v>412535.02</v>
      </c>
      <c r="X30" s="18" t="n">
        <v>778302.39</v>
      </c>
      <c r="Y30" s="18" t="n">
        <v>1120621.29</v>
      </c>
      <c r="Z30" s="37" t="n">
        <v>1120621.29</v>
      </c>
      <c r="AA30" s="18" t="n">
        <v>1773830.35</v>
      </c>
      <c r="AB30" s="19" t="n">
        <v>1807108.31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장기매출채권및기타채권</t>
        </is>
      </c>
      <c r="E31" s="18" t="n">
        <v>10411.32</v>
      </c>
      <c r="F31" s="37" t="n">
        <v>10411.32</v>
      </c>
      <c r="G31" s="18" t="n">
        <v>13418.35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이연법인세자산</t>
        </is>
      </c>
      <c r="E32" s="18" t="n">
        <v>236637.08</v>
      </c>
      <c r="F32" s="37" t="n">
        <v>236637.08</v>
      </c>
      <c r="G32" s="18" t="n">
        <v>225363.02</v>
      </c>
      <c r="H32" s="18" t="n">
        <v>155332.48</v>
      </c>
      <c r="I32" s="18" t="n">
        <v>12412.04</v>
      </c>
      <c r="J32" s="18" t="n">
        <v>205408.47</v>
      </c>
      <c r="K32" s="37" t="n">
        <v>205408.47</v>
      </c>
      <c r="L32" s="18" t="n">
        <v>168374.12</v>
      </c>
      <c r="M32" s="18" t="n">
        <v>174711.38</v>
      </c>
      <c r="N32" s="18" t="n">
        <v>130810.22</v>
      </c>
      <c r="O32" s="18" t="n">
        <v>346431.15</v>
      </c>
      <c r="P32" s="37" t="n">
        <v>346431.15</v>
      </c>
      <c r="Q32" s="18" t="n">
        <v>270263.54</v>
      </c>
      <c r="R32" s="18" t="n">
        <v>219850</v>
      </c>
      <c r="S32" s="18" t="n">
        <v>302575.91</v>
      </c>
      <c r="T32" s="18" t="n">
        <v>647060.27</v>
      </c>
      <c r="U32" s="37" t="n">
        <v>647060.27</v>
      </c>
      <c r="V32" s="18" t="n">
        <v>657248.25</v>
      </c>
      <c r="W32" s="18" t="n">
        <v>777993.91</v>
      </c>
      <c r="X32" s="18" t="n">
        <v>719987.74</v>
      </c>
      <c r="Y32" s="18" t="n">
        <v>583634.39</v>
      </c>
      <c r="Z32" s="37" t="n">
        <v>583634.39</v>
      </c>
      <c r="AA32" s="18" t="n">
        <v>489281.94</v>
      </c>
      <c r="AB32" s="19" t="n">
        <v>430808.32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자산총계</t>
        </is>
      </c>
      <c r="E33" s="18" t="n">
        <v>12138595.96</v>
      </c>
      <c r="F33" s="37" t="n">
        <v>12138595.96</v>
      </c>
      <c r="G33" s="18" t="n">
        <v>12286879.3</v>
      </c>
      <c r="H33" s="18" t="n">
        <v>13796449.42</v>
      </c>
      <c r="I33" s="18" t="n">
        <v>16861060.29</v>
      </c>
      <c r="J33" s="18" t="n">
        <v>14491697.98</v>
      </c>
      <c r="K33" s="37" t="n">
        <v>14491697.98</v>
      </c>
      <c r="L33" s="18" t="n">
        <v>14651888.21</v>
      </c>
      <c r="M33" s="18" t="n">
        <v>14981181.78</v>
      </c>
      <c r="N33" s="18" t="n">
        <v>16599198.92</v>
      </c>
      <c r="O33" s="18" t="n">
        <v>15593389.15</v>
      </c>
      <c r="P33" s="37" t="n">
        <v>15593389.15</v>
      </c>
      <c r="Q33" s="18" t="n">
        <v>16359005.44</v>
      </c>
      <c r="R33" s="18" t="n">
        <v>16778247.96</v>
      </c>
      <c r="S33" s="18" t="n">
        <v>15075969.11</v>
      </c>
      <c r="T33" s="18" t="n">
        <v>17194637.13</v>
      </c>
      <c r="U33" s="37" t="n">
        <v>17194637.13</v>
      </c>
      <c r="V33" s="18" t="n">
        <v>16281156.02</v>
      </c>
      <c r="W33" s="18" t="n">
        <v>13941719.46</v>
      </c>
      <c r="X33" s="18" t="n">
        <v>14539449.71</v>
      </c>
      <c r="Y33" s="18" t="n">
        <v>14948871.09</v>
      </c>
      <c r="Z33" s="37" t="n">
        <v>14948871.09</v>
      </c>
      <c r="AA33" s="18" t="n">
        <v>16568722.98</v>
      </c>
      <c r="AB33" s="19" t="n">
        <v>17959382.2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유동부채</t>
        </is>
      </c>
      <c r="E34" s="18" t="n">
        <v>7058249.75</v>
      </c>
      <c r="F34" s="37" t="n">
        <v>7058249.75</v>
      </c>
      <c r="G34" s="18" t="n">
        <v>7256585.7</v>
      </c>
      <c r="H34" s="18" t="n">
        <v>7863958.34</v>
      </c>
      <c r="I34" s="18" t="n">
        <v>9950723.939999999</v>
      </c>
      <c r="J34" s="18" t="n">
        <v>9216046.810000001</v>
      </c>
      <c r="K34" s="37" t="n">
        <v>9216046.810000001</v>
      </c>
      <c r="L34" s="18" t="n">
        <v>9456073.16</v>
      </c>
      <c r="M34" s="18" t="n">
        <v>9734832.869999999</v>
      </c>
      <c r="N34" s="18" t="n">
        <v>11443466.11</v>
      </c>
      <c r="O34" s="18" t="n">
        <v>11231917</v>
      </c>
      <c r="P34" s="37" t="n">
        <v>11231917</v>
      </c>
      <c r="Q34" s="18" t="n">
        <v>11809117.72</v>
      </c>
      <c r="R34" s="18" t="n">
        <v>11960242.63</v>
      </c>
      <c r="S34" s="18" t="n">
        <v>10839830.95</v>
      </c>
      <c r="T34" s="18" t="n">
        <v>12029241.64</v>
      </c>
      <c r="U34" s="37" t="n">
        <v>12029241.64</v>
      </c>
      <c r="V34" s="18" t="n">
        <v>11181334.56</v>
      </c>
      <c r="W34" s="18" t="n">
        <v>9559551.220000001</v>
      </c>
      <c r="X34" s="18" t="n">
        <v>9474581.27</v>
      </c>
      <c r="Y34" s="18" t="n">
        <v>9422232.390000001</v>
      </c>
      <c r="Z34" s="37" t="n">
        <v>9422232.390000001</v>
      </c>
      <c r="AA34" s="18" t="n">
        <v>9998876.310000001</v>
      </c>
      <c r="AB34" s="19" t="n">
        <v>11034659.8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매입채무및기타채무</t>
        </is>
      </c>
      <c r="E35" s="18" t="n">
        <v>821003.26</v>
      </c>
      <c r="F35" s="37" t="n">
        <v>821003.26</v>
      </c>
      <c r="G35" s="18" t="n">
        <v>829920.4300000001</v>
      </c>
      <c r="H35" s="18" t="n">
        <v>894953.33</v>
      </c>
      <c r="I35" s="18" t="n">
        <v>951053.5699999999</v>
      </c>
      <c r="J35" s="18" t="n">
        <v>1004203.11</v>
      </c>
      <c r="K35" s="37" t="n">
        <v>1004203.11</v>
      </c>
      <c r="L35" s="18" t="n">
        <v>950845.5</v>
      </c>
      <c r="M35" s="18" t="n">
        <v>1029500.02</v>
      </c>
      <c r="N35" s="18" t="n">
        <v>1103401.9</v>
      </c>
      <c r="O35" s="18" t="n">
        <v>1147302.24</v>
      </c>
      <c r="P35" s="37" t="n">
        <v>1147302.24</v>
      </c>
      <c r="Q35" s="18" t="n">
        <v>1605934.27</v>
      </c>
      <c r="R35" s="18" t="n">
        <v>1037074.36</v>
      </c>
      <c r="S35" s="18" t="n">
        <v>873392.08</v>
      </c>
      <c r="T35" s="18" t="n">
        <v>945568.6899999999</v>
      </c>
      <c r="U35" s="37" t="n">
        <v>945568.6899999999</v>
      </c>
      <c r="V35" s="18" t="n">
        <v>890592.14</v>
      </c>
      <c r="W35" s="18" t="n">
        <v>887132.5600000001</v>
      </c>
      <c r="X35" s="18" t="n">
        <v>855541.54</v>
      </c>
      <c r="Y35" s="18" t="n">
        <v>1022544.96</v>
      </c>
      <c r="Z35" s="37" t="n">
        <v>1022544.96</v>
      </c>
      <c r="AA35" s="18" t="n">
        <v>1121859.63</v>
      </c>
      <c r="AB35" s="19" t="n">
        <v>1435233.32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단기차입금</t>
        </is>
      </c>
      <c r="E36" s="18" t="n">
        <v>922449.41</v>
      </c>
      <c r="F36" s="37" t="n">
        <v>922449.41</v>
      </c>
      <c r="G36" s="18" t="n">
        <v>817743.1800000001</v>
      </c>
      <c r="H36" s="18" t="n">
        <v>744625.3</v>
      </c>
      <c r="I36" s="18" t="n">
        <v>1621413.39</v>
      </c>
      <c r="J36" s="18" t="n">
        <v>1407408.43</v>
      </c>
      <c r="K36" s="37" t="n">
        <v>1407408.43</v>
      </c>
      <c r="L36" s="18" t="n">
        <v>1218289.42</v>
      </c>
      <c r="M36" s="18" t="n">
        <v>1465934.36</v>
      </c>
      <c r="N36" s="18" t="n">
        <v>1664104.8</v>
      </c>
      <c r="O36" s="18" t="n">
        <v>1849594.46</v>
      </c>
      <c r="P36" s="37" t="n">
        <v>1849594.46</v>
      </c>
      <c r="Q36" s="18" t="n">
        <v>2075109.7</v>
      </c>
      <c r="R36" s="18" t="n">
        <v>2190689.1</v>
      </c>
      <c r="S36" s="18" t="n">
        <v>2441202.99</v>
      </c>
      <c r="T36" s="18" t="n">
        <v>2155829.64</v>
      </c>
      <c r="U36" s="37" t="n">
        <v>2155829.64</v>
      </c>
      <c r="V36" s="18" t="n">
        <v>2122744.99</v>
      </c>
      <c r="W36" s="18" t="n">
        <v>1860047.26</v>
      </c>
      <c r="X36" s="18" t="n">
        <v>1684765.04</v>
      </c>
      <c r="Y36" s="18" t="n">
        <v>1454489.65</v>
      </c>
      <c r="Z36" s="37" t="n">
        <v>1454489.65</v>
      </c>
      <c r="AA36" s="18" t="n">
        <v>766450.9399999999</v>
      </c>
      <c r="AB36" s="19" t="n">
        <v>789943.13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2628389.39</v>
      </c>
      <c r="F37" s="37" t="n">
        <v>2628389.39</v>
      </c>
      <c r="G37" s="18" t="n">
        <v>2838350.07</v>
      </c>
      <c r="H37" s="18" t="n">
        <v>2749450.08</v>
      </c>
      <c r="I37" s="18" t="n">
        <v>2797222.48</v>
      </c>
      <c r="J37" s="18" t="n">
        <v>3757436.24</v>
      </c>
      <c r="K37" s="37" t="n">
        <v>3757436.24</v>
      </c>
      <c r="L37" s="18" t="n">
        <v>4213136.67</v>
      </c>
      <c r="M37" s="18" t="n">
        <v>4369453.78</v>
      </c>
      <c r="N37" s="18" t="n">
        <v>5170088.59</v>
      </c>
      <c r="O37" s="18" t="n">
        <v>4992172.53</v>
      </c>
      <c r="P37" s="37" t="n">
        <v>4992172.53</v>
      </c>
      <c r="Q37" s="18" t="n">
        <v>5277724.65</v>
      </c>
      <c r="R37" s="18" t="n">
        <v>5527670.4</v>
      </c>
      <c r="S37" s="18" t="n">
        <v>5309287.31</v>
      </c>
      <c r="T37" s="18" t="n">
        <v>5463032.28</v>
      </c>
      <c r="U37" s="37" t="n">
        <v>5463032.28</v>
      </c>
      <c r="V37" s="18" t="n">
        <v>5510132.07</v>
      </c>
      <c r="W37" s="18" t="n">
        <v>5071009.6</v>
      </c>
      <c r="X37" s="18" t="n">
        <v>5367795.8</v>
      </c>
      <c r="Y37" s="18" t="n">
        <v>4580473.38</v>
      </c>
      <c r="Z37" s="37" t="n">
        <v>4580473.38</v>
      </c>
      <c r="AA37" s="18" t="n">
        <v>4950716.69</v>
      </c>
      <c r="AB37" s="19" t="n">
        <v>5433923.86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당기법인세부채(미지급법인세)</t>
        </is>
      </c>
      <c r="E38" s="18" t="n">
        <v>4072.8</v>
      </c>
      <c r="F38" s="37" t="n">
        <v>4072.8</v>
      </c>
      <c r="G38" s="18" t="n">
        <v>3673.81</v>
      </c>
      <c r="H38" s="18" t="n">
        <v>75575.88</v>
      </c>
      <c r="I38" s="18" t="n">
        <v>4637.68</v>
      </c>
      <c r="J38" s="18" t="n">
        <v>5170.17</v>
      </c>
      <c r="K38" s="37" t="n">
        <v>5170.17</v>
      </c>
      <c r="L38" s="18" t="n">
        <v>3019.36</v>
      </c>
      <c r="M38" s="18" t="n">
        <v>3442.46</v>
      </c>
      <c r="N38" s="18" t="n">
        <v>3564.09</v>
      </c>
      <c r="O38" s="18" t="n">
        <v>3967.11</v>
      </c>
      <c r="P38" s="37" t="n">
        <v>3967.11</v>
      </c>
      <c r="Q38" s="18" t="n">
        <v>6475.18</v>
      </c>
      <c r="R38" s="18" t="n">
        <v>3528.17</v>
      </c>
      <c r="S38" s="18" t="n">
        <v>2365.07</v>
      </c>
      <c r="T38" s="18" t="n">
        <v>0</v>
      </c>
      <c r="U38" s="37" t="n">
        <v>0</v>
      </c>
      <c r="V38" s="18" t="n">
        <v>676.47</v>
      </c>
      <c r="W38" s="18" t="n">
        <v>848.35</v>
      </c>
      <c r="X38" s="18" t="n">
        <v>313.97</v>
      </c>
      <c r="Y38" s="18" t="n">
        <v>12159.39</v>
      </c>
      <c r="Z38" s="37" t="n">
        <v>12159.39</v>
      </c>
      <c r="AA38" s="18" t="n">
        <v>20190.34</v>
      </c>
      <c r="AB38" s="19" t="n">
        <v>35968.34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369828.37</v>
      </c>
      <c r="F39" s="37" t="n">
        <v>369828.37</v>
      </c>
      <c r="G39" s="18" t="n">
        <v>491157.58</v>
      </c>
      <c r="H39" s="18" t="n">
        <v>1102591.12</v>
      </c>
      <c r="I39" s="18" t="n">
        <v>2669046.31</v>
      </c>
      <c r="J39" s="18" t="n">
        <v>1094132.83</v>
      </c>
      <c r="K39" s="37" t="n">
        <v>1094132.83</v>
      </c>
      <c r="L39" s="18" t="n">
        <v>1174517.65</v>
      </c>
      <c r="M39" s="18" t="n">
        <v>1151054.17</v>
      </c>
      <c r="N39" s="18" t="n">
        <v>1720315.31</v>
      </c>
      <c r="O39" s="18" t="n">
        <v>719442.42</v>
      </c>
      <c r="P39" s="37" t="n">
        <v>719442.42</v>
      </c>
      <c r="Q39" s="18" t="n">
        <v>984974.04</v>
      </c>
      <c r="R39" s="18" t="n">
        <v>1272684.28</v>
      </c>
      <c r="S39" s="18" t="n">
        <v>377136.67</v>
      </c>
      <c r="T39" s="18" t="n">
        <v>2065506.96</v>
      </c>
      <c r="U39" s="37" t="n">
        <v>2065506.96</v>
      </c>
      <c r="V39" s="18" t="n">
        <v>1236269.89</v>
      </c>
      <c r="W39" s="18" t="n">
        <v>406352.66</v>
      </c>
      <c r="X39" s="18" t="n">
        <v>619570</v>
      </c>
      <c r="Y39" s="18" t="n">
        <v>799606.05</v>
      </c>
      <c r="Z39" s="37" t="n">
        <v>799606.05</v>
      </c>
      <c r="AA39" s="18" t="n">
        <v>1393515.93</v>
      </c>
      <c r="AB39" s="19" t="n">
        <v>1693887.02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383652.73</v>
      </c>
      <c r="F40" s="37" t="n">
        <v>383652.73</v>
      </c>
      <c r="G40" s="18" t="n">
        <v>517621.65</v>
      </c>
      <c r="H40" s="18" t="n">
        <v>1129416.49</v>
      </c>
      <c r="I40" s="18" t="n">
        <v>2684835.91</v>
      </c>
      <c r="J40" s="18" t="n">
        <v>1126732.66</v>
      </c>
      <c r="K40" s="37" t="n">
        <v>1126732.66</v>
      </c>
      <c r="L40" s="18" t="n">
        <v>1224792.29</v>
      </c>
      <c r="M40" s="18" t="n">
        <v>1195801.4</v>
      </c>
      <c r="N40" s="18" t="n">
        <v>1757362.3</v>
      </c>
      <c r="O40" s="18" t="n">
        <v>750762.11</v>
      </c>
      <c r="P40" s="37" t="n">
        <v>750762.11</v>
      </c>
      <c r="Q40" s="18" t="n">
        <v>1070044.88</v>
      </c>
      <c r="R40" s="18" t="n">
        <v>1355767.64</v>
      </c>
      <c r="S40" s="18" t="n">
        <v>454297.35</v>
      </c>
      <c r="T40" s="18" t="n">
        <v>2130546.32</v>
      </c>
      <c r="U40" s="37" t="n">
        <v>2130546.32</v>
      </c>
      <c r="V40" s="18" t="n">
        <v>1317706.04</v>
      </c>
      <c r="W40" s="18" t="n">
        <v>480261.68</v>
      </c>
      <c r="X40" s="18" t="n">
        <v>693758.54</v>
      </c>
      <c r="Y40" s="18" t="n">
        <v>863773.8199999999</v>
      </c>
      <c r="Z40" s="37" t="n">
        <v>863773.8199999999</v>
      </c>
      <c r="AA40" s="18" t="n">
        <v>1463133.02</v>
      </c>
      <c r="AB40" s="19" t="n">
        <v>1747334.1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E41" s="18" t="n">
        <v>927141.09</v>
      </c>
      <c r="F41" s="37" t="n">
        <v>927141.09</v>
      </c>
      <c r="G41" s="18" t="n">
        <v>856555.67</v>
      </c>
      <c r="H41" s="18" t="n">
        <v>774345.1800000001</v>
      </c>
      <c r="I41" s="18" t="n">
        <v>552595.28</v>
      </c>
      <c r="J41" s="18" t="n">
        <v>519288.55</v>
      </c>
      <c r="K41" s="37" t="n">
        <v>519288.55</v>
      </c>
      <c r="L41" s="18" t="n">
        <v>627235.39</v>
      </c>
      <c r="M41" s="18" t="n">
        <v>593940.55</v>
      </c>
      <c r="N41" s="18" t="n">
        <v>815922.36</v>
      </c>
      <c r="O41" s="18" t="n">
        <v>1185307.4</v>
      </c>
      <c r="P41" s="37" t="n">
        <v>1185307.4</v>
      </c>
      <c r="Q41" s="18" t="n">
        <v>1028629.2</v>
      </c>
      <c r="R41" s="18" t="n">
        <v>1154913.9</v>
      </c>
      <c r="S41" s="18" t="n">
        <v>1203982.34</v>
      </c>
      <c r="T41" s="18" t="n">
        <v>925634.84</v>
      </c>
      <c r="U41" s="37" t="n">
        <v>925634.84</v>
      </c>
      <c r="V41" s="18" t="n">
        <v>901182.55</v>
      </c>
      <c r="W41" s="18" t="n">
        <v>852965.5600000001</v>
      </c>
      <c r="X41" s="18" t="n">
        <v>459548.14</v>
      </c>
      <c r="Y41" s="18" t="n">
        <v>277372.89</v>
      </c>
      <c r="Z41" s="37" t="n">
        <v>277372.89</v>
      </c>
      <c r="AA41" s="18" t="n">
        <v>125060.87</v>
      </c>
      <c r="AB41" s="19" t="n">
        <v>5138.33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13824.36</v>
      </c>
      <c r="F42" s="37" t="n">
        <v>13824.36</v>
      </c>
      <c r="G42" s="18" t="n">
        <v>26464.07</v>
      </c>
      <c r="H42" s="18" t="n">
        <v>26825.37</v>
      </c>
      <c r="I42" s="18" t="n">
        <v>15789.6</v>
      </c>
      <c r="J42" s="18" t="n">
        <v>32599.83</v>
      </c>
      <c r="K42" s="37" t="n">
        <v>32599.83</v>
      </c>
      <c r="L42" s="18" t="n">
        <v>50274.64</v>
      </c>
      <c r="M42" s="18" t="n">
        <v>43465.61</v>
      </c>
      <c r="N42" s="18" t="n">
        <v>36616.95</v>
      </c>
      <c r="O42" s="18" t="n">
        <v>31277.32</v>
      </c>
      <c r="P42" s="37" t="n">
        <v>31277.32</v>
      </c>
      <c r="Q42" s="18" t="n">
        <v>85070.84</v>
      </c>
      <c r="R42" s="18" t="n">
        <v>83083.36</v>
      </c>
      <c r="S42" s="18" t="n">
        <v>77160.67999999999</v>
      </c>
      <c r="T42" s="18" t="n">
        <v>65037.53</v>
      </c>
      <c r="U42" s="37" t="n">
        <v>65037.53</v>
      </c>
      <c r="V42" s="18" t="n">
        <v>81434.32000000001</v>
      </c>
      <c r="W42" s="18" t="n">
        <v>73907.33</v>
      </c>
      <c r="X42" s="18" t="n">
        <v>74186.78999999999</v>
      </c>
      <c r="Y42" s="18" t="n">
        <v>64167.77</v>
      </c>
      <c r="Z42" s="37" t="n">
        <v>64167.77</v>
      </c>
      <c r="AA42" s="18" t="n">
        <v>69617.09</v>
      </c>
      <c r="AB42" s="19" t="n">
        <v>53447.08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13824.36</v>
      </c>
      <c r="F43" s="37" t="n">
        <v>13824.36</v>
      </c>
      <c r="G43" s="18" t="n">
        <v>34277.29</v>
      </c>
      <c r="H43" s="18" t="n">
        <v>30231.44</v>
      </c>
      <c r="I43" s="18" t="n">
        <v>15789.6</v>
      </c>
      <c r="J43" s="18" t="n">
        <v>56243.82</v>
      </c>
      <c r="K43" s="37" t="n">
        <v>56243.82</v>
      </c>
      <c r="L43" s="18" t="n">
        <v>80671.7</v>
      </c>
      <c r="M43" s="18" t="n">
        <v>69567.98</v>
      </c>
      <c r="N43" s="18" t="n">
        <v>59561.41</v>
      </c>
      <c r="O43" s="18" t="n">
        <v>130102.62</v>
      </c>
      <c r="P43" s="37" t="n">
        <v>130102.62</v>
      </c>
      <c r="Q43" s="18" t="n">
        <v>201892.65</v>
      </c>
      <c r="R43" s="18" t="n">
        <v>218445.16</v>
      </c>
      <c r="S43" s="18" t="n">
        <v>197369.24</v>
      </c>
      <c r="T43" s="18" t="n">
        <v>325399.52</v>
      </c>
      <c r="U43" s="37" t="n">
        <v>325399.52</v>
      </c>
      <c r="V43" s="18" t="n">
        <v>310697.65</v>
      </c>
      <c r="W43" s="18" t="n">
        <v>291773.47</v>
      </c>
      <c r="X43" s="18" t="n">
        <v>280331.2</v>
      </c>
      <c r="Y43" s="18" t="n">
        <v>258735.49</v>
      </c>
      <c r="Z43" s="37" t="n">
        <v>258735.49</v>
      </c>
      <c r="AA43" s="18" t="n">
        <v>261234.15</v>
      </c>
      <c r="AB43" s="19" t="n">
        <v>233158.14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단기충당부채</t>
        </is>
      </c>
      <c r="E44" s="18" t="n">
        <v>1279299.14</v>
      </c>
      <c r="F44" s="37" t="n">
        <v>1279299.14</v>
      </c>
      <c r="G44" s="18" t="n">
        <v>1305832.19</v>
      </c>
      <c r="H44" s="18" t="n">
        <v>1366768.8</v>
      </c>
      <c r="I44" s="18" t="n">
        <v>1212317.99</v>
      </c>
      <c r="J44" s="18" t="n">
        <v>1299520.36</v>
      </c>
      <c r="K44" s="37" t="n">
        <v>1299520.36</v>
      </c>
      <c r="L44" s="18" t="n">
        <v>1132115.87</v>
      </c>
      <c r="M44" s="18" t="n">
        <v>1016552.56</v>
      </c>
      <c r="N44" s="18" t="n">
        <v>811817.05</v>
      </c>
      <c r="O44" s="18" t="n">
        <v>1085096.38</v>
      </c>
      <c r="P44" s="37" t="n">
        <v>1085096.38</v>
      </c>
      <c r="Q44" s="18" t="n">
        <v>520238.9</v>
      </c>
      <c r="R44" s="18" t="n">
        <v>476984.21</v>
      </c>
      <c r="S44" s="18" t="n">
        <v>345581.81</v>
      </c>
      <c r="T44" s="18" t="n">
        <v>284216.21</v>
      </c>
      <c r="U44" s="37" t="n">
        <v>284216.21</v>
      </c>
      <c r="V44" s="18" t="n">
        <v>251448.48</v>
      </c>
      <c r="W44" s="18" t="n">
        <v>292529.76</v>
      </c>
      <c r="X44" s="18" t="n">
        <v>285785.04</v>
      </c>
      <c r="Y44" s="18" t="n">
        <v>1092616.69</v>
      </c>
      <c r="Z44" s="37" t="n">
        <v>1092616.69</v>
      </c>
      <c r="AA44" s="18" t="n">
        <v>1094668.41</v>
      </c>
      <c r="AB44" s="19" t="n">
        <v>1102740.43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E45" s="18" t="n">
        <v>86749.63</v>
      </c>
      <c r="F45" s="37" t="n">
        <v>86749.63</v>
      </c>
      <c r="G45" s="18" t="n">
        <v>86888.7</v>
      </c>
      <c r="H45" s="18" t="n">
        <v>128823.27</v>
      </c>
      <c r="I45" s="18" t="n">
        <v>126647.64</v>
      </c>
      <c r="J45" s="18" t="n">
        <v>96287.28999999999</v>
      </c>
      <c r="K45" s="37" t="n">
        <v>96287.28999999999</v>
      </c>
      <c r="L45" s="18" t="n">
        <v>86638.66</v>
      </c>
      <c r="M45" s="18" t="n">
        <v>60207.76</v>
      </c>
      <c r="N45" s="18" t="n">
        <v>117205.04</v>
      </c>
      <c r="O45" s="18" t="n">
        <v>217714.76</v>
      </c>
      <c r="P45" s="37" t="n">
        <v>217714.76</v>
      </c>
      <c r="Q45" s="18" t="n">
        <v>224960.93</v>
      </c>
      <c r="R45" s="18" t="n">
        <v>213614.85</v>
      </c>
      <c r="S45" s="18" t="n">
        <v>209722</v>
      </c>
      <c r="T45" s="18" t="n">
        <v>124413.65</v>
      </c>
      <c r="U45" s="37" t="n">
        <v>124413.65</v>
      </c>
      <c r="V45" s="18" t="n">
        <v>186851.84</v>
      </c>
      <c r="W45" s="18" t="n">
        <v>114756.45</v>
      </c>
      <c r="X45" s="18" t="n">
        <v>127073.19</v>
      </c>
      <c r="Y45" s="18" t="n">
        <v>118801.6</v>
      </c>
      <c r="Z45" s="37" t="n">
        <v>118801.6</v>
      </c>
      <c r="AA45" s="18" t="n">
        <v>456796.41</v>
      </c>
      <c r="AB45" s="19" t="n">
        <v>484378.3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비유동부채</t>
        </is>
      </c>
      <c r="E46" s="18" t="n">
        <v>983079.1</v>
      </c>
      <c r="F46" s="37" t="n">
        <v>983079.1</v>
      </c>
      <c r="G46" s="18" t="n">
        <v>996729.54</v>
      </c>
      <c r="H46" s="18" t="n">
        <v>1706335.94</v>
      </c>
      <c r="I46" s="18" t="n">
        <v>2418718.99</v>
      </c>
      <c r="J46" s="18" t="n">
        <v>1703713.78</v>
      </c>
      <c r="K46" s="37" t="n">
        <v>1703713.78</v>
      </c>
      <c r="L46" s="18" t="n">
        <v>1475347.2</v>
      </c>
      <c r="M46" s="18" t="n">
        <v>1537922.32</v>
      </c>
      <c r="N46" s="18" t="n">
        <v>1283606.59</v>
      </c>
      <c r="O46" s="18" t="n">
        <v>952264.55</v>
      </c>
      <c r="P46" s="37" t="n">
        <v>952264.55</v>
      </c>
      <c r="Q46" s="18" t="n">
        <v>878016.72</v>
      </c>
      <c r="R46" s="18" t="n">
        <v>899503.74</v>
      </c>
      <c r="S46" s="18" t="n">
        <v>504960.98</v>
      </c>
      <c r="T46" s="18" t="n">
        <v>1415944.38</v>
      </c>
      <c r="U46" s="37" t="n">
        <v>1415944.38</v>
      </c>
      <c r="V46" s="18" t="n">
        <v>1291862.96</v>
      </c>
      <c r="W46" s="18" t="n">
        <v>773210.91</v>
      </c>
      <c r="X46" s="18" t="n">
        <v>1119522.51</v>
      </c>
      <c r="Y46" s="18" t="n">
        <v>1431598.77</v>
      </c>
      <c r="Z46" s="37" t="n">
        <v>1431598.77</v>
      </c>
      <c r="AA46" s="18" t="n">
        <v>2114353.89</v>
      </c>
      <c r="AB46" s="19" t="n">
        <v>2214369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E47" s="18" t="n">
        <v>173763.28</v>
      </c>
      <c r="F47" s="37" t="n">
        <v>173763.28</v>
      </c>
      <c r="G47" s="18" t="n">
        <v>124853.73</v>
      </c>
      <c r="H47" s="18" t="n">
        <v>39938.2</v>
      </c>
      <c r="I47" s="18" t="n">
        <v>39945.69</v>
      </c>
      <c r="J47" s="18" t="n">
        <v>119521.36</v>
      </c>
      <c r="K47" s="37" t="n">
        <v>119521.36</v>
      </c>
      <c r="L47" s="18" t="n">
        <v>149505.1</v>
      </c>
      <c r="M47" s="18" t="n">
        <v>304255.01</v>
      </c>
      <c r="N47" s="18" t="n">
        <v>304353.38</v>
      </c>
      <c r="O47" s="18" t="n">
        <v>204687.39</v>
      </c>
      <c r="P47" s="37" t="n">
        <v>204687.39</v>
      </c>
      <c r="Q47" s="18" t="n">
        <v>169758.68</v>
      </c>
      <c r="R47" s="18" t="n">
        <v>74888.85000000001</v>
      </c>
      <c r="S47" s="18" t="n">
        <v>74897.86</v>
      </c>
      <c r="T47" s="18" t="n">
        <v>74907.00999999999</v>
      </c>
      <c r="U47" s="37" t="n">
        <v>74907.00999999999</v>
      </c>
      <c r="V47" s="18" t="n">
        <v>64922.88</v>
      </c>
      <c r="W47" s="18" t="n">
        <v>0</v>
      </c>
      <c r="X47" s="18" t="n">
        <v>299105.81</v>
      </c>
      <c r="Y47" s="18" t="n">
        <v>299189.22</v>
      </c>
      <c r="Z47" s="37" t="n">
        <v>299189.22</v>
      </c>
      <c r="AA47" s="18" t="n">
        <v>299272.37</v>
      </c>
      <c r="AB47" s="19" t="n">
        <v>299355.35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장기차입금</t>
        </is>
      </c>
      <c r="E48" s="18" t="n">
        <v>223710</v>
      </c>
      <c r="F48" s="37" t="n">
        <v>223710</v>
      </c>
      <c r="G48" s="18" t="n">
        <v>334361</v>
      </c>
      <c r="H48" s="18" t="n">
        <v>580145</v>
      </c>
      <c r="I48" s="18" t="n">
        <v>823407</v>
      </c>
      <c r="J48" s="18" t="n">
        <v>1017163</v>
      </c>
      <c r="K48" s="37" t="n">
        <v>1017163</v>
      </c>
      <c r="L48" s="18" t="n">
        <v>836738.6</v>
      </c>
      <c r="M48" s="18" t="n">
        <v>801083.6</v>
      </c>
      <c r="N48" s="18" t="n">
        <v>563722.78</v>
      </c>
      <c r="O48" s="18" t="n">
        <v>311572</v>
      </c>
      <c r="P48" s="37" t="n">
        <v>311572</v>
      </c>
      <c r="Q48" s="18" t="n">
        <v>299633</v>
      </c>
      <c r="R48" s="18" t="n">
        <v>197244</v>
      </c>
      <c r="S48" s="18" t="n">
        <v>91869</v>
      </c>
      <c r="T48" s="18" t="n">
        <v>61870</v>
      </c>
      <c r="U48" s="37" t="n">
        <v>61870</v>
      </c>
      <c r="V48" s="18" t="n">
        <v>17109.17</v>
      </c>
      <c r="W48" s="18" t="n">
        <v>15824.67</v>
      </c>
      <c r="X48" s="18" t="n">
        <v>16359</v>
      </c>
      <c r="Y48" s="18" t="n">
        <v>16740.5</v>
      </c>
      <c r="Z48" s="37" t="n">
        <v>16740.5</v>
      </c>
      <c r="AA48" s="18" t="n">
        <v>5044.67</v>
      </c>
      <c r="AB48" s="19" t="n">
        <v>7707.5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E49" s="18" t="n">
        <v>78546.23</v>
      </c>
      <c r="F49" s="37" t="n">
        <v>78546.23</v>
      </c>
      <c r="G49" s="18" t="n">
        <v>55608.31</v>
      </c>
      <c r="H49" s="18" t="n">
        <v>55663.85</v>
      </c>
      <c r="I49" s="18" t="n">
        <v>26244.24</v>
      </c>
      <c r="J49" s="18" t="n">
        <v>28986.64</v>
      </c>
      <c r="K49" s="37" t="n">
        <v>28986.64</v>
      </c>
      <c r="L49" s="18" t="n">
        <v>29236.73</v>
      </c>
      <c r="M49" s="18" t="n">
        <v>24476.95</v>
      </c>
      <c r="N49" s="18" t="n">
        <v>26846.31</v>
      </c>
      <c r="O49" s="18" t="n">
        <v>29982.69</v>
      </c>
      <c r="P49" s="37" t="n">
        <v>29982.69</v>
      </c>
      <c r="Q49" s="18" t="n">
        <v>32456.13</v>
      </c>
      <c r="R49" s="18" t="n">
        <v>37544.47</v>
      </c>
      <c r="S49" s="18" t="n">
        <v>36915.02</v>
      </c>
      <c r="T49" s="18" t="n">
        <v>41757.36</v>
      </c>
      <c r="U49" s="37" t="n">
        <v>41757.36</v>
      </c>
      <c r="V49" s="18" t="n">
        <v>50425.78</v>
      </c>
      <c r="W49" s="18" t="n">
        <v>50444.32</v>
      </c>
      <c r="X49" s="18" t="n">
        <v>55881.58</v>
      </c>
      <c r="Y49" s="18" t="n">
        <v>63805.15</v>
      </c>
      <c r="Z49" s="37" t="n">
        <v>63805.15</v>
      </c>
      <c r="AA49" s="18" t="n">
        <v>68229.69</v>
      </c>
      <c r="AB49" s="19" t="n">
        <v>79501.12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E50" s="18" t="n">
        <v>417699.39</v>
      </c>
      <c r="F50" s="37" t="n">
        <v>417699.39</v>
      </c>
      <c r="G50" s="18" t="n">
        <v>395352.66</v>
      </c>
      <c r="H50" s="18" t="n">
        <v>786612.71</v>
      </c>
      <c r="I50" s="18" t="n">
        <v>1279017.55</v>
      </c>
      <c r="J50" s="18" t="n">
        <v>274626.53</v>
      </c>
      <c r="K50" s="37" t="n">
        <v>274626.53</v>
      </c>
      <c r="L50" s="18" t="n">
        <v>188154.52</v>
      </c>
      <c r="M50" s="18" t="n">
        <v>139650.81</v>
      </c>
      <c r="N50" s="18" t="n">
        <v>124205.26</v>
      </c>
      <c r="O50" s="18" t="n">
        <v>105724.86</v>
      </c>
      <c r="P50" s="37" t="n">
        <v>105724.86</v>
      </c>
      <c r="Q50" s="18" t="n">
        <v>199974.85</v>
      </c>
      <c r="R50" s="18" t="n">
        <v>394904.27</v>
      </c>
      <c r="S50" s="18" t="n">
        <v>121765.91</v>
      </c>
      <c r="T50" s="18" t="n">
        <v>914698.45</v>
      </c>
      <c r="U50" s="37" t="n">
        <v>914698.45</v>
      </c>
      <c r="V50" s="18" t="n">
        <v>864750.74</v>
      </c>
      <c r="W50" s="18" t="n">
        <v>423500.26</v>
      </c>
      <c r="X50" s="18" t="n">
        <v>476332.47</v>
      </c>
      <c r="Y50" s="18" t="n">
        <v>775354.91</v>
      </c>
      <c r="Z50" s="37" t="n">
        <v>775354.91</v>
      </c>
      <c r="AA50" s="18" t="n">
        <v>1467463.84</v>
      </c>
      <c r="AB50" s="19" t="n">
        <v>1564892.87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</t>
        </is>
      </c>
      <c r="E51" s="18" t="n">
        <v>468489.73</v>
      </c>
      <c r="F51" s="37" t="n">
        <v>468489.73</v>
      </c>
      <c r="G51" s="18" t="n">
        <v>453740.98</v>
      </c>
      <c r="H51" s="18" t="n">
        <v>1000628.56</v>
      </c>
      <c r="I51" s="18" t="n">
        <v>1489235.94</v>
      </c>
      <c r="J51" s="18" t="n">
        <v>516181.09</v>
      </c>
      <c r="K51" s="37" t="n">
        <v>516181.09</v>
      </c>
      <c r="L51" s="18" t="n">
        <v>441858.85</v>
      </c>
      <c r="M51" s="18" t="n">
        <v>390409.64</v>
      </c>
      <c r="N51" s="18" t="n">
        <v>374634.02</v>
      </c>
      <c r="O51" s="18" t="n">
        <v>391936.06</v>
      </c>
      <c r="P51" s="37" t="n">
        <v>391936.06</v>
      </c>
      <c r="Q51" s="18" t="n">
        <v>376168.92</v>
      </c>
      <c r="R51" s="18" t="n">
        <v>589826.4300000001</v>
      </c>
      <c r="S51" s="18" t="n">
        <v>301279.1</v>
      </c>
      <c r="T51" s="18" t="n">
        <v>1237410.02</v>
      </c>
      <c r="U51" s="37" t="n">
        <v>1237410.02</v>
      </c>
      <c r="V51" s="18" t="n">
        <v>1159405.13</v>
      </c>
      <c r="W51" s="18" t="n">
        <v>706941.92</v>
      </c>
      <c r="X51" s="18" t="n">
        <v>748176.12</v>
      </c>
      <c r="Y51" s="18" t="n">
        <v>1051863.9</v>
      </c>
      <c r="Z51" s="37" t="n">
        <v>1051863.9</v>
      </c>
      <c r="AA51" s="18" t="n">
        <v>1741807.17</v>
      </c>
      <c r="AB51" s="19" t="n">
        <v>1827805.03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E52" s="18" t="n">
        <v>50790.34</v>
      </c>
      <c r="F52" s="37" t="n">
        <v>50790.34</v>
      </c>
      <c r="G52" s="18" t="n">
        <v>50575.1</v>
      </c>
      <c r="H52" s="18" t="n">
        <v>210609.78</v>
      </c>
      <c r="I52" s="18" t="n">
        <v>210218.39</v>
      </c>
      <c r="J52" s="18" t="n">
        <v>217910.57</v>
      </c>
      <c r="K52" s="37" t="n">
        <v>217910.57</v>
      </c>
      <c r="L52" s="18" t="n">
        <v>223307.27</v>
      </c>
      <c r="M52" s="18" t="n">
        <v>224656.46</v>
      </c>
      <c r="N52" s="18" t="n">
        <v>227484.3</v>
      </c>
      <c r="O52" s="18" t="n">
        <v>187385.9</v>
      </c>
      <c r="P52" s="37" t="n">
        <v>187385.9</v>
      </c>
      <c r="Q52" s="18" t="n">
        <v>59372.26</v>
      </c>
      <c r="R52" s="18" t="n">
        <v>59560.36</v>
      </c>
      <c r="S52" s="18" t="n">
        <v>59304.63</v>
      </c>
      <c r="T52" s="18" t="n">
        <v>62349.58</v>
      </c>
      <c r="U52" s="37" t="n">
        <v>62349.58</v>
      </c>
      <c r="V52" s="18" t="n">
        <v>65391.06</v>
      </c>
      <c r="W52" s="18" t="n">
        <v>65575.52</v>
      </c>
      <c r="X52" s="18" t="n">
        <v>65699.24000000001</v>
      </c>
      <c r="Y52" s="18" t="n">
        <v>81941.27</v>
      </c>
      <c r="Z52" s="37" t="n">
        <v>81941.27</v>
      </c>
      <c r="AA52" s="18" t="n">
        <v>82726.27</v>
      </c>
      <c r="AB52" s="19" t="n">
        <v>83201.10000000001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E53" s="18" t="n">
        <v>27179.19</v>
      </c>
      <c r="F53" s="37" t="n">
        <v>27179.19</v>
      </c>
      <c r="G53" s="18" t="n">
        <v>28165.52</v>
      </c>
      <c r="H53" s="18" t="n">
        <v>29960.34</v>
      </c>
      <c r="I53" s="18" t="n">
        <v>33253.84</v>
      </c>
      <c r="J53" s="18" t="n">
        <v>21861.69</v>
      </c>
      <c r="K53" s="37" t="n">
        <v>21861.69</v>
      </c>
      <c r="L53" s="18" t="n">
        <v>18007.91</v>
      </c>
      <c r="M53" s="18" t="n">
        <v>17697.11</v>
      </c>
      <c r="N53" s="18" t="n">
        <v>14050.09</v>
      </c>
      <c r="O53" s="18" t="n">
        <v>14086.42</v>
      </c>
      <c r="P53" s="37" t="n">
        <v>14086.42</v>
      </c>
      <c r="Q53" s="18" t="n">
        <v>0</v>
      </c>
      <c r="R53" s="18" t="n">
        <v>0</v>
      </c>
      <c r="S53" s="18" t="n">
        <v>0</v>
      </c>
      <c r="T53" s="18" t="n">
        <v>0</v>
      </c>
      <c r="U53" s="37" t="n">
        <v>0</v>
      </c>
      <c r="Y53" s="18" t="n">
        <v>0</v>
      </c>
      <c r="Z53" s="37" t="n">
        <v>0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부채총계</t>
        </is>
      </c>
      <c r="E54" s="18" t="n">
        <v>8041328.86</v>
      </c>
      <c r="F54" s="37" t="n">
        <v>8041328.86</v>
      </c>
      <c r="G54" s="18" t="n">
        <v>8253315.24</v>
      </c>
      <c r="H54" s="18" t="n">
        <v>9570294.279999999</v>
      </c>
      <c r="I54" s="18" t="n">
        <v>12369442.93</v>
      </c>
      <c r="J54" s="18" t="n">
        <v>10919760.59</v>
      </c>
      <c r="K54" s="37" t="n">
        <v>10919760.59</v>
      </c>
      <c r="L54" s="18" t="n">
        <v>10931420.36</v>
      </c>
      <c r="M54" s="18" t="n">
        <v>11272755.19</v>
      </c>
      <c r="N54" s="18" t="n">
        <v>12727072.7</v>
      </c>
      <c r="O54" s="18" t="n">
        <v>12184181.55</v>
      </c>
      <c r="P54" s="37" t="n">
        <v>12184181.55</v>
      </c>
      <c r="Q54" s="18" t="n">
        <v>12687134.45</v>
      </c>
      <c r="R54" s="18" t="n">
        <v>12859746.37</v>
      </c>
      <c r="S54" s="18" t="n">
        <v>11344791.93</v>
      </c>
      <c r="T54" s="18" t="n">
        <v>13445186.02</v>
      </c>
      <c r="U54" s="37" t="n">
        <v>13445186.02</v>
      </c>
      <c r="V54" s="18" t="n">
        <v>12473197.52</v>
      </c>
      <c r="W54" s="18" t="n">
        <v>10332762.13</v>
      </c>
      <c r="X54" s="18" t="n">
        <v>10594103.78</v>
      </c>
      <c r="Y54" s="18" t="n">
        <v>10853831.16</v>
      </c>
      <c r="Z54" s="37" t="n">
        <v>10853831.16</v>
      </c>
      <c r="AA54" s="18" t="n">
        <v>12113230.2</v>
      </c>
      <c r="AB54" s="19" t="n">
        <v>13249028.8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지배주주지분</t>
        </is>
      </c>
      <c r="E55" s="18" t="n">
        <v>4111043.96</v>
      </c>
      <c r="F55" s="37" t="n">
        <v>4111043.96</v>
      </c>
      <c r="G55" s="18" t="n">
        <v>4048489.67</v>
      </c>
      <c r="H55" s="18" t="n">
        <v>4244211.22</v>
      </c>
      <c r="I55" s="18" t="n">
        <v>4514542.26</v>
      </c>
      <c r="J55" s="18" t="n">
        <v>3594491.08</v>
      </c>
      <c r="K55" s="37" t="n">
        <v>3594491.08</v>
      </c>
      <c r="L55" s="18" t="n">
        <v>3745865.3</v>
      </c>
      <c r="M55" s="18" t="n">
        <v>3736371.86</v>
      </c>
      <c r="N55" s="18" t="n">
        <v>3903339.23</v>
      </c>
      <c r="O55" s="18" t="n">
        <v>3439345</v>
      </c>
      <c r="P55" s="37" t="n">
        <v>3439345</v>
      </c>
      <c r="Q55" s="18" t="n">
        <v>3705485.47</v>
      </c>
      <c r="R55" s="18" t="n">
        <v>3955772.1</v>
      </c>
      <c r="S55" s="18" t="n">
        <v>3769079.35</v>
      </c>
      <c r="T55" s="18" t="n">
        <v>3794592.95</v>
      </c>
      <c r="U55" s="37" t="n">
        <v>3794592.95</v>
      </c>
      <c r="V55" s="18" t="n">
        <v>3854995.33</v>
      </c>
      <c r="W55" s="18" t="n">
        <v>3654160.42</v>
      </c>
      <c r="X55" s="18" t="n">
        <v>3993852.28</v>
      </c>
      <c r="Y55" s="18" t="n">
        <v>4148939.31</v>
      </c>
      <c r="Z55" s="37" t="n">
        <v>4148939.31</v>
      </c>
      <c r="AA55" s="18" t="n">
        <v>4513941.76</v>
      </c>
      <c r="AB55" s="19" t="n">
        <v>4771398.4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자본금</t>
        </is>
      </c>
      <c r="E56" s="18" t="n">
        <v>880114.84</v>
      </c>
      <c r="F56" s="37" t="n">
        <v>880114.84</v>
      </c>
      <c r="G56" s="18" t="n">
        <v>880114.84</v>
      </c>
      <c r="H56" s="18" t="n">
        <v>880114.84</v>
      </c>
      <c r="I56" s="18" t="n">
        <v>880114.84</v>
      </c>
      <c r="J56" s="18" t="n">
        <v>880114.84</v>
      </c>
      <c r="K56" s="37" t="n">
        <v>880114.84</v>
      </c>
      <c r="L56" s="18" t="n">
        <v>880114.84</v>
      </c>
      <c r="M56" s="18" t="n">
        <v>880114.84</v>
      </c>
      <c r="N56" s="18" t="n">
        <v>880114.84</v>
      </c>
      <c r="O56" s="18" t="n">
        <v>880114.84</v>
      </c>
      <c r="P56" s="37" t="n">
        <v>880114.84</v>
      </c>
      <c r="Q56" s="18" t="n">
        <v>880114.84</v>
      </c>
      <c r="R56" s="18" t="n">
        <v>880114.84</v>
      </c>
      <c r="S56" s="18" t="n">
        <v>880114.84</v>
      </c>
      <c r="T56" s="18" t="n">
        <v>880114.84</v>
      </c>
      <c r="U56" s="37" t="n">
        <v>880114.84</v>
      </c>
      <c r="V56" s="18" t="n">
        <v>880114.84</v>
      </c>
      <c r="W56" s="18" t="n">
        <v>880114.84</v>
      </c>
      <c r="X56" s="18" t="n">
        <v>880114.84</v>
      </c>
      <c r="Y56" s="18" t="n">
        <v>880114.84</v>
      </c>
      <c r="Z56" s="37" t="n">
        <v>880114.84</v>
      </c>
      <c r="AA56" s="18" t="n">
        <v>880114.84</v>
      </c>
      <c r="AB56" s="19" t="n">
        <v>880114.84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보통주자본금</t>
        </is>
      </c>
      <c r="E57" s="18" t="n">
        <v>880000</v>
      </c>
      <c r="F57" s="37" t="n">
        <v>880000</v>
      </c>
      <c r="G57" s="18" t="n">
        <v>880000</v>
      </c>
      <c r="H57" s="18" t="n">
        <v>880000</v>
      </c>
      <c r="I57" s="18" t="n">
        <v>880000</v>
      </c>
      <c r="J57" s="18" t="n">
        <v>880000</v>
      </c>
      <c r="K57" s="37" t="n">
        <v>880000</v>
      </c>
      <c r="L57" s="18" t="n">
        <v>880000</v>
      </c>
      <c r="M57" s="18" t="n">
        <v>880000</v>
      </c>
      <c r="N57" s="18" t="n">
        <v>880000</v>
      </c>
      <c r="O57" s="18" t="n">
        <v>880000</v>
      </c>
      <c r="P57" s="37" t="n">
        <v>880000</v>
      </c>
      <c r="Q57" s="18" t="n">
        <v>880000</v>
      </c>
      <c r="R57" s="18" t="n">
        <v>880000</v>
      </c>
      <c r="S57" s="18" t="n">
        <v>880000</v>
      </c>
      <c r="T57" s="18" t="n">
        <v>880000</v>
      </c>
      <c r="U57" s="37" t="n">
        <v>880000</v>
      </c>
      <c r="V57" s="18" t="n">
        <v>880000</v>
      </c>
      <c r="W57" s="18" t="n">
        <v>880000</v>
      </c>
      <c r="X57" s="18" t="n">
        <v>880000</v>
      </c>
      <c r="Y57" s="18" t="n">
        <v>880000</v>
      </c>
      <c r="Z57" s="37" t="n">
        <v>880000</v>
      </c>
      <c r="AA57" s="18" t="n">
        <v>880000</v>
      </c>
      <c r="AB57" s="19" t="n">
        <v>880000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우선주자본금</t>
        </is>
      </c>
      <c r="E58" s="18" t="n">
        <v>114.84</v>
      </c>
      <c r="F58" s="37" t="n">
        <v>114.84</v>
      </c>
      <c r="G58" s="18" t="n">
        <v>114.84</v>
      </c>
      <c r="H58" s="18" t="n">
        <v>114.84</v>
      </c>
      <c r="I58" s="18" t="n">
        <v>114.84</v>
      </c>
      <c r="J58" s="18" t="n">
        <v>114.84</v>
      </c>
      <c r="K58" s="37" t="n">
        <v>114.84</v>
      </c>
      <c r="L58" s="18" t="n">
        <v>114.84</v>
      </c>
      <c r="M58" s="18" t="n">
        <v>114.84</v>
      </c>
      <c r="N58" s="18" t="n">
        <v>114.84</v>
      </c>
      <c r="O58" s="18" t="n">
        <v>114.84</v>
      </c>
      <c r="P58" s="37" t="n">
        <v>114.84</v>
      </c>
      <c r="Q58" s="18" t="n">
        <v>114.84</v>
      </c>
      <c r="R58" s="18" t="n">
        <v>114.84</v>
      </c>
      <c r="S58" s="18" t="n">
        <v>114.84</v>
      </c>
      <c r="T58" s="18" t="n">
        <v>114.84</v>
      </c>
      <c r="U58" s="37" t="n">
        <v>114.84</v>
      </c>
      <c r="V58" s="18" t="n">
        <v>114.84</v>
      </c>
      <c r="W58" s="18" t="n">
        <v>114.84</v>
      </c>
      <c r="X58" s="18" t="n">
        <v>114.84</v>
      </c>
      <c r="Y58" s="18" t="n">
        <v>114.84</v>
      </c>
      <c r="Z58" s="37" t="n">
        <v>114.84</v>
      </c>
      <c r="AA58" s="18" t="n">
        <v>114.84</v>
      </c>
      <c r="AB58" s="19" t="n">
        <v>114.84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자본잉여금</t>
        </is>
      </c>
      <c r="E59" s="18" t="n">
        <v>1969727.2</v>
      </c>
      <c r="F59" s="37" t="n">
        <v>1969727.2</v>
      </c>
      <c r="G59" s="18" t="n">
        <v>1969727.2</v>
      </c>
      <c r="H59" s="18" t="n">
        <v>1969727.2</v>
      </c>
      <c r="I59" s="18" t="n">
        <v>1969727.2</v>
      </c>
      <c r="J59" s="18" t="n">
        <v>1969727.2</v>
      </c>
      <c r="K59" s="37" t="n">
        <v>1969727.2</v>
      </c>
      <c r="L59" s="18" t="n">
        <v>1969727.2</v>
      </c>
      <c r="M59" s="18" t="n">
        <v>1969727.2</v>
      </c>
      <c r="N59" s="18" t="n">
        <v>1969727.2</v>
      </c>
      <c r="O59" s="18" t="n">
        <v>1969727.2</v>
      </c>
      <c r="P59" s="37" t="n">
        <v>1969727.2</v>
      </c>
      <c r="Q59" s="18" t="n">
        <v>1969727.2</v>
      </c>
      <c r="R59" s="18" t="n">
        <v>1969727.2</v>
      </c>
      <c r="S59" s="18" t="n">
        <v>1969727.2</v>
      </c>
      <c r="T59" s="18" t="n">
        <v>1969727.2</v>
      </c>
      <c r="U59" s="37" t="n">
        <v>1969727.2</v>
      </c>
      <c r="V59" s="18" t="n">
        <v>1969727.2</v>
      </c>
      <c r="W59" s="18" t="n">
        <v>1969727.2</v>
      </c>
      <c r="X59" s="18" t="n">
        <v>1969727.2</v>
      </c>
      <c r="Y59" s="18" t="n">
        <v>1969727.2</v>
      </c>
      <c r="Z59" s="37" t="n">
        <v>1969727.2</v>
      </c>
      <c r="AA59" s="18" t="n">
        <v>1969727.2</v>
      </c>
      <c r="AB59" s="19" t="n">
        <v>1969727.2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1060330.62</v>
      </c>
      <c r="F60" s="37" t="n">
        <v>1060330.62</v>
      </c>
      <c r="G60" s="18" t="n">
        <v>1100811.83</v>
      </c>
      <c r="H60" s="18" t="n">
        <v>1333501.06</v>
      </c>
      <c r="I60" s="18" t="n">
        <v>1802788.05</v>
      </c>
      <c r="J60" s="18" t="n">
        <v>1147530.94</v>
      </c>
      <c r="K60" s="37" t="n">
        <v>1147530.94</v>
      </c>
      <c r="L60" s="18" t="n">
        <v>1287480.88</v>
      </c>
      <c r="M60" s="18" t="n">
        <v>1252379.35</v>
      </c>
      <c r="N60" s="18" t="n">
        <v>1381235.89</v>
      </c>
      <c r="O60" s="18" t="n">
        <v>1202135.76</v>
      </c>
      <c r="P60" s="37" t="n">
        <v>1202135.76</v>
      </c>
      <c r="Q60" s="18" t="n">
        <v>1458329.32</v>
      </c>
      <c r="R60" s="18" t="n">
        <v>1632059.61</v>
      </c>
      <c r="S60" s="18" t="n">
        <v>1371387.3</v>
      </c>
      <c r="T60" s="18" t="n">
        <v>1524732.98</v>
      </c>
      <c r="U60" s="37" t="n">
        <v>1524732.98</v>
      </c>
      <c r="V60" s="18" t="n">
        <v>1493039.63</v>
      </c>
      <c r="W60" s="18" t="n">
        <v>1078085.44</v>
      </c>
      <c r="X60" s="18" t="n">
        <v>1273381.84</v>
      </c>
      <c r="Y60" s="18" t="n">
        <v>1345897.38</v>
      </c>
      <c r="Z60" s="37" t="n">
        <v>1345897.38</v>
      </c>
      <c r="AA60" s="18" t="n">
        <v>1609315.95</v>
      </c>
      <c r="AB60" s="19" t="n">
        <v>1642439.97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기타자본</t>
        </is>
      </c>
      <c r="E61" s="18" t="n">
        <v>1556045.05</v>
      </c>
      <c r="F61" s="37" t="n">
        <v>1556045.05</v>
      </c>
      <c r="G61" s="18" t="n">
        <v>1556045.05</v>
      </c>
      <c r="H61" s="18" t="n">
        <v>1556045.05</v>
      </c>
      <c r="I61" s="18" t="n">
        <v>1556045.05</v>
      </c>
      <c r="J61" s="18" t="n">
        <v>1556045.05</v>
      </c>
      <c r="K61" s="37" t="n">
        <v>1556045.05</v>
      </c>
      <c r="L61" s="18" t="n">
        <v>1556045.05</v>
      </c>
      <c r="M61" s="18" t="n">
        <v>1556045.05</v>
      </c>
      <c r="N61" s="18" t="n">
        <v>1556045.05</v>
      </c>
      <c r="O61" s="18" t="n">
        <v>1556045.05</v>
      </c>
      <c r="P61" s="37" t="n">
        <v>1556045.05</v>
      </c>
      <c r="Q61" s="18" t="n">
        <v>1556045.05</v>
      </c>
      <c r="R61" s="18" t="n">
        <v>1556045.05</v>
      </c>
      <c r="S61" s="18" t="n">
        <v>1556045.05</v>
      </c>
      <c r="T61" s="18" t="n">
        <v>1556045.05</v>
      </c>
      <c r="U61" s="37" t="n">
        <v>1556045.05</v>
      </c>
      <c r="V61" s="18" t="n">
        <v>1556045.05</v>
      </c>
      <c r="W61" s="18" t="n">
        <v>1556045.05</v>
      </c>
      <c r="X61" s="18" t="n">
        <v>1556045.05</v>
      </c>
      <c r="Y61" s="18" t="n">
        <v>1556045.05</v>
      </c>
      <c r="Z61" s="37" t="n">
        <v>1556045.05</v>
      </c>
      <c r="AA61" s="18" t="n">
        <v>1556045.05</v>
      </c>
      <c r="AB61" s="19" t="n">
        <v>1556045.05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이익잉여금</t>
        </is>
      </c>
      <c r="E62" s="18" t="n">
        <v>-1355173.76</v>
      </c>
      <c r="F62" s="37" t="n">
        <v>-1355173.76</v>
      </c>
      <c r="G62" s="18" t="n">
        <v>-1458209.26</v>
      </c>
      <c r="H62" s="18" t="n">
        <v>-1495176.94</v>
      </c>
      <c r="I62" s="18" t="n">
        <v>-1694132.89</v>
      </c>
      <c r="J62" s="18" t="n">
        <v>-1958926.96</v>
      </c>
      <c r="K62" s="37" t="n">
        <v>-1958926.96</v>
      </c>
      <c r="L62" s="18" t="n">
        <v>-1947502.68</v>
      </c>
      <c r="M62" s="18" t="n">
        <v>-1921894.59</v>
      </c>
      <c r="N62" s="18" t="n">
        <v>-1883783.76</v>
      </c>
      <c r="O62" s="18" t="n">
        <v>-2168677.85</v>
      </c>
      <c r="P62" s="37" t="n">
        <v>-2168677.85</v>
      </c>
      <c r="Q62" s="18" t="n">
        <v>-2158730.94</v>
      </c>
      <c r="R62" s="18" t="n">
        <v>-2082174.61</v>
      </c>
      <c r="S62" s="18" t="n">
        <v>-2008195.05</v>
      </c>
      <c r="T62" s="18" t="n">
        <v>-2136027.13</v>
      </c>
      <c r="U62" s="37" t="n">
        <v>-2136027.13</v>
      </c>
      <c r="V62" s="18" t="n">
        <v>-2043931.41</v>
      </c>
      <c r="W62" s="18" t="n">
        <v>-1829812.12</v>
      </c>
      <c r="X62" s="18" t="n">
        <v>-1685416.66</v>
      </c>
      <c r="Y62" s="18" t="n">
        <v>-1602845.17</v>
      </c>
      <c r="Z62" s="37" t="n">
        <v>-1602845.17</v>
      </c>
      <c r="AA62" s="18" t="n">
        <v>-1501261.29</v>
      </c>
      <c r="AB62" s="19" t="n">
        <v>-1276928.67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비지배주주지분</t>
        </is>
      </c>
      <c r="E63" s="18" t="n">
        <v>-13776.85</v>
      </c>
      <c r="F63" s="37" t="n">
        <v>-13776.85</v>
      </c>
      <c r="G63" s="18" t="n">
        <v>-14925.61</v>
      </c>
      <c r="H63" s="18" t="n">
        <v>-18056.08</v>
      </c>
      <c r="I63" s="18" t="n">
        <v>-22924.9</v>
      </c>
      <c r="J63" s="18" t="n">
        <v>-22553.68</v>
      </c>
      <c r="K63" s="37" t="n">
        <v>-22553.68</v>
      </c>
      <c r="L63" s="18" t="n">
        <v>-25397.45</v>
      </c>
      <c r="M63" s="18" t="n">
        <v>-27945.27</v>
      </c>
      <c r="N63" s="18" t="n">
        <v>-31213.01</v>
      </c>
      <c r="O63" s="18" t="n">
        <v>-30137.4</v>
      </c>
      <c r="P63" s="37" t="n">
        <v>-30137.4</v>
      </c>
      <c r="Q63" s="18" t="n">
        <v>-33614.48</v>
      </c>
      <c r="R63" s="18" t="n">
        <v>-37270.51</v>
      </c>
      <c r="S63" s="18" t="n">
        <v>-37902.17</v>
      </c>
      <c r="T63" s="18" t="n">
        <v>-45141.84</v>
      </c>
      <c r="U63" s="37" t="n">
        <v>-45141.84</v>
      </c>
      <c r="V63" s="18" t="n">
        <v>-47036.82</v>
      </c>
      <c r="W63" s="18" t="n">
        <v>-45203.09</v>
      </c>
      <c r="X63" s="18" t="n">
        <v>-48506.35</v>
      </c>
      <c r="Y63" s="18" t="n">
        <v>-53899.37</v>
      </c>
      <c r="Z63" s="37" t="n">
        <v>-53899.37</v>
      </c>
      <c r="AA63" s="18" t="n">
        <v>-58448.98</v>
      </c>
      <c r="AB63" s="19" t="n">
        <v>-61044.99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자본총계</t>
        </is>
      </c>
      <c r="E64" s="18" t="n">
        <v>4097267.11</v>
      </c>
      <c r="F64" s="37" t="n">
        <v>4097267.11</v>
      </c>
      <c r="G64" s="18" t="n">
        <v>4033564.06</v>
      </c>
      <c r="H64" s="18" t="n">
        <v>4226155.14</v>
      </c>
      <c r="I64" s="18" t="n">
        <v>4491617.36</v>
      </c>
      <c r="J64" s="18" t="n">
        <v>3571937.4</v>
      </c>
      <c r="K64" s="37" t="n">
        <v>3571937.4</v>
      </c>
      <c r="L64" s="18" t="n">
        <v>3720467.85</v>
      </c>
      <c r="M64" s="18" t="n">
        <v>3708426.59</v>
      </c>
      <c r="N64" s="18" t="n">
        <v>3872126.22</v>
      </c>
      <c r="O64" s="18" t="n">
        <v>3409207.6</v>
      </c>
      <c r="P64" s="37" t="n">
        <v>3409207.6</v>
      </c>
      <c r="Q64" s="18" t="n">
        <v>3671870.99</v>
      </c>
      <c r="R64" s="18" t="n">
        <v>3918501.59</v>
      </c>
      <c r="S64" s="18" t="n">
        <v>3731177.19</v>
      </c>
      <c r="T64" s="18" t="n">
        <v>3749451.11</v>
      </c>
      <c r="U64" s="37" t="n">
        <v>3749451.11</v>
      </c>
      <c r="V64" s="18" t="n">
        <v>3807958.51</v>
      </c>
      <c r="W64" s="18" t="n">
        <v>3608957.33</v>
      </c>
      <c r="X64" s="18" t="n">
        <v>3945345.92</v>
      </c>
      <c r="Y64" s="18" t="n">
        <v>4095039.94</v>
      </c>
      <c r="Z64" s="37" t="n">
        <v>4095039.94</v>
      </c>
      <c r="AA64" s="18" t="n">
        <v>4455492.78</v>
      </c>
      <c r="AB64" s="19" t="n">
        <v>4710353.4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부채와자본총계</t>
        </is>
      </c>
      <c r="E65" s="18" t="n">
        <v>12138595.96</v>
      </c>
      <c r="F65" s="37" t="n">
        <v>12138595.96</v>
      </c>
      <c r="G65" s="18" t="n">
        <v>12286879.3</v>
      </c>
      <c r="H65" s="18" t="n">
        <v>13796449.42</v>
      </c>
      <c r="I65" s="18" t="n">
        <v>16861060.29</v>
      </c>
      <c r="J65" s="18" t="n">
        <v>14491697.98</v>
      </c>
      <c r="K65" s="37" t="n">
        <v>14491697.98</v>
      </c>
      <c r="L65" s="18" t="n">
        <v>14651888.21</v>
      </c>
      <c r="M65" s="18" t="n">
        <v>14981181.78</v>
      </c>
      <c r="N65" s="18" t="n">
        <v>16599198.92</v>
      </c>
      <c r="O65" s="18" t="n">
        <v>15593389.15</v>
      </c>
      <c r="P65" s="37" t="n">
        <v>15593389.15</v>
      </c>
      <c r="Q65" s="18" t="n">
        <v>16359005.44</v>
      </c>
      <c r="R65" s="18" t="n">
        <v>16778247.96</v>
      </c>
      <c r="S65" s="18" t="n">
        <v>15075969.11</v>
      </c>
      <c r="T65" s="18" t="n">
        <v>17194637.13</v>
      </c>
      <c r="U65" s="37" t="n">
        <v>17194637.13</v>
      </c>
      <c r="V65" s="18" t="n">
        <v>16281156.02</v>
      </c>
      <c r="W65" s="18" t="n">
        <v>13941719.46</v>
      </c>
      <c r="X65" s="18" t="n">
        <v>14539449.71</v>
      </c>
      <c r="Y65" s="18" t="n">
        <v>14948871.09</v>
      </c>
      <c r="Z65" s="37" t="n">
        <v>14948871.09</v>
      </c>
      <c r="AA65" s="18" t="n">
        <v>16568722.98</v>
      </c>
      <c r="AB65" s="19" t="n">
        <v>17959382.2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총차입금</t>
        </is>
      </c>
      <c r="E66" s="18" t="n">
        <v>2247063.78</v>
      </c>
      <c r="F66" s="37" t="n">
        <v>2247063.78</v>
      </c>
      <c r="G66" s="18" t="n">
        <v>2133513.58</v>
      </c>
      <c r="H66" s="18" t="n">
        <v>2139053.68</v>
      </c>
      <c r="I66" s="18" t="n">
        <v>3037361.36</v>
      </c>
      <c r="J66" s="18" t="n">
        <v>3063381.34</v>
      </c>
      <c r="K66" s="37" t="n">
        <v>3063381.34</v>
      </c>
      <c r="L66" s="18" t="n">
        <v>2831768.51</v>
      </c>
      <c r="M66" s="18" t="n">
        <v>3165213.52</v>
      </c>
      <c r="N66" s="18" t="n">
        <v>3348103.32</v>
      </c>
      <c r="O66" s="18" t="n">
        <v>3551161.25</v>
      </c>
      <c r="P66" s="37" t="n">
        <v>3551161.25</v>
      </c>
      <c r="Q66" s="18" t="n">
        <v>3573130.58</v>
      </c>
      <c r="R66" s="18" t="n">
        <v>3617735.85</v>
      </c>
      <c r="S66" s="18" t="n">
        <v>3811952.19</v>
      </c>
      <c r="T66" s="18" t="n">
        <v>3218241.49</v>
      </c>
      <c r="U66" s="37" t="n">
        <v>3218241.49</v>
      </c>
      <c r="V66" s="18" t="n">
        <v>3105959.59</v>
      </c>
      <c r="W66" s="18" t="n">
        <v>2728837.49</v>
      </c>
      <c r="X66" s="18" t="n">
        <v>2459777.99</v>
      </c>
      <c r="Y66" s="18" t="n">
        <v>2047792.26</v>
      </c>
      <c r="Z66" s="37" t="n">
        <v>2047792.26</v>
      </c>
      <c r="AA66" s="18" t="n">
        <v>1195828.85</v>
      </c>
      <c r="AB66" s="19" t="n">
        <v>1102144.31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순차입금</t>
        </is>
      </c>
      <c r="E67" s="18" t="n">
        <v>638535.3100000001</v>
      </c>
      <c r="F67" s="37" t="n">
        <v>638535.3100000001</v>
      </c>
      <c r="G67" s="18" t="n">
        <v>572071.46</v>
      </c>
      <c r="H67" s="18" t="n">
        <v>-901843.1</v>
      </c>
      <c r="I67" s="18" t="n">
        <v>-1495396.7</v>
      </c>
      <c r="J67" s="18" t="n">
        <v>117286.3</v>
      </c>
      <c r="K67" s="37" t="n">
        <v>117286.3</v>
      </c>
      <c r="L67" s="18" t="n">
        <v>143361.33</v>
      </c>
      <c r="M67" s="18" t="n">
        <v>290561.91</v>
      </c>
      <c r="N67" s="18" t="n">
        <v>60148.1</v>
      </c>
      <c r="O67" s="18" t="n">
        <v>1433002.02</v>
      </c>
      <c r="P67" s="37" t="n">
        <v>1433002.02</v>
      </c>
      <c r="Q67" s="18" t="n">
        <v>696904.6899999999</v>
      </c>
      <c r="R67" s="18" t="n">
        <v>804142.46</v>
      </c>
      <c r="S67" s="18" t="n">
        <v>1673625.43</v>
      </c>
      <c r="T67" s="18" t="n">
        <v>163338.39</v>
      </c>
      <c r="U67" s="37" t="n">
        <v>163338.39</v>
      </c>
      <c r="V67" s="18" t="n">
        <v>744420.65</v>
      </c>
      <c r="W67" s="18" t="n">
        <v>999625.55</v>
      </c>
      <c r="X67" s="18" t="n">
        <v>-102309.85</v>
      </c>
      <c r="Y67" s="18" t="n">
        <v>-81690.17999999999</v>
      </c>
      <c r="Z67" s="37" t="n">
        <v>-81690.17999999999</v>
      </c>
      <c r="AA67" s="18" t="n">
        <v>-1899206.73</v>
      </c>
      <c r="AB67" s="19" t="n">
        <v>-2062046.7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이자발생자산</t>
        </is>
      </c>
      <c r="E68" s="18" t="n">
        <v>1654204.2</v>
      </c>
      <c r="F68" s="37" t="n">
        <v>1654204.2</v>
      </c>
      <c r="G68" s="18" t="n">
        <v>1607873.38</v>
      </c>
      <c r="H68" s="18" t="n">
        <v>3087254.38</v>
      </c>
      <c r="I68" s="18" t="n">
        <v>4578758.4</v>
      </c>
      <c r="J68" s="18" t="n">
        <v>3031841.04</v>
      </c>
      <c r="K68" s="37" t="n">
        <v>3031841.04</v>
      </c>
      <c r="L68" s="18" t="n">
        <v>2774179.54</v>
      </c>
      <c r="M68" s="18" t="n">
        <v>2960649.59</v>
      </c>
      <c r="N68" s="18" t="n">
        <v>3373879.62</v>
      </c>
      <c r="O68" s="18" t="n">
        <v>2205461.33</v>
      </c>
      <c r="P68" s="37" t="n">
        <v>2205461.33</v>
      </c>
      <c r="Q68" s="18" t="n">
        <v>2963817.11</v>
      </c>
      <c r="R68" s="18" t="n">
        <v>2901054.48</v>
      </c>
      <c r="S68" s="18" t="n">
        <v>2226751.34</v>
      </c>
      <c r="T68" s="18" t="n">
        <v>3157244.54</v>
      </c>
      <c r="U68" s="37" t="n">
        <v>3157244.54</v>
      </c>
      <c r="V68" s="18" t="n">
        <v>2481499.01</v>
      </c>
      <c r="W68" s="18" t="n">
        <v>1849195.26</v>
      </c>
      <c r="X68" s="18" t="n">
        <v>2738983</v>
      </c>
      <c r="Y68" s="18" t="n">
        <v>2297860.74</v>
      </c>
      <c r="Z68" s="37" t="n">
        <v>2297860.74</v>
      </c>
      <c r="AA68" s="18" t="n">
        <v>3260818.8</v>
      </c>
      <c r="AB68" s="19" t="n">
        <v>3346629.22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비유동리스부채</t>
        </is>
      </c>
      <c r="F69" s="9" t="n"/>
      <c r="G69" s="18" t="n">
        <v>7813.22</v>
      </c>
      <c r="H69" s="18" t="n">
        <v>3406.07</v>
      </c>
      <c r="J69" s="18" t="n">
        <v>23643.99</v>
      </c>
      <c r="K69" s="37" t="n">
        <v>23643.99</v>
      </c>
      <c r="L69" s="18" t="n">
        <v>30397.06</v>
      </c>
      <c r="M69" s="18" t="n">
        <v>26102.37</v>
      </c>
      <c r="N69" s="18" t="n">
        <v>22944.46</v>
      </c>
      <c r="O69" s="18" t="n">
        <v>98825.3</v>
      </c>
      <c r="P69" s="37" t="n">
        <v>98825.3</v>
      </c>
      <c r="Q69" s="18" t="n">
        <v>116821.81</v>
      </c>
      <c r="R69" s="18" t="n">
        <v>135361.8</v>
      </c>
      <c r="S69" s="18" t="n">
        <v>120208.56</v>
      </c>
      <c r="T69" s="18" t="n">
        <v>260361.99</v>
      </c>
      <c r="U69" s="37" t="n">
        <v>260361.99</v>
      </c>
      <c r="V69" s="18" t="n">
        <v>229263.33</v>
      </c>
      <c r="W69" s="18" t="n">
        <v>217866.14</v>
      </c>
      <c r="X69" s="18" t="n">
        <v>206144.41</v>
      </c>
      <c r="Y69" s="18" t="n">
        <v>194567.72</v>
      </c>
      <c r="Z69" s="37" t="n">
        <v>194567.72</v>
      </c>
      <c r="AA69" s="18" t="n">
        <v>191617.06</v>
      </c>
      <c r="AB69" s="19" t="n">
        <v>179711.06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확정급여부채</t>
        </is>
      </c>
      <c r="F70" s="9" t="n"/>
      <c r="I70" s="18" t="n">
        <v>3156.24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단기투자자산(공정가치)</t>
        </is>
      </c>
      <c r="F71" s="9" t="n"/>
      <c r="K71" s="9" t="n"/>
      <c r="L71" s="18" t="n">
        <v>353997.77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기타유동금융부채</t>
        </is>
      </c>
      <c r="F72" s="9" t="n"/>
      <c r="K72" s="9" t="n"/>
      <c r="M72" s="18" t="n">
        <v>1281.62</v>
      </c>
      <c r="N72" s="18" t="n">
        <v>430.04</v>
      </c>
      <c r="O72" s="18" t="n">
        <v>42.37</v>
      </c>
      <c r="P72" s="37" t="n">
        <v>42.37</v>
      </c>
      <c r="Q72" s="18" t="n">
        <v>0</v>
      </c>
      <c r="R72" s="18" t="n">
        <v>0</v>
      </c>
      <c r="S72" s="18" t="n">
        <v>0</v>
      </c>
      <c r="T72" s="18" t="n">
        <v>1.83</v>
      </c>
      <c r="U72" s="37" t="n">
        <v>1.83</v>
      </c>
      <c r="V72" s="18" t="n">
        <v>1.83</v>
      </c>
      <c r="W72" s="18" t="n">
        <v>1.69</v>
      </c>
      <c r="X72" s="18" t="n">
        <v>1.75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매출액(수익)</t>
        </is>
      </c>
      <c r="E73" s="18" t="n">
        <v>1846514.68</v>
      </c>
      <c r="F73" s="9" t="n"/>
      <c r="G73" s="18" t="n">
        <v>1483845.99</v>
      </c>
      <c r="H73" s="18" t="n">
        <v>1426146.3</v>
      </c>
      <c r="I73" s="18" t="n">
        <v>1400129.05</v>
      </c>
      <c r="J73" s="18" t="n">
        <v>1634546.11</v>
      </c>
      <c r="K73" s="37" t="n">
        <v>5944667.45</v>
      </c>
      <c r="L73" s="18" t="n">
        <v>1605051.96</v>
      </c>
      <c r="M73" s="18" t="n">
        <v>1945786.58</v>
      </c>
      <c r="N73" s="18" t="n">
        <v>2025430.34</v>
      </c>
      <c r="O73" s="18" t="n">
        <v>2433161.03</v>
      </c>
      <c r="P73" s="37" t="n">
        <v>8009429.91</v>
      </c>
      <c r="Q73" s="18" t="n">
        <v>2347795.52</v>
      </c>
      <c r="R73" s="18" t="n">
        <v>2531955.02</v>
      </c>
      <c r="S73" s="18" t="n">
        <v>2322956.36</v>
      </c>
      <c r="T73" s="18" t="n">
        <v>2700371.02</v>
      </c>
      <c r="U73" s="37" t="n">
        <v>9903077.92</v>
      </c>
      <c r="V73" s="18" t="n">
        <v>2494285.87</v>
      </c>
      <c r="W73" s="18" t="n">
        <v>2682977.39</v>
      </c>
      <c r="X73" s="18" t="n">
        <v>2634818.81</v>
      </c>
      <c r="Y73" s="18" t="n">
        <v>2837928.63</v>
      </c>
      <c r="Z73" s="37" t="n">
        <v>10650010.7</v>
      </c>
      <c r="AA73" s="18" t="n">
        <v>2902250.6</v>
      </c>
      <c r="AB73" s="19" t="n">
        <v>3230712.01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매출원가</t>
        </is>
      </c>
      <c r="E74" s="18" t="n">
        <v>2010626.52</v>
      </c>
      <c r="F74" s="9" t="n"/>
      <c r="G74" s="18" t="n">
        <v>1472935.55</v>
      </c>
      <c r="H74" s="18" t="n">
        <v>1599594.87</v>
      </c>
      <c r="I74" s="18" t="n">
        <v>1470457.93</v>
      </c>
      <c r="J74" s="18" t="n">
        <v>1863899.06</v>
      </c>
      <c r="K74" s="37" t="n">
        <v>6406887.41</v>
      </c>
      <c r="L74" s="18" t="n">
        <v>1496189.7</v>
      </c>
      <c r="M74" s="18" t="n">
        <v>1793369.94</v>
      </c>
      <c r="N74" s="18" t="n">
        <v>1838803.35</v>
      </c>
      <c r="O74" s="18" t="n">
        <v>2235593.16</v>
      </c>
      <c r="P74" s="37" t="n">
        <v>7363956.15</v>
      </c>
      <c r="Q74" s="18" t="n">
        <v>2183182.06</v>
      </c>
      <c r="R74" s="18" t="n">
        <v>2298993.03</v>
      </c>
      <c r="S74" s="18" t="n">
        <v>2095592.24</v>
      </c>
      <c r="T74" s="18" t="n">
        <v>2404748.53</v>
      </c>
      <c r="U74" s="37" t="n">
        <v>8982515.859999999</v>
      </c>
      <c r="V74" s="18" t="n">
        <v>2256680</v>
      </c>
      <c r="W74" s="18" t="n">
        <v>2357747.02</v>
      </c>
      <c r="X74" s="18" t="n">
        <v>2281437.62</v>
      </c>
      <c r="Y74" s="18" t="n">
        <v>2379819.92</v>
      </c>
      <c r="Z74" s="37" t="n">
        <v>9275684.560000001</v>
      </c>
      <c r="AA74" s="18" t="n">
        <v>2504199.06</v>
      </c>
      <c r="AB74" s="19" t="n">
        <v>2758634.87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매출총이익</t>
        </is>
      </c>
      <c r="E75" s="18" t="n">
        <v>-164111.84</v>
      </c>
      <c r="F75" s="9" t="n"/>
      <c r="G75" s="18" t="n">
        <v>10910.44</v>
      </c>
      <c r="H75" s="18" t="n">
        <v>-173448.58</v>
      </c>
      <c r="I75" s="18" t="n">
        <v>-70328.88</v>
      </c>
      <c r="J75" s="18" t="n">
        <v>-229352.95</v>
      </c>
      <c r="K75" s="37" t="n">
        <v>-462219.97</v>
      </c>
      <c r="L75" s="18" t="n">
        <v>108862.26</v>
      </c>
      <c r="M75" s="18" t="n">
        <v>152416.64</v>
      </c>
      <c r="N75" s="18" t="n">
        <v>186626.99</v>
      </c>
      <c r="O75" s="18" t="n">
        <v>197567.88</v>
      </c>
      <c r="P75" s="37" t="n">
        <v>645473.77</v>
      </c>
      <c r="Q75" s="18" t="n">
        <v>164613.46</v>
      </c>
      <c r="R75" s="18" t="n">
        <v>232961.99</v>
      </c>
      <c r="S75" s="18" t="n">
        <v>227364.11</v>
      </c>
      <c r="T75" s="18" t="n">
        <v>295622.49</v>
      </c>
      <c r="U75" s="37" t="n">
        <v>920562.05</v>
      </c>
      <c r="V75" s="18" t="n">
        <v>237605.87</v>
      </c>
      <c r="W75" s="18" t="n">
        <v>325230.37</v>
      </c>
      <c r="X75" s="18" t="n">
        <v>353381.19</v>
      </c>
      <c r="Y75" s="18" t="n">
        <v>458108.71</v>
      </c>
      <c r="Z75" s="37" t="n">
        <v>1374326.14</v>
      </c>
      <c r="AA75" s="18" t="n">
        <v>398051.54</v>
      </c>
      <c r="AB75" s="19" t="n">
        <v>472077.14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판관비</t>
        </is>
      </c>
      <c r="E76" s="18" t="n">
        <v>92967.25</v>
      </c>
      <c r="F76" s="9" t="n"/>
      <c r="G76" s="18" t="n">
        <v>105818.78</v>
      </c>
      <c r="H76" s="18" t="n">
        <v>82293.32000000001</v>
      </c>
      <c r="I76" s="18" t="n">
        <v>97589.92999999999</v>
      </c>
      <c r="J76" s="18" t="n">
        <v>106498.97</v>
      </c>
      <c r="K76" s="37" t="n">
        <v>392201</v>
      </c>
      <c r="L76" s="18" t="n">
        <v>89305.2</v>
      </c>
      <c r="M76" s="18" t="n">
        <v>93502.3</v>
      </c>
      <c r="N76" s="18" t="n">
        <v>110752.7</v>
      </c>
      <c r="O76" s="18" t="n">
        <v>118568.8</v>
      </c>
      <c r="P76" s="37" t="n">
        <v>412129</v>
      </c>
      <c r="Q76" s="18" t="n">
        <v>86746.52</v>
      </c>
      <c r="R76" s="18" t="n">
        <v>102233.05</v>
      </c>
      <c r="S76" s="18" t="n">
        <v>107494.78</v>
      </c>
      <c r="T76" s="18" t="n">
        <v>121389.01</v>
      </c>
      <c r="U76" s="37" t="n">
        <v>417863.36</v>
      </c>
      <c r="V76" s="18" t="n">
        <v>114528.9</v>
      </c>
      <c r="W76" s="18" t="n">
        <v>120414.13</v>
      </c>
      <c r="X76" s="18" t="n">
        <v>115298.73</v>
      </c>
      <c r="Y76" s="18" t="n">
        <v>161873.5</v>
      </c>
      <c r="Z76" s="37" t="n">
        <v>512115.26</v>
      </c>
      <c r="AA76" s="18" t="n">
        <v>124933.06</v>
      </c>
      <c r="AB76" s="19" t="n">
        <v>147053.32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영업이익</t>
        </is>
      </c>
      <c r="E77" s="18" t="n">
        <v>-257079.09</v>
      </c>
      <c r="F77" s="9" t="n"/>
      <c r="G77" s="18" t="n">
        <v>-94908.34</v>
      </c>
      <c r="H77" s="18" t="n">
        <v>-255741.9</v>
      </c>
      <c r="I77" s="18" t="n">
        <v>-167918.8</v>
      </c>
      <c r="J77" s="18" t="n">
        <v>-335851.92</v>
      </c>
      <c r="K77" s="37" t="n">
        <v>-854420.96</v>
      </c>
      <c r="L77" s="18" t="n">
        <v>19557.06</v>
      </c>
      <c r="M77" s="18" t="n">
        <v>58914.34</v>
      </c>
      <c r="N77" s="18" t="n">
        <v>75874.28999999999</v>
      </c>
      <c r="O77" s="18" t="n">
        <v>78999.08</v>
      </c>
      <c r="P77" s="37" t="n">
        <v>233344.77</v>
      </c>
      <c r="Q77" s="18" t="n">
        <v>77866.94</v>
      </c>
      <c r="R77" s="18" t="n">
        <v>130728.94</v>
      </c>
      <c r="S77" s="18" t="n">
        <v>119869.33</v>
      </c>
      <c r="T77" s="18" t="n">
        <v>174233.47</v>
      </c>
      <c r="U77" s="37" t="n">
        <v>502698.68</v>
      </c>
      <c r="V77" s="18" t="n">
        <v>123076.97</v>
      </c>
      <c r="W77" s="18" t="n">
        <v>204816.24</v>
      </c>
      <c r="X77" s="18" t="n">
        <v>238082.46</v>
      </c>
      <c r="Y77" s="18" t="n">
        <v>296235.21</v>
      </c>
      <c r="Z77" s="37" t="n">
        <v>862210.88</v>
      </c>
      <c r="AA77" s="18" t="n">
        <v>273118.47</v>
      </c>
      <c r="AB77" s="19" t="n">
        <v>325023.82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기타영업외수익</t>
        </is>
      </c>
      <c r="E78" s="18" t="n">
        <v>118764.77</v>
      </c>
      <c r="F78" s="9" t="n"/>
      <c r="G78" s="18" t="n">
        <v>369947.44</v>
      </c>
      <c r="H78" s="18" t="n">
        <v>1696122.69</v>
      </c>
      <c r="I78" s="18" t="n">
        <v>2518036.8</v>
      </c>
      <c r="J78" s="18" t="n">
        <v>-1459281.67</v>
      </c>
      <c r="K78" s="37" t="n">
        <v>3124825.26</v>
      </c>
      <c r="L78" s="18" t="n">
        <v>997460.48</v>
      </c>
      <c r="M78" s="18" t="n">
        <v>362343.68</v>
      </c>
      <c r="N78" s="18" t="n">
        <v>973218.89</v>
      </c>
      <c r="O78" s="18" t="n">
        <v>-545777.92</v>
      </c>
      <c r="P78" s="37" t="n">
        <v>1787245.13</v>
      </c>
      <c r="Q78" s="18" t="n">
        <v>1414239.37</v>
      </c>
      <c r="R78" s="18" t="n">
        <v>1109687.51</v>
      </c>
      <c r="S78" s="18" t="n">
        <v>-692289.33</v>
      </c>
      <c r="T78" s="18" t="n">
        <v>3593578.52</v>
      </c>
      <c r="U78" s="37" t="n">
        <v>5425216.07</v>
      </c>
      <c r="V78" s="18" t="n">
        <v>348019.85</v>
      </c>
      <c r="W78" s="18" t="n">
        <v>1611255.61</v>
      </c>
      <c r="X78" s="18" t="n">
        <v>-682190.01</v>
      </c>
      <c r="Y78" s="18" t="n">
        <v>189039.21</v>
      </c>
      <c r="Z78" s="37" t="n">
        <v>1466124.66</v>
      </c>
      <c r="AA78" s="18" t="n">
        <v>1701453.3</v>
      </c>
      <c r="AB78" s="19" t="n">
        <v>648223.55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기타영업외비용</t>
        </is>
      </c>
      <c r="E79" s="18" t="n">
        <v>81167.12</v>
      </c>
      <c r="F79" s="9" t="n"/>
      <c r="G79" s="18" t="n">
        <v>359342.56</v>
      </c>
      <c r="H79" s="18" t="n">
        <v>1390390.54</v>
      </c>
      <c r="I79" s="18" t="n">
        <v>2538608.07</v>
      </c>
      <c r="J79" s="18" t="n">
        <v>-1543560.3</v>
      </c>
      <c r="K79" s="37" t="n">
        <v>2744780.87</v>
      </c>
      <c r="L79" s="18" t="n">
        <v>962854.46</v>
      </c>
      <c r="M79" s="18" t="n">
        <v>367736.36</v>
      </c>
      <c r="N79" s="18" t="n">
        <v>973449.86</v>
      </c>
      <c r="O79" s="18" t="n">
        <v>-134338.58</v>
      </c>
      <c r="P79" s="37" t="n">
        <v>2169702.1</v>
      </c>
      <c r="Q79" s="18" t="n">
        <v>1442637.45</v>
      </c>
      <c r="R79" s="18" t="n">
        <v>1124182.46</v>
      </c>
      <c r="S79" s="18" t="n">
        <v>-692130.6800000001</v>
      </c>
      <c r="T79" s="18" t="n">
        <v>4189354.76</v>
      </c>
      <c r="U79" s="37" t="n">
        <v>6064043.99</v>
      </c>
      <c r="V79" s="18" t="n">
        <v>398517.88</v>
      </c>
      <c r="W79" s="18" t="n">
        <v>1795075.27</v>
      </c>
      <c r="X79" s="18" t="n">
        <v>-676001.65</v>
      </c>
      <c r="Y79" s="18" t="n">
        <v>204070.02</v>
      </c>
      <c r="Z79" s="37" t="n">
        <v>1721661.52</v>
      </c>
      <c r="AA79" s="18" t="n">
        <v>1710179.26</v>
      </c>
      <c r="AB79" s="19" t="n">
        <v>643851.6800000001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금융수익</t>
        </is>
      </c>
      <c r="E80" s="18" t="n">
        <v>10806.6</v>
      </c>
      <c r="F80" s="9" t="n"/>
      <c r="G80" s="18" t="n">
        <v>22578.79</v>
      </c>
      <c r="H80" s="18" t="n">
        <v>55816.92</v>
      </c>
      <c r="I80" s="18" t="n">
        <v>67052.67999999999</v>
      </c>
      <c r="J80" s="18" t="n">
        <v>31702.51</v>
      </c>
      <c r="K80" s="37" t="n">
        <v>177150.9</v>
      </c>
      <c r="L80" s="18" t="n">
        <v>54080.7</v>
      </c>
      <c r="M80" s="18" t="n">
        <v>36681.61</v>
      </c>
      <c r="N80" s="18" t="n">
        <v>18883.17</v>
      </c>
      <c r="O80" s="18" t="n">
        <v>33362.3</v>
      </c>
      <c r="P80" s="37" t="n">
        <v>143007.78</v>
      </c>
      <c r="Q80" s="18" t="n">
        <v>58898.94</v>
      </c>
      <c r="R80" s="18" t="n">
        <v>86160.99000000001</v>
      </c>
      <c r="S80" s="18" t="n">
        <v>-42751</v>
      </c>
      <c r="T80" s="18" t="n">
        <v>80157.21000000001</v>
      </c>
      <c r="U80" s="37" t="n">
        <v>182466.14</v>
      </c>
      <c r="V80" s="18" t="n">
        <v>157247.58</v>
      </c>
      <c r="W80" s="18" t="n">
        <v>333450.5</v>
      </c>
      <c r="X80" s="18" t="n">
        <v>-22850.82</v>
      </c>
      <c r="Y80" s="18" t="n">
        <v>173333.64</v>
      </c>
      <c r="Z80" s="37" t="n">
        <v>641180.9</v>
      </c>
      <c r="AA80" s="18" t="n">
        <v>221234.39</v>
      </c>
      <c r="AB80" s="19" t="n">
        <v>123413.3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금융비용</t>
        </is>
      </c>
      <c r="E81" s="18" t="n">
        <v>35244.17</v>
      </c>
      <c r="F81" s="9" t="n"/>
      <c r="G81" s="18" t="n">
        <v>40452.1</v>
      </c>
      <c r="H81" s="18" t="n">
        <v>73526.16</v>
      </c>
      <c r="I81" s="18" t="n">
        <v>113524.67</v>
      </c>
      <c r="J81" s="18" t="n">
        <v>29145.8</v>
      </c>
      <c r="K81" s="37" t="n">
        <v>256648.73</v>
      </c>
      <c r="L81" s="18" t="n">
        <v>102312.54</v>
      </c>
      <c r="M81" s="18" t="n">
        <v>65060.12</v>
      </c>
      <c r="N81" s="18" t="n">
        <v>63487.95</v>
      </c>
      <c r="O81" s="18" t="n">
        <v>58694.25</v>
      </c>
      <c r="P81" s="37" t="n">
        <v>289554.86</v>
      </c>
      <c r="Q81" s="18" t="n">
        <v>93127.25999999999</v>
      </c>
      <c r="R81" s="18" t="n">
        <v>126435.8</v>
      </c>
      <c r="S81" s="18" t="n">
        <v>5261.89</v>
      </c>
      <c r="T81" s="18" t="n">
        <v>137019.36</v>
      </c>
      <c r="U81" s="37" t="n">
        <v>361844.31</v>
      </c>
      <c r="V81" s="18" t="n">
        <v>138943.95</v>
      </c>
      <c r="W81" s="18" t="n">
        <v>139932.04</v>
      </c>
      <c r="X81" s="18" t="n">
        <v>67878.3</v>
      </c>
      <c r="Y81" s="18" t="n">
        <v>250614.51</v>
      </c>
      <c r="Z81" s="37" t="n">
        <v>597368.8</v>
      </c>
      <c r="AA81" s="18" t="n">
        <v>356049.07</v>
      </c>
      <c r="AB81" s="19" t="n">
        <v>152787.27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E82" s="18" t="n">
        <v>-138.1</v>
      </c>
      <c r="F82" s="9" t="n"/>
      <c r="G82" s="18" t="n">
        <v>-98.23</v>
      </c>
      <c r="H82" s="18" t="n">
        <v>-200.56</v>
      </c>
      <c r="I82" s="18" t="n">
        <v>-176.08</v>
      </c>
      <c r="J82" s="18" t="n">
        <v>-362</v>
      </c>
      <c r="K82" s="37" t="n">
        <v>-836.87</v>
      </c>
      <c r="L82" s="18" t="n">
        <v>-40.78</v>
      </c>
      <c r="M82" s="18" t="n">
        <v>-2.58</v>
      </c>
      <c r="N82" s="18" t="n">
        <v>-4.48</v>
      </c>
      <c r="O82" s="18" t="n">
        <v>-5.3</v>
      </c>
      <c r="P82" s="37" t="n">
        <v>-53.14</v>
      </c>
      <c r="Q82" s="18" t="n">
        <v>1.14</v>
      </c>
      <c r="R82" s="18" t="n">
        <v>3.66</v>
      </c>
      <c r="S82" s="18" t="n">
        <v>-0.45</v>
      </c>
      <c r="T82" s="18" t="n">
        <v>0.86</v>
      </c>
      <c r="U82" s="37" t="n">
        <v>5.21</v>
      </c>
      <c r="V82" s="18" t="n">
        <v>-2.46</v>
      </c>
      <c r="W82" s="18" t="n">
        <v>-3.03</v>
      </c>
      <c r="X82" s="18" t="n">
        <v>-0.84</v>
      </c>
      <c r="Y82" s="18" t="n">
        <v>-1.17</v>
      </c>
      <c r="Z82" s="37" t="n">
        <v>-7.5</v>
      </c>
      <c r="AA82" s="18" t="n">
        <v>5.73</v>
      </c>
      <c r="AB82" s="19" t="n">
        <v>0.14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E83" s="18" t="n">
        <v>-138.1</v>
      </c>
      <c r="F83" s="9" t="n"/>
      <c r="G83" s="18" t="n">
        <v>-98.23</v>
      </c>
      <c r="H83" s="18" t="n">
        <v>-200.56</v>
      </c>
      <c r="I83" s="18" t="n">
        <v>-176.08</v>
      </c>
      <c r="J83" s="18" t="n">
        <v>-362</v>
      </c>
      <c r="K83" s="37" t="n">
        <v>-836.87</v>
      </c>
      <c r="L83" s="18" t="n">
        <v>-40.78</v>
      </c>
      <c r="M83" s="18" t="n">
        <v>-2.58</v>
      </c>
      <c r="N83" s="18" t="n">
        <v>-4.48</v>
      </c>
      <c r="O83" s="18" t="n">
        <v>-5.3</v>
      </c>
      <c r="P83" s="37" t="n">
        <v>-53.14</v>
      </c>
      <c r="Q83" s="18" t="n">
        <v>1.14</v>
      </c>
      <c r="R83" s="18" t="n">
        <v>3.66</v>
      </c>
      <c r="S83" s="18" t="n">
        <v>-0.45</v>
      </c>
      <c r="T83" s="18" t="n">
        <v>0.86</v>
      </c>
      <c r="U83" s="37" t="n">
        <v>5.21</v>
      </c>
      <c r="V83" s="18" t="n">
        <v>-2.46</v>
      </c>
      <c r="W83" s="18" t="n">
        <v>-3.03</v>
      </c>
      <c r="X83" s="18" t="n">
        <v>-0.84</v>
      </c>
      <c r="Y83" s="18" t="n">
        <v>-1.17</v>
      </c>
      <c r="Z83" s="37" t="n">
        <v>-7.5</v>
      </c>
      <c r="AA83" s="18" t="n">
        <v>5.73</v>
      </c>
      <c r="AB83" s="19" t="n">
        <v>0.14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법인세비용차감전계속사업이익</t>
        </is>
      </c>
      <c r="E84" s="18" t="n">
        <v>-244057.13</v>
      </c>
      <c r="F84" s="9" t="n"/>
      <c r="G84" s="18" t="n">
        <v>-102275</v>
      </c>
      <c r="H84" s="18" t="n">
        <v>32080.46</v>
      </c>
      <c r="I84" s="18" t="n">
        <v>-235138.14</v>
      </c>
      <c r="J84" s="18" t="n">
        <v>-249378.59</v>
      </c>
      <c r="K84" s="37" t="n">
        <v>-554711.27</v>
      </c>
      <c r="L84" s="18" t="n">
        <v>5890.46</v>
      </c>
      <c r="M84" s="18" t="n">
        <v>25140.56</v>
      </c>
      <c r="N84" s="18" t="n">
        <v>31034.06</v>
      </c>
      <c r="O84" s="18" t="n">
        <v>-357777.51</v>
      </c>
      <c r="P84" s="37" t="n">
        <v>-295712.43</v>
      </c>
      <c r="Q84" s="18" t="n">
        <v>15241.68</v>
      </c>
      <c r="R84" s="18" t="n">
        <v>75962.84</v>
      </c>
      <c r="S84" s="18" t="n">
        <v>71697.33</v>
      </c>
      <c r="T84" s="18" t="n">
        <v>-478404.07</v>
      </c>
      <c r="U84" s="37" t="n">
        <v>-315502.22</v>
      </c>
      <c r="V84" s="18" t="n">
        <v>90880.11</v>
      </c>
      <c r="W84" s="18" t="n">
        <v>214512</v>
      </c>
      <c r="X84" s="18" t="n">
        <v>141164.14</v>
      </c>
      <c r="Y84" s="18" t="n">
        <v>203922.35</v>
      </c>
      <c r="Z84" s="37" t="n">
        <v>650478.6</v>
      </c>
      <c r="AA84" s="18" t="n">
        <v>129583.56</v>
      </c>
      <c r="AB84" s="19" t="n">
        <v>300021.86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E85" s="18" t="n">
        <v>100915.2</v>
      </c>
      <c r="F85" s="9" t="n"/>
      <c r="G85" s="18" t="n">
        <v>1610.75</v>
      </c>
      <c r="H85" s="18" t="n">
        <v>71152.27</v>
      </c>
      <c r="I85" s="18" t="n">
        <v>-33520.63</v>
      </c>
      <c r="J85" s="18" t="n">
        <v>33458.15</v>
      </c>
      <c r="K85" s="37" t="n">
        <v>72700.53999999999</v>
      </c>
      <c r="L85" s="18" t="n">
        <v>-3389.08</v>
      </c>
      <c r="M85" s="18" t="n">
        <v>1917.14</v>
      </c>
      <c r="N85" s="18" t="n">
        <v>-4545.27</v>
      </c>
      <c r="O85" s="18" t="n">
        <v>-134138.84</v>
      </c>
      <c r="P85" s="37" t="n">
        <v>-140156.05</v>
      </c>
      <c r="Q85" s="18" t="n">
        <v>7400.79</v>
      </c>
      <c r="R85" s="18" t="n">
        <v>1963.76</v>
      </c>
      <c r="S85" s="18" t="n">
        <v>288.9</v>
      </c>
      <c r="T85" s="18" t="n">
        <v>-379032.88</v>
      </c>
      <c r="U85" s="37" t="n">
        <v>-369379.43</v>
      </c>
      <c r="V85" s="18" t="n">
        <v>765.95</v>
      </c>
      <c r="W85" s="18" t="n">
        <v>2174.07</v>
      </c>
      <c r="X85" s="18" t="n">
        <v>906.6</v>
      </c>
      <c r="Y85" s="18" t="n">
        <v>110878.24</v>
      </c>
      <c r="Z85" s="37" t="n">
        <v>114724.86</v>
      </c>
      <c r="AA85" s="18" t="n">
        <v>29544.52</v>
      </c>
      <c r="AB85" s="19" t="n">
        <v>77180.78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-344972.34</v>
      </c>
      <c r="F86" s="9" t="n"/>
      <c r="G86" s="18" t="n">
        <v>-103885.75</v>
      </c>
      <c r="H86" s="18" t="n">
        <v>-39071.81</v>
      </c>
      <c r="I86" s="18" t="n">
        <v>-201617.51</v>
      </c>
      <c r="J86" s="18" t="n">
        <v>-282836.74</v>
      </c>
      <c r="K86" s="37" t="n">
        <v>-627411.8100000001</v>
      </c>
      <c r="L86" s="18" t="n">
        <v>9279.549999999999</v>
      </c>
      <c r="M86" s="18" t="n">
        <v>23223.42</v>
      </c>
      <c r="N86" s="18" t="n">
        <v>35579.33</v>
      </c>
      <c r="O86" s="18" t="n">
        <v>-223638.67</v>
      </c>
      <c r="P86" s="37" t="n">
        <v>-155556.37</v>
      </c>
      <c r="Q86" s="18" t="n">
        <v>7840.89</v>
      </c>
      <c r="R86" s="18" t="n">
        <v>73999.09</v>
      </c>
      <c r="S86" s="18" t="n">
        <v>71408.42999999999</v>
      </c>
      <c r="T86" s="18" t="n">
        <v>-99371.17999999999</v>
      </c>
      <c r="U86" s="37" t="n">
        <v>53877.23</v>
      </c>
      <c r="V86" s="18" t="n">
        <v>90114.16</v>
      </c>
      <c r="W86" s="18" t="n">
        <v>212337.93</v>
      </c>
      <c r="X86" s="18" t="n">
        <v>140257.54</v>
      </c>
      <c r="Y86" s="18" t="n">
        <v>93044.11</v>
      </c>
      <c r="Z86" s="37" t="n">
        <v>535753.74</v>
      </c>
      <c r="AA86" s="18" t="n">
        <v>100039.05</v>
      </c>
      <c r="AB86" s="19" t="n">
        <v>222841.08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-342988.17</v>
      </c>
      <c r="F87" s="9" t="n"/>
      <c r="G87" s="18" t="n">
        <v>-103035.49</v>
      </c>
      <c r="H87" s="18" t="n">
        <v>-37034.4</v>
      </c>
      <c r="I87" s="18" t="n">
        <v>-198984.01</v>
      </c>
      <c r="J87" s="18" t="n">
        <v>-280384.41</v>
      </c>
      <c r="K87" s="37" t="n">
        <v>-619438.3100000001</v>
      </c>
      <c r="L87" s="18" t="n">
        <v>11424.28</v>
      </c>
      <c r="M87" s="18" t="n">
        <v>25599.41</v>
      </c>
      <c r="N87" s="18" t="n">
        <v>38101.19</v>
      </c>
      <c r="O87" s="18" t="n">
        <v>-223397.6</v>
      </c>
      <c r="P87" s="37" t="n">
        <v>-148272.72</v>
      </c>
      <c r="Q87" s="18" t="n">
        <v>9946.91</v>
      </c>
      <c r="R87" s="18" t="n">
        <v>76556.34</v>
      </c>
      <c r="S87" s="18" t="n">
        <v>73979.56</v>
      </c>
      <c r="T87" s="18" t="n">
        <v>-96606.56</v>
      </c>
      <c r="U87" s="37" t="n">
        <v>63876.25</v>
      </c>
      <c r="V87" s="18" t="n">
        <v>92095.73</v>
      </c>
      <c r="W87" s="18" t="n">
        <v>214109.64</v>
      </c>
      <c r="X87" s="18" t="n">
        <v>142013.48</v>
      </c>
      <c r="Y87" s="18" t="n">
        <v>97320.75</v>
      </c>
      <c r="Z87" s="37" t="n">
        <v>545539.6</v>
      </c>
      <c r="AA87" s="18" t="n">
        <v>101583.87</v>
      </c>
      <c r="AB87" s="19" t="n">
        <v>224332.62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(비지배주주지분)당기순이익</t>
        </is>
      </c>
      <c r="E88" s="18" t="n">
        <v>-1984.17</v>
      </c>
      <c r="F88" s="9" t="n"/>
      <c r="G88" s="18" t="n">
        <v>-850.26</v>
      </c>
      <c r="H88" s="18" t="n">
        <v>-2037.41</v>
      </c>
      <c r="I88" s="18" t="n">
        <v>-2633.51</v>
      </c>
      <c r="J88" s="18" t="n">
        <v>-2452.32</v>
      </c>
      <c r="K88" s="37" t="n">
        <v>-7973.5</v>
      </c>
      <c r="L88" s="18" t="n">
        <v>-2144.74</v>
      </c>
      <c r="M88" s="18" t="n">
        <v>-2375.99</v>
      </c>
      <c r="N88" s="18" t="n">
        <v>-2521.86</v>
      </c>
      <c r="O88" s="18" t="n">
        <v>-241.07</v>
      </c>
      <c r="P88" s="37" t="n">
        <v>-7283.66</v>
      </c>
      <c r="Q88" s="18" t="n">
        <v>-2106.02</v>
      </c>
      <c r="R88" s="18" t="n">
        <v>-2557.25</v>
      </c>
      <c r="S88" s="18" t="n">
        <v>-2571.13</v>
      </c>
      <c r="T88" s="18" t="n">
        <v>-2764.62</v>
      </c>
      <c r="U88" s="37" t="n">
        <v>-9999.02</v>
      </c>
      <c r="V88" s="18" t="n">
        <v>-1981.57</v>
      </c>
      <c r="W88" s="18" t="n">
        <v>-1771.71</v>
      </c>
      <c r="X88" s="18" t="n">
        <v>-1755.94</v>
      </c>
      <c r="Y88" s="18" t="n">
        <v>-4276.65</v>
      </c>
      <c r="Z88" s="37" t="n">
        <v>-9785.870000000001</v>
      </c>
      <c r="AA88" s="18" t="n">
        <v>-1544.83</v>
      </c>
      <c r="AB88" s="19" t="n">
        <v>-1491.54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금융손익</t>
        </is>
      </c>
      <c r="E89" s="18" t="n">
        <v>-24437.57</v>
      </c>
      <c r="F89" s="9" t="n"/>
      <c r="G89" s="18" t="n">
        <v>-17873.31</v>
      </c>
      <c r="H89" s="18" t="n">
        <v>-17709.24</v>
      </c>
      <c r="I89" s="18" t="n">
        <v>-46471.99</v>
      </c>
      <c r="J89" s="18" t="n">
        <v>2556.71</v>
      </c>
      <c r="K89" s="37" t="n">
        <v>-79497.83</v>
      </c>
      <c r="L89" s="18" t="n">
        <v>-48231.84</v>
      </c>
      <c r="M89" s="18" t="n">
        <v>-28378.51</v>
      </c>
      <c r="N89" s="18" t="n">
        <v>-44604.78</v>
      </c>
      <c r="O89" s="18" t="n">
        <v>-25331.95</v>
      </c>
      <c r="P89" s="37" t="n">
        <v>-146547.08</v>
      </c>
      <c r="Q89" s="18" t="n">
        <v>-34228.32</v>
      </c>
      <c r="R89" s="18" t="n">
        <v>-40274.81</v>
      </c>
      <c r="S89" s="18" t="n">
        <v>-48012.89</v>
      </c>
      <c r="T89" s="18" t="n">
        <v>-56862.15</v>
      </c>
      <c r="U89" s="37" t="n">
        <v>-179378.17</v>
      </c>
      <c r="V89" s="18" t="n">
        <v>18303.63</v>
      </c>
      <c r="W89" s="18" t="n">
        <v>193518.46</v>
      </c>
      <c r="X89" s="18" t="n">
        <v>-90729.12</v>
      </c>
      <c r="Y89" s="18" t="n">
        <v>-77280.87</v>
      </c>
      <c r="Z89" s="37" t="n">
        <v>43812.1</v>
      </c>
      <c r="AA89" s="18" t="n">
        <v>-134814.68</v>
      </c>
      <c r="AB89" s="19" t="n">
        <v>-29373.97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기타영업외손익</t>
        </is>
      </c>
      <c r="E90" s="18" t="n">
        <v>37597.65</v>
      </c>
      <c r="F90" s="9" t="n"/>
      <c r="G90" s="18" t="n">
        <v>10604.88</v>
      </c>
      <c r="H90" s="18" t="n">
        <v>305732.15</v>
      </c>
      <c r="I90" s="18" t="n">
        <v>-20571.27</v>
      </c>
      <c r="J90" s="18" t="n">
        <v>84278.63</v>
      </c>
      <c r="K90" s="37" t="n">
        <v>380044.39</v>
      </c>
      <c r="L90" s="18" t="n">
        <v>34606.02</v>
      </c>
      <c r="M90" s="18" t="n">
        <v>-5392.68</v>
      </c>
      <c r="N90" s="18" t="n">
        <v>-230.97</v>
      </c>
      <c r="O90" s="18" t="n">
        <v>-411439.34</v>
      </c>
      <c r="P90" s="37" t="n">
        <v>-382456.97</v>
      </c>
      <c r="Q90" s="18" t="n">
        <v>-28398.08</v>
      </c>
      <c r="R90" s="18" t="n">
        <v>-14494.95</v>
      </c>
      <c r="S90" s="18" t="n">
        <v>-158.65</v>
      </c>
      <c r="T90" s="18" t="n">
        <v>-595776.24</v>
      </c>
      <c r="U90" s="37" t="n">
        <v>-638827.92</v>
      </c>
      <c r="V90" s="18" t="n">
        <v>-50498.03</v>
      </c>
      <c r="W90" s="18" t="n">
        <v>-183819.66</v>
      </c>
      <c r="X90" s="18" t="n">
        <v>-6188.36</v>
      </c>
      <c r="Y90" s="18" t="n">
        <v>-15030.81</v>
      </c>
      <c r="Z90" s="37" t="n">
        <v>-255536.86</v>
      </c>
      <c r="AA90" s="18" t="n">
        <v>-8725.959999999999</v>
      </c>
      <c r="AB90" s="19" t="n">
        <v>4371.87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계속사업이익</t>
        </is>
      </c>
      <c r="E91" s="18" t="n">
        <v>-344972.34</v>
      </c>
      <c r="F91" s="9" t="n"/>
      <c r="G91" s="18" t="n">
        <v>-103885.75</v>
      </c>
      <c r="H91" s="18" t="n">
        <v>-39071.81</v>
      </c>
      <c r="I91" s="18" t="n">
        <v>-201617.51</v>
      </c>
      <c r="J91" s="18" t="n">
        <v>-282836.74</v>
      </c>
      <c r="K91" s="37" t="n">
        <v>-627411.8100000001</v>
      </c>
      <c r="L91" s="18" t="n">
        <v>9279.549999999999</v>
      </c>
      <c r="M91" s="18" t="n">
        <v>23223.42</v>
      </c>
      <c r="N91" s="18" t="n">
        <v>35579.33</v>
      </c>
      <c r="O91" s="18" t="n">
        <v>-223638.67</v>
      </c>
      <c r="P91" s="37" t="n">
        <v>-155556.37</v>
      </c>
      <c r="Q91" s="18" t="n">
        <v>7840.89</v>
      </c>
      <c r="R91" s="18" t="n">
        <v>73999.09</v>
      </c>
      <c r="S91" s="18" t="n">
        <v>71408.42999999999</v>
      </c>
      <c r="T91" s="18" t="n">
        <v>-99371.17999999999</v>
      </c>
      <c r="U91" s="37" t="n">
        <v>53877.23</v>
      </c>
      <c r="V91" s="18" t="n">
        <v>90114.16</v>
      </c>
      <c r="W91" s="18" t="n">
        <v>212337.93</v>
      </c>
      <c r="X91" s="18" t="n">
        <v>140257.54</v>
      </c>
      <c r="Y91" s="18" t="n">
        <v>93044.11</v>
      </c>
      <c r="Z91" s="37" t="n">
        <v>535753.74</v>
      </c>
      <c r="AA91" s="18" t="n">
        <v>100039.05</v>
      </c>
      <c r="AB91" s="19" t="n">
        <v>222841.08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총포괄손익</t>
        </is>
      </c>
      <c r="E92" s="18" t="n">
        <v>-168907.08</v>
      </c>
      <c r="F92" s="9" t="n"/>
      <c r="G92" s="18" t="n">
        <v>-63703.04</v>
      </c>
      <c r="H92" s="18" t="n">
        <v>192591.08</v>
      </c>
      <c r="I92" s="18" t="n">
        <v>265462.22</v>
      </c>
      <c r="J92" s="18" t="n">
        <v>-919679.96</v>
      </c>
      <c r="K92" s="37" t="n">
        <v>-525329.7</v>
      </c>
      <c r="L92" s="18" t="n">
        <v>148530.45</v>
      </c>
      <c r="M92" s="18" t="n">
        <v>-12041.25</v>
      </c>
      <c r="N92" s="18" t="n">
        <v>163699.63</v>
      </c>
      <c r="O92" s="18" t="n">
        <v>-462918.63</v>
      </c>
      <c r="P92" s="37" t="n">
        <v>-162729.8</v>
      </c>
      <c r="Q92" s="18" t="n">
        <v>262663.39</v>
      </c>
      <c r="R92" s="18" t="n">
        <v>246630.6</v>
      </c>
      <c r="S92" s="18" t="n">
        <v>-187324.4</v>
      </c>
      <c r="T92" s="18" t="n">
        <v>18273.92</v>
      </c>
      <c r="U92" s="37" t="n">
        <v>340243.51</v>
      </c>
      <c r="V92" s="18" t="n">
        <v>58507.4</v>
      </c>
      <c r="W92" s="18" t="n">
        <v>-199021.17</v>
      </c>
      <c r="X92" s="18" t="n">
        <v>336388.59</v>
      </c>
      <c r="Y92" s="18" t="n">
        <v>149674.01</v>
      </c>
      <c r="Z92" s="37" t="n">
        <v>345548.83</v>
      </c>
      <c r="AA92" s="18" t="n">
        <v>360452.85</v>
      </c>
      <c r="AB92" s="19" t="n">
        <v>254840.62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G93" s="18" t="n">
        <v>2446.48</v>
      </c>
      <c r="H93" s="18" t="n">
        <v>3299.61</v>
      </c>
      <c r="I93" s="18" t="n">
        <v>5349.96</v>
      </c>
      <c r="J93" s="18" t="n">
        <v>4771.55</v>
      </c>
      <c r="K93" s="37" t="n">
        <v>15867.6</v>
      </c>
      <c r="L93" s="18" t="n">
        <v>7638.78</v>
      </c>
      <c r="M93" s="18" t="n">
        <v>8019.89</v>
      </c>
      <c r="N93" s="18" t="n">
        <v>5525.98</v>
      </c>
      <c r="O93" s="18" t="n">
        <v>11674.09</v>
      </c>
      <c r="P93" s="37" t="n">
        <v>32858.74</v>
      </c>
      <c r="Q93" s="18" t="n">
        <v>4771.22</v>
      </c>
      <c r="R93" s="18" t="n">
        <v>7842.24</v>
      </c>
      <c r="S93" s="18" t="n">
        <v>3647.92</v>
      </c>
      <c r="T93" s="18" t="n">
        <v>4845.49</v>
      </c>
      <c r="U93" s="37" t="n">
        <v>21106.87</v>
      </c>
      <c r="V93" s="18" t="n">
        <v>4235.77</v>
      </c>
      <c r="W93" s="18" t="n">
        <v>3092.74</v>
      </c>
      <c r="X93" s="18" t="n">
        <v>3673.32</v>
      </c>
      <c r="Y93" s="18" t="n">
        <v>13928.03</v>
      </c>
      <c r="Z93" s="37" t="n">
        <v>24929.86</v>
      </c>
      <c r="AA93" s="18" t="n">
        <v>7622.71</v>
      </c>
      <c r="AB93" s="19" t="n">
        <v>10573.07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G94" s="18" t="n">
        <v>15691.35</v>
      </c>
      <c r="H94" s="18" t="n">
        <v>16146.71</v>
      </c>
      <c r="I94" s="18" t="n">
        <v>25753.11</v>
      </c>
      <c r="J94" s="18" t="n">
        <v>42136.55</v>
      </c>
      <c r="K94" s="37" t="n">
        <v>99727.72</v>
      </c>
      <c r="L94" s="18" t="n">
        <v>39091.75</v>
      </c>
      <c r="M94" s="18" t="n">
        <v>41651.18</v>
      </c>
      <c r="N94" s="18" t="n">
        <v>46321.93</v>
      </c>
      <c r="O94" s="18" t="n">
        <v>51516.8</v>
      </c>
      <c r="P94" s="37" t="n">
        <v>178581.66</v>
      </c>
      <c r="Q94" s="18" t="n">
        <v>52254.22</v>
      </c>
      <c r="R94" s="18" t="n">
        <v>54278.54</v>
      </c>
      <c r="S94" s="18" t="n">
        <v>53815.31</v>
      </c>
      <c r="T94" s="18" t="n">
        <v>52898.58</v>
      </c>
      <c r="U94" s="37" t="n">
        <v>213246.65</v>
      </c>
      <c r="V94" s="18" t="n">
        <v>43191.45</v>
      </c>
      <c r="W94" s="18" t="n">
        <v>36942.59</v>
      </c>
      <c r="X94" s="18" t="n">
        <v>32231.19</v>
      </c>
      <c r="Y94" s="18" t="n">
        <v>27858</v>
      </c>
      <c r="Z94" s="37" t="n">
        <v>140223.23</v>
      </c>
      <c r="AA94" s="18" t="n">
        <v>19448.85</v>
      </c>
      <c r="AB94" s="19" t="n">
        <v>15343.95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외환차익</t>
        </is>
      </c>
      <c r="F95" s="9" t="n"/>
      <c r="G95" s="18" t="n">
        <v>1296.91</v>
      </c>
      <c r="H95" s="18" t="n">
        <v>2524.58</v>
      </c>
      <c r="I95" s="18" t="n">
        <v>2381.14</v>
      </c>
      <c r="J95" s="18" t="n">
        <v>5041.23</v>
      </c>
      <c r="K95" s="37" t="n">
        <v>11243.86</v>
      </c>
      <c r="L95" s="18" t="n">
        <v>6068.69</v>
      </c>
      <c r="M95" s="18" t="n">
        <v>1673.63</v>
      </c>
      <c r="N95" s="18" t="n">
        <v>686.71</v>
      </c>
      <c r="O95" s="18" t="n">
        <v>4547.28</v>
      </c>
      <c r="P95" s="37" t="n">
        <v>12976.31</v>
      </c>
      <c r="Q95" s="18" t="n">
        <v>1630.75</v>
      </c>
      <c r="R95" s="18" t="n">
        <v>8740.08</v>
      </c>
      <c r="S95" s="18" t="n">
        <v>277.89</v>
      </c>
      <c r="T95" s="18" t="n">
        <v>2518.32</v>
      </c>
      <c r="U95" s="37" t="n">
        <v>13167.04</v>
      </c>
      <c r="V95" s="18" t="n">
        <v>3991.72</v>
      </c>
      <c r="W95" s="18" t="n">
        <v>8945.5</v>
      </c>
      <c r="X95" s="18" t="n">
        <v>5482.06</v>
      </c>
      <c r="Y95" s="18" t="n">
        <v>2264.02</v>
      </c>
      <c r="Z95" s="37" t="n">
        <v>20683.3</v>
      </c>
      <c r="AA95" s="18" t="n">
        <v>1209.67</v>
      </c>
      <c r="AB95" s="19" t="n">
        <v>3973.4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외환차손</t>
        </is>
      </c>
      <c r="F96" s="9" t="n"/>
      <c r="G96" s="18" t="n">
        <v>2917.59</v>
      </c>
      <c r="H96" s="18" t="n">
        <v>6592.69</v>
      </c>
      <c r="I96" s="18" t="n">
        <v>12046.25</v>
      </c>
      <c r="J96" s="18" t="n">
        <v>16665.16</v>
      </c>
      <c r="K96" s="37" t="n">
        <v>38221.69</v>
      </c>
      <c r="L96" s="18" t="n">
        <v>12276.66</v>
      </c>
      <c r="M96" s="18" t="n">
        <v>7119.73</v>
      </c>
      <c r="N96" s="18" t="n">
        <v>5139.52</v>
      </c>
      <c r="O96" s="18" t="n">
        <v>4852.54</v>
      </c>
      <c r="P96" s="37" t="n">
        <v>29388.45</v>
      </c>
      <c r="Q96" s="18" t="n">
        <v>6683.21</v>
      </c>
      <c r="R96" s="18" t="n">
        <v>13993.17</v>
      </c>
      <c r="S96" s="18" t="n">
        <v>8981.129999999999</v>
      </c>
      <c r="T96" s="18" t="n">
        <v>11455.82</v>
      </c>
      <c r="U96" s="37" t="n">
        <v>41113.33</v>
      </c>
      <c r="V96" s="18" t="n">
        <v>1367.88</v>
      </c>
      <c r="W96" s="18" t="n">
        <v>5402.58</v>
      </c>
      <c r="X96" s="18" t="n">
        <v>2636.42</v>
      </c>
      <c r="Y96" s="18" t="n">
        <v>2645.01</v>
      </c>
      <c r="Z96" s="37" t="n">
        <v>12051.89</v>
      </c>
      <c r="AA96" s="18" t="n">
        <v>3445.23</v>
      </c>
      <c r="AB96" s="19" t="n">
        <v>9687.51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외화환산이익</t>
        </is>
      </c>
      <c r="F97" s="9" t="n"/>
      <c r="G97" s="18" t="n">
        <v>1044.19</v>
      </c>
      <c r="H97" s="18" t="n">
        <v>859.95</v>
      </c>
      <c r="I97" s="18" t="n">
        <v>4351.56</v>
      </c>
      <c r="J97" s="18" t="n">
        <v>23741.63</v>
      </c>
      <c r="K97" s="37" t="n">
        <v>29997.33</v>
      </c>
      <c r="L97" s="18" t="n">
        <v>148.52</v>
      </c>
      <c r="M97" s="18" t="n">
        <v>869.38</v>
      </c>
      <c r="N97" s="18" t="n">
        <v>-103.19</v>
      </c>
      <c r="O97" s="18" t="n">
        <v>9195.02</v>
      </c>
      <c r="P97" s="37" t="n">
        <v>10109.73</v>
      </c>
      <c r="Q97" s="18" t="n">
        <v>7848.83</v>
      </c>
      <c r="R97" s="18" t="n">
        <v>-7588.69</v>
      </c>
      <c r="S97" s="18" t="n">
        <v>17201.13</v>
      </c>
      <c r="T97" s="18" t="n">
        <v>-15642.52</v>
      </c>
      <c r="U97" s="37" t="n">
        <v>1818.75</v>
      </c>
      <c r="V97" s="18" t="n">
        <v>2574.58</v>
      </c>
      <c r="W97" s="18" t="n">
        <v>20248.6</v>
      </c>
      <c r="X97" s="18" t="n">
        <v>-13465.18</v>
      </c>
      <c r="Y97" s="18" t="n">
        <v>-4297.71</v>
      </c>
      <c r="Z97" s="37" t="n">
        <v>5060.29</v>
      </c>
      <c r="AA97" s="18" t="n">
        <v>3173.54</v>
      </c>
      <c r="AB97" s="19" t="n">
        <v>4099.38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외화환산손실</t>
        </is>
      </c>
      <c r="F98" s="9" t="n"/>
      <c r="G98" s="18" t="n">
        <v>7389.8</v>
      </c>
      <c r="H98" s="18" t="n">
        <v>18413.15</v>
      </c>
      <c r="I98" s="18" t="n">
        <v>37674.1</v>
      </c>
      <c r="J98" s="18" t="n">
        <v>-48642.73</v>
      </c>
      <c r="K98" s="37" t="n">
        <v>14834.32</v>
      </c>
      <c r="L98" s="18" t="n">
        <v>14455.96</v>
      </c>
      <c r="M98" s="18" t="n">
        <v>4846.18</v>
      </c>
      <c r="N98" s="18" t="n">
        <v>4409.83</v>
      </c>
      <c r="O98" s="18" t="n">
        <v>-12120.31</v>
      </c>
      <c r="P98" s="37" t="n">
        <v>11591.66</v>
      </c>
      <c r="Q98" s="18" t="n">
        <v>19128.83</v>
      </c>
      <c r="R98" s="18" t="n">
        <v>6840.82</v>
      </c>
      <c r="S98" s="18" t="n">
        <v>-21917.15</v>
      </c>
      <c r="T98" s="18" t="n">
        <v>38031.29</v>
      </c>
      <c r="U98" s="37" t="n">
        <v>42083.79</v>
      </c>
      <c r="V98" s="18" t="n">
        <v>6760.62</v>
      </c>
      <c r="W98" s="18" t="n">
        <v>-615.4400000000001</v>
      </c>
      <c r="X98" s="18" t="n">
        <v>3915.08</v>
      </c>
      <c r="Y98" s="18" t="n">
        <v>5180.66</v>
      </c>
      <c r="Z98" s="37" t="n">
        <v>15240.92</v>
      </c>
      <c r="AA98" s="18" t="n">
        <v>22326.35</v>
      </c>
      <c r="AB98" s="19" t="n">
        <v>4777.52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파생상품이익</t>
        </is>
      </c>
      <c r="F99" s="9" t="n"/>
      <c r="G99" s="18" t="n">
        <v>17791.22</v>
      </c>
      <c r="H99" s="18" t="n">
        <v>49132.8</v>
      </c>
      <c r="I99" s="18" t="n">
        <v>54970.03</v>
      </c>
      <c r="J99" s="18" t="n">
        <v>-1851.89</v>
      </c>
      <c r="K99" s="37" t="n">
        <v>120042.16</v>
      </c>
      <c r="L99" s="18" t="n">
        <v>40224.72</v>
      </c>
      <c r="M99" s="18" t="n">
        <v>26118.72</v>
      </c>
      <c r="N99" s="18" t="n">
        <v>12773.68</v>
      </c>
      <c r="O99" s="18" t="n">
        <v>7945.9</v>
      </c>
      <c r="P99" s="37" t="n">
        <v>87063.02</v>
      </c>
      <c r="Q99" s="18" t="n">
        <v>44648.14</v>
      </c>
      <c r="R99" s="18" t="n">
        <v>77167.37</v>
      </c>
      <c r="S99" s="18" t="n">
        <v>-63877.94</v>
      </c>
      <c r="T99" s="18" t="n">
        <v>88435.94</v>
      </c>
      <c r="U99" s="37" t="n">
        <v>146373.51</v>
      </c>
      <c r="V99" s="18" t="n">
        <v>146445.51</v>
      </c>
      <c r="W99" s="18" t="n">
        <v>301163.67</v>
      </c>
      <c r="X99" s="18" t="n">
        <v>-18541.01</v>
      </c>
      <c r="Y99" s="18" t="n">
        <v>161439.29</v>
      </c>
      <c r="Z99" s="37" t="n">
        <v>590507.46</v>
      </c>
      <c r="AA99" s="18" t="n">
        <v>209228.48</v>
      </c>
      <c r="AB99" s="19" t="n">
        <v>104767.46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파생상품손실</t>
        </is>
      </c>
      <c r="F100" s="9" t="n"/>
      <c r="G100" s="18" t="n">
        <v>14453.37</v>
      </c>
      <c r="H100" s="18" t="n">
        <v>32373.6</v>
      </c>
      <c r="I100" s="18" t="n">
        <v>38051.21</v>
      </c>
      <c r="J100" s="18" t="n">
        <v>10713.02</v>
      </c>
      <c r="K100" s="37" t="n">
        <v>95591.2</v>
      </c>
      <c r="L100" s="18" t="n">
        <v>33087.85</v>
      </c>
      <c r="M100" s="18" t="n">
        <v>7885.07</v>
      </c>
      <c r="N100" s="18" t="n">
        <v>4133.9</v>
      </c>
      <c r="O100" s="18" t="n">
        <v>10226.15</v>
      </c>
      <c r="P100" s="37" t="n">
        <v>55332.97</v>
      </c>
      <c r="Q100" s="18" t="n">
        <v>14802.14</v>
      </c>
      <c r="R100" s="18" t="n">
        <v>51018.75</v>
      </c>
      <c r="S100" s="18" t="n">
        <v>-35868.07</v>
      </c>
      <c r="T100" s="18" t="n">
        <v>-2969.52</v>
      </c>
      <c r="U100" s="37" t="n">
        <v>26983.3</v>
      </c>
      <c r="V100" s="18" t="n">
        <v>87359.13</v>
      </c>
      <c r="W100" s="18" t="n">
        <v>98071.83</v>
      </c>
      <c r="X100" s="18" t="n">
        <v>29194.95</v>
      </c>
      <c r="Y100" s="18" t="n">
        <v>214521.84</v>
      </c>
      <c r="Z100" s="37" t="n">
        <v>429147.75</v>
      </c>
      <c r="AA100" s="18" t="n">
        <v>310828.63</v>
      </c>
      <c r="AB100" s="19" t="n">
        <v>122978.29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이자손익</t>
        </is>
      </c>
      <c r="F101" s="9" t="n"/>
      <c r="G101" s="18" t="n">
        <v>-13244.87</v>
      </c>
      <c r="H101" s="18" t="n">
        <v>-12847.1</v>
      </c>
      <c r="I101" s="18" t="n">
        <v>-20403.15</v>
      </c>
      <c r="J101" s="18" t="n">
        <v>-37365</v>
      </c>
      <c r="K101" s="37" t="n">
        <v>-83860.12</v>
      </c>
      <c r="L101" s="18" t="n">
        <v>-31452.97</v>
      </c>
      <c r="M101" s="18" t="n">
        <v>-33631.29</v>
      </c>
      <c r="N101" s="18" t="n">
        <v>-40795.95</v>
      </c>
      <c r="O101" s="18" t="n">
        <v>-39842.71</v>
      </c>
      <c r="P101" s="37" t="n">
        <v>-145722.92</v>
      </c>
      <c r="Q101" s="18" t="n">
        <v>-47483</v>
      </c>
      <c r="R101" s="18" t="n">
        <v>-46436.3</v>
      </c>
      <c r="S101" s="18" t="n">
        <v>-50167.39</v>
      </c>
      <c r="T101" s="18" t="n">
        <v>-48053.09</v>
      </c>
      <c r="U101" s="37" t="n">
        <v>-192139.78</v>
      </c>
      <c r="V101" s="18" t="n">
        <v>-38955.68</v>
      </c>
      <c r="W101" s="18" t="n">
        <v>-33849.85</v>
      </c>
      <c r="X101" s="18" t="n">
        <v>-28557.87</v>
      </c>
      <c r="Y101" s="18" t="n">
        <v>-13929.97</v>
      </c>
      <c r="Z101" s="37" t="n">
        <v>-115293.37</v>
      </c>
      <c r="AA101" s="18" t="n">
        <v>-11826.14</v>
      </c>
      <c r="AB101" s="19" t="n">
        <v>-4770.88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영업활동으로인한현금흐름</t>
        </is>
      </c>
      <c r="E102" s="18" t="n">
        <v>73090.05</v>
      </c>
      <c r="F102" s="9" t="n"/>
      <c r="G102" s="18" t="n">
        <v>-195503.4</v>
      </c>
      <c r="H102" s="18" t="n">
        <v>-117297.68</v>
      </c>
      <c r="I102" s="18" t="n">
        <v>-1159537.17</v>
      </c>
      <c r="J102" s="18" t="n">
        <v>-220682.46</v>
      </c>
      <c r="K102" s="37" t="n">
        <v>-1693020.71</v>
      </c>
      <c r="L102" s="18" t="n">
        <v>280015.58</v>
      </c>
      <c r="M102" s="18" t="n">
        <v>-325934.21</v>
      </c>
      <c r="N102" s="18" t="n">
        <v>-408677.03</v>
      </c>
      <c r="O102" s="18" t="n">
        <v>-61870.9</v>
      </c>
      <c r="P102" s="37" t="n">
        <v>-516466.56</v>
      </c>
      <c r="Q102" s="18" t="n">
        <v>299282.43</v>
      </c>
      <c r="R102" s="18" t="n">
        <v>-435255.69</v>
      </c>
      <c r="S102" s="18" t="n">
        <v>100661.91</v>
      </c>
      <c r="T102" s="18" t="n">
        <v>689831.29</v>
      </c>
      <c r="U102" s="37" t="n">
        <v>654519.9399999999</v>
      </c>
      <c r="V102" s="18" t="n">
        <v>-131050.83</v>
      </c>
      <c r="W102" s="18" t="n">
        <v>401494.8</v>
      </c>
      <c r="X102" s="18" t="n">
        <v>1367889.09</v>
      </c>
      <c r="Y102" s="18" t="n">
        <v>-75484.3</v>
      </c>
      <c r="Z102" s="37" t="n">
        <v>1562848.76</v>
      </c>
      <c r="AA102" s="18" t="n">
        <v>1488808.58</v>
      </c>
      <c r="AB102" s="19" t="n">
        <v>818125.83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E103" s="18" t="n">
        <v>24028.25</v>
      </c>
      <c r="F103" s="9" t="n"/>
      <c r="G103" s="18" t="n">
        <v>10317.76</v>
      </c>
      <c r="H103" s="18" t="n">
        <v>12349.83</v>
      </c>
      <c r="I103" s="18" t="n">
        <v>11519.3</v>
      </c>
      <c r="J103" s="18" t="n">
        <v>-1869.9</v>
      </c>
      <c r="K103" s="37" t="n">
        <v>32316.99</v>
      </c>
      <c r="L103" s="18" t="n">
        <v>12466.36</v>
      </c>
      <c r="M103" s="18" t="n">
        <v>8780.48</v>
      </c>
      <c r="N103" s="18" t="n">
        <v>13185.23</v>
      </c>
      <c r="O103" s="18" t="n">
        <v>13498.97</v>
      </c>
      <c r="P103" s="37" t="n">
        <v>47931.04</v>
      </c>
      <c r="Q103" s="18" t="n">
        <v>18272.57</v>
      </c>
      <c r="R103" s="18" t="n">
        <v>9984.209999999999</v>
      </c>
      <c r="S103" s="18" t="n">
        <v>6345.51</v>
      </c>
      <c r="T103" s="18" t="n">
        <v>6768.07</v>
      </c>
      <c r="U103" s="37" t="n">
        <v>41370.36</v>
      </c>
      <c r="V103" s="18" t="n">
        <v>7356.31</v>
      </c>
      <c r="W103" s="18" t="n">
        <v>6381.38</v>
      </c>
      <c r="X103" s="18" t="n">
        <v>6611.83</v>
      </c>
      <c r="Y103" s="18" t="n">
        <v>10288.29</v>
      </c>
      <c r="Z103" s="37" t="n">
        <v>30637.81</v>
      </c>
      <c r="AA103" s="18" t="n">
        <v>10011.24</v>
      </c>
      <c r="AB103" s="19" t="n">
        <v>9872.68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E104" s="18" t="n">
        <v>-39539.07</v>
      </c>
      <c r="F104" s="9" t="n"/>
      <c r="G104" s="18" t="n">
        <v>-24558.99</v>
      </c>
      <c r="H104" s="18" t="n">
        <v>-16854.85</v>
      </c>
      <c r="I104" s="18" t="n">
        <v>-22936.52</v>
      </c>
      <c r="J104" s="18" t="n">
        <v>-28162.47</v>
      </c>
      <c r="K104" s="37" t="n">
        <v>-92512.83</v>
      </c>
      <c r="L104" s="18" t="n">
        <v>-26000.8</v>
      </c>
      <c r="M104" s="18" t="n">
        <v>-52785.78</v>
      </c>
      <c r="N104" s="18" t="n">
        <v>-43706.08</v>
      </c>
      <c r="O104" s="18" t="n">
        <v>-60935.51</v>
      </c>
      <c r="P104" s="37" t="n">
        <v>-183428.17</v>
      </c>
      <c r="Q104" s="18" t="n">
        <v>-74156.66</v>
      </c>
      <c r="R104" s="18" t="n">
        <v>-59938.66</v>
      </c>
      <c r="S104" s="18" t="n">
        <v>-50700.9</v>
      </c>
      <c r="T104" s="18" t="n">
        <v>-82384.98</v>
      </c>
      <c r="U104" s="37" t="n">
        <v>-267181.2</v>
      </c>
      <c r="V104" s="18" t="n">
        <v>-47326.54</v>
      </c>
      <c r="W104" s="18" t="n">
        <v>-43244.7</v>
      </c>
      <c r="X104" s="18" t="n">
        <v>-32996.68</v>
      </c>
      <c r="Y104" s="18" t="n">
        <v>-46398.47</v>
      </c>
      <c r="Z104" s="37" t="n">
        <v>-169966.39</v>
      </c>
      <c r="AA104" s="18" t="n">
        <v>-24199.24</v>
      </c>
      <c r="AB104" s="19" t="n">
        <v>-14702.43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E105" s="18" t="n">
        <v>0</v>
      </c>
      <c r="F105" s="9" t="n"/>
      <c r="I105" s="18" t="n">
        <v>0</v>
      </c>
      <c r="J105" s="18" t="n">
        <v>0</v>
      </c>
      <c r="K105" s="9" t="n"/>
      <c r="N105" s="18" t="n">
        <v>-0.21</v>
      </c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0</v>
      </c>
      <c r="Z105" s="9" t="n"/>
      <c r="AA105" s="18" t="n">
        <v>246.84</v>
      </c>
      <c r="AB105" s="19" t="n">
        <v>682.67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법인세납부(CF)</t>
        </is>
      </c>
      <c r="E106" s="18" t="n">
        <v>11290.53</v>
      </c>
      <c r="F106" s="9" t="n"/>
      <c r="G106" s="18" t="n">
        <v>8055.68</v>
      </c>
      <c r="H106" s="18" t="n">
        <v>7491.26</v>
      </c>
      <c r="I106" s="18" t="n">
        <v>-36190.91</v>
      </c>
      <c r="J106" s="18" t="n">
        <v>-10504.01</v>
      </c>
      <c r="K106" s="37" t="n">
        <v>-31147.98</v>
      </c>
      <c r="N106" s="18" t="n">
        <v>-1187.31</v>
      </c>
      <c r="O106" s="18" t="n">
        <v>-2594.71</v>
      </c>
      <c r="P106" s="9" t="n"/>
      <c r="Q106" s="18" t="n">
        <v>-4012.81</v>
      </c>
      <c r="R106" s="18" t="n">
        <v>-1210.86</v>
      </c>
      <c r="S106" s="18" t="n">
        <v>-1860.38</v>
      </c>
      <c r="T106" s="18" t="n">
        <v>-958.79</v>
      </c>
      <c r="U106" s="37" t="n">
        <v>-8042.84</v>
      </c>
      <c r="V106" s="18" t="n">
        <v>-267.44</v>
      </c>
      <c r="W106" s="18" t="n">
        <v>2467.73</v>
      </c>
      <c r="X106" s="18" t="n">
        <v>-1532.34</v>
      </c>
      <c r="Y106" s="18" t="n">
        <v>-2758.61</v>
      </c>
      <c r="Z106" s="37" t="n">
        <v>-2090.66</v>
      </c>
      <c r="AA106" s="18" t="n">
        <v>-6700.74</v>
      </c>
      <c r="AB106" s="19" t="n">
        <v>-10806.16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투자활동으로인한현금흐름</t>
        </is>
      </c>
      <c r="E107" s="18" t="n">
        <v>-87857.60000000001</v>
      </c>
      <c r="F107" s="9" t="n"/>
      <c r="G107" s="18" t="n">
        <v>409903.94</v>
      </c>
      <c r="H107" s="18" t="n">
        <v>227288.32</v>
      </c>
      <c r="I107" s="18" t="n">
        <v>237106.74</v>
      </c>
      <c r="J107" s="18" t="n">
        <v>227768.05</v>
      </c>
      <c r="K107" s="37" t="n">
        <v>1102067.05</v>
      </c>
      <c r="L107" s="18" t="n">
        <v>-640775.89</v>
      </c>
      <c r="M107" s="18" t="n">
        <v>378685.81</v>
      </c>
      <c r="N107" s="18" t="n">
        <v>83125.49000000001</v>
      </c>
      <c r="O107" s="18" t="n">
        <v>-15779.9</v>
      </c>
      <c r="P107" s="37" t="n">
        <v>-194744.49</v>
      </c>
      <c r="Q107" s="18" t="n">
        <v>34292.81</v>
      </c>
      <c r="R107" s="18" t="n">
        <v>-30865.52</v>
      </c>
      <c r="S107" s="18" t="n">
        <v>-13103.59</v>
      </c>
      <c r="T107" s="18" t="n">
        <v>320203.66</v>
      </c>
      <c r="U107" s="37" t="n">
        <v>310527.36</v>
      </c>
      <c r="V107" s="18" t="n">
        <v>-170854.7</v>
      </c>
      <c r="W107" s="18" t="n">
        <v>36977.32</v>
      </c>
      <c r="X107" s="18" t="n">
        <v>-240693.62</v>
      </c>
      <c r="Y107" s="18" t="n">
        <v>-105808.87</v>
      </c>
      <c r="Z107" s="37" t="n">
        <v>-480379.87</v>
      </c>
      <c r="AA107" s="18" t="n">
        <v>-330587.3</v>
      </c>
      <c r="AB107" s="19" t="n">
        <v>-938806.23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6215.37</v>
      </c>
      <c r="F108" s="9" t="n"/>
      <c r="G108" s="18" t="n">
        <v>17466.06</v>
      </c>
      <c r="H108" s="18" t="n">
        <v>14586.68</v>
      </c>
      <c r="I108" s="18" t="n">
        <v>9456.49</v>
      </c>
      <c r="J108" s="18" t="n">
        <v>20900.76</v>
      </c>
      <c r="K108" s="37" t="n">
        <v>62409.99</v>
      </c>
      <c r="L108" s="18" t="n">
        <v>26244.76</v>
      </c>
      <c r="M108" s="18" t="n">
        <v>42229.93</v>
      </c>
      <c r="N108" s="18" t="n">
        <v>45027.13</v>
      </c>
      <c r="O108" s="18" t="n">
        <v>39918.11</v>
      </c>
      <c r="P108" s="37" t="n">
        <v>153419.93</v>
      </c>
      <c r="Q108" s="18" t="n">
        <v>28467.26</v>
      </c>
      <c r="R108" s="18" t="n">
        <v>35507.25</v>
      </c>
      <c r="S108" s="18" t="n">
        <v>43971.29</v>
      </c>
      <c r="T108" s="18" t="n">
        <v>65449.16</v>
      </c>
      <c r="U108" s="37" t="n">
        <v>173394.96</v>
      </c>
      <c r="V108" s="18" t="n">
        <v>41791.51</v>
      </c>
      <c r="W108" s="18" t="n">
        <v>66823.74000000001</v>
      </c>
      <c r="X108" s="18" t="n">
        <v>51943.64</v>
      </c>
      <c r="Y108" s="18" t="n">
        <v>55695.83</v>
      </c>
      <c r="Z108" s="37" t="n">
        <v>216254.72</v>
      </c>
      <c r="AA108" s="18" t="n">
        <v>35789.81</v>
      </c>
      <c r="AB108" s="19" t="n">
        <v>61171.15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6215.37</v>
      </c>
      <c r="F109" s="9" t="n"/>
      <c r="G109" s="18" t="n">
        <v>17466.06</v>
      </c>
      <c r="H109" s="18" t="n">
        <v>14586.68</v>
      </c>
      <c r="I109" s="18" t="n">
        <v>9456.49</v>
      </c>
      <c r="J109" s="18" t="n">
        <v>20900.76</v>
      </c>
      <c r="K109" s="37" t="n">
        <v>62409.99</v>
      </c>
      <c r="L109" s="18" t="n">
        <v>26244.76</v>
      </c>
      <c r="M109" s="18" t="n">
        <v>42229.93</v>
      </c>
      <c r="N109" s="18" t="n">
        <v>45067.8</v>
      </c>
      <c r="O109" s="18" t="n">
        <v>39917.98</v>
      </c>
      <c r="P109" s="37" t="n">
        <v>153460.47</v>
      </c>
      <c r="Q109" s="18" t="n">
        <v>28482.94</v>
      </c>
      <c r="R109" s="18" t="n">
        <v>35507.44</v>
      </c>
      <c r="S109" s="18" t="n">
        <v>43971.36</v>
      </c>
      <c r="T109" s="18" t="n">
        <v>65453.08</v>
      </c>
      <c r="U109" s="37" t="n">
        <v>173414.82</v>
      </c>
      <c r="V109" s="18" t="n">
        <v>41791.51</v>
      </c>
      <c r="W109" s="18" t="n">
        <v>66823.74000000001</v>
      </c>
      <c r="X109" s="18" t="n">
        <v>51943.64</v>
      </c>
      <c r="Y109" s="18" t="n">
        <v>55695.83</v>
      </c>
      <c r="Z109" s="37" t="n">
        <v>216254.72</v>
      </c>
      <c r="AA109" s="18" t="n">
        <v>35789.81</v>
      </c>
      <c r="AB109" s="19" t="n">
        <v>61171.15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유형자산의감소</t>
        </is>
      </c>
      <c r="E110" s="18" t="n">
        <v>138495.94</v>
      </c>
      <c r="F110" s="9" t="n"/>
      <c r="G110" s="18" t="n">
        <v>5944.07</v>
      </c>
      <c r="H110" s="18" t="n">
        <v>23475.18</v>
      </c>
      <c r="J110" s="18" t="n">
        <v>297766.99</v>
      </c>
      <c r="K110" s="9" t="n"/>
      <c r="L110" s="18" t="n">
        <v>39.3</v>
      </c>
      <c r="M110" s="18" t="n">
        <v>970.33</v>
      </c>
      <c r="N110" s="18" t="n">
        <v>180.96</v>
      </c>
      <c r="O110" s="18" t="n">
        <v>503.83</v>
      </c>
      <c r="P110" s="37" t="n">
        <v>1694.42</v>
      </c>
      <c r="Q110" s="18" t="n">
        <v>399.8</v>
      </c>
      <c r="R110" s="18" t="n">
        <v>662.53</v>
      </c>
      <c r="S110" s="18" t="n">
        <v>173.24</v>
      </c>
      <c r="T110" s="18" t="n">
        <v>382480.37</v>
      </c>
      <c r="U110" s="37" t="n">
        <v>383715.94</v>
      </c>
      <c r="V110" s="18" t="n">
        <v>18505.89</v>
      </c>
      <c r="W110" s="18" t="n">
        <v>295.92</v>
      </c>
      <c r="X110" s="18" t="n">
        <v>499.2</v>
      </c>
      <c r="Y110" s="18" t="n">
        <v>2326.03</v>
      </c>
      <c r="Z110" s="37" t="n">
        <v>21627.04</v>
      </c>
      <c r="AA110" s="18" t="n">
        <v>507.98</v>
      </c>
      <c r="AB110" s="19" t="n">
        <v>334.53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무형자산의감소</t>
        </is>
      </c>
      <c r="E111" s="18" t="n">
        <v>0</v>
      </c>
      <c r="F111" s="9" t="n"/>
      <c r="I111" s="18" t="n">
        <v>10.97</v>
      </c>
      <c r="J111" s="18" t="n">
        <v>-0.91</v>
      </c>
      <c r="K111" s="9" t="n"/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재무활동으로인한현금흐름</t>
        </is>
      </c>
      <c r="E112" s="18" t="n">
        <v>-572668.0699999999</v>
      </c>
      <c r="F112" s="9" t="n"/>
      <c r="G112" s="18" t="n">
        <v>-131800.92</v>
      </c>
      <c r="H112" s="18" t="n">
        <v>123199.84</v>
      </c>
      <c r="I112" s="18" t="n">
        <v>838202.92</v>
      </c>
      <c r="J112" s="18" t="n">
        <v>117207.9</v>
      </c>
      <c r="K112" s="37" t="n">
        <v>946809.74</v>
      </c>
      <c r="L112" s="18" t="n">
        <v>-273036.63</v>
      </c>
      <c r="M112" s="18" t="n">
        <v>313328.34</v>
      </c>
      <c r="N112" s="18" t="n">
        <v>167118.79</v>
      </c>
      <c r="O112" s="18" t="n">
        <v>168589.2</v>
      </c>
      <c r="P112" s="37" t="n">
        <v>375999.7</v>
      </c>
      <c r="Q112" s="18" t="n">
        <v>-137462.25</v>
      </c>
      <c r="R112" s="18" t="n">
        <v>9263.790000000001</v>
      </c>
      <c r="S112" s="18" t="n">
        <v>219287.87</v>
      </c>
      <c r="T112" s="18" t="n">
        <v>-690305.09</v>
      </c>
      <c r="U112" s="37" t="n">
        <v>-599215.6800000001</v>
      </c>
      <c r="V112" s="18" t="n">
        <v>-134240.53</v>
      </c>
      <c r="W112" s="18" t="n">
        <v>-358878.94</v>
      </c>
      <c r="X112" s="18" t="n">
        <v>-321042.86</v>
      </c>
      <c r="Y112" s="18" t="n">
        <v>-452353.85</v>
      </c>
      <c r="Z112" s="37" t="n">
        <v>-1266516.18</v>
      </c>
      <c r="AA112" s="18" t="n">
        <v>-896453.12</v>
      </c>
      <c r="AB112" s="19" t="n">
        <v>-113016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단기차입금의증가</t>
        </is>
      </c>
      <c r="E113" s="18" t="n">
        <v>233841.15</v>
      </c>
      <c r="F113" s="9" t="n"/>
      <c r="G113" s="18" t="n">
        <v>172835.71</v>
      </c>
      <c r="H113" s="18" t="n">
        <v>424867.94</v>
      </c>
      <c r="I113" s="18" t="n">
        <v>941183.2</v>
      </c>
      <c r="J113" s="18" t="n">
        <v>301254.04</v>
      </c>
      <c r="K113" s="37" t="n">
        <v>1840140.89</v>
      </c>
      <c r="L113" s="18" t="n">
        <v>552455.7</v>
      </c>
      <c r="M113" s="18" t="n">
        <v>428462.83</v>
      </c>
      <c r="N113" s="18" t="n">
        <v>676363.71</v>
      </c>
      <c r="O113" s="18" t="n">
        <v>516942.92</v>
      </c>
      <c r="P113" s="37" t="n">
        <v>2174225.16</v>
      </c>
      <c r="Q113" s="18" t="n">
        <v>1010071.6</v>
      </c>
      <c r="R113" s="18" t="n">
        <v>865604.85</v>
      </c>
      <c r="S113" s="18" t="n">
        <v>979079.1</v>
      </c>
      <c r="T113" s="18" t="n">
        <v>626139.28</v>
      </c>
      <c r="U113" s="37" t="n">
        <v>3480894.83</v>
      </c>
      <c r="V113" s="18" t="n">
        <v>749564.59</v>
      </c>
      <c r="W113" s="18" t="n">
        <v>481342.71</v>
      </c>
      <c r="X113" s="18" t="n">
        <v>580886.7</v>
      </c>
      <c r="Y113" s="18" t="n">
        <v>184765.85</v>
      </c>
      <c r="Z113" s="37" t="n">
        <v>1996559.85</v>
      </c>
      <c r="AA113" s="18" t="n">
        <v>146391.58</v>
      </c>
      <c r="AB113" s="19" t="n">
        <v>182068.51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1006718.19</v>
      </c>
      <c r="F114" s="9" t="n"/>
      <c r="G114" s="18" t="n">
        <v>286966.15</v>
      </c>
      <c r="H114" s="18" t="n">
        <v>509245.4</v>
      </c>
      <c r="I114" s="18" t="n">
        <v>115510.54</v>
      </c>
      <c r="J114" s="18" t="n">
        <v>422545.09</v>
      </c>
      <c r="K114" s="37" t="n">
        <v>1334267.18</v>
      </c>
      <c r="L114" s="18" t="n">
        <v>761234.42</v>
      </c>
      <c r="M114" s="18" t="n">
        <v>177333.3</v>
      </c>
      <c r="N114" s="18" t="n">
        <v>484470.61</v>
      </c>
      <c r="O114" s="18" t="n">
        <v>306608.99</v>
      </c>
      <c r="P114" s="37" t="n">
        <v>1729647.32</v>
      </c>
      <c r="Q114" s="18" t="n">
        <v>807134.12</v>
      </c>
      <c r="R114" s="18" t="n">
        <v>760031.59</v>
      </c>
      <c r="S114" s="18" t="n">
        <v>688720.6800000001</v>
      </c>
      <c r="T114" s="18" t="n">
        <v>983191.98</v>
      </c>
      <c r="U114" s="37" t="n">
        <v>3239078.37</v>
      </c>
      <c r="V114" s="18" t="n">
        <v>788760.36</v>
      </c>
      <c r="W114" s="18" t="n">
        <v>714152.22</v>
      </c>
      <c r="X114" s="18" t="n">
        <v>778178.14</v>
      </c>
      <c r="Y114" s="18" t="n">
        <v>430410.95</v>
      </c>
      <c r="Z114" s="37" t="n">
        <v>2711501.67</v>
      </c>
      <c r="AA114" s="18" t="n">
        <v>862182.78</v>
      </c>
      <c r="AB114" s="19" t="n">
        <v>167365.29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유동성장기부채의감소</t>
        </is>
      </c>
      <c r="E115" s="18" t="n">
        <v>1169979</v>
      </c>
      <c r="F115" s="9" t="n"/>
      <c r="G115" s="18" t="n">
        <v>117791</v>
      </c>
      <c r="H115" s="18" t="n">
        <v>317138</v>
      </c>
      <c r="I115" s="18" t="n">
        <v>170650</v>
      </c>
      <c r="J115" s="18" t="n">
        <v>30000</v>
      </c>
      <c r="K115" s="37" t="n">
        <v>635579</v>
      </c>
      <c r="L115" s="18" t="n">
        <v>94314.53</v>
      </c>
      <c r="M115" s="18" t="n">
        <v>679585.73</v>
      </c>
      <c r="O115" s="18" t="n">
        <v>0</v>
      </c>
      <c r="P115" s="9" t="n"/>
      <c r="Q115" s="18" t="n">
        <v>315644</v>
      </c>
      <c r="R115" s="18" t="n">
        <v>180110</v>
      </c>
      <c r="S115" s="18" t="n">
        <v>247676</v>
      </c>
      <c r="T115" s="18" t="n">
        <v>388753</v>
      </c>
      <c r="U115" s="37" t="n">
        <v>1132183</v>
      </c>
      <c r="V115" s="18" t="n">
        <v>78961</v>
      </c>
      <c r="W115" s="18" t="n">
        <v>302284</v>
      </c>
      <c r="X115" s="18" t="n">
        <v>399177</v>
      </c>
      <c r="Y115" s="18" t="n">
        <v>182185</v>
      </c>
      <c r="Z115" s="37" t="n">
        <v>962607</v>
      </c>
      <c r="AA115" s="18" t="n">
        <v>164865.01</v>
      </c>
      <c r="AB115" s="19" t="n">
        <v>117502.27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사채의증가</t>
        </is>
      </c>
      <c r="E116" s="18" t="n">
        <v>0</v>
      </c>
      <c r="F116" s="9" t="n"/>
      <c r="I116" s="18" t="n">
        <v>0</v>
      </c>
      <c r="J116" s="18" t="n">
        <v>79539.16</v>
      </c>
      <c r="K116" s="9" t="n"/>
      <c r="L116" s="18" t="n">
        <v>44909.51</v>
      </c>
      <c r="M116" s="18" t="n">
        <v>179638.2</v>
      </c>
      <c r="N116" s="18" t="n">
        <v>0</v>
      </c>
      <c r="O116" s="18" t="n">
        <v>0</v>
      </c>
      <c r="P116" s="37" t="n">
        <v>224547.71</v>
      </c>
      <c r="Q116" s="18" t="n">
        <v>0</v>
      </c>
      <c r="R116" s="18" t="n">
        <v>0</v>
      </c>
      <c r="S116" s="18" t="n">
        <v>0</v>
      </c>
      <c r="T116" s="18" t="n">
        <v>0</v>
      </c>
      <c r="U116" s="37" t="n">
        <v>0</v>
      </c>
      <c r="Y116" s="18" t="n">
        <v>0</v>
      </c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E117" s="18" t="n">
        <v>100000</v>
      </c>
      <c r="F117" s="9" t="n"/>
      <c r="G117" s="18" t="n">
        <v>110145</v>
      </c>
      <c r="H117" s="18" t="n">
        <v>361407</v>
      </c>
      <c r="I117" s="18" t="n">
        <v>194447.54</v>
      </c>
      <c r="J117" s="18" t="n">
        <v>205001.19</v>
      </c>
      <c r="K117" s="37" t="n">
        <v>871000.73</v>
      </c>
      <c r="N117" s="18" t="n">
        <v>0</v>
      </c>
      <c r="O117" s="18" t="n">
        <v>117530</v>
      </c>
      <c r="P117" s="9" t="n"/>
      <c r="Q117" s="18" t="n">
        <v>107012.16</v>
      </c>
      <c r="R117" s="18" t="n">
        <v>105319.33</v>
      </c>
      <c r="S117" s="18" t="n">
        <v>198041.69</v>
      </c>
      <c r="T117" s="18" t="n">
        <v>76345.47</v>
      </c>
      <c r="U117" s="37" t="n">
        <v>486718.65</v>
      </c>
      <c r="V117" s="18" t="n">
        <v>1656.09</v>
      </c>
      <c r="W117" s="18" t="n">
        <v>195583.36</v>
      </c>
      <c r="Z117" s="9" t="n"/>
      <c r="AA117" s="18" t="n">
        <v>0</v>
      </c>
      <c r="AB117" s="19" t="n">
        <v>0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리스부채의상환</t>
        </is>
      </c>
      <c r="E118" s="18" t="n">
        <v>5486.85</v>
      </c>
      <c r="F118" s="9" t="n"/>
      <c r="G118" s="18" t="n">
        <v>10024.48</v>
      </c>
      <c r="H118" s="18" t="n">
        <v>16751.48</v>
      </c>
      <c r="I118" s="18" t="n">
        <v>11267.28</v>
      </c>
      <c r="J118" s="18" t="n">
        <v>16041.39</v>
      </c>
      <c r="K118" s="37" t="n">
        <v>54084.63</v>
      </c>
      <c r="L118" s="18" t="n">
        <v>15805.12</v>
      </c>
      <c r="M118" s="18" t="n">
        <v>19196.43</v>
      </c>
      <c r="N118" s="18" t="n">
        <v>14105.85</v>
      </c>
      <c r="O118" s="18" t="n">
        <v>14775.23</v>
      </c>
      <c r="P118" s="37" t="n">
        <v>63882.63</v>
      </c>
      <c r="Q118" s="18" t="n">
        <v>20849.73</v>
      </c>
      <c r="R118" s="18" t="n">
        <v>21496.91</v>
      </c>
      <c r="S118" s="18" t="n">
        <v>21436.23</v>
      </c>
      <c r="T118" s="18" t="n">
        <v>20823.64</v>
      </c>
      <c r="U118" s="37" t="n">
        <v>84606.50999999999</v>
      </c>
      <c r="V118" s="18" t="n">
        <v>17739.85</v>
      </c>
      <c r="W118" s="18" t="n">
        <v>19368.79</v>
      </c>
      <c r="X118" s="18" t="n">
        <v>22221.57</v>
      </c>
      <c r="Y118" s="18" t="n">
        <v>22861.36</v>
      </c>
      <c r="Z118" s="37" t="n">
        <v>82191.57000000001</v>
      </c>
      <c r="AA118" s="18" t="n">
        <v>15796.91</v>
      </c>
      <c r="AB118" s="19" t="n">
        <v>10236.95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현금및현금성자산의증감</t>
        </is>
      </c>
      <c r="E119" s="18" t="n">
        <v>-587435.63</v>
      </c>
      <c r="F119" s="9" t="n"/>
      <c r="G119" s="18" t="n">
        <v>82599.62</v>
      </c>
      <c r="H119" s="18" t="n">
        <v>233190.47</v>
      </c>
      <c r="I119" s="18" t="n">
        <v>-84227.50999999999</v>
      </c>
      <c r="J119" s="18" t="n">
        <v>124293.51</v>
      </c>
      <c r="K119" s="37" t="n">
        <v>355856.09</v>
      </c>
      <c r="L119" s="18" t="n">
        <v>-633796.9399999999</v>
      </c>
      <c r="M119" s="18" t="n">
        <v>366079.94</v>
      </c>
      <c r="N119" s="18" t="n">
        <v>-158432.75</v>
      </c>
      <c r="O119" s="18" t="n">
        <v>90938.39999999999</v>
      </c>
      <c r="P119" s="37" t="n">
        <v>-335211.35</v>
      </c>
      <c r="Q119" s="18" t="n">
        <v>196112.99</v>
      </c>
      <c r="R119" s="18" t="n">
        <v>-456857.41</v>
      </c>
      <c r="S119" s="18" t="n">
        <v>306846.19</v>
      </c>
      <c r="T119" s="18" t="n">
        <v>319729.84</v>
      </c>
      <c r="U119" s="37" t="n">
        <v>365831.61</v>
      </c>
      <c r="V119" s="18" t="n">
        <v>-436146.06</v>
      </c>
      <c r="W119" s="18" t="n">
        <v>79593.17</v>
      </c>
      <c r="X119" s="18" t="n">
        <v>806152.62</v>
      </c>
      <c r="Y119" s="18" t="n">
        <v>-633647.01</v>
      </c>
      <c r="Z119" s="37" t="n">
        <v>-184047.28</v>
      </c>
      <c r="AA119" s="18" t="n">
        <v>261768.16</v>
      </c>
      <c r="AB119" s="19" t="n">
        <v>-233696.4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기말현금및현금성자산</t>
        </is>
      </c>
      <c r="E120" s="18" t="n">
        <v>-597485.24</v>
      </c>
      <c r="F120" s="9" t="n"/>
      <c r="G120" s="18" t="n">
        <v>674797.03</v>
      </c>
      <c r="H120" s="18" t="n">
        <v>240586.97</v>
      </c>
      <c r="I120" s="18" t="n">
        <v>-88206.64</v>
      </c>
      <c r="J120" s="18" t="n">
        <v>92014.34</v>
      </c>
      <c r="K120" s="37" t="n">
        <v>919191.7</v>
      </c>
      <c r="L120" s="18" t="n">
        <v>287073.93</v>
      </c>
      <c r="M120" s="18" t="n">
        <v>364375.25</v>
      </c>
      <c r="N120" s="18" t="n">
        <v>-157600.26</v>
      </c>
      <c r="O120" s="18" t="n">
        <v>89962.78</v>
      </c>
      <c r="P120" s="37" t="n">
        <v>583811.7</v>
      </c>
      <c r="Q120" s="18" t="n">
        <v>789036.13</v>
      </c>
      <c r="R120" s="18" t="n">
        <v>-463500.79</v>
      </c>
      <c r="S120" s="18" t="n">
        <v>304937.82</v>
      </c>
      <c r="T120" s="18" t="n">
        <v>325488.69</v>
      </c>
      <c r="U120" s="37" t="n">
        <v>955961.85</v>
      </c>
      <c r="V120" s="18" t="n">
        <v>519674.1</v>
      </c>
      <c r="W120" s="18" t="n">
        <v>77097.06</v>
      </c>
      <c r="X120" s="18" t="n">
        <v>806251.88</v>
      </c>
      <c r="Y120" s="18" t="n">
        <v>-630408.39</v>
      </c>
      <c r="Z120" s="37" t="n">
        <v>772614.65</v>
      </c>
      <c r="AA120" s="18" t="n">
        <v>1038042.76</v>
      </c>
      <c r="AB120" s="19" t="n">
        <v>-230627.48</v>
      </c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장기차입금의감소</t>
        </is>
      </c>
      <c r="F121" s="9" t="n"/>
      <c r="K121" s="9" t="n"/>
      <c r="N121" s="18" t="n">
        <v>265222.72</v>
      </c>
      <c r="O121" s="18" t="n">
        <v>95360.78</v>
      </c>
      <c r="P121" s="9" t="n"/>
      <c r="S121" s="18" t="n">
        <v>0</v>
      </c>
      <c r="T121" s="18" t="n">
        <v>0</v>
      </c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무형자산의증가</t>
        </is>
      </c>
      <c r="F122" s="9" t="n"/>
      <c r="K122" s="9" t="n"/>
      <c r="O122" s="18" t="n">
        <v>-0.13</v>
      </c>
      <c r="P122" s="9" t="n"/>
      <c r="Q122" s="18" t="n">
        <v>15.68</v>
      </c>
      <c r="R122" s="18" t="n">
        <v>0.19</v>
      </c>
      <c r="S122" s="18" t="n">
        <v>0.07000000000000001</v>
      </c>
      <c r="T122" s="18" t="n">
        <v>3.92</v>
      </c>
      <c r="U122" s="37" t="n">
        <v>19.86</v>
      </c>
      <c r="V122" s="18" t="n">
        <v>0</v>
      </c>
      <c r="W122" s="18" t="n">
        <v>0</v>
      </c>
      <c r="X122" s="18" t="n">
        <v>0</v>
      </c>
      <c r="Y122" s="18" t="n">
        <v>0</v>
      </c>
      <c r="Z122" s="37" t="n">
        <v>0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삼성중공업(별)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5381314</v>
      </c>
      <c r="F5" s="37" t="n">
        <v>5381314</v>
      </c>
      <c r="G5" s="18" t="n">
        <v>5591731.4</v>
      </c>
      <c r="H5" s="18" t="n">
        <v>6745399.98</v>
      </c>
      <c r="I5" s="18" t="n">
        <v>9179954.630000001</v>
      </c>
      <c r="J5" s="18" t="n">
        <v>8080046.69</v>
      </c>
      <c r="K5" s="37" t="n">
        <v>8080046.69</v>
      </c>
      <c r="L5" s="18" t="n">
        <v>8432823.060000001</v>
      </c>
      <c r="M5" s="18" t="n">
        <v>8816102.470000001</v>
      </c>
      <c r="N5" s="18" t="n">
        <v>10528798.57</v>
      </c>
      <c r="O5" s="18" t="n">
        <v>9106451.42</v>
      </c>
      <c r="P5" s="37" t="n">
        <v>9106451.42</v>
      </c>
      <c r="Q5" s="18" t="n">
        <v>9696673.26</v>
      </c>
      <c r="R5" s="18" t="n">
        <v>9876070.289999999</v>
      </c>
      <c r="S5" s="18" t="n">
        <v>8480249.59</v>
      </c>
      <c r="T5" s="18" t="n">
        <v>9329870.970000001</v>
      </c>
      <c r="U5" s="37" t="n">
        <v>9329870.970000001</v>
      </c>
      <c r="V5" s="18" t="n">
        <v>8632608.630000001</v>
      </c>
      <c r="W5" s="18" t="n">
        <v>6961978.7</v>
      </c>
      <c r="X5" s="18" t="n">
        <v>7269760.69</v>
      </c>
      <c r="Y5" s="18" t="n">
        <v>7338656.86</v>
      </c>
      <c r="Z5" s="37" t="n">
        <v>7338656.86</v>
      </c>
      <c r="AA5" s="18" t="n">
        <v>8261589.75</v>
      </c>
      <c r="AB5" s="19" t="n">
        <v>9656586.189999999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514394.69</v>
      </c>
      <c r="F6" s="37" t="n">
        <v>514394.69</v>
      </c>
      <c r="G6" s="18" t="n">
        <v>614926.47</v>
      </c>
      <c r="H6" s="18" t="n">
        <v>489414.73</v>
      </c>
      <c r="I6" s="18" t="n">
        <v>419090.75</v>
      </c>
      <c r="J6" s="18" t="n">
        <v>514997.41</v>
      </c>
      <c r="K6" s="37" t="n">
        <v>514997.41</v>
      </c>
      <c r="L6" s="18" t="n">
        <v>212662.85</v>
      </c>
      <c r="M6" s="18" t="n">
        <v>592953.89</v>
      </c>
      <c r="N6" s="18" t="n">
        <v>389818.56</v>
      </c>
      <c r="O6" s="18" t="n">
        <v>519631.73</v>
      </c>
      <c r="P6" s="37" t="n">
        <v>519631.73</v>
      </c>
      <c r="Q6" s="18" t="n">
        <v>765620.16</v>
      </c>
      <c r="R6" s="18" t="n">
        <v>272322.38</v>
      </c>
      <c r="S6" s="18" t="n">
        <v>567800.38</v>
      </c>
      <c r="T6" s="18" t="n">
        <v>888448.6800000001</v>
      </c>
      <c r="U6" s="37" t="n">
        <v>888448.6800000001</v>
      </c>
      <c r="V6" s="18" t="n">
        <v>471581.61</v>
      </c>
      <c r="W6" s="18" t="n">
        <v>566760.97</v>
      </c>
      <c r="X6" s="18" t="n">
        <v>1346737.83</v>
      </c>
      <c r="Y6" s="18" t="n">
        <v>685976.42</v>
      </c>
      <c r="Z6" s="37" t="n">
        <v>685976.42</v>
      </c>
      <c r="AA6" s="18" t="n">
        <v>1004973.81</v>
      </c>
      <c r="AB6" s="19" t="n">
        <v>758888.15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569031.92</v>
      </c>
      <c r="F7" s="37" t="n">
        <v>569031.92</v>
      </c>
      <c r="G7" s="18" t="n">
        <v>167199.94</v>
      </c>
      <c r="H7" s="18" t="n">
        <v>318436.04</v>
      </c>
      <c r="I7" s="18" t="n">
        <v>70607.48</v>
      </c>
      <c r="J7" s="18" t="n">
        <v>84557.13</v>
      </c>
      <c r="K7" s="37" t="n">
        <v>84557.13</v>
      </c>
      <c r="L7" s="18" t="n">
        <v>348914.05</v>
      </c>
      <c r="M7" s="18" t="n">
        <v>288916.6</v>
      </c>
      <c r="N7" s="18" t="n">
        <v>163843.33</v>
      </c>
      <c r="O7" s="18" t="n">
        <v>136908.15</v>
      </c>
      <c r="P7" s="37" t="n">
        <v>136908.15</v>
      </c>
      <c r="Q7" s="18" t="n">
        <v>86908.95</v>
      </c>
      <c r="R7" s="18" t="n">
        <v>58774.68</v>
      </c>
      <c r="S7" s="18" t="n">
        <v>33976.92</v>
      </c>
      <c r="T7" s="18" t="n">
        <v>33851.15</v>
      </c>
      <c r="U7" s="37" t="n">
        <v>33851.15</v>
      </c>
      <c r="V7" s="18" t="n">
        <v>36804.68</v>
      </c>
      <c r="W7" s="18" t="n">
        <v>36830.1</v>
      </c>
      <c r="X7" s="18" t="n">
        <v>236937.39</v>
      </c>
      <c r="Y7" s="18" t="n">
        <v>287050.93</v>
      </c>
      <c r="Z7" s="37" t="n">
        <v>287050.93</v>
      </c>
      <c r="AA7" s="18" t="n">
        <v>586672.09</v>
      </c>
      <c r="AB7" s="19" t="n">
        <v>716570.9399999999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1006869.92</v>
      </c>
      <c r="F8" s="37" t="n">
        <v>1006869.92</v>
      </c>
      <c r="G8" s="18" t="n">
        <v>857597.79</v>
      </c>
      <c r="H8" s="18" t="n">
        <v>2092704.35</v>
      </c>
      <c r="I8" s="18" t="n">
        <v>3663628.88</v>
      </c>
      <c r="J8" s="18" t="n">
        <v>1993508.25</v>
      </c>
      <c r="K8" s="37" t="n">
        <v>1993508.25</v>
      </c>
      <c r="L8" s="18" t="n">
        <v>2373603.05</v>
      </c>
      <c r="M8" s="18" t="n">
        <v>2199548.23</v>
      </c>
      <c r="N8" s="18" t="n">
        <v>2772081.85</v>
      </c>
      <c r="O8" s="18" t="n">
        <v>1511350.71</v>
      </c>
      <c r="P8" s="37" t="n">
        <v>1511350.71</v>
      </c>
      <c r="Q8" s="18" t="n">
        <v>2079864.01</v>
      </c>
      <c r="R8" s="18" t="n">
        <v>2457514.8</v>
      </c>
      <c r="S8" s="18" t="n">
        <v>1488990.9</v>
      </c>
      <c r="T8" s="18" t="n">
        <v>2082031.37</v>
      </c>
      <c r="U8" s="37" t="n">
        <v>2082031.37</v>
      </c>
      <c r="V8" s="18" t="n">
        <v>1832210.57</v>
      </c>
      <c r="W8" s="18" t="n">
        <v>1099234.26</v>
      </c>
      <c r="X8" s="18" t="n">
        <v>1129633.7</v>
      </c>
      <c r="Y8" s="18" t="n">
        <v>1332121.72</v>
      </c>
      <c r="Z8" s="37" t="n">
        <v>1332121.72</v>
      </c>
      <c r="AA8" s="18" t="n">
        <v>2035265.37</v>
      </c>
      <c r="AB8" s="19" t="n">
        <v>2346689.24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126417.22</v>
      </c>
      <c r="F9" s="37" t="n">
        <v>126417.22</v>
      </c>
      <c r="G9" s="18" t="n">
        <v>179496</v>
      </c>
      <c r="H9" s="18" t="n">
        <v>226529.09</v>
      </c>
      <c r="I9" s="18" t="n">
        <v>233311.61</v>
      </c>
      <c r="J9" s="18" t="n">
        <v>896928.79</v>
      </c>
      <c r="K9" s="37" t="n">
        <v>896928.79</v>
      </c>
      <c r="L9" s="18" t="n">
        <v>496705.52</v>
      </c>
      <c r="M9" s="18" t="n">
        <v>346862.25</v>
      </c>
      <c r="N9" s="18" t="n">
        <v>998045.75</v>
      </c>
      <c r="O9" s="18" t="n">
        <v>512517.29</v>
      </c>
      <c r="P9" s="37" t="n">
        <v>512517.29</v>
      </c>
      <c r="Q9" s="18" t="n">
        <v>569171.21</v>
      </c>
      <c r="R9" s="18" t="n">
        <v>557381.04</v>
      </c>
      <c r="S9" s="18" t="n">
        <v>439410.15</v>
      </c>
      <c r="T9" s="18" t="n">
        <v>1239581.86</v>
      </c>
      <c r="U9" s="37" t="n">
        <v>1239581.86</v>
      </c>
      <c r="V9" s="18" t="n">
        <v>1024362.41</v>
      </c>
      <c r="W9" s="18" t="n">
        <v>570927.8</v>
      </c>
      <c r="X9" s="18" t="n">
        <v>427663.12</v>
      </c>
      <c r="Y9" s="18" t="n">
        <v>1483387.43</v>
      </c>
      <c r="Z9" s="37" t="n">
        <v>1483387.43</v>
      </c>
      <c r="AA9" s="18" t="n">
        <v>699595.36</v>
      </c>
      <c r="AB9" s="19" t="n">
        <v>692857.16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1626474.57</v>
      </c>
      <c r="F10" s="37" t="n">
        <v>1626474.57</v>
      </c>
      <c r="G10" s="18" t="n">
        <v>1740955.5</v>
      </c>
      <c r="H10" s="18" t="n">
        <v>1749710.42</v>
      </c>
      <c r="I10" s="18" t="n">
        <v>2449946.22</v>
      </c>
      <c r="J10" s="18" t="n">
        <v>2319153.15</v>
      </c>
      <c r="K10" s="37" t="n">
        <v>2319153.15</v>
      </c>
      <c r="L10" s="18" t="n">
        <v>2369921.26</v>
      </c>
      <c r="M10" s="18" t="n">
        <v>2934565.46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383604.15</v>
      </c>
      <c r="F11" s="37" t="n">
        <v>383604.15</v>
      </c>
      <c r="G11" s="18" t="n">
        <v>413476.26</v>
      </c>
      <c r="H11" s="18" t="n">
        <v>477250.63</v>
      </c>
      <c r="I11" s="18" t="n">
        <v>552039.34</v>
      </c>
      <c r="J11" s="18" t="n">
        <v>551406.55</v>
      </c>
      <c r="K11" s="37" t="n">
        <v>551406.55</v>
      </c>
      <c r="L11" s="18" t="n">
        <v>612029.97</v>
      </c>
      <c r="M11" s="18" t="n">
        <v>689282.85</v>
      </c>
      <c r="N11" s="18" t="n">
        <v>700986.09</v>
      </c>
      <c r="O11" s="18" t="n">
        <v>786319.8199999999</v>
      </c>
      <c r="P11" s="37" t="n">
        <v>786319.8199999999</v>
      </c>
      <c r="Q11" s="18" t="n">
        <v>787269.12</v>
      </c>
      <c r="R11" s="18" t="n">
        <v>827461.17</v>
      </c>
      <c r="S11" s="18" t="n">
        <v>854406.76</v>
      </c>
      <c r="T11" s="18" t="n">
        <v>882532.54</v>
      </c>
      <c r="U11" s="37" t="n">
        <v>882532.54</v>
      </c>
      <c r="V11" s="18" t="n">
        <v>962464.1800000001</v>
      </c>
      <c r="W11" s="18" t="n">
        <v>828167.66</v>
      </c>
      <c r="X11" s="18" t="n">
        <v>868252.95</v>
      </c>
      <c r="Y11" s="18" t="n">
        <v>904168.5699999999</v>
      </c>
      <c r="Z11" s="37" t="n">
        <v>904168.5699999999</v>
      </c>
      <c r="AA11" s="18" t="n">
        <v>838022.29</v>
      </c>
      <c r="AB11" s="19" t="n">
        <v>969608.02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383604.15</v>
      </c>
      <c r="F12" s="37" t="n">
        <v>383604.15</v>
      </c>
      <c r="G12" s="18" t="n">
        <v>413476.26</v>
      </c>
      <c r="H12" s="18" t="n">
        <v>477250.63</v>
      </c>
      <c r="I12" s="18" t="n">
        <v>552039.34</v>
      </c>
      <c r="J12" s="18" t="n">
        <v>551406.55</v>
      </c>
      <c r="K12" s="37" t="n">
        <v>551406.55</v>
      </c>
      <c r="L12" s="18" t="n">
        <v>612029.97</v>
      </c>
      <c r="M12" s="18" t="n">
        <v>689282.85</v>
      </c>
      <c r="N12" s="18" t="n">
        <v>700986.09</v>
      </c>
      <c r="O12" s="18" t="n">
        <v>786319.8199999999</v>
      </c>
      <c r="P12" s="37" t="n">
        <v>786319.8199999999</v>
      </c>
      <c r="Q12" s="18" t="n">
        <v>787269.12</v>
      </c>
      <c r="R12" s="18" t="n">
        <v>827461.17</v>
      </c>
      <c r="S12" s="18" t="n">
        <v>854406.76</v>
      </c>
      <c r="T12" s="18" t="n">
        <v>882532.54</v>
      </c>
      <c r="U12" s="37" t="n">
        <v>882532.54</v>
      </c>
      <c r="V12" s="18" t="n">
        <v>962464.1800000001</v>
      </c>
      <c r="W12" s="18" t="n">
        <v>828167.66</v>
      </c>
      <c r="X12" s="18" t="n">
        <v>868252.95</v>
      </c>
      <c r="Y12" s="18" t="n">
        <v>904168.5699999999</v>
      </c>
      <c r="Z12" s="37" t="n">
        <v>904168.5699999999</v>
      </c>
      <c r="AA12" s="18" t="n">
        <v>838022.29</v>
      </c>
      <c r="AB12" s="19" t="n">
        <v>969608.02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521869.02</v>
      </c>
      <c r="F13" s="37" t="n">
        <v>521869.02</v>
      </c>
      <c r="G13" s="18" t="n">
        <v>565714.0699999999</v>
      </c>
      <c r="H13" s="18" t="n">
        <v>555998.7</v>
      </c>
      <c r="I13" s="18" t="n">
        <v>725568.98</v>
      </c>
      <c r="J13" s="18" t="n">
        <v>709864.87</v>
      </c>
      <c r="K13" s="37" t="n">
        <v>709864.87</v>
      </c>
      <c r="L13" s="18" t="n">
        <v>829091.86</v>
      </c>
      <c r="M13" s="18" t="n">
        <v>887052.8100000001</v>
      </c>
      <c r="N13" s="18" t="n">
        <v>913515.25</v>
      </c>
      <c r="O13" s="18" t="n">
        <v>971787.39</v>
      </c>
      <c r="P13" s="37" t="n">
        <v>971787.39</v>
      </c>
      <c r="Q13" s="18" t="n">
        <v>984196.96</v>
      </c>
      <c r="R13" s="18" t="n">
        <v>1025482.47</v>
      </c>
      <c r="S13" s="18" t="n">
        <v>1070601.24</v>
      </c>
      <c r="T13" s="18" t="n">
        <v>1029667.15</v>
      </c>
      <c r="U13" s="37" t="n">
        <v>1029667.15</v>
      </c>
      <c r="V13" s="18" t="n">
        <v>1145074.48</v>
      </c>
      <c r="W13" s="18" t="n">
        <v>1025782.15</v>
      </c>
      <c r="X13" s="18" t="n">
        <v>1087759.49</v>
      </c>
      <c r="Y13" s="18" t="n">
        <v>1119489.36</v>
      </c>
      <c r="Z13" s="37" t="n">
        <v>1119489.36</v>
      </c>
      <c r="AA13" s="18" t="n">
        <v>1066424.8</v>
      </c>
      <c r="AB13" s="19" t="n">
        <v>1201568.36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447472.85</v>
      </c>
      <c r="I14" s="18" t="n">
        <v>918172.42</v>
      </c>
      <c r="J14" s="18" t="n">
        <v>847878.35</v>
      </c>
      <c r="K14" s="37" t="n">
        <v>847878.35</v>
      </c>
      <c r="L14" s="18" t="n">
        <v>544129.89</v>
      </c>
      <c r="M14" s="18" t="n">
        <v>386894.49</v>
      </c>
      <c r="N14" s="18" t="n">
        <v>492699.28</v>
      </c>
      <c r="O14" s="18" t="n">
        <v>261289.15</v>
      </c>
      <c r="P14" s="37" t="n">
        <v>261289.15</v>
      </c>
      <c r="Q14" s="18" t="n">
        <v>307901.87</v>
      </c>
      <c r="R14" s="18" t="n">
        <v>370604.47</v>
      </c>
      <c r="S14" s="18" t="n">
        <v>237352.87</v>
      </c>
      <c r="T14" s="18" t="n">
        <v>627496.48</v>
      </c>
      <c r="U14" s="37" t="n">
        <v>627496.48</v>
      </c>
      <c r="V14" s="18" t="n">
        <v>427570.29</v>
      </c>
      <c r="W14" s="18" t="n">
        <v>529142.3100000001</v>
      </c>
      <c r="X14" s="18" t="n">
        <v>241253.64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1483010.13</v>
      </c>
      <c r="F16" s="37" t="n">
        <v>1483010.13</v>
      </c>
      <c r="G16" s="18" t="n">
        <v>1545048.84</v>
      </c>
      <c r="H16" s="18" t="n">
        <v>1541992.55</v>
      </c>
      <c r="I16" s="18" t="n">
        <v>1596910.26</v>
      </c>
      <c r="J16" s="18" t="n">
        <v>1569405.54</v>
      </c>
      <c r="K16" s="37" t="n">
        <v>1569405.54</v>
      </c>
      <c r="L16" s="18" t="n">
        <v>1718239.29</v>
      </c>
      <c r="M16" s="18" t="n">
        <v>1773730.99</v>
      </c>
      <c r="N16" s="18" t="n">
        <v>1875278.89</v>
      </c>
      <c r="O16" s="18" t="n">
        <v>1727875.73</v>
      </c>
      <c r="P16" s="37" t="n">
        <v>1727875.73</v>
      </c>
      <c r="Q16" s="18" t="n">
        <v>1178079.24</v>
      </c>
      <c r="R16" s="18" t="n">
        <v>917790.6800000001</v>
      </c>
      <c r="S16" s="18" t="n">
        <v>920617.91</v>
      </c>
      <c r="T16" s="18" t="n">
        <v>450129.4</v>
      </c>
      <c r="U16" s="37" t="n">
        <v>450129.4</v>
      </c>
      <c r="V16" s="18" t="n">
        <v>497313.26</v>
      </c>
      <c r="W16" s="18" t="n">
        <v>486923.95</v>
      </c>
      <c r="X16" s="18" t="n">
        <v>447773.89</v>
      </c>
      <c r="Y16" s="18" t="n">
        <v>474335.77</v>
      </c>
      <c r="Z16" s="37" t="n">
        <v>474335.77</v>
      </c>
      <c r="AA16" s="18" t="n">
        <v>683622.64</v>
      </c>
      <c r="AB16" s="19" t="n">
        <v>496015.75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1725.44</v>
      </c>
      <c r="F17" s="37" t="n">
        <v>1725.44</v>
      </c>
      <c r="G17" s="18" t="n">
        <v>554.37</v>
      </c>
      <c r="H17" s="18" t="n">
        <v>994.23</v>
      </c>
      <c r="I17" s="18" t="n">
        <v>1597.75</v>
      </c>
      <c r="J17" s="18" t="n">
        <v>2316.49</v>
      </c>
      <c r="K17" s="37" t="n">
        <v>2316.49</v>
      </c>
      <c r="L17" s="18" t="n">
        <v>1078.95</v>
      </c>
      <c r="M17" s="18" t="n">
        <v>2066.78</v>
      </c>
      <c r="N17" s="18" t="n">
        <v>3465.43</v>
      </c>
      <c r="O17" s="18" t="n">
        <v>4858.18</v>
      </c>
      <c r="P17" s="37" t="n">
        <v>4858.18</v>
      </c>
      <c r="Q17" s="18" t="n">
        <v>6364.4</v>
      </c>
      <c r="R17" s="18" t="n">
        <v>2746.2</v>
      </c>
      <c r="S17" s="18" t="n">
        <v>3420.95</v>
      </c>
      <c r="T17" s="18" t="n">
        <v>4118.13</v>
      </c>
      <c r="U17" s="37" t="n">
        <v>4118.13</v>
      </c>
      <c r="V17" s="18" t="n">
        <v>4936.12</v>
      </c>
      <c r="W17" s="18" t="n">
        <v>1513.35</v>
      </c>
      <c r="X17" s="18" t="n">
        <v>2116.62</v>
      </c>
      <c r="Y17" s="18" t="n">
        <v>0</v>
      </c>
      <c r="Z17" s="37" t="n">
        <v>0</v>
      </c>
      <c r="AB17" s="19" t="n">
        <v>2.74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85604.13</v>
      </c>
      <c r="F18" s="37" t="n">
        <v>85604.13</v>
      </c>
      <c r="G18" s="18" t="n">
        <v>87438.35000000001</v>
      </c>
      <c r="H18" s="18" t="n">
        <v>88055.89</v>
      </c>
      <c r="I18" s="18" t="n">
        <v>89900.19</v>
      </c>
      <c r="J18" s="18" t="n">
        <v>73872.21000000001</v>
      </c>
      <c r="K18" s="37" t="n">
        <v>73872.21000000001</v>
      </c>
      <c r="L18" s="18" t="n">
        <v>77522.5</v>
      </c>
      <c r="M18" s="18" t="n">
        <v>79322.07000000001</v>
      </c>
      <c r="N18" s="18" t="n">
        <v>78794.2</v>
      </c>
      <c r="O18" s="18" t="n">
        <v>74541.61</v>
      </c>
      <c r="P18" s="37" t="n">
        <v>74541.61</v>
      </c>
      <c r="Q18" s="18" t="n">
        <v>73915.34</v>
      </c>
      <c r="R18" s="18" t="n">
        <v>74605.3</v>
      </c>
      <c r="S18" s="18" t="n">
        <v>73249.46000000001</v>
      </c>
      <c r="T18" s="18" t="n">
        <v>63191.45</v>
      </c>
      <c r="U18" s="37" t="n">
        <v>63191.45</v>
      </c>
      <c r="V18" s="18" t="n">
        <v>195462.85</v>
      </c>
      <c r="W18" s="18" t="n">
        <v>67302.61</v>
      </c>
      <c r="X18" s="18" t="n">
        <v>70206.74000000001</v>
      </c>
      <c r="Y18" s="18" t="n">
        <v>66843.2</v>
      </c>
      <c r="Z18" s="37" t="n">
        <v>66843.2</v>
      </c>
      <c r="AA18" s="18" t="n">
        <v>97815.82000000001</v>
      </c>
      <c r="AB18" s="19" t="n">
        <v>825426.61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14948.88</v>
      </c>
      <c r="F19" s="37" t="n">
        <v>14948.88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6510823.56</v>
      </c>
      <c r="F20" s="37" t="n">
        <v>6510823.56</v>
      </c>
      <c r="G20" s="18" t="n">
        <v>6470973</v>
      </c>
      <c r="H20" s="18" t="n">
        <v>7215958.58</v>
      </c>
      <c r="I20" s="18" t="n">
        <v>7882184.14</v>
      </c>
      <c r="J20" s="18" t="n">
        <v>6659327.02</v>
      </c>
      <c r="K20" s="37" t="n">
        <v>6659327.02</v>
      </c>
      <c r="L20" s="18" t="n">
        <v>6450685.2</v>
      </c>
      <c r="M20" s="18" t="n">
        <v>6450084.64</v>
      </c>
      <c r="N20" s="18" t="n">
        <v>6398646.73</v>
      </c>
      <c r="O20" s="18" t="n">
        <v>6785527.32</v>
      </c>
      <c r="P20" s="37" t="n">
        <v>6785527.32</v>
      </c>
      <c r="Q20" s="18" t="n">
        <v>6644185.13</v>
      </c>
      <c r="R20" s="18" t="n">
        <v>6831606.03</v>
      </c>
      <c r="S20" s="18" t="n">
        <v>6508097.2</v>
      </c>
      <c r="T20" s="18" t="n">
        <v>7667982.71</v>
      </c>
      <c r="U20" s="37" t="n">
        <v>7667982.71</v>
      </c>
      <c r="V20" s="18" t="n">
        <v>7481500.75</v>
      </c>
      <c r="W20" s="18" t="n">
        <v>6855938.03</v>
      </c>
      <c r="X20" s="18" t="n">
        <v>7118134.92</v>
      </c>
      <c r="Y20" s="18" t="n">
        <v>7436031.52</v>
      </c>
      <c r="Z20" s="37" t="n">
        <v>7436031.52</v>
      </c>
      <c r="AA20" s="18" t="n">
        <v>8174325.32</v>
      </c>
      <c r="AB20" s="19" t="n">
        <v>8141604.91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45407.88</v>
      </c>
      <c r="F21" s="37" t="n">
        <v>45407.88</v>
      </c>
      <c r="G21" s="18" t="n">
        <v>46210.92</v>
      </c>
      <c r="H21" s="18" t="n">
        <v>46062.7</v>
      </c>
      <c r="I21" s="18" t="n">
        <v>45702.02</v>
      </c>
      <c r="J21" s="18" t="n">
        <v>85516.67999999999</v>
      </c>
      <c r="K21" s="37" t="n">
        <v>85516.67999999999</v>
      </c>
      <c r="L21" s="18" t="n">
        <v>85540.03999999999</v>
      </c>
      <c r="M21" s="18" t="n">
        <v>85776.98</v>
      </c>
      <c r="N21" s="18" t="n">
        <v>85711.42</v>
      </c>
      <c r="O21" s="18" t="n">
        <v>86920.34</v>
      </c>
      <c r="P21" s="37" t="n">
        <v>86920.34</v>
      </c>
      <c r="Q21" s="18" t="n">
        <v>87199.19</v>
      </c>
      <c r="R21" s="18" t="n">
        <v>108044.74</v>
      </c>
      <c r="S21" s="18" t="n">
        <v>107939.26</v>
      </c>
      <c r="T21" s="18" t="n">
        <v>124061.82</v>
      </c>
      <c r="U21" s="37" t="n">
        <v>124061.82</v>
      </c>
      <c r="V21" s="18" t="n">
        <v>141630.07</v>
      </c>
      <c r="W21" s="18" t="n">
        <v>173935.46</v>
      </c>
      <c r="X21" s="18" t="n">
        <v>232676.82</v>
      </c>
      <c r="Y21" s="18" t="n">
        <v>223462.59</v>
      </c>
      <c r="Z21" s="37" t="n">
        <v>223462.59</v>
      </c>
      <c r="AA21" s="18" t="n">
        <v>224002.96</v>
      </c>
      <c r="AB21" s="19" t="n">
        <v>239773.31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992461.37</v>
      </c>
      <c r="F22" s="37" t="n">
        <v>992461.37</v>
      </c>
      <c r="G22" s="18" t="n">
        <v>976826.87</v>
      </c>
      <c r="H22" s="18" t="n">
        <v>1858475.31</v>
      </c>
      <c r="I22" s="18" t="n">
        <v>2689260.82</v>
      </c>
      <c r="J22" s="18" t="n">
        <v>1405108.94</v>
      </c>
      <c r="K22" s="37" t="n">
        <v>1405108.94</v>
      </c>
      <c r="L22" s="18" t="n">
        <v>1220649.41</v>
      </c>
      <c r="M22" s="18" t="n">
        <v>1218773.1</v>
      </c>
      <c r="N22" s="18" t="n">
        <v>1220333.69</v>
      </c>
      <c r="O22" s="18" t="n">
        <v>1313998.53</v>
      </c>
      <c r="P22" s="37" t="n">
        <v>1313998.53</v>
      </c>
      <c r="Q22" s="18" t="n">
        <v>1207440.32</v>
      </c>
      <c r="R22" s="18" t="n">
        <v>1444273.93</v>
      </c>
      <c r="S22" s="18" t="n">
        <v>1072079.03</v>
      </c>
      <c r="T22" s="18" t="n">
        <v>1973587.69</v>
      </c>
      <c r="U22" s="37" t="n">
        <v>1973587.69</v>
      </c>
      <c r="V22" s="18" t="n">
        <v>1838323.77</v>
      </c>
      <c r="W22" s="18" t="n">
        <v>1105629.86</v>
      </c>
      <c r="X22" s="18" t="n">
        <v>1451248.72</v>
      </c>
      <c r="Y22" s="18" t="n">
        <v>1872182.54</v>
      </c>
      <c r="Z22" s="37" t="n">
        <v>1872182.54</v>
      </c>
      <c r="AA22" s="18" t="n">
        <v>2719477.9</v>
      </c>
      <c r="AB22" s="19" t="n">
        <v>2789722.62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433809.51</v>
      </c>
      <c r="F23" s="37" t="n">
        <v>433809.51</v>
      </c>
      <c r="G23" s="18" t="n">
        <v>433809.51</v>
      </c>
      <c r="H23" s="18" t="n">
        <v>1023809.51</v>
      </c>
      <c r="I23" s="18" t="n">
        <v>1023809.51</v>
      </c>
      <c r="J23" s="18" t="n">
        <v>1021319.51</v>
      </c>
      <c r="K23" s="37" t="n">
        <v>1021319.51</v>
      </c>
      <c r="L23" s="18" t="n">
        <v>853509.41</v>
      </c>
      <c r="M23" s="18" t="n">
        <v>853509.41</v>
      </c>
      <c r="N23" s="18" t="n">
        <v>853509.41</v>
      </c>
      <c r="O23" s="18" t="n">
        <v>853509.41</v>
      </c>
      <c r="P23" s="37" t="n">
        <v>853509.41</v>
      </c>
      <c r="Q23" s="18" t="n">
        <v>517944.31</v>
      </c>
      <c r="R23" s="18" t="n">
        <v>399193.53</v>
      </c>
      <c r="S23" s="18" t="n">
        <v>399193.53</v>
      </c>
      <c r="T23" s="18" t="n">
        <v>272256.49</v>
      </c>
      <c r="U23" s="37" t="n">
        <v>272256.49</v>
      </c>
      <c r="V23" s="18" t="n">
        <v>281348.42</v>
      </c>
      <c r="W23" s="18" t="n">
        <v>283328.42</v>
      </c>
      <c r="X23" s="18" t="n">
        <v>283328.42</v>
      </c>
      <c r="Y23" s="18" t="n">
        <v>285307.83</v>
      </c>
      <c r="Z23" s="37" t="n">
        <v>285307.83</v>
      </c>
      <c r="AA23" s="18" t="n">
        <v>285307.83</v>
      </c>
      <c r="AB23" s="19" t="n">
        <v>288779.63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5187279.09</v>
      </c>
      <c r="F24" s="37" t="n">
        <v>5187279.09</v>
      </c>
      <c r="G24" s="18" t="n">
        <v>5160256.56</v>
      </c>
      <c r="H24" s="18" t="n">
        <v>5135923.54</v>
      </c>
      <c r="I24" s="18" t="n">
        <v>5110971.03</v>
      </c>
      <c r="J24" s="18" t="n">
        <v>4848270.82</v>
      </c>
      <c r="K24" s="37" t="n">
        <v>4848270.82</v>
      </c>
      <c r="L24" s="18" t="n">
        <v>4837204.88</v>
      </c>
      <c r="M24" s="18" t="n">
        <v>4836165.32</v>
      </c>
      <c r="N24" s="18" t="n">
        <v>4841477.46</v>
      </c>
      <c r="O24" s="18" t="n">
        <v>4841052.21</v>
      </c>
      <c r="P24" s="37" t="n">
        <v>4841052.21</v>
      </c>
      <c r="Q24" s="18" t="n">
        <v>4824013.58</v>
      </c>
      <c r="R24" s="18" t="n">
        <v>4819229.63</v>
      </c>
      <c r="S24" s="18" t="n">
        <v>4817534.15</v>
      </c>
      <c r="T24" s="18" t="n">
        <v>4715386.87</v>
      </c>
      <c r="U24" s="37" t="n">
        <v>4715386.87</v>
      </c>
      <c r="V24" s="18" t="n">
        <v>4680158.98</v>
      </c>
      <c r="W24" s="18" t="n">
        <v>4702737.43</v>
      </c>
      <c r="X24" s="18" t="n">
        <v>4706809.42</v>
      </c>
      <c r="Y24" s="18" t="n">
        <v>4716240.84</v>
      </c>
      <c r="Z24" s="37" t="n">
        <v>4716240.84</v>
      </c>
      <c r="AA24" s="18" t="n">
        <v>4703190.45</v>
      </c>
      <c r="AB24" s="19" t="n">
        <v>4714297.36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17616.35</v>
      </c>
      <c r="F25" s="37" t="n">
        <v>17616.35</v>
      </c>
      <c r="G25" s="18" t="n">
        <v>17576.88</v>
      </c>
      <c r="H25" s="18" t="n">
        <v>276.71</v>
      </c>
      <c r="I25" s="18" t="n">
        <v>275.67</v>
      </c>
      <c r="J25" s="18" t="n">
        <v>274.64</v>
      </c>
      <c r="K25" s="37" t="n">
        <v>274.64</v>
      </c>
      <c r="L25" s="18" t="n">
        <v>273.6</v>
      </c>
      <c r="O25" s="18" t="n">
        <v>0</v>
      </c>
      <c r="P25" s="37" t="n">
        <v>0</v>
      </c>
      <c r="T25" s="18" t="n">
        <v>0</v>
      </c>
      <c r="U25" s="37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22877.29</v>
      </c>
      <c r="F26" s="37" t="n">
        <v>22877.29</v>
      </c>
      <c r="G26" s="18" t="n">
        <v>23260.26</v>
      </c>
      <c r="H26" s="18" t="n">
        <v>23479.77</v>
      </c>
      <c r="I26" s="18" t="n">
        <v>23498.52</v>
      </c>
      <c r="J26" s="18" t="n">
        <v>26088.79</v>
      </c>
      <c r="K26" s="37" t="n">
        <v>26088.79</v>
      </c>
      <c r="L26" s="18" t="n">
        <v>26466.04</v>
      </c>
      <c r="M26" s="18" t="n">
        <v>26622.51</v>
      </c>
      <c r="N26" s="18" t="n">
        <v>26671.9</v>
      </c>
      <c r="O26" s="18" t="n">
        <v>26666.12</v>
      </c>
      <c r="P26" s="37" t="n">
        <v>26666.12</v>
      </c>
      <c r="Q26" s="18" t="n">
        <v>26552.44</v>
      </c>
      <c r="R26" s="18" t="n">
        <v>26626.08</v>
      </c>
      <c r="S26" s="18" t="n">
        <v>27503.76</v>
      </c>
      <c r="T26" s="18" t="n">
        <v>27561.3</v>
      </c>
      <c r="U26" s="37" t="n">
        <v>27561.3</v>
      </c>
      <c r="V26" s="18" t="n">
        <v>32721.26</v>
      </c>
      <c r="W26" s="18" t="n">
        <v>31975.54</v>
      </c>
      <c r="X26" s="18" t="n">
        <v>31833.44</v>
      </c>
      <c r="Y26" s="18" t="n">
        <v>31797.93</v>
      </c>
      <c r="Z26" s="37" t="n">
        <v>31797.93</v>
      </c>
      <c r="AA26" s="18" t="n">
        <v>35329.76</v>
      </c>
      <c r="AB26" s="19" t="n">
        <v>37939.08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기타비유동자산</t>
        </is>
      </c>
      <c r="E27" s="18" t="n">
        <v>43741.81</v>
      </c>
      <c r="F27" s="37" t="n">
        <v>43741.81</v>
      </c>
      <c r="G27" s="18" t="n">
        <v>54472.31</v>
      </c>
      <c r="H27" s="18" t="n">
        <v>42677.2</v>
      </c>
      <c r="I27" s="18" t="n">
        <v>45993.28</v>
      </c>
      <c r="J27" s="18" t="n">
        <v>174372.93</v>
      </c>
      <c r="K27" s="37" t="n">
        <v>174372.93</v>
      </c>
      <c r="L27" s="18" t="n">
        <v>197922.05</v>
      </c>
      <c r="M27" s="18" t="n">
        <v>194296.44</v>
      </c>
      <c r="N27" s="18" t="n">
        <v>180272.29</v>
      </c>
      <c r="O27" s="18" t="n">
        <v>258131.99</v>
      </c>
      <c r="P27" s="37" t="n">
        <v>258131.99</v>
      </c>
      <c r="Q27" s="18" t="n">
        <v>316447.13</v>
      </c>
      <c r="R27" s="18" t="n">
        <v>322110.92</v>
      </c>
      <c r="S27" s="18" t="n">
        <v>288993.02</v>
      </c>
      <c r="T27" s="18" t="n">
        <v>306563.1</v>
      </c>
      <c r="U27" s="37" t="n">
        <v>306563.1</v>
      </c>
      <c r="V27" s="18" t="n">
        <v>275413.13</v>
      </c>
      <c r="W27" s="18" t="n">
        <v>239853.87</v>
      </c>
      <c r="X27" s="18" t="n">
        <v>209866.95</v>
      </c>
      <c r="Y27" s="18" t="n">
        <v>235393.65</v>
      </c>
      <c r="Z27" s="37" t="n">
        <v>235393.65</v>
      </c>
      <c r="AA27" s="18" t="n">
        <v>230184.01</v>
      </c>
      <c r="AB27" s="19" t="n">
        <v>172133.96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비유동파생상품자산</t>
        </is>
      </c>
      <c r="E28" s="18" t="n">
        <v>145141.39</v>
      </c>
      <c r="F28" s="37" t="n">
        <v>145141.39</v>
      </c>
      <c r="G28" s="18" t="n">
        <v>139065.54</v>
      </c>
      <c r="H28" s="18" t="n">
        <v>244581.2</v>
      </c>
      <c r="I28" s="18" t="n">
        <v>375130.81</v>
      </c>
      <c r="J28" s="18" t="n">
        <v>83310.77</v>
      </c>
      <c r="K28" s="37" t="n">
        <v>83310.77</v>
      </c>
      <c r="L28" s="18" t="n">
        <v>57634.16</v>
      </c>
      <c r="M28" s="18" t="n">
        <v>51230.65</v>
      </c>
      <c r="N28" s="18" t="n">
        <v>33177.76</v>
      </c>
      <c r="O28" s="18" t="n">
        <v>95504.63</v>
      </c>
      <c r="P28" s="37" t="n">
        <v>95504.63</v>
      </c>
      <c r="Q28" s="18" t="n">
        <v>60902.38</v>
      </c>
      <c r="R28" s="18" t="n">
        <v>114313.77</v>
      </c>
      <c r="S28" s="18" t="n">
        <v>101646.1</v>
      </c>
      <c r="T28" s="18" t="n">
        <v>276472.07</v>
      </c>
      <c r="U28" s="37" t="n">
        <v>276472.07</v>
      </c>
      <c r="V28" s="18" t="n">
        <v>246317.46</v>
      </c>
      <c r="W28" s="18" t="n">
        <v>235830.96</v>
      </c>
      <c r="X28" s="18" t="n">
        <v>156941.09</v>
      </c>
      <c r="Y28" s="18" t="n">
        <v>242790.83</v>
      </c>
      <c r="Z28" s="37" t="n">
        <v>242790.83</v>
      </c>
      <c r="AA28" s="18" t="n">
        <v>436336.76</v>
      </c>
      <c r="AB28" s="19" t="n">
        <v>454061.37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비유동확정계약자산</t>
        </is>
      </c>
      <c r="E29" s="18" t="n">
        <v>368102.59</v>
      </c>
      <c r="F29" s="37" t="n">
        <v>368102.59</v>
      </c>
      <c r="G29" s="18" t="n">
        <v>357740.9</v>
      </c>
      <c r="H29" s="18" t="n">
        <v>544021.9</v>
      </c>
      <c r="I29" s="18" t="n">
        <v>1244618.48</v>
      </c>
      <c r="J29" s="18" t="n">
        <v>214961.98</v>
      </c>
      <c r="K29" s="37" t="n">
        <v>214961.98</v>
      </c>
      <c r="L29" s="18" t="n">
        <v>223965.8</v>
      </c>
      <c r="M29" s="18" t="n">
        <v>228256.06</v>
      </c>
      <c r="N29" s="18" t="n">
        <v>247935.1</v>
      </c>
      <c r="O29" s="18" t="n">
        <v>278064.15</v>
      </c>
      <c r="P29" s="37" t="n">
        <v>278064.15</v>
      </c>
      <c r="Q29" s="18" t="n">
        <v>541394.4399999999</v>
      </c>
      <c r="R29" s="18" t="n">
        <v>822721.89</v>
      </c>
      <c r="S29" s="18" t="n">
        <v>463300.14</v>
      </c>
      <c r="T29" s="18" t="n">
        <v>1300797.31</v>
      </c>
      <c r="U29" s="37" t="n">
        <v>1300797.31</v>
      </c>
      <c r="V29" s="18" t="n">
        <v>1169027.82</v>
      </c>
      <c r="W29" s="18" t="n">
        <v>412535.02</v>
      </c>
      <c r="X29" s="18" t="n">
        <v>778302.39</v>
      </c>
      <c r="Y29" s="18" t="n">
        <v>1120621.29</v>
      </c>
      <c r="Z29" s="37" t="n">
        <v>1120621.29</v>
      </c>
      <c r="AA29" s="18" t="n">
        <v>1773830.35</v>
      </c>
      <c r="AB29" s="19" t="n">
        <v>1807108.31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장기매출채권및기타채권</t>
        </is>
      </c>
      <c r="E30" s="18" t="n">
        <v>10411.32</v>
      </c>
      <c r="F30" s="37" t="n">
        <v>10411.32</v>
      </c>
      <c r="G30" s="18" t="n">
        <v>13418.35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이연법인세자산</t>
        </is>
      </c>
      <c r="E31" s="18" t="n">
        <v>236436.33</v>
      </c>
      <c r="F31" s="37" t="n">
        <v>236436.33</v>
      </c>
      <c r="G31" s="18" t="n">
        <v>225161.76</v>
      </c>
      <c r="H31" s="18" t="n">
        <v>155126.05</v>
      </c>
      <c r="I31" s="18" t="n">
        <v>12184.82</v>
      </c>
      <c r="J31" s="18" t="n">
        <v>205210.92</v>
      </c>
      <c r="K31" s="37" t="n">
        <v>205210.92</v>
      </c>
      <c r="L31" s="18" t="n">
        <v>168169.22</v>
      </c>
      <c r="M31" s="18" t="n">
        <v>174227.28</v>
      </c>
      <c r="N31" s="18" t="n">
        <v>129891.39</v>
      </c>
      <c r="O31" s="18" t="n">
        <v>345678.47</v>
      </c>
      <c r="P31" s="37" t="n">
        <v>345678.47</v>
      </c>
      <c r="Q31" s="18" t="n">
        <v>269731.65</v>
      </c>
      <c r="R31" s="18" t="n">
        <v>219365.47</v>
      </c>
      <c r="S31" s="18" t="n">
        <v>301987.23</v>
      </c>
      <c r="T31" s="18" t="n">
        <v>644883.75</v>
      </c>
      <c r="U31" s="37" t="n">
        <v>644883.75</v>
      </c>
      <c r="V31" s="18" t="n">
        <v>654883.63</v>
      </c>
      <c r="W31" s="18" t="n">
        <v>775741.34</v>
      </c>
      <c r="X31" s="18" t="n">
        <v>718376.42</v>
      </c>
      <c r="Y31" s="18" t="n">
        <v>580416.5600000001</v>
      </c>
      <c r="Z31" s="37" t="n">
        <v>580416.5600000001</v>
      </c>
      <c r="AA31" s="18" t="n">
        <v>486143.2</v>
      </c>
      <c r="AB31" s="19" t="n">
        <v>427511.9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자산총계</t>
        </is>
      </c>
      <c r="E32" s="18" t="n">
        <v>11892137.57</v>
      </c>
      <c r="F32" s="37" t="n">
        <v>11892137.57</v>
      </c>
      <c r="G32" s="18" t="n">
        <v>12062704.4</v>
      </c>
      <c r="H32" s="18" t="n">
        <v>13961358.56</v>
      </c>
      <c r="I32" s="18" t="n">
        <v>17062138.77</v>
      </c>
      <c r="J32" s="18" t="n">
        <v>14739373.72</v>
      </c>
      <c r="K32" s="37" t="n">
        <v>14739373.72</v>
      </c>
      <c r="L32" s="18" t="n">
        <v>14883508.26</v>
      </c>
      <c r="M32" s="18" t="n">
        <v>15266187.11</v>
      </c>
      <c r="N32" s="18" t="n">
        <v>16927445.3</v>
      </c>
      <c r="O32" s="18" t="n">
        <v>15891978.74</v>
      </c>
      <c r="P32" s="37" t="n">
        <v>15891978.74</v>
      </c>
      <c r="Q32" s="18" t="n">
        <v>16340858.38</v>
      </c>
      <c r="R32" s="18" t="n">
        <v>16707676.31</v>
      </c>
      <c r="S32" s="18" t="n">
        <v>14988346.79</v>
      </c>
      <c r="T32" s="18" t="n">
        <v>16997853.68</v>
      </c>
      <c r="U32" s="37" t="n">
        <v>16997853.68</v>
      </c>
      <c r="V32" s="18" t="n">
        <v>16114109.37</v>
      </c>
      <c r="W32" s="18" t="n">
        <v>13817916.73</v>
      </c>
      <c r="X32" s="18" t="n">
        <v>14387895.61</v>
      </c>
      <c r="Y32" s="18" t="n">
        <v>14774688.37</v>
      </c>
      <c r="Z32" s="37" t="n">
        <v>14774688.37</v>
      </c>
      <c r="AA32" s="18" t="n">
        <v>16435915.06</v>
      </c>
      <c r="AB32" s="19" t="n">
        <v>17798191.1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6731070.94</v>
      </c>
      <c r="F33" s="37" t="n">
        <v>6731070.94</v>
      </c>
      <c r="G33" s="18" t="n">
        <v>6938717.94</v>
      </c>
      <c r="H33" s="18" t="n">
        <v>7603021.08</v>
      </c>
      <c r="I33" s="18" t="n">
        <v>9776618.57</v>
      </c>
      <c r="J33" s="18" t="n">
        <v>9494896.23</v>
      </c>
      <c r="K33" s="37" t="n">
        <v>9494896.23</v>
      </c>
      <c r="L33" s="18" t="n">
        <v>9892309.140000001</v>
      </c>
      <c r="M33" s="18" t="n">
        <v>9959821.35</v>
      </c>
      <c r="N33" s="18" t="n">
        <v>11936723.12</v>
      </c>
      <c r="O33" s="18" t="n">
        <v>11659137.1</v>
      </c>
      <c r="P33" s="37" t="n">
        <v>11659137.1</v>
      </c>
      <c r="Q33" s="18" t="n">
        <v>11860796.84</v>
      </c>
      <c r="R33" s="18" t="n">
        <v>11979132.19</v>
      </c>
      <c r="S33" s="18" t="n">
        <v>10851240.69</v>
      </c>
      <c r="T33" s="18" t="n">
        <v>11878026.95</v>
      </c>
      <c r="U33" s="37" t="n">
        <v>11878026.95</v>
      </c>
      <c r="V33" s="18" t="n">
        <v>11049768.85</v>
      </c>
      <c r="W33" s="18" t="n">
        <v>9455032.310000001</v>
      </c>
      <c r="X33" s="18" t="n">
        <v>9345607.25</v>
      </c>
      <c r="Y33" s="18" t="n">
        <v>9295708.130000001</v>
      </c>
      <c r="Z33" s="37" t="n">
        <v>9295708.130000001</v>
      </c>
      <c r="AA33" s="18" t="n">
        <v>9899119.73</v>
      </c>
      <c r="AB33" s="19" t="n">
        <v>10914451.77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804437.6800000001</v>
      </c>
      <c r="F34" s="37" t="n">
        <v>804437.6800000001</v>
      </c>
      <c r="G34" s="18" t="n">
        <v>821915.14</v>
      </c>
      <c r="H34" s="18" t="n">
        <v>885826.7</v>
      </c>
      <c r="I34" s="18" t="n">
        <v>947143.77</v>
      </c>
      <c r="J34" s="18" t="n">
        <v>1004306.12</v>
      </c>
      <c r="K34" s="37" t="n">
        <v>1004306.12</v>
      </c>
      <c r="L34" s="18" t="n">
        <v>908956.78</v>
      </c>
      <c r="M34" s="18" t="n">
        <v>1017163.8</v>
      </c>
      <c r="N34" s="18" t="n">
        <v>1093902.96</v>
      </c>
      <c r="O34" s="18" t="n">
        <v>1120715.99</v>
      </c>
      <c r="P34" s="37" t="n">
        <v>1120715.99</v>
      </c>
      <c r="Q34" s="18" t="n">
        <v>1584271.12</v>
      </c>
      <c r="R34" s="18" t="n">
        <v>1017611.48</v>
      </c>
      <c r="S34" s="18" t="n">
        <v>856168.13</v>
      </c>
      <c r="T34" s="18" t="n">
        <v>924606.3</v>
      </c>
      <c r="U34" s="37" t="n">
        <v>924606.3</v>
      </c>
      <c r="V34" s="18" t="n">
        <v>878041.55</v>
      </c>
      <c r="W34" s="18" t="n">
        <v>872010.25</v>
      </c>
      <c r="X34" s="18" t="n">
        <v>830448.09</v>
      </c>
      <c r="Y34" s="18" t="n">
        <v>1017053.74</v>
      </c>
      <c r="Z34" s="37" t="n">
        <v>1017053.74</v>
      </c>
      <c r="AA34" s="18" t="n">
        <v>1099461.87</v>
      </c>
      <c r="AB34" s="19" t="n">
        <v>1408096.61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802069.76</v>
      </c>
      <c r="F35" s="37" t="n">
        <v>802069.76</v>
      </c>
      <c r="G35" s="18" t="n">
        <v>707074.8</v>
      </c>
      <c r="H35" s="18" t="n">
        <v>637305.8</v>
      </c>
      <c r="I35" s="18" t="n">
        <v>1491442.81</v>
      </c>
      <c r="J35" s="18" t="n">
        <v>1284231.31</v>
      </c>
      <c r="K35" s="37" t="n">
        <v>1284231.31</v>
      </c>
      <c r="L35" s="18" t="n">
        <v>1068100.83</v>
      </c>
      <c r="M35" s="18" t="n">
        <v>1295121.21</v>
      </c>
      <c r="N35" s="18" t="n">
        <v>1540149.69</v>
      </c>
      <c r="O35" s="18" t="n">
        <v>1717150.13</v>
      </c>
      <c r="P35" s="37" t="n">
        <v>1717150.13</v>
      </c>
      <c r="Q35" s="18" t="n">
        <v>1941809.14</v>
      </c>
      <c r="R35" s="18" t="n">
        <v>2092596.69</v>
      </c>
      <c r="S35" s="18" t="n">
        <v>2338458.59</v>
      </c>
      <c r="T35" s="18" t="n">
        <v>2032630.09</v>
      </c>
      <c r="U35" s="37" t="n">
        <v>2032630.09</v>
      </c>
      <c r="V35" s="18" t="n">
        <v>2020967.31</v>
      </c>
      <c r="W35" s="18" t="n">
        <v>1783280.58</v>
      </c>
      <c r="X35" s="18" t="n">
        <v>1587251.69</v>
      </c>
      <c r="Y35" s="18" t="n">
        <v>1343121.65</v>
      </c>
      <c r="Z35" s="37" t="n">
        <v>1343121.65</v>
      </c>
      <c r="AA35" s="18" t="n">
        <v>695805.5600000001</v>
      </c>
      <c r="AB35" s="19" t="n">
        <v>706848.25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2458884.59</v>
      </c>
      <c r="F36" s="37" t="n">
        <v>2458884.59</v>
      </c>
      <c r="G36" s="18" t="n">
        <v>2661272.33</v>
      </c>
      <c r="H36" s="18" t="n">
        <v>2693974.63</v>
      </c>
      <c r="I36" s="18" t="n">
        <v>2783246.65</v>
      </c>
      <c r="J36" s="18" t="n">
        <v>3644426.02</v>
      </c>
      <c r="K36" s="37" t="n">
        <v>3644426.02</v>
      </c>
      <c r="L36" s="18" t="n">
        <v>4077260.36</v>
      </c>
      <c r="M36" s="18" t="n">
        <v>4024848.73</v>
      </c>
      <c r="N36" s="18" t="n">
        <v>4776546.2</v>
      </c>
      <c r="O36" s="18" t="n">
        <v>4558316.95</v>
      </c>
      <c r="P36" s="37" t="n">
        <v>4558316.95</v>
      </c>
      <c r="Q36" s="18" t="n">
        <v>5001661.2</v>
      </c>
      <c r="R36" s="18" t="n">
        <v>5428904.8</v>
      </c>
      <c r="S36" s="18" t="n">
        <v>5203133.56</v>
      </c>
      <c r="T36" s="18" t="n">
        <v>5462956.82</v>
      </c>
      <c r="U36" s="37" t="n">
        <v>5462956.82</v>
      </c>
      <c r="V36" s="18" t="n">
        <v>5509860.48</v>
      </c>
      <c r="W36" s="18" t="n">
        <v>5070287.96</v>
      </c>
      <c r="X36" s="18" t="n">
        <v>5367436.96</v>
      </c>
      <c r="Y36" s="18" t="n">
        <v>4576789.76</v>
      </c>
      <c r="Z36" s="37" t="n">
        <v>4576789.76</v>
      </c>
      <c r="AA36" s="18" t="n">
        <v>4950344.77</v>
      </c>
      <c r="AB36" s="19" t="n">
        <v>5433599.91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369510.68</v>
      </c>
      <c r="F37" s="37" t="n">
        <v>369510.68</v>
      </c>
      <c r="G37" s="18" t="n">
        <v>489325.36</v>
      </c>
      <c r="H37" s="18" t="n">
        <v>1102591.12</v>
      </c>
      <c r="I37" s="18" t="n">
        <v>2669046.31</v>
      </c>
      <c r="J37" s="18" t="n">
        <v>1094132.83</v>
      </c>
      <c r="K37" s="37" t="n">
        <v>1094132.83</v>
      </c>
      <c r="L37" s="18" t="n">
        <v>1174497.68</v>
      </c>
      <c r="M37" s="18" t="n">
        <v>1151054.17</v>
      </c>
      <c r="N37" s="18" t="n">
        <v>1720295.82</v>
      </c>
      <c r="O37" s="18" t="n">
        <v>719442.42</v>
      </c>
      <c r="P37" s="37" t="n">
        <v>719442.42</v>
      </c>
      <c r="Q37" s="18" t="n">
        <v>984974.04</v>
      </c>
      <c r="R37" s="18" t="n">
        <v>1272684.28</v>
      </c>
      <c r="S37" s="18" t="n">
        <v>377136.67</v>
      </c>
      <c r="T37" s="18" t="n">
        <v>2065506.96</v>
      </c>
      <c r="U37" s="37" t="n">
        <v>2065506.96</v>
      </c>
      <c r="V37" s="18" t="n">
        <v>1236269.89</v>
      </c>
      <c r="W37" s="18" t="n">
        <v>406352.66</v>
      </c>
      <c r="X37" s="18" t="n">
        <v>619570</v>
      </c>
      <c r="Y37" s="18" t="n">
        <v>798883.58</v>
      </c>
      <c r="Z37" s="37" t="n">
        <v>798883.58</v>
      </c>
      <c r="AA37" s="18" t="n">
        <v>1393515.93</v>
      </c>
      <c r="AB37" s="19" t="n">
        <v>1693887.02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단기금융부채</t>
        </is>
      </c>
      <c r="E38" s="18" t="n">
        <v>382945.78</v>
      </c>
      <c r="F38" s="37" t="n">
        <v>382945.78</v>
      </c>
      <c r="G38" s="18" t="n">
        <v>506329.52</v>
      </c>
      <c r="H38" s="18" t="n">
        <v>1119328.76</v>
      </c>
      <c r="I38" s="18" t="n">
        <v>2684562.35</v>
      </c>
      <c r="J38" s="18" t="n">
        <v>1126516.79</v>
      </c>
      <c r="K38" s="37" t="n">
        <v>1126516.79</v>
      </c>
      <c r="L38" s="18" t="n">
        <v>1224772.32</v>
      </c>
      <c r="M38" s="18" t="n">
        <v>1194519.78</v>
      </c>
      <c r="N38" s="18" t="n">
        <v>1756912.77</v>
      </c>
      <c r="O38" s="18" t="n">
        <v>750719.74</v>
      </c>
      <c r="P38" s="37" t="n">
        <v>750719.74</v>
      </c>
      <c r="Q38" s="18" t="n">
        <v>1070044.88</v>
      </c>
      <c r="R38" s="18" t="n">
        <v>1355767.64</v>
      </c>
      <c r="S38" s="18" t="n">
        <v>454297.35</v>
      </c>
      <c r="T38" s="18" t="n">
        <v>2130544.49</v>
      </c>
      <c r="U38" s="37" t="n">
        <v>2130544.49</v>
      </c>
      <c r="V38" s="18" t="n">
        <v>1317704.21</v>
      </c>
      <c r="W38" s="18" t="n">
        <v>480259.99</v>
      </c>
      <c r="X38" s="18" t="n">
        <v>693756.79</v>
      </c>
      <c r="Y38" s="18" t="n">
        <v>863051.35</v>
      </c>
      <c r="Z38" s="37" t="n">
        <v>863051.35</v>
      </c>
      <c r="AA38" s="18" t="n">
        <v>1463133.02</v>
      </c>
      <c r="AB38" s="19" t="n">
        <v>1747334.1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유동성장기부채</t>
        </is>
      </c>
      <c r="E39" s="18" t="n">
        <v>927141.09</v>
      </c>
      <c r="F39" s="37" t="n">
        <v>927141.09</v>
      </c>
      <c r="G39" s="18" t="n">
        <v>856555.67</v>
      </c>
      <c r="H39" s="18" t="n">
        <v>774345.1800000001</v>
      </c>
      <c r="I39" s="18" t="n">
        <v>552595.28</v>
      </c>
      <c r="J39" s="18" t="n">
        <v>1059424.67</v>
      </c>
      <c r="K39" s="37" t="n">
        <v>1059424.67</v>
      </c>
      <c r="L39" s="18" t="n">
        <v>1417303.45</v>
      </c>
      <c r="M39" s="18" t="n">
        <v>1384008.61</v>
      </c>
      <c r="N39" s="18" t="n">
        <v>1855922.36</v>
      </c>
      <c r="O39" s="18" t="n">
        <v>2225307.4</v>
      </c>
      <c r="P39" s="37" t="n">
        <v>2225307.4</v>
      </c>
      <c r="Q39" s="18" t="n">
        <v>1528493.08</v>
      </c>
      <c r="R39" s="18" t="n">
        <v>1404845.84</v>
      </c>
      <c r="S39" s="18" t="n">
        <v>1453914.28</v>
      </c>
      <c r="T39" s="18" t="n">
        <v>925634.84</v>
      </c>
      <c r="U39" s="37" t="n">
        <v>925634.84</v>
      </c>
      <c r="V39" s="18" t="n">
        <v>901182.55</v>
      </c>
      <c r="W39" s="18" t="n">
        <v>852965.5600000001</v>
      </c>
      <c r="X39" s="18" t="n">
        <v>459548.14</v>
      </c>
      <c r="Y39" s="18" t="n">
        <v>277372.89</v>
      </c>
      <c r="Z39" s="37" t="n">
        <v>277372.89</v>
      </c>
      <c r="AA39" s="18" t="n">
        <v>114971.54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유동리스부채</t>
        </is>
      </c>
      <c r="E40" s="18" t="n">
        <v>13435.1</v>
      </c>
      <c r="F40" s="37" t="n">
        <v>13435.1</v>
      </c>
      <c r="G40" s="18" t="n">
        <v>17004.16</v>
      </c>
      <c r="H40" s="18" t="n">
        <v>16737.64</v>
      </c>
      <c r="I40" s="18" t="n">
        <v>15516.04</v>
      </c>
      <c r="J40" s="18" t="n">
        <v>32383.96</v>
      </c>
      <c r="K40" s="37" t="n">
        <v>32383.96</v>
      </c>
      <c r="L40" s="18" t="n">
        <v>50274.64</v>
      </c>
      <c r="M40" s="18" t="n">
        <v>43465.61</v>
      </c>
      <c r="N40" s="18" t="n">
        <v>36616.95</v>
      </c>
      <c r="O40" s="18" t="n">
        <v>31277.32</v>
      </c>
      <c r="P40" s="37" t="n">
        <v>31277.32</v>
      </c>
      <c r="Q40" s="18" t="n">
        <v>85070.84</v>
      </c>
      <c r="R40" s="18" t="n">
        <v>83083.36</v>
      </c>
      <c r="S40" s="18" t="n">
        <v>77160.67999999999</v>
      </c>
      <c r="T40" s="18" t="n">
        <v>65037.53</v>
      </c>
      <c r="U40" s="37" t="n">
        <v>65037.53</v>
      </c>
      <c r="V40" s="18" t="n">
        <v>81434.32000000001</v>
      </c>
      <c r="W40" s="18" t="n">
        <v>73907.33</v>
      </c>
      <c r="X40" s="18" t="n">
        <v>74186.78999999999</v>
      </c>
      <c r="Y40" s="18" t="n">
        <v>64167.77</v>
      </c>
      <c r="Z40" s="37" t="n">
        <v>64167.77</v>
      </c>
      <c r="AA40" s="18" t="n">
        <v>69617.09</v>
      </c>
      <c r="AB40" s="19" t="n">
        <v>53447.08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13435.1</v>
      </c>
      <c r="F41" s="37" t="n">
        <v>13435.1</v>
      </c>
      <c r="G41" s="18" t="n">
        <v>24817.38</v>
      </c>
      <c r="H41" s="18" t="n">
        <v>20143.71</v>
      </c>
      <c r="I41" s="18" t="n">
        <v>15516.04</v>
      </c>
      <c r="J41" s="18" t="n">
        <v>56027.95</v>
      </c>
      <c r="K41" s="37" t="n">
        <v>56027.95</v>
      </c>
      <c r="L41" s="18" t="n">
        <v>80671.7</v>
      </c>
      <c r="M41" s="18" t="n">
        <v>69567.98</v>
      </c>
      <c r="N41" s="18" t="n">
        <v>59561.41</v>
      </c>
      <c r="O41" s="18" t="n">
        <v>130102.62</v>
      </c>
      <c r="P41" s="37" t="n">
        <v>130102.62</v>
      </c>
      <c r="Q41" s="18" t="n">
        <v>201892.65</v>
      </c>
      <c r="R41" s="18" t="n">
        <v>218445.16</v>
      </c>
      <c r="S41" s="18" t="n">
        <v>197369.24</v>
      </c>
      <c r="T41" s="18" t="n">
        <v>325399.52</v>
      </c>
      <c r="U41" s="37" t="n">
        <v>325399.52</v>
      </c>
      <c r="V41" s="18" t="n">
        <v>310697.65</v>
      </c>
      <c r="W41" s="18" t="n">
        <v>291773.47</v>
      </c>
      <c r="X41" s="18" t="n">
        <v>280331.2</v>
      </c>
      <c r="Y41" s="18" t="n">
        <v>258735.49</v>
      </c>
      <c r="Z41" s="37" t="n">
        <v>258735.49</v>
      </c>
      <c r="AA41" s="18" t="n">
        <v>261234.15</v>
      </c>
      <c r="AB41" s="19" t="n">
        <v>233158.14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1279102.49</v>
      </c>
      <c r="F42" s="37" t="n">
        <v>1279102.49</v>
      </c>
      <c r="G42" s="18" t="n">
        <v>1309369.27</v>
      </c>
      <c r="H42" s="18" t="n">
        <v>1370138.23</v>
      </c>
      <c r="I42" s="18" t="n">
        <v>1199745.29</v>
      </c>
      <c r="J42" s="18" t="n">
        <v>1286044.18</v>
      </c>
      <c r="K42" s="37" t="n">
        <v>1286044.18</v>
      </c>
      <c r="L42" s="18" t="n">
        <v>1119785.86</v>
      </c>
      <c r="M42" s="18" t="n">
        <v>992699.55</v>
      </c>
      <c r="N42" s="18" t="n">
        <v>806726.46</v>
      </c>
      <c r="O42" s="18" t="n">
        <v>1081565.51</v>
      </c>
      <c r="P42" s="37" t="n">
        <v>1081565.51</v>
      </c>
      <c r="Q42" s="18" t="n">
        <v>520462.66</v>
      </c>
      <c r="R42" s="18" t="n">
        <v>476855.36</v>
      </c>
      <c r="S42" s="18" t="n">
        <v>345925.5</v>
      </c>
      <c r="T42" s="18" t="n">
        <v>283375.89</v>
      </c>
      <c r="U42" s="37" t="n">
        <v>283375.89</v>
      </c>
      <c r="V42" s="18" t="n">
        <v>244904.66</v>
      </c>
      <c r="W42" s="18" t="n">
        <v>287245.11</v>
      </c>
      <c r="X42" s="18" t="n">
        <v>286591.56</v>
      </c>
      <c r="Y42" s="18" t="n">
        <v>1090396.58</v>
      </c>
      <c r="Z42" s="37" t="n">
        <v>1090396.58</v>
      </c>
      <c r="AA42" s="18" t="n">
        <v>1092818.92</v>
      </c>
      <c r="AB42" s="19" t="n">
        <v>1101003.55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E43" s="18" t="n">
        <v>76489.56</v>
      </c>
      <c r="F43" s="37" t="n">
        <v>76489.56</v>
      </c>
      <c r="G43" s="18" t="n">
        <v>76201.21000000001</v>
      </c>
      <c r="H43" s="18" t="n">
        <v>122101.78</v>
      </c>
      <c r="I43" s="18" t="n">
        <v>117882.42</v>
      </c>
      <c r="J43" s="18" t="n">
        <v>89947.13</v>
      </c>
      <c r="K43" s="37" t="n">
        <v>89947.13</v>
      </c>
      <c r="L43" s="18" t="n">
        <v>76129.55</v>
      </c>
      <c r="M43" s="18" t="n">
        <v>51459.67</v>
      </c>
      <c r="N43" s="18" t="n">
        <v>106562.69</v>
      </c>
      <c r="O43" s="18" t="n">
        <v>205361.37</v>
      </c>
      <c r="P43" s="37" t="n">
        <v>205361.37</v>
      </c>
      <c r="Q43" s="18" t="n">
        <v>214054.76</v>
      </c>
      <c r="R43" s="18" t="n">
        <v>202550.38</v>
      </c>
      <c r="S43" s="18" t="n">
        <v>199343.28</v>
      </c>
      <c r="T43" s="18" t="n">
        <v>118278.53</v>
      </c>
      <c r="U43" s="37" t="n">
        <v>118278.53</v>
      </c>
      <c r="V43" s="18" t="n">
        <v>177108.1</v>
      </c>
      <c r="W43" s="18" t="n">
        <v>108982.86</v>
      </c>
      <c r="X43" s="18" t="n">
        <v>120574.01</v>
      </c>
      <c r="Y43" s="18" t="n">
        <v>115762.75</v>
      </c>
      <c r="Z43" s="37" t="n">
        <v>115762.75</v>
      </c>
      <c r="AA43" s="18" t="n">
        <v>463006.19</v>
      </c>
      <c r="AB43" s="19" t="n">
        <v>482038.08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938361.67</v>
      </c>
      <c r="F44" s="37" t="n">
        <v>938361.67</v>
      </c>
      <c r="G44" s="18" t="n">
        <v>951563.25</v>
      </c>
      <c r="H44" s="18" t="n">
        <v>2218169.14</v>
      </c>
      <c r="I44" s="18" t="n">
        <v>2922194.73</v>
      </c>
      <c r="J44" s="18" t="n">
        <v>1691654.96</v>
      </c>
      <c r="K44" s="37" t="n">
        <v>1691654.96</v>
      </c>
      <c r="L44" s="18" t="n">
        <v>1244006.83</v>
      </c>
      <c r="M44" s="18" t="n">
        <v>1519656.36</v>
      </c>
      <c r="N44" s="18" t="n">
        <v>1034184.64</v>
      </c>
      <c r="O44" s="18" t="n">
        <v>789388.65</v>
      </c>
      <c r="P44" s="37" t="n">
        <v>789388.65</v>
      </c>
      <c r="Q44" s="18" t="n">
        <v>849998.88</v>
      </c>
      <c r="R44" s="18" t="n">
        <v>870484.35</v>
      </c>
      <c r="S44" s="18" t="n">
        <v>477317.58</v>
      </c>
      <c r="T44" s="18" t="n">
        <v>1396982.38</v>
      </c>
      <c r="U44" s="37" t="n">
        <v>1396982.38</v>
      </c>
      <c r="V44" s="18" t="n">
        <v>1272903.92</v>
      </c>
      <c r="W44" s="18" t="n">
        <v>755332.87</v>
      </c>
      <c r="X44" s="18" t="n">
        <v>1100463.95</v>
      </c>
      <c r="Y44" s="18" t="n">
        <v>1410843.7</v>
      </c>
      <c r="Z44" s="37" t="n">
        <v>1410843.7</v>
      </c>
      <c r="AA44" s="18" t="n">
        <v>2104460.77</v>
      </c>
      <c r="AB44" s="19" t="n">
        <v>2201538.22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173763.28</v>
      </c>
      <c r="F45" s="37" t="n">
        <v>173763.28</v>
      </c>
      <c r="G45" s="18" t="n">
        <v>124853.73</v>
      </c>
      <c r="H45" s="18" t="n">
        <v>39938.2</v>
      </c>
      <c r="I45" s="18" t="n">
        <v>39945.69</v>
      </c>
      <c r="J45" s="18" t="n">
        <v>119521.36</v>
      </c>
      <c r="K45" s="37" t="n">
        <v>119521.36</v>
      </c>
      <c r="L45" s="18" t="n">
        <v>149505.1</v>
      </c>
      <c r="M45" s="18" t="n">
        <v>304255.01</v>
      </c>
      <c r="N45" s="18" t="n">
        <v>304353.38</v>
      </c>
      <c r="O45" s="18" t="n">
        <v>204687.39</v>
      </c>
      <c r="P45" s="37" t="n">
        <v>204687.39</v>
      </c>
      <c r="Q45" s="18" t="n">
        <v>169758.68</v>
      </c>
      <c r="R45" s="18" t="n">
        <v>74888.85000000001</v>
      </c>
      <c r="S45" s="18" t="n">
        <v>74897.86</v>
      </c>
      <c r="T45" s="18" t="n">
        <v>74907.00999999999</v>
      </c>
      <c r="U45" s="37" t="n">
        <v>74907.00999999999</v>
      </c>
      <c r="V45" s="18" t="n">
        <v>64922.88</v>
      </c>
      <c r="W45" s="18" t="n">
        <v>0</v>
      </c>
      <c r="X45" s="18" t="n">
        <v>299105.81</v>
      </c>
      <c r="Y45" s="18" t="n">
        <v>299189.22</v>
      </c>
      <c r="Z45" s="37" t="n">
        <v>299189.22</v>
      </c>
      <c r="AA45" s="18" t="n">
        <v>299272.37</v>
      </c>
      <c r="AB45" s="19" t="n">
        <v>299355.35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223710</v>
      </c>
      <c r="F46" s="37" t="n">
        <v>223710</v>
      </c>
      <c r="G46" s="18" t="n">
        <v>334361</v>
      </c>
      <c r="H46" s="18" t="n">
        <v>1300145</v>
      </c>
      <c r="I46" s="18" t="n">
        <v>1521885</v>
      </c>
      <c r="J46" s="18" t="n">
        <v>1195651.88</v>
      </c>
      <c r="K46" s="37" t="n">
        <v>1195651.88</v>
      </c>
      <c r="L46" s="18" t="n">
        <v>806363.9399999999</v>
      </c>
      <c r="M46" s="18" t="n">
        <v>976073.9399999999</v>
      </c>
      <c r="N46" s="18" t="n">
        <v>506408</v>
      </c>
      <c r="O46" s="18" t="n">
        <v>292231</v>
      </c>
      <c r="P46" s="37" t="n">
        <v>292231</v>
      </c>
      <c r="Q46" s="18" t="n">
        <v>272697</v>
      </c>
      <c r="R46" s="18" t="n">
        <v>169460</v>
      </c>
      <c r="S46" s="18" t="n">
        <v>65477</v>
      </c>
      <c r="T46" s="18" t="n">
        <v>44720</v>
      </c>
      <c r="U46" s="37" t="n">
        <v>44720</v>
      </c>
      <c r="V46" s="18" t="n">
        <v>0</v>
      </c>
      <c r="W46" s="18" t="n">
        <v>0</v>
      </c>
      <c r="X46" s="18" t="n">
        <v>0</v>
      </c>
      <c r="Y46" s="18" t="n">
        <v>0</v>
      </c>
      <c r="Z46" s="37" t="n">
        <v>0</v>
      </c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장기충당부채</t>
        </is>
      </c>
      <c r="E47" s="18" t="n">
        <v>61798.56</v>
      </c>
      <c r="F47" s="37" t="n">
        <v>61798.56</v>
      </c>
      <c r="G47" s="18" t="n">
        <v>39429.58</v>
      </c>
      <c r="H47" s="18" t="n">
        <v>38828.65</v>
      </c>
      <c r="I47" s="18" t="n">
        <v>26244.24</v>
      </c>
      <c r="J47" s="18" t="n">
        <v>28986.64</v>
      </c>
      <c r="K47" s="37" t="n">
        <v>28986.64</v>
      </c>
      <c r="L47" s="18" t="n">
        <v>19466.9</v>
      </c>
      <c r="M47" s="18" t="n">
        <v>23514.47</v>
      </c>
      <c r="N47" s="18" t="n">
        <v>26846.31</v>
      </c>
      <c r="O47" s="18" t="n">
        <v>29982.69</v>
      </c>
      <c r="P47" s="37" t="n">
        <v>29982.69</v>
      </c>
      <c r="Q47" s="18" t="n">
        <v>32456.13</v>
      </c>
      <c r="R47" s="18" t="n">
        <v>37544.47</v>
      </c>
      <c r="S47" s="18" t="n">
        <v>36915.02</v>
      </c>
      <c r="T47" s="18" t="n">
        <v>41757.36</v>
      </c>
      <c r="U47" s="37" t="n">
        <v>41757.36</v>
      </c>
      <c r="V47" s="18" t="n">
        <v>50425.78</v>
      </c>
      <c r="W47" s="18" t="n">
        <v>50444.32</v>
      </c>
      <c r="X47" s="18" t="n">
        <v>55319.83</v>
      </c>
      <c r="Y47" s="18" t="n">
        <v>63230.31</v>
      </c>
      <c r="Z47" s="37" t="n">
        <v>63230.31</v>
      </c>
      <c r="AA47" s="18" t="n">
        <v>67623.39999999999</v>
      </c>
      <c r="AB47" s="19" t="n">
        <v>78883.57000000001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장기파생상품부채</t>
        </is>
      </c>
      <c r="E48" s="18" t="n">
        <v>417699.39</v>
      </c>
      <c r="F48" s="37" t="n">
        <v>417699.39</v>
      </c>
      <c r="G48" s="18" t="n">
        <v>395352.66</v>
      </c>
      <c r="H48" s="18" t="n">
        <v>786612.71</v>
      </c>
      <c r="I48" s="18" t="n">
        <v>1279017.55</v>
      </c>
      <c r="J48" s="18" t="n">
        <v>274626.53</v>
      </c>
      <c r="K48" s="37" t="n">
        <v>274626.53</v>
      </c>
      <c r="L48" s="18" t="n">
        <v>188154.52</v>
      </c>
      <c r="M48" s="18" t="n">
        <v>139650.81</v>
      </c>
      <c r="N48" s="18" t="n">
        <v>124205.26</v>
      </c>
      <c r="O48" s="18" t="n">
        <v>105724.86</v>
      </c>
      <c r="P48" s="37" t="n">
        <v>105724.86</v>
      </c>
      <c r="Q48" s="18" t="n">
        <v>199974.85</v>
      </c>
      <c r="R48" s="18" t="n">
        <v>394904.27</v>
      </c>
      <c r="S48" s="18" t="n">
        <v>121765.91</v>
      </c>
      <c r="T48" s="18" t="n">
        <v>914698.45</v>
      </c>
      <c r="U48" s="37" t="n">
        <v>914698.45</v>
      </c>
      <c r="V48" s="18" t="n">
        <v>864750.74</v>
      </c>
      <c r="W48" s="18" t="n">
        <v>423500.26</v>
      </c>
      <c r="X48" s="18" t="n">
        <v>476332.47</v>
      </c>
      <c r="Y48" s="18" t="n">
        <v>775354.91</v>
      </c>
      <c r="Z48" s="37" t="n">
        <v>775354.91</v>
      </c>
      <c r="AA48" s="18" t="n">
        <v>1467463.84</v>
      </c>
      <c r="AB48" s="19" t="n">
        <v>1564892.87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장기금융부채</t>
        </is>
      </c>
      <c r="E49" s="18" t="n">
        <v>467699.15</v>
      </c>
      <c r="F49" s="37" t="n">
        <v>467699.15</v>
      </c>
      <c r="G49" s="18" t="n">
        <v>452918.94</v>
      </c>
      <c r="H49" s="18" t="n">
        <v>839257.29</v>
      </c>
      <c r="I49" s="18" t="n">
        <v>1327487.52</v>
      </c>
      <c r="J49" s="18" t="n">
        <v>347495.09</v>
      </c>
      <c r="K49" s="37" t="n">
        <v>347495.09</v>
      </c>
      <c r="L49" s="18" t="n">
        <v>268670.88</v>
      </c>
      <c r="M49" s="18" t="n">
        <v>215812.93</v>
      </c>
      <c r="N49" s="18" t="n">
        <v>196576.95</v>
      </c>
      <c r="O49" s="18" t="n">
        <v>262487.58</v>
      </c>
      <c r="P49" s="37" t="n">
        <v>262487.58</v>
      </c>
      <c r="Q49" s="18" t="n">
        <v>375087.08</v>
      </c>
      <c r="R49" s="18" t="n">
        <v>588591.04</v>
      </c>
      <c r="S49" s="18" t="n">
        <v>300027.7</v>
      </c>
      <c r="T49" s="18" t="n">
        <v>1235598.03</v>
      </c>
      <c r="U49" s="37" t="n">
        <v>1235598.03</v>
      </c>
      <c r="V49" s="18" t="n">
        <v>1157555.27</v>
      </c>
      <c r="W49" s="18" t="n">
        <v>704888.55</v>
      </c>
      <c r="X49" s="18" t="n">
        <v>746038.3</v>
      </c>
      <c r="Y49" s="18" t="n">
        <v>1048424.18</v>
      </c>
      <c r="Z49" s="37" t="n">
        <v>1048424.18</v>
      </c>
      <c r="AA49" s="18" t="n">
        <v>1737565</v>
      </c>
      <c r="AB49" s="19" t="n">
        <v>1823299.3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E50" s="18" t="n">
        <v>49999.76</v>
      </c>
      <c r="F50" s="37" t="n">
        <v>49999.76</v>
      </c>
      <c r="G50" s="18" t="n">
        <v>49753.06</v>
      </c>
      <c r="H50" s="18" t="n">
        <v>49238.51</v>
      </c>
      <c r="I50" s="18" t="n">
        <v>48469.97</v>
      </c>
      <c r="J50" s="18" t="n">
        <v>49224.57</v>
      </c>
      <c r="K50" s="37" t="n">
        <v>49224.57</v>
      </c>
      <c r="L50" s="18" t="n">
        <v>50119.3</v>
      </c>
      <c r="M50" s="18" t="n">
        <v>50059.75</v>
      </c>
      <c r="N50" s="18" t="n">
        <v>49427.23</v>
      </c>
      <c r="O50" s="18" t="n">
        <v>57937.42</v>
      </c>
      <c r="P50" s="37" t="n">
        <v>57937.42</v>
      </c>
      <c r="Q50" s="18" t="n">
        <v>58290.42</v>
      </c>
      <c r="R50" s="18" t="n">
        <v>58324.97</v>
      </c>
      <c r="S50" s="18" t="n">
        <v>58053.23</v>
      </c>
      <c r="T50" s="18" t="n">
        <v>60537.59</v>
      </c>
      <c r="U50" s="37" t="n">
        <v>60537.59</v>
      </c>
      <c r="V50" s="18" t="n">
        <v>63541.2</v>
      </c>
      <c r="W50" s="18" t="n">
        <v>63522.15</v>
      </c>
      <c r="X50" s="18" t="n">
        <v>63561.42</v>
      </c>
      <c r="Y50" s="18" t="n">
        <v>78501.55</v>
      </c>
      <c r="Z50" s="37" t="n">
        <v>78501.55</v>
      </c>
      <c r="AA50" s="18" t="n">
        <v>78484.10000000001</v>
      </c>
      <c r="AB50" s="19" t="n">
        <v>78695.37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부채총계</t>
        </is>
      </c>
      <c r="E51" s="18" t="n">
        <v>7669432.61</v>
      </c>
      <c r="F51" s="37" t="n">
        <v>7669432.61</v>
      </c>
      <c r="G51" s="18" t="n">
        <v>7890281.19</v>
      </c>
      <c r="H51" s="18" t="n">
        <v>9821190.220000001</v>
      </c>
      <c r="I51" s="18" t="n">
        <v>12698813.3</v>
      </c>
      <c r="J51" s="18" t="n">
        <v>11186551.2</v>
      </c>
      <c r="K51" s="37" t="n">
        <v>11186551.2</v>
      </c>
      <c r="L51" s="18" t="n">
        <v>11136315.97</v>
      </c>
      <c r="M51" s="18" t="n">
        <v>11479477.72</v>
      </c>
      <c r="N51" s="18" t="n">
        <v>12970907.76</v>
      </c>
      <c r="O51" s="18" t="n">
        <v>12448525.75</v>
      </c>
      <c r="P51" s="37" t="n">
        <v>12448525.75</v>
      </c>
      <c r="Q51" s="18" t="n">
        <v>12710795.72</v>
      </c>
      <c r="R51" s="18" t="n">
        <v>12849616.54</v>
      </c>
      <c r="S51" s="18" t="n">
        <v>11328558.26</v>
      </c>
      <c r="T51" s="18" t="n">
        <v>13275009.33</v>
      </c>
      <c r="U51" s="37" t="n">
        <v>13275009.33</v>
      </c>
      <c r="V51" s="18" t="n">
        <v>12322672.78</v>
      </c>
      <c r="W51" s="18" t="n">
        <v>10210365.18</v>
      </c>
      <c r="X51" s="18" t="n">
        <v>10446071.19</v>
      </c>
      <c r="Y51" s="18" t="n">
        <v>10706551.83</v>
      </c>
      <c r="Z51" s="37" t="n">
        <v>10706551.83</v>
      </c>
      <c r="AA51" s="18" t="n">
        <v>12003580.5</v>
      </c>
      <c r="AB51" s="19" t="n">
        <v>13115989.99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자본금</t>
        </is>
      </c>
      <c r="E52" s="18" t="n">
        <v>880114.84</v>
      </c>
      <c r="F52" s="37" t="n">
        <v>880114.84</v>
      </c>
      <c r="G52" s="18" t="n">
        <v>880114.84</v>
      </c>
      <c r="H52" s="18" t="n">
        <v>880114.84</v>
      </c>
      <c r="I52" s="18" t="n">
        <v>880114.84</v>
      </c>
      <c r="J52" s="18" t="n">
        <v>880114.84</v>
      </c>
      <c r="K52" s="37" t="n">
        <v>880114.84</v>
      </c>
      <c r="L52" s="18" t="n">
        <v>880114.84</v>
      </c>
      <c r="M52" s="18" t="n">
        <v>880114.84</v>
      </c>
      <c r="N52" s="18" t="n">
        <v>880114.84</v>
      </c>
      <c r="O52" s="18" t="n">
        <v>880114.84</v>
      </c>
      <c r="P52" s="37" t="n">
        <v>880114.84</v>
      </c>
      <c r="Q52" s="18" t="n">
        <v>880114.84</v>
      </c>
      <c r="R52" s="18" t="n">
        <v>880114.84</v>
      </c>
      <c r="S52" s="18" t="n">
        <v>880114.84</v>
      </c>
      <c r="T52" s="18" t="n">
        <v>880114.84</v>
      </c>
      <c r="U52" s="37" t="n">
        <v>880114.84</v>
      </c>
      <c r="V52" s="18" t="n">
        <v>880114.84</v>
      </c>
      <c r="W52" s="18" t="n">
        <v>880114.84</v>
      </c>
      <c r="X52" s="18" t="n">
        <v>880114.84</v>
      </c>
      <c r="Y52" s="18" t="n">
        <v>880114.84</v>
      </c>
      <c r="Z52" s="37" t="n">
        <v>880114.84</v>
      </c>
      <c r="AA52" s="18" t="n">
        <v>880114.84</v>
      </c>
      <c r="AB52" s="19" t="n">
        <v>880114.84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보통주자본금</t>
        </is>
      </c>
      <c r="E53" s="18" t="n">
        <v>880000</v>
      </c>
      <c r="F53" s="37" t="n">
        <v>880000</v>
      </c>
      <c r="G53" s="18" t="n">
        <v>880000</v>
      </c>
      <c r="H53" s="18" t="n">
        <v>880000</v>
      </c>
      <c r="I53" s="18" t="n">
        <v>880000</v>
      </c>
      <c r="J53" s="18" t="n">
        <v>880000</v>
      </c>
      <c r="K53" s="37" t="n">
        <v>880000</v>
      </c>
      <c r="L53" s="18" t="n">
        <v>880000</v>
      </c>
      <c r="M53" s="18" t="n">
        <v>880000</v>
      </c>
      <c r="N53" s="18" t="n">
        <v>880000</v>
      </c>
      <c r="O53" s="18" t="n">
        <v>880000</v>
      </c>
      <c r="P53" s="37" t="n">
        <v>880000</v>
      </c>
      <c r="Q53" s="18" t="n">
        <v>880000</v>
      </c>
      <c r="R53" s="18" t="n">
        <v>880000</v>
      </c>
      <c r="S53" s="18" t="n">
        <v>880000</v>
      </c>
      <c r="T53" s="18" t="n">
        <v>880000</v>
      </c>
      <c r="U53" s="37" t="n">
        <v>880000</v>
      </c>
      <c r="V53" s="18" t="n">
        <v>880000</v>
      </c>
      <c r="W53" s="18" t="n">
        <v>880000</v>
      </c>
      <c r="X53" s="18" t="n">
        <v>880000</v>
      </c>
      <c r="Y53" s="18" t="n">
        <v>880000</v>
      </c>
      <c r="Z53" s="37" t="n">
        <v>880000</v>
      </c>
      <c r="AA53" s="18" t="n">
        <v>880000</v>
      </c>
      <c r="AB53" s="19" t="n">
        <v>880000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우선주자본금</t>
        </is>
      </c>
      <c r="E54" s="18" t="n">
        <v>114.84</v>
      </c>
      <c r="F54" s="37" t="n">
        <v>114.84</v>
      </c>
      <c r="G54" s="18" t="n">
        <v>114.84</v>
      </c>
      <c r="H54" s="18" t="n">
        <v>114.84</v>
      </c>
      <c r="I54" s="18" t="n">
        <v>114.84</v>
      </c>
      <c r="J54" s="18" t="n">
        <v>114.84</v>
      </c>
      <c r="K54" s="37" t="n">
        <v>114.84</v>
      </c>
      <c r="L54" s="18" t="n">
        <v>114.84</v>
      </c>
      <c r="M54" s="18" t="n">
        <v>114.84</v>
      </c>
      <c r="N54" s="18" t="n">
        <v>114.84</v>
      </c>
      <c r="O54" s="18" t="n">
        <v>114.84</v>
      </c>
      <c r="P54" s="37" t="n">
        <v>114.84</v>
      </c>
      <c r="Q54" s="18" t="n">
        <v>114.84</v>
      </c>
      <c r="R54" s="18" t="n">
        <v>114.84</v>
      </c>
      <c r="S54" s="18" t="n">
        <v>114.84</v>
      </c>
      <c r="T54" s="18" t="n">
        <v>114.84</v>
      </c>
      <c r="U54" s="37" t="n">
        <v>114.84</v>
      </c>
      <c r="V54" s="18" t="n">
        <v>114.84</v>
      </c>
      <c r="W54" s="18" t="n">
        <v>114.84</v>
      </c>
      <c r="X54" s="18" t="n">
        <v>114.84</v>
      </c>
      <c r="Y54" s="18" t="n">
        <v>114.84</v>
      </c>
      <c r="Z54" s="37" t="n">
        <v>114.84</v>
      </c>
      <c r="AA54" s="18" t="n">
        <v>114.84</v>
      </c>
      <c r="AB54" s="19" t="n">
        <v>114.84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자본잉여금</t>
        </is>
      </c>
      <c r="E55" s="18" t="n">
        <v>1969727.2</v>
      </c>
      <c r="F55" s="37" t="n">
        <v>1969727.2</v>
      </c>
      <c r="G55" s="18" t="n">
        <v>1969727.2</v>
      </c>
      <c r="H55" s="18" t="n">
        <v>1969727.2</v>
      </c>
      <c r="I55" s="18" t="n">
        <v>1969727.2</v>
      </c>
      <c r="J55" s="18" t="n">
        <v>1969727.2</v>
      </c>
      <c r="K55" s="37" t="n">
        <v>1969727.2</v>
      </c>
      <c r="L55" s="18" t="n">
        <v>1969727.2</v>
      </c>
      <c r="M55" s="18" t="n">
        <v>1969727.2</v>
      </c>
      <c r="N55" s="18" t="n">
        <v>1969727.2</v>
      </c>
      <c r="O55" s="18" t="n">
        <v>1969727.2</v>
      </c>
      <c r="P55" s="37" t="n">
        <v>1969727.2</v>
      </c>
      <c r="Q55" s="18" t="n">
        <v>1969727.2</v>
      </c>
      <c r="R55" s="18" t="n">
        <v>1969727.2</v>
      </c>
      <c r="S55" s="18" t="n">
        <v>1969727.2</v>
      </c>
      <c r="T55" s="18" t="n">
        <v>1969727.2</v>
      </c>
      <c r="U55" s="37" t="n">
        <v>1969727.2</v>
      </c>
      <c r="V55" s="18" t="n">
        <v>1969727.2</v>
      </c>
      <c r="W55" s="18" t="n">
        <v>1969727.2</v>
      </c>
      <c r="X55" s="18" t="n">
        <v>1969727.2</v>
      </c>
      <c r="Y55" s="18" t="n">
        <v>1969727.2</v>
      </c>
      <c r="Z55" s="37" t="n">
        <v>1969727.2</v>
      </c>
      <c r="AA55" s="18" t="n">
        <v>1969727.2</v>
      </c>
      <c r="AB55" s="19" t="n">
        <v>1969727.2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1173140.79</v>
      </c>
      <c r="F56" s="37" t="n">
        <v>1173140.79</v>
      </c>
      <c r="G56" s="18" t="n">
        <v>1208455.35</v>
      </c>
      <c r="H56" s="18" t="n">
        <v>1427756.67</v>
      </c>
      <c r="I56" s="18" t="n">
        <v>1875453.65</v>
      </c>
      <c r="J56" s="18" t="n">
        <v>1267458.63</v>
      </c>
      <c r="K56" s="37" t="n">
        <v>1267458.63</v>
      </c>
      <c r="L56" s="18" t="n">
        <v>1390770.61</v>
      </c>
      <c r="M56" s="18" t="n">
        <v>1370585.95</v>
      </c>
      <c r="N56" s="18" t="n">
        <v>1518179.33</v>
      </c>
      <c r="O56" s="18" t="n">
        <v>1308612.03</v>
      </c>
      <c r="P56" s="37" t="n">
        <v>1308612.03</v>
      </c>
      <c r="Q56" s="18" t="n">
        <v>1561439.31</v>
      </c>
      <c r="R56" s="18" t="n">
        <v>1729108.56</v>
      </c>
      <c r="S56" s="18" t="n">
        <v>1454060.34</v>
      </c>
      <c r="T56" s="18" t="n">
        <v>1603542.16</v>
      </c>
      <c r="U56" s="37" t="n">
        <v>1603542.16</v>
      </c>
      <c r="V56" s="18" t="n">
        <v>1570252.52</v>
      </c>
      <c r="W56" s="18" t="n">
        <v>1167907.04</v>
      </c>
      <c r="X56" s="18" t="n">
        <v>1356493.11</v>
      </c>
      <c r="Y56" s="18" t="n">
        <v>1420867.53</v>
      </c>
      <c r="Z56" s="37" t="n">
        <v>1420867.53</v>
      </c>
      <c r="AA56" s="18" t="n">
        <v>1669663</v>
      </c>
      <c r="AB56" s="19" t="n">
        <v>1694099.07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1556045.05</v>
      </c>
      <c r="F57" s="37" t="n">
        <v>1556045.05</v>
      </c>
      <c r="G57" s="18" t="n">
        <v>1556045.05</v>
      </c>
      <c r="H57" s="18" t="n">
        <v>1556045.05</v>
      </c>
      <c r="I57" s="18" t="n">
        <v>1556045.05</v>
      </c>
      <c r="J57" s="18" t="n">
        <v>1556045.05</v>
      </c>
      <c r="K57" s="37" t="n">
        <v>1556045.05</v>
      </c>
      <c r="L57" s="18" t="n">
        <v>1556045.05</v>
      </c>
      <c r="M57" s="18" t="n">
        <v>1556045.05</v>
      </c>
      <c r="N57" s="18" t="n">
        <v>1556045.05</v>
      </c>
      <c r="O57" s="18" t="n">
        <v>1556045.05</v>
      </c>
      <c r="P57" s="37" t="n">
        <v>1556045.05</v>
      </c>
      <c r="Q57" s="18" t="n">
        <v>1556045.05</v>
      </c>
      <c r="R57" s="18" t="n">
        <v>1556045.05</v>
      </c>
      <c r="S57" s="18" t="n">
        <v>1556045.05</v>
      </c>
      <c r="T57" s="18" t="n">
        <v>1556045.05</v>
      </c>
      <c r="U57" s="37" t="n">
        <v>1556045.05</v>
      </c>
      <c r="V57" s="18" t="n">
        <v>1556045.05</v>
      </c>
      <c r="W57" s="18" t="n">
        <v>1556045.05</v>
      </c>
      <c r="X57" s="18" t="n">
        <v>1556045.05</v>
      </c>
      <c r="Y57" s="18" t="n">
        <v>1556045.05</v>
      </c>
      <c r="Z57" s="37" t="n">
        <v>1556045.05</v>
      </c>
      <c r="AA57" s="18" t="n">
        <v>1556045.05</v>
      </c>
      <c r="AB57" s="19" t="n">
        <v>1556045.05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이익잉여금</t>
        </is>
      </c>
      <c r="E58" s="18" t="n">
        <v>-1356322.93</v>
      </c>
      <c r="F58" s="37" t="n">
        <v>-1356322.93</v>
      </c>
      <c r="G58" s="18" t="n">
        <v>-1441919.24</v>
      </c>
      <c r="H58" s="18" t="n">
        <v>-1693475.44</v>
      </c>
      <c r="I58" s="18" t="n">
        <v>-1918015.28</v>
      </c>
      <c r="J58" s="18" t="n">
        <v>-2120523.2</v>
      </c>
      <c r="K58" s="37" t="n">
        <v>-2120523.2</v>
      </c>
      <c r="L58" s="18" t="n">
        <v>-2049465.42</v>
      </c>
      <c r="M58" s="18" t="n">
        <v>-1989763.65</v>
      </c>
      <c r="N58" s="18" t="n">
        <v>-1967528.89</v>
      </c>
      <c r="O58" s="18" t="n">
        <v>-2271046.14</v>
      </c>
      <c r="P58" s="37" t="n">
        <v>-2271046.14</v>
      </c>
      <c r="Q58" s="18" t="n">
        <v>-2337263.75</v>
      </c>
      <c r="R58" s="18" t="n">
        <v>-2276935.88</v>
      </c>
      <c r="S58" s="18" t="n">
        <v>-2200158.91</v>
      </c>
      <c r="T58" s="18" t="n">
        <v>-2286584.91</v>
      </c>
      <c r="U58" s="37" t="n">
        <v>-2286584.91</v>
      </c>
      <c r="V58" s="18" t="n">
        <v>-2184703.03</v>
      </c>
      <c r="W58" s="18" t="n">
        <v>-1966242.59</v>
      </c>
      <c r="X58" s="18" t="n">
        <v>-1820555.79</v>
      </c>
      <c r="Y58" s="18" t="n">
        <v>-1758618.09</v>
      </c>
      <c r="Z58" s="37" t="n">
        <v>-1758618.09</v>
      </c>
      <c r="AA58" s="18" t="n">
        <v>-1643215.54</v>
      </c>
      <c r="AB58" s="19" t="n">
        <v>-1417785.06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자본총계</t>
        </is>
      </c>
      <c r="E59" s="18" t="n">
        <v>4222704.96</v>
      </c>
      <c r="F59" s="37" t="n">
        <v>4222704.96</v>
      </c>
      <c r="G59" s="18" t="n">
        <v>4172423.21</v>
      </c>
      <c r="H59" s="18" t="n">
        <v>4140168.34</v>
      </c>
      <c r="I59" s="18" t="n">
        <v>4363325.47</v>
      </c>
      <c r="J59" s="18" t="n">
        <v>3552822.52</v>
      </c>
      <c r="K59" s="37" t="n">
        <v>3552822.52</v>
      </c>
      <c r="L59" s="18" t="n">
        <v>3747192.29</v>
      </c>
      <c r="M59" s="18" t="n">
        <v>3786709.4</v>
      </c>
      <c r="N59" s="18" t="n">
        <v>3956537.54</v>
      </c>
      <c r="O59" s="18" t="n">
        <v>3443452.99</v>
      </c>
      <c r="P59" s="37" t="n">
        <v>3443452.99</v>
      </c>
      <c r="Q59" s="18" t="n">
        <v>3630062.66</v>
      </c>
      <c r="R59" s="18" t="n">
        <v>3858059.77</v>
      </c>
      <c r="S59" s="18" t="n">
        <v>3659788.53</v>
      </c>
      <c r="T59" s="18" t="n">
        <v>3722844.35</v>
      </c>
      <c r="U59" s="37" t="n">
        <v>3722844.35</v>
      </c>
      <c r="V59" s="18" t="n">
        <v>3791436.59</v>
      </c>
      <c r="W59" s="18" t="n">
        <v>3607551.55</v>
      </c>
      <c r="X59" s="18" t="n">
        <v>3941824.42</v>
      </c>
      <c r="Y59" s="18" t="n">
        <v>4068136.54</v>
      </c>
      <c r="Z59" s="37" t="n">
        <v>4068136.54</v>
      </c>
      <c r="AA59" s="18" t="n">
        <v>4432334.56</v>
      </c>
      <c r="AB59" s="19" t="n">
        <v>4682201.11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부채와자본총계</t>
        </is>
      </c>
      <c r="E60" s="18" t="n">
        <v>11892137.57</v>
      </c>
      <c r="F60" s="37" t="n">
        <v>11892137.57</v>
      </c>
      <c r="G60" s="18" t="n">
        <v>12062704.4</v>
      </c>
      <c r="H60" s="18" t="n">
        <v>13961358.56</v>
      </c>
      <c r="I60" s="18" t="n">
        <v>17062138.77</v>
      </c>
      <c r="J60" s="18" t="n">
        <v>14739373.72</v>
      </c>
      <c r="K60" s="37" t="n">
        <v>14739373.72</v>
      </c>
      <c r="L60" s="18" t="n">
        <v>14883508.26</v>
      </c>
      <c r="M60" s="18" t="n">
        <v>15266187.11</v>
      </c>
      <c r="N60" s="18" t="n">
        <v>16927445.3</v>
      </c>
      <c r="O60" s="18" t="n">
        <v>15891978.74</v>
      </c>
      <c r="P60" s="37" t="n">
        <v>15891978.74</v>
      </c>
      <c r="Q60" s="18" t="n">
        <v>16340858.38</v>
      </c>
      <c r="R60" s="18" t="n">
        <v>16707676.31</v>
      </c>
      <c r="S60" s="18" t="n">
        <v>14988346.79</v>
      </c>
      <c r="T60" s="18" t="n">
        <v>16997853.68</v>
      </c>
      <c r="U60" s="37" t="n">
        <v>16997853.68</v>
      </c>
      <c r="V60" s="18" t="n">
        <v>16114109.37</v>
      </c>
      <c r="W60" s="18" t="n">
        <v>13817916.73</v>
      </c>
      <c r="X60" s="18" t="n">
        <v>14387895.61</v>
      </c>
      <c r="Y60" s="18" t="n">
        <v>14774688.37</v>
      </c>
      <c r="Z60" s="37" t="n">
        <v>14774688.37</v>
      </c>
      <c r="AA60" s="18" t="n">
        <v>16435915.06</v>
      </c>
      <c r="AB60" s="19" t="n">
        <v>17798191.1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지배주주지분</t>
        </is>
      </c>
      <c r="E61" s="18" t="n">
        <v>4222704.96</v>
      </c>
      <c r="F61" s="37" t="n">
        <v>4222704.96</v>
      </c>
      <c r="G61" s="18" t="n">
        <v>4172423.21</v>
      </c>
      <c r="H61" s="18" t="n">
        <v>4140168.34</v>
      </c>
      <c r="I61" s="18" t="n">
        <v>4363325.47</v>
      </c>
      <c r="J61" s="18" t="n">
        <v>3552822.52</v>
      </c>
      <c r="K61" s="37" t="n">
        <v>3552822.52</v>
      </c>
      <c r="L61" s="18" t="n">
        <v>3747192.29</v>
      </c>
      <c r="M61" s="18" t="n">
        <v>3786709.4</v>
      </c>
      <c r="N61" s="18" t="n">
        <v>3956537.54</v>
      </c>
      <c r="O61" s="18" t="n">
        <v>3443452.99</v>
      </c>
      <c r="P61" s="37" t="n">
        <v>3443452.99</v>
      </c>
      <c r="Q61" s="18" t="n">
        <v>3630062.66</v>
      </c>
      <c r="R61" s="18" t="n">
        <v>3858059.77</v>
      </c>
      <c r="S61" s="18" t="n">
        <v>3659788.53</v>
      </c>
      <c r="T61" s="18" t="n">
        <v>3722844.35</v>
      </c>
      <c r="U61" s="37" t="n">
        <v>3722844.35</v>
      </c>
      <c r="V61" s="18" t="n">
        <v>3791436.59</v>
      </c>
      <c r="W61" s="18" t="n">
        <v>3607551.55</v>
      </c>
      <c r="X61" s="18" t="n">
        <v>3941824.42</v>
      </c>
      <c r="Y61" s="18" t="n">
        <v>4068136.54</v>
      </c>
      <c r="Z61" s="37" t="n">
        <v>4068136.54</v>
      </c>
      <c r="AA61" s="18" t="n">
        <v>4432334.56</v>
      </c>
      <c r="AB61" s="19" t="n">
        <v>4682201.11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총차입금</t>
        </is>
      </c>
      <c r="E62" s="18" t="n">
        <v>2126684.13</v>
      </c>
      <c r="F62" s="37" t="n">
        <v>2126684.13</v>
      </c>
      <c r="G62" s="18" t="n">
        <v>2022845.2</v>
      </c>
      <c r="H62" s="18" t="n">
        <v>2751734.18</v>
      </c>
      <c r="I62" s="18" t="n">
        <v>3605868.78</v>
      </c>
      <c r="J62" s="18" t="n">
        <v>3658829.22</v>
      </c>
      <c r="K62" s="37" t="n">
        <v>3658829.22</v>
      </c>
      <c r="L62" s="18" t="n">
        <v>3441273.32</v>
      </c>
      <c r="M62" s="18" t="n">
        <v>3959458.77</v>
      </c>
      <c r="N62" s="18" t="n">
        <v>4206833.43</v>
      </c>
      <c r="O62" s="18" t="n">
        <v>4439375.92</v>
      </c>
      <c r="P62" s="37" t="n">
        <v>4439375.92</v>
      </c>
      <c r="Q62" s="18" t="n">
        <v>3912757.9</v>
      </c>
      <c r="R62" s="18" t="n">
        <v>3741791.38</v>
      </c>
      <c r="S62" s="18" t="n">
        <v>3932747.73</v>
      </c>
      <c r="T62" s="18" t="n">
        <v>3077891.94</v>
      </c>
      <c r="U62" s="37" t="n">
        <v>3077891.94</v>
      </c>
      <c r="V62" s="18" t="n">
        <v>2987072.74</v>
      </c>
      <c r="W62" s="18" t="n">
        <v>2636246.14</v>
      </c>
      <c r="X62" s="18" t="n">
        <v>2345905.64</v>
      </c>
      <c r="Y62" s="18" t="n">
        <v>1919683.76</v>
      </c>
      <c r="Z62" s="37" t="n">
        <v>1919683.76</v>
      </c>
      <c r="AA62" s="18" t="n">
        <v>1110049.47</v>
      </c>
      <c r="AB62" s="19" t="n">
        <v>1006203.6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순차입금</t>
        </is>
      </c>
      <c r="E63" s="18" t="n">
        <v>605419.52</v>
      </c>
      <c r="F63" s="37" t="n">
        <v>605419.52</v>
      </c>
      <c r="G63" s="18" t="n">
        <v>550320.9399999999</v>
      </c>
      <c r="H63" s="18" t="n">
        <v>169615.1</v>
      </c>
      <c r="I63" s="18" t="n">
        <v>-476850.85</v>
      </c>
      <c r="J63" s="18" t="n">
        <v>1150323.56</v>
      </c>
      <c r="K63" s="37" t="n">
        <v>1150323.56</v>
      </c>
      <c r="L63" s="18" t="n">
        <v>855007.42</v>
      </c>
      <c r="M63" s="18" t="n">
        <v>1166956.65</v>
      </c>
      <c r="N63" s="18" t="n">
        <v>1044933.02</v>
      </c>
      <c r="O63" s="18" t="n">
        <v>2408393.48</v>
      </c>
      <c r="P63" s="37" t="n">
        <v>2408393.48</v>
      </c>
      <c r="Q63" s="18" t="n">
        <v>1067273.73</v>
      </c>
      <c r="R63" s="18" t="n">
        <v>1011954.2</v>
      </c>
      <c r="S63" s="18" t="n">
        <v>1875956.45</v>
      </c>
      <c r="T63" s="18" t="n">
        <v>107411.89</v>
      </c>
      <c r="U63" s="37" t="n">
        <v>107411.89</v>
      </c>
      <c r="V63" s="18" t="n">
        <v>683280.5600000001</v>
      </c>
      <c r="W63" s="18" t="n">
        <v>970250.91</v>
      </c>
      <c r="X63" s="18" t="n">
        <v>-130465.89</v>
      </c>
      <c r="Y63" s="18" t="n">
        <v>-98414.38</v>
      </c>
      <c r="Z63" s="37" t="n">
        <v>-98414.38</v>
      </c>
      <c r="AA63" s="18" t="n">
        <v>-1930189.71</v>
      </c>
      <c r="AB63" s="19" t="n">
        <v>-2099373.79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이자발생자산</t>
        </is>
      </c>
      <c r="E64" s="18" t="n">
        <v>1566672.49</v>
      </c>
      <c r="F64" s="37" t="n">
        <v>1566672.49</v>
      </c>
      <c r="G64" s="18" t="n">
        <v>1518735.18</v>
      </c>
      <c r="H64" s="18" t="n">
        <v>2628181.78</v>
      </c>
      <c r="I64" s="18" t="n">
        <v>4128421.65</v>
      </c>
      <c r="J64" s="18" t="n">
        <v>2594022.34</v>
      </c>
      <c r="K64" s="37" t="n">
        <v>2594022.34</v>
      </c>
      <c r="L64" s="18" t="n">
        <v>2671805.94</v>
      </c>
      <c r="M64" s="18" t="n">
        <v>2878279.1</v>
      </c>
      <c r="N64" s="18" t="n">
        <v>3247611.83</v>
      </c>
      <c r="O64" s="18" t="n">
        <v>2117902.78</v>
      </c>
      <c r="P64" s="37" t="n">
        <v>2117902.78</v>
      </c>
      <c r="Q64" s="18" t="n">
        <v>2932683.36</v>
      </c>
      <c r="R64" s="18" t="n">
        <v>2837881.92</v>
      </c>
      <c r="S64" s="18" t="n">
        <v>2164730.54</v>
      </c>
      <c r="T64" s="18" t="n">
        <v>3094541.87</v>
      </c>
      <c r="U64" s="37" t="n">
        <v>3094541.87</v>
      </c>
      <c r="V64" s="18" t="n">
        <v>2445422.25</v>
      </c>
      <c r="W64" s="18" t="n">
        <v>1839930.69</v>
      </c>
      <c r="X64" s="18" t="n">
        <v>2709048.35</v>
      </c>
      <c r="Y64" s="18" t="n">
        <v>2241560.73</v>
      </c>
      <c r="Z64" s="37" t="n">
        <v>2241560.73</v>
      </c>
      <c r="AA64" s="18" t="n">
        <v>3264242.14</v>
      </c>
      <c r="AB64" s="19" t="n">
        <v>3345350.7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사용권자산</t>
        </is>
      </c>
      <c r="F65" s="9" t="n"/>
      <c r="G65" s="18" t="n">
        <v>6872.69</v>
      </c>
      <c r="H65" s="18" t="n">
        <v>5705.09</v>
      </c>
      <c r="I65" s="18" t="n">
        <v>7436.78</v>
      </c>
      <c r="J65" s="18" t="n">
        <v>47000.66</v>
      </c>
      <c r="K65" s="37" t="n">
        <v>47000.66</v>
      </c>
      <c r="L65" s="18" t="n">
        <v>74199.03</v>
      </c>
      <c r="M65" s="18" t="n">
        <v>66576.89999999999</v>
      </c>
      <c r="N65" s="18" t="n">
        <v>57470.06</v>
      </c>
      <c r="O65" s="18" t="n">
        <v>127772.18</v>
      </c>
      <c r="P65" s="37" t="n">
        <v>127772.18</v>
      </c>
      <c r="Q65" s="18" t="n">
        <v>195986.43</v>
      </c>
      <c r="R65" s="18" t="n">
        <v>210758.81</v>
      </c>
      <c r="S65" s="18" t="n">
        <v>188268.89</v>
      </c>
      <c r="T65" s="18" t="n">
        <v>211609.24</v>
      </c>
      <c r="U65" s="37" t="n">
        <v>211609.24</v>
      </c>
      <c r="V65" s="18" t="n">
        <v>195180.18</v>
      </c>
      <c r="W65" s="18" t="n">
        <v>176638.97</v>
      </c>
      <c r="X65" s="18" t="n">
        <v>165683.35</v>
      </c>
      <c r="Y65" s="18" t="n">
        <v>145255.68</v>
      </c>
      <c r="Z65" s="37" t="n">
        <v>145255.68</v>
      </c>
      <c r="AA65" s="18" t="n">
        <v>149095.69</v>
      </c>
      <c r="AB65" s="19" t="n">
        <v>124052.11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비유동리스부채</t>
        </is>
      </c>
      <c r="F66" s="9" t="n"/>
      <c r="G66" s="18" t="n">
        <v>7813.22</v>
      </c>
      <c r="H66" s="18" t="n">
        <v>3406.07</v>
      </c>
      <c r="J66" s="18" t="n">
        <v>23643.99</v>
      </c>
      <c r="K66" s="37" t="n">
        <v>23643.99</v>
      </c>
      <c r="L66" s="18" t="n">
        <v>30397.06</v>
      </c>
      <c r="M66" s="18" t="n">
        <v>26102.37</v>
      </c>
      <c r="N66" s="18" t="n">
        <v>22944.46</v>
      </c>
      <c r="O66" s="18" t="n">
        <v>98825.3</v>
      </c>
      <c r="P66" s="37" t="n">
        <v>98825.3</v>
      </c>
      <c r="Q66" s="18" t="n">
        <v>116821.81</v>
      </c>
      <c r="R66" s="18" t="n">
        <v>135361.8</v>
      </c>
      <c r="S66" s="18" t="n">
        <v>120208.56</v>
      </c>
      <c r="T66" s="18" t="n">
        <v>260361.99</v>
      </c>
      <c r="U66" s="37" t="n">
        <v>260361.99</v>
      </c>
      <c r="V66" s="18" t="n">
        <v>229263.33</v>
      </c>
      <c r="W66" s="18" t="n">
        <v>217866.14</v>
      </c>
      <c r="X66" s="18" t="n">
        <v>206144.41</v>
      </c>
      <c r="Y66" s="18" t="n">
        <v>194567.72</v>
      </c>
      <c r="Z66" s="37" t="n">
        <v>194567.72</v>
      </c>
      <c r="AA66" s="18" t="n">
        <v>191617.06</v>
      </c>
      <c r="AB66" s="19" t="n">
        <v>179711.06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확정급여부채</t>
        </is>
      </c>
      <c r="F67" s="9" t="n"/>
      <c r="I67" s="18" t="n">
        <v>3156.24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단기투자자산(공정가치)</t>
        </is>
      </c>
      <c r="F68" s="9" t="n"/>
      <c r="K68" s="9" t="n"/>
      <c r="L68" s="18" t="n">
        <v>353997.77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당기법인세부채(미지급법인세)</t>
        </is>
      </c>
      <c r="F69" s="9" t="n"/>
      <c r="K69" s="9" t="n"/>
      <c r="P69" s="9" t="n"/>
      <c r="U69" s="9" t="n"/>
      <c r="Y69" s="18" t="n">
        <v>12159.39</v>
      </c>
      <c r="Z69" s="37" t="n">
        <v>12159.39</v>
      </c>
      <c r="AA69" s="18" t="n">
        <v>19577.86</v>
      </c>
      <c r="AB69" s="19" t="n">
        <v>35531.28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1824114.57</v>
      </c>
      <c r="F70" s="9" t="n"/>
      <c r="G70" s="18" t="n">
        <v>1469234.81</v>
      </c>
      <c r="H70" s="18" t="n">
        <v>1404802.97</v>
      </c>
      <c r="I70" s="18" t="n">
        <v>1388306.63</v>
      </c>
      <c r="J70" s="18" t="n">
        <v>1593863.07</v>
      </c>
      <c r="K70" s="37" t="n">
        <v>5856207.48</v>
      </c>
      <c r="L70" s="18" t="n">
        <v>1574714.1</v>
      </c>
      <c r="M70" s="18" t="n">
        <v>1926308.03</v>
      </c>
      <c r="N70" s="18" t="n">
        <v>2016460.02</v>
      </c>
      <c r="O70" s="18" t="n">
        <v>2389765.09</v>
      </c>
      <c r="P70" s="37" t="n">
        <v>7907247.24</v>
      </c>
      <c r="Q70" s="18" t="n">
        <v>2321766.51</v>
      </c>
      <c r="R70" s="18" t="n">
        <v>2527599.28</v>
      </c>
      <c r="S70" s="18" t="n">
        <v>2320247.51</v>
      </c>
      <c r="T70" s="18" t="n">
        <v>2697815.58</v>
      </c>
      <c r="U70" s="37" t="n">
        <v>9867428.880000001</v>
      </c>
      <c r="V70" s="18" t="n">
        <v>2490274.02</v>
      </c>
      <c r="W70" s="18" t="n">
        <v>2678494.6</v>
      </c>
      <c r="X70" s="18" t="n">
        <v>2631922.02</v>
      </c>
      <c r="Y70" s="18" t="n">
        <v>2834262.23</v>
      </c>
      <c r="Z70" s="37" t="n">
        <v>10634952.87</v>
      </c>
      <c r="AA70" s="18" t="n">
        <v>2899873.8</v>
      </c>
      <c r="AB70" s="19" t="n">
        <v>3224937.5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1986502.3</v>
      </c>
      <c r="F71" s="9" t="n"/>
      <c r="G71" s="18" t="n">
        <v>1471439.24</v>
      </c>
      <c r="H71" s="18" t="n">
        <v>1587741.8</v>
      </c>
      <c r="I71" s="18" t="n">
        <v>1465049.55</v>
      </c>
      <c r="J71" s="18" t="n">
        <v>1832974.29</v>
      </c>
      <c r="K71" s="37" t="n">
        <v>6357204.88</v>
      </c>
      <c r="L71" s="18" t="n">
        <v>1428201.81</v>
      </c>
      <c r="M71" s="18" t="n">
        <v>1770312.78</v>
      </c>
      <c r="N71" s="18" t="n">
        <v>1840350.93</v>
      </c>
      <c r="O71" s="18" t="n">
        <v>2254318.04</v>
      </c>
      <c r="P71" s="37" t="n">
        <v>7293183.56</v>
      </c>
      <c r="Q71" s="18" t="n">
        <v>2222356.03</v>
      </c>
      <c r="R71" s="18" t="n">
        <v>2316678.6</v>
      </c>
      <c r="S71" s="18" t="n">
        <v>2114172.92</v>
      </c>
      <c r="T71" s="18" t="n">
        <v>2389582.87</v>
      </c>
      <c r="U71" s="37" t="n">
        <v>9042790.42</v>
      </c>
      <c r="V71" s="18" t="n">
        <v>2260247.36</v>
      </c>
      <c r="W71" s="18" t="n">
        <v>2361613.6</v>
      </c>
      <c r="X71" s="18" t="n">
        <v>2283922.05</v>
      </c>
      <c r="Y71" s="18" t="n">
        <v>2379841.71</v>
      </c>
      <c r="Z71" s="37" t="n">
        <v>9285624.720000001</v>
      </c>
      <c r="AA71" s="18" t="n">
        <v>2499041.98</v>
      </c>
      <c r="AB71" s="19" t="n">
        <v>2764534.04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-162387.73</v>
      </c>
      <c r="F72" s="9" t="n"/>
      <c r="G72" s="18" t="n">
        <v>-2204.43</v>
      </c>
      <c r="H72" s="18" t="n">
        <v>-182938.83</v>
      </c>
      <c r="I72" s="18" t="n">
        <v>-76742.92</v>
      </c>
      <c r="J72" s="18" t="n">
        <v>-239111.22</v>
      </c>
      <c r="K72" s="37" t="n">
        <v>-500997.4</v>
      </c>
      <c r="L72" s="18" t="n">
        <v>146512.29</v>
      </c>
      <c r="M72" s="18" t="n">
        <v>155995.26</v>
      </c>
      <c r="N72" s="18" t="n">
        <v>176109.09</v>
      </c>
      <c r="O72" s="18" t="n">
        <v>135447.06</v>
      </c>
      <c r="P72" s="37" t="n">
        <v>614063.7</v>
      </c>
      <c r="Q72" s="18" t="n">
        <v>99410.49000000001</v>
      </c>
      <c r="R72" s="18" t="n">
        <v>210920.68</v>
      </c>
      <c r="S72" s="18" t="n">
        <v>206074.59</v>
      </c>
      <c r="T72" s="18" t="n">
        <v>308232.71</v>
      </c>
      <c r="U72" s="37" t="n">
        <v>824638.47</v>
      </c>
      <c r="V72" s="18" t="n">
        <v>230026.66</v>
      </c>
      <c r="W72" s="18" t="n">
        <v>316881</v>
      </c>
      <c r="X72" s="18" t="n">
        <v>347999.97</v>
      </c>
      <c r="Y72" s="18" t="n">
        <v>454420.52</v>
      </c>
      <c r="Z72" s="37" t="n">
        <v>1349328.15</v>
      </c>
      <c r="AA72" s="18" t="n">
        <v>400831.82</v>
      </c>
      <c r="AB72" s="19" t="n">
        <v>460403.46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67898.28</v>
      </c>
      <c r="F73" s="9" t="n"/>
      <c r="G73" s="18" t="n">
        <v>79386.32000000001</v>
      </c>
      <c r="H73" s="18" t="n">
        <v>63850.88</v>
      </c>
      <c r="I73" s="18" t="n">
        <v>80694.63</v>
      </c>
      <c r="J73" s="18" t="n">
        <v>190172.36</v>
      </c>
      <c r="K73" s="37" t="n">
        <v>414104.19</v>
      </c>
      <c r="L73" s="18" t="n">
        <v>76561.87</v>
      </c>
      <c r="M73" s="18" t="n">
        <v>78159.41</v>
      </c>
      <c r="N73" s="18" t="n">
        <v>95013.42</v>
      </c>
      <c r="O73" s="18" t="n">
        <v>107379.7</v>
      </c>
      <c r="P73" s="37" t="n">
        <v>357114.4</v>
      </c>
      <c r="Q73" s="18" t="n">
        <v>72384.53</v>
      </c>
      <c r="R73" s="18" t="n">
        <v>91661.21000000001</v>
      </c>
      <c r="S73" s="18" t="n">
        <v>96599.92</v>
      </c>
      <c r="T73" s="18" t="n">
        <v>110069.99</v>
      </c>
      <c r="U73" s="37" t="n">
        <v>370715.65</v>
      </c>
      <c r="V73" s="18" t="n">
        <v>104344.75</v>
      </c>
      <c r="W73" s="18" t="n">
        <v>109647.73</v>
      </c>
      <c r="X73" s="18" t="n">
        <v>103965.84</v>
      </c>
      <c r="Y73" s="18" t="n">
        <v>164309.52</v>
      </c>
      <c r="Z73" s="37" t="n">
        <v>482267.84</v>
      </c>
      <c r="AA73" s="18" t="n">
        <v>114647.37</v>
      </c>
      <c r="AB73" s="19" t="n">
        <v>136068.78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-230286.01</v>
      </c>
      <c r="F74" s="9" t="n"/>
      <c r="G74" s="18" t="n">
        <v>-81590.75</v>
      </c>
      <c r="H74" s="18" t="n">
        <v>-246789.71</v>
      </c>
      <c r="I74" s="18" t="n">
        <v>-157437.54</v>
      </c>
      <c r="J74" s="18" t="n">
        <v>-429283.59</v>
      </c>
      <c r="K74" s="37" t="n">
        <v>-915101.59</v>
      </c>
      <c r="L74" s="18" t="n">
        <v>69950.41</v>
      </c>
      <c r="M74" s="18" t="n">
        <v>77835.85000000001</v>
      </c>
      <c r="N74" s="18" t="n">
        <v>81095.67</v>
      </c>
      <c r="O74" s="18" t="n">
        <v>28067.35</v>
      </c>
      <c r="P74" s="37" t="n">
        <v>256949.28</v>
      </c>
      <c r="Q74" s="18" t="n">
        <v>27025.96</v>
      </c>
      <c r="R74" s="18" t="n">
        <v>119259.47</v>
      </c>
      <c r="S74" s="18" t="n">
        <v>109474.67</v>
      </c>
      <c r="T74" s="18" t="n">
        <v>198162.73</v>
      </c>
      <c r="U74" s="37" t="n">
        <v>453922.83</v>
      </c>
      <c r="V74" s="18" t="n">
        <v>125681.91</v>
      </c>
      <c r="W74" s="18" t="n">
        <v>207233.26</v>
      </c>
      <c r="X74" s="18" t="n">
        <v>244034.14</v>
      </c>
      <c r="Y74" s="18" t="n">
        <v>290111</v>
      </c>
      <c r="Z74" s="37" t="n">
        <v>867060.3100000001</v>
      </c>
      <c r="AA74" s="18" t="n">
        <v>286184.45</v>
      </c>
      <c r="AB74" s="19" t="n">
        <v>324334.68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118565.02</v>
      </c>
      <c r="F75" s="9" t="n"/>
      <c r="G75" s="18" t="n">
        <v>358223.38</v>
      </c>
      <c r="H75" s="18" t="n">
        <v>1389923.02</v>
      </c>
      <c r="I75" s="18" t="n">
        <v>2513116.62</v>
      </c>
      <c r="J75" s="18" t="n">
        <v>-1317798.64</v>
      </c>
      <c r="K75" s="37" t="n">
        <v>2943464.38</v>
      </c>
      <c r="L75" s="18" t="n">
        <v>993391.73</v>
      </c>
      <c r="M75" s="18" t="n">
        <v>371567.54</v>
      </c>
      <c r="N75" s="18" t="n">
        <v>972677.24</v>
      </c>
      <c r="O75" s="18" t="n">
        <v>-545087.6</v>
      </c>
      <c r="P75" s="37" t="n">
        <v>1792548.91</v>
      </c>
      <c r="Q75" s="18" t="n">
        <v>1413589.26</v>
      </c>
      <c r="R75" s="18" t="n">
        <v>1108474.28</v>
      </c>
      <c r="S75" s="18" t="n">
        <v>-693990.4300000001</v>
      </c>
      <c r="T75" s="18" t="n">
        <v>3591947.2</v>
      </c>
      <c r="U75" s="37" t="n">
        <v>5420020.31</v>
      </c>
      <c r="V75" s="18" t="n">
        <v>345955.31</v>
      </c>
      <c r="W75" s="18" t="n">
        <v>1609424.26</v>
      </c>
      <c r="X75" s="18" t="n">
        <v>-683554.55</v>
      </c>
      <c r="Y75" s="18" t="n">
        <v>192017.82</v>
      </c>
      <c r="Z75" s="37" t="n">
        <v>1463842.84</v>
      </c>
      <c r="AA75" s="18" t="n">
        <v>1700219.2</v>
      </c>
      <c r="AB75" s="19" t="n">
        <v>646247.0600000001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78926.2</v>
      </c>
      <c r="F76" s="9" t="n"/>
      <c r="G76" s="18" t="n">
        <v>347522.1</v>
      </c>
      <c r="H76" s="18" t="n">
        <v>1378946.33</v>
      </c>
      <c r="I76" s="18" t="n">
        <v>2536504.05</v>
      </c>
      <c r="J76" s="18" t="n">
        <v>-1542475.69</v>
      </c>
      <c r="K76" s="37" t="n">
        <v>2720496.79</v>
      </c>
      <c r="L76" s="18" t="n">
        <v>961058.23</v>
      </c>
      <c r="M76" s="18" t="n">
        <v>364709.16</v>
      </c>
      <c r="N76" s="18" t="n">
        <v>969908.84</v>
      </c>
      <c r="O76" s="18" t="n">
        <v>-128173.42</v>
      </c>
      <c r="P76" s="37" t="n">
        <v>2167502.81</v>
      </c>
      <c r="Q76" s="18" t="n">
        <v>1437245.31</v>
      </c>
      <c r="R76" s="18" t="n">
        <v>1121243.21</v>
      </c>
      <c r="S76" s="18" t="n">
        <v>-693719.9</v>
      </c>
      <c r="T76" s="18" t="n">
        <v>4180223.84</v>
      </c>
      <c r="U76" s="37" t="n">
        <v>6044992.46</v>
      </c>
      <c r="V76" s="18" t="n">
        <v>391065.58</v>
      </c>
      <c r="W76" s="18" t="n">
        <v>1794908.15</v>
      </c>
      <c r="X76" s="18" t="n">
        <v>-670673.14</v>
      </c>
      <c r="Y76" s="18" t="n">
        <v>212405.72</v>
      </c>
      <c r="Z76" s="37" t="n">
        <v>1727706.31</v>
      </c>
      <c r="AA76" s="18" t="n">
        <v>1709168.78</v>
      </c>
      <c r="AB76" s="19" t="n">
        <v>642626.37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9025.200000000001</v>
      </c>
      <c r="F77" s="9" t="n"/>
      <c r="G77" s="18" t="n">
        <v>22756.35</v>
      </c>
      <c r="H77" s="18" t="n">
        <v>53534.2</v>
      </c>
      <c r="I77" s="18" t="n">
        <v>58085.99</v>
      </c>
      <c r="J77" s="18" t="n">
        <v>33881.91</v>
      </c>
      <c r="K77" s="37" t="n">
        <v>168258.45</v>
      </c>
      <c r="L77" s="18" t="n">
        <v>51395.21</v>
      </c>
      <c r="M77" s="18" t="n">
        <v>35178.49</v>
      </c>
      <c r="N77" s="18" t="n">
        <v>20135.01</v>
      </c>
      <c r="O77" s="18" t="n">
        <v>35074.42</v>
      </c>
      <c r="P77" s="37" t="n">
        <v>141783.13</v>
      </c>
      <c r="Q77" s="18" t="n">
        <v>56287.81</v>
      </c>
      <c r="R77" s="18" t="n">
        <v>38685.87</v>
      </c>
      <c r="S77" s="18" t="n">
        <v>17214.26</v>
      </c>
      <c r="T77" s="18" t="n">
        <v>64666.52</v>
      </c>
      <c r="U77" s="37" t="n">
        <v>176854.46</v>
      </c>
      <c r="V77" s="18" t="n">
        <v>155882.55</v>
      </c>
      <c r="W77" s="18" t="n">
        <v>334524.35</v>
      </c>
      <c r="X77" s="18" t="n">
        <v>-21825.12</v>
      </c>
      <c r="Y77" s="18" t="n">
        <v>166821.3</v>
      </c>
      <c r="Z77" s="37" t="n">
        <v>635403.08</v>
      </c>
      <c r="AA77" s="18" t="n">
        <v>221143.97</v>
      </c>
      <c r="AB77" s="19" t="n">
        <v>124455.2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32232.8</v>
      </c>
      <c r="F78" s="9" t="n"/>
      <c r="G78" s="18" t="n">
        <v>37463.18</v>
      </c>
      <c r="H78" s="18" t="n">
        <v>69344.08</v>
      </c>
      <c r="I78" s="18" t="n">
        <v>101828.91</v>
      </c>
      <c r="J78" s="18" t="n">
        <v>15392.24</v>
      </c>
      <c r="K78" s="37" t="n">
        <v>224028.41</v>
      </c>
      <c r="L78" s="18" t="n">
        <v>82621.34</v>
      </c>
      <c r="M78" s="18" t="n">
        <v>60177.02</v>
      </c>
      <c r="N78" s="18" t="n">
        <v>81776.58</v>
      </c>
      <c r="O78" s="18" t="n">
        <v>22610.54</v>
      </c>
      <c r="P78" s="37" t="n">
        <v>247185.48</v>
      </c>
      <c r="Q78" s="18" t="n">
        <v>125875.33</v>
      </c>
      <c r="R78" s="18" t="n">
        <v>84848.53999999999</v>
      </c>
      <c r="S78" s="18" t="n">
        <v>49641.42</v>
      </c>
      <c r="T78" s="18" t="n">
        <v>108172.61</v>
      </c>
      <c r="U78" s="37" t="n">
        <v>368537.9</v>
      </c>
      <c r="V78" s="18" t="n">
        <v>134572.31</v>
      </c>
      <c r="W78" s="18" t="n">
        <v>137822.93</v>
      </c>
      <c r="X78" s="18" t="n">
        <v>66022.78</v>
      </c>
      <c r="Y78" s="18" t="n">
        <v>247426.96</v>
      </c>
      <c r="Z78" s="37" t="n">
        <v>585844.98</v>
      </c>
      <c r="AA78" s="18" t="n">
        <v>354118.83</v>
      </c>
      <c r="AB78" s="19" t="n">
        <v>151801.76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-213854.8</v>
      </c>
      <c r="F79" s="9" t="n"/>
      <c r="G79" s="18" t="n">
        <v>-85596.31</v>
      </c>
      <c r="H79" s="18" t="n">
        <v>-251622.91</v>
      </c>
      <c r="I79" s="18" t="n">
        <v>-224567.9</v>
      </c>
      <c r="J79" s="18" t="n">
        <v>-186116.86</v>
      </c>
      <c r="K79" s="37" t="n">
        <v>-747903.98</v>
      </c>
      <c r="L79" s="18" t="n">
        <v>71057.78</v>
      </c>
      <c r="M79" s="18" t="n">
        <v>59695.7</v>
      </c>
      <c r="N79" s="18" t="n">
        <v>22222.51</v>
      </c>
      <c r="O79" s="18" t="n">
        <v>-376382.94</v>
      </c>
      <c r="P79" s="37" t="n">
        <v>-223406.95</v>
      </c>
      <c r="Q79" s="18" t="n">
        <v>-66217.62</v>
      </c>
      <c r="R79" s="18" t="n">
        <v>60327.87</v>
      </c>
      <c r="S79" s="18" t="n">
        <v>76776.97</v>
      </c>
      <c r="T79" s="18" t="n">
        <v>-433620</v>
      </c>
      <c r="U79" s="37" t="n">
        <v>-362732.78</v>
      </c>
      <c r="V79" s="18" t="n">
        <v>101881.88</v>
      </c>
      <c r="W79" s="18" t="n">
        <v>218450.79</v>
      </c>
      <c r="X79" s="18" t="n">
        <v>143304.82</v>
      </c>
      <c r="Y79" s="18" t="n">
        <v>189117.43</v>
      </c>
      <c r="Z79" s="37" t="n">
        <v>652754.92</v>
      </c>
      <c r="AA79" s="18" t="n">
        <v>144260</v>
      </c>
      <c r="AB79" s="19" t="n">
        <v>300608.81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-260758.11</v>
      </c>
      <c r="F80" s="9" t="n"/>
      <c r="G80" s="18" t="n">
        <v>-85596.31</v>
      </c>
      <c r="H80" s="18" t="n">
        <v>-251622.91</v>
      </c>
      <c r="I80" s="18" t="n">
        <v>-224567.9</v>
      </c>
      <c r="J80" s="18" t="n">
        <v>-218098.26</v>
      </c>
      <c r="K80" s="37" t="n">
        <v>-779885.38</v>
      </c>
      <c r="L80" s="18" t="n">
        <v>71057.78</v>
      </c>
      <c r="M80" s="18" t="n">
        <v>59693.09</v>
      </c>
      <c r="N80" s="18" t="n">
        <v>22225.12</v>
      </c>
      <c r="O80" s="18" t="n">
        <v>-242020.75</v>
      </c>
      <c r="P80" s="37" t="n">
        <v>-89044.75999999999</v>
      </c>
      <c r="Q80" s="18" t="n">
        <v>-66217.62</v>
      </c>
      <c r="R80" s="18" t="n">
        <v>60327.87</v>
      </c>
      <c r="S80" s="18" t="n">
        <v>76776.97</v>
      </c>
      <c r="T80" s="18" t="n">
        <v>-55200.46</v>
      </c>
      <c r="U80" s="37" t="n">
        <v>15686.76</v>
      </c>
      <c r="V80" s="18" t="n">
        <v>101881.88</v>
      </c>
      <c r="W80" s="18" t="n">
        <v>218450.79</v>
      </c>
      <c r="X80" s="18" t="n">
        <v>143304.82</v>
      </c>
      <c r="Y80" s="18" t="n">
        <v>76686.96000000001</v>
      </c>
      <c r="Z80" s="37" t="n">
        <v>540324.45</v>
      </c>
      <c r="AA80" s="18" t="n">
        <v>115402.55</v>
      </c>
      <c r="AB80" s="19" t="n">
        <v>225430.48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-23207.6</v>
      </c>
      <c r="F81" s="9" t="n"/>
      <c r="G81" s="18" t="n">
        <v>-14706.83</v>
      </c>
      <c r="H81" s="18" t="n">
        <v>-15809.88</v>
      </c>
      <c r="I81" s="18" t="n">
        <v>-43742.92</v>
      </c>
      <c r="J81" s="18" t="n">
        <v>18489.67</v>
      </c>
      <c r="K81" s="37" t="n">
        <v>-55769.96</v>
      </c>
      <c r="L81" s="18" t="n">
        <v>-31226.13</v>
      </c>
      <c r="M81" s="18" t="n">
        <v>-24998.53</v>
      </c>
      <c r="N81" s="18" t="n">
        <v>-61641.57</v>
      </c>
      <c r="O81" s="18" t="n">
        <v>12463.88</v>
      </c>
      <c r="P81" s="37" t="n">
        <v>-105402.35</v>
      </c>
      <c r="Q81" s="18" t="n">
        <v>-69587.52</v>
      </c>
      <c r="R81" s="18" t="n">
        <v>-46162.67</v>
      </c>
      <c r="S81" s="18" t="n">
        <v>-32427.16</v>
      </c>
      <c r="T81" s="18" t="n">
        <v>-43506.09</v>
      </c>
      <c r="U81" s="37" t="n">
        <v>-191683.44</v>
      </c>
      <c r="V81" s="18" t="n">
        <v>21310.24</v>
      </c>
      <c r="W81" s="18" t="n">
        <v>196701.42</v>
      </c>
      <c r="X81" s="18" t="n">
        <v>-87847.89999999999</v>
      </c>
      <c r="Y81" s="18" t="n">
        <v>-80605.66</v>
      </c>
      <c r="Z81" s="37" t="n">
        <v>49558.1</v>
      </c>
      <c r="AA81" s="18" t="n">
        <v>-132974.86</v>
      </c>
      <c r="AB81" s="19" t="n">
        <v>-27346.56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39638.82</v>
      </c>
      <c r="F82" s="9" t="n"/>
      <c r="G82" s="18" t="n">
        <v>10701.28</v>
      </c>
      <c r="H82" s="18" t="n">
        <v>10976.69</v>
      </c>
      <c r="I82" s="18" t="n">
        <v>-23387.43</v>
      </c>
      <c r="J82" s="18" t="n">
        <v>224677.05</v>
      </c>
      <c r="K82" s="37" t="n">
        <v>222967.59</v>
      </c>
      <c r="L82" s="18" t="n">
        <v>32333.5</v>
      </c>
      <c r="M82" s="18" t="n">
        <v>6858.38</v>
      </c>
      <c r="N82" s="18" t="n">
        <v>2768.4</v>
      </c>
      <c r="O82" s="18" t="n">
        <v>-416914.18</v>
      </c>
      <c r="P82" s="37" t="n">
        <v>-374953.9</v>
      </c>
      <c r="Q82" s="18" t="n">
        <v>-23656.05</v>
      </c>
      <c r="R82" s="18" t="n">
        <v>-12768.93</v>
      </c>
      <c r="S82" s="18" t="n">
        <v>-270.53</v>
      </c>
      <c r="T82" s="18" t="n">
        <v>-588276.64</v>
      </c>
      <c r="U82" s="37" t="n">
        <v>-624972.15</v>
      </c>
      <c r="V82" s="18" t="n">
        <v>-45110.27</v>
      </c>
      <c r="W82" s="18" t="n">
        <v>-185483.89</v>
      </c>
      <c r="X82" s="18" t="n">
        <v>-12881.41</v>
      </c>
      <c r="Y82" s="18" t="n">
        <v>-20387.9</v>
      </c>
      <c r="Z82" s="37" t="n">
        <v>-263863.47</v>
      </c>
      <c r="AA82" s="18" t="n">
        <v>-8949.58</v>
      </c>
      <c r="AB82" s="19" t="n">
        <v>3620.69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-260758.11</v>
      </c>
      <c r="F83" s="9" t="n"/>
      <c r="G83" s="18" t="n">
        <v>-85596.31</v>
      </c>
      <c r="H83" s="18" t="n">
        <v>-251622.91</v>
      </c>
      <c r="I83" s="18" t="n">
        <v>-224567.9</v>
      </c>
      <c r="J83" s="18" t="n">
        <v>-218098.26</v>
      </c>
      <c r="K83" s="37" t="n">
        <v>-779885.38</v>
      </c>
      <c r="L83" s="18" t="n">
        <v>71057.78</v>
      </c>
      <c r="M83" s="18" t="n">
        <v>59693.09</v>
      </c>
      <c r="N83" s="18" t="n">
        <v>22225.12</v>
      </c>
      <c r="O83" s="18" t="n">
        <v>-242020.75</v>
      </c>
      <c r="P83" s="37" t="n">
        <v>-89044.75999999999</v>
      </c>
      <c r="Q83" s="18" t="n">
        <v>-66217.62</v>
      </c>
      <c r="R83" s="18" t="n">
        <v>60327.87</v>
      </c>
      <c r="S83" s="18" t="n">
        <v>76776.97</v>
      </c>
      <c r="T83" s="18" t="n">
        <v>-55200.46</v>
      </c>
      <c r="U83" s="37" t="n">
        <v>15686.76</v>
      </c>
      <c r="V83" s="18" t="n">
        <v>101881.88</v>
      </c>
      <c r="W83" s="18" t="n">
        <v>218450.79</v>
      </c>
      <c r="X83" s="18" t="n">
        <v>143304.82</v>
      </c>
      <c r="Y83" s="18" t="n">
        <v>76686.96000000001</v>
      </c>
      <c r="Z83" s="37" t="n">
        <v>540324.45</v>
      </c>
      <c r="AA83" s="18" t="n">
        <v>115402.55</v>
      </c>
      <c r="AB83" s="19" t="n">
        <v>225430.48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-260758.11</v>
      </c>
      <c r="F84" s="9" t="n"/>
      <c r="G84" s="18" t="n">
        <v>-85596.31</v>
      </c>
      <c r="H84" s="18" t="n">
        <v>-251622.91</v>
      </c>
      <c r="I84" s="18" t="n">
        <v>-224567.9</v>
      </c>
      <c r="J84" s="18" t="n">
        <v>-218098.26</v>
      </c>
      <c r="K84" s="37" t="n">
        <v>-779885.38</v>
      </c>
      <c r="L84" s="18" t="n">
        <v>71057.78</v>
      </c>
      <c r="M84" s="18" t="n">
        <v>59693.09</v>
      </c>
      <c r="N84" s="18" t="n">
        <v>22225.12</v>
      </c>
      <c r="O84" s="18" t="n">
        <v>-242020.75</v>
      </c>
      <c r="P84" s="37" t="n">
        <v>-89044.75999999999</v>
      </c>
      <c r="Q84" s="18" t="n">
        <v>-66217.62</v>
      </c>
      <c r="R84" s="18" t="n">
        <v>60327.87</v>
      </c>
      <c r="S84" s="18" t="n">
        <v>76776.97</v>
      </c>
      <c r="T84" s="18" t="n">
        <v>-55200.46</v>
      </c>
      <c r="U84" s="37" t="n">
        <v>15686.76</v>
      </c>
      <c r="V84" s="18" t="n">
        <v>101881.88</v>
      </c>
      <c r="W84" s="18" t="n">
        <v>218450.79</v>
      </c>
      <c r="X84" s="18" t="n">
        <v>143304.82</v>
      </c>
      <c r="Y84" s="18" t="n">
        <v>76686.96000000001</v>
      </c>
      <c r="Z84" s="37" t="n">
        <v>540324.45</v>
      </c>
      <c r="AA84" s="18" t="n">
        <v>115402.55</v>
      </c>
      <c r="AB84" s="19" t="n">
        <v>225430.48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-82071.28</v>
      </c>
      <c r="F85" s="9" t="n"/>
      <c r="G85" s="18" t="n">
        <v>-50281.75</v>
      </c>
      <c r="H85" s="18" t="n">
        <v>-32254.87</v>
      </c>
      <c r="I85" s="18" t="n">
        <v>223157.13</v>
      </c>
      <c r="J85" s="18" t="n">
        <v>-810502.95</v>
      </c>
      <c r="K85" s="37" t="n">
        <v>-669882.4399999999</v>
      </c>
      <c r="L85" s="18" t="n">
        <v>194369.77</v>
      </c>
      <c r="M85" s="18" t="n">
        <v>39517.11</v>
      </c>
      <c r="N85" s="18" t="n">
        <v>169828.14</v>
      </c>
      <c r="O85" s="18" t="n">
        <v>-513084.55</v>
      </c>
      <c r="P85" s="37" t="n">
        <v>-109369.53</v>
      </c>
      <c r="Q85" s="18" t="n">
        <v>186609.67</v>
      </c>
      <c r="R85" s="18" t="n">
        <v>227997.11</v>
      </c>
      <c r="S85" s="18" t="n">
        <v>-198271.25</v>
      </c>
      <c r="T85" s="18" t="n">
        <v>63055.82</v>
      </c>
      <c r="U85" s="37" t="n">
        <v>279391.35</v>
      </c>
      <c r="V85" s="18" t="n">
        <v>68592.24000000001</v>
      </c>
      <c r="W85" s="18" t="n">
        <v>-183885.04</v>
      </c>
      <c r="X85" s="18" t="n">
        <v>334272.87</v>
      </c>
      <c r="Y85" s="18" t="n">
        <v>126312.12</v>
      </c>
      <c r="Z85" s="37" t="n">
        <v>345292.19</v>
      </c>
      <c r="AA85" s="18" t="n">
        <v>364198.02</v>
      </c>
      <c r="AB85" s="19" t="n">
        <v>249866.55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법인세비용</t>
        </is>
      </c>
      <c r="F86" s="9" t="n"/>
      <c r="K86" s="9" t="n"/>
      <c r="M86" s="18" t="n">
        <v>2.61</v>
      </c>
      <c r="N86" s="18" t="n">
        <v>-2.61</v>
      </c>
      <c r="P86" s="9" t="n"/>
      <c r="R86" s="18" t="n">
        <v>0</v>
      </c>
      <c r="U86" s="9" t="n"/>
      <c r="V86" s="18" t="n">
        <v>0</v>
      </c>
      <c r="W86" s="18" t="n">
        <v>0</v>
      </c>
      <c r="X86" s="18" t="n">
        <v>0</v>
      </c>
      <c r="Y86" s="18" t="n">
        <v>112430.47</v>
      </c>
      <c r="Z86" s="37" t="n">
        <v>112430.47</v>
      </c>
      <c r="AA86" s="18" t="n">
        <v>28857.46</v>
      </c>
      <c r="AB86" s="19" t="n">
        <v>75178.33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111568.36</v>
      </c>
      <c r="F87" s="9" t="n"/>
      <c r="G87" s="18" t="n">
        <v>-174831.9</v>
      </c>
      <c r="H87" s="18" t="n">
        <v>-112434.24</v>
      </c>
      <c r="I87" s="18" t="n">
        <v>-1121187.96</v>
      </c>
      <c r="J87" s="18" t="n">
        <v>-262212.25</v>
      </c>
      <c r="K87" s="37" t="n">
        <v>-1670666.35</v>
      </c>
      <c r="L87" s="18" t="n">
        <v>422342.25</v>
      </c>
      <c r="M87" s="18" t="n">
        <v>-494897.63</v>
      </c>
      <c r="N87" s="18" t="n">
        <v>-512044.53</v>
      </c>
      <c r="O87" s="18" t="n">
        <v>-100784.39</v>
      </c>
      <c r="P87" s="37" t="n">
        <v>-685384.3</v>
      </c>
      <c r="Q87" s="18" t="n">
        <v>-94375.94</v>
      </c>
      <c r="R87" s="18" t="n">
        <v>164722.37</v>
      </c>
      <c r="S87" s="18" t="n">
        <v>100186.79</v>
      </c>
      <c r="T87" s="18" t="n">
        <v>823202.38</v>
      </c>
      <c r="U87" s="37" t="n">
        <v>993735.6</v>
      </c>
      <c r="V87" s="18" t="n">
        <v>-127046.44</v>
      </c>
      <c r="W87" s="18" t="n">
        <v>407903.37</v>
      </c>
      <c r="X87" s="18" t="n">
        <v>1360952.05</v>
      </c>
      <c r="Y87" s="18" t="n">
        <v>-96570.16</v>
      </c>
      <c r="Z87" s="37" t="n">
        <v>1545238.82</v>
      </c>
      <c r="AA87" s="18" t="n">
        <v>1500354.58</v>
      </c>
      <c r="AB87" s="19" t="n">
        <v>817523.8199999999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15341.95</v>
      </c>
      <c r="F88" s="9" t="n"/>
      <c r="G88" s="18" t="n">
        <v>5241.16</v>
      </c>
      <c r="H88" s="18" t="n">
        <v>7136.16</v>
      </c>
      <c r="I88" s="18" t="n">
        <v>7534.35</v>
      </c>
      <c r="J88" s="18" t="n">
        <v>4047.81</v>
      </c>
      <c r="K88" s="37" t="n">
        <v>23959.48</v>
      </c>
      <c r="L88" s="18" t="n">
        <v>11107.64</v>
      </c>
      <c r="M88" s="18" t="n">
        <v>7661.56</v>
      </c>
      <c r="N88" s="18" t="n">
        <v>13366.6</v>
      </c>
      <c r="O88" s="18" t="n">
        <v>10135.54</v>
      </c>
      <c r="P88" s="37" t="n">
        <v>42271.34</v>
      </c>
      <c r="Q88" s="18" t="n">
        <v>17695.88</v>
      </c>
      <c r="R88" s="18" t="n">
        <v>9500.01</v>
      </c>
      <c r="S88" s="18" t="n">
        <v>5679.04</v>
      </c>
      <c r="T88" s="18" t="n">
        <v>6119.28</v>
      </c>
      <c r="U88" s="37" t="n">
        <v>38994.21</v>
      </c>
      <c r="V88" s="18" t="n">
        <v>6835.95</v>
      </c>
      <c r="W88" s="18" t="n">
        <v>6065.82</v>
      </c>
      <c r="X88" s="18" t="n">
        <v>5899.32</v>
      </c>
      <c r="Y88" s="18" t="n">
        <v>8259.09</v>
      </c>
      <c r="Z88" s="37" t="n">
        <v>27060.18</v>
      </c>
      <c r="AA88" s="18" t="n">
        <v>9519.469999999999</v>
      </c>
      <c r="AB88" s="19" t="n">
        <v>9448.309999999999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-30216.55</v>
      </c>
      <c r="F89" s="9" t="n"/>
      <c r="G89" s="18" t="n">
        <v>-19909.95</v>
      </c>
      <c r="H89" s="18" t="n">
        <v>-17837.74</v>
      </c>
      <c r="I89" s="18" t="n">
        <v>-16218.12</v>
      </c>
      <c r="J89" s="18" t="n">
        <v>-30101.63</v>
      </c>
      <c r="K89" s="37" t="n">
        <v>-84067.44</v>
      </c>
      <c r="L89" s="18" t="n">
        <v>-32318.67</v>
      </c>
      <c r="M89" s="18" t="n">
        <v>-43396.98</v>
      </c>
      <c r="N89" s="18" t="n">
        <v>-29893.24</v>
      </c>
      <c r="O89" s="18" t="n">
        <v>-50327.98</v>
      </c>
      <c r="P89" s="37" t="n">
        <v>-155936.87</v>
      </c>
      <c r="Q89" s="18" t="n">
        <v>-53052.91</v>
      </c>
      <c r="R89" s="18" t="n">
        <v>-54063.39</v>
      </c>
      <c r="S89" s="18" t="n">
        <v>-43804.43</v>
      </c>
      <c r="T89" s="18" t="n">
        <v>-49759.92</v>
      </c>
      <c r="U89" s="37" t="n">
        <v>-200680.65</v>
      </c>
      <c r="V89" s="18" t="n">
        <v>-45353.24</v>
      </c>
      <c r="W89" s="18" t="n">
        <v>-38155.77</v>
      </c>
      <c r="X89" s="18" t="n">
        <v>-31276.35</v>
      </c>
      <c r="Y89" s="18" t="n">
        <v>-24975.83</v>
      </c>
      <c r="Z89" s="37" t="n">
        <v>-139761.19</v>
      </c>
      <c r="AA89" s="18" t="n">
        <v>-19500.48</v>
      </c>
      <c r="AB89" s="19" t="n">
        <v>-14189.6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224.43</v>
      </c>
      <c r="S90" s="18" t="n">
        <v>0</v>
      </c>
      <c r="T90" s="18" t="n">
        <v>0</v>
      </c>
      <c r="U90" s="37" t="n">
        <v>224.43</v>
      </c>
      <c r="X90" s="18" t="n">
        <v>0</v>
      </c>
      <c r="Y90" s="18" t="n">
        <v>859.74</v>
      </c>
      <c r="Z90" s="9" t="n"/>
      <c r="AA90" s="18" t="n">
        <v>246.84</v>
      </c>
      <c r="AB90" s="19" t="n">
        <v>682.67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-720.62</v>
      </c>
      <c r="F91" s="9" t="n"/>
      <c r="G91" s="18" t="n">
        <v>1171.07</v>
      </c>
      <c r="H91" s="18" t="n">
        <v>-439.86</v>
      </c>
      <c r="I91" s="18" t="n">
        <v>-603.53</v>
      </c>
      <c r="J91" s="18" t="n">
        <v>-11270.99</v>
      </c>
      <c r="K91" s="37" t="n">
        <v>-11143.31</v>
      </c>
      <c r="N91" s="18" t="n">
        <v>-1398.65</v>
      </c>
      <c r="O91" s="18" t="n">
        <v>-1392.75</v>
      </c>
      <c r="P91" s="9" t="n"/>
      <c r="Q91" s="18" t="n">
        <v>-1506.22</v>
      </c>
      <c r="R91" s="18" t="n">
        <v>3618.2</v>
      </c>
      <c r="S91" s="18" t="n">
        <v>-674.75</v>
      </c>
      <c r="T91" s="18" t="n">
        <v>-697.1799999999999</v>
      </c>
      <c r="U91" s="37" t="n">
        <v>740.05</v>
      </c>
      <c r="V91" s="18" t="n">
        <v>-817.99</v>
      </c>
      <c r="W91" s="18" t="n">
        <v>3422.77</v>
      </c>
      <c r="X91" s="18" t="n">
        <v>-603.28</v>
      </c>
      <c r="Y91" s="18" t="n">
        <v>-1184.86</v>
      </c>
      <c r="Z91" s="37" t="n">
        <v>816.64</v>
      </c>
      <c r="AA91" s="18" t="n">
        <v>-6596.38</v>
      </c>
      <c r="AB91" s="19" t="n">
        <v>-8397.84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-90863.57000000001</v>
      </c>
      <c r="F92" s="9" t="n"/>
      <c r="G92" s="18" t="n">
        <v>389525.34</v>
      </c>
      <c r="H92" s="18" t="n">
        <v>-717056.51</v>
      </c>
      <c r="I92" s="18" t="n">
        <v>238161.72</v>
      </c>
      <c r="J92" s="18" t="n">
        <v>230910.48</v>
      </c>
      <c r="K92" s="37" t="n">
        <v>141541.03</v>
      </c>
      <c r="L92" s="18" t="n">
        <v>-476176.08</v>
      </c>
      <c r="M92" s="18" t="n">
        <v>373732.37</v>
      </c>
      <c r="N92" s="18" t="n">
        <v>83158.95</v>
      </c>
      <c r="O92" s="18" t="n">
        <v>-11791.29</v>
      </c>
      <c r="P92" s="37" t="n">
        <v>-31076.05</v>
      </c>
      <c r="Q92" s="18" t="n">
        <v>362762.81</v>
      </c>
      <c r="R92" s="18" t="n">
        <v>91761.87</v>
      </c>
      <c r="S92" s="18" t="n">
        <v>-17004.48</v>
      </c>
      <c r="T92" s="18" t="n">
        <v>435654.07</v>
      </c>
      <c r="U92" s="37" t="n">
        <v>873174.27</v>
      </c>
      <c r="V92" s="18" t="n">
        <v>-175532.57</v>
      </c>
      <c r="W92" s="18" t="n">
        <v>27689.65</v>
      </c>
      <c r="X92" s="18" t="n">
        <v>-244098.33</v>
      </c>
      <c r="Y92" s="18" t="n">
        <v>-103721.57</v>
      </c>
      <c r="Z92" s="37" t="n">
        <v>-495662.82</v>
      </c>
      <c r="AA92" s="18" t="n">
        <v>-333546.81</v>
      </c>
      <c r="AB92" s="19" t="n">
        <v>-944672.51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9408.07</v>
      </c>
      <c r="F93" s="9" t="n"/>
      <c r="G93" s="18" t="n">
        <v>11575.9</v>
      </c>
      <c r="H93" s="18" t="n">
        <v>13603.91</v>
      </c>
      <c r="I93" s="18" t="n">
        <v>12627.42</v>
      </c>
      <c r="J93" s="18" t="n">
        <v>22955.39</v>
      </c>
      <c r="K93" s="37" t="n">
        <v>60762.62</v>
      </c>
      <c r="L93" s="18" t="n">
        <v>26192.13</v>
      </c>
      <c r="M93" s="18" t="n">
        <v>42166.77</v>
      </c>
      <c r="N93" s="18" t="n">
        <v>42290.63</v>
      </c>
      <c r="O93" s="18" t="n">
        <v>39359.67</v>
      </c>
      <c r="P93" s="37" t="n">
        <v>150009.2</v>
      </c>
      <c r="Q93" s="18" t="n">
        <v>23215.88</v>
      </c>
      <c r="R93" s="18" t="n">
        <v>34847.09</v>
      </c>
      <c r="S93" s="18" t="n">
        <v>42062.45</v>
      </c>
      <c r="T93" s="18" t="n">
        <v>64452.76</v>
      </c>
      <c r="U93" s="37" t="n">
        <v>164578.18</v>
      </c>
      <c r="V93" s="18" t="n">
        <v>35891.69</v>
      </c>
      <c r="W93" s="18" t="n">
        <v>64797.12</v>
      </c>
      <c r="X93" s="18" t="n">
        <v>47790.66</v>
      </c>
      <c r="Y93" s="18" t="n">
        <v>52998.55</v>
      </c>
      <c r="Z93" s="37" t="n">
        <v>201478.02</v>
      </c>
      <c r="AA93" s="18" t="n">
        <v>34537.08</v>
      </c>
      <c r="AB93" s="19" t="n">
        <v>60115.21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9408.07</v>
      </c>
      <c r="F94" s="9" t="n"/>
      <c r="G94" s="18" t="n">
        <v>11575.9</v>
      </c>
      <c r="H94" s="18" t="n">
        <v>13603.91</v>
      </c>
      <c r="I94" s="18" t="n">
        <v>12627.42</v>
      </c>
      <c r="J94" s="18" t="n">
        <v>22955.39</v>
      </c>
      <c r="K94" s="37" t="n">
        <v>60762.62</v>
      </c>
      <c r="L94" s="18" t="n">
        <v>26192.13</v>
      </c>
      <c r="M94" s="18" t="n">
        <v>42166.77</v>
      </c>
      <c r="N94" s="18" t="n">
        <v>42290.63</v>
      </c>
      <c r="O94" s="18" t="n">
        <v>39359.67</v>
      </c>
      <c r="P94" s="37" t="n">
        <v>150009.2</v>
      </c>
      <c r="Q94" s="18" t="n">
        <v>23215.88</v>
      </c>
      <c r="R94" s="18" t="n">
        <v>34847.09</v>
      </c>
      <c r="S94" s="18" t="n">
        <v>42062.45</v>
      </c>
      <c r="T94" s="18" t="n">
        <v>64452.76</v>
      </c>
      <c r="U94" s="37" t="n">
        <v>164578.18</v>
      </c>
      <c r="V94" s="18" t="n">
        <v>35891.69</v>
      </c>
      <c r="W94" s="18" t="n">
        <v>64797.12</v>
      </c>
      <c r="X94" s="18" t="n">
        <v>47790.66</v>
      </c>
      <c r="Y94" s="18" t="n">
        <v>52998.55</v>
      </c>
      <c r="Z94" s="37" t="n">
        <v>201478.02</v>
      </c>
      <c r="AA94" s="18" t="n">
        <v>34537.08</v>
      </c>
      <c r="AB94" s="19" t="n">
        <v>60115.21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137595.21</v>
      </c>
      <c r="F95" s="9" t="n"/>
      <c r="G95" s="18" t="n">
        <v>545.37</v>
      </c>
      <c r="H95" s="18" t="n">
        <v>204.52</v>
      </c>
      <c r="I95" s="18" t="n">
        <v>512.42</v>
      </c>
      <c r="J95" s="18" t="n">
        <v>301493.71</v>
      </c>
      <c r="K95" s="37" t="n">
        <v>302756.02</v>
      </c>
      <c r="L95" s="18" t="n">
        <v>38.56</v>
      </c>
      <c r="M95" s="18" t="n">
        <v>933.76</v>
      </c>
      <c r="N95" s="18" t="n">
        <v>97.05</v>
      </c>
      <c r="O95" s="18" t="n">
        <v>498.7</v>
      </c>
      <c r="P95" s="37" t="n">
        <v>1568.07</v>
      </c>
      <c r="Q95" s="18" t="n">
        <v>322.22</v>
      </c>
      <c r="R95" s="18" t="n">
        <v>450.93</v>
      </c>
      <c r="S95" s="18" t="n">
        <v>158.37</v>
      </c>
      <c r="T95" s="18" t="n">
        <v>382478.63</v>
      </c>
      <c r="U95" s="37" t="n">
        <v>383410.15</v>
      </c>
      <c r="V95" s="18" t="n">
        <v>17895.86</v>
      </c>
      <c r="W95" s="18" t="n">
        <v>250.02</v>
      </c>
      <c r="X95" s="18" t="n">
        <v>483.47</v>
      </c>
      <c r="Y95" s="18" t="n">
        <v>2301.06</v>
      </c>
      <c r="Z95" s="37" t="n">
        <v>20930.41</v>
      </c>
      <c r="AA95" s="18" t="n">
        <v>494.19</v>
      </c>
      <c r="AB95" s="19" t="n">
        <v>307.68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-531763.48</v>
      </c>
      <c r="F97" s="9" t="n"/>
      <c r="G97" s="18" t="n">
        <v>-114501.65</v>
      </c>
      <c r="H97" s="18" t="n">
        <v>704318.11</v>
      </c>
      <c r="I97" s="18" t="n">
        <v>812663.89</v>
      </c>
      <c r="J97" s="18" t="n">
        <v>127237.52</v>
      </c>
      <c r="K97" s="37" t="n">
        <v>1529717.87</v>
      </c>
      <c r="L97" s="18" t="n">
        <v>-248515.42</v>
      </c>
      <c r="M97" s="18" t="n">
        <v>501491.78</v>
      </c>
      <c r="N97" s="18" t="n">
        <v>225755.48</v>
      </c>
      <c r="O97" s="18" t="n">
        <v>242404.37</v>
      </c>
      <c r="P97" s="37" t="n">
        <v>721136.21</v>
      </c>
      <c r="Q97" s="18" t="n">
        <v>-30094.47</v>
      </c>
      <c r="R97" s="18" t="n">
        <v>-742132.48</v>
      </c>
      <c r="S97" s="18" t="n">
        <v>212307.59</v>
      </c>
      <c r="T97" s="18" t="n">
        <v>-938806.15</v>
      </c>
      <c r="U97" s="37" t="n">
        <v>-1498725.51</v>
      </c>
      <c r="V97" s="18" t="n">
        <v>-114299.22</v>
      </c>
      <c r="W97" s="18" t="n">
        <v>-340369.88</v>
      </c>
      <c r="X97" s="18" t="n">
        <v>-336896.9</v>
      </c>
      <c r="Y97" s="18" t="n">
        <v>-460479.96</v>
      </c>
      <c r="Z97" s="37" t="n">
        <v>-1252045.96</v>
      </c>
      <c r="AA97" s="18" t="n">
        <v>-847839.2</v>
      </c>
      <c r="AB97" s="19" t="n">
        <v>-118954.69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212333.43</v>
      </c>
      <c r="F98" s="9" t="n"/>
      <c r="G98" s="18" t="n">
        <v>94140.72</v>
      </c>
      <c r="H98" s="18" t="n">
        <v>424593.47</v>
      </c>
      <c r="I98" s="18" t="n">
        <v>933712.22</v>
      </c>
      <c r="J98" s="18" t="n">
        <v>274921.07</v>
      </c>
      <c r="K98" s="37" t="n">
        <v>1727367.48</v>
      </c>
      <c r="L98" s="18" t="n">
        <v>453926.9</v>
      </c>
      <c r="M98" s="18" t="n">
        <v>401276.14</v>
      </c>
      <c r="N98" s="18" t="n">
        <v>669451.14</v>
      </c>
      <c r="O98" s="18" t="n">
        <v>523511.8</v>
      </c>
      <c r="P98" s="37" t="n">
        <v>2048165.98</v>
      </c>
      <c r="Q98" s="18" t="n">
        <v>914139.14</v>
      </c>
      <c r="R98" s="18" t="n">
        <v>857619.5600000001</v>
      </c>
      <c r="S98" s="18" t="n">
        <v>1037889.33</v>
      </c>
      <c r="T98" s="18" t="n">
        <v>539353.4</v>
      </c>
      <c r="U98" s="37" t="n">
        <v>3349001.43</v>
      </c>
      <c r="V98" s="18" t="n">
        <v>739905</v>
      </c>
      <c r="W98" s="18" t="n">
        <v>349361.43</v>
      </c>
      <c r="X98" s="18" t="n">
        <v>551522.17</v>
      </c>
      <c r="Y98" s="18" t="n">
        <v>157351.26</v>
      </c>
      <c r="Z98" s="37" t="n">
        <v>1798139.86</v>
      </c>
      <c r="AA98" s="18" t="n">
        <v>144443.59</v>
      </c>
      <c r="AB98" s="19" t="n">
        <v>170411.62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944535.0600000001</v>
      </c>
      <c r="F99" s="9" t="n"/>
      <c r="G99" s="18" t="n">
        <v>196139.83</v>
      </c>
      <c r="H99" s="18" t="n">
        <v>499937.51</v>
      </c>
      <c r="I99" s="18" t="n">
        <v>120915.7</v>
      </c>
      <c r="J99" s="18" t="n">
        <v>403959.06</v>
      </c>
      <c r="K99" s="37" t="n">
        <v>1220952.1</v>
      </c>
      <c r="L99" s="18" t="n">
        <v>683498.9399999999</v>
      </c>
      <c r="M99" s="18" t="n">
        <v>171373.55</v>
      </c>
      <c r="N99" s="18" t="n">
        <v>429439.17</v>
      </c>
      <c r="O99" s="18" t="n">
        <v>325867.21</v>
      </c>
      <c r="P99" s="37" t="n">
        <v>1610178.87</v>
      </c>
      <c r="Q99" s="18" t="n">
        <v>708110.88</v>
      </c>
      <c r="R99" s="18" t="n">
        <v>713290.0699999999</v>
      </c>
      <c r="S99" s="18" t="n">
        <v>754004.5</v>
      </c>
      <c r="T99" s="18" t="n">
        <v>897706.97</v>
      </c>
      <c r="U99" s="37" t="n">
        <v>3073112.42</v>
      </c>
      <c r="V99" s="18" t="n">
        <v>757503.38</v>
      </c>
      <c r="W99" s="18" t="n">
        <v>562691.51</v>
      </c>
      <c r="X99" s="18" t="n">
        <v>767020.49</v>
      </c>
      <c r="Y99" s="18" t="n">
        <v>412784.88</v>
      </c>
      <c r="Z99" s="37" t="n">
        <v>2500000.26</v>
      </c>
      <c r="AA99" s="18" t="n">
        <v>814057.88</v>
      </c>
      <c r="AB99" s="19" t="n">
        <v>164129.35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1169979</v>
      </c>
      <c r="F100" s="9" t="n"/>
      <c r="G100" s="18" t="n">
        <v>117791</v>
      </c>
      <c r="H100" s="18" t="n">
        <v>317138</v>
      </c>
      <c r="I100" s="18" t="n">
        <v>170650</v>
      </c>
      <c r="J100" s="18" t="n">
        <v>30000</v>
      </c>
      <c r="K100" s="37" t="n">
        <v>635579</v>
      </c>
      <c r="L100" s="18" t="n">
        <v>49000</v>
      </c>
      <c r="M100" s="18" t="n">
        <v>470346</v>
      </c>
      <c r="N100" s="18" t="n">
        <v>0</v>
      </c>
      <c r="O100" s="18" t="n">
        <v>0</v>
      </c>
      <c r="P100" s="37" t="n">
        <v>519346</v>
      </c>
      <c r="Q100" s="18" t="n">
        <v>315644</v>
      </c>
      <c r="R100" s="18" t="n">
        <v>970178.0600000001</v>
      </c>
      <c r="S100" s="18" t="n">
        <v>247676</v>
      </c>
      <c r="T100" s="18" t="n">
        <v>638684.9399999999</v>
      </c>
      <c r="U100" s="37" t="n">
        <v>2172183</v>
      </c>
      <c r="V100" s="18" t="n">
        <v>78961</v>
      </c>
      <c r="W100" s="18" t="n">
        <v>302284</v>
      </c>
      <c r="X100" s="18" t="n">
        <v>399177</v>
      </c>
      <c r="Y100" s="18" t="n">
        <v>182185</v>
      </c>
      <c r="Z100" s="37" t="n">
        <v>962607</v>
      </c>
      <c r="AA100" s="18" t="n">
        <v>162428</v>
      </c>
      <c r="AB100" s="19" t="n">
        <v>115000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0</v>
      </c>
      <c r="F101" s="9" t="n"/>
      <c r="I101" s="18" t="n">
        <v>0</v>
      </c>
      <c r="J101" s="18" t="n">
        <v>79539.16</v>
      </c>
      <c r="K101" s="9" t="n"/>
      <c r="L101" s="18" t="n">
        <v>44909.51</v>
      </c>
      <c r="M101" s="18" t="n">
        <v>179638.2</v>
      </c>
      <c r="N101" s="18" t="n">
        <v>0</v>
      </c>
      <c r="O101" s="18" t="n">
        <v>0</v>
      </c>
      <c r="P101" s="37" t="n">
        <v>224547.71</v>
      </c>
      <c r="Q101" s="18" t="n">
        <v>0</v>
      </c>
      <c r="R101" s="18" t="n">
        <v>0</v>
      </c>
      <c r="S101" s="18" t="n">
        <v>0</v>
      </c>
      <c r="T101" s="18" t="n">
        <v>0</v>
      </c>
      <c r="U101" s="37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100000</v>
      </c>
      <c r="F102" s="9" t="n"/>
      <c r="G102" s="18" t="n">
        <v>110145</v>
      </c>
      <c r="H102" s="18" t="n">
        <v>1081407</v>
      </c>
      <c r="I102" s="18" t="n">
        <v>175438</v>
      </c>
      <c r="J102" s="18" t="n">
        <v>222278</v>
      </c>
      <c r="K102" s="37" t="n">
        <v>1589268</v>
      </c>
      <c r="N102" s="18" t="n">
        <v>0</v>
      </c>
      <c r="O102" s="18" t="n">
        <v>117530</v>
      </c>
      <c r="P102" s="9" t="n"/>
      <c r="Q102" s="18" t="n">
        <v>100371</v>
      </c>
      <c r="R102" s="18" t="n">
        <v>105213</v>
      </c>
      <c r="S102" s="18" t="n">
        <v>197535</v>
      </c>
      <c r="T102" s="18" t="n">
        <v>79056</v>
      </c>
      <c r="U102" s="37" t="n">
        <v>482175</v>
      </c>
      <c r="V102" s="18" t="n">
        <v>0</v>
      </c>
      <c r="W102" s="18" t="n">
        <v>194613</v>
      </c>
      <c r="X102" s="18" t="n">
        <v>0</v>
      </c>
      <c r="Y102" s="18" t="n">
        <v>0</v>
      </c>
      <c r="Z102" s="37" t="n">
        <v>194613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5257.66</v>
      </c>
      <c r="F103" s="9" t="n"/>
      <c r="G103" s="18" t="n">
        <v>4856.54</v>
      </c>
      <c r="H103" s="18" t="n">
        <v>4566.63</v>
      </c>
      <c r="I103" s="18" t="n">
        <v>4920.63</v>
      </c>
      <c r="J103" s="18" t="n">
        <v>15541.65</v>
      </c>
      <c r="K103" s="37" t="n">
        <v>29885.45</v>
      </c>
      <c r="L103" s="18" t="n">
        <v>15805.12</v>
      </c>
      <c r="M103" s="18" t="n">
        <v>19045.79</v>
      </c>
      <c r="N103" s="18" t="n">
        <v>14256.49</v>
      </c>
      <c r="O103" s="18" t="n">
        <v>14552.21</v>
      </c>
      <c r="P103" s="37" t="n">
        <v>63659.61</v>
      </c>
      <c r="Q103" s="18" t="n">
        <v>20849.73</v>
      </c>
      <c r="R103" s="18" t="n">
        <v>21496.91</v>
      </c>
      <c r="S103" s="18" t="n">
        <v>21436.23</v>
      </c>
      <c r="T103" s="18" t="n">
        <v>20823.64</v>
      </c>
      <c r="U103" s="37" t="n">
        <v>84606.50999999999</v>
      </c>
      <c r="V103" s="18" t="n">
        <v>17739.85</v>
      </c>
      <c r="W103" s="18" t="n">
        <v>19368.79</v>
      </c>
      <c r="X103" s="18" t="n">
        <v>22221.57</v>
      </c>
      <c r="Y103" s="18" t="n">
        <v>22861.36</v>
      </c>
      <c r="Z103" s="37" t="n">
        <v>82191.57000000001</v>
      </c>
      <c r="AA103" s="18" t="n">
        <v>15796.91</v>
      </c>
      <c r="AB103" s="19" t="n">
        <v>10236.95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-511058.68</v>
      </c>
      <c r="F104" s="9" t="n"/>
      <c r="G104" s="18" t="n">
        <v>100191.79</v>
      </c>
      <c r="H104" s="18" t="n">
        <v>-125172.63</v>
      </c>
      <c r="I104" s="18" t="n">
        <v>-70362.37</v>
      </c>
      <c r="J104" s="18" t="n">
        <v>95935.77</v>
      </c>
      <c r="K104" s="37" t="n">
        <v>592.5599999999999</v>
      </c>
      <c r="L104" s="18" t="n">
        <v>-302349.25</v>
      </c>
      <c r="M104" s="18" t="n">
        <v>380326.51</v>
      </c>
      <c r="N104" s="18" t="n">
        <v>-203130.09</v>
      </c>
      <c r="O104" s="18" t="n">
        <v>129828.69</v>
      </c>
      <c r="P104" s="37" t="n">
        <v>4675.86</v>
      </c>
      <c r="Q104" s="18" t="n">
        <v>238292.39</v>
      </c>
      <c r="R104" s="18" t="n">
        <v>-485648.23</v>
      </c>
      <c r="S104" s="18" t="n">
        <v>295489.89</v>
      </c>
      <c r="T104" s="18" t="n">
        <v>320050.32</v>
      </c>
      <c r="U104" s="37" t="n">
        <v>368184.37</v>
      </c>
      <c r="V104" s="18" t="n">
        <v>-416878.23</v>
      </c>
      <c r="W104" s="18" t="n">
        <v>95223.14999999999</v>
      </c>
      <c r="X104" s="18" t="n">
        <v>779956.8199999999</v>
      </c>
      <c r="Y104" s="18" t="n">
        <v>-660771.7</v>
      </c>
      <c r="Z104" s="37" t="n">
        <v>-202469.96</v>
      </c>
      <c r="AA104" s="18" t="n">
        <v>318968.56</v>
      </c>
      <c r="AB104" s="19" t="n">
        <v>-246103.37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-511054.09</v>
      </c>
      <c r="F105" s="9" t="n"/>
      <c r="G105" s="18" t="n">
        <v>614926.47</v>
      </c>
      <c r="H105" s="18" t="n">
        <v>-125511.74</v>
      </c>
      <c r="I105" s="18" t="n">
        <v>-70323.98</v>
      </c>
      <c r="J105" s="18" t="n">
        <v>95906.66</v>
      </c>
      <c r="K105" s="37" t="n">
        <v>514997.41</v>
      </c>
      <c r="L105" s="18" t="n">
        <v>212662.85</v>
      </c>
      <c r="M105" s="18" t="n">
        <v>380291.04</v>
      </c>
      <c r="N105" s="18" t="n">
        <v>-203135.33</v>
      </c>
      <c r="O105" s="18" t="n">
        <v>129813.17</v>
      </c>
      <c r="P105" s="37" t="n">
        <v>519631.73</v>
      </c>
      <c r="Q105" s="18" t="n">
        <v>765620.16</v>
      </c>
      <c r="R105" s="18" t="n">
        <v>-493297.78</v>
      </c>
      <c r="S105" s="18" t="n">
        <v>295478</v>
      </c>
      <c r="T105" s="18" t="n">
        <v>320648.3</v>
      </c>
      <c r="U105" s="37" t="n">
        <v>888448.6800000001</v>
      </c>
      <c r="V105" s="18" t="n">
        <v>471581.61</v>
      </c>
      <c r="W105" s="18" t="n">
        <v>95179.36</v>
      </c>
      <c r="X105" s="18" t="n">
        <v>779976.86</v>
      </c>
      <c r="Y105" s="18" t="n">
        <v>-660761.41</v>
      </c>
      <c r="Z105" s="37" t="n">
        <v>685976.42</v>
      </c>
      <c r="AA105" s="18" t="n">
        <v>1004973.81</v>
      </c>
      <c r="AB105" s="19" t="n">
        <v>-246085.66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N106" s="18" t="n">
        <v>0</v>
      </c>
      <c r="O106" s="18" t="n">
        <v>58218</v>
      </c>
      <c r="P106" s="9" t="n"/>
      <c r="S106" s="18" t="n">
        <v>0</v>
      </c>
      <c r="T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854.0359999999999</v>
      </c>
      <c r="F32" s="27">
        <f>E32</f>
        <v/>
      </c>
      <c r="G32" s="26" t="n">
        <v>854.0359999999999</v>
      </c>
      <c r="H32" s="26" t="n">
        <v>854.0359999999999</v>
      </c>
      <c r="I32" s="26" t="n">
        <v>854.0359999999999</v>
      </c>
      <c r="J32" s="26" t="n">
        <v>854.0359999999999</v>
      </c>
      <c r="K32" s="27">
        <f>J32</f>
        <v/>
      </c>
      <c r="L32" s="26" t="n">
        <v>854.0359999999999</v>
      </c>
      <c r="M32" s="26" t="n">
        <v>854.0359999999999</v>
      </c>
      <c r="N32" s="26" t="n">
        <v>854.0359999999999</v>
      </c>
      <c r="O32" s="26" t="n">
        <v>854.0359999999999</v>
      </c>
      <c r="P32" s="27">
        <f>O32</f>
        <v/>
      </c>
      <c r="Q32" s="26" t="n">
        <v>854.0359999999999</v>
      </c>
      <c r="R32" s="26" t="n">
        <v>854.0359999999999</v>
      </c>
      <c r="S32" s="26" t="n">
        <v>854.0359999999999</v>
      </c>
      <c r="T32" s="26" t="n">
        <v>854.0359999999999</v>
      </c>
      <c r="U32" s="27">
        <f>T32</f>
        <v/>
      </c>
      <c r="V32" s="26" t="n">
        <v>854.0359999999999</v>
      </c>
      <c r="W32" s="26" t="n">
        <v>854.0359999999999</v>
      </c>
      <c r="X32" s="26" t="n">
        <v>854.0359999999999</v>
      </c>
      <c r="Y32" s="26" t="n">
        <v>854.0359999999999</v>
      </c>
      <c r="Z32" s="27">
        <f>Y32</f>
        <v/>
      </c>
      <c r="AA32" s="26" t="n">
        <v>854.0359999999999</v>
      </c>
      <c r="AB32" s="28" t="n">
        <v>854.0359999999999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 t="n"/>
      <c r="R36" s="13" t="n"/>
      <c r="S36" s="13" t="n"/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조선·해양(조선해양)</t>
        </is>
      </c>
      <c r="E38" s="18" t="n"/>
      <c r="F38" s="37" t="n"/>
      <c r="G38" s="18" t="n">
        <v>14972</v>
      </c>
      <c r="H38" s="18" t="n">
        <v>14022</v>
      </c>
      <c r="I38" s="18" t="n">
        <v>12974</v>
      </c>
      <c r="J38" s="18" t="n">
        <v>14356</v>
      </c>
      <c r="K38" s="37">
        <f>SUM(G38:J38)</f>
        <v/>
      </c>
      <c r="L38" s="18" t="n">
        <v>14522</v>
      </c>
      <c r="M38" s="18" t="n">
        <v>18157</v>
      </c>
      <c r="N38" s="18" t="n">
        <v>19278</v>
      </c>
      <c r="O38" s="18" t="n">
        <v>22382</v>
      </c>
      <c r="P38" s="37">
        <f>SUM(L38:O38)</f>
        <v/>
      </c>
      <c r="Q38" s="18" t="n">
        <v>22122</v>
      </c>
      <c r="R38" s="18" t="n">
        <v>22532</v>
      </c>
      <c r="S38" s="18" t="n">
        <v>22638</v>
      </c>
      <c r="T38" s="18" t="n">
        <v>25808</v>
      </c>
      <c r="U38" s="37">
        <f>SUM(Q38:T38)</f>
        <v/>
      </c>
      <c r="V38" s="18" t="n">
        <v>23988</v>
      </c>
      <c r="W38" s="18" t="n">
        <v>31509</v>
      </c>
      <c r="X38" s="18" t="n">
        <v>21080</v>
      </c>
      <c r="Y38" s="18" t="n">
        <v>27786</v>
      </c>
      <c r="Z38" s="37">
        <f>SUM(V38:Y38)</f>
        <v/>
      </c>
      <c r="AA38" s="18" t="n">
        <v>28097</v>
      </c>
      <c r="AB38" s="19" t="n">
        <v>30935</v>
      </c>
      <c r="AC38" s="20">
        <f>IFERROR(SLS!W141/100+변수!AC40+AC39,"")</f>
        <v/>
      </c>
      <c r="AD38" s="20">
        <f>IFERROR(SLS!X141/100+변수!AD40+AD39,"")</f>
        <v/>
      </c>
      <c r="AE38" s="38">
        <f>SUM(AA38:AD38)</f>
        <v/>
      </c>
      <c r="AF38" s="20">
        <f>IFERROR(SLS!Y141/100+변수!AF40+AF39,"")</f>
        <v/>
      </c>
      <c r="AG38" s="20">
        <f>IFERROR(SLS!Z141/100+변수!AG40+AG39,"")</f>
        <v/>
      </c>
      <c r="AH38" s="20">
        <f>IFERROR(SLS!AA141/100+변수!AH40+AH39,"")</f>
        <v/>
      </c>
      <c r="AI38" s="20">
        <f>IFERROR(SLS!AB141/100+변수!AI40+AI39,"")</f>
        <v/>
      </c>
      <c r="AJ38" s="38">
        <f>SUM(AF38:AI38)</f>
        <v/>
      </c>
      <c r="AK38" s="20">
        <f>IFERROR(SLS!AC141/100+변수!AK40+AK39,"")</f>
        <v/>
      </c>
      <c r="AL38" s="20">
        <f>IFERROR(SLS!AD141/100+변수!AL40+AL39,"")</f>
        <v/>
      </c>
      <c r="AM38" s="20">
        <f>IFERROR(SLS!AE141/100+변수!AM40+AM39,"")</f>
        <v/>
      </c>
      <c r="AN38" s="20">
        <f>IFERROR(SLS!AF141/100+변수!AN40+AN39,"")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조선·해양(조선해양) 신규수주(forecast_panel base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조선·해양(조선해양)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조선·해양(조선해양)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239.46</v>
      </c>
      <c r="I42" s="18" t="n">
        <v>1027.29</v>
      </c>
      <c r="J42" s="18" t="n">
        <v>1989.46</v>
      </c>
      <c r="K42" s="37">
        <f>SUM(G42:J42)</f>
        <v/>
      </c>
      <c r="L42" s="18" t="n">
        <v>1528.52</v>
      </c>
      <c r="M42" s="18" t="n">
        <v>1300.87</v>
      </c>
      <c r="N42" s="18" t="n">
        <v>976.3</v>
      </c>
      <c r="O42" s="18" t="n">
        <v>1949.61</v>
      </c>
      <c r="P42" s="37">
        <f>SUM(L42:O42)</f>
        <v/>
      </c>
      <c r="Q42" s="18" t="n">
        <v>1355.96</v>
      </c>
      <c r="R42" s="18" t="n">
        <v>2787.55</v>
      </c>
      <c r="S42" s="18" t="n">
        <v>591.5599999999999</v>
      </c>
      <c r="T42" s="18" t="n">
        <v>1195.71</v>
      </c>
      <c r="U42" s="37">
        <f>SUM(Q42:T42)</f>
        <v/>
      </c>
      <c r="V42" s="18" t="n">
        <v>954.86</v>
      </c>
      <c r="W42" s="18" t="n">
        <v>0</v>
      </c>
      <c r="X42" s="18" t="n">
        <v>5268.19</v>
      </c>
      <c r="Y42" s="18" t="n">
        <v>593.29</v>
      </c>
      <c r="Z42" s="37">
        <f>SUM(V42:Y42)</f>
        <v/>
      </c>
      <c r="AA42" s="18" t="n">
        <v>925.51</v>
      </c>
      <c r="AB42" s="19" t="n">
        <v>1372.12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IFERROR(AA42*(1+변수!AF43),"")</f>
        <v/>
      </c>
      <c r="AG42" s="20">
        <f>IFERROR(AB42*(1+변수!AG43),"")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E2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>
      <c r="C1" s="2" t="inlineStr">
        <is>
          <t>이름: SLS_H · 선표 매출인식(백만$) — sls json origin 2026Q2</t>
        </is>
      </c>
      <c r="E1" s="3" t="inlineStr">
        <is>
          <t>1Q22</t>
        </is>
      </c>
      <c r="F1" s="3" t="inlineStr">
        <is>
          <t>2Q22</t>
        </is>
      </c>
      <c r="G1" s="3" t="inlineStr">
        <is>
          <t>3Q22</t>
        </is>
      </c>
      <c r="H1" s="3" t="inlineStr">
        <is>
          <t>4Q22</t>
        </is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inlineStr">
        <is>
          <t>1Q24</t>
        </is>
      </c>
      <c r="N1" s="3" t="inlineStr">
        <is>
          <t>2Q24</t>
        </is>
      </c>
      <c r="O1" s="3" t="inlineStr">
        <is>
          <t>3Q24</t>
        </is>
      </c>
      <c r="P1" s="3" t="inlineStr">
        <is>
          <t>4Q24</t>
        </is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inlineStr">
        <is>
          <t>1Q26</t>
        </is>
      </c>
      <c r="V1" s="3" t="inlineStr">
        <is>
          <t>2Q26</t>
        </is>
      </c>
      <c r="W1" s="3" t="inlineStr">
        <is>
          <t>3Q26</t>
        </is>
      </c>
      <c r="X1" s="3" t="inlineStr">
        <is>
          <t>4Q26</t>
        </is>
      </c>
      <c r="Y1" s="3" t="inlineStr">
        <is>
          <t>1Q27</t>
        </is>
      </c>
      <c r="Z1" s="3" t="inlineStr">
        <is>
          <t>2Q27</t>
        </is>
      </c>
      <c r="AA1" s="3" t="inlineStr">
        <is>
          <t>3Q27</t>
        </is>
      </c>
      <c r="AB1" s="3" t="inlineStr">
        <is>
          <t>4Q27</t>
        </is>
      </c>
      <c r="AC1" s="3" t="inlineStr">
        <is>
          <t>1Q28</t>
        </is>
      </c>
      <c r="AD1" s="3" t="inlineStr">
        <is>
          <t>2Q28</t>
        </is>
      </c>
      <c r="AE1" s="3" t="inlineStr">
        <is>
          <t>3Q28</t>
        </is>
      </c>
      <c r="AF1" s="3" t="inlineStr">
        <is>
          <t>4Q28</t>
        </is>
      </c>
      <c r="AG1" s="3" t="inlineStr">
        <is>
          <t>1Q29</t>
        </is>
      </c>
      <c r="AH1" s="3" t="inlineStr">
        <is>
          <t>2Q29</t>
        </is>
      </c>
      <c r="AI1" s="3" t="inlineStr">
        <is>
          <t>3Q29</t>
        </is>
      </c>
      <c r="AJ1" s="3" t="inlineStr">
        <is>
          <t>4Q29</t>
        </is>
      </c>
      <c r="AK1" s="3" t="inlineStr">
        <is>
          <t>1Q30</t>
        </is>
      </c>
      <c r="AL1" s="3" t="inlineStr">
        <is>
          <t>2Q30</t>
        </is>
      </c>
      <c r="AM1" s="3" t="inlineStr">
        <is>
          <t>3Q30</t>
        </is>
      </c>
      <c r="AN1" s="3" t="n">
        <v>2022</v>
      </c>
      <c r="AO1" s="3" t="n">
        <v>2023</v>
      </c>
      <c r="AP1" s="3" t="n">
        <v>2024</v>
      </c>
      <c r="AQ1" s="3" t="n">
        <v>2025</v>
      </c>
      <c r="AR1" s="3" t="n">
        <v>2026</v>
      </c>
      <c r="AS1" s="3" t="n">
        <v>2027</v>
      </c>
      <c r="AT1" s="3" t="n">
        <v>2028</v>
      </c>
      <c r="AU1" s="3" t="n">
        <v>2029</v>
      </c>
      <c r="AV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</row>
    <row r="4">
      <c r="E4" s="7" t="inlineStr">
        <is>
          <t>2022.03</t>
        </is>
      </c>
      <c r="F4" s="7" t="inlineStr">
        <is>
          <t>2022.06</t>
        </is>
      </c>
      <c r="G4" s="7" t="inlineStr">
        <is>
          <t>2022.09</t>
        </is>
      </c>
      <c r="H4" s="7" t="inlineStr">
        <is>
          <t>2022.12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2024.03</t>
        </is>
      </c>
      <c r="N4" s="7" t="inlineStr">
        <is>
          <t>2024.06</t>
        </is>
      </c>
      <c r="O4" s="7" t="inlineStr">
        <is>
          <t>2024.09</t>
        </is>
      </c>
      <c r="P4" s="7" t="inlineStr">
        <is>
          <t>2024.12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2026.03</t>
        </is>
      </c>
      <c r="V4" s="7" t="inlineStr">
        <is>
          <t>2026.06</t>
        </is>
      </c>
      <c r="W4" s="7" t="inlineStr">
        <is>
          <t>2026.09</t>
        </is>
      </c>
      <c r="X4" s="7" t="inlineStr">
        <is>
          <t>2026.12</t>
        </is>
      </c>
      <c r="Y4" s="7" t="inlineStr">
        <is>
          <t>2027.03</t>
        </is>
      </c>
      <c r="Z4" s="7" t="inlineStr">
        <is>
          <t>2027.06</t>
        </is>
      </c>
      <c r="AA4" s="7" t="inlineStr">
        <is>
          <t>2027.09</t>
        </is>
      </c>
      <c r="AB4" s="7" t="inlineStr">
        <is>
          <t>2027.12</t>
        </is>
      </c>
      <c r="AC4" s="7" t="inlineStr">
        <is>
          <t>2028.03</t>
        </is>
      </c>
      <c r="AD4" s="7" t="inlineStr">
        <is>
          <t>2028.06</t>
        </is>
      </c>
      <c r="AE4" s="7" t="inlineStr">
        <is>
          <t>2028.09</t>
        </is>
      </c>
      <c r="AF4" s="7" t="inlineStr">
        <is>
          <t>2028.12</t>
        </is>
      </c>
      <c r="AG4" s="7" t="inlineStr">
        <is>
          <t>2029.03</t>
        </is>
      </c>
      <c r="AH4" s="7" t="inlineStr">
        <is>
          <t>2029.06</t>
        </is>
      </c>
      <c r="AI4" s="7" t="inlineStr">
        <is>
          <t>2029.09</t>
        </is>
      </c>
      <c r="AJ4" s="7" t="inlineStr">
        <is>
          <t>2029.12</t>
        </is>
      </c>
      <c r="AK4" s="7" t="inlineStr">
        <is>
          <t>2030.03</t>
        </is>
      </c>
      <c r="AL4" s="7" t="inlineStr">
        <is>
          <t>2030.06</t>
        </is>
      </c>
      <c r="AM4" s="7" t="inlineStr">
        <is>
          <t>2030.09</t>
        </is>
      </c>
      <c r="AN4" s="7" t="inlineStr">
        <is>
          <t>2022.12A</t>
        </is>
      </c>
      <c r="AO4" s="7" t="inlineStr">
        <is>
          <t>2023.12A</t>
        </is>
      </c>
      <c r="AP4" s="7" t="inlineStr">
        <is>
          <t>2024.12A</t>
        </is>
      </c>
      <c r="AQ4" s="7" t="inlineStr">
        <is>
          <t>2025.12A</t>
        </is>
      </c>
      <c r="AR4" s="7" t="inlineStr">
        <is>
          <t>2026.12A</t>
        </is>
      </c>
      <c r="AS4" s="7" t="inlineStr">
        <is>
          <t>2027.12A</t>
        </is>
      </c>
      <c r="AT4" s="7" t="inlineStr">
        <is>
          <t>2028.12A</t>
        </is>
      </c>
      <c r="AU4" s="7" t="inlineStr">
        <is>
          <t>2029.12A</t>
        </is>
      </c>
      <c r="AV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3.771</v>
      </c>
      <c r="F5" s="26" t="n">
        <v>74.08</v>
      </c>
      <c r="G5" s="26" t="n">
        <v>82.492</v>
      </c>
      <c r="H5" s="26" t="n">
        <v>101.949</v>
      </c>
      <c r="I5" s="26" t="n">
        <v>141.599</v>
      </c>
      <c r="J5" s="26" t="n">
        <v>157.447</v>
      </c>
      <c r="K5" s="26" t="n">
        <v>218.403</v>
      </c>
      <c r="L5" s="26" t="n">
        <v>222.557</v>
      </c>
      <c r="M5" s="26" t="n">
        <v>220.138</v>
      </c>
      <c r="N5" s="26" t="n">
        <v>230.966</v>
      </c>
      <c r="O5" s="26" t="n">
        <v>353.028</v>
      </c>
      <c r="P5" s="26" t="n">
        <v>467.093</v>
      </c>
      <c r="Q5" s="26" t="n">
        <v>590.955</v>
      </c>
      <c r="R5" s="26" t="n">
        <v>672.269</v>
      </c>
      <c r="S5" s="26" t="n">
        <v>1075.051</v>
      </c>
      <c r="T5" s="26" t="n">
        <v>1199.784</v>
      </c>
      <c r="U5" s="26" t="n">
        <v>1314.155</v>
      </c>
      <c r="V5" s="26" t="n">
        <v>1567.71</v>
      </c>
      <c r="W5" s="26" t="n">
        <v>1663.4</v>
      </c>
      <c r="X5" s="26" t="n">
        <v>1817.327</v>
      </c>
      <c r="Y5" s="26" t="n">
        <v>1778.322</v>
      </c>
      <c r="Z5" s="26" t="n">
        <v>1724.73</v>
      </c>
      <c r="AA5" s="26" t="n">
        <v>1656.112</v>
      </c>
      <c r="AB5" s="26" t="n">
        <v>1656.112</v>
      </c>
      <c r="AC5" s="26" t="n">
        <v>1406.856</v>
      </c>
      <c r="AD5" s="26" t="n">
        <v>1305.469</v>
      </c>
      <c r="AE5" s="26" t="n">
        <v>1260.713</v>
      </c>
      <c r="AF5" s="26" t="n">
        <v>1081.645</v>
      </c>
      <c r="AG5" s="26" t="n">
        <v>756.97</v>
      </c>
      <c r="AH5" s="26" t="n">
        <v>589.6609999999999</v>
      </c>
      <c r="AI5" s="26" t="n">
        <v>431.834</v>
      </c>
      <c r="AJ5" s="26" t="n">
        <v>257.369</v>
      </c>
      <c r="AK5" s="26" t="n">
        <v>182.091</v>
      </c>
      <c r="AL5" s="26" t="n">
        <v>173.766</v>
      </c>
      <c r="AM5" s="26" t="n">
        <v>36.281</v>
      </c>
      <c r="AN5" s="26" t="n">
        <v>262.292</v>
      </c>
      <c r="AO5" s="26" t="n">
        <v>740.006</v>
      </c>
      <c r="AP5" s="26" t="n">
        <v>1271.225</v>
      </c>
      <c r="AQ5" s="26" t="n">
        <v>3538.059</v>
      </c>
      <c r="AR5" s="26" t="n">
        <v>6362.592</v>
      </c>
      <c r="AS5" s="26" t="n">
        <v>6815.276</v>
      </c>
      <c r="AT5" s="26" t="n">
        <v>5054.683</v>
      </c>
      <c r="AU5" s="26" t="n">
        <v>2035.834</v>
      </c>
      <c r="AV5" s="26" t="n">
        <v>392.138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3.771</v>
      </c>
      <c r="F6" s="26" t="n">
        <v>49.028</v>
      </c>
      <c r="G6" s="26" t="n">
        <v>49.567</v>
      </c>
      <c r="H6" s="26" t="n">
        <v>49.567</v>
      </c>
      <c r="I6" s="26" t="n">
        <v>48.489</v>
      </c>
      <c r="J6" s="26" t="n">
        <v>63.303</v>
      </c>
      <c r="K6" s="26" t="n">
        <v>100.077</v>
      </c>
      <c r="L6" s="26" t="n">
        <v>100.077</v>
      </c>
      <c r="M6" s="26" t="n">
        <v>98.989</v>
      </c>
      <c r="N6" s="26" t="n">
        <v>99.678</v>
      </c>
      <c r="O6" s="26" t="n">
        <v>163.917</v>
      </c>
      <c r="P6" s="26" t="n">
        <v>277.982</v>
      </c>
      <c r="Q6" s="26" t="n">
        <v>405.955</v>
      </c>
      <c r="R6" s="26" t="n">
        <v>555.451</v>
      </c>
      <c r="S6" s="26" t="n">
        <v>906.5410000000001</v>
      </c>
      <c r="T6" s="26" t="n">
        <v>1023.47</v>
      </c>
      <c r="U6" s="26" t="n">
        <v>1226.957</v>
      </c>
      <c r="V6" s="26" t="n">
        <v>1479.544</v>
      </c>
      <c r="W6" s="26" t="n">
        <v>1574.265</v>
      </c>
      <c r="X6" s="26" t="n">
        <v>1728.192</v>
      </c>
      <c r="Y6" s="26" t="n">
        <v>1691.124</v>
      </c>
      <c r="Z6" s="26" t="n">
        <v>1677.562</v>
      </c>
      <c r="AA6" s="26" t="n">
        <v>1628.811</v>
      </c>
      <c r="AB6" s="26" t="n">
        <v>1628.811</v>
      </c>
      <c r="AC6" s="26" t="n">
        <v>1406.856</v>
      </c>
      <c r="AD6" s="26" t="n">
        <v>1305.469</v>
      </c>
      <c r="AE6" s="26" t="n">
        <v>1260.713</v>
      </c>
      <c r="AF6" s="26" t="n">
        <v>1081.645</v>
      </c>
      <c r="AG6" s="26" t="n">
        <v>756.97</v>
      </c>
      <c r="AH6" s="26" t="n">
        <v>589.6609999999999</v>
      </c>
      <c r="AI6" s="26" t="n">
        <v>431.834</v>
      </c>
      <c r="AJ6" s="26" t="n">
        <v>257.369</v>
      </c>
      <c r="AK6" s="26" t="n">
        <v>182.091</v>
      </c>
      <c r="AL6" s="26" t="n">
        <v>173.766</v>
      </c>
      <c r="AM6" s="26" t="n">
        <v>36.281</v>
      </c>
      <c r="AN6" s="26" t="n">
        <v>151.933</v>
      </c>
      <c r="AO6" s="26" t="n">
        <v>311.946</v>
      </c>
      <c r="AP6" s="26" t="n">
        <v>640.566</v>
      </c>
      <c r="AQ6" s="26" t="n">
        <v>2891.417</v>
      </c>
      <c r="AR6" s="26" t="n">
        <v>6008.958</v>
      </c>
      <c r="AS6" s="26" t="n">
        <v>6626.308</v>
      </c>
      <c r="AT6" s="26" t="n">
        <v>5054.683</v>
      </c>
      <c r="AU6" s="26" t="n">
        <v>2035.834</v>
      </c>
      <c r="AV6" s="26" t="n">
        <v>392.138</v>
      </c>
    </row>
    <row r="7">
      <c r="A7" s="12" t="inlineStr">
        <is>
          <t>type:CONT</t>
        </is>
      </c>
      <c r="D7" t="inlineStr">
        <is>
          <t>선종 CONT</t>
        </is>
      </c>
      <c r="E7" s="26" t="n">
        <v>3.771</v>
      </c>
      <c r="F7" s="26" t="n">
        <v>49.028</v>
      </c>
      <c r="G7" s="26" t="n">
        <v>49.567</v>
      </c>
      <c r="H7" s="26" t="n">
        <v>49.567</v>
      </c>
      <c r="I7" s="26" t="n">
        <v>48.489</v>
      </c>
      <c r="J7" s="26" t="n">
        <v>49.028</v>
      </c>
      <c r="K7" s="26" t="n">
        <v>49.567</v>
      </c>
      <c r="L7" s="26" t="n">
        <v>49.567</v>
      </c>
      <c r="M7" s="26" t="n">
        <v>49.028</v>
      </c>
      <c r="N7" s="26" t="n">
        <v>49.028</v>
      </c>
      <c r="O7" s="26" t="n">
        <v>49.567</v>
      </c>
      <c r="P7" s="26" t="n">
        <v>77.29300000000001</v>
      </c>
      <c r="Q7" s="26" t="n">
        <v>110.872</v>
      </c>
      <c r="R7" s="26" t="n">
        <v>138.705</v>
      </c>
      <c r="S7" s="26" t="n">
        <v>123.462</v>
      </c>
      <c r="T7" s="26" t="n">
        <v>139.011</v>
      </c>
      <c r="U7" s="26" t="n">
        <v>198.83</v>
      </c>
      <c r="V7" s="26" t="n">
        <v>216.959</v>
      </c>
      <c r="W7" s="26" t="n">
        <v>231.831</v>
      </c>
      <c r="X7" s="26" t="n">
        <v>253.134</v>
      </c>
      <c r="Y7" s="26" t="n">
        <v>247.631</v>
      </c>
      <c r="Z7" s="26" t="n">
        <v>250.383</v>
      </c>
      <c r="AA7" s="26" t="n">
        <v>253.134</v>
      </c>
      <c r="AB7" s="26" t="n">
        <v>253.134</v>
      </c>
      <c r="AC7" s="26" t="n">
        <v>163.485</v>
      </c>
      <c r="AD7" s="26" t="n">
        <v>127.561</v>
      </c>
      <c r="AE7" s="26" t="n">
        <v>116.626</v>
      </c>
      <c r="AF7" s="26" t="n">
        <v>115.157</v>
      </c>
      <c r="AG7" s="26" t="n">
        <v>81.03400000000001</v>
      </c>
      <c r="AH7" s="26" t="n">
        <v>81.934</v>
      </c>
      <c r="AI7" s="26" t="n">
        <v>82.83499999999999</v>
      </c>
      <c r="AJ7" s="26" t="n">
        <v>54.923</v>
      </c>
      <c r="AN7" s="26" t="n">
        <v>151.933</v>
      </c>
      <c r="AO7" s="26" t="n">
        <v>196.651</v>
      </c>
      <c r="AP7" s="26" t="n">
        <v>224.916</v>
      </c>
      <c r="AQ7" s="26" t="n">
        <v>512.05</v>
      </c>
      <c r="AR7" s="26" t="n">
        <v>900.754</v>
      </c>
      <c r="AS7" s="26" t="n">
        <v>1004.282</v>
      </c>
      <c r="AT7" s="26" t="n">
        <v>522.829</v>
      </c>
      <c r="AU7" s="26" t="n">
        <v>300.726</v>
      </c>
    </row>
    <row r="8">
      <c r="A8" s="12" t="inlineStr">
        <is>
          <t>type:OTHER</t>
        </is>
      </c>
      <c r="D8" t="inlineStr">
        <is>
          <t>선종 OTHER</t>
        </is>
      </c>
      <c r="F8" s="26" t="n">
        <v>25.052</v>
      </c>
      <c r="G8" s="26" t="n">
        <v>32.925</v>
      </c>
      <c r="H8" s="26" t="n">
        <v>52.382</v>
      </c>
      <c r="I8" s="26" t="n">
        <v>93.11</v>
      </c>
      <c r="J8" s="26" t="n">
        <v>94.14400000000001</v>
      </c>
      <c r="K8" s="26" t="n">
        <v>118.325</v>
      </c>
      <c r="L8" s="26" t="n">
        <v>122.48</v>
      </c>
      <c r="M8" s="26" t="n">
        <v>121.149</v>
      </c>
      <c r="N8" s="26" t="n">
        <v>131.288</v>
      </c>
      <c r="O8" s="26" t="n">
        <v>189.112</v>
      </c>
      <c r="P8" s="26" t="n">
        <v>189.112</v>
      </c>
      <c r="Q8" s="26" t="n">
        <v>185.001</v>
      </c>
      <c r="R8" s="26" t="n">
        <v>116.817</v>
      </c>
      <c r="S8" s="26" t="n">
        <v>168.51</v>
      </c>
      <c r="T8" s="26" t="n">
        <v>176.314</v>
      </c>
      <c r="U8" s="26" t="n">
        <v>87.19799999999999</v>
      </c>
      <c r="V8" s="26" t="n">
        <v>88.167</v>
      </c>
      <c r="W8" s="26" t="n">
        <v>89.136</v>
      </c>
      <c r="X8" s="26" t="n">
        <v>89.136</v>
      </c>
      <c r="Y8" s="26" t="n">
        <v>87.19799999999999</v>
      </c>
      <c r="Z8" s="26" t="n">
        <v>47.168</v>
      </c>
      <c r="AA8" s="26" t="n">
        <v>27.301</v>
      </c>
      <c r="AB8" s="26" t="n">
        <v>27.301</v>
      </c>
      <c r="AN8" s="26" t="n">
        <v>110.359</v>
      </c>
      <c r="AO8" s="26" t="n">
        <v>428.059</v>
      </c>
      <c r="AP8" s="26" t="n">
        <v>630.6609999999999</v>
      </c>
      <c r="AQ8" s="26" t="n">
        <v>646.6420000000001</v>
      </c>
      <c r="AR8" s="26" t="n">
        <v>353.637</v>
      </c>
      <c r="AS8" s="26" t="n">
        <v>188.968</v>
      </c>
    </row>
    <row r="9">
      <c r="A9" s="12" t="inlineStr">
        <is>
          <t>type:OFFSH</t>
        </is>
      </c>
      <c r="D9" t="inlineStr">
        <is>
          <t>선종 OFFSH</t>
        </is>
      </c>
      <c r="J9" s="26" t="n">
        <v>14.275</v>
      </c>
      <c r="K9" s="26" t="n">
        <v>50.511</v>
      </c>
      <c r="L9" s="26" t="n">
        <v>50.511</v>
      </c>
      <c r="M9" s="26" t="n">
        <v>49.962</v>
      </c>
      <c r="N9" s="26" t="n">
        <v>49.962</v>
      </c>
      <c r="O9" s="26" t="n">
        <v>50.511</v>
      </c>
      <c r="P9" s="26" t="n">
        <v>50.511</v>
      </c>
      <c r="Q9" s="26" t="n">
        <v>49.412</v>
      </c>
      <c r="R9" s="26" t="n">
        <v>49.962</v>
      </c>
      <c r="S9" s="26" t="n">
        <v>343.784</v>
      </c>
      <c r="T9" s="26" t="n">
        <v>353.67</v>
      </c>
      <c r="U9" s="26" t="n">
        <v>345.982</v>
      </c>
      <c r="V9" s="26" t="n">
        <v>334.617</v>
      </c>
      <c r="W9" s="26" t="n">
        <v>226.186</v>
      </c>
      <c r="X9" s="26" t="n">
        <v>226.186</v>
      </c>
      <c r="Y9" s="26" t="n">
        <v>221.269</v>
      </c>
      <c r="Z9" s="26" t="n">
        <v>223.727</v>
      </c>
      <c r="AA9" s="26" t="n">
        <v>226.186</v>
      </c>
      <c r="AB9" s="26" t="n">
        <v>226.186</v>
      </c>
      <c r="AC9" s="26" t="n">
        <v>223.727</v>
      </c>
      <c r="AD9" s="26" t="n">
        <v>223.727</v>
      </c>
      <c r="AE9" s="26" t="n">
        <v>226.186</v>
      </c>
      <c r="AF9" s="26" t="n">
        <v>226.186</v>
      </c>
      <c r="AG9" s="26" t="n">
        <v>221.269</v>
      </c>
      <c r="AH9" s="26" t="n">
        <v>223.727</v>
      </c>
      <c r="AI9" s="26" t="n">
        <v>226.186</v>
      </c>
      <c r="AJ9" s="26" t="n">
        <v>175.675</v>
      </c>
      <c r="AK9" s="26" t="n">
        <v>171.856</v>
      </c>
      <c r="AL9" s="26" t="n">
        <v>173.766</v>
      </c>
      <c r="AM9" s="26" t="n">
        <v>36.281</v>
      </c>
      <c r="AO9" s="26" t="n">
        <v>115.297</v>
      </c>
      <c r="AP9" s="26" t="n">
        <v>200.946</v>
      </c>
      <c r="AQ9" s="26" t="n">
        <v>796.828</v>
      </c>
      <c r="AR9" s="26" t="n">
        <v>1132.971</v>
      </c>
      <c r="AS9" s="26" t="n">
        <v>897.3680000000001</v>
      </c>
      <c r="AT9" s="26" t="n">
        <v>899.826</v>
      </c>
      <c r="AU9" s="26" t="n">
        <v>846.857</v>
      </c>
      <c r="AV9" s="26" t="n">
        <v>381.903</v>
      </c>
    </row>
    <row r="10">
      <c r="A10" s="12" t="inlineStr">
        <is>
          <t>type:LNGC</t>
        </is>
      </c>
      <c r="D10" t="inlineStr">
        <is>
          <t>선종 LNGC</t>
        </is>
      </c>
      <c r="N10" s="26" t="n">
        <v>0.6879999999999999</v>
      </c>
      <c r="O10" s="26" t="n">
        <v>63.839</v>
      </c>
      <c r="P10" s="26" t="n">
        <v>128.696</v>
      </c>
      <c r="Q10" s="26" t="n">
        <v>154.982</v>
      </c>
      <c r="R10" s="26" t="n">
        <v>161.429</v>
      </c>
      <c r="S10" s="26" t="n">
        <v>230.163</v>
      </c>
      <c r="T10" s="26" t="n">
        <v>299.063</v>
      </c>
      <c r="U10" s="26" t="n">
        <v>422.404</v>
      </c>
      <c r="V10" s="26" t="n">
        <v>606.3390000000001</v>
      </c>
      <c r="W10" s="26" t="n">
        <v>722.163</v>
      </c>
      <c r="X10" s="26" t="n">
        <v>832.996</v>
      </c>
      <c r="Y10" s="26" t="n">
        <v>815.39</v>
      </c>
      <c r="Z10" s="26" t="n">
        <v>792.097</v>
      </c>
      <c r="AA10" s="26" t="n">
        <v>733.616</v>
      </c>
      <c r="AB10" s="26" t="n">
        <v>733.616</v>
      </c>
      <c r="AC10" s="26" t="n">
        <v>691.721</v>
      </c>
      <c r="AD10" s="26" t="n">
        <v>665.155</v>
      </c>
      <c r="AE10" s="26" t="n">
        <v>625.699</v>
      </c>
      <c r="AF10" s="26" t="n">
        <v>448.1</v>
      </c>
      <c r="AG10" s="26" t="n">
        <v>315.78</v>
      </c>
      <c r="AH10" s="26" t="n">
        <v>199.903</v>
      </c>
      <c r="AI10" s="26" t="n">
        <v>80.166</v>
      </c>
      <c r="AP10" s="26" t="n">
        <v>193.223</v>
      </c>
      <c r="AQ10" s="26" t="n">
        <v>845.6369999999999</v>
      </c>
      <c r="AR10" s="26" t="n">
        <v>2583.902</v>
      </c>
      <c r="AS10" s="26" t="n">
        <v>3074.719</v>
      </c>
      <c r="AT10" s="26" t="n">
        <v>2430.675</v>
      </c>
      <c r="AU10" s="26" t="n">
        <v>595.849</v>
      </c>
    </row>
    <row r="11">
      <c r="A11" s="12" t="inlineStr">
        <is>
          <t>type:VLCC</t>
        </is>
      </c>
      <c r="D11" t="inlineStr">
        <is>
          <t>선종 VLCC</t>
        </is>
      </c>
      <c r="P11" s="26" t="n">
        <v>17.627</v>
      </c>
      <c r="Q11" s="26" t="n">
        <v>42.858</v>
      </c>
      <c r="R11" s="26" t="n">
        <v>134.46</v>
      </c>
      <c r="S11" s="26" t="n">
        <v>137.456</v>
      </c>
      <c r="T11" s="26" t="n">
        <v>160.05</v>
      </c>
      <c r="U11" s="26" t="n">
        <v>172.086</v>
      </c>
      <c r="V11" s="26" t="n">
        <v>201.372</v>
      </c>
      <c r="W11" s="26" t="n">
        <v>262.303</v>
      </c>
      <c r="X11" s="26" t="n">
        <v>268.481</v>
      </c>
      <c r="Y11" s="26" t="n">
        <v>262.645</v>
      </c>
      <c r="Z11" s="26" t="n">
        <v>265.563</v>
      </c>
      <c r="AA11" s="26" t="n">
        <v>268.481</v>
      </c>
      <c r="AB11" s="26" t="n">
        <v>268.481</v>
      </c>
      <c r="AC11" s="26" t="n">
        <v>235.197</v>
      </c>
      <c r="AD11" s="26" t="n">
        <v>214.131</v>
      </c>
      <c r="AE11" s="26" t="n">
        <v>216.484</v>
      </c>
      <c r="AF11" s="26" t="n">
        <v>216.484</v>
      </c>
      <c r="AG11" s="26" t="n">
        <v>85.131</v>
      </c>
      <c r="AH11" s="26" t="n">
        <v>39.895</v>
      </c>
      <c r="AI11" s="26" t="n">
        <v>10.383</v>
      </c>
      <c r="AP11" s="26" t="n">
        <v>17.627</v>
      </c>
      <c r="AQ11" s="26" t="n">
        <v>474.824</v>
      </c>
      <c r="AR11" s="26" t="n">
        <v>904.242</v>
      </c>
      <c r="AS11" s="26" t="n">
        <v>1065.17</v>
      </c>
      <c r="AT11" s="26" t="n">
        <v>882.296</v>
      </c>
      <c r="AU11" s="26" t="n">
        <v>135.409</v>
      </c>
    </row>
    <row r="12">
      <c r="A12" s="12" t="inlineStr">
        <is>
          <t>type:VLGC</t>
        </is>
      </c>
      <c r="D12" t="inlineStr">
        <is>
          <t>선종 VLGC</t>
        </is>
      </c>
      <c r="P12" s="26" t="n">
        <v>3.855</v>
      </c>
      <c r="Q12" s="26" t="n">
        <v>47.83</v>
      </c>
      <c r="R12" s="26" t="n">
        <v>70.896</v>
      </c>
      <c r="S12" s="26" t="n">
        <v>71.676</v>
      </c>
      <c r="T12" s="26" t="n">
        <v>71.676</v>
      </c>
      <c r="U12" s="26" t="n">
        <v>87.655</v>
      </c>
      <c r="V12" s="26" t="n">
        <v>120.258</v>
      </c>
      <c r="W12" s="26" t="n">
        <v>131.781</v>
      </c>
      <c r="X12" s="26" t="n">
        <v>147.393</v>
      </c>
      <c r="Y12" s="26" t="n">
        <v>144.189</v>
      </c>
      <c r="Z12" s="26" t="n">
        <v>145.791</v>
      </c>
      <c r="AA12" s="26" t="n">
        <v>147.393</v>
      </c>
      <c r="AB12" s="26" t="n">
        <v>147.393</v>
      </c>
      <c r="AC12" s="26" t="n">
        <v>92.72499999999999</v>
      </c>
      <c r="AD12" s="26" t="n">
        <v>74.895</v>
      </c>
      <c r="AE12" s="26" t="n">
        <v>75.718</v>
      </c>
      <c r="AF12" s="26" t="n">
        <v>75.718</v>
      </c>
      <c r="AG12" s="26" t="n">
        <v>53.756</v>
      </c>
      <c r="AH12" s="26" t="n">
        <v>44.202</v>
      </c>
      <c r="AI12" s="26" t="n">
        <v>32.264</v>
      </c>
      <c r="AJ12" s="26" t="n">
        <v>26.77</v>
      </c>
      <c r="AK12" s="26" t="n">
        <v>10.235</v>
      </c>
      <c r="AP12" s="26" t="n">
        <v>3.855</v>
      </c>
      <c r="AQ12" s="26" t="n">
        <v>262.078</v>
      </c>
      <c r="AR12" s="26" t="n">
        <v>487.087</v>
      </c>
      <c r="AS12" s="26" t="n">
        <v>584.766</v>
      </c>
      <c r="AT12" s="26" t="n">
        <v>319.056</v>
      </c>
      <c r="AU12" s="26" t="n">
        <v>156.992</v>
      </c>
      <c r="AV12" s="26" t="n">
        <v>10.235</v>
      </c>
    </row>
    <row r="13">
      <c r="A13" s="12" t="inlineStr">
        <is>
          <t>cohort:⑤초호황</t>
        </is>
      </c>
      <c r="D13" t="inlineStr">
        <is>
          <t>코호트 ⑤초호황</t>
        </is>
      </c>
      <c r="E13" s="26" t="n">
        <v>3.771</v>
      </c>
      <c r="F13" s="26" t="n">
        <v>49.028</v>
      </c>
      <c r="G13" s="26" t="n">
        <v>49.567</v>
      </c>
      <c r="H13" s="26" t="n">
        <v>49.567</v>
      </c>
      <c r="I13" s="26" t="n">
        <v>48.489</v>
      </c>
      <c r="J13" s="26" t="n">
        <v>63.303</v>
      </c>
      <c r="K13" s="26" t="n">
        <v>100.077</v>
      </c>
      <c r="L13" s="26" t="n">
        <v>100.077</v>
      </c>
      <c r="M13" s="26" t="n">
        <v>98.989</v>
      </c>
      <c r="N13" s="26" t="n">
        <v>99.678</v>
      </c>
      <c r="O13" s="26" t="n">
        <v>163.917</v>
      </c>
      <c r="P13" s="26" t="n">
        <v>277.982</v>
      </c>
      <c r="Q13" s="26" t="n">
        <v>405.955</v>
      </c>
      <c r="R13" s="26" t="n">
        <v>555.451</v>
      </c>
      <c r="S13" s="26" t="n">
        <v>613.2670000000001</v>
      </c>
      <c r="T13" s="26" t="n">
        <v>720.311</v>
      </c>
      <c r="U13" s="26" t="n">
        <v>930.388</v>
      </c>
      <c r="V13" s="26" t="n">
        <v>1252.174</v>
      </c>
      <c r="W13" s="26" t="n">
        <v>1574.265</v>
      </c>
      <c r="X13" s="26" t="n">
        <v>1728.192</v>
      </c>
      <c r="Y13" s="26" t="n">
        <v>1691.124</v>
      </c>
      <c r="Z13" s="26" t="n">
        <v>1677.562</v>
      </c>
      <c r="AA13" s="26" t="n">
        <v>1628.811</v>
      </c>
      <c r="AB13" s="26" t="n">
        <v>1628.811</v>
      </c>
      <c r="AC13" s="26" t="n">
        <v>1406.856</v>
      </c>
      <c r="AD13" s="26" t="n">
        <v>1305.469</v>
      </c>
      <c r="AE13" s="26" t="n">
        <v>1260.713</v>
      </c>
      <c r="AF13" s="26" t="n">
        <v>1081.645</v>
      </c>
      <c r="AG13" s="26" t="n">
        <v>756.97</v>
      </c>
      <c r="AH13" s="26" t="n">
        <v>589.6609999999999</v>
      </c>
      <c r="AI13" s="26" t="n">
        <v>431.834</v>
      </c>
      <c r="AJ13" s="26" t="n">
        <v>257.369</v>
      </c>
      <c r="AK13" s="26" t="n">
        <v>182.091</v>
      </c>
      <c r="AL13" s="26" t="n">
        <v>173.766</v>
      </c>
      <c r="AM13" s="26" t="n">
        <v>36.281</v>
      </c>
      <c r="AN13" s="26" t="n">
        <v>151.933</v>
      </c>
      <c r="AO13" s="26" t="n">
        <v>311.946</v>
      </c>
      <c r="AP13" s="26" t="n">
        <v>640.566</v>
      </c>
      <c r="AQ13" s="26" t="n">
        <v>2294.984</v>
      </c>
      <c r="AR13" s="26" t="n">
        <v>5485.019</v>
      </c>
      <c r="AS13" s="26" t="n">
        <v>6626.308</v>
      </c>
      <c r="AT13" s="26" t="n">
        <v>5054.683</v>
      </c>
      <c r="AU13" s="26" t="n">
        <v>2035.834</v>
      </c>
      <c r="AV13" s="26" t="n">
        <v>392.138</v>
      </c>
    </row>
    <row r="14">
      <c r="A14" s="12" t="inlineStr">
        <is>
          <t>cohort:등급없음</t>
        </is>
      </c>
      <c r="D14" t="inlineStr">
        <is>
          <t>코호트 등급없음</t>
        </is>
      </c>
      <c r="F14" s="26" t="n">
        <v>25.052</v>
      </c>
      <c r="G14" s="26" t="n">
        <v>32.925</v>
      </c>
      <c r="H14" s="26" t="n">
        <v>52.382</v>
      </c>
      <c r="I14" s="26" t="n">
        <v>93.11</v>
      </c>
      <c r="J14" s="26" t="n">
        <v>94.14400000000001</v>
      </c>
      <c r="K14" s="26" t="n">
        <v>118.325</v>
      </c>
      <c r="L14" s="26" t="n">
        <v>122.48</v>
      </c>
      <c r="M14" s="26" t="n">
        <v>121.149</v>
      </c>
      <c r="N14" s="26" t="n">
        <v>131.288</v>
      </c>
      <c r="O14" s="26" t="n">
        <v>189.112</v>
      </c>
      <c r="P14" s="26" t="n">
        <v>189.112</v>
      </c>
      <c r="Q14" s="26" t="n">
        <v>185.001</v>
      </c>
      <c r="R14" s="26" t="n">
        <v>116.817</v>
      </c>
      <c r="S14" s="26" t="n">
        <v>461.783</v>
      </c>
      <c r="T14" s="26" t="n">
        <v>479.474</v>
      </c>
      <c r="U14" s="26" t="n">
        <v>383.767</v>
      </c>
      <c r="V14" s="26" t="n">
        <v>315.536</v>
      </c>
      <c r="W14" s="26" t="n">
        <v>89.136</v>
      </c>
      <c r="X14" s="26" t="n">
        <v>89.136</v>
      </c>
      <c r="Y14" s="26" t="n">
        <v>87.19799999999999</v>
      </c>
      <c r="Z14" s="26" t="n">
        <v>47.168</v>
      </c>
      <c r="AA14" s="26" t="n">
        <v>27.301</v>
      </c>
      <c r="AB14" s="26" t="n">
        <v>27.301</v>
      </c>
      <c r="AN14" s="26" t="n">
        <v>110.359</v>
      </c>
      <c r="AO14" s="26" t="n">
        <v>428.059</v>
      </c>
      <c r="AP14" s="26" t="n">
        <v>630.6609999999999</v>
      </c>
      <c r="AQ14" s="26" t="n">
        <v>1243.075</v>
      </c>
      <c r="AR14" s="26" t="n">
        <v>877.575</v>
      </c>
      <c r="AS14" s="26" t="n">
        <v>188.968</v>
      </c>
    </row>
    <row r="15">
      <c r="A15" s="12" t="inlineStr">
        <is>
          <t>hedge_ratio</t>
        </is>
      </c>
      <c r="D15" t="inlineStr">
        <is>
          <t>헤지비율</t>
        </is>
      </c>
      <c r="E15" s="21" t="n">
        <v>0.7</v>
      </c>
      <c r="F15" s="21" t="n">
        <v>0.7</v>
      </c>
      <c r="G15" s="21" t="n">
        <v>0.7</v>
      </c>
      <c r="H15" s="21" t="n">
        <v>0.7</v>
      </c>
      <c r="I15" s="21" t="n">
        <v>0.7</v>
      </c>
      <c r="J15" s="21" t="n">
        <v>0.7</v>
      </c>
      <c r="K15" s="21" t="n">
        <v>0.7</v>
      </c>
      <c r="L15" s="21" t="n">
        <v>0.7</v>
      </c>
      <c r="M15" s="21" t="n">
        <v>0.7</v>
      </c>
      <c r="N15" s="21" t="n">
        <v>0.7</v>
      </c>
      <c r="O15" s="21" t="n">
        <v>0.7</v>
      </c>
      <c r="P15" s="21" t="n">
        <v>0.7</v>
      </c>
      <c r="Q15" s="21" t="n">
        <v>0.7</v>
      </c>
      <c r="R15" s="21" t="n">
        <v>0.7</v>
      </c>
      <c r="S15" s="21" t="n">
        <v>0.7</v>
      </c>
      <c r="T15" s="21" t="n">
        <v>0.7</v>
      </c>
      <c r="U15" s="21" t="n">
        <v>0.7</v>
      </c>
      <c r="V15" s="21" t="n">
        <v>0.7</v>
      </c>
      <c r="W15" s="21" t="n">
        <v>0.7</v>
      </c>
      <c r="X15" s="21" t="n">
        <v>0.7</v>
      </c>
      <c r="Y15" s="21" t="n">
        <v>0.7</v>
      </c>
      <c r="Z15" s="21" t="n">
        <v>0.7</v>
      </c>
      <c r="AA15" s="21" t="n">
        <v>0.7</v>
      </c>
      <c r="AB15" s="21" t="n">
        <v>0.7</v>
      </c>
      <c r="AC15" s="21" t="n">
        <v>0.7</v>
      </c>
      <c r="AD15" s="21" t="n">
        <v>0.7</v>
      </c>
      <c r="AE15" s="21" t="n">
        <v>0.7</v>
      </c>
      <c r="AF15" s="21" t="n">
        <v>0.7</v>
      </c>
      <c r="AG15" s="21" t="n">
        <v>0.7</v>
      </c>
      <c r="AH15" s="21" t="n">
        <v>0.7</v>
      </c>
      <c r="AI15" s="21" t="n">
        <v>0.7</v>
      </c>
      <c r="AJ15" s="21" t="n">
        <v>0.7</v>
      </c>
      <c r="AK15" s="21" t="n">
        <v>0.7</v>
      </c>
      <c r="AL15" s="21" t="n">
        <v>0.7</v>
      </c>
      <c r="AM15" s="21" t="n">
        <v>0.7</v>
      </c>
    </row>
    <row r="16">
      <c r="A16" s="12" t="inlineStr">
        <is>
          <t>hedge_rate</t>
        </is>
      </c>
      <c r="D16" t="inlineStr">
        <is>
          <t>헤지환율(가중)</t>
        </is>
      </c>
      <c r="E16" s="13" t="n">
        <v>1205.78</v>
      </c>
      <c r="F16" s="13" t="n">
        <v>1257.97</v>
      </c>
      <c r="G16" s="13" t="n">
        <v>1267.38</v>
      </c>
      <c r="H16" s="13" t="n">
        <v>1285.08</v>
      </c>
      <c r="I16" s="13" t="n">
        <v>1307.27</v>
      </c>
      <c r="J16" s="13" t="n">
        <v>1324.9</v>
      </c>
      <c r="K16" s="13" t="n">
        <v>1353.81</v>
      </c>
      <c r="L16" s="13" t="n">
        <v>1353.21</v>
      </c>
      <c r="M16" s="13" t="n">
        <v>1353.21</v>
      </c>
      <c r="N16" s="13" t="n">
        <v>1354.06</v>
      </c>
      <c r="O16" s="13" t="n">
        <v>1359.87</v>
      </c>
      <c r="P16" s="13" t="n">
        <v>1364.62</v>
      </c>
      <c r="Q16" s="13" t="n">
        <v>1375.91</v>
      </c>
      <c r="R16" s="13" t="n">
        <v>1390.2</v>
      </c>
      <c r="S16" s="13" t="n">
        <v>1393.58</v>
      </c>
      <c r="T16" s="13" t="n">
        <v>1399.86</v>
      </c>
      <c r="U16" s="13" t="n">
        <v>1411.59</v>
      </c>
      <c r="V16" s="13" t="n">
        <v>1427.29</v>
      </c>
      <c r="W16" s="13" t="n">
        <v>1442.98</v>
      </c>
      <c r="X16" s="13" t="n">
        <v>1439.07</v>
      </c>
      <c r="Y16" s="13" t="n">
        <v>1439.04</v>
      </c>
      <c r="Z16" s="13" t="n">
        <v>1441.83</v>
      </c>
      <c r="AA16" s="13" t="n">
        <v>1443.84</v>
      </c>
      <c r="AB16" s="13" t="n">
        <v>1443.84</v>
      </c>
      <c r="AC16" s="13" t="n">
        <v>1452.56</v>
      </c>
      <c r="AD16" s="13" t="n">
        <v>1452.82</v>
      </c>
      <c r="AE16" s="13" t="n">
        <v>1453.85</v>
      </c>
      <c r="AF16" s="13" t="n">
        <v>1457.61</v>
      </c>
      <c r="AG16" s="13" t="n">
        <v>1463.27</v>
      </c>
      <c r="AH16" s="13" t="n">
        <v>1465.79</v>
      </c>
      <c r="AI16" s="13" t="n">
        <v>1471.2</v>
      </c>
      <c r="AJ16" s="13" t="n">
        <v>1485.39</v>
      </c>
      <c r="AK16" s="13" t="n">
        <v>1497.08</v>
      </c>
      <c r="AL16" s="13" t="n">
        <v>1501.75</v>
      </c>
      <c r="AM16" s="13" t="n">
        <v>1501.75</v>
      </c>
    </row>
    <row r="17">
      <c r="A17" s="12" t="inlineStr">
        <is>
          <t>spot_assumed</t>
        </is>
      </c>
      <c r="D17" t="inlineStr">
        <is>
          <t>건조시점 환율(sls 가정)</t>
        </is>
      </c>
      <c r="E17" s="13" t="n">
        <v>1205.78</v>
      </c>
      <c r="F17" s="13" t="n">
        <v>1262.09</v>
      </c>
      <c r="G17" s="13" t="n">
        <v>1341.93</v>
      </c>
      <c r="H17" s="13" t="n">
        <v>1360.12</v>
      </c>
      <c r="I17" s="13" t="n">
        <v>1276.95</v>
      </c>
      <c r="J17" s="13" t="n">
        <v>1315.69</v>
      </c>
      <c r="K17" s="13" t="n">
        <v>1313.62</v>
      </c>
      <c r="L17" s="13" t="n">
        <v>1322.01</v>
      </c>
      <c r="M17" s="13" t="n">
        <v>1330.14</v>
      </c>
      <c r="N17" s="13" t="n">
        <v>1371.28</v>
      </c>
      <c r="O17" s="13" t="n">
        <v>1356.22</v>
      </c>
      <c r="P17" s="13" t="n">
        <v>1396.3</v>
      </c>
      <c r="Q17" s="13" t="n">
        <v>1452.28</v>
      </c>
      <c r="R17" s="13" t="n">
        <v>1398.52</v>
      </c>
      <c r="S17" s="13" t="n">
        <v>1386.95</v>
      </c>
      <c r="T17" s="13" t="n">
        <v>1449.19</v>
      </c>
      <c r="U17" s="13" t="n">
        <v>1466.12</v>
      </c>
      <c r="V17" s="13" t="n">
        <v>1501.75</v>
      </c>
      <c r="W17" s="13" t="n">
        <v>1418.75</v>
      </c>
      <c r="X17" s="13" t="n">
        <v>1346.2</v>
      </c>
      <c r="Y17" s="13" t="n">
        <v>1338.69</v>
      </c>
      <c r="Z17" s="13" t="n">
        <v>1338.69</v>
      </c>
      <c r="AA17" s="13" t="n">
        <v>1338.69</v>
      </c>
      <c r="AB17" s="13" t="n">
        <v>1338.69</v>
      </c>
      <c r="AC17" s="13" t="n">
        <v>1338.69</v>
      </c>
      <c r="AD17" s="13" t="n">
        <v>1338.69</v>
      </c>
      <c r="AE17" s="13" t="n">
        <v>1338.69</v>
      </c>
      <c r="AF17" s="13" t="n">
        <v>1338.69</v>
      </c>
      <c r="AG17" s="13" t="n">
        <v>1338.69</v>
      </c>
      <c r="AH17" s="13" t="n">
        <v>1338.69</v>
      </c>
      <c r="AI17" s="13" t="n">
        <v>1338.69</v>
      </c>
      <c r="AJ17" s="13" t="n">
        <v>1338.69</v>
      </c>
      <c r="AK17" s="13" t="n">
        <v>1338.69</v>
      </c>
      <c r="AL17" s="13" t="n">
        <v>1338.69</v>
      </c>
      <c r="AM17" s="13" t="n">
        <v>1338.69</v>
      </c>
    </row>
    <row r="18">
      <c r="A18" s="12" t="inlineStr">
        <is>
          <t>applied_rate</t>
        </is>
      </c>
      <c r="D18" t="inlineStr">
        <is>
          <t>적용환율</t>
        </is>
      </c>
      <c r="E18" s="13" t="n">
        <v>1205.78</v>
      </c>
      <c r="F18" s="13" t="n">
        <v>1259.21</v>
      </c>
      <c r="G18" s="13" t="n">
        <v>1289.75</v>
      </c>
      <c r="H18" s="13" t="n">
        <v>1307.59</v>
      </c>
      <c r="I18" s="13" t="n">
        <v>1298.17</v>
      </c>
      <c r="J18" s="13" t="n">
        <v>1322.14</v>
      </c>
      <c r="K18" s="13" t="n">
        <v>1341.75</v>
      </c>
      <c r="L18" s="13" t="n">
        <v>1343.85</v>
      </c>
      <c r="M18" s="13" t="n">
        <v>1346.29</v>
      </c>
      <c r="N18" s="13" t="n">
        <v>1359.23</v>
      </c>
      <c r="O18" s="13" t="n">
        <v>1358.77</v>
      </c>
      <c r="P18" s="13" t="n">
        <v>1374.13</v>
      </c>
      <c r="Q18" s="13" t="n">
        <v>1398.82</v>
      </c>
      <c r="R18" s="13" t="n">
        <v>1392.7</v>
      </c>
      <c r="S18" s="13" t="n">
        <v>1391.59</v>
      </c>
      <c r="T18" s="13" t="n">
        <v>1414.66</v>
      </c>
      <c r="U18" s="13" t="n">
        <v>1427.95</v>
      </c>
      <c r="V18" s="13" t="n">
        <v>1449.63</v>
      </c>
      <c r="W18" s="13" t="n">
        <v>1435.71</v>
      </c>
      <c r="X18" s="13" t="n">
        <v>1411.21</v>
      </c>
      <c r="Y18" s="13" t="n">
        <v>1408.93</v>
      </c>
      <c r="Z18" s="13" t="n">
        <v>1410.89</v>
      </c>
      <c r="AA18" s="13" t="n">
        <v>1412.29</v>
      </c>
      <c r="AB18" s="13" t="n">
        <v>1412.29</v>
      </c>
      <c r="AC18" s="13" t="n">
        <v>1418.4</v>
      </c>
      <c r="AD18" s="13" t="n">
        <v>1418.58</v>
      </c>
      <c r="AE18" s="13" t="n">
        <v>1419.3</v>
      </c>
      <c r="AF18" s="13" t="n">
        <v>1421.93</v>
      </c>
      <c r="AG18" s="13" t="n">
        <v>1425.9</v>
      </c>
      <c r="AH18" s="13" t="n">
        <v>1427.66</v>
      </c>
      <c r="AI18" s="13" t="n">
        <v>1431.44</v>
      </c>
      <c r="AJ18" s="13" t="n">
        <v>1441.38</v>
      </c>
      <c r="AK18" s="13" t="n">
        <v>1449.57</v>
      </c>
      <c r="AL18" s="13" t="n">
        <v>1452.83</v>
      </c>
      <c r="AM18" s="13" t="n">
        <v>1452.83</v>
      </c>
    </row>
    <row r="19">
      <c r="A19" s="12" t="inlineStr">
        <is>
          <t>hedged_krw_m</t>
        </is>
      </c>
      <c r="D19" t="inlineStr">
        <is>
          <t>헤지적용 원화매출(백만원)</t>
        </is>
      </c>
      <c r="E19" s="18" t="n">
        <v>4547.5</v>
      </c>
      <c r="F19" s="18" t="n">
        <v>93281.8</v>
      </c>
      <c r="G19" s="18" t="n">
        <v>106393.6</v>
      </c>
      <c r="H19" s="18" t="n">
        <v>133307.3</v>
      </c>
      <c r="I19" s="18" t="n">
        <v>183819.8</v>
      </c>
      <c r="J19" s="18" t="n">
        <v>208166.5</v>
      </c>
      <c r="K19" s="18" t="n">
        <v>293042.3</v>
      </c>
      <c r="L19" s="18" t="n">
        <v>299084.3</v>
      </c>
      <c r="M19" s="18" t="n">
        <v>296370.3</v>
      </c>
      <c r="N19" s="18" t="n">
        <v>313935.2</v>
      </c>
      <c r="O19" s="18" t="n">
        <v>479685.9</v>
      </c>
      <c r="P19" s="18" t="n">
        <v>641845.5</v>
      </c>
      <c r="Q19" s="18" t="n">
        <v>826642.1</v>
      </c>
      <c r="R19" s="18" t="n">
        <v>936268</v>
      </c>
      <c r="S19" s="18" t="n">
        <v>1496028.1</v>
      </c>
      <c r="T19" s="18" t="n">
        <v>1697287.6</v>
      </c>
      <c r="U19" s="18" t="n">
        <v>1876550.8</v>
      </c>
      <c r="V19" s="18" t="n">
        <v>2272592.2</v>
      </c>
      <c r="W19" s="18" t="n">
        <v>2388165.2</v>
      </c>
      <c r="X19" s="18" t="n">
        <v>2564623.4</v>
      </c>
      <c r="Y19" s="18" t="n">
        <v>2505540</v>
      </c>
      <c r="Z19" s="18" t="n">
        <v>2433402.3</v>
      </c>
      <c r="AA19" s="18" t="n">
        <v>2338913.7</v>
      </c>
      <c r="AB19" s="18" t="n">
        <v>2338913.7</v>
      </c>
      <c r="AC19" s="18" t="n">
        <v>1995482.8</v>
      </c>
      <c r="AD19" s="18" t="n">
        <v>1851914.4</v>
      </c>
      <c r="AE19" s="18" t="n">
        <v>1789333.1</v>
      </c>
      <c r="AF19" s="18" t="n">
        <v>1538025.8</v>
      </c>
      <c r="AG19" s="18" t="n">
        <v>1079360.8</v>
      </c>
      <c r="AH19" s="18" t="n">
        <v>841835</v>
      </c>
      <c r="AI19" s="18" t="n">
        <v>618147</v>
      </c>
      <c r="AJ19" s="18" t="n">
        <v>370965.9</v>
      </c>
      <c r="AK19" s="18" t="n">
        <v>263953.6</v>
      </c>
      <c r="AL19" s="18" t="n">
        <v>252452.7</v>
      </c>
      <c r="AM19" s="18" t="n">
        <v>52709.9</v>
      </c>
      <c r="AN19" s="18" t="n">
        <v>337530.2</v>
      </c>
      <c r="AO19" s="18" t="n">
        <v>984112.9</v>
      </c>
      <c r="AP19" s="18" t="n">
        <v>1731836.9</v>
      </c>
      <c r="AQ19" s="18" t="n">
        <v>4956225.8</v>
      </c>
      <c r="AR19" s="18" t="n">
        <v>9101931.6</v>
      </c>
      <c r="AS19" s="18" t="n">
        <v>9616769.699999999</v>
      </c>
      <c r="AT19" s="18" t="n">
        <v>7174756.1</v>
      </c>
      <c r="AU19" s="18" t="n">
        <v>2910308.7</v>
      </c>
      <c r="AV19" s="18" t="n">
        <v>569116.2</v>
      </c>
    </row>
    <row r="20">
      <c r="A20" s="12" t="inlineStr">
        <is>
          <t>marine_hedged_krw_m</t>
        </is>
      </c>
      <c r="D20" t="inlineStr">
        <is>
          <t>해양 원화(백만원)</t>
        </is>
      </c>
      <c r="E20" s="18" t="n">
        <v>4547.5</v>
      </c>
      <c r="F20" s="18" t="n">
        <v>59945.2</v>
      </c>
      <c r="G20" s="18" t="n">
        <v>61791.1</v>
      </c>
      <c r="H20" s="18" t="n">
        <v>62061.6</v>
      </c>
      <c r="I20" s="18" t="n">
        <v>59502.6</v>
      </c>
      <c r="J20" s="18" t="n">
        <v>81373.8</v>
      </c>
      <c r="K20" s="18" t="n">
        <v>134373.6</v>
      </c>
      <c r="L20" s="18" t="n">
        <v>134625.5</v>
      </c>
      <c r="M20" s="18" t="n">
        <v>133403.6</v>
      </c>
      <c r="N20" s="18" t="n">
        <v>135569</v>
      </c>
      <c r="O20" s="18" t="n">
        <v>222900.3</v>
      </c>
      <c r="P20" s="18" t="n">
        <v>382786.1</v>
      </c>
      <c r="Q20" s="18" t="n">
        <v>570107.5</v>
      </c>
      <c r="R20" s="18" t="n">
        <v>776242.2</v>
      </c>
      <c r="S20" s="18" t="n">
        <v>1264739.6</v>
      </c>
      <c r="T20" s="18" t="n">
        <v>1451842.6</v>
      </c>
      <c r="U20" s="18" t="n">
        <v>1754754.8</v>
      </c>
      <c r="V20" s="18" t="n">
        <v>2148500.4</v>
      </c>
      <c r="W20" s="18" t="n">
        <v>2264929.3</v>
      </c>
      <c r="X20" s="18" t="n">
        <v>2443327.6</v>
      </c>
      <c r="Y20" s="18" t="n">
        <v>2387077.5</v>
      </c>
      <c r="Z20" s="18" t="n">
        <v>2369893.4</v>
      </c>
      <c r="AA20" s="18" t="n">
        <v>2302684.6</v>
      </c>
      <c r="AB20" s="18" t="n">
        <v>2302684.6</v>
      </c>
      <c r="AC20" s="18" t="n">
        <v>1995482.8</v>
      </c>
      <c r="AD20" s="18" t="n">
        <v>1851914.4</v>
      </c>
      <c r="AE20" s="18" t="n">
        <v>1789333.1</v>
      </c>
      <c r="AF20" s="18" t="n">
        <v>1538025.8</v>
      </c>
      <c r="AG20" s="18" t="n">
        <v>1079360.8</v>
      </c>
      <c r="AH20" s="18" t="n">
        <v>841835</v>
      </c>
      <c r="AI20" s="18" t="n">
        <v>618147</v>
      </c>
      <c r="AJ20" s="18" t="n">
        <v>370965.9</v>
      </c>
      <c r="AK20" s="18" t="n">
        <v>263953.6</v>
      </c>
      <c r="AL20" s="18" t="n">
        <v>252452.7</v>
      </c>
      <c r="AM20" s="18" t="n">
        <v>52709.9</v>
      </c>
      <c r="AN20" s="18" t="n">
        <v>188345.4</v>
      </c>
      <c r="AO20" s="18" t="n">
        <v>409875.5</v>
      </c>
      <c r="AP20" s="18" t="n">
        <v>874659</v>
      </c>
      <c r="AQ20" s="18" t="n">
        <v>4062931.9</v>
      </c>
      <c r="AR20" s="18" t="n">
        <v>8611512.1</v>
      </c>
      <c r="AS20" s="18" t="n">
        <v>9362340.1</v>
      </c>
      <c r="AT20" s="18" t="n">
        <v>7174756.1</v>
      </c>
      <c r="AU20" s="18" t="n">
        <v>2910308.7</v>
      </c>
      <c r="AV20" s="18" t="n">
        <v>569116.2</v>
      </c>
    </row>
    <row r="21">
      <c r="A21" s="12" t="inlineStr">
        <is>
          <t>marine_hedged_krw_m_signed_by_origin</t>
        </is>
      </c>
      <c r="D21" t="inlineStr">
        <is>
          <t>해양 원화 — origin 분기말까지 체결분(백만원)</t>
        </is>
      </c>
      <c r="E21" s="18" t="n">
        <v>4547.5</v>
      </c>
      <c r="F21" s="18" t="n">
        <v>59945.2</v>
      </c>
      <c r="G21" s="18" t="n">
        <v>61791.1</v>
      </c>
      <c r="H21" s="18" t="n">
        <v>62061.6</v>
      </c>
      <c r="I21" s="18" t="n">
        <v>59502.6</v>
      </c>
      <c r="J21" s="18" t="n">
        <v>81373.8</v>
      </c>
      <c r="K21" s="18" t="n">
        <v>134373.6</v>
      </c>
      <c r="L21" s="18" t="n">
        <v>134625.5</v>
      </c>
      <c r="M21" s="18" t="n">
        <v>133403.6</v>
      </c>
      <c r="N21" s="18" t="n">
        <v>135569</v>
      </c>
      <c r="O21" s="18" t="n">
        <v>222900.3</v>
      </c>
      <c r="P21" s="18" t="n">
        <v>382786.1</v>
      </c>
      <c r="Q21" s="18" t="n">
        <v>570107.5</v>
      </c>
      <c r="R21" s="18" t="n">
        <v>776242.2</v>
      </c>
      <c r="S21" s="18" t="n">
        <v>1264739.6</v>
      </c>
      <c r="T21" s="18" t="n">
        <v>1451842.6</v>
      </c>
      <c r="U21" s="18" t="n">
        <v>1754754.8</v>
      </c>
      <c r="V21" s="18" t="n">
        <v>2148500.4</v>
      </c>
      <c r="W21" s="18" t="n">
        <v>2160295.9</v>
      </c>
      <c r="X21" s="18" t="n">
        <v>2127637.2</v>
      </c>
      <c r="Y21" s="18" t="n">
        <v>2078077</v>
      </c>
      <c r="Z21" s="18" t="n">
        <v>2057459.6</v>
      </c>
      <c r="AA21" s="18" t="n">
        <v>1986817.5</v>
      </c>
      <c r="AB21" s="18" t="n">
        <v>1986817.5</v>
      </c>
      <c r="AC21" s="18" t="n">
        <v>1683049</v>
      </c>
      <c r="AD21" s="18" t="n">
        <v>1539480.7</v>
      </c>
      <c r="AE21" s="18" t="n">
        <v>1473466</v>
      </c>
      <c r="AF21" s="18" t="n">
        <v>1224207.8</v>
      </c>
      <c r="AG21" s="18" t="n">
        <v>816465.6</v>
      </c>
      <c r="AH21" s="18" t="n">
        <v>609050.2</v>
      </c>
      <c r="AI21" s="18" t="n">
        <v>469595.7</v>
      </c>
      <c r="AJ21" s="18" t="n">
        <v>348706.4</v>
      </c>
      <c r="AK21" s="18" t="n">
        <v>249678.5</v>
      </c>
      <c r="AL21" s="18" t="n">
        <v>252452.7</v>
      </c>
      <c r="AM21" s="18" t="n">
        <v>52709.9</v>
      </c>
    </row>
    <row r="22">
      <c r="A22" s="12" t="inlineStr">
        <is>
          <t>marine_hedged_krw_m_post_origin</t>
        </is>
      </c>
      <c r="D22" t="inlineStr">
        <is>
          <t>해양 원화 — origin 이후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0</v>
      </c>
      <c r="M22" s="18" t="n">
        <v>0</v>
      </c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 t="n">
        <v>104633.4</v>
      </c>
      <c r="X22" s="18" t="n">
        <v>315690.4</v>
      </c>
      <c r="Y22" s="18" t="n">
        <v>309000.4</v>
      </c>
      <c r="Z22" s="18" t="n">
        <v>312433.8</v>
      </c>
      <c r="AA22" s="18" t="n">
        <v>315867.1</v>
      </c>
      <c r="AB22" s="18" t="n">
        <v>315867.1</v>
      </c>
      <c r="AC22" s="18" t="n">
        <v>312433.8</v>
      </c>
      <c r="AD22" s="18" t="n">
        <v>312433.8</v>
      </c>
      <c r="AE22" s="18" t="n">
        <v>315867.1</v>
      </c>
      <c r="AF22" s="18" t="n">
        <v>313818</v>
      </c>
      <c r="AG22" s="18" t="n">
        <v>262895.2</v>
      </c>
      <c r="AH22" s="18" t="n">
        <v>232784.8</v>
      </c>
      <c r="AI22" s="18" t="n">
        <v>148551.3</v>
      </c>
      <c r="AJ22" s="18" t="n">
        <v>22259.5</v>
      </c>
      <c r="AK22" s="18" t="n">
        <v>14275.1</v>
      </c>
      <c r="AL22" s="18" t="n">
        <v>0</v>
      </c>
      <c r="AM22" s="18" t="n">
        <v>0</v>
      </c>
    </row>
    <row r="23">
      <c r="A23" s="12" t="inlineStr">
        <is>
          <t>target_opm</t>
        </is>
      </c>
      <c r="D23" t="inlineStr">
        <is>
          <t>타겟 OPM(코호트)</t>
        </is>
      </c>
      <c r="E23" s="21" t="n">
        <v>0.108</v>
      </c>
      <c r="F23" s="21" t="n">
        <v>0.108</v>
      </c>
      <c r="G23" s="21" t="n">
        <v>0.108</v>
      </c>
      <c r="H23" s="21" t="n">
        <v>0.108</v>
      </c>
      <c r="I23" s="21" t="n">
        <v>0.108</v>
      </c>
      <c r="J23" s="21" t="n">
        <v>0.108</v>
      </c>
      <c r="K23" s="21" t="n">
        <v>0.108</v>
      </c>
      <c r="L23" s="21" t="n">
        <v>0.108</v>
      </c>
      <c r="M23" s="21" t="n">
        <v>0.108</v>
      </c>
      <c r="N23" s="21" t="n">
        <v>0.108</v>
      </c>
      <c r="O23" s="21" t="n">
        <v>0.108</v>
      </c>
      <c r="P23" s="21" t="n">
        <v>0.108</v>
      </c>
      <c r="Q23" s="21" t="n">
        <v>0.108</v>
      </c>
      <c r="R23" s="21" t="n">
        <v>0.108</v>
      </c>
      <c r="S23" s="21" t="n">
        <v>0.108</v>
      </c>
      <c r="T23" s="21" t="n">
        <v>0.108</v>
      </c>
      <c r="U23" s="21" t="n">
        <v>0.108</v>
      </c>
      <c r="V23" s="21" t="n">
        <v>0.108</v>
      </c>
      <c r="W23" s="21" t="n">
        <v>0.108</v>
      </c>
      <c r="X23" s="21" t="n">
        <v>0.108</v>
      </c>
      <c r="Y23" s="21" t="n">
        <v>0.108</v>
      </c>
      <c r="Z23" s="21" t="n">
        <v>0.108</v>
      </c>
      <c r="AA23" s="21" t="n">
        <v>0.108</v>
      </c>
      <c r="AB23" s="21" t="n">
        <v>0.108</v>
      </c>
      <c r="AC23" s="21" t="n">
        <v>0.108</v>
      </c>
      <c r="AD23" s="21" t="n">
        <v>0.108</v>
      </c>
      <c r="AE23" s="21" t="n">
        <v>0.108</v>
      </c>
      <c r="AF23" s="21" t="n">
        <v>0.108</v>
      </c>
      <c r="AG23" s="21" t="n">
        <v>0.108</v>
      </c>
      <c r="AH23" s="21" t="n">
        <v>0.108</v>
      </c>
      <c r="AI23" s="21" t="n">
        <v>0.108</v>
      </c>
      <c r="AJ23" s="21" t="n">
        <v>0.108</v>
      </c>
      <c r="AK23" s="21" t="n">
        <v>0.108</v>
      </c>
      <c r="AL23" s="21" t="n">
        <v>0.108</v>
      </c>
      <c r="AM23" s="21" t="n">
        <v>0.108</v>
      </c>
    </row>
    <row r="25">
      <c r="A25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5" s="2" t="inlineStr">
        <is>
          <t>subQ 매출조선 = 합계/100 + 변수 잔고 소진 + 매출조선신규</t>
        </is>
      </c>
    </row>
    <row r="26">
      <c r="A26" s="12" t="inlineStr">
        <is>
          <t>헤지비율</t>
        </is>
      </c>
      <c r="D26" s="21">
        <f>변수!$D$61</f>
        <v/>
      </c>
      <c r="E26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27">
      <c r="A27" s="12" t="inlineStr">
        <is>
          <t>헤지환율 방식</t>
        </is>
      </c>
      <c r="D27" t="inlineStr">
        <is>
          <t>계약별 수주시점 환율(fx_at_sign)</t>
        </is>
      </c>
    </row>
    <row r="28">
      <c r="A28" s="12" t="inlineStr">
        <is>
          <t>spot_krw</t>
        </is>
      </c>
      <c r="D28" t="inlineStr">
        <is>
          <t>건조시점 원/달러(평균) — 변수 환율 행 참조, 변수 범위 밖 분기는 sls spot_assumed</t>
        </is>
      </c>
      <c r="E28" s="13">
        <f>IFERROR(VLOOKUP(" 원/달러(평균)",환율,MATCH(E$1,변수H,0),0),1205.78)</f>
        <v/>
      </c>
      <c r="F28" s="13">
        <f>IFERROR(VLOOKUP(" 원/달러(평균)",환율,MATCH(F$1,변수H,0),0),1262.09)</f>
        <v/>
      </c>
      <c r="G28" s="13">
        <f>IFERROR(VLOOKUP(" 원/달러(평균)",환율,MATCH(G$1,변수H,0),0),1341.93)</f>
        <v/>
      </c>
      <c r="H28" s="13">
        <f>IFERROR(VLOOKUP(" 원/달러(평균)",환율,MATCH(H$1,변수H,0),0),1360.12)</f>
        <v/>
      </c>
      <c r="I28" s="13">
        <f>IFERROR(VLOOKUP(" 원/달러(평균)",환율,MATCH(I$1,변수H,0),0),1276.95)</f>
        <v/>
      </c>
      <c r="J28" s="13">
        <f>IFERROR(VLOOKUP(" 원/달러(평균)",환율,MATCH(J$1,변수H,0),0),1315.69)</f>
        <v/>
      </c>
      <c r="K28" s="13">
        <f>IFERROR(VLOOKUP(" 원/달러(평균)",환율,MATCH(K$1,변수H,0),0),1313.62)</f>
        <v/>
      </c>
      <c r="L28" s="13">
        <f>IFERROR(VLOOKUP(" 원/달러(평균)",환율,MATCH(L$1,변수H,0),0),1322.01)</f>
        <v/>
      </c>
      <c r="M28" s="13">
        <f>IFERROR(VLOOKUP(" 원/달러(평균)",환율,MATCH(M$1,변수H,0),0),1330.14)</f>
        <v/>
      </c>
      <c r="N28" s="13">
        <f>IFERROR(VLOOKUP(" 원/달러(평균)",환율,MATCH(N$1,변수H,0),0),1371.28)</f>
        <v/>
      </c>
      <c r="O28" s="13">
        <f>IFERROR(VLOOKUP(" 원/달러(평균)",환율,MATCH(O$1,변수H,0),0),1356.22)</f>
        <v/>
      </c>
      <c r="P28" s="13">
        <f>IFERROR(VLOOKUP(" 원/달러(평균)",환율,MATCH(P$1,변수H,0),0),1396.3)</f>
        <v/>
      </c>
      <c r="Q28" s="13">
        <f>IFERROR(VLOOKUP(" 원/달러(평균)",환율,MATCH(Q$1,변수H,0),0),1452.28)</f>
        <v/>
      </c>
      <c r="R28" s="13">
        <f>IFERROR(VLOOKUP(" 원/달러(평균)",환율,MATCH(R$1,변수H,0),0),1398.52)</f>
        <v/>
      </c>
      <c r="S28" s="13">
        <f>IFERROR(VLOOKUP(" 원/달러(평균)",환율,MATCH(S$1,변수H,0),0),1386.95)</f>
        <v/>
      </c>
      <c r="T28" s="13">
        <f>IFERROR(VLOOKUP(" 원/달러(평균)",환율,MATCH(T$1,변수H,0),0),1449.19)</f>
        <v/>
      </c>
      <c r="U28" s="13">
        <f>IFERROR(VLOOKUP(" 원/달러(평균)",환율,MATCH(U$1,변수H,0),0),1466.12)</f>
        <v/>
      </c>
      <c r="V28" s="13">
        <f>IFERROR(VLOOKUP(" 원/달러(평균)",환율,MATCH(V$1,변수H,0),0),1501.75)</f>
        <v/>
      </c>
      <c r="W28" s="13">
        <f>IFERROR(VLOOKUP(" 원/달러(평균)",환율,MATCH(W$1,변수H,0),0),1418.75)</f>
        <v/>
      </c>
      <c r="X28" s="13">
        <f>IFERROR(VLOOKUP(" 원/달러(평균)",환율,MATCH(X$1,변수H,0),0),1346.2)</f>
        <v/>
      </c>
      <c r="Y28" s="13">
        <f>IFERROR(VLOOKUP(" 원/달러(평균)",환율,MATCH(Y$1,변수H,0),0),1338.69)</f>
        <v/>
      </c>
      <c r="Z28" s="13">
        <f>IFERROR(VLOOKUP(" 원/달러(평균)",환율,MATCH(Z$1,변수H,0),0),1338.69)</f>
        <v/>
      </c>
      <c r="AA28" s="13">
        <f>IFERROR(VLOOKUP(" 원/달러(평균)",환율,MATCH(AA$1,변수H,0),0),1338.69)</f>
        <v/>
      </c>
      <c r="AB28" s="13">
        <f>IFERROR(VLOOKUP(" 원/달러(평균)",환율,MATCH(AB$1,변수H,0),0),1338.69)</f>
        <v/>
      </c>
      <c r="AC28" s="13">
        <f>IFERROR(VLOOKUP(" 원/달러(평균)",환율,MATCH(AC$1,변수H,0),0),1338.69)</f>
        <v/>
      </c>
      <c r="AD28" s="13">
        <f>IFERROR(VLOOKUP(" 원/달러(평균)",환율,MATCH(AD$1,변수H,0),0),1338.69)</f>
        <v/>
      </c>
      <c r="AE28" s="13">
        <f>IFERROR(VLOOKUP(" 원/달러(평균)",환율,MATCH(AE$1,변수H,0),0),1338.69)</f>
        <v/>
      </c>
      <c r="AF28" s="13">
        <f>IFERROR(VLOOKUP(" 원/달러(평균)",환율,MATCH(AF$1,변수H,0),0),1338.69)</f>
        <v/>
      </c>
      <c r="AG28" s="13">
        <f>IFERROR(VLOOKUP(" 원/달러(평균)",환율,MATCH(AG$1,변수H,0),0),1338.69)</f>
        <v/>
      </c>
      <c r="AH28" s="13">
        <f>IFERROR(VLOOKUP(" 원/달러(평균)",환율,MATCH(AH$1,변수H,0),0),1338.69)</f>
        <v/>
      </c>
      <c r="AI28" s="13">
        <f>IFERROR(VLOOKUP(" 원/달러(평균)",환율,MATCH(AI$1,변수H,0),0),1338.69)</f>
        <v/>
      </c>
      <c r="AJ28" s="13">
        <f>IFERROR(VLOOKUP(" 원/달러(평균)",환율,MATCH(AJ$1,변수H,0),0),1338.69)</f>
        <v/>
      </c>
      <c r="AK28" s="13">
        <f>IFERROR(VLOOKUP(" 원/달러(평균)",환율,MATCH(AK$1,변수H,0),0),1338.69)</f>
        <v/>
      </c>
      <c r="AL28" s="13">
        <f>IFERROR(VLOOKUP(" 원/달러(평균)",환율,MATCH(AL$1,변수H,0),0),1338.69)</f>
        <v/>
      </c>
      <c r="AM28" s="13">
        <f>IFERROR(VLOOKUP(" 원/달러(평균)",환율,MATCH(AM$1,변수H,0),0),1338.69)</f>
        <v/>
      </c>
    </row>
    <row r="29">
      <c r="A29" s="12" t="inlineStr">
        <is>
          <t>after_origin</t>
        </is>
      </c>
      <c r="D29" t="inlineStr">
        <is>
          <t>origin(2026Q2) 이후 분기 = 1 (잔고 캡 배율 적용 구간)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</v>
      </c>
      <c r="X29" t="n">
        <v>1</v>
      </c>
      <c r="Y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E29" t="n">
        <v>1</v>
      </c>
      <c r="AF29" t="n">
        <v>1</v>
      </c>
      <c r="AG29" t="n">
        <v>1</v>
      </c>
      <c r="AH29" t="n">
        <v>1</v>
      </c>
      <c r="AI29" t="n">
        <v>1</v>
      </c>
      <c r="AJ29" t="n">
        <v>1</v>
      </c>
      <c r="AK29" t="n">
        <v>1</v>
      </c>
      <c r="AL29" t="n">
        <v>1</v>
      </c>
      <c r="AM29" t="n">
        <v>1</v>
      </c>
    </row>
    <row r="31">
      <c r="A31" s="1" t="inlineStr">
        <is>
          <t>① 계약별 매출인식 스케줄(백만$, sls 저장값)</t>
        </is>
      </c>
      <c r="B31" s="1" t="inlineStr">
        <is>
          <t>type</t>
        </is>
      </c>
      <c r="C31" s="1" t="inlineStr">
        <is>
          <t>ships</t>
        </is>
      </c>
      <c r="D31" s="1" t="inlineStr">
        <is>
          <t>name</t>
        </is>
      </c>
      <c r="AX31" s="1" t="inlineStr">
        <is>
          <t>포함(1/0)</t>
        </is>
      </c>
      <c r="AY31" s="1" t="inlineStr">
        <is>
          <t>헤지환율</t>
        </is>
      </c>
      <c r="AZ31" s="1" t="inlineStr">
        <is>
          <t>캡배율</t>
        </is>
      </c>
      <c r="BA31" s="1" t="inlineStr">
        <is>
          <t>체결일</t>
        </is>
      </c>
      <c r="BB31" s="1" t="inlineStr">
        <is>
          <t>origin이내</t>
        </is>
      </c>
      <c r="BC31" s="1" t="inlineStr">
        <is>
          <t>코호트</t>
        </is>
      </c>
      <c r="BD31" s="1" t="inlineStr">
        <is>
          <t>계약액(백만$)</t>
        </is>
      </c>
      <c r="BE31" s="1" t="inlineStr">
        <is>
          <t>종료</t>
        </is>
      </c>
    </row>
    <row r="32">
      <c r="A32" t="inlineStr">
        <is>
          <t>20240701800160</t>
        </is>
      </c>
      <c r="B32" t="inlineStr">
        <is>
          <t>LNGC</t>
        </is>
      </c>
      <c r="C32" t="n">
        <v>4</v>
      </c>
      <c r="D32" t="inlineStr">
        <is>
          <t>LNG 운반선 4척</t>
        </is>
      </c>
      <c r="N32" s="26" t="n">
        <v>0.6879999999999999</v>
      </c>
      <c r="O32" s="26" t="n">
        <v>63.309</v>
      </c>
      <c r="P32" s="26" t="n">
        <v>63.309</v>
      </c>
      <c r="Q32" s="26" t="n">
        <v>61.933</v>
      </c>
      <c r="R32" s="26" t="n">
        <v>62.621</v>
      </c>
      <c r="S32" s="26" t="n">
        <v>63.309</v>
      </c>
      <c r="T32" s="26" t="n">
        <v>63.309</v>
      </c>
      <c r="U32" s="26" t="n">
        <v>61.933</v>
      </c>
      <c r="V32" s="26" t="n">
        <v>62.621</v>
      </c>
      <c r="W32" s="26" t="n">
        <v>63.309</v>
      </c>
      <c r="X32" s="26" t="n">
        <v>63.309</v>
      </c>
      <c r="Y32" s="26" t="n">
        <v>61.933</v>
      </c>
      <c r="Z32" s="26" t="n">
        <v>62.621</v>
      </c>
      <c r="AA32" s="26" t="n">
        <v>63.309</v>
      </c>
      <c r="AB32" s="26" t="n">
        <v>63.309</v>
      </c>
      <c r="AC32" s="26" t="n">
        <v>62.621</v>
      </c>
      <c r="AD32" s="26" t="n">
        <v>62.621</v>
      </c>
      <c r="AE32" s="26" t="n">
        <v>42.664</v>
      </c>
      <c r="AX32" s="35" t="n">
        <v>1</v>
      </c>
      <c r="AY32" s="16" t="n">
        <v>1371.28</v>
      </c>
      <c r="AZ32" s="42" t="n">
        <v>1</v>
      </c>
      <c r="BA32" t="inlineStr">
        <is>
          <t>2024-06-30</t>
        </is>
      </c>
      <c r="BB32" t="n">
        <v>1</v>
      </c>
      <c r="BC32" t="inlineStr">
        <is>
          <t>⑤초호황</t>
        </is>
      </c>
      <c r="BD32" s="26" t="n">
        <v>1048.728</v>
      </c>
      <c r="BE32" t="inlineStr">
        <is>
          <t>2028-08-31</t>
        </is>
      </c>
    </row>
    <row r="33">
      <c r="A33" t="inlineStr">
        <is>
          <t>20241002800072</t>
        </is>
      </c>
      <c r="B33" t="inlineStr">
        <is>
          <t>LNGC</t>
        </is>
      </c>
      <c r="C33" t="n">
        <v>2</v>
      </c>
      <c r="D33" t="inlineStr">
        <is>
          <t>LNG 운반선 2척</t>
        </is>
      </c>
      <c r="O33" s="26" t="n">
        <v>0.53</v>
      </c>
      <c r="P33" s="26" t="n">
        <v>48.794</v>
      </c>
      <c r="Q33" s="26" t="n">
        <v>47.733</v>
      </c>
      <c r="R33" s="26" t="n">
        <v>48.264</v>
      </c>
      <c r="S33" s="26" t="n">
        <v>48.794</v>
      </c>
      <c r="T33" s="26" t="n">
        <v>48.794</v>
      </c>
      <c r="U33" s="26" t="n">
        <v>47.733</v>
      </c>
      <c r="V33" s="26" t="n">
        <v>48.264</v>
      </c>
      <c r="W33" s="26" t="n">
        <v>48.794</v>
      </c>
      <c r="X33" s="26" t="n">
        <v>48.794</v>
      </c>
      <c r="Y33" s="26" t="n">
        <v>47.733</v>
      </c>
      <c r="Z33" s="26" t="n">
        <v>15.913</v>
      </c>
      <c r="AX33" s="35" t="n">
        <v>1</v>
      </c>
      <c r="AY33" s="16" t="n">
        <v>1356.22</v>
      </c>
      <c r="AZ33" s="42" t="n">
        <v>1</v>
      </c>
      <c r="BA33" t="inlineStr">
        <is>
          <t>2024-09-30</t>
        </is>
      </c>
      <c r="BB33" t="n">
        <v>1</v>
      </c>
      <c r="BC33" t="inlineStr">
        <is>
          <t>⑤초호황</t>
        </is>
      </c>
      <c r="BD33" s="26" t="n">
        <v>500.14</v>
      </c>
      <c r="BE33" t="inlineStr">
        <is>
          <t>2027-04-30</t>
        </is>
      </c>
    </row>
    <row r="34">
      <c r="A34" t="inlineStr">
        <is>
          <t>20241031800038</t>
        </is>
      </c>
      <c r="B34" t="inlineStr">
        <is>
          <t>LNGC</t>
        </is>
      </c>
      <c r="C34" t="n">
        <v>1</v>
      </c>
      <c r="D34" t="inlineStr">
        <is>
          <t>LNG 운반선 1척</t>
        </is>
      </c>
      <c r="P34" s="26" t="n">
        <v>16.593</v>
      </c>
      <c r="Q34" s="26" t="n">
        <v>23.704</v>
      </c>
      <c r="R34" s="26" t="n">
        <v>23.968</v>
      </c>
      <c r="S34" s="26" t="n">
        <v>24.231</v>
      </c>
      <c r="T34" s="26" t="n">
        <v>24.231</v>
      </c>
      <c r="U34" s="26" t="n">
        <v>23.704</v>
      </c>
      <c r="V34" s="26" t="n">
        <v>23.968</v>
      </c>
      <c r="W34" s="26" t="n">
        <v>24.231</v>
      </c>
      <c r="X34" s="26" t="n">
        <v>24.231</v>
      </c>
      <c r="Y34" s="26" t="n">
        <v>23.704</v>
      </c>
      <c r="Z34" s="26" t="n">
        <v>23.97</v>
      </c>
      <c r="AX34" s="35" t="n">
        <v>1</v>
      </c>
      <c r="AY34" s="16" t="n">
        <v>1396.3</v>
      </c>
      <c r="AZ34" s="42" t="n">
        <v>1</v>
      </c>
      <c r="BA34" t="inlineStr">
        <is>
          <t>2024-10-30</t>
        </is>
      </c>
      <c r="BB34" t="n">
        <v>1</v>
      </c>
      <c r="BC34" t="inlineStr">
        <is>
          <t>⑤초호황</t>
        </is>
      </c>
      <c r="BD34" s="26" t="n">
        <v>256.535</v>
      </c>
      <c r="BE34" t="inlineStr">
        <is>
          <t>2027-06-30</t>
        </is>
      </c>
    </row>
    <row r="35">
      <c r="A35" t="inlineStr">
        <is>
          <t>20241101800164</t>
        </is>
      </c>
      <c r="B35" t="inlineStr">
        <is>
          <t>VLCC</t>
        </is>
      </c>
      <c r="C35" t="n">
        <v>4</v>
      </c>
      <c r="D35" t="inlineStr">
        <is>
          <t>유조선 4척</t>
        </is>
      </c>
      <c r="P35" s="26" t="n">
        <v>17.627</v>
      </c>
      <c r="Q35" s="26" t="n">
        <v>25.587</v>
      </c>
      <c r="R35" s="26" t="n">
        <v>25.872</v>
      </c>
      <c r="S35" s="26" t="n">
        <v>26.156</v>
      </c>
      <c r="T35" s="26" t="n">
        <v>26.156</v>
      </c>
      <c r="U35" s="26" t="n">
        <v>25.587</v>
      </c>
      <c r="V35" s="26" t="n">
        <v>25.872</v>
      </c>
      <c r="W35" s="26" t="n">
        <v>26.156</v>
      </c>
      <c r="X35" s="26" t="n">
        <v>26.156</v>
      </c>
      <c r="Y35" s="26" t="n">
        <v>25.587</v>
      </c>
      <c r="Z35" s="26" t="n">
        <v>25.872</v>
      </c>
      <c r="AA35" s="26" t="n">
        <v>26.156</v>
      </c>
      <c r="AB35" s="26" t="n">
        <v>26.157</v>
      </c>
      <c r="AX35" s="35" t="n">
        <v>1</v>
      </c>
      <c r="AY35" s="16" t="n">
        <v>1396.3</v>
      </c>
      <c r="AZ35" s="42" t="n">
        <v>1</v>
      </c>
      <c r="BA35" t="inlineStr">
        <is>
          <t>2024-10-31</t>
        </is>
      </c>
      <c r="BB35" t="n">
        <v>1</v>
      </c>
      <c r="BC35" t="inlineStr">
        <is>
          <t>⑤초호황</t>
        </is>
      </c>
      <c r="BD35" s="26" t="n">
        <v>328.941</v>
      </c>
      <c r="BE35" t="inlineStr">
        <is>
          <t>2027-12-31</t>
        </is>
      </c>
    </row>
    <row r="36">
      <c r="A36" t="inlineStr">
        <is>
          <t>20241125800093</t>
        </is>
      </c>
      <c r="B36" t="inlineStr">
        <is>
          <t>CONT</t>
        </is>
      </c>
      <c r="C36" t="n">
        <v>4</v>
      </c>
      <c r="D36" t="inlineStr">
        <is>
          <t>컨테이너선 4척</t>
        </is>
      </c>
      <c r="P36" s="26" t="n">
        <v>27.726</v>
      </c>
      <c r="Q36" s="26" t="n">
        <v>62.383</v>
      </c>
      <c r="R36" s="26" t="n">
        <v>63.076</v>
      </c>
      <c r="S36" s="26" t="n">
        <v>63.77</v>
      </c>
      <c r="T36" s="26" t="n">
        <v>63.77</v>
      </c>
      <c r="U36" s="26" t="n">
        <v>62.383</v>
      </c>
      <c r="V36" s="26" t="n">
        <v>63.076</v>
      </c>
      <c r="W36" s="26" t="n">
        <v>63.77</v>
      </c>
      <c r="X36" s="26" t="n">
        <v>63.77</v>
      </c>
      <c r="Y36" s="26" t="n">
        <v>62.383</v>
      </c>
      <c r="Z36" s="26" t="n">
        <v>63.076</v>
      </c>
      <c r="AA36" s="26" t="n">
        <v>63.77</v>
      </c>
      <c r="AB36" s="26" t="n">
        <v>63.769</v>
      </c>
      <c r="AX36" s="35" t="n">
        <v>1</v>
      </c>
      <c r="AY36" s="16" t="n">
        <v>1396.3</v>
      </c>
      <c r="AZ36" s="42" t="n">
        <v>1</v>
      </c>
      <c r="BA36" t="inlineStr">
        <is>
          <t>2024-11-22</t>
        </is>
      </c>
      <c r="BB36" t="n">
        <v>1</v>
      </c>
      <c r="BC36" t="inlineStr">
        <is>
          <t>⑤초호황</t>
        </is>
      </c>
      <c r="BD36" s="26" t="n">
        <v>786.722</v>
      </c>
      <c r="BE36" t="inlineStr">
        <is>
          <t>2027-12-31</t>
        </is>
      </c>
    </row>
    <row r="37">
      <c r="A37" t="inlineStr">
        <is>
          <t>20241230800259</t>
        </is>
      </c>
      <c r="B37" t="inlineStr">
        <is>
          <t>OTHER</t>
        </is>
      </c>
      <c r="D37" t="inlineStr">
        <is>
          <t>[P3 Ph3]FAB동 마감공사</t>
        </is>
      </c>
      <c r="F37" s="26" t="n">
        <v>25.052</v>
      </c>
      <c r="G37" s="26" t="n">
        <v>32.925</v>
      </c>
      <c r="H37" s="26" t="n">
        <v>32.925</v>
      </c>
      <c r="I37" s="26" t="n">
        <v>32.209</v>
      </c>
      <c r="J37" s="26" t="n">
        <v>32.567</v>
      </c>
      <c r="K37" s="26" t="n">
        <v>32.925</v>
      </c>
      <c r="L37" s="26" t="n">
        <v>32.925</v>
      </c>
      <c r="M37" s="26" t="n">
        <v>32.567</v>
      </c>
      <c r="N37" s="26" t="n">
        <v>32.567</v>
      </c>
      <c r="O37" s="26" t="n">
        <v>32.925</v>
      </c>
      <c r="P37" s="26" t="n">
        <v>32.925</v>
      </c>
      <c r="Q37" s="26" t="n">
        <v>32.211</v>
      </c>
      <c r="AX37" s="35" t="n">
        <v>0</v>
      </c>
      <c r="AY37" s="16" t="n">
        <v>1360.12</v>
      </c>
      <c r="AZ37" s="42" t="n">
        <v>1</v>
      </c>
      <c r="BA37" t="inlineStr">
        <is>
          <t>2022-11-28</t>
        </is>
      </c>
      <c r="BB37" t="n">
        <v>1</v>
      </c>
      <c r="BD37" s="26" t="n">
        <v>384.723</v>
      </c>
      <c r="BE37" t="inlineStr">
        <is>
          <t>2025-03-31</t>
        </is>
      </c>
    </row>
    <row r="38">
      <c r="A38" t="inlineStr">
        <is>
          <t>20241230800261</t>
        </is>
      </c>
      <c r="B38" t="inlineStr">
        <is>
          <t>OTHER</t>
        </is>
      </c>
      <c r="D38" t="inlineStr">
        <is>
          <t>[P3 Ph4]FAB동 마감공사</t>
        </is>
      </c>
      <c r="H38" s="26" t="n">
        <v>19.457</v>
      </c>
      <c r="I38" s="26" t="n">
        <v>37.258</v>
      </c>
      <c r="J38" s="26" t="n">
        <v>37.672</v>
      </c>
      <c r="K38" s="26" t="n">
        <v>38.086</v>
      </c>
      <c r="L38" s="26" t="n">
        <v>38.086</v>
      </c>
      <c r="M38" s="26" t="n">
        <v>37.672</v>
      </c>
      <c r="N38" s="26" t="n">
        <v>37.672</v>
      </c>
      <c r="O38" s="26" t="n">
        <v>38.086</v>
      </c>
      <c r="P38" s="26" t="n">
        <v>38.086</v>
      </c>
      <c r="Q38" s="26" t="n">
        <v>37.254</v>
      </c>
      <c r="AX38" s="35" t="n">
        <v>0</v>
      </c>
      <c r="AY38" s="16" t="n">
        <v>1360.12</v>
      </c>
      <c r="AZ38" s="42" t="n">
        <v>1</v>
      </c>
      <c r="BA38" t="inlineStr">
        <is>
          <t>2022-11-10</t>
        </is>
      </c>
      <c r="BB38" t="n">
        <v>1</v>
      </c>
      <c r="BD38" s="26" t="n">
        <v>359.329</v>
      </c>
      <c r="BE38" t="inlineStr">
        <is>
          <t>2025-03-31</t>
        </is>
      </c>
    </row>
    <row r="39">
      <c r="A39" t="inlineStr">
        <is>
          <t>20250120800318</t>
        </is>
      </c>
      <c r="B39" t="inlineStr">
        <is>
          <t>LNGC</t>
        </is>
      </c>
      <c r="C39" t="n">
        <v>1</v>
      </c>
      <c r="D39" t="inlineStr">
        <is>
          <t>LNG 운반선 1척</t>
        </is>
      </c>
      <c r="Q39" s="26" t="n">
        <v>21.611</v>
      </c>
      <c r="R39" s="26" t="n">
        <v>26.576</v>
      </c>
      <c r="S39" s="26" t="n">
        <v>26.868</v>
      </c>
      <c r="T39" s="26" t="n">
        <v>26.868</v>
      </c>
      <c r="U39" s="26" t="n">
        <v>26.284</v>
      </c>
      <c r="V39" s="26" t="n">
        <v>26.576</v>
      </c>
      <c r="W39" s="26" t="n">
        <v>26.868</v>
      </c>
      <c r="X39" s="26" t="n">
        <v>26.868</v>
      </c>
      <c r="Y39" s="26" t="n">
        <v>26.284</v>
      </c>
      <c r="Z39" s="26" t="n">
        <v>26.579</v>
      </c>
      <c r="AX39" s="35" t="n">
        <v>1</v>
      </c>
      <c r="AY39" s="16" t="n">
        <v>1452.28</v>
      </c>
      <c r="AZ39" s="42" t="n">
        <v>1</v>
      </c>
      <c r="BA39" t="inlineStr">
        <is>
          <t>2025-01-17</t>
        </is>
      </c>
      <c r="BB39" t="n">
        <v>1</v>
      </c>
      <c r="BC39" t="inlineStr">
        <is>
          <t>⑤초호황</t>
        </is>
      </c>
      <c r="BD39" s="26" t="n">
        <v>261.382</v>
      </c>
      <c r="BE39" t="inlineStr">
        <is>
          <t>2027-06-30</t>
        </is>
      </c>
    </row>
    <row r="40">
      <c r="A40" t="inlineStr">
        <is>
          <t>20250123800869</t>
        </is>
      </c>
      <c r="B40" t="inlineStr">
        <is>
          <t>VLGC</t>
        </is>
      </c>
      <c r="C40" t="n">
        <v>3</v>
      </c>
      <c r="D40" t="inlineStr">
        <is>
          <t>에탄운반선 3척</t>
        </is>
      </c>
      <c r="P40" s="26" t="n">
        <v>3.855</v>
      </c>
      <c r="Q40" s="26" t="n">
        <v>43.372</v>
      </c>
      <c r="R40" s="26" t="n">
        <v>43.854</v>
      </c>
      <c r="S40" s="26" t="n">
        <v>44.336</v>
      </c>
      <c r="T40" s="26" t="n">
        <v>44.336</v>
      </c>
      <c r="U40" s="26" t="n">
        <v>43.372</v>
      </c>
      <c r="V40" s="26" t="n">
        <v>43.854</v>
      </c>
      <c r="W40" s="26" t="n">
        <v>44.336</v>
      </c>
      <c r="X40" s="26" t="n">
        <v>44.336</v>
      </c>
      <c r="Y40" s="26" t="n">
        <v>43.372</v>
      </c>
      <c r="Z40" s="26" t="n">
        <v>43.854</v>
      </c>
      <c r="AA40" s="26" t="n">
        <v>44.336</v>
      </c>
      <c r="AB40" s="26" t="n">
        <v>44.335</v>
      </c>
      <c r="AX40" s="35" t="n">
        <v>1</v>
      </c>
      <c r="AY40" s="16" t="n">
        <v>1396.3</v>
      </c>
      <c r="AZ40" s="42" t="n">
        <v>1</v>
      </c>
      <c r="BA40" t="inlineStr">
        <is>
          <t>2024-12-24</t>
        </is>
      </c>
      <c r="BB40" t="n">
        <v>1</v>
      </c>
      <c r="BC40" t="inlineStr">
        <is>
          <t>⑤초호황</t>
        </is>
      </c>
      <c r="BD40" s="26" t="n">
        <v>531.548</v>
      </c>
      <c r="BE40" t="inlineStr">
        <is>
          <t>2027-12-31</t>
        </is>
      </c>
    </row>
    <row r="41">
      <c r="A41" t="inlineStr">
        <is>
          <t>20250317800118</t>
        </is>
      </c>
      <c r="B41" t="inlineStr">
        <is>
          <t>VLCC</t>
        </is>
      </c>
      <c r="C41" t="n">
        <v>9</v>
      </c>
      <c r="D41" t="inlineStr">
        <is>
          <t>셔틀탱커 9척</t>
        </is>
      </c>
      <c r="Q41" s="26" t="n">
        <v>17.271</v>
      </c>
      <c r="R41" s="26" t="n">
        <v>87.31399999999999</v>
      </c>
      <c r="S41" s="26" t="n">
        <v>88.273</v>
      </c>
      <c r="T41" s="26" t="n">
        <v>88.273</v>
      </c>
      <c r="U41" s="26" t="n">
        <v>86.354</v>
      </c>
      <c r="V41" s="26" t="n">
        <v>87.31399999999999</v>
      </c>
      <c r="W41" s="26" t="n">
        <v>88.273</v>
      </c>
      <c r="X41" s="26" t="n">
        <v>88.273</v>
      </c>
      <c r="Y41" s="26" t="n">
        <v>86.354</v>
      </c>
      <c r="Z41" s="26" t="n">
        <v>87.31399999999999</v>
      </c>
      <c r="AA41" s="26" t="n">
        <v>88.273</v>
      </c>
      <c r="AB41" s="26" t="n">
        <v>88.273</v>
      </c>
      <c r="AC41" s="26" t="n">
        <v>87.31399999999999</v>
      </c>
      <c r="AD41" s="26" t="n">
        <v>87.31399999999999</v>
      </c>
      <c r="AE41" s="26" t="n">
        <v>88.273</v>
      </c>
      <c r="AF41" s="26" t="n">
        <v>88.27200000000001</v>
      </c>
      <c r="AX41" s="35" t="n">
        <v>1</v>
      </c>
      <c r="AY41" s="16" t="n">
        <v>1452.28</v>
      </c>
      <c r="AZ41" s="42" t="n">
        <v>1</v>
      </c>
      <c r="BA41" t="inlineStr">
        <is>
          <t>2025-03-14</t>
        </is>
      </c>
      <c r="BB41" t="n">
        <v>1</v>
      </c>
      <c r="BC41" t="inlineStr">
        <is>
          <t>⑤초호황</t>
        </is>
      </c>
      <c r="BD41" s="26" t="n">
        <v>1332.732</v>
      </c>
      <c r="BE41" t="inlineStr">
        <is>
          <t>2028-12-31</t>
        </is>
      </c>
    </row>
    <row r="42">
      <c r="A42" t="inlineStr">
        <is>
          <t>20250318800145</t>
        </is>
      </c>
      <c r="B42" t="inlineStr">
        <is>
          <t>VLGC</t>
        </is>
      </c>
      <c r="C42" t="n">
        <v>2</v>
      </c>
      <c r="D42" t="inlineStr">
        <is>
          <t>에탄운반선 2척</t>
        </is>
      </c>
      <c r="Q42" s="26" t="n">
        <v>4.458</v>
      </c>
      <c r="R42" s="26" t="n">
        <v>27.043</v>
      </c>
      <c r="S42" s="26" t="n">
        <v>27.34</v>
      </c>
      <c r="T42" s="26" t="n">
        <v>27.34</v>
      </c>
      <c r="U42" s="26" t="n">
        <v>26.745</v>
      </c>
      <c r="V42" s="26" t="n">
        <v>27.043</v>
      </c>
      <c r="W42" s="26" t="n">
        <v>27.34</v>
      </c>
      <c r="X42" s="26" t="n">
        <v>27.34</v>
      </c>
      <c r="Y42" s="26" t="n">
        <v>26.745</v>
      </c>
      <c r="Z42" s="26" t="n">
        <v>27.043</v>
      </c>
      <c r="AA42" s="26" t="n">
        <v>27.34</v>
      </c>
      <c r="AB42" s="26" t="n">
        <v>27.34</v>
      </c>
      <c r="AC42" s="26" t="n">
        <v>17.827</v>
      </c>
      <c r="AX42" s="35" t="n">
        <v>1</v>
      </c>
      <c r="AY42" s="16" t="n">
        <v>1452.28</v>
      </c>
      <c r="AZ42" s="42" t="n">
        <v>1</v>
      </c>
      <c r="BA42" t="inlineStr">
        <is>
          <t>2025-03-17</t>
        </is>
      </c>
      <c r="BB42" t="n">
        <v>1</v>
      </c>
      <c r="BC42" t="inlineStr">
        <is>
          <t>⑤초호황</t>
        </is>
      </c>
      <c r="BD42" s="26" t="n">
        <v>320.944</v>
      </c>
      <c r="BE42" t="inlineStr">
        <is>
          <t>2028-02-29</t>
        </is>
      </c>
    </row>
    <row r="43">
      <c r="A43" t="inlineStr">
        <is>
          <t>20250408800489</t>
        </is>
      </c>
      <c r="B43" t="inlineStr">
        <is>
          <t>VLCC</t>
        </is>
      </c>
      <c r="C43" t="n">
        <v>4</v>
      </c>
      <c r="D43" t="inlineStr">
        <is>
          <t>유조선 4척</t>
        </is>
      </c>
      <c r="R43" s="26" t="n">
        <v>21.275</v>
      </c>
      <c r="S43" s="26" t="n">
        <v>23.027</v>
      </c>
      <c r="T43" s="26" t="n">
        <v>23.027</v>
      </c>
      <c r="U43" s="26" t="n">
        <v>22.526</v>
      </c>
      <c r="V43" s="26" t="n">
        <v>22.776</v>
      </c>
      <c r="W43" s="26" t="n">
        <v>23.027</v>
      </c>
      <c r="X43" s="26" t="n">
        <v>23.027</v>
      </c>
      <c r="Y43" s="26" t="n">
        <v>22.526</v>
      </c>
      <c r="Z43" s="26" t="n">
        <v>22.776</v>
      </c>
      <c r="AA43" s="26" t="n">
        <v>23.027</v>
      </c>
      <c r="AB43" s="26" t="n">
        <v>23.027</v>
      </c>
      <c r="AC43" s="26" t="n">
        <v>22.776</v>
      </c>
      <c r="AD43" s="26" t="n">
        <v>22.776</v>
      </c>
      <c r="AE43" s="26" t="n">
        <v>23.027</v>
      </c>
      <c r="AF43" s="26" t="n">
        <v>23.027</v>
      </c>
      <c r="AX43" s="35" t="n">
        <v>1</v>
      </c>
      <c r="AY43" s="16" t="n">
        <v>1398.52</v>
      </c>
      <c r="AZ43" s="42" t="n">
        <v>1</v>
      </c>
      <c r="BA43" t="inlineStr">
        <is>
          <t>2025-04-07</t>
        </is>
      </c>
      <c r="BB43" t="n">
        <v>1</v>
      </c>
      <c r="BC43" t="inlineStr">
        <is>
          <t>⑤초호황</t>
        </is>
      </c>
      <c r="BD43" s="26" t="n">
        <v>341.647</v>
      </c>
      <c r="BE43" t="inlineStr">
        <is>
          <t>2028-12-31</t>
        </is>
      </c>
    </row>
    <row r="44">
      <c r="A44" t="inlineStr">
        <is>
          <t>20250425800546</t>
        </is>
      </c>
      <c r="B44" t="inlineStr">
        <is>
          <t>CONT</t>
        </is>
      </c>
      <c r="C44" t="n">
        <v>5</v>
      </c>
      <c r="D44" t="inlineStr">
        <is>
          <t>컨테이너선 5척</t>
        </is>
      </c>
      <c r="E44" s="26" t="n">
        <v>3.771</v>
      </c>
      <c r="F44" s="26" t="n">
        <v>49.028</v>
      </c>
      <c r="G44" s="26" t="n">
        <v>49.567</v>
      </c>
      <c r="H44" s="26" t="n">
        <v>49.567</v>
      </c>
      <c r="I44" s="26" t="n">
        <v>48.489</v>
      </c>
      <c r="J44" s="26" t="n">
        <v>49.028</v>
      </c>
      <c r="K44" s="26" t="n">
        <v>49.567</v>
      </c>
      <c r="L44" s="26" t="n">
        <v>49.567</v>
      </c>
      <c r="M44" s="26" t="n">
        <v>49.028</v>
      </c>
      <c r="N44" s="26" t="n">
        <v>49.028</v>
      </c>
      <c r="O44" s="26" t="n">
        <v>49.567</v>
      </c>
      <c r="P44" s="26" t="n">
        <v>49.567</v>
      </c>
      <c r="Q44" s="26" t="n">
        <v>48.489</v>
      </c>
      <c r="R44" s="26" t="n">
        <v>49.028</v>
      </c>
      <c r="S44" s="26" t="n">
        <v>23.166</v>
      </c>
      <c r="AX44" s="35" t="n">
        <v>1</v>
      </c>
      <c r="AY44" s="16" t="n">
        <v>1205.78</v>
      </c>
      <c r="AZ44" s="42" t="n">
        <v>1</v>
      </c>
      <c r="BA44" t="inlineStr">
        <is>
          <t>2022-03-25</t>
        </is>
      </c>
      <c r="BB44" t="n">
        <v>1</v>
      </c>
      <c r="BC44" t="inlineStr">
        <is>
          <t>⑤초호황</t>
        </is>
      </c>
      <c r="BD44" s="26" t="n">
        <v>666.457</v>
      </c>
      <c r="BE44" t="inlineStr">
        <is>
          <t>2025-08-12</t>
        </is>
      </c>
    </row>
    <row r="45">
      <c r="A45" t="inlineStr">
        <is>
          <t>20250428800076</t>
        </is>
      </c>
      <c r="B45" t="inlineStr">
        <is>
          <t>CONT</t>
        </is>
      </c>
      <c r="C45" t="n">
        <v>2</v>
      </c>
      <c r="D45" t="inlineStr">
        <is>
          <t>컨테이너선 2척</t>
        </is>
      </c>
      <c r="R45" s="26" t="n">
        <v>26.6</v>
      </c>
      <c r="S45" s="26" t="n">
        <v>36.526</v>
      </c>
      <c r="T45" s="26" t="n">
        <v>36.526</v>
      </c>
      <c r="U45" s="26" t="n">
        <v>35.732</v>
      </c>
      <c r="V45" s="26" t="n">
        <v>36.129</v>
      </c>
      <c r="W45" s="26" t="n">
        <v>36.526</v>
      </c>
      <c r="X45" s="26" t="n">
        <v>36.526</v>
      </c>
      <c r="Y45" s="26" t="n">
        <v>35.732</v>
      </c>
      <c r="Z45" s="26" t="n">
        <v>36.129</v>
      </c>
      <c r="AA45" s="26" t="n">
        <v>36.526</v>
      </c>
      <c r="AB45" s="26" t="n">
        <v>36.526</v>
      </c>
      <c r="AC45" s="26" t="n">
        <v>12.304</v>
      </c>
      <c r="AX45" s="35" t="n">
        <v>1</v>
      </c>
      <c r="AY45" s="16" t="n">
        <v>1398.52</v>
      </c>
      <c r="AZ45" s="42" t="n">
        <v>1</v>
      </c>
      <c r="BA45" t="inlineStr">
        <is>
          <t>2025-04-25</t>
        </is>
      </c>
      <c r="BB45" t="n">
        <v>1</v>
      </c>
      <c r="BC45" t="inlineStr">
        <is>
          <t>⑤초호황</t>
        </is>
      </c>
      <c r="BD45" s="26" t="n">
        <v>401.782</v>
      </c>
      <c r="BE45" t="inlineStr">
        <is>
          <t>2028-01-31</t>
        </is>
      </c>
    </row>
    <row r="46">
      <c r="A46" t="inlineStr">
        <is>
          <t>20250618800387</t>
        </is>
      </c>
      <c r="B46" t="inlineStr">
        <is>
          <t>OTHER</t>
        </is>
      </c>
      <c r="D46" t="inlineStr">
        <is>
          <t>블록, 기자재 및 설계</t>
        </is>
      </c>
      <c r="AX46" s="35" t="n">
        <v>0</v>
      </c>
      <c r="AY46" s="16" t="n">
        <v>1183.5</v>
      </c>
      <c r="AZ46" s="42" t="n">
        <v>1</v>
      </c>
      <c r="BA46" t="inlineStr">
        <is>
          <t>2021-10-15</t>
        </is>
      </c>
      <c r="BB46" t="n">
        <v>1</v>
      </c>
      <c r="BD46" s="26" t="n"/>
      <c r="BE46" t="inlineStr">
        <is>
          <t>2026-04-09</t>
        </is>
      </c>
    </row>
    <row r="47">
      <c r="A47" t="inlineStr">
        <is>
          <t>20250618800388</t>
        </is>
      </c>
      <c r="B47" t="inlineStr">
        <is>
          <t>OTHER</t>
        </is>
      </c>
      <c r="D47" t="inlineStr">
        <is>
          <t>블록 및 기자재</t>
        </is>
      </c>
      <c r="AX47" s="35" t="n">
        <v>0</v>
      </c>
      <c r="AY47" s="16" t="n">
        <v>1117.97</v>
      </c>
      <c r="AZ47" s="42" t="n">
        <v>1</v>
      </c>
      <c r="BA47" t="inlineStr">
        <is>
          <t>2020-11-20</t>
        </is>
      </c>
      <c r="BB47" t="n">
        <v>1</v>
      </c>
      <c r="BD47" s="26" t="n"/>
      <c r="BE47" t="inlineStr">
        <is>
          <t>2025-05-15</t>
        </is>
      </c>
    </row>
    <row r="48">
      <c r="A48" t="inlineStr">
        <is>
          <t>20250818800096</t>
        </is>
      </c>
      <c r="B48" t="inlineStr">
        <is>
          <t>LNGC</t>
        </is>
      </c>
      <c r="C48" t="n">
        <v>2</v>
      </c>
      <c r="D48" t="inlineStr">
        <is>
          <t>LNG운반선 2척</t>
        </is>
      </c>
      <c r="S48" s="26" t="n">
        <v>26.571</v>
      </c>
      <c r="T48" s="26" t="n">
        <v>52.012</v>
      </c>
      <c r="U48" s="26" t="n">
        <v>50.881</v>
      </c>
      <c r="V48" s="26" t="n">
        <v>51.447</v>
      </c>
      <c r="W48" s="26" t="n">
        <v>52.012</v>
      </c>
      <c r="X48" s="26" t="n">
        <v>52.012</v>
      </c>
      <c r="Y48" s="26" t="n">
        <v>50.881</v>
      </c>
      <c r="Z48" s="26" t="n">
        <v>51.447</v>
      </c>
      <c r="AA48" s="26" t="n">
        <v>52.012</v>
      </c>
      <c r="AB48" s="26" t="n">
        <v>52.012</v>
      </c>
      <c r="AC48" s="26" t="n">
        <v>17.527</v>
      </c>
      <c r="AX48" s="35" t="n">
        <v>1</v>
      </c>
      <c r="AY48" s="16" t="n">
        <v>1386.95</v>
      </c>
      <c r="AZ48" s="42" t="n">
        <v>1</v>
      </c>
      <c r="BA48" t="inlineStr">
        <is>
          <t>2025-08-15</t>
        </is>
      </c>
      <c r="BB48" t="n">
        <v>1</v>
      </c>
      <c r="BC48" t="inlineStr">
        <is>
          <t>⑤초호황</t>
        </is>
      </c>
      <c r="BD48" s="26" t="n">
        <v>508.814</v>
      </c>
      <c r="BE48" t="inlineStr">
        <is>
          <t>2028-01-31</t>
        </is>
      </c>
    </row>
    <row r="49">
      <c r="A49" t="inlineStr">
        <is>
          <t>20250818800098</t>
        </is>
      </c>
      <c r="B49" t="inlineStr">
        <is>
          <t>LNGC</t>
        </is>
      </c>
      <c r="C49" t="n">
        <v>4</v>
      </c>
      <c r="D49" t="inlineStr">
        <is>
          <t>LNG운반선 4척</t>
        </is>
      </c>
      <c r="S49" s="26" t="n">
        <v>40.389</v>
      </c>
      <c r="T49" s="26" t="n">
        <v>79.059</v>
      </c>
      <c r="U49" s="26" t="n">
        <v>77.34</v>
      </c>
      <c r="V49" s="26" t="n">
        <v>78.2</v>
      </c>
      <c r="W49" s="26" t="n">
        <v>79.059</v>
      </c>
      <c r="X49" s="26" t="n">
        <v>79.059</v>
      </c>
      <c r="Y49" s="26" t="n">
        <v>77.34</v>
      </c>
      <c r="Z49" s="26" t="n">
        <v>78.2</v>
      </c>
      <c r="AA49" s="26" t="n">
        <v>79.059</v>
      </c>
      <c r="AB49" s="26" t="n">
        <v>79.059</v>
      </c>
      <c r="AC49" s="26" t="n">
        <v>78.2</v>
      </c>
      <c r="AD49" s="26" t="n">
        <v>78.2</v>
      </c>
      <c r="AE49" s="26" t="n">
        <v>79.059</v>
      </c>
      <c r="AF49" s="26" t="n">
        <v>52.421</v>
      </c>
      <c r="AX49" s="35" t="n">
        <v>1</v>
      </c>
      <c r="AY49" s="16" t="n">
        <v>1386.95</v>
      </c>
      <c r="AZ49" s="42" t="n">
        <v>1</v>
      </c>
      <c r="BA49" t="inlineStr">
        <is>
          <t>2025-08-15</t>
        </is>
      </c>
      <c r="BB49" t="n">
        <v>1</v>
      </c>
      <c r="BC49" t="inlineStr">
        <is>
          <t>⑤초호황</t>
        </is>
      </c>
      <c r="BD49" s="26" t="n">
        <v>1034.644</v>
      </c>
      <c r="BE49" t="inlineStr">
        <is>
          <t>2028-11-30</t>
        </is>
      </c>
    </row>
    <row r="50">
      <c r="A50" t="inlineStr">
        <is>
          <t>20251107800084</t>
        </is>
      </c>
      <c r="B50" t="inlineStr">
        <is>
          <t>VLCC</t>
        </is>
      </c>
      <c r="C50" t="n">
        <v>2</v>
      </c>
      <c r="D50" t="inlineStr">
        <is>
          <t>유조선 2척</t>
        </is>
      </c>
      <c r="T50" s="26" t="n">
        <v>9.476000000000001</v>
      </c>
      <c r="U50" s="26" t="n">
        <v>15.229</v>
      </c>
      <c r="V50" s="26" t="n">
        <v>15.399</v>
      </c>
      <c r="W50" s="26" t="n">
        <v>15.568</v>
      </c>
      <c r="X50" s="26" t="n">
        <v>15.568</v>
      </c>
      <c r="Y50" s="26" t="n">
        <v>15.229</v>
      </c>
      <c r="Z50" s="26" t="n">
        <v>15.399</v>
      </c>
      <c r="AA50" s="26" t="n">
        <v>15.568</v>
      </c>
      <c r="AB50" s="26" t="n">
        <v>15.568</v>
      </c>
      <c r="AC50" s="26" t="n">
        <v>15.399</v>
      </c>
      <c r="AD50" s="26" t="n">
        <v>15.399</v>
      </c>
      <c r="AE50" s="26" t="n">
        <v>15.568</v>
      </c>
      <c r="AF50" s="26" t="n">
        <v>15.568</v>
      </c>
      <c r="AG50" s="26" t="n">
        <v>5.243</v>
      </c>
      <c r="AX50" s="35" t="n">
        <v>1</v>
      </c>
      <c r="AY50" s="16" t="n">
        <v>1449.19</v>
      </c>
      <c r="AZ50" s="42" t="n">
        <v>1</v>
      </c>
      <c r="BA50" t="inlineStr">
        <is>
          <t>2025-11-06</t>
        </is>
      </c>
      <c r="BB50" t="n">
        <v>1</v>
      </c>
      <c r="BC50" t="inlineStr">
        <is>
          <t>⑤초호황</t>
        </is>
      </c>
      <c r="BD50" s="26" t="n">
        <v>200.181</v>
      </c>
      <c r="BE50" t="inlineStr">
        <is>
          <t>2029-01-31</t>
        </is>
      </c>
    </row>
    <row r="51">
      <c r="A51" t="inlineStr">
        <is>
          <t>20251120800137</t>
        </is>
      </c>
      <c r="B51" t="inlineStr">
        <is>
          <t>CONT</t>
        </is>
      </c>
      <c r="C51" t="n">
        <v>7</v>
      </c>
      <c r="D51" t="inlineStr">
        <is>
          <t>컨테이너선 7척</t>
        </is>
      </c>
      <c r="T51" s="26" t="n">
        <v>38.716</v>
      </c>
      <c r="U51" s="26" t="n">
        <v>81.03400000000001</v>
      </c>
      <c r="V51" s="26" t="n">
        <v>81.934</v>
      </c>
      <c r="W51" s="26" t="n">
        <v>82.83499999999999</v>
      </c>
      <c r="X51" s="26" t="n">
        <v>82.83499999999999</v>
      </c>
      <c r="Y51" s="26" t="n">
        <v>81.03400000000001</v>
      </c>
      <c r="Z51" s="26" t="n">
        <v>81.934</v>
      </c>
      <c r="AA51" s="26" t="n">
        <v>82.83499999999999</v>
      </c>
      <c r="AB51" s="26" t="n">
        <v>82.83499999999999</v>
      </c>
      <c r="AC51" s="26" t="n">
        <v>81.934</v>
      </c>
      <c r="AD51" s="26" t="n">
        <v>81.934</v>
      </c>
      <c r="AE51" s="26" t="n">
        <v>82.83499999999999</v>
      </c>
      <c r="AF51" s="26" t="n">
        <v>82.83499999999999</v>
      </c>
      <c r="AG51" s="26" t="n">
        <v>81.03400000000001</v>
      </c>
      <c r="AH51" s="26" t="n">
        <v>81.934</v>
      </c>
      <c r="AI51" s="26" t="n">
        <v>82.83499999999999</v>
      </c>
      <c r="AJ51" s="26" t="n">
        <v>54.925</v>
      </c>
      <c r="AX51" s="35" t="n">
        <v>1</v>
      </c>
      <c r="AY51" s="16" t="n">
        <v>1449.19</v>
      </c>
      <c r="AZ51" s="42" t="n">
        <v>1</v>
      </c>
      <c r="BA51" t="inlineStr">
        <is>
          <t>2025-11-19</t>
        </is>
      </c>
      <c r="BB51" t="n">
        <v>1</v>
      </c>
      <c r="BC51" t="inlineStr">
        <is>
          <t>⑤초호황</t>
        </is>
      </c>
      <c r="BD51" s="26" t="n">
        <v>1326.258</v>
      </c>
      <c r="BE51" t="inlineStr">
        <is>
          <t>2029-11-30</t>
        </is>
      </c>
    </row>
    <row r="52">
      <c r="A52" t="inlineStr">
        <is>
          <t>20251212800879</t>
        </is>
      </c>
      <c r="B52" t="inlineStr">
        <is>
          <t>OTHER</t>
        </is>
      </c>
      <c r="D52" t="inlineStr">
        <is>
          <t>[P4 Ph1] FAB동 마감공사</t>
        </is>
      </c>
      <c r="I52" s="26" t="n">
        <v>23.643</v>
      </c>
      <c r="J52" s="26" t="n">
        <v>23.905</v>
      </c>
      <c r="K52" s="26" t="n">
        <v>24.168</v>
      </c>
      <c r="L52" s="26" t="n">
        <v>24.168</v>
      </c>
      <c r="M52" s="26" t="n">
        <v>23.905</v>
      </c>
      <c r="N52" s="26" t="n">
        <v>23.905</v>
      </c>
      <c r="O52" s="26" t="n">
        <v>24.168</v>
      </c>
      <c r="P52" s="26" t="n">
        <v>24.168</v>
      </c>
      <c r="Q52" s="26" t="n">
        <v>23.643</v>
      </c>
      <c r="R52" s="26" t="n">
        <v>23.905</v>
      </c>
      <c r="S52" s="26" t="n">
        <v>24.168</v>
      </c>
      <c r="T52" s="26" t="n">
        <v>24.17</v>
      </c>
      <c r="AX52" s="35" t="n">
        <v>0</v>
      </c>
      <c r="AY52" s="16" t="n">
        <v>1360.12</v>
      </c>
      <c r="AZ52" s="42" t="n">
        <v>1</v>
      </c>
      <c r="BA52" t="inlineStr">
        <is>
          <t>2022-12-23</t>
        </is>
      </c>
      <c r="BB52" t="n">
        <v>1</v>
      </c>
      <c r="BD52" s="26" t="n">
        <v>287.916</v>
      </c>
      <c r="BE52" t="inlineStr">
        <is>
          <t>2025-12-31</t>
        </is>
      </c>
    </row>
    <row r="53">
      <c r="A53" t="inlineStr">
        <is>
          <t>20251223800127</t>
        </is>
      </c>
      <c r="B53" t="inlineStr">
        <is>
          <t>LNGC</t>
        </is>
      </c>
      <c r="C53" t="n">
        <v>2</v>
      </c>
      <c r="D53" t="inlineStr">
        <is>
          <t>LNG운반선 2척</t>
        </is>
      </c>
      <c r="T53" s="26" t="n">
        <v>4.287</v>
      </c>
      <c r="U53" s="26" t="n">
        <v>38.581</v>
      </c>
      <c r="V53" s="26" t="n">
        <v>39.01</v>
      </c>
      <c r="W53" s="26" t="n">
        <v>39.438</v>
      </c>
      <c r="X53" s="26" t="n">
        <v>39.438</v>
      </c>
      <c r="Y53" s="26" t="n">
        <v>38.581</v>
      </c>
      <c r="Z53" s="26" t="n">
        <v>39.01</v>
      </c>
      <c r="AA53" s="26" t="n">
        <v>39.438</v>
      </c>
      <c r="AB53" s="26" t="n">
        <v>39.438</v>
      </c>
      <c r="AC53" s="26" t="n">
        <v>39.01</v>
      </c>
      <c r="AD53" s="26" t="n">
        <v>39.01</v>
      </c>
      <c r="AE53" s="26" t="n">
        <v>39.438</v>
      </c>
      <c r="AF53" s="26" t="n">
        <v>39.438</v>
      </c>
      <c r="AG53" s="26" t="n">
        <v>38.583</v>
      </c>
      <c r="AX53" s="35" t="n">
        <v>1</v>
      </c>
      <c r="AY53" s="16" t="n">
        <v>1449.19</v>
      </c>
      <c r="AZ53" s="42" t="n">
        <v>1</v>
      </c>
      <c r="BA53" t="inlineStr">
        <is>
          <t>2025-12-22</t>
        </is>
      </c>
      <c r="BB53" t="n">
        <v>1</v>
      </c>
      <c r="BC53" t="inlineStr">
        <is>
          <t>⑤초호황</t>
        </is>
      </c>
      <c r="BD53" s="26" t="n">
        <v>512.7</v>
      </c>
      <c r="BE53" t="inlineStr">
        <is>
          <t>2029-03-31</t>
        </is>
      </c>
    </row>
    <row r="54">
      <c r="A54" t="inlineStr">
        <is>
          <t>20251226800865</t>
        </is>
      </c>
      <c r="B54" t="inlineStr">
        <is>
          <t>OTHER</t>
        </is>
      </c>
      <c r="D54" t="inlineStr">
        <is>
          <t>[P4 Ph3(상서)]FAB동 마감공사</t>
        </is>
      </c>
      <c r="N54" s="26" t="n">
        <v>10.14</v>
      </c>
      <c r="O54" s="26" t="n">
        <v>66.63200000000001</v>
      </c>
      <c r="P54" s="26" t="n">
        <v>66.63200000000001</v>
      </c>
      <c r="Q54" s="26" t="n">
        <v>65.18300000000001</v>
      </c>
      <c r="R54" s="26" t="n">
        <v>65.907</v>
      </c>
      <c r="S54" s="26" t="n">
        <v>66.63200000000001</v>
      </c>
      <c r="T54" s="26" t="n">
        <v>63.01</v>
      </c>
      <c r="AX54" s="35" t="n">
        <v>0</v>
      </c>
      <c r="AY54" s="16" t="n">
        <v>1371.28</v>
      </c>
      <c r="AZ54" s="42" t="n">
        <v>1</v>
      </c>
      <c r="BA54" t="inlineStr">
        <is>
          <t>2024-06-14</t>
        </is>
      </c>
      <c r="BB54" t="n">
        <v>1</v>
      </c>
      <c r="BD54" s="26" t="n">
        <v>404.136</v>
      </c>
      <c r="BE54" t="inlineStr">
        <is>
          <t>2025-12-26</t>
        </is>
      </c>
    </row>
    <row r="55">
      <c r="A55" t="inlineStr">
        <is>
          <t>20260102800222</t>
        </is>
      </c>
      <c r="B55" t="inlineStr">
        <is>
          <t>LNGC</t>
        </is>
      </c>
      <c r="C55" t="n">
        <v>2</v>
      </c>
      <c r="D55" t="inlineStr">
        <is>
          <t>LNG운반선 2척</t>
        </is>
      </c>
      <c r="T55" s="26" t="n">
        <v>0.503</v>
      </c>
      <c r="U55" s="26" t="n">
        <v>45.235</v>
      </c>
      <c r="V55" s="26" t="n">
        <v>45.738</v>
      </c>
      <c r="W55" s="26" t="n">
        <v>46.241</v>
      </c>
      <c r="X55" s="26" t="n">
        <v>46.241</v>
      </c>
      <c r="Y55" s="26" t="n">
        <v>45.235</v>
      </c>
      <c r="Z55" s="26" t="n">
        <v>45.738</v>
      </c>
      <c r="AA55" s="26" t="n">
        <v>46.241</v>
      </c>
      <c r="AB55" s="26" t="n">
        <v>46.241</v>
      </c>
      <c r="AC55" s="26" t="n">
        <v>45.738</v>
      </c>
      <c r="AD55" s="26" t="n">
        <v>45.738</v>
      </c>
      <c r="AE55" s="26" t="n">
        <v>38.699</v>
      </c>
      <c r="AX55" s="35" t="n">
        <v>1</v>
      </c>
      <c r="AY55" s="16" t="n">
        <v>1449.19</v>
      </c>
      <c r="AZ55" s="42" t="n">
        <v>1</v>
      </c>
      <c r="BA55" t="inlineStr">
        <is>
          <t>2025-12-31</t>
        </is>
      </c>
      <c r="BB55" t="n">
        <v>1</v>
      </c>
      <c r="BC55" t="inlineStr">
        <is>
          <t>⑤초호황</t>
        </is>
      </c>
      <c r="BD55" s="26" t="n">
        <v>497.588</v>
      </c>
      <c r="BE55" t="inlineStr">
        <is>
          <t>2028-09-15</t>
        </is>
      </c>
    </row>
    <row r="56">
      <c r="A56" t="inlineStr">
        <is>
          <t>20260128800216</t>
        </is>
      </c>
      <c r="B56" t="inlineStr">
        <is>
          <t>VLGC</t>
        </is>
      </c>
      <c r="C56" t="n">
        <v>2</v>
      </c>
      <c r="D56" t="inlineStr">
        <is>
          <t>에탄운반선 2척</t>
        </is>
      </c>
      <c r="U56" s="26" t="n">
        <v>17.336</v>
      </c>
      <c r="V56" s="26" t="n">
        <v>24.65</v>
      </c>
      <c r="W56" s="26" t="n">
        <v>24.921</v>
      </c>
      <c r="X56" s="26" t="n">
        <v>24.921</v>
      </c>
      <c r="Y56" s="26" t="n">
        <v>24.379</v>
      </c>
      <c r="Z56" s="26" t="n">
        <v>24.65</v>
      </c>
      <c r="AA56" s="26" t="n">
        <v>24.921</v>
      </c>
      <c r="AB56" s="26" t="n">
        <v>24.921</v>
      </c>
      <c r="AC56" s="26" t="n">
        <v>24.65</v>
      </c>
      <c r="AD56" s="26" t="n">
        <v>24.65</v>
      </c>
      <c r="AE56" s="26" t="n">
        <v>24.921</v>
      </c>
      <c r="AF56" s="26" t="n">
        <v>24.921</v>
      </c>
      <c r="AG56" s="26" t="n">
        <v>4.064</v>
      </c>
      <c r="AX56" s="35" t="n">
        <v>1</v>
      </c>
      <c r="AY56" s="16" t="n">
        <v>1466.12</v>
      </c>
      <c r="AZ56" s="42" t="n">
        <v>1</v>
      </c>
      <c r="BA56" t="inlineStr">
        <is>
          <t>2026-01-27</t>
        </is>
      </c>
      <c r="BB56" t="n">
        <v>1</v>
      </c>
      <c r="BC56" t="inlineStr">
        <is>
          <t>⑤초호황</t>
        </is>
      </c>
      <c r="BD56" s="26" t="n">
        <v>293.905</v>
      </c>
      <c r="BE56" t="inlineStr">
        <is>
          <t>2029-01-15</t>
        </is>
      </c>
    </row>
    <row r="57">
      <c r="A57" t="inlineStr">
        <is>
          <t>20260128800218</t>
        </is>
      </c>
      <c r="B57" t="inlineStr">
        <is>
          <t>LNGC</t>
        </is>
      </c>
      <c r="C57" t="n">
        <v>2</v>
      </c>
      <c r="D57" t="inlineStr">
        <is>
          <t>LNG운반선 2척</t>
        </is>
      </c>
      <c r="U57" s="26" t="n">
        <v>28.832</v>
      </c>
      <c r="V57" s="26" t="n">
        <v>40.996</v>
      </c>
      <c r="W57" s="26" t="n">
        <v>41.446</v>
      </c>
      <c r="X57" s="26" t="n">
        <v>41.446</v>
      </c>
      <c r="Y57" s="26" t="n">
        <v>40.545</v>
      </c>
      <c r="Z57" s="26" t="n">
        <v>40.996</v>
      </c>
      <c r="AA57" s="26" t="n">
        <v>41.446</v>
      </c>
      <c r="AB57" s="26" t="n">
        <v>41.446</v>
      </c>
      <c r="AC57" s="26" t="n">
        <v>40.996</v>
      </c>
      <c r="AD57" s="26" t="n">
        <v>40.996</v>
      </c>
      <c r="AE57" s="26" t="n">
        <v>41.446</v>
      </c>
      <c r="AF57" s="26" t="n">
        <v>41.446</v>
      </c>
      <c r="AG57" s="26" t="n">
        <v>13.966</v>
      </c>
      <c r="AX57" s="35" t="n">
        <v>1</v>
      </c>
      <c r="AY57" s="16" t="n">
        <v>1466.12</v>
      </c>
      <c r="AZ57" s="42" t="n">
        <v>1</v>
      </c>
      <c r="BA57" t="inlineStr">
        <is>
          <t>2026-01-27</t>
        </is>
      </c>
      <c r="BB57" t="n">
        <v>1</v>
      </c>
      <c r="BC57" t="inlineStr">
        <is>
          <t>⑤초호황</t>
        </is>
      </c>
      <c r="BD57" s="26" t="n">
        <v>496.003</v>
      </c>
      <c r="BE57" t="inlineStr">
        <is>
          <t>2029-01-31</t>
        </is>
      </c>
    </row>
    <row r="58">
      <c r="A58" t="inlineStr">
        <is>
          <t>20260211800232</t>
        </is>
      </c>
      <c r="B58" t="inlineStr">
        <is>
          <t>CONT</t>
        </is>
      </c>
      <c r="C58" t="n">
        <v>2</v>
      </c>
      <c r="D58" t="inlineStr">
        <is>
          <t>컨테이너선 2척</t>
        </is>
      </c>
      <c r="U58" s="26" t="n">
        <v>19.681</v>
      </c>
      <c r="V58" s="26" t="n">
        <v>35.819</v>
      </c>
      <c r="W58" s="26" t="n">
        <v>36.213</v>
      </c>
      <c r="X58" s="26" t="n">
        <v>36.213</v>
      </c>
      <c r="Y58" s="26" t="n">
        <v>35.426</v>
      </c>
      <c r="Z58" s="26" t="n">
        <v>35.819</v>
      </c>
      <c r="AA58" s="26" t="n">
        <v>36.213</v>
      </c>
      <c r="AB58" s="26" t="n">
        <v>36.213</v>
      </c>
      <c r="AC58" s="26" t="n">
        <v>35.819</v>
      </c>
      <c r="AD58" s="26" t="n">
        <v>12.203</v>
      </c>
      <c r="AX58" s="35" t="n">
        <v>1</v>
      </c>
      <c r="AY58" s="16" t="n">
        <v>1466.12</v>
      </c>
      <c r="AZ58" s="42" t="n">
        <v>1</v>
      </c>
      <c r="BA58" t="inlineStr">
        <is>
          <t>2026-02-10</t>
        </is>
      </c>
      <c r="BB58" t="n">
        <v>1</v>
      </c>
      <c r="BC58" t="inlineStr">
        <is>
          <t>⑤초호황</t>
        </is>
      </c>
      <c r="BD58" s="26" t="n">
        <v>319.619</v>
      </c>
      <c r="BE58" t="inlineStr">
        <is>
          <t>2028-05-01</t>
        </is>
      </c>
    </row>
    <row r="59">
      <c r="A59" t="inlineStr">
        <is>
          <t>20260220800213</t>
        </is>
      </c>
      <c r="B59" t="inlineStr">
        <is>
          <t>LNGC</t>
        </is>
      </c>
      <c r="C59" t="n">
        <v>1</v>
      </c>
      <c r="D59" t="inlineStr">
        <is>
          <t>LNG운반선 1척</t>
        </is>
      </c>
      <c r="U59" s="26" t="n">
        <v>12.354</v>
      </c>
      <c r="V59" s="26" t="n">
        <v>27.42</v>
      </c>
      <c r="W59" s="26" t="n">
        <v>27.722</v>
      </c>
      <c r="X59" s="26" t="n">
        <v>27.722</v>
      </c>
      <c r="Y59" s="26" t="n">
        <v>27.119</v>
      </c>
      <c r="Z59" s="26" t="n">
        <v>27.42</v>
      </c>
      <c r="AA59" s="26" t="n">
        <v>27.722</v>
      </c>
      <c r="AB59" s="26" t="n">
        <v>27.722</v>
      </c>
      <c r="AC59" s="26" t="n">
        <v>27.42</v>
      </c>
      <c r="AD59" s="26" t="n">
        <v>18.382</v>
      </c>
      <c r="AX59" s="35" t="n">
        <v>1</v>
      </c>
      <c r="AY59" s="16" t="n">
        <v>1466.12</v>
      </c>
      <c r="AZ59" s="42" t="n">
        <v>1</v>
      </c>
      <c r="BA59" t="inlineStr">
        <is>
          <t>2026-02-19</t>
        </is>
      </c>
      <c r="BB59" t="n">
        <v>1</v>
      </c>
      <c r="BC59" t="inlineStr">
        <is>
          <t>⑤초호황</t>
        </is>
      </c>
      <c r="BD59" s="26" t="n">
        <v>251.003</v>
      </c>
      <c r="BE59" t="inlineStr">
        <is>
          <t>2028-05-31</t>
        </is>
      </c>
    </row>
    <row r="60">
      <c r="A60" t="inlineStr">
        <is>
          <t>20260310800545</t>
        </is>
      </c>
      <c r="B60" t="inlineStr">
        <is>
          <t>VLCC</t>
        </is>
      </c>
      <c r="C60" t="n">
        <v>3</v>
      </c>
      <c r="D60" t="inlineStr">
        <is>
          <t>유조선 3척</t>
        </is>
      </c>
      <c r="U60" s="26" t="n">
        <v>5.523</v>
      </c>
      <c r="V60" s="26" t="n">
        <v>22.846</v>
      </c>
      <c r="W60" s="26" t="n">
        <v>23.097</v>
      </c>
      <c r="X60" s="26" t="n">
        <v>23.097</v>
      </c>
      <c r="Y60" s="26" t="n">
        <v>22.595</v>
      </c>
      <c r="Z60" s="26" t="n">
        <v>22.846</v>
      </c>
      <c r="AA60" s="26" t="n">
        <v>23.097</v>
      </c>
      <c r="AB60" s="26" t="n">
        <v>23.097</v>
      </c>
      <c r="AC60" s="26" t="n">
        <v>22.846</v>
      </c>
      <c r="AD60" s="26" t="n">
        <v>22.846</v>
      </c>
      <c r="AE60" s="26" t="n">
        <v>23.097</v>
      </c>
      <c r="AF60" s="26" t="n">
        <v>23.097</v>
      </c>
      <c r="AG60" s="26" t="n">
        <v>14.813</v>
      </c>
      <c r="AX60" s="35" t="n">
        <v>1</v>
      </c>
      <c r="AY60" s="16" t="n">
        <v>1466.12</v>
      </c>
      <c r="AZ60" s="42" t="n">
        <v>1</v>
      </c>
      <c r="BA60" t="inlineStr">
        <is>
          <t>2026-03-10</t>
        </is>
      </c>
      <c r="BB60" t="n">
        <v>1</v>
      </c>
      <c r="BC60" t="inlineStr">
        <is>
          <t>⑤초호황</t>
        </is>
      </c>
      <c r="BD60" s="26" t="n">
        <v>272.897</v>
      </c>
      <c r="BE60" t="inlineStr">
        <is>
          <t>2029-02-28</t>
        </is>
      </c>
    </row>
    <row r="61">
      <c r="A61" t="inlineStr">
        <is>
          <t>20260316801038</t>
        </is>
      </c>
      <c r="B61" t="inlineStr">
        <is>
          <t>VLCC</t>
        </is>
      </c>
      <c r="C61" t="n">
        <v>1</v>
      </c>
      <c r="D61" t="inlineStr">
        <is>
          <t>원유운반선 1척</t>
        </is>
      </c>
      <c r="AX61" s="35" t="n">
        <v>1</v>
      </c>
      <c r="AY61" s="16" t="n">
        <v>1315.69</v>
      </c>
      <c r="AZ61" s="42" t="n">
        <v>1</v>
      </c>
      <c r="BA61" t="inlineStr">
        <is>
          <t>2023-06-02</t>
        </is>
      </c>
      <c r="BB61" t="n">
        <v>1</v>
      </c>
      <c r="BD61" s="26" t="n"/>
      <c r="BE61" t="inlineStr">
        <is>
          <t>2026-07-03</t>
        </is>
      </c>
    </row>
    <row r="62">
      <c r="A62" t="inlineStr">
        <is>
          <t>20260320800106</t>
        </is>
      </c>
      <c r="B62" t="inlineStr">
        <is>
          <t>LNGC</t>
        </is>
      </c>
      <c r="C62" t="n">
        <v>1</v>
      </c>
      <c r="D62" t="inlineStr">
        <is>
          <t>LNG운반선 1척</t>
        </is>
      </c>
      <c r="U62" s="26" t="n">
        <v>2.718</v>
      </c>
      <c r="V62" s="26" t="n">
        <v>20.611</v>
      </c>
      <c r="W62" s="26" t="n">
        <v>20.838</v>
      </c>
      <c r="X62" s="26" t="n">
        <v>20.838</v>
      </c>
      <c r="Y62" s="26" t="n">
        <v>20.385</v>
      </c>
      <c r="Z62" s="26" t="n">
        <v>20.611</v>
      </c>
      <c r="AA62" s="26" t="n">
        <v>20.838</v>
      </c>
      <c r="AB62" s="26" t="n">
        <v>20.838</v>
      </c>
      <c r="AC62" s="26" t="n">
        <v>20.611</v>
      </c>
      <c r="AD62" s="26" t="n">
        <v>20.611</v>
      </c>
      <c r="AE62" s="26" t="n">
        <v>20.838</v>
      </c>
      <c r="AF62" s="26" t="n">
        <v>20.838</v>
      </c>
      <c r="AG62" s="26" t="n">
        <v>20.385</v>
      </c>
      <c r="AH62" s="26" t="n">
        <v>6.795</v>
      </c>
      <c r="AX62" s="35" t="n">
        <v>1</v>
      </c>
      <c r="AY62" s="16" t="n">
        <v>1466.12</v>
      </c>
      <c r="AZ62" s="42" t="n">
        <v>1</v>
      </c>
      <c r="BA62" t="inlineStr">
        <is>
          <t>2026-03-20</t>
        </is>
      </c>
      <c r="BB62" t="n">
        <v>1</v>
      </c>
      <c r="BC62" t="inlineStr">
        <is>
          <t>⑤초호황</t>
        </is>
      </c>
      <c r="BD62" s="26" t="n">
        <v>257.755</v>
      </c>
      <c r="BE62" t="inlineStr">
        <is>
          <t>2029-04-30</t>
        </is>
      </c>
    </row>
    <row r="63">
      <c r="A63" t="inlineStr">
        <is>
          <t>20260323800137</t>
        </is>
      </c>
      <c r="B63" t="inlineStr">
        <is>
          <t>LNGC</t>
        </is>
      </c>
      <c r="C63" t="n">
        <v>2</v>
      </c>
      <c r="D63" t="inlineStr">
        <is>
          <t>LNG운반선 2척</t>
        </is>
      </c>
      <c r="U63" s="26" t="n">
        <v>6.807</v>
      </c>
      <c r="V63" s="26" t="n">
        <v>51.619</v>
      </c>
      <c r="W63" s="26" t="n">
        <v>52.186</v>
      </c>
      <c r="X63" s="26" t="n">
        <v>52.186</v>
      </c>
      <c r="Y63" s="26" t="n">
        <v>51.052</v>
      </c>
      <c r="Z63" s="26" t="n">
        <v>51.619</v>
      </c>
      <c r="AA63" s="26" t="n">
        <v>52.186</v>
      </c>
      <c r="AB63" s="26" t="n">
        <v>52.186</v>
      </c>
      <c r="AC63" s="26" t="n">
        <v>51.619</v>
      </c>
      <c r="AD63" s="26" t="n">
        <v>51.619</v>
      </c>
      <c r="AE63" s="26" t="n">
        <v>52.185</v>
      </c>
      <c r="AX63" s="35" t="n">
        <v>1</v>
      </c>
      <c r="AY63" s="16" t="n">
        <v>1466.12</v>
      </c>
      <c r="AZ63" s="42" t="n">
        <v>1</v>
      </c>
      <c r="BA63" t="inlineStr">
        <is>
          <t>2026-03-20</t>
        </is>
      </c>
      <c r="BB63" t="n">
        <v>1</v>
      </c>
      <c r="BC63" t="inlineStr">
        <is>
          <t>⑤초호황</t>
        </is>
      </c>
      <c r="BD63" s="26" t="n">
        <v>525.264</v>
      </c>
      <c r="BE63" t="inlineStr">
        <is>
          <t>2028-09-30</t>
        </is>
      </c>
    </row>
    <row r="64">
      <c r="A64" t="inlineStr">
        <is>
          <t>20260401800243</t>
        </is>
      </c>
      <c r="B64" t="inlineStr">
        <is>
          <t>VLGC</t>
        </is>
      </c>
      <c r="C64" t="n">
        <v>2</v>
      </c>
      <c r="D64" t="inlineStr">
        <is>
          <t>VLGC 2척</t>
        </is>
      </c>
      <c r="U64" s="26" t="n">
        <v>0.201</v>
      </c>
      <c r="V64" s="26" t="n">
        <v>18.331</v>
      </c>
      <c r="W64" s="26" t="n">
        <v>18.533</v>
      </c>
      <c r="X64" s="26" t="n">
        <v>18.533</v>
      </c>
      <c r="Y64" s="26" t="n">
        <v>18.13</v>
      </c>
      <c r="Z64" s="26" t="n">
        <v>18.331</v>
      </c>
      <c r="AA64" s="26" t="n">
        <v>18.533</v>
      </c>
      <c r="AB64" s="26" t="n">
        <v>18.533</v>
      </c>
      <c r="AC64" s="26" t="n">
        <v>18.331</v>
      </c>
      <c r="AD64" s="26" t="n">
        <v>18.331</v>
      </c>
      <c r="AE64" s="26" t="n">
        <v>18.533</v>
      </c>
      <c r="AF64" s="26" t="n">
        <v>18.533</v>
      </c>
      <c r="AG64" s="26" t="n">
        <v>18.13</v>
      </c>
      <c r="AH64" s="26" t="n">
        <v>12.286</v>
      </c>
      <c r="AX64" s="35" t="n">
        <v>1</v>
      </c>
      <c r="AY64" s="16" t="n">
        <v>1466.12</v>
      </c>
      <c r="AZ64" s="42" t="n">
        <v>1</v>
      </c>
      <c r="BA64" t="inlineStr">
        <is>
          <t>2026-03-31</t>
        </is>
      </c>
      <c r="BB64" t="n">
        <v>1</v>
      </c>
      <c r="BC64" t="inlineStr">
        <is>
          <t>⑤초호황</t>
        </is>
      </c>
      <c r="BD64" s="26" t="n">
        <v>233.269</v>
      </c>
      <c r="BE64" t="inlineStr">
        <is>
          <t>2029-05-31</t>
        </is>
      </c>
    </row>
    <row r="65">
      <c r="A65" t="inlineStr">
        <is>
          <t>20260504800254</t>
        </is>
      </c>
      <c r="B65" t="inlineStr">
        <is>
          <t>LNGC</t>
        </is>
      </c>
      <c r="C65" t="n">
        <v>1</v>
      </c>
      <c r="D65" t="inlineStr">
        <is>
          <t>FSRU 1척</t>
        </is>
      </c>
      <c r="V65" s="26" t="n">
        <v>19.565</v>
      </c>
      <c r="W65" s="26" t="n">
        <v>29.032</v>
      </c>
      <c r="X65" s="26" t="n">
        <v>29.032</v>
      </c>
      <c r="Y65" s="26" t="n">
        <v>28.401</v>
      </c>
      <c r="Z65" s="26" t="n">
        <v>28.716</v>
      </c>
      <c r="AA65" s="26" t="n">
        <v>29.032</v>
      </c>
      <c r="AB65" s="26" t="n">
        <v>29.032</v>
      </c>
      <c r="AC65" s="26" t="n">
        <v>28.716</v>
      </c>
      <c r="AD65" s="26" t="n">
        <v>28.716</v>
      </c>
      <c r="AE65" s="26" t="n">
        <v>29.032</v>
      </c>
      <c r="AF65" s="26" t="n">
        <v>29.032</v>
      </c>
      <c r="AG65" s="26" t="n">
        <v>14.517</v>
      </c>
      <c r="AX65" s="35" t="n">
        <v>1</v>
      </c>
      <c r="AY65" s="16" t="n">
        <v>1501.75</v>
      </c>
      <c r="AZ65" s="42" t="n">
        <v>1</v>
      </c>
      <c r="BA65" t="inlineStr">
        <is>
          <t>2026-04-30</t>
        </is>
      </c>
      <c r="BB65" t="n">
        <v>1</v>
      </c>
      <c r="BC65" t="inlineStr">
        <is>
          <t>⑤초호황</t>
        </is>
      </c>
      <c r="BD65" s="26" t="n">
        <v>322.823</v>
      </c>
      <c r="BE65" t="inlineStr">
        <is>
          <t>2029-02-15</t>
        </is>
      </c>
    </row>
    <row r="66">
      <c r="A66" t="inlineStr">
        <is>
          <t>20260514800296</t>
        </is>
      </c>
      <c r="B66" t="inlineStr">
        <is>
          <t>LNGC</t>
        </is>
      </c>
      <c r="C66" t="n">
        <v>2</v>
      </c>
      <c r="D66" t="inlineStr">
        <is>
          <t>LNG운반선 2척</t>
        </is>
      </c>
      <c r="V66" s="26" t="n">
        <v>21.387</v>
      </c>
      <c r="W66" s="26" t="n">
        <v>40.155</v>
      </c>
      <c r="X66" s="26" t="n">
        <v>40.155</v>
      </c>
      <c r="Y66" s="26" t="n">
        <v>39.282</v>
      </c>
      <c r="Z66" s="26" t="n">
        <v>39.718</v>
      </c>
      <c r="AA66" s="26" t="n">
        <v>40.155</v>
      </c>
      <c r="AB66" s="26" t="n">
        <v>40.155</v>
      </c>
      <c r="AC66" s="26" t="n">
        <v>39.718</v>
      </c>
      <c r="AD66" s="26" t="n">
        <v>39.718</v>
      </c>
      <c r="AE66" s="26" t="n">
        <v>40.155</v>
      </c>
      <c r="AF66" s="26" t="n">
        <v>40.155</v>
      </c>
      <c r="AG66" s="26" t="n">
        <v>39.282</v>
      </c>
      <c r="AH66" s="26" t="n">
        <v>39.715</v>
      </c>
      <c r="AX66" s="35" t="n">
        <v>1</v>
      </c>
      <c r="AY66" s="16" t="n">
        <v>1501.75</v>
      </c>
      <c r="AZ66" s="42" t="n">
        <v>1</v>
      </c>
      <c r="BA66" t="inlineStr">
        <is>
          <t>2026-05-13</t>
        </is>
      </c>
      <c r="BB66" t="n">
        <v>1</v>
      </c>
      <c r="BC66" t="inlineStr">
        <is>
          <t>⑤초호황</t>
        </is>
      </c>
      <c r="BD66" s="26" t="n">
        <v>499.75</v>
      </c>
      <c r="BE66" t="inlineStr">
        <is>
          <t>2029-06-30</t>
        </is>
      </c>
    </row>
    <row r="67">
      <c r="A67" t="inlineStr">
        <is>
          <t>20260518800216</t>
        </is>
      </c>
      <c r="B67" t="inlineStr">
        <is>
          <t>LNGC</t>
        </is>
      </c>
      <c r="C67" t="n">
        <v>3</v>
      </c>
      <c r="D67" t="inlineStr">
        <is>
          <t>LNG운반선 3척</t>
        </is>
      </c>
      <c r="V67" s="26" t="n">
        <v>31.612</v>
      </c>
      <c r="W67" s="26" t="n">
        <v>61.878</v>
      </c>
      <c r="X67" s="26" t="n">
        <v>61.878</v>
      </c>
      <c r="Y67" s="26" t="n">
        <v>60.533</v>
      </c>
      <c r="Z67" s="26" t="n">
        <v>61.206</v>
      </c>
      <c r="AA67" s="26" t="n">
        <v>61.878</v>
      </c>
      <c r="AB67" s="26" t="n">
        <v>61.878</v>
      </c>
      <c r="AC67" s="26" t="n">
        <v>61.206</v>
      </c>
      <c r="AD67" s="26" t="n">
        <v>61.206</v>
      </c>
      <c r="AE67" s="26" t="n">
        <v>61.878</v>
      </c>
      <c r="AF67" s="26" t="n">
        <v>61.878</v>
      </c>
      <c r="AG67" s="26" t="n">
        <v>60.533</v>
      </c>
      <c r="AH67" s="26" t="n">
        <v>41.029</v>
      </c>
      <c r="AX67" s="35" t="n">
        <v>1</v>
      </c>
      <c r="AY67" s="16" t="n">
        <v>1501.75</v>
      </c>
      <c r="AZ67" s="42" t="n">
        <v>1</v>
      </c>
      <c r="BA67" t="inlineStr">
        <is>
          <t>2026-05-15</t>
        </is>
      </c>
      <c r="BB67" t="n">
        <v>1</v>
      </c>
      <c r="BC67" t="inlineStr">
        <is>
          <t>⑤초호황</t>
        </is>
      </c>
      <c r="BD67" s="26" t="n">
        <v>748.593</v>
      </c>
      <c r="BE67" t="inlineStr">
        <is>
          <t>2029-05-31</t>
        </is>
      </c>
    </row>
    <row r="68">
      <c r="A68" t="inlineStr">
        <is>
          <t>20260527800188</t>
        </is>
      </c>
      <c r="B68" t="inlineStr">
        <is>
          <t>LNGC</t>
        </is>
      </c>
      <c r="C68" t="n">
        <v>1</v>
      </c>
      <c r="D68" t="inlineStr">
        <is>
          <t>LNG운반선 1척</t>
        </is>
      </c>
      <c r="V68" s="26" t="n">
        <v>10.273</v>
      </c>
      <c r="W68" s="26" t="n">
        <v>26.253</v>
      </c>
      <c r="X68" s="26" t="n">
        <v>26.253</v>
      </c>
      <c r="Y68" s="26" t="n">
        <v>25.682</v>
      </c>
      <c r="Z68" s="26" t="n">
        <v>25.968</v>
      </c>
      <c r="AA68" s="26" t="n">
        <v>26.253</v>
      </c>
      <c r="AB68" s="26" t="n">
        <v>26.253</v>
      </c>
      <c r="AC68" s="26" t="n">
        <v>25.968</v>
      </c>
      <c r="AD68" s="26" t="n">
        <v>25.968</v>
      </c>
      <c r="AE68" s="26" t="n">
        <v>26.253</v>
      </c>
      <c r="AF68" s="26" t="n">
        <v>8.846</v>
      </c>
      <c r="AX68" s="35" t="n">
        <v>1</v>
      </c>
      <c r="AY68" s="16" t="n">
        <v>1501.75</v>
      </c>
      <c r="AZ68" s="42" t="n">
        <v>1</v>
      </c>
      <c r="BA68" t="inlineStr">
        <is>
          <t>2026-05-26</t>
        </is>
      </c>
      <c r="BB68" t="n">
        <v>1</v>
      </c>
      <c r="BC68" t="inlineStr">
        <is>
          <t>⑤초호황</t>
        </is>
      </c>
      <c r="BD68" s="26" t="n">
        <v>253.97</v>
      </c>
      <c r="BE68" t="inlineStr">
        <is>
          <t>2028-10-31</t>
        </is>
      </c>
    </row>
    <row r="69">
      <c r="A69" t="inlineStr">
        <is>
          <t>20260527800189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V69" s="26" t="n">
        <v>6.38</v>
      </c>
      <c r="W69" s="26" t="n">
        <v>16.305</v>
      </c>
      <c r="X69" s="26" t="n">
        <v>16.305</v>
      </c>
      <c r="Y69" s="26" t="n">
        <v>15.95</v>
      </c>
      <c r="Z69" s="26" t="n">
        <v>16.127</v>
      </c>
      <c r="AA69" s="26" t="n">
        <v>16.305</v>
      </c>
      <c r="AB69" s="26" t="n">
        <v>16.305</v>
      </c>
      <c r="AC69" s="26" t="n">
        <v>16.127</v>
      </c>
      <c r="AD69" s="26" t="n">
        <v>16.127</v>
      </c>
      <c r="AE69" s="26" t="n">
        <v>16.305</v>
      </c>
      <c r="AF69" s="26" t="n">
        <v>16.305</v>
      </c>
      <c r="AG69" s="26" t="n">
        <v>15.95</v>
      </c>
      <c r="AH69" s="26" t="n">
        <v>16.127</v>
      </c>
      <c r="AI69" s="26" t="n">
        <v>16.305</v>
      </c>
      <c r="AJ69" s="26" t="n">
        <v>10.811</v>
      </c>
      <c r="AX69" s="35" t="n">
        <v>1</v>
      </c>
      <c r="AY69" s="16" t="n">
        <v>1501.75</v>
      </c>
      <c r="AZ69" s="42" t="n">
        <v>1</v>
      </c>
      <c r="BA69" t="inlineStr">
        <is>
          <t>2026-05-26</t>
        </is>
      </c>
      <c r="BB69" t="n">
        <v>1</v>
      </c>
      <c r="BC69" t="inlineStr">
        <is>
          <t>⑤초호황</t>
        </is>
      </c>
      <c r="BD69" s="26" t="n">
        <v>227.734</v>
      </c>
      <c r="BE69" t="inlineStr">
        <is>
          <t>2029-11-30</t>
        </is>
      </c>
    </row>
    <row r="70">
      <c r="A70" t="inlineStr">
        <is>
          <t>20260527800191</t>
        </is>
      </c>
      <c r="B70" t="inlineStr">
        <is>
          <t>VLCC</t>
        </is>
      </c>
      <c r="C70" t="n">
        <v>2</v>
      </c>
      <c r="D70" t="inlineStr">
        <is>
          <t>유조선 2척</t>
        </is>
      </c>
      <c r="V70" s="26" t="n">
        <v>10.112</v>
      </c>
      <c r="W70" s="26" t="n">
        <v>25.841</v>
      </c>
      <c r="X70" s="26" t="n">
        <v>25.841</v>
      </c>
      <c r="Y70" s="26" t="n">
        <v>25.28</v>
      </c>
      <c r="Z70" s="26" t="n">
        <v>25.561</v>
      </c>
      <c r="AA70" s="26" t="n">
        <v>25.841</v>
      </c>
      <c r="AB70" s="26" t="n">
        <v>25.841</v>
      </c>
      <c r="AC70" s="26" t="n">
        <v>21.067</v>
      </c>
      <c r="AX70" s="35" t="n">
        <v>1</v>
      </c>
      <c r="AY70" s="16" t="n">
        <v>1501.75</v>
      </c>
      <c r="AZ70" s="42" t="n">
        <v>1</v>
      </c>
      <c r="BA70" t="inlineStr">
        <is>
          <t>2026-05-26</t>
        </is>
      </c>
      <c r="BB70" t="n">
        <v>1</v>
      </c>
      <c r="BC70" t="inlineStr">
        <is>
          <t>⑤초호황</t>
        </is>
      </c>
      <c r="BD70" s="26" t="n">
        <v>185.384</v>
      </c>
      <c r="BE70" t="inlineStr">
        <is>
          <t>2028-03-15</t>
        </is>
      </c>
    </row>
    <row r="71">
      <c r="A71" t="inlineStr">
        <is>
          <t>20260604800001</t>
        </is>
      </c>
      <c r="B71" t="inlineStr">
        <is>
          <t>OFFSH</t>
        </is>
      </c>
      <c r="C71" t="n">
        <v>1</v>
      </c>
      <c r="D71" t="inlineStr">
        <is>
          <t>해양생산설비 1기</t>
        </is>
      </c>
      <c r="V71" s="26" t="n">
        <v>57.285</v>
      </c>
      <c r="W71" s="26" t="n">
        <v>175.675</v>
      </c>
      <c r="X71" s="26" t="n">
        <v>175.675</v>
      </c>
      <c r="Y71" s="26" t="n">
        <v>171.856</v>
      </c>
      <c r="Z71" s="26" t="n">
        <v>173.766</v>
      </c>
      <c r="AA71" s="26" t="n">
        <v>175.675</v>
      </c>
      <c r="AB71" s="26" t="n">
        <v>175.675</v>
      </c>
      <c r="AC71" s="26" t="n">
        <v>173.766</v>
      </c>
      <c r="AD71" s="26" t="n">
        <v>173.766</v>
      </c>
      <c r="AE71" s="26" t="n">
        <v>175.675</v>
      </c>
      <c r="AF71" s="26" t="n">
        <v>175.675</v>
      </c>
      <c r="AG71" s="26" t="n">
        <v>171.856</v>
      </c>
      <c r="AH71" s="26" t="n">
        <v>173.766</v>
      </c>
      <c r="AI71" s="26" t="n">
        <v>175.675</v>
      </c>
      <c r="AJ71" s="26" t="n">
        <v>175.675</v>
      </c>
      <c r="AK71" s="26" t="n">
        <v>171.856</v>
      </c>
      <c r="AL71" s="26" t="n">
        <v>173.766</v>
      </c>
      <c r="AM71" s="26" t="n">
        <v>36.286</v>
      </c>
      <c r="AX71" s="35" t="n">
        <v>1</v>
      </c>
      <c r="AY71" s="16" t="n">
        <v>1501.75</v>
      </c>
      <c r="AZ71" s="42" t="n">
        <v>1</v>
      </c>
      <c r="BA71" t="inlineStr">
        <is>
          <t>2026-06-01</t>
        </is>
      </c>
      <c r="BB71" t="n">
        <v>1</v>
      </c>
      <c r="BC71" t="inlineStr">
        <is>
          <t>⑤초호황</t>
        </is>
      </c>
      <c r="BD71" s="26" t="n">
        <v>2883.369</v>
      </c>
      <c r="BE71" t="inlineStr">
        <is>
          <t>2030-07-19</t>
        </is>
      </c>
    </row>
    <row r="72">
      <c r="A72" t="inlineStr">
        <is>
          <t>20260608800137</t>
        </is>
      </c>
      <c r="B72" t="inlineStr">
        <is>
          <t>LNGC</t>
        </is>
      </c>
      <c r="C72" t="n">
        <v>1</v>
      </c>
      <c r="D72" t="inlineStr">
        <is>
          <t>LNG운반선 1척</t>
        </is>
      </c>
      <c r="V72" s="26" t="n">
        <v>7.033</v>
      </c>
      <c r="W72" s="26" t="n">
        <v>24.886</v>
      </c>
      <c r="X72" s="26" t="n">
        <v>24.886</v>
      </c>
      <c r="Y72" s="26" t="n">
        <v>24.345</v>
      </c>
      <c r="Z72" s="26" t="n">
        <v>24.615</v>
      </c>
      <c r="AA72" s="26" t="n">
        <v>24.886</v>
      </c>
      <c r="AB72" s="26" t="n">
        <v>24.886</v>
      </c>
      <c r="AC72" s="26" t="n">
        <v>24.615</v>
      </c>
      <c r="AD72" s="26" t="n">
        <v>24.615</v>
      </c>
      <c r="AE72" s="26" t="n">
        <v>24.886</v>
      </c>
      <c r="AF72" s="26" t="n">
        <v>24.886</v>
      </c>
      <c r="AG72" s="26" t="n">
        <v>2.162</v>
      </c>
      <c r="AX72" s="35" t="n">
        <v>1</v>
      </c>
      <c r="AY72" s="16" t="n">
        <v>1501.75</v>
      </c>
      <c r="AZ72" s="42" t="n">
        <v>1</v>
      </c>
      <c r="BA72" t="inlineStr">
        <is>
          <t>2026-06-05</t>
        </is>
      </c>
      <c r="BB72" t="n">
        <v>1</v>
      </c>
      <c r="BC72" t="inlineStr">
        <is>
          <t>⑤초호황</t>
        </is>
      </c>
      <c r="BD72" s="26" t="n">
        <v>256.701</v>
      </c>
      <c r="BE72" t="inlineStr">
        <is>
          <t>2029-01-08</t>
        </is>
      </c>
    </row>
    <row r="73">
      <c r="A73" t="inlineStr">
        <is>
          <t>20260608800714</t>
        </is>
      </c>
      <c r="B73" t="inlineStr">
        <is>
          <t>OFFSH</t>
        </is>
      </c>
      <c r="C73" t="n">
        <v>1</v>
      </c>
      <c r="D73" t="inlineStr">
        <is>
          <t>해양생산설비 1기</t>
        </is>
      </c>
      <c r="J73" s="26" t="n">
        <v>14.275</v>
      </c>
      <c r="K73" s="26" t="n">
        <v>50.511</v>
      </c>
      <c r="L73" s="26" t="n">
        <v>50.511</v>
      </c>
      <c r="M73" s="26" t="n">
        <v>49.962</v>
      </c>
      <c r="N73" s="26" t="n">
        <v>49.962</v>
      </c>
      <c r="O73" s="26" t="n">
        <v>50.511</v>
      </c>
      <c r="P73" s="26" t="n">
        <v>50.511</v>
      </c>
      <c r="Q73" s="26" t="n">
        <v>49.412</v>
      </c>
      <c r="R73" s="26" t="n">
        <v>49.962</v>
      </c>
      <c r="S73" s="26" t="n">
        <v>50.511</v>
      </c>
      <c r="T73" s="26" t="n">
        <v>50.511</v>
      </c>
      <c r="U73" s="26" t="n">
        <v>49.412</v>
      </c>
      <c r="V73" s="26" t="n">
        <v>49.962</v>
      </c>
      <c r="W73" s="26" t="n">
        <v>50.511</v>
      </c>
      <c r="X73" s="26" t="n">
        <v>50.511</v>
      </c>
      <c r="Y73" s="26" t="n">
        <v>49.412</v>
      </c>
      <c r="Z73" s="26" t="n">
        <v>49.962</v>
      </c>
      <c r="AA73" s="26" t="n">
        <v>50.511</v>
      </c>
      <c r="AB73" s="26" t="n">
        <v>50.511</v>
      </c>
      <c r="AC73" s="26" t="n">
        <v>49.962</v>
      </c>
      <c r="AD73" s="26" t="n">
        <v>49.962</v>
      </c>
      <c r="AE73" s="26" t="n">
        <v>50.511</v>
      </c>
      <c r="AF73" s="26" t="n">
        <v>50.511</v>
      </c>
      <c r="AG73" s="26" t="n">
        <v>49.412</v>
      </c>
      <c r="AH73" s="26" t="n">
        <v>49.962</v>
      </c>
      <c r="AI73" s="26" t="n">
        <v>50.503</v>
      </c>
      <c r="AX73" s="35" t="n">
        <v>1</v>
      </c>
      <c r="AY73" s="16" t="n">
        <v>1501.75</v>
      </c>
      <c r="AZ73" s="42" t="n">
        <v>1</v>
      </c>
      <c r="BA73" t="inlineStr">
        <is>
          <t>2026-06-06</t>
        </is>
      </c>
      <c r="BB73" t="n">
        <v>1</v>
      </c>
      <c r="BC73" t="inlineStr">
        <is>
          <t>⑤초호황</t>
        </is>
      </c>
      <c r="BD73" s="26" t="n">
        <v>1268.254</v>
      </c>
      <c r="BE73" t="inlineStr">
        <is>
          <t>2029-09-30</t>
        </is>
      </c>
    </row>
    <row r="74">
      <c r="A74" t="inlineStr">
        <is>
          <t>20260608800716</t>
        </is>
      </c>
      <c r="B74" t="inlineStr">
        <is>
          <t>OFFSH</t>
        </is>
      </c>
      <c r="D74" t="inlineStr">
        <is>
          <t>해양생산설비 본 계약 체결전 예비 작업</t>
        </is>
      </c>
      <c r="S74" s="26" t="n">
        <v>293.274</v>
      </c>
      <c r="T74" s="26" t="n">
        <v>303.159</v>
      </c>
      <c r="U74" s="26" t="n">
        <v>296.569</v>
      </c>
      <c r="V74" s="26" t="n">
        <v>227.37</v>
      </c>
      <c r="AX74" s="35" t="n">
        <v>1</v>
      </c>
      <c r="AY74" s="16" t="n">
        <v>1386.95</v>
      </c>
      <c r="AZ74" s="42" t="n">
        <v>1</v>
      </c>
      <c r="BA74" t="inlineStr">
        <is>
          <t>2025-07-04</t>
        </is>
      </c>
      <c r="BB74" t="n">
        <v>1</v>
      </c>
      <c r="BD74" s="26" t="n">
        <v>1120.372</v>
      </c>
      <c r="BE74" t="inlineStr">
        <is>
          <t>2026-06-08</t>
        </is>
      </c>
    </row>
    <row r="75">
      <c r="A75" t="inlineStr">
        <is>
          <t>20260702800158</t>
        </is>
      </c>
      <c r="B75" t="inlineStr">
        <is>
          <t>VLCC</t>
        </is>
      </c>
      <c r="C75" t="n">
        <v>2</v>
      </c>
      <c r="D75" t="inlineStr">
        <is>
          <t>유조선 2척</t>
        </is>
      </c>
      <c r="W75" s="26" t="n">
        <v>16.176</v>
      </c>
      <c r="X75" s="26" t="n">
        <v>16.176</v>
      </c>
      <c r="Y75" s="26" t="n">
        <v>15.824</v>
      </c>
      <c r="Z75" s="26" t="n">
        <v>16</v>
      </c>
      <c r="AA75" s="26" t="n">
        <v>16.176</v>
      </c>
      <c r="AB75" s="26" t="n">
        <v>16.176</v>
      </c>
      <c r="AC75" s="26" t="n">
        <v>16</v>
      </c>
      <c r="AD75" s="26" t="n">
        <v>16</v>
      </c>
      <c r="AE75" s="26" t="n">
        <v>16.176</v>
      </c>
      <c r="AF75" s="26" t="n">
        <v>16.176</v>
      </c>
      <c r="AG75" s="26" t="n">
        <v>15.824</v>
      </c>
      <c r="AH75" s="26" t="n">
        <v>16.001</v>
      </c>
      <c r="AX75" s="35" t="n">
        <v>0</v>
      </c>
      <c r="AY75" s="16" t="n">
        <v>1418.75</v>
      </c>
      <c r="AZ75" s="42" t="n">
        <v>1</v>
      </c>
      <c r="BA75" t="inlineStr">
        <is>
          <t>2026-07-01</t>
        </is>
      </c>
      <c r="BB75" t="n">
        <v>0</v>
      </c>
      <c r="BC75" t="inlineStr">
        <is>
          <t>⑤초호황</t>
        </is>
      </c>
      <c r="BD75" s="26" t="n">
        <v>192.705</v>
      </c>
      <c r="BE75" t="inlineStr">
        <is>
          <t>2029-06-30</t>
        </is>
      </c>
    </row>
    <row r="76">
      <c r="A76" t="inlineStr">
        <is>
          <t>20260708800164</t>
        </is>
      </c>
      <c r="B76" t="inlineStr">
        <is>
          <t>VLCC</t>
        </is>
      </c>
      <c r="C76" t="n">
        <v>2</v>
      </c>
      <c r="D76" t="inlineStr">
        <is>
          <t>유조선 2척</t>
        </is>
      </c>
      <c r="W76" s="26" t="n">
        <v>16.542</v>
      </c>
      <c r="X76" s="26" t="n">
        <v>17.696</v>
      </c>
      <c r="Y76" s="26" t="n">
        <v>17.311</v>
      </c>
      <c r="Z76" s="26" t="n">
        <v>17.504</v>
      </c>
      <c r="AA76" s="26" t="n">
        <v>17.696</v>
      </c>
      <c r="AB76" s="26" t="n">
        <v>17.696</v>
      </c>
      <c r="AC76" s="26" t="n">
        <v>17.504</v>
      </c>
      <c r="AD76" s="26" t="n">
        <v>17.504</v>
      </c>
      <c r="AE76" s="26" t="n">
        <v>17.696</v>
      </c>
      <c r="AF76" s="26" t="n">
        <v>17.696</v>
      </c>
      <c r="AG76" s="26" t="n">
        <v>17.311</v>
      </c>
      <c r="AH76" s="26" t="n">
        <v>8.654999999999999</v>
      </c>
      <c r="AX76" s="35" t="n">
        <v>0</v>
      </c>
      <c r="AY76" s="16" t="n">
        <v>1418.75</v>
      </c>
      <c r="AZ76" s="42" t="n">
        <v>1</v>
      </c>
      <c r="BA76" t="inlineStr">
        <is>
          <t>2026-07-07</t>
        </is>
      </c>
      <c r="BB76" t="n">
        <v>0</v>
      </c>
      <c r="BC76" t="inlineStr">
        <is>
          <t>⑤초호황</t>
        </is>
      </c>
      <c r="BD76" s="26" t="n">
        <v>200.811</v>
      </c>
      <c r="BE76" t="inlineStr">
        <is>
          <t>2029-05-15</t>
        </is>
      </c>
    </row>
    <row r="77">
      <c r="A77" t="inlineStr">
        <is>
          <t>20260728800579</t>
        </is>
      </c>
      <c r="B77" t="inlineStr">
        <is>
          <t>OTHER</t>
        </is>
      </c>
      <c r="D77" t="inlineStr">
        <is>
          <t>P4 Ph4(상동) 마감공사</t>
        </is>
      </c>
      <c r="S77" s="26" t="n">
        <v>50.409</v>
      </c>
      <c r="T77" s="26" t="n">
        <v>61.834</v>
      </c>
      <c r="U77" s="26" t="n">
        <v>60.49</v>
      </c>
      <c r="V77" s="26" t="n">
        <v>61.162</v>
      </c>
      <c r="W77" s="26" t="n">
        <v>61.834</v>
      </c>
      <c r="X77" s="26" t="n">
        <v>61.834</v>
      </c>
      <c r="Y77" s="26" t="n">
        <v>60.49</v>
      </c>
      <c r="Z77" s="26" t="n">
        <v>20.165</v>
      </c>
      <c r="AX77" s="35" t="n">
        <v>0</v>
      </c>
      <c r="AY77" s="16" t="n">
        <v>1386.95</v>
      </c>
      <c r="AZ77" s="42" t="n">
        <v>1</v>
      </c>
      <c r="BA77" t="inlineStr">
        <is>
          <t>2025-07-18</t>
        </is>
      </c>
      <c r="BB77" t="n">
        <v>1</v>
      </c>
      <c r="BD77" s="26" t="n">
        <v>438.218</v>
      </c>
      <c r="BE77" t="inlineStr">
        <is>
          <t>2027-04-30</t>
        </is>
      </c>
    </row>
    <row r="78">
      <c r="A78" t="inlineStr">
        <is>
          <t>20260803800398</t>
        </is>
      </c>
      <c r="B78" t="inlineStr">
        <is>
          <t>VLCC</t>
        </is>
      </c>
      <c r="C78" t="n">
        <v>2</v>
      </c>
      <c r="D78" t="inlineStr">
        <is>
          <t>유조선 2척</t>
        </is>
      </c>
      <c r="W78" s="26" t="n">
        <v>10.383</v>
      </c>
      <c r="X78" s="26" t="n">
        <v>15.407</v>
      </c>
      <c r="Y78" s="26" t="n">
        <v>15.072</v>
      </c>
      <c r="Z78" s="26" t="n">
        <v>15.239</v>
      </c>
      <c r="AA78" s="26" t="n">
        <v>15.407</v>
      </c>
      <c r="AB78" s="26" t="n">
        <v>15.407</v>
      </c>
      <c r="AC78" s="26" t="n">
        <v>15.239</v>
      </c>
      <c r="AD78" s="26" t="n">
        <v>15.239</v>
      </c>
      <c r="AE78" s="26" t="n">
        <v>15.407</v>
      </c>
      <c r="AF78" s="26" t="n">
        <v>15.407</v>
      </c>
      <c r="AG78" s="26" t="n">
        <v>15.072</v>
      </c>
      <c r="AH78" s="26" t="n">
        <v>15.239</v>
      </c>
      <c r="AI78" s="26" t="n">
        <v>10.381</v>
      </c>
      <c r="AX78" s="35" t="n">
        <v>0</v>
      </c>
      <c r="AY78" s="16" t="n">
        <v>1418.75</v>
      </c>
      <c r="AZ78" s="42" t="n">
        <v>1</v>
      </c>
      <c r="BA78" t="inlineStr">
        <is>
          <t>2026-07-31</t>
        </is>
      </c>
      <c r="BB78" t="n">
        <v>0</v>
      </c>
      <c r="BC78" t="inlineStr">
        <is>
          <t>⑤초호황</t>
        </is>
      </c>
      <c r="BD78" s="26" t="n">
        <v>188.899</v>
      </c>
      <c r="BE78" t="inlineStr">
        <is>
          <t>2029-08-31</t>
        </is>
      </c>
    </row>
    <row r="79">
      <c r="A79" t="inlineStr">
        <is>
          <t>20260831800071</t>
        </is>
      </c>
      <c r="B79" t="inlineStr">
        <is>
          <t>CONT</t>
        </is>
      </c>
      <c r="C79" t="n">
        <v>2</v>
      </c>
      <c r="D79" t="inlineStr">
        <is>
          <t>컨테이너선 2척</t>
        </is>
      </c>
      <c r="W79" s="26" t="n">
        <v>12.488</v>
      </c>
      <c r="X79" s="26" t="n">
        <v>33.791</v>
      </c>
      <c r="Y79" s="26" t="n">
        <v>33.057</v>
      </c>
      <c r="Z79" s="26" t="n">
        <v>33.424</v>
      </c>
      <c r="AA79" s="26" t="n">
        <v>33.791</v>
      </c>
      <c r="AB79" s="26" t="n">
        <v>33.791</v>
      </c>
      <c r="AC79" s="26" t="n">
        <v>33.424</v>
      </c>
      <c r="AD79" s="26" t="n">
        <v>33.424</v>
      </c>
      <c r="AE79" s="26" t="n">
        <v>33.791</v>
      </c>
      <c r="AF79" s="26" t="n">
        <v>32.323</v>
      </c>
      <c r="AX79" s="35" t="n">
        <v>0</v>
      </c>
      <c r="AY79" s="16" t="n">
        <v>1418.75</v>
      </c>
      <c r="AZ79" s="42" t="n">
        <v>1</v>
      </c>
      <c r="BA79" t="inlineStr">
        <is>
          <t>2026-08-28</t>
        </is>
      </c>
      <c r="BB79" t="n">
        <v>0</v>
      </c>
      <c r="BC79" t="inlineStr">
        <is>
          <t>⑤초호황</t>
        </is>
      </c>
      <c r="BD79" s="26" t="n">
        <v>313.304</v>
      </c>
      <c r="BE79" t="inlineStr">
        <is>
          <t>2028-12-27</t>
        </is>
      </c>
    </row>
    <row r="80">
      <c r="A80" t="inlineStr">
        <is>
          <t>20260831800178</t>
        </is>
      </c>
      <c r="B80" t="inlineStr">
        <is>
          <t>OTHER</t>
        </is>
      </c>
      <c r="D80" t="inlineStr">
        <is>
          <t>[P4 Ph2(하동)] FAB동 마감공사</t>
        </is>
      </c>
      <c r="K80" s="26" t="n">
        <v>23.147</v>
      </c>
      <c r="L80" s="26" t="n">
        <v>27.301</v>
      </c>
      <c r="M80" s="26" t="n">
        <v>27.004</v>
      </c>
      <c r="N80" s="26" t="n">
        <v>27.004</v>
      </c>
      <c r="O80" s="26" t="n">
        <v>27.301</v>
      </c>
      <c r="P80" s="26" t="n">
        <v>27.301</v>
      </c>
      <c r="Q80" s="26" t="n">
        <v>26.708</v>
      </c>
      <c r="R80" s="26" t="n">
        <v>27.004</v>
      </c>
      <c r="S80" s="26" t="n">
        <v>27.301</v>
      </c>
      <c r="T80" s="26" t="n">
        <v>27.301</v>
      </c>
      <c r="U80" s="26" t="n">
        <v>26.708</v>
      </c>
      <c r="V80" s="26" t="n">
        <v>27.004</v>
      </c>
      <c r="W80" s="26" t="n">
        <v>27.301</v>
      </c>
      <c r="X80" s="26" t="n">
        <v>27.301</v>
      </c>
      <c r="Y80" s="26" t="n">
        <v>26.708</v>
      </c>
      <c r="Z80" s="26" t="n">
        <v>27.004</v>
      </c>
      <c r="AA80" s="26" t="n">
        <v>27.301</v>
      </c>
      <c r="AB80" s="26" t="n">
        <v>27.303</v>
      </c>
      <c r="AX80" s="35" t="n">
        <v>0</v>
      </c>
      <c r="AY80" s="16" t="n">
        <v>1322.01</v>
      </c>
      <c r="AZ80" s="42" t="n">
        <v>1</v>
      </c>
      <c r="BA80" t="inlineStr">
        <is>
          <t>2023-12-13</t>
        </is>
      </c>
      <c r="BB80" t="n">
        <v>1</v>
      </c>
      <c r="BD80" s="26" t="n">
        <v>484.002</v>
      </c>
      <c r="BE80" t="inlineStr">
        <is>
          <t>2027-12-31</t>
        </is>
      </c>
    </row>
    <row r="81">
      <c r="A81" t="inlineStr">
        <is>
          <t>20260911800485</t>
        </is>
      </c>
      <c r="B81" t="inlineStr">
        <is>
          <t>VLCC</t>
        </is>
      </c>
      <c r="C81" t="n">
        <v>3</v>
      </c>
      <c r="D81" t="inlineStr">
        <is>
          <t>유조선 3척</t>
        </is>
      </c>
      <c r="T81" s="26" t="n">
        <v>13.118</v>
      </c>
      <c r="U81" s="26" t="n">
        <v>16.866</v>
      </c>
      <c r="V81" s="26" t="n">
        <v>17.053</v>
      </c>
      <c r="W81" s="26" t="n">
        <v>17.241</v>
      </c>
      <c r="X81" s="26" t="n">
        <v>17.241</v>
      </c>
      <c r="Y81" s="26" t="n">
        <v>16.866</v>
      </c>
      <c r="Z81" s="26" t="n">
        <v>17.053</v>
      </c>
      <c r="AA81" s="26" t="n">
        <v>17.241</v>
      </c>
      <c r="AB81" s="26" t="n">
        <v>17.241</v>
      </c>
      <c r="AC81" s="26" t="n">
        <v>17.053</v>
      </c>
      <c r="AD81" s="26" t="n">
        <v>17.053</v>
      </c>
      <c r="AE81" s="26" t="n">
        <v>17.241</v>
      </c>
      <c r="AF81" s="26" t="n">
        <v>17.241</v>
      </c>
      <c r="AG81" s="26" t="n">
        <v>16.865</v>
      </c>
      <c r="AX81" s="35" t="n">
        <v>1</v>
      </c>
      <c r="AY81" s="16" t="n">
        <v>1449.19</v>
      </c>
      <c r="AZ81" s="42" t="n">
        <v>1</v>
      </c>
      <c r="BA81" t="inlineStr">
        <is>
          <t>2025-10-23</t>
        </is>
      </c>
      <c r="BB81" t="n">
        <v>1</v>
      </c>
      <c r="BC81" t="inlineStr">
        <is>
          <t>⑤초호황</t>
        </is>
      </c>
      <c r="BD81" s="26" t="n">
        <v>235.373</v>
      </c>
      <c r="BE81" t="inlineStr">
        <is>
          <t>2029-03-31</t>
        </is>
      </c>
    </row>
    <row r="82">
      <c r="A82" t="inlineStr">
        <is>
          <t>20260914800075</t>
        </is>
      </c>
      <c r="B82" t="inlineStr">
        <is>
          <t>LNGC</t>
        </is>
      </c>
      <c r="C82" t="n">
        <v>4</v>
      </c>
      <c r="D82" t="inlineStr">
        <is>
          <t>LNG운반선 4척</t>
        </is>
      </c>
      <c r="W82" s="26" t="n">
        <v>17.815</v>
      </c>
      <c r="X82" s="26" t="n">
        <v>81.94799999999999</v>
      </c>
      <c r="Y82" s="26" t="n">
        <v>80.166</v>
      </c>
      <c r="Z82" s="26" t="n">
        <v>81.057</v>
      </c>
      <c r="AA82" s="26" t="n">
        <v>81.94799999999999</v>
      </c>
      <c r="AB82" s="26" t="n">
        <v>81.94799999999999</v>
      </c>
      <c r="AC82" s="26" t="n">
        <v>81.057</v>
      </c>
      <c r="AD82" s="26" t="n">
        <v>81.057</v>
      </c>
      <c r="AE82" s="26" t="n">
        <v>81.94799999999999</v>
      </c>
      <c r="AF82" s="26" t="n">
        <v>81.94799999999999</v>
      </c>
      <c r="AG82" s="26" t="n">
        <v>80.166</v>
      </c>
      <c r="AH82" s="26" t="n">
        <v>81.057</v>
      </c>
      <c r="AI82" s="26" t="n">
        <v>80.167</v>
      </c>
      <c r="AX82" s="35" t="n">
        <v>0</v>
      </c>
      <c r="AY82" s="16" t="n">
        <v>1418.75</v>
      </c>
      <c r="AZ82" s="42" t="n">
        <v>1</v>
      </c>
      <c r="BA82" t="inlineStr">
        <is>
          <t>2026-09-11</t>
        </is>
      </c>
      <c r="BB82" t="n">
        <v>0</v>
      </c>
      <c r="BC82" t="inlineStr">
        <is>
          <t>⑤초호황</t>
        </is>
      </c>
      <c r="BD82" s="26" t="n">
        <v>992.282</v>
      </c>
      <c r="BE82" t="inlineStr">
        <is>
          <t>2029-09-28</t>
        </is>
      </c>
    </row>
    <row r="83">
      <c r="A83" t="inlineStr">
        <is>
          <t>20260930800054</t>
        </is>
      </c>
      <c r="B83" t="inlineStr">
        <is>
          <t>VLGC</t>
        </is>
      </c>
      <c r="C83" t="n">
        <v>2</v>
      </c>
      <c r="D83" t="inlineStr">
        <is>
          <t>VLGC 2척</t>
        </is>
      </c>
      <c r="W83" s="26" t="n">
        <v>0.347</v>
      </c>
      <c r="X83" s="26" t="n">
        <v>15.96</v>
      </c>
      <c r="Y83" s="26" t="n">
        <v>15.613</v>
      </c>
      <c r="Z83" s="26" t="n">
        <v>15.786</v>
      </c>
      <c r="AA83" s="26" t="n">
        <v>15.96</v>
      </c>
      <c r="AB83" s="26" t="n">
        <v>15.96</v>
      </c>
      <c r="AC83" s="26" t="n">
        <v>15.786</v>
      </c>
      <c r="AD83" s="26" t="n">
        <v>15.786</v>
      </c>
      <c r="AE83" s="26" t="n">
        <v>15.96</v>
      </c>
      <c r="AF83" s="26" t="n">
        <v>15.96</v>
      </c>
      <c r="AG83" s="26" t="n">
        <v>15.613</v>
      </c>
      <c r="AH83" s="26" t="n">
        <v>15.786</v>
      </c>
      <c r="AI83" s="26" t="n">
        <v>15.96</v>
      </c>
      <c r="AJ83" s="26" t="n">
        <v>15.96</v>
      </c>
      <c r="AK83" s="26" t="n">
        <v>10.233</v>
      </c>
      <c r="AX83" s="35" t="n">
        <v>0</v>
      </c>
      <c r="AY83" s="16" t="n">
        <v>1418.75</v>
      </c>
      <c r="AZ83" s="42" t="n">
        <v>1</v>
      </c>
      <c r="BA83" t="inlineStr">
        <is>
          <t>2026-09-29</t>
        </is>
      </c>
      <c r="BB83" t="n">
        <v>0</v>
      </c>
      <c r="BC83" t="inlineStr">
        <is>
          <t>⑤초호황</t>
        </is>
      </c>
      <c r="BD83" s="26" t="n">
        <v>216.67</v>
      </c>
      <c r="BE83" t="inlineStr">
        <is>
          <t>2030-02-28</t>
        </is>
      </c>
    </row>
    <row r="84">
      <c r="A84" t="inlineStr">
        <is>
          <t>20261002800245</t>
        </is>
      </c>
      <c r="B84" t="inlineStr">
        <is>
          <t>LNGC</t>
        </is>
      </c>
      <c r="C84" t="n">
        <v>2</v>
      </c>
      <c r="D84" t="inlineStr">
        <is>
          <t>LNG운반선 2척</t>
        </is>
      </c>
      <c r="X84" s="26" t="n">
        <v>46.7</v>
      </c>
      <c r="Y84" s="26" t="n">
        <v>46.187</v>
      </c>
      <c r="Z84" s="26" t="n">
        <v>46.7</v>
      </c>
      <c r="AA84" s="26" t="n">
        <v>47.213</v>
      </c>
      <c r="AB84" s="26" t="n">
        <v>47.213</v>
      </c>
      <c r="AC84" s="26" t="n">
        <v>46.7</v>
      </c>
      <c r="AD84" s="26" t="n">
        <v>46.7</v>
      </c>
      <c r="AE84" s="26" t="n">
        <v>47.213</v>
      </c>
      <c r="AF84" s="26" t="n">
        <v>47.213</v>
      </c>
      <c r="AG84" s="26" t="n">
        <v>46.187</v>
      </c>
      <c r="AH84" s="26" t="n">
        <v>31.305</v>
      </c>
      <c r="AX84" s="35" t="n">
        <v>0</v>
      </c>
      <c r="AY84" s="16" t="n">
        <v>1346.2</v>
      </c>
      <c r="AZ84" s="42" t="n">
        <v>1</v>
      </c>
      <c r="BA84" t="inlineStr">
        <is>
          <t>2026-10-02</t>
        </is>
      </c>
      <c r="BB84" t="n">
        <v>0</v>
      </c>
      <c r="BC84" t="inlineStr">
        <is>
          <t>⑤초호황</t>
        </is>
      </c>
      <c r="BD84" s="26" t="n">
        <v>499.331</v>
      </c>
      <c r="BE84" t="inlineStr">
        <is>
          <t>2029-05-31</t>
        </is>
      </c>
    </row>
    <row r="86">
      <c r="A86" s="1" t="inlineStr">
        <is>
          <t>② 계약별 원화(백만원, 수식)</t>
        </is>
      </c>
      <c r="B86" s="1" t="inlineStr">
        <is>
          <t>type</t>
        </is>
      </c>
      <c r="C86" s="1" t="inlineStr">
        <is>
          <t>ships</t>
        </is>
      </c>
      <c r="D86" s="1" t="inlineStr">
        <is>
          <t>name</t>
        </is>
      </c>
    </row>
    <row r="87">
      <c r="A87" t="inlineStr">
        <is>
          <t>20240701800160</t>
        </is>
      </c>
      <c r="B87" t="inlineStr">
        <is>
          <t>LNGC</t>
        </is>
      </c>
      <c r="C87" t="n">
        <v>4</v>
      </c>
      <c r="D87" t="inlineStr">
        <is>
          <t>LNG 운반선 4척</t>
        </is>
      </c>
      <c r="N87" s="18">
        <f>IFERROR(N32*$AX32*(1+($AZ32-1)*N$29)*($D$26*$AY32+(1-$D$26)*N$28),"")</f>
        <v/>
      </c>
      <c r="O87" s="18">
        <f>IFERROR(O32*$AX32*(1+($AZ32-1)*O$29)*($D$26*$AY32+(1-$D$26)*O$28),"")</f>
        <v/>
      </c>
      <c r="P87" s="18">
        <f>IFERROR(P32*$AX32*(1+($AZ32-1)*P$29)*($D$26*$AY32+(1-$D$26)*P$28),"")</f>
        <v/>
      </c>
      <c r="Q87" s="18">
        <f>IFERROR(Q32*$AX32*(1+($AZ32-1)*Q$29)*($D$26*$AY32+(1-$D$26)*Q$28),"")</f>
        <v/>
      </c>
      <c r="R87" s="18">
        <f>IFERROR(R32*$AX32*(1+($AZ32-1)*R$29)*($D$26*$AY32+(1-$D$26)*R$28),"")</f>
        <v/>
      </c>
      <c r="S87" s="18">
        <f>IFERROR(S32*$AX32*(1+($AZ32-1)*S$29)*($D$26*$AY32+(1-$D$26)*S$28),"")</f>
        <v/>
      </c>
      <c r="T87" s="18">
        <f>IFERROR(T32*$AX32*(1+($AZ32-1)*T$29)*($D$26*$AY32+(1-$D$26)*T$28),"")</f>
        <v/>
      </c>
      <c r="U87" s="18">
        <f>IFERROR(U32*$AX32*(1+($AZ32-1)*U$29)*($D$26*$AY32+(1-$D$26)*U$28),"")</f>
        <v/>
      </c>
      <c r="V87" s="18">
        <f>IFERROR(V32*$AX32*(1+($AZ32-1)*V$29)*($D$26*$AY32+(1-$D$26)*V$28),"")</f>
        <v/>
      </c>
      <c r="W87" s="18">
        <f>IFERROR(W32*$AX32*(1+($AZ32-1)*W$29)*($D$26*$AY32+(1-$D$26)*W$28),"")</f>
        <v/>
      </c>
      <c r="X87" s="18">
        <f>IFERROR(X32*$AX32*(1+($AZ32-1)*X$29)*($D$26*$AY32+(1-$D$26)*X$28),"")</f>
        <v/>
      </c>
      <c r="Y87" s="18">
        <f>IFERROR(Y32*$AX32*(1+($AZ32-1)*Y$29)*($D$26*$AY32+(1-$D$26)*Y$28),"")</f>
        <v/>
      </c>
      <c r="Z87" s="18">
        <f>IFERROR(Z32*$AX32*(1+($AZ32-1)*Z$29)*($D$26*$AY32+(1-$D$26)*Z$28),"")</f>
        <v/>
      </c>
      <c r="AA87" s="18">
        <f>IFERROR(AA32*$AX32*(1+($AZ32-1)*AA$29)*($D$26*$AY32+(1-$D$26)*AA$28),"")</f>
        <v/>
      </c>
      <c r="AB87" s="18">
        <f>IFERROR(AB32*$AX32*(1+($AZ32-1)*AB$29)*($D$26*$AY32+(1-$D$26)*AB$28),"")</f>
        <v/>
      </c>
      <c r="AC87" s="18">
        <f>IFERROR(AC32*$AX32*(1+($AZ32-1)*AC$29)*($D$26*$AY32+(1-$D$26)*AC$28),"")</f>
        <v/>
      </c>
      <c r="AD87" s="18">
        <f>IFERROR(AD32*$AX32*(1+($AZ32-1)*AD$29)*($D$26*$AY32+(1-$D$26)*AD$28),"")</f>
        <v/>
      </c>
      <c r="AE87" s="18">
        <f>IFERROR(AE32*$AX32*(1+($AZ32-1)*AE$29)*($D$26*$AY32+(1-$D$26)*AE$28),"")</f>
        <v/>
      </c>
    </row>
    <row r="88">
      <c r="A88" t="inlineStr">
        <is>
          <t>20241002800072</t>
        </is>
      </c>
      <c r="B88" t="inlineStr">
        <is>
          <t>LNGC</t>
        </is>
      </c>
      <c r="C88" t="n">
        <v>2</v>
      </c>
      <c r="D88" t="inlineStr">
        <is>
          <t>LNG 운반선 2척</t>
        </is>
      </c>
      <c r="O88" s="18">
        <f>IFERROR(O33*$AX33*(1+($AZ33-1)*O$29)*($D$26*$AY33+(1-$D$26)*O$28),"")</f>
        <v/>
      </c>
      <c r="P88" s="18">
        <f>IFERROR(P33*$AX33*(1+($AZ33-1)*P$29)*($D$26*$AY33+(1-$D$26)*P$28),"")</f>
        <v/>
      </c>
      <c r="Q88" s="18">
        <f>IFERROR(Q33*$AX33*(1+($AZ33-1)*Q$29)*($D$26*$AY33+(1-$D$26)*Q$28),"")</f>
        <v/>
      </c>
      <c r="R88" s="18">
        <f>IFERROR(R33*$AX33*(1+($AZ33-1)*R$29)*($D$26*$AY33+(1-$D$26)*R$28),"")</f>
        <v/>
      </c>
      <c r="S88" s="18">
        <f>IFERROR(S33*$AX33*(1+($AZ33-1)*S$29)*($D$26*$AY33+(1-$D$26)*S$28),"")</f>
        <v/>
      </c>
      <c r="T88" s="18">
        <f>IFERROR(T33*$AX33*(1+($AZ33-1)*T$29)*($D$26*$AY33+(1-$D$26)*T$28),"")</f>
        <v/>
      </c>
      <c r="U88" s="18">
        <f>IFERROR(U33*$AX33*(1+($AZ33-1)*U$29)*($D$26*$AY33+(1-$D$26)*U$28),"")</f>
        <v/>
      </c>
      <c r="V88" s="18">
        <f>IFERROR(V33*$AX33*(1+($AZ33-1)*V$29)*($D$26*$AY33+(1-$D$26)*V$28),"")</f>
        <v/>
      </c>
      <c r="W88" s="18">
        <f>IFERROR(W33*$AX33*(1+($AZ33-1)*W$29)*($D$26*$AY33+(1-$D$26)*W$28),"")</f>
        <v/>
      </c>
      <c r="X88" s="18">
        <f>IFERROR(X33*$AX33*(1+($AZ33-1)*X$29)*($D$26*$AY33+(1-$D$26)*X$28),"")</f>
        <v/>
      </c>
      <c r="Y88" s="18">
        <f>IFERROR(Y33*$AX33*(1+($AZ33-1)*Y$29)*($D$26*$AY33+(1-$D$26)*Y$28),"")</f>
        <v/>
      </c>
      <c r="Z88" s="18">
        <f>IFERROR(Z33*$AX33*(1+($AZ33-1)*Z$29)*($D$26*$AY33+(1-$D$26)*Z$28),"")</f>
        <v/>
      </c>
    </row>
    <row r="89">
      <c r="A89" t="inlineStr">
        <is>
          <t>20241031800038</t>
        </is>
      </c>
      <c r="B89" t="inlineStr">
        <is>
          <t>LNGC</t>
        </is>
      </c>
      <c r="C89" t="n">
        <v>1</v>
      </c>
      <c r="D89" t="inlineStr">
        <is>
          <t>LNG 운반선 1척</t>
        </is>
      </c>
      <c r="P89" s="18">
        <f>IFERROR(P34*$AX34*(1+($AZ34-1)*P$29)*($D$26*$AY34+(1-$D$26)*P$28),"")</f>
        <v/>
      </c>
      <c r="Q89" s="18">
        <f>IFERROR(Q34*$AX34*(1+($AZ34-1)*Q$29)*($D$26*$AY34+(1-$D$26)*Q$28),"")</f>
        <v/>
      </c>
      <c r="R89" s="18">
        <f>IFERROR(R34*$AX34*(1+($AZ34-1)*R$29)*($D$26*$AY34+(1-$D$26)*R$28),"")</f>
        <v/>
      </c>
      <c r="S89" s="18">
        <f>IFERROR(S34*$AX34*(1+($AZ34-1)*S$29)*($D$26*$AY34+(1-$D$26)*S$28),"")</f>
        <v/>
      </c>
      <c r="T89" s="18">
        <f>IFERROR(T34*$AX34*(1+($AZ34-1)*T$29)*($D$26*$AY34+(1-$D$26)*T$28),"")</f>
        <v/>
      </c>
      <c r="U89" s="18">
        <f>IFERROR(U34*$AX34*(1+($AZ34-1)*U$29)*($D$26*$AY34+(1-$D$26)*U$28),"")</f>
        <v/>
      </c>
      <c r="V89" s="18">
        <f>IFERROR(V34*$AX34*(1+($AZ34-1)*V$29)*($D$26*$AY34+(1-$D$26)*V$28),"")</f>
        <v/>
      </c>
      <c r="W89" s="18">
        <f>IFERROR(W34*$AX34*(1+($AZ34-1)*W$29)*($D$26*$AY34+(1-$D$26)*W$28),"")</f>
        <v/>
      </c>
      <c r="X89" s="18">
        <f>IFERROR(X34*$AX34*(1+($AZ34-1)*X$29)*($D$26*$AY34+(1-$D$26)*X$28),"")</f>
        <v/>
      </c>
      <c r="Y89" s="18">
        <f>IFERROR(Y34*$AX34*(1+($AZ34-1)*Y$29)*($D$26*$AY34+(1-$D$26)*Y$28),"")</f>
        <v/>
      </c>
      <c r="Z89" s="18">
        <f>IFERROR(Z34*$AX34*(1+($AZ34-1)*Z$29)*($D$26*$AY34+(1-$D$26)*Z$28),"")</f>
        <v/>
      </c>
    </row>
    <row r="90">
      <c r="A90" t="inlineStr">
        <is>
          <t>20241101800164</t>
        </is>
      </c>
      <c r="B90" t="inlineStr">
        <is>
          <t>VLCC</t>
        </is>
      </c>
      <c r="C90" t="n">
        <v>4</v>
      </c>
      <c r="D90" t="inlineStr">
        <is>
          <t>유조선 4척</t>
        </is>
      </c>
      <c r="P90" s="18">
        <f>IFERROR(P35*$AX35*(1+($AZ35-1)*P$29)*($D$26*$AY35+(1-$D$26)*P$28),"")</f>
        <v/>
      </c>
      <c r="Q90" s="18">
        <f>IFERROR(Q35*$AX35*(1+($AZ35-1)*Q$29)*($D$26*$AY35+(1-$D$26)*Q$28),"")</f>
        <v/>
      </c>
      <c r="R90" s="18">
        <f>IFERROR(R35*$AX35*(1+($AZ35-1)*R$29)*($D$26*$AY35+(1-$D$26)*R$28),"")</f>
        <v/>
      </c>
      <c r="S90" s="18">
        <f>IFERROR(S35*$AX35*(1+($AZ35-1)*S$29)*($D$26*$AY35+(1-$D$26)*S$28),"")</f>
        <v/>
      </c>
      <c r="T90" s="18">
        <f>IFERROR(T35*$AX35*(1+($AZ35-1)*T$29)*($D$26*$AY35+(1-$D$26)*T$28),"")</f>
        <v/>
      </c>
      <c r="U90" s="18">
        <f>IFERROR(U35*$AX35*(1+($AZ35-1)*U$29)*($D$26*$AY35+(1-$D$26)*U$28),"")</f>
        <v/>
      </c>
      <c r="V90" s="18">
        <f>IFERROR(V35*$AX35*(1+($AZ35-1)*V$29)*($D$26*$AY35+(1-$D$26)*V$28),"")</f>
        <v/>
      </c>
      <c r="W90" s="18">
        <f>IFERROR(W35*$AX35*(1+($AZ35-1)*W$29)*($D$26*$AY35+(1-$D$26)*W$28),"")</f>
        <v/>
      </c>
      <c r="X90" s="18">
        <f>IFERROR(X35*$AX35*(1+($AZ35-1)*X$29)*($D$26*$AY35+(1-$D$26)*X$28),"")</f>
        <v/>
      </c>
      <c r="Y90" s="18">
        <f>IFERROR(Y35*$AX35*(1+($AZ35-1)*Y$29)*($D$26*$AY35+(1-$D$26)*Y$28),"")</f>
        <v/>
      </c>
      <c r="Z90" s="18">
        <f>IFERROR(Z35*$AX35*(1+($AZ35-1)*Z$29)*($D$26*$AY35+(1-$D$26)*Z$28),"")</f>
        <v/>
      </c>
      <c r="AA90" s="18">
        <f>IFERROR(AA35*$AX35*(1+($AZ35-1)*AA$29)*($D$26*$AY35+(1-$D$26)*AA$28),"")</f>
        <v/>
      </c>
      <c r="AB90" s="18">
        <f>IFERROR(AB35*$AX35*(1+($AZ35-1)*AB$29)*($D$26*$AY35+(1-$D$26)*AB$28),"")</f>
        <v/>
      </c>
    </row>
    <row r="91">
      <c r="A91" t="inlineStr">
        <is>
          <t>20241125800093</t>
        </is>
      </c>
      <c r="B91" t="inlineStr">
        <is>
          <t>CONT</t>
        </is>
      </c>
      <c r="C91" t="n">
        <v>4</v>
      </c>
      <c r="D91" t="inlineStr">
        <is>
          <t>컨테이너선 4척</t>
        </is>
      </c>
      <c r="P91" s="18">
        <f>IFERROR(P36*$AX36*(1+($AZ36-1)*P$29)*($D$26*$AY36+(1-$D$26)*P$28),"")</f>
        <v/>
      </c>
      <c r="Q91" s="18">
        <f>IFERROR(Q36*$AX36*(1+($AZ36-1)*Q$29)*($D$26*$AY36+(1-$D$26)*Q$28),"")</f>
        <v/>
      </c>
      <c r="R91" s="18">
        <f>IFERROR(R36*$AX36*(1+($AZ36-1)*R$29)*($D$26*$AY36+(1-$D$26)*R$28),"")</f>
        <v/>
      </c>
      <c r="S91" s="18">
        <f>IFERROR(S36*$AX36*(1+($AZ36-1)*S$29)*($D$26*$AY36+(1-$D$26)*S$28),"")</f>
        <v/>
      </c>
      <c r="T91" s="18">
        <f>IFERROR(T36*$AX36*(1+($AZ36-1)*T$29)*($D$26*$AY36+(1-$D$26)*T$28),"")</f>
        <v/>
      </c>
      <c r="U91" s="18">
        <f>IFERROR(U36*$AX36*(1+($AZ36-1)*U$29)*($D$26*$AY36+(1-$D$26)*U$28),"")</f>
        <v/>
      </c>
      <c r="V91" s="18">
        <f>IFERROR(V36*$AX36*(1+($AZ36-1)*V$29)*($D$26*$AY36+(1-$D$26)*V$28),"")</f>
        <v/>
      </c>
      <c r="W91" s="18">
        <f>IFERROR(W36*$AX36*(1+($AZ36-1)*W$29)*($D$26*$AY36+(1-$D$26)*W$28),"")</f>
        <v/>
      </c>
      <c r="X91" s="18">
        <f>IFERROR(X36*$AX36*(1+($AZ36-1)*X$29)*($D$26*$AY36+(1-$D$26)*X$28),"")</f>
        <v/>
      </c>
      <c r="Y91" s="18">
        <f>IFERROR(Y36*$AX36*(1+($AZ36-1)*Y$29)*($D$26*$AY36+(1-$D$26)*Y$28),"")</f>
        <v/>
      </c>
      <c r="Z91" s="18">
        <f>IFERROR(Z36*$AX36*(1+($AZ36-1)*Z$29)*($D$26*$AY36+(1-$D$26)*Z$28),"")</f>
        <v/>
      </c>
      <c r="AA91" s="18">
        <f>IFERROR(AA36*$AX36*(1+($AZ36-1)*AA$29)*($D$26*$AY36+(1-$D$26)*AA$28),"")</f>
        <v/>
      </c>
      <c r="AB91" s="18">
        <f>IFERROR(AB36*$AX36*(1+($AZ36-1)*AB$29)*($D$26*$AY36+(1-$D$26)*AB$28),"")</f>
        <v/>
      </c>
    </row>
    <row r="92">
      <c r="A92" t="inlineStr">
        <is>
          <t>20241230800259</t>
        </is>
      </c>
      <c r="B92" t="inlineStr">
        <is>
          <t>OTHER</t>
        </is>
      </c>
      <c r="D92" t="inlineStr">
        <is>
          <t>[P3 Ph3]FAB동 마감공사</t>
        </is>
      </c>
      <c r="F92" s="18">
        <f>IFERROR(F37*$AX37*(1+($AZ37-1)*F$29)*($D$26*$AY37+(1-$D$26)*F$28),"")</f>
        <v/>
      </c>
      <c r="G92" s="18">
        <f>IFERROR(G37*$AX37*(1+($AZ37-1)*G$29)*($D$26*$AY37+(1-$D$26)*G$28),"")</f>
        <v/>
      </c>
      <c r="H92" s="18">
        <f>IFERROR(H37*$AX37*(1+($AZ37-1)*H$29)*($D$26*$AY37+(1-$D$26)*H$28),"")</f>
        <v/>
      </c>
      <c r="I92" s="18">
        <f>IFERROR(I37*$AX37*(1+($AZ37-1)*I$29)*($D$26*$AY37+(1-$D$26)*I$28),"")</f>
        <v/>
      </c>
      <c r="J92" s="18">
        <f>IFERROR(J37*$AX37*(1+($AZ37-1)*J$29)*($D$26*$AY37+(1-$D$26)*J$28),"")</f>
        <v/>
      </c>
      <c r="K92" s="18">
        <f>IFERROR(K37*$AX37*(1+($AZ37-1)*K$29)*($D$26*$AY37+(1-$D$26)*K$28),"")</f>
        <v/>
      </c>
      <c r="L92" s="18">
        <f>IFERROR(L37*$AX37*(1+($AZ37-1)*L$29)*($D$26*$AY37+(1-$D$26)*L$28),"")</f>
        <v/>
      </c>
      <c r="M92" s="18">
        <f>IFERROR(M37*$AX37*(1+($AZ37-1)*M$29)*($D$26*$AY37+(1-$D$26)*M$28),"")</f>
        <v/>
      </c>
      <c r="N92" s="18">
        <f>IFERROR(N37*$AX37*(1+($AZ37-1)*N$29)*($D$26*$AY37+(1-$D$26)*N$28),"")</f>
        <v/>
      </c>
      <c r="O92" s="18">
        <f>IFERROR(O37*$AX37*(1+($AZ37-1)*O$29)*($D$26*$AY37+(1-$D$26)*O$28),"")</f>
        <v/>
      </c>
      <c r="P92" s="18">
        <f>IFERROR(P37*$AX37*(1+($AZ37-1)*P$29)*($D$26*$AY37+(1-$D$26)*P$28),"")</f>
        <v/>
      </c>
      <c r="Q92" s="18">
        <f>IFERROR(Q37*$AX37*(1+($AZ37-1)*Q$29)*($D$26*$AY37+(1-$D$26)*Q$28),"")</f>
        <v/>
      </c>
    </row>
    <row r="93">
      <c r="A93" t="inlineStr">
        <is>
          <t>20241230800261</t>
        </is>
      </c>
      <c r="B93" t="inlineStr">
        <is>
          <t>OTHER</t>
        </is>
      </c>
      <c r="D93" t="inlineStr">
        <is>
          <t>[P3 Ph4]FAB동 마감공사</t>
        </is>
      </c>
      <c r="H93" s="18">
        <f>IFERROR(H38*$AX38*(1+($AZ38-1)*H$29)*($D$26*$AY38+(1-$D$26)*H$28),"")</f>
        <v/>
      </c>
      <c r="I93" s="18">
        <f>IFERROR(I38*$AX38*(1+($AZ38-1)*I$29)*($D$26*$AY38+(1-$D$26)*I$28),"")</f>
        <v/>
      </c>
      <c r="J93" s="18">
        <f>IFERROR(J38*$AX38*(1+($AZ38-1)*J$29)*($D$26*$AY38+(1-$D$26)*J$28),"")</f>
        <v/>
      </c>
      <c r="K93" s="18">
        <f>IFERROR(K38*$AX38*(1+($AZ38-1)*K$29)*($D$26*$AY38+(1-$D$26)*K$28),"")</f>
        <v/>
      </c>
      <c r="L93" s="18">
        <f>IFERROR(L38*$AX38*(1+($AZ38-1)*L$29)*($D$26*$AY38+(1-$D$26)*L$28),"")</f>
        <v/>
      </c>
      <c r="M93" s="18">
        <f>IFERROR(M38*$AX38*(1+($AZ38-1)*M$29)*($D$26*$AY38+(1-$D$26)*M$28),"")</f>
        <v/>
      </c>
      <c r="N93" s="18">
        <f>IFERROR(N38*$AX38*(1+($AZ38-1)*N$29)*($D$26*$AY38+(1-$D$26)*N$28),"")</f>
        <v/>
      </c>
      <c r="O93" s="18">
        <f>IFERROR(O38*$AX38*(1+($AZ38-1)*O$29)*($D$26*$AY38+(1-$D$26)*O$28),"")</f>
        <v/>
      </c>
      <c r="P93" s="18">
        <f>IFERROR(P38*$AX38*(1+($AZ38-1)*P$29)*($D$26*$AY38+(1-$D$26)*P$28),"")</f>
        <v/>
      </c>
      <c r="Q93" s="18">
        <f>IFERROR(Q38*$AX38*(1+($AZ38-1)*Q$29)*($D$26*$AY38+(1-$D$26)*Q$28),"")</f>
        <v/>
      </c>
    </row>
    <row r="94">
      <c r="A94" t="inlineStr">
        <is>
          <t>20250120800318</t>
        </is>
      </c>
      <c r="B94" t="inlineStr">
        <is>
          <t>LNGC</t>
        </is>
      </c>
      <c r="C94" t="n">
        <v>1</v>
      </c>
      <c r="D94" t="inlineStr">
        <is>
          <t>LNG 운반선 1척</t>
        </is>
      </c>
      <c r="Q94" s="18">
        <f>IFERROR(Q39*$AX39*(1+($AZ39-1)*Q$29)*($D$26*$AY39+(1-$D$26)*Q$28),"")</f>
        <v/>
      </c>
      <c r="R94" s="18">
        <f>IFERROR(R39*$AX39*(1+($AZ39-1)*R$29)*($D$26*$AY39+(1-$D$26)*R$28),"")</f>
        <v/>
      </c>
      <c r="S94" s="18">
        <f>IFERROR(S39*$AX39*(1+($AZ39-1)*S$29)*($D$26*$AY39+(1-$D$26)*S$28),"")</f>
        <v/>
      </c>
      <c r="T94" s="18">
        <f>IFERROR(T39*$AX39*(1+($AZ39-1)*T$29)*($D$26*$AY39+(1-$D$26)*T$28),"")</f>
        <v/>
      </c>
      <c r="U94" s="18">
        <f>IFERROR(U39*$AX39*(1+($AZ39-1)*U$29)*($D$26*$AY39+(1-$D$26)*U$28),"")</f>
        <v/>
      </c>
      <c r="V94" s="18">
        <f>IFERROR(V39*$AX39*(1+($AZ39-1)*V$29)*($D$26*$AY39+(1-$D$26)*V$28),"")</f>
        <v/>
      </c>
      <c r="W94" s="18">
        <f>IFERROR(W39*$AX39*(1+($AZ39-1)*W$29)*($D$26*$AY39+(1-$D$26)*W$28),"")</f>
        <v/>
      </c>
      <c r="X94" s="18">
        <f>IFERROR(X39*$AX39*(1+($AZ39-1)*X$29)*($D$26*$AY39+(1-$D$26)*X$28),"")</f>
        <v/>
      </c>
      <c r="Y94" s="18">
        <f>IFERROR(Y39*$AX39*(1+($AZ39-1)*Y$29)*($D$26*$AY39+(1-$D$26)*Y$28),"")</f>
        <v/>
      </c>
      <c r="Z94" s="18">
        <f>IFERROR(Z39*$AX39*(1+($AZ39-1)*Z$29)*($D$26*$AY39+(1-$D$26)*Z$28),"")</f>
        <v/>
      </c>
    </row>
    <row r="95">
      <c r="A95" t="inlineStr">
        <is>
          <t>20250123800869</t>
        </is>
      </c>
      <c r="B95" t="inlineStr">
        <is>
          <t>VLGC</t>
        </is>
      </c>
      <c r="C95" t="n">
        <v>3</v>
      </c>
      <c r="D95" t="inlineStr">
        <is>
          <t>에탄운반선 3척</t>
        </is>
      </c>
      <c r="P95" s="18">
        <f>IFERROR(P40*$AX40*(1+($AZ40-1)*P$29)*($D$26*$AY40+(1-$D$26)*P$28),"")</f>
        <v/>
      </c>
      <c r="Q95" s="18">
        <f>IFERROR(Q40*$AX40*(1+($AZ40-1)*Q$29)*($D$26*$AY40+(1-$D$26)*Q$28),"")</f>
        <v/>
      </c>
      <c r="R95" s="18">
        <f>IFERROR(R40*$AX40*(1+($AZ40-1)*R$29)*($D$26*$AY40+(1-$D$26)*R$28),"")</f>
        <v/>
      </c>
      <c r="S95" s="18">
        <f>IFERROR(S40*$AX40*(1+($AZ40-1)*S$29)*($D$26*$AY40+(1-$D$26)*S$28),"")</f>
        <v/>
      </c>
      <c r="T95" s="18">
        <f>IFERROR(T40*$AX40*(1+($AZ40-1)*T$29)*($D$26*$AY40+(1-$D$26)*T$28),"")</f>
        <v/>
      </c>
      <c r="U95" s="18">
        <f>IFERROR(U40*$AX40*(1+($AZ40-1)*U$29)*($D$26*$AY40+(1-$D$26)*U$28),"")</f>
        <v/>
      </c>
      <c r="V95" s="18">
        <f>IFERROR(V40*$AX40*(1+($AZ40-1)*V$29)*($D$26*$AY40+(1-$D$26)*V$28),"")</f>
        <v/>
      </c>
      <c r="W95" s="18">
        <f>IFERROR(W40*$AX40*(1+($AZ40-1)*W$29)*($D$26*$AY40+(1-$D$26)*W$28),"")</f>
        <v/>
      </c>
      <c r="X95" s="18">
        <f>IFERROR(X40*$AX40*(1+($AZ40-1)*X$29)*($D$26*$AY40+(1-$D$26)*X$28),"")</f>
        <v/>
      </c>
      <c r="Y95" s="18">
        <f>IFERROR(Y40*$AX40*(1+($AZ40-1)*Y$29)*($D$26*$AY40+(1-$D$26)*Y$28),"")</f>
        <v/>
      </c>
      <c r="Z95" s="18">
        <f>IFERROR(Z40*$AX40*(1+($AZ40-1)*Z$29)*($D$26*$AY40+(1-$D$26)*Z$28),"")</f>
        <v/>
      </c>
      <c r="AA95" s="18">
        <f>IFERROR(AA40*$AX40*(1+($AZ40-1)*AA$29)*($D$26*$AY40+(1-$D$26)*AA$28),"")</f>
        <v/>
      </c>
      <c r="AB95" s="18">
        <f>IFERROR(AB40*$AX40*(1+($AZ40-1)*AB$29)*($D$26*$AY40+(1-$D$26)*AB$28),"")</f>
        <v/>
      </c>
    </row>
    <row r="96">
      <c r="A96" t="inlineStr">
        <is>
          <t>20250317800118</t>
        </is>
      </c>
      <c r="B96" t="inlineStr">
        <is>
          <t>VLCC</t>
        </is>
      </c>
      <c r="C96" t="n">
        <v>9</v>
      </c>
      <c r="D96" t="inlineStr">
        <is>
          <t>셔틀탱커 9척</t>
        </is>
      </c>
      <c r="Q96" s="18">
        <f>IFERROR(Q41*$AX41*(1+($AZ41-1)*Q$29)*($D$26*$AY41+(1-$D$26)*Q$28),"")</f>
        <v/>
      </c>
      <c r="R96" s="18">
        <f>IFERROR(R41*$AX41*(1+($AZ41-1)*R$29)*($D$26*$AY41+(1-$D$26)*R$28),"")</f>
        <v/>
      </c>
      <c r="S96" s="18">
        <f>IFERROR(S41*$AX41*(1+($AZ41-1)*S$29)*($D$26*$AY41+(1-$D$26)*S$28),"")</f>
        <v/>
      </c>
      <c r="T96" s="18">
        <f>IFERROR(T41*$AX41*(1+($AZ41-1)*T$29)*($D$26*$AY41+(1-$D$26)*T$28),"")</f>
        <v/>
      </c>
      <c r="U96" s="18">
        <f>IFERROR(U41*$AX41*(1+($AZ41-1)*U$29)*($D$26*$AY41+(1-$D$26)*U$28),"")</f>
        <v/>
      </c>
      <c r="V96" s="18">
        <f>IFERROR(V41*$AX41*(1+($AZ41-1)*V$29)*($D$26*$AY41+(1-$D$26)*V$28),"")</f>
        <v/>
      </c>
      <c r="W96" s="18">
        <f>IFERROR(W41*$AX41*(1+($AZ41-1)*W$29)*($D$26*$AY41+(1-$D$26)*W$28),"")</f>
        <v/>
      </c>
      <c r="X96" s="18">
        <f>IFERROR(X41*$AX41*(1+($AZ41-1)*X$29)*($D$26*$AY41+(1-$D$26)*X$28),"")</f>
        <v/>
      </c>
      <c r="Y96" s="18">
        <f>IFERROR(Y41*$AX41*(1+($AZ41-1)*Y$29)*($D$26*$AY41+(1-$D$26)*Y$28),"")</f>
        <v/>
      </c>
      <c r="Z96" s="18">
        <f>IFERROR(Z41*$AX41*(1+($AZ41-1)*Z$29)*($D$26*$AY41+(1-$D$26)*Z$28),"")</f>
        <v/>
      </c>
      <c r="AA96" s="18">
        <f>IFERROR(AA41*$AX41*(1+($AZ41-1)*AA$29)*($D$26*$AY41+(1-$D$26)*AA$28),"")</f>
        <v/>
      </c>
      <c r="AB96" s="18">
        <f>IFERROR(AB41*$AX41*(1+($AZ41-1)*AB$29)*($D$26*$AY41+(1-$D$26)*AB$28),"")</f>
        <v/>
      </c>
      <c r="AC96" s="18">
        <f>IFERROR(AC41*$AX41*(1+($AZ41-1)*AC$29)*($D$26*$AY41+(1-$D$26)*AC$28),"")</f>
        <v/>
      </c>
      <c r="AD96" s="18">
        <f>IFERROR(AD41*$AX41*(1+($AZ41-1)*AD$29)*($D$26*$AY41+(1-$D$26)*AD$28),"")</f>
        <v/>
      </c>
      <c r="AE96" s="18">
        <f>IFERROR(AE41*$AX41*(1+($AZ41-1)*AE$29)*($D$26*$AY41+(1-$D$26)*AE$28),"")</f>
        <v/>
      </c>
      <c r="AF96" s="18">
        <f>IFERROR(AF41*$AX41*(1+($AZ41-1)*AF$29)*($D$26*$AY41+(1-$D$26)*AF$28),"")</f>
        <v/>
      </c>
    </row>
    <row r="97">
      <c r="A97" t="inlineStr">
        <is>
          <t>20250318800145</t>
        </is>
      </c>
      <c r="B97" t="inlineStr">
        <is>
          <t>VLGC</t>
        </is>
      </c>
      <c r="C97" t="n">
        <v>2</v>
      </c>
      <c r="D97" t="inlineStr">
        <is>
          <t>에탄운반선 2척</t>
        </is>
      </c>
      <c r="Q97" s="18">
        <f>IFERROR(Q42*$AX42*(1+($AZ42-1)*Q$29)*($D$26*$AY42+(1-$D$26)*Q$28),"")</f>
        <v/>
      </c>
      <c r="R97" s="18">
        <f>IFERROR(R42*$AX42*(1+($AZ42-1)*R$29)*($D$26*$AY42+(1-$D$26)*R$28),"")</f>
        <v/>
      </c>
      <c r="S97" s="18">
        <f>IFERROR(S42*$AX42*(1+($AZ42-1)*S$29)*($D$26*$AY42+(1-$D$26)*S$28),"")</f>
        <v/>
      </c>
      <c r="T97" s="18">
        <f>IFERROR(T42*$AX42*(1+($AZ42-1)*T$29)*($D$26*$AY42+(1-$D$26)*T$28),"")</f>
        <v/>
      </c>
      <c r="U97" s="18">
        <f>IFERROR(U42*$AX42*(1+($AZ42-1)*U$29)*($D$26*$AY42+(1-$D$26)*U$28),"")</f>
        <v/>
      </c>
      <c r="V97" s="18">
        <f>IFERROR(V42*$AX42*(1+($AZ42-1)*V$29)*($D$26*$AY42+(1-$D$26)*V$28),"")</f>
        <v/>
      </c>
      <c r="W97" s="18">
        <f>IFERROR(W42*$AX42*(1+($AZ42-1)*W$29)*($D$26*$AY42+(1-$D$26)*W$28),"")</f>
        <v/>
      </c>
      <c r="X97" s="18">
        <f>IFERROR(X42*$AX42*(1+($AZ42-1)*X$29)*($D$26*$AY42+(1-$D$26)*X$28),"")</f>
        <v/>
      </c>
      <c r="Y97" s="18">
        <f>IFERROR(Y42*$AX42*(1+($AZ42-1)*Y$29)*($D$26*$AY42+(1-$D$26)*Y$28),"")</f>
        <v/>
      </c>
      <c r="Z97" s="18">
        <f>IFERROR(Z42*$AX42*(1+($AZ42-1)*Z$29)*($D$26*$AY42+(1-$D$26)*Z$28),"")</f>
        <v/>
      </c>
      <c r="AA97" s="18">
        <f>IFERROR(AA42*$AX42*(1+($AZ42-1)*AA$29)*($D$26*$AY42+(1-$D$26)*AA$28),"")</f>
        <v/>
      </c>
      <c r="AB97" s="18">
        <f>IFERROR(AB42*$AX42*(1+($AZ42-1)*AB$29)*($D$26*$AY42+(1-$D$26)*AB$28),"")</f>
        <v/>
      </c>
      <c r="AC97" s="18">
        <f>IFERROR(AC42*$AX42*(1+($AZ42-1)*AC$29)*($D$26*$AY42+(1-$D$26)*AC$28),"")</f>
        <v/>
      </c>
    </row>
    <row r="98">
      <c r="A98" t="inlineStr">
        <is>
          <t>20250408800489</t>
        </is>
      </c>
      <c r="B98" t="inlineStr">
        <is>
          <t>VLCC</t>
        </is>
      </c>
      <c r="C98" t="n">
        <v>4</v>
      </c>
      <c r="D98" t="inlineStr">
        <is>
          <t>유조선 4척</t>
        </is>
      </c>
      <c r="R98" s="18">
        <f>IFERROR(R43*$AX43*(1+($AZ43-1)*R$29)*($D$26*$AY43+(1-$D$26)*R$28),"")</f>
        <v/>
      </c>
      <c r="S98" s="18">
        <f>IFERROR(S43*$AX43*(1+($AZ43-1)*S$29)*($D$26*$AY43+(1-$D$26)*S$28),"")</f>
        <v/>
      </c>
      <c r="T98" s="18">
        <f>IFERROR(T43*$AX43*(1+($AZ43-1)*T$29)*($D$26*$AY43+(1-$D$26)*T$28),"")</f>
        <v/>
      </c>
      <c r="U98" s="18">
        <f>IFERROR(U43*$AX43*(1+($AZ43-1)*U$29)*($D$26*$AY43+(1-$D$26)*U$28),"")</f>
        <v/>
      </c>
      <c r="V98" s="18">
        <f>IFERROR(V43*$AX43*(1+($AZ43-1)*V$29)*($D$26*$AY43+(1-$D$26)*V$28),"")</f>
        <v/>
      </c>
      <c r="W98" s="18">
        <f>IFERROR(W43*$AX43*(1+($AZ43-1)*W$29)*($D$26*$AY43+(1-$D$26)*W$28),"")</f>
        <v/>
      </c>
      <c r="X98" s="18">
        <f>IFERROR(X43*$AX43*(1+($AZ43-1)*X$29)*($D$26*$AY43+(1-$D$26)*X$28),"")</f>
        <v/>
      </c>
      <c r="Y98" s="18">
        <f>IFERROR(Y43*$AX43*(1+($AZ43-1)*Y$29)*($D$26*$AY43+(1-$D$26)*Y$28),"")</f>
        <v/>
      </c>
      <c r="Z98" s="18">
        <f>IFERROR(Z43*$AX43*(1+($AZ43-1)*Z$29)*($D$26*$AY43+(1-$D$26)*Z$28),"")</f>
        <v/>
      </c>
      <c r="AA98" s="18">
        <f>IFERROR(AA43*$AX43*(1+($AZ43-1)*AA$29)*($D$26*$AY43+(1-$D$26)*AA$28),"")</f>
        <v/>
      </c>
      <c r="AB98" s="18">
        <f>IFERROR(AB43*$AX43*(1+($AZ43-1)*AB$29)*($D$26*$AY43+(1-$D$26)*AB$28),"")</f>
        <v/>
      </c>
      <c r="AC98" s="18">
        <f>IFERROR(AC43*$AX43*(1+($AZ43-1)*AC$29)*($D$26*$AY43+(1-$D$26)*AC$28),"")</f>
        <v/>
      </c>
      <c r="AD98" s="18">
        <f>IFERROR(AD43*$AX43*(1+($AZ43-1)*AD$29)*($D$26*$AY43+(1-$D$26)*AD$28),"")</f>
        <v/>
      </c>
      <c r="AE98" s="18">
        <f>IFERROR(AE43*$AX43*(1+($AZ43-1)*AE$29)*($D$26*$AY43+(1-$D$26)*AE$28),"")</f>
        <v/>
      </c>
      <c r="AF98" s="18">
        <f>IFERROR(AF43*$AX43*(1+($AZ43-1)*AF$29)*($D$26*$AY43+(1-$D$26)*AF$28),"")</f>
        <v/>
      </c>
    </row>
    <row r="99">
      <c r="A99" t="inlineStr">
        <is>
          <t>20250425800546</t>
        </is>
      </c>
      <c r="B99" t="inlineStr">
        <is>
          <t>CONT</t>
        </is>
      </c>
      <c r="C99" t="n">
        <v>5</v>
      </c>
      <c r="D99" t="inlineStr">
        <is>
          <t>컨테이너선 5척</t>
        </is>
      </c>
      <c r="E99" s="18">
        <f>IFERROR(E44*$AX44*(1+($AZ44-1)*E$29)*($D$26*$AY44+(1-$D$26)*E$28),"")</f>
        <v/>
      </c>
      <c r="F99" s="18">
        <f>IFERROR(F44*$AX44*(1+($AZ44-1)*F$29)*($D$26*$AY44+(1-$D$26)*F$28),"")</f>
        <v/>
      </c>
      <c r="G99" s="18">
        <f>IFERROR(G44*$AX44*(1+($AZ44-1)*G$29)*($D$26*$AY44+(1-$D$26)*G$28),"")</f>
        <v/>
      </c>
      <c r="H99" s="18">
        <f>IFERROR(H44*$AX44*(1+($AZ44-1)*H$29)*($D$26*$AY44+(1-$D$26)*H$28),"")</f>
        <v/>
      </c>
      <c r="I99" s="18">
        <f>IFERROR(I44*$AX44*(1+($AZ44-1)*I$29)*($D$26*$AY44+(1-$D$26)*I$28),"")</f>
        <v/>
      </c>
      <c r="J99" s="18">
        <f>IFERROR(J44*$AX44*(1+($AZ44-1)*J$29)*($D$26*$AY44+(1-$D$26)*J$28),"")</f>
        <v/>
      </c>
      <c r="K99" s="18">
        <f>IFERROR(K44*$AX44*(1+($AZ44-1)*K$29)*($D$26*$AY44+(1-$D$26)*K$28),"")</f>
        <v/>
      </c>
      <c r="L99" s="18">
        <f>IFERROR(L44*$AX44*(1+($AZ44-1)*L$29)*($D$26*$AY44+(1-$D$26)*L$28),"")</f>
        <v/>
      </c>
      <c r="M99" s="18">
        <f>IFERROR(M44*$AX44*(1+($AZ44-1)*M$29)*($D$26*$AY44+(1-$D$26)*M$28),"")</f>
        <v/>
      </c>
      <c r="N99" s="18">
        <f>IFERROR(N44*$AX44*(1+($AZ44-1)*N$29)*($D$26*$AY44+(1-$D$26)*N$28),"")</f>
        <v/>
      </c>
      <c r="O99" s="18">
        <f>IFERROR(O44*$AX44*(1+($AZ44-1)*O$29)*($D$26*$AY44+(1-$D$26)*O$28),"")</f>
        <v/>
      </c>
      <c r="P99" s="18">
        <f>IFERROR(P44*$AX44*(1+($AZ44-1)*P$29)*($D$26*$AY44+(1-$D$26)*P$28),"")</f>
        <v/>
      </c>
      <c r="Q99" s="18">
        <f>IFERROR(Q44*$AX44*(1+($AZ44-1)*Q$29)*($D$26*$AY44+(1-$D$26)*Q$28),"")</f>
        <v/>
      </c>
      <c r="R99" s="18">
        <f>IFERROR(R44*$AX44*(1+($AZ44-1)*R$29)*($D$26*$AY44+(1-$D$26)*R$28),"")</f>
        <v/>
      </c>
      <c r="S99" s="18">
        <f>IFERROR(S44*$AX44*(1+($AZ44-1)*S$29)*($D$26*$AY44+(1-$D$26)*S$28),"")</f>
        <v/>
      </c>
    </row>
    <row r="100">
      <c r="A100" t="inlineStr">
        <is>
          <t>20250428800076</t>
        </is>
      </c>
      <c r="B100" t="inlineStr">
        <is>
          <t>CONT</t>
        </is>
      </c>
      <c r="C100" t="n">
        <v>2</v>
      </c>
      <c r="D100" t="inlineStr">
        <is>
          <t>컨테이너선 2척</t>
        </is>
      </c>
      <c r="R100" s="18">
        <f>IFERROR(R45*$AX45*(1+($AZ45-1)*R$29)*($D$26*$AY45+(1-$D$26)*R$28),"")</f>
        <v/>
      </c>
      <c r="S100" s="18">
        <f>IFERROR(S45*$AX45*(1+($AZ45-1)*S$29)*($D$26*$AY45+(1-$D$26)*S$28),"")</f>
        <v/>
      </c>
      <c r="T100" s="18">
        <f>IFERROR(T45*$AX45*(1+($AZ45-1)*T$29)*($D$26*$AY45+(1-$D$26)*T$28),"")</f>
        <v/>
      </c>
      <c r="U100" s="18">
        <f>IFERROR(U45*$AX45*(1+($AZ45-1)*U$29)*($D$26*$AY45+(1-$D$26)*U$28),"")</f>
        <v/>
      </c>
      <c r="V100" s="18">
        <f>IFERROR(V45*$AX45*(1+($AZ45-1)*V$29)*($D$26*$AY45+(1-$D$26)*V$28),"")</f>
        <v/>
      </c>
      <c r="W100" s="18">
        <f>IFERROR(W45*$AX45*(1+($AZ45-1)*W$29)*($D$26*$AY45+(1-$D$26)*W$28),"")</f>
        <v/>
      </c>
      <c r="X100" s="18">
        <f>IFERROR(X45*$AX45*(1+($AZ45-1)*X$29)*($D$26*$AY45+(1-$D$26)*X$28),"")</f>
        <v/>
      </c>
      <c r="Y100" s="18">
        <f>IFERROR(Y45*$AX45*(1+($AZ45-1)*Y$29)*($D$26*$AY45+(1-$D$26)*Y$28),"")</f>
        <v/>
      </c>
      <c r="Z100" s="18">
        <f>IFERROR(Z45*$AX45*(1+($AZ45-1)*Z$29)*($D$26*$AY45+(1-$D$26)*Z$28),"")</f>
        <v/>
      </c>
      <c r="AA100" s="18">
        <f>IFERROR(AA45*$AX45*(1+($AZ45-1)*AA$29)*($D$26*$AY45+(1-$D$26)*AA$28),"")</f>
        <v/>
      </c>
      <c r="AB100" s="18">
        <f>IFERROR(AB45*$AX45*(1+($AZ45-1)*AB$29)*($D$26*$AY45+(1-$D$26)*AB$28),"")</f>
        <v/>
      </c>
      <c r="AC100" s="18">
        <f>IFERROR(AC45*$AX45*(1+($AZ45-1)*AC$29)*($D$26*$AY45+(1-$D$26)*AC$28),"")</f>
        <v/>
      </c>
    </row>
    <row r="101">
      <c r="A101" t="inlineStr">
        <is>
          <t>20250618800387</t>
        </is>
      </c>
      <c r="B101" t="inlineStr">
        <is>
          <t>OTHER</t>
        </is>
      </c>
      <c r="D101" t="inlineStr">
        <is>
          <t>블록, 기자재 및 설계</t>
        </is>
      </c>
    </row>
    <row r="102">
      <c r="A102" t="inlineStr">
        <is>
          <t>20250618800388</t>
        </is>
      </c>
      <c r="B102" t="inlineStr">
        <is>
          <t>OTHER</t>
        </is>
      </c>
      <c r="D102" t="inlineStr">
        <is>
          <t>블록 및 기자재</t>
        </is>
      </c>
    </row>
    <row r="103">
      <c r="A103" t="inlineStr">
        <is>
          <t>20250818800096</t>
        </is>
      </c>
      <c r="B103" t="inlineStr">
        <is>
          <t>LNGC</t>
        </is>
      </c>
      <c r="C103" t="n">
        <v>2</v>
      </c>
      <c r="D103" t="inlineStr">
        <is>
          <t>LNG운반선 2척</t>
        </is>
      </c>
      <c r="S103" s="18">
        <f>IFERROR(S48*$AX48*(1+($AZ48-1)*S$29)*($D$26*$AY48+(1-$D$26)*S$28),"")</f>
        <v/>
      </c>
      <c r="T103" s="18">
        <f>IFERROR(T48*$AX48*(1+($AZ48-1)*T$29)*($D$26*$AY48+(1-$D$26)*T$28),"")</f>
        <v/>
      </c>
      <c r="U103" s="18">
        <f>IFERROR(U48*$AX48*(1+($AZ48-1)*U$29)*($D$26*$AY48+(1-$D$26)*U$28),"")</f>
        <v/>
      </c>
      <c r="V103" s="18">
        <f>IFERROR(V48*$AX48*(1+($AZ48-1)*V$29)*($D$26*$AY48+(1-$D$26)*V$28),"")</f>
        <v/>
      </c>
      <c r="W103" s="18">
        <f>IFERROR(W48*$AX48*(1+($AZ48-1)*W$29)*($D$26*$AY48+(1-$D$26)*W$28),"")</f>
        <v/>
      </c>
      <c r="X103" s="18">
        <f>IFERROR(X48*$AX48*(1+($AZ48-1)*X$29)*($D$26*$AY48+(1-$D$26)*X$28),"")</f>
        <v/>
      </c>
      <c r="Y103" s="18">
        <f>IFERROR(Y48*$AX48*(1+($AZ48-1)*Y$29)*($D$26*$AY48+(1-$D$26)*Y$28),"")</f>
        <v/>
      </c>
      <c r="Z103" s="18">
        <f>IFERROR(Z48*$AX48*(1+($AZ48-1)*Z$29)*($D$26*$AY48+(1-$D$26)*Z$28),"")</f>
        <v/>
      </c>
      <c r="AA103" s="18">
        <f>IFERROR(AA48*$AX48*(1+($AZ48-1)*AA$29)*($D$26*$AY48+(1-$D$26)*AA$28),"")</f>
        <v/>
      </c>
      <c r="AB103" s="18">
        <f>IFERROR(AB48*$AX48*(1+($AZ48-1)*AB$29)*($D$26*$AY48+(1-$D$26)*AB$28),"")</f>
        <v/>
      </c>
      <c r="AC103" s="18">
        <f>IFERROR(AC48*$AX48*(1+($AZ48-1)*AC$29)*($D$26*$AY48+(1-$D$26)*AC$28),"")</f>
        <v/>
      </c>
    </row>
    <row r="104">
      <c r="A104" t="inlineStr">
        <is>
          <t>20250818800098</t>
        </is>
      </c>
      <c r="B104" t="inlineStr">
        <is>
          <t>LNGC</t>
        </is>
      </c>
      <c r="C104" t="n">
        <v>4</v>
      </c>
      <c r="D104" t="inlineStr">
        <is>
          <t>LNG운반선 4척</t>
        </is>
      </c>
      <c r="S104" s="18">
        <f>IFERROR(S49*$AX49*(1+($AZ49-1)*S$29)*($D$26*$AY49+(1-$D$26)*S$28),"")</f>
        <v/>
      </c>
      <c r="T104" s="18">
        <f>IFERROR(T49*$AX49*(1+($AZ49-1)*T$29)*($D$26*$AY49+(1-$D$26)*T$28),"")</f>
        <v/>
      </c>
      <c r="U104" s="18">
        <f>IFERROR(U49*$AX49*(1+($AZ49-1)*U$29)*($D$26*$AY49+(1-$D$26)*U$28),"")</f>
        <v/>
      </c>
      <c r="V104" s="18">
        <f>IFERROR(V49*$AX49*(1+($AZ49-1)*V$29)*($D$26*$AY49+(1-$D$26)*V$28),"")</f>
        <v/>
      </c>
      <c r="W104" s="18">
        <f>IFERROR(W49*$AX49*(1+($AZ49-1)*W$29)*($D$26*$AY49+(1-$D$26)*W$28),"")</f>
        <v/>
      </c>
      <c r="X104" s="18">
        <f>IFERROR(X49*$AX49*(1+($AZ49-1)*X$29)*($D$26*$AY49+(1-$D$26)*X$28),"")</f>
        <v/>
      </c>
      <c r="Y104" s="18">
        <f>IFERROR(Y49*$AX49*(1+($AZ49-1)*Y$29)*($D$26*$AY49+(1-$D$26)*Y$28),"")</f>
        <v/>
      </c>
      <c r="Z104" s="18">
        <f>IFERROR(Z49*$AX49*(1+($AZ49-1)*Z$29)*($D$26*$AY49+(1-$D$26)*Z$28),"")</f>
        <v/>
      </c>
      <c r="AA104" s="18">
        <f>IFERROR(AA49*$AX49*(1+($AZ49-1)*AA$29)*($D$26*$AY49+(1-$D$26)*AA$28),"")</f>
        <v/>
      </c>
      <c r="AB104" s="18">
        <f>IFERROR(AB49*$AX49*(1+($AZ49-1)*AB$29)*($D$26*$AY49+(1-$D$26)*AB$28),"")</f>
        <v/>
      </c>
      <c r="AC104" s="18">
        <f>IFERROR(AC49*$AX49*(1+($AZ49-1)*AC$29)*($D$26*$AY49+(1-$D$26)*AC$28),"")</f>
        <v/>
      </c>
      <c r="AD104" s="18">
        <f>IFERROR(AD49*$AX49*(1+($AZ49-1)*AD$29)*($D$26*$AY49+(1-$D$26)*AD$28),"")</f>
        <v/>
      </c>
      <c r="AE104" s="18">
        <f>IFERROR(AE49*$AX49*(1+($AZ49-1)*AE$29)*($D$26*$AY49+(1-$D$26)*AE$28),"")</f>
        <v/>
      </c>
      <c r="AF104" s="18">
        <f>IFERROR(AF49*$AX49*(1+($AZ49-1)*AF$29)*($D$26*$AY49+(1-$D$26)*AF$28),"")</f>
        <v/>
      </c>
    </row>
    <row r="105">
      <c r="A105" t="inlineStr">
        <is>
          <t>20251107800084</t>
        </is>
      </c>
      <c r="B105" t="inlineStr">
        <is>
          <t>VLCC</t>
        </is>
      </c>
      <c r="C105" t="n">
        <v>2</v>
      </c>
      <c r="D105" t="inlineStr">
        <is>
          <t>유조선 2척</t>
        </is>
      </c>
      <c r="T105" s="18">
        <f>IFERROR(T50*$AX50*(1+($AZ50-1)*T$29)*($D$26*$AY50+(1-$D$26)*T$28),"")</f>
        <v/>
      </c>
      <c r="U105" s="18">
        <f>IFERROR(U50*$AX50*(1+($AZ50-1)*U$29)*($D$26*$AY50+(1-$D$26)*U$28),"")</f>
        <v/>
      </c>
      <c r="V105" s="18">
        <f>IFERROR(V50*$AX50*(1+($AZ50-1)*V$29)*($D$26*$AY50+(1-$D$26)*V$28),"")</f>
        <v/>
      </c>
      <c r="W105" s="18">
        <f>IFERROR(W50*$AX50*(1+($AZ50-1)*W$29)*($D$26*$AY50+(1-$D$26)*W$28),"")</f>
        <v/>
      </c>
      <c r="X105" s="18">
        <f>IFERROR(X50*$AX50*(1+($AZ50-1)*X$29)*($D$26*$AY50+(1-$D$26)*X$28),"")</f>
        <v/>
      </c>
      <c r="Y105" s="18">
        <f>IFERROR(Y50*$AX50*(1+($AZ50-1)*Y$29)*($D$26*$AY50+(1-$D$26)*Y$28),"")</f>
        <v/>
      </c>
      <c r="Z105" s="18">
        <f>IFERROR(Z50*$AX50*(1+($AZ50-1)*Z$29)*($D$26*$AY50+(1-$D$26)*Z$28),"")</f>
        <v/>
      </c>
      <c r="AA105" s="18">
        <f>IFERROR(AA50*$AX50*(1+($AZ50-1)*AA$29)*($D$26*$AY50+(1-$D$26)*AA$28),"")</f>
        <v/>
      </c>
      <c r="AB105" s="18">
        <f>IFERROR(AB50*$AX50*(1+($AZ50-1)*AB$29)*($D$26*$AY50+(1-$D$26)*AB$28),"")</f>
        <v/>
      </c>
      <c r="AC105" s="18">
        <f>IFERROR(AC50*$AX50*(1+($AZ50-1)*AC$29)*($D$26*$AY50+(1-$D$26)*AC$28),"")</f>
        <v/>
      </c>
      <c r="AD105" s="18">
        <f>IFERROR(AD50*$AX50*(1+($AZ50-1)*AD$29)*($D$26*$AY50+(1-$D$26)*AD$28),"")</f>
        <v/>
      </c>
      <c r="AE105" s="18">
        <f>IFERROR(AE50*$AX50*(1+($AZ50-1)*AE$29)*($D$26*$AY50+(1-$D$26)*AE$28),"")</f>
        <v/>
      </c>
      <c r="AF105" s="18">
        <f>IFERROR(AF50*$AX50*(1+($AZ50-1)*AF$29)*($D$26*$AY50+(1-$D$26)*AF$28),"")</f>
        <v/>
      </c>
      <c r="AG105" s="18">
        <f>IFERROR(AG50*$AX50*(1+($AZ50-1)*AG$29)*($D$26*$AY50+(1-$D$26)*AG$28),"")</f>
        <v/>
      </c>
    </row>
    <row r="106">
      <c r="A106" t="inlineStr">
        <is>
          <t>20251120800137</t>
        </is>
      </c>
      <c r="B106" t="inlineStr">
        <is>
          <t>CONT</t>
        </is>
      </c>
      <c r="C106" t="n">
        <v>7</v>
      </c>
      <c r="D106" t="inlineStr">
        <is>
          <t>컨테이너선 7척</t>
        </is>
      </c>
      <c r="T106" s="18">
        <f>IFERROR(T51*$AX51*(1+($AZ51-1)*T$29)*($D$26*$AY51+(1-$D$26)*T$28),"")</f>
        <v/>
      </c>
      <c r="U106" s="18">
        <f>IFERROR(U51*$AX51*(1+($AZ51-1)*U$29)*($D$26*$AY51+(1-$D$26)*U$28),"")</f>
        <v/>
      </c>
      <c r="V106" s="18">
        <f>IFERROR(V51*$AX51*(1+($AZ51-1)*V$29)*($D$26*$AY51+(1-$D$26)*V$28),"")</f>
        <v/>
      </c>
      <c r="W106" s="18">
        <f>IFERROR(W51*$AX51*(1+($AZ51-1)*W$29)*($D$26*$AY51+(1-$D$26)*W$28),"")</f>
        <v/>
      </c>
      <c r="X106" s="18">
        <f>IFERROR(X51*$AX51*(1+($AZ51-1)*X$29)*($D$26*$AY51+(1-$D$26)*X$28),"")</f>
        <v/>
      </c>
      <c r="Y106" s="18">
        <f>IFERROR(Y51*$AX51*(1+($AZ51-1)*Y$29)*($D$26*$AY51+(1-$D$26)*Y$28),"")</f>
        <v/>
      </c>
      <c r="Z106" s="18">
        <f>IFERROR(Z51*$AX51*(1+($AZ51-1)*Z$29)*($D$26*$AY51+(1-$D$26)*Z$28),"")</f>
        <v/>
      </c>
      <c r="AA106" s="18">
        <f>IFERROR(AA51*$AX51*(1+($AZ51-1)*AA$29)*($D$26*$AY51+(1-$D$26)*AA$28),"")</f>
        <v/>
      </c>
      <c r="AB106" s="18">
        <f>IFERROR(AB51*$AX51*(1+($AZ51-1)*AB$29)*($D$26*$AY51+(1-$D$26)*AB$28),"")</f>
        <v/>
      </c>
      <c r="AC106" s="18">
        <f>IFERROR(AC51*$AX51*(1+($AZ51-1)*AC$29)*($D$26*$AY51+(1-$D$26)*AC$28),"")</f>
        <v/>
      </c>
      <c r="AD106" s="18">
        <f>IFERROR(AD51*$AX51*(1+($AZ51-1)*AD$29)*($D$26*$AY51+(1-$D$26)*AD$28),"")</f>
        <v/>
      </c>
      <c r="AE106" s="18">
        <f>IFERROR(AE51*$AX51*(1+($AZ51-1)*AE$29)*($D$26*$AY51+(1-$D$26)*AE$28),"")</f>
        <v/>
      </c>
      <c r="AF106" s="18">
        <f>IFERROR(AF51*$AX51*(1+($AZ51-1)*AF$29)*($D$26*$AY51+(1-$D$26)*AF$28),"")</f>
        <v/>
      </c>
      <c r="AG106" s="18">
        <f>IFERROR(AG51*$AX51*(1+($AZ51-1)*AG$29)*($D$26*$AY51+(1-$D$26)*AG$28),"")</f>
        <v/>
      </c>
      <c r="AH106" s="18">
        <f>IFERROR(AH51*$AX51*(1+($AZ51-1)*AH$29)*($D$26*$AY51+(1-$D$26)*AH$28),"")</f>
        <v/>
      </c>
      <c r="AI106" s="18">
        <f>IFERROR(AI51*$AX51*(1+($AZ51-1)*AI$29)*($D$26*$AY51+(1-$D$26)*AI$28),"")</f>
        <v/>
      </c>
      <c r="AJ106" s="18">
        <f>IFERROR(AJ51*$AX51*(1+($AZ51-1)*AJ$29)*($D$26*$AY51+(1-$D$26)*AJ$28),"")</f>
        <v/>
      </c>
    </row>
    <row r="107">
      <c r="A107" t="inlineStr">
        <is>
          <t>20251212800879</t>
        </is>
      </c>
      <c r="B107" t="inlineStr">
        <is>
          <t>OTHER</t>
        </is>
      </c>
      <c r="D107" t="inlineStr">
        <is>
          <t>[P4 Ph1] FAB동 마감공사</t>
        </is>
      </c>
      <c r="I107" s="18">
        <f>IFERROR(I52*$AX52*(1+($AZ52-1)*I$29)*($D$26*$AY52+(1-$D$26)*I$28),"")</f>
        <v/>
      </c>
      <c r="J107" s="18">
        <f>IFERROR(J52*$AX52*(1+($AZ52-1)*J$29)*($D$26*$AY52+(1-$D$26)*J$28),"")</f>
        <v/>
      </c>
      <c r="K107" s="18">
        <f>IFERROR(K52*$AX52*(1+($AZ52-1)*K$29)*($D$26*$AY52+(1-$D$26)*K$28),"")</f>
        <v/>
      </c>
      <c r="L107" s="18">
        <f>IFERROR(L52*$AX52*(1+($AZ52-1)*L$29)*($D$26*$AY52+(1-$D$26)*L$28),"")</f>
        <v/>
      </c>
      <c r="M107" s="18">
        <f>IFERROR(M52*$AX52*(1+($AZ52-1)*M$29)*($D$26*$AY52+(1-$D$26)*M$28),"")</f>
        <v/>
      </c>
      <c r="N107" s="18">
        <f>IFERROR(N52*$AX52*(1+($AZ52-1)*N$29)*($D$26*$AY52+(1-$D$26)*N$28),"")</f>
        <v/>
      </c>
      <c r="O107" s="18">
        <f>IFERROR(O52*$AX52*(1+($AZ52-1)*O$29)*($D$26*$AY52+(1-$D$26)*O$28),"")</f>
        <v/>
      </c>
      <c r="P107" s="18">
        <f>IFERROR(P52*$AX52*(1+($AZ52-1)*P$29)*($D$26*$AY52+(1-$D$26)*P$28),"")</f>
        <v/>
      </c>
      <c r="Q107" s="18">
        <f>IFERROR(Q52*$AX52*(1+($AZ52-1)*Q$29)*($D$26*$AY52+(1-$D$26)*Q$28),"")</f>
        <v/>
      </c>
      <c r="R107" s="18">
        <f>IFERROR(R52*$AX52*(1+($AZ52-1)*R$29)*($D$26*$AY52+(1-$D$26)*R$28),"")</f>
        <v/>
      </c>
      <c r="S107" s="18">
        <f>IFERROR(S52*$AX52*(1+($AZ52-1)*S$29)*($D$26*$AY52+(1-$D$26)*S$28),"")</f>
        <v/>
      </c>
      <c r="T107" s="18">
        <f>IFERROR(T52*$AX52*(1+($AZ52-1)*T$29)*($D$26*$AY52+(1-$D$26)*T$28),"")</f>
        <v/>
      </c>
    </row>
    <row r="108">
      <c r="A108" t="inlineStr">
        <is>
          <t>20251223800127</t>
        </is>
      </c>
      <c r="B108" t="inlineStr">
        <is>
          <t>LNGC</t>
        </is>
      </c>
      <c r="C108" t="n">
        <v>2</v>
      </c>
      <c r="D108" t="inlineStr">
        <is>
          <t>LNG운반선 2척</t>
        </is>
      </c>
      <c r="T108" s="18">
        <f>IFERROR(T53*$AX53*(1+($AZ53-1)*T$29)*($D$26*$AY53+(1-$D$26)*T$28),"")</f>
        <v/>
      </c>
      <c r="U108" s="18">
        <f>IFERROR(U53*$AX53*(1+($AZ53-1)*U$29)*($D$26*$AY53+(1-$D$26)*U$28),"")</f>
        <v/>
      </c>
      <c r="V108" s="18">
        <f>IFERROR(V53*$AX53*(1+($AZ53-1)*V$29)*($D$26*$AY53+(1-$D$26)*V$28),"")</f>
        <v/>
      </c>
      <c r="W108" s="18">
        <f>IFERROR(W53*$AX53*(1+($AZ53-1)*W$29)*($D$26*$AY53+(1-$D$26)*W$28),"")</f>
        <v/>
      </c>
      <c r="X108" s="18">
        <f>IFERROR(X53*$AX53*(1+($AZ53-1)*X$29)*($D$26*$AY53+(1-$D$26)*X$28),"")</f>
        <v/>
      </c>
      <c r="Y108" s="18">
        <f>IFERROR(Y53*$AX53*(1+($AZ53-1)*Y$29)*($D$26*$AY53+(1-$D$26)*Y$28),"")</f>
        <v/>
      </c>
      <c r="Z108" s="18">
        <f>IFERROR(Z53*$AX53*(1+($AZ53-1)*Z$29)*($D$26*$AY53+(1-$D$26)*Z$28),"")</f>
        <v/>
      </c>
      <c r="AA108" s="18">
        <f>IFERROR(AA53*$AX53*(1+($AZ53-1)*AA$29)*($D$26*$AY53+(1-$D$26)*AA$28),"")</f>
        <v/>
      </c>
      <c r="AB108" s="18">
        <f>IFERROR(AB53*$AX53*(1+($AZ53-1)*AB$29)*($D$26*$AY53+(1-$D$26)*AB$28),"")</f>
        <v/>
      </c>
      <c r="AC108" s="18">
        <f>IFERROR(AC53*$AX53*(1+($AZ53-1)*AC$29)*($D$26*$AY53+(1-$D$26)*AC$28),"")</f>
        <v/>
      </c>
      <c r="AD108" s="18">
        <f>IFERROR(AD53*$AX53*(1+($AZ53-1)*AD$29)*($D$26*$AY53+(1-$D$26)*AD$28),"")</f>
        <v/>
      </c>
      <c r="AE108" s="18">
        <f>IFERROR(AE53*$AX53*(1+($AZ53-1)*AE$29)*($D$26*$AY53+(1-$D$26)*AE$28),"")</f>
        <v/>
      </c>
      <c r="AF108" s="18">
        <f>IFERROR(AF53*$AX53*(1+($AZ53-1)*AF$29)*($D$26*$AY53+(1-$D$26)*AF$28),"")</f>
        <v/>
      </c>
      <c r="AG108" s="18">
        <f>IFERROR(AG53*$AX53*(1+($AZ53-1)*AG$29)*($D$26*$AY53+(1-$D$26)*AG$28),"")</f>
        <v/>
      </c>
    </row>
    <row r="109">
      <c r="A109" t="inlineStr">
        <is>
          <t>20251226800865</t>
        </is>
      </c>
      <c r="B109" t="inlineStr">
        <is>
          <t>OTHER</t>
        </is>
      </c>
      <c r="D109" t="inlineStr">
        <is>
          <t>[P4 Ph3(상서)]FAB동 마감공사</t>
        </is>
      </c>
      <c r="N109" s="18">
        <f>IFERROR(N54*$AX54*(1+($AZ54-1)*N$29)*($D$26*$AY54+(1-$D$26)*N$28),"")</f>
        <v/>
      </c>
      <c r="O109" s="18">
        <f>IFERROR(O54*$AX54*(1+($AZ54-1)*O$29)*($D$26*$AY54+(1-$D$26)*O$28),"")</f>
        <v/>
      </c>
      <c r="P109" s="18">
        <f>IFERROR(P54*$AX54*(1+($AZ54-1)*P$29)*($D$26*$AY54+(1-$D$26)*P$28),"")</f>
        <v/>
      </c>
      <c r="Q109" s="18">
        <f>IFERROR(Q54*$AX54*(1+($AZ54-1)*Q$29)*($D$26*$AY54+(1-$D$26)*Q$28),"")</f>
        <v/>
      </c>
      <c r="R109" s="18">
        <f>IFERROR(R54*$AX54*(1+($AZ54-1)*R$29)*($D$26*$AY54+(1-$D$26)*R$28),"")</f>
        <v/>
      </c>
      <c r="S109" s="18">
        <f>IFERROR(S54*$AX54*(1+($AZ54-1)*S$29)*($D$26*$AY54+(1-$D$26)*S$28),"")</f>
        <v/>
      </c>
      <c r="T109" s="18">
        <f>IFERROR(T54*$AX54*(1+($AZ54-1)*T$29)*($D$26*$AY54+(1-$D$26)*T$28),"")</f>
        <v/>
      </c>
    </row>
    <row r="110">
      <c r="A110" t="inlineStr">
        <is>
          <t>20260102800222</t>
        </is>
      </c>
      <c r="B110" t="inlineStr">
        <is>
          <t>LNGC</t>
        </is>
      </c>
      <c r="C110" t="n">
        <v>2</v>
      </c>
      <c r="D110" t="inlineStr">
        <is>
          <t>LNG운반선 2척</t>
        </is>
      </c>
      <c r="T110" s="18">
        <f>IFERROR(T55*$AX55*(1+($AZ55-1)*T$29)*($D$26*$AY55+(1-$D$26)*T$28),"")</f>
        <v/>
      </c>
      <c r="U110" s="18">
        <f>IFERROR(U55*$AX55*(1+($AZ55-1)*U$29)*($D$26*$AY55+(1-$D$26)*U$28),"")</f>
        <v/>
      </c>
      <c r="V110" s="18">
        <f>IFERROR(V55*$AX55*(1+($AZ55-1)*V$29)*($D$26*$AY55+(1-$D$26)*V$28),"")</f>
        <v/>
      </c>
      <c r="W110" s="18">
        <f>IFERROR(W55*$AX55*(1+($AZ55-1)*W$29)*($D$26*$AY55+(1-$D$26)*W$28),"")</f>
        <v/>
      </c>
      <c r="X110" s="18">
        <f>IFERROR(X55*$AX55*(1+($AZ55-1)*X$29)*($D$26*$AY55+(1-$D$26)*X$28),"")</f>
        <v/>
      </c>
      <c r="Y110" s="18">
        <f>IFERROR(Y55*$AX55*(1+($AZ55-1)*Y$29)*($D$26*$AY55+(1-$D$26)*Y$28),"")</f>
        <v/>
      </c>
      <c r="Z110" s="18">
        <f>IFERROR(Z55*$AX55*(1+($AZ55-1)*Z$29)*($D$26*$AY55+(1-$D$26)*Z$28),"")</f>
        <v/>
      </c>
      <c r="AA110" s="18">
        <f>IFERROR(AA55*$AX55*(1+($AZ55-1)*AA$29)*($D$26*$AY55+(1-$D$26)*AA$28),"")</f>
        <v/>
      </c>
      <c r="AB110" s="18">
        <f>IFERROR(AB55*$AX55*(1+($AZ55-1)*AB$29)*($D$26*$AY55+(1-$D$26)*AB$28),"")</f>
        <v/>
      </c>
      <c r="AC110" s="18">
        <f>IFERROR(AC55*$AX55*(1+($AZ55-1)*AC$29)*($D$26*$AY55+(1-$D$26)*AC$28),"")</f>
        <v/>
      </c>
      <c r="AD110" s="18">
        <f>IFERROR(AD55*$AX55*(1+($AZ55-1)*AD$29)*($D$26*$AY55+(1-$D$26)*AD$28),"")</f>
        <v/>
      </c>
      <c r="AE110" s="18">
        <f>IFERROR(AE55*$AX55*(1+($AZ55-1)*AE$29)*($D$26*$AY55+(1-$D$26)*AE$28),"")</f>
        <v/>
      </c>
    </row>
    <row r="111">
      <c r="A111" t="inlineStr">
        <is>
          <t>20260128800216</t>
        </is>
      </c>
      <c r="B111" t="inlineStr">
        <is>
          <t>VLGC</t>
        </is>
      </c>
      <c r="C111" t="n">
        <v>2</v>
      </c>
      <c r="D111" t="inlineStr">
        <is>
          <t>에탄운반선 2척</t>
        </is>
      </c>
      <c r="U111" s="18">
        <f>IFERROR(U56*$AX56*(1+($AZ56-1)*U$29)*($D$26*$AY56+(1-$D$26)*U$28),"")</f>
        <v/>
      </c>
      <c r="V111" s="18">
        <f>IFERROR(V56*$AX56*(1+($AZ56-1)*V$29)*($D$26*$AY56+(1-$D$26)*V$28),"")</f>
        <v/>
      </c>
      <c r="W111" s="18">
        <f>IFERROR(W56*$AX56*(1+($AZ56-1)*W$29)*($D$26*$AY56+(1-$D$26)*W$28),"")</f>
        <v/>
      </c>
      <c r="X111" s="18">
        <f>IFERROR(X56*$AX56*(1+($AZ56-1)*X$29)*($D$26*$AY56+(1-$D$26)*X$28),"")</f>
        <v/>
      </c>
      <c r="Y111" s="18">
        <f>IFERROR(Y56*$AX56*(1+($AZ56-1)*Y$29)*($D$26*$AY56+(1-$D$26)*Y$28),"")</f>
        <v/>
      </c>
      <c r="Z111" s="18">
        <f>IFERROR(Z56*$AX56*(1+($AZ56-1)*Z$29)*($D$26*$AY56+(1-$D$26)*Z$28),"")</f>
        <v/>
      </c>
      <c r="AA111" s="18">
        <f>IFERROR(AA56*$AX56*(1+($AZ56-1)*AA$29)*($D$26*$AY56+(1-$D$26)*AA$28),"")</f>
        <v/>
      </c>
      <c r="AB111" s="18">
        <f>IFERROR(AB56*$AX56*(1+($AZ56-1)*AB$29)*($D$26*$AY56+(1-$D$26)*AB$28),"")</f>
        <v/>
      </c>
      <c r="AC111" s="18">
        <f>IFERROR(AC56*$AX56*(1+($AZ56-1)*AC$29)*($D$26*$AY56+(1-$D$26)*AC$28),"")</f>
        <v/>
      </c>
      <c r="AD111" s="18">
        <f>IFERROR(AD56*$AX56*(1+($AZ56-1)*AD$29)*($D$26*$AY56+(1-$D$26)*AD$28),"")</f>
        <v/>
      </c>
      <c r="AE111" s="18">
        <f>IFERROR(AE56*$AX56*(1+($AZ56-1)*AE$29)*($D$26*$AY56+(1-$D$26)*AE$28),"")</f>
        <v/>
      </c>
      <c r="AF111" s="18">
        <f>IFERROR(AF56*$AX56*(1+($AZ56-1)*AF$29)*($D$26*$AY56+(1-$D$26)*AF$28),"")</f>
        <v/>
      </c>
      <c r="AG111" s="18">
        <f>IFERROR(AG56*$AX56*(1+($AZ56-1)*AG$29)*($D$26*$AY56+(1-$D$26)*AG$28),"")</f>
        <v/>
      </c>
    </row>
    <row r="112">
      <c r="A112" t="inlineStr">
        <is>
          <t>20260128800218</t>
        </is>
      </c>
      <c r="B112" t="inlineStr">
        <is>
          <t>LNGC</t>
        </is>
      </c>
      <c r="C112" t="n">
        <v>2</v>
      </c>
      <c r="D112" t="inlineStr">
        <is>
          <t>LNG운반선 2척</t>
        </is>
      </c>
      <c r="U112" s="18">
        <f>IFERROR(U57*$AX57*(1+($AZ57-1)*U$29)*($D$26*$AY57+(1-$D$26)*U$28),"")</f>
        <v/>
      </c>
      <c r="V112" s="18">
        <f>IFERROR(V57*$AX57*(1+($AZ57-1)*V$29)*($D$26*$AY57+(1-$D$26)*V$28),"")</f>
        <v/>
      </c>
      <c r="W112" s="18">
        <f>IFERROR(W57*$AX57*(1+($AZ57-1)*W$29)*($D$26*$AY57+(1-$D$26)*W$28),"")</f>
        <v/>
      </c>
      <c r="X112" s="18">
        <f>IFERROR(X57*$AX57*(1+($AZ57-1)*X$29)*($D$26*$AY57+(1-$D$26)*X$28),"")</f>
        <v/>
      </c>
      <c r="Y112" s="18">
        <f>IFERROR(Y57*$AX57*(1+($AZ57-1)*Y$29)*($D$26*$AY57+(1-$D$26)*Y$28),"")</f>
        <v/>
      </c>
      <c r="Z112" s="18">
        <f>IFERROR(Z57*$AX57*(1+($AZ57-1)*Z$29)*($D$26*$AY57+(1-$D$26)*Z$28),"")</f>
        <v/>
      </c>
      <c r="AA112" s="18">
        <f>IFERROR(AA57*$AX57*(1+($AZ57-1)*AA$29)*($D$26*$AY57+(1-$D$26)*AA$28),"")</f>
        <v/>
      </c>
      <c r="AB112" s="18">
        <f>IFERROR(AB57*$AX57*(1+($AZ57-1)*AB$29)*($D$26*$AY57+(1-$D$26)*AB$28),"")</f>
        <v/>
      </c>
      <c r="AC112" s="18">
        <f>IFERROR(AC57*$AX57*(1+($AZ57-1)*AC$29)*($D$26*$AY57+(1-$D$26)*AC$28),"")</f>
        <v/>
      </c>
      <c r="AD112" s="18">
        <f>IFERROR(AD57*$AX57*(1+($AZ57-1)*AD$29)*($D$26*$AY57+(1-$D$26)*AD$28),"")</f>
        <v/>
      </c>
      <c r="AE112" s="18">
        <f>IFERROR(AE57*$AX57*(1+($AZ57-1)*AE$29)*($D$26*$AY57+(1-$D$26)*AE$28),"")</f>
        <v/>
      </c>
      <c r="AF112" s="18">
        <f>IFERROR(AF57*$AX57*(1+($AZ57-1)*AF$29)*($D$26*$AY57+(1-$D$26)*AF$28),"")</f>
        <v/>
      </c>
      <c r="AG112" s="18">
        <f>IFERROR(AG57*$AX57*(1+($AZ57-1)*AG$29)*($D$26*$AY57+(1-$D$26)*AG$28),"")</f>
        <v/>
      </c>
    </row>
    <row r="113">
      <c r="A113" t="inlineStr">
        <is>
          <t>20260211800232</t>
        </is>
      </c>
      <c r="B113" t="inlineStr">
        <is>
          <t>CONT</t>
        </is>
      </c>
      <c r="C113" t="n">
        <v>2</v>
      </c>
      <c r="D113" t="inlineStr">
        <is>
          <t>컨테이너선 2척</t>
        </is>
      </c>
      <c r="U113" s="18">
        <f>IFERROR(U58*$AX58*(1+($AZ58-1)*U$29)*($D$26*$AY58+(1-$D$26)*U$28),"")</f>
        <v/>
      </c>
      <c r="V113" s="18">
        <f>IFERROR(V58*$AX58*(1+($AZ58-1)*V$29)*($D$26*$AY58+(1-$D$26)*V$28),"")</f>
        <v/>
      </c>
      <c r="W113" s="18">
        <f>IFERROR(W58*$AX58*(1+($AZ58-1)*W$29)*($D$26*$AY58+(1-$D$26)*W$28),"")</f>
        <v/>
      </c>
      <c r="X113" s="18">
        <f>IFERROR(X58*$AX58*(1+($AZ58-1)*X$29)*($D$26*$AY58+(1-$D$26)*X$28),"")</f>
        <v/>
      </c>
      <c r="Y113" s="18">
        <f>IFERROR(Y58*$AX58*(1+($AZ58-1)*Y$29)*($D$26*$AY58+(1-$D$26)*Y$28),"")</f>
        <v/>
      </c>
      <c r="Z113" s="18">
        <f>IFERROR(Z58*$AX58*(1+($AZ58-1)*Z$29)*($D$26*$AY58+(1-$D$26)*Z$28),"")</f>
        <v/>
      </c>
      <c r="AA113" s="18">
        <f>IFERROR(AA58*$AX58*(1+($AZ58-1)*AA$29)*($D$26*$AY58+(1-$D$26)*AA$28),"")</f>
        <v/>
      </c>
      <c r="AB113" s="18">
        <f>IFERROR(AB58*$AX58*(1+($AZ58-1)*AB$29)*($D$26*$AY58+(1-$D$26)*AB$28),"")</f>
        <v/>
      </c>
      <c r="AC113" s="18">
        <f>IFERROR(AC58*$AX58*(1+($AZ58-1)*AC$29)*($D$26*$AY58+(1-$D$26)*AC$28),"")</f>
        <v/>
      </c>
      <c r="AD113" s="18">
        <f>IFERROR(AD58*$AX58*(1+($AZ58-1)*AD$29)*($D$26*$AY58+(1-$D$26)*AD$28),"")</f>
        <v/>
      </c>
    </row>
    <row r="114">
      <c r="A114" t="inlineStr">
        <is>
          <t>20260220800213</t>
        </is>
      </c>
      <c r="B114" t="inlineStr">
        <is>
          <t>LNGC</t>
        </is>
      </c>
      <c r="C114" t="n">
        <v>1</v>
      </c>
      <c r="D114" t="inlineStr">
        <is>
          <t>LNG운반선 1척</t>
        </is>
      </c>
      <c r="U114" s="18">
        <f>IFERROR(U59*$AX59*(1+($AZ59-1)*U$29)*($D$26*$AY59+(1-$D$26)*U$28),"")</f>
        <v/>
      </c>
      <c r="V114" s="18">
        <f>IFERROR(V59*$AX59*(1+($AZ59-1)*V$29)*($D$26*$AY59+(1-$D$26)*V$28),"")</f>
        <v/>
      </c>
      <c r="W114" s="18">
        <f>IFERROR(W59*$AX59*(1+($AZ59-1)*W$29)*($D$26*$AY59+(1-$D$26)*W$28),"")</f>
        <v/>
      </c>
      <c r="X114" s="18">
        <f>IFERROR(X59*$AX59*(1+($AZ59-1)*X$29)*($D$26*$AY59+(1-$D$26)*X$28),"")</f>
        <v/>
      </c>
      <c r="Y114" s="18">
        <f>IFERROR(Y59*$AX59*(1+($AZ59-1)*Y$29)*($D$26*$AY59+(1-$D$26)*Y$28),"")</f>
        <v/>
      </c>
      <c r="Z114" s="18">
        <f>IFERROR(Z59*$AX59*(1+($AZ59-1)*Z$29)*($D$26*$AY59+(1-$D$26)*Z$28),"")</f>
        <v/>
      </c>
      <c r="AA114" s="18">
        <f>IFERROR(AA59*$AX59*(1+($AZ59-1)*AA$29)*($D$26*$AY59+(1-$D$26)*AA$28),"")</f>
        <v/>
      </c>
      <c r="AB114" s="18">
        <f>IFERROR(AB59*$AX59*(1+($AZ59-1)*AB$29)*($D$26*$AY59+(1-$D$26)*AB$28),"")</f>
        <v/>
      </c>
      <c r="AC114" s="18">
        <f>IFERROR(AC59*$AX59*(1+($AZ59-1)*AC$29)*($D$26*$AY59+(1-$D$26)*AC$28),"")</f>
        <v/>
      </c>
      <c r="AD114" s="18">
        <f>IFERROR(AD59*$AX59*(1+($AZ59-1)*AD$29)*($D$26*$AY59+(1-$D$26)*AD$28),"")</f>
        <v/>
      </c>
    </row>
    <row r="115">
      <c r="A115" t="inlineStr">
        <is>
          <t>20260310800545</t>
        </is>
      </c>
      <c r="B115" t="inlineStr">
        <is>
          <t>VLCC</t>
        </is>
      </c>
      <c r="C115" t="n">
        <v>3</v>
      </c>
      <c r="D115" t="inlineStr">
        <is>
          <t>유조선 3척</t>
        </is>
      </c>
      <c r="U115" s="18">
        <f>IFERROR(U60*$AX60*(1+($AZ60-1)*U$29)*($D$26*$AY60+(1-$D$26)*U$28),"")</f>
        <v/>
      </c>
      <c r="V115" s="18">
        <f>IFERROR(V60*$AX60*(1+($AZ60-1)*V$29)*($D$26*$AY60+(1-$D$26)*V$28),"")</f>
        <v/>
      </c>
      <c r="W115" s="18">
        <f>IFERROR(W60*$AX60*(1+($AZ60-1)*W$29)*($D$26*$AY60+(1-$D$26)*W$28),"")</f>
        <v/>
      </c>
      <c r="X115" s="18">
        <f>IFERROR(X60*$AX60*(1+($AZ60-1)*X$29)*($D$26*$AY60+(1-$D$26)*X$28),"")</f>
        <v/>
      </c>
      <c r="Y115" s="18">
        <f>IFERROR(Y60*$AX60*(1+($AZ60-1)*Y$29)*($D$26*$AY60+(1-$D$26)*Y$28),"")</f>
        <v/>
      </c>
      <c r="Z115" s="18">
        <f>IFERROR(Z60*$AX60*(1+($AZ60-1)*Z$29)*($D$26*$AY60+(1-$D$26)*Z$28),"")</f>
        <v/>
      </c>
      <c r="AA115" s="18">
        <f>IFERROR(AA60*$AX60*(1+($AZ60-1)*AA$29)*($D$26*$AY60+(1-$D$26)*AA$28),"")</f>
        <v/>
      </c>
      <c r="AB115" s="18">
        <f>IFERROR(AB60*$AX60*(1+($AZ60-1)*AB$29)*($D$26*$AY60+(1-$D$26)*AB$28),"")</f>
        <v/>
      </c>
      <c r="AC115" s="18">
        <f>IFERROR(AC60*$AX60*(1+($AZ60-1)*AC$29)*($D$26*$AY60+(1-$D$26)*AC$28),"")</f>
        <v/>
      </c>
      <c r="AD115" s="18">
        <f>IFERROR(AD60*$AX60*(1+($AZ60-1)*AD$29)*($D$26*$AY60+(1-$D$26)*AD$28),"")</f>
        <v/>
      </c>
      <c r="AE115" s="18">
        <f>IFERROR(AE60*$AX60*(1+($AZ60-1)*AE$29)*($D$26*$AY60+(1-$D$26)*AE$28),"")</f>
        <v/>
      </c>
      <c r="AF115" s="18">
        <f>IFERROR(AF60*$AX60*(1+($AZ60-1)*AF$29)*($D$26*$AY60+(1-$D$26)*AF$28),"")</f>
        <v/>
      </c>
      <c r="AG115" s="18">
        <f>IFERROR(AG60*$AX60*(1+($AZ60-1)*AG$29)*($D$26*$AY60+(1-$D$26)*AG$28),"")</f>
        <v/>
      </c>
    </row>
    <row r="116">
      <c r="A116" t="inlineStr">
        <is>
          <t>20260316801038</t>
        </is>
      </c>
      <c r="B116" t="inlineStr">
        <is>
          <t>VLCC</t>
        </is>
      </c>
      <c r="C116" t="n">
        <v>1</v>
      </c>
      <c r="D116" t="inlineStr">
        <is>
          <t>원유운반선 1척</t>
        </is>
      </c>
    </row>
    <row r="117">
      <c r="A117" t="inlineStr">
        <is>
          <t>20260320800106</t>
        </is>
      </c>
      <c r="B117" t="inlineStr">
        <is>
          <t>LNGC</t>
        </is>
      </c>
      <c r="C117" t="n">
        <v>1</v>
      </c>
      <c r="D117" t="inlineStr">
        <is>
          <t>LNG운반선 1척</t>
        </is>
      </c>
      <c r="U117" s="18">
        <f>IFERROR(U62*$AX62*(1+($AZ62-1)*U$29)*($D$26*$AY62+(1-$D$26)*U$28),"")</f>
        <v/>
      </c>
      <c r="V117" s="18">
        <f>IFERROR(V62*$AX62*(1+($AZ62-1)*V$29)*($D$26*$AY62+(1-$D$26)*V$28),"")</f>
        <v/>
      </c>
      <c r="W117" s="18">
        <f>IFERROR(W62*$AX62*(1+($AZ62-1)*W$29)*($D$26*$AY62+(1-$D$26)*W$28),"")</f>
        <v/>
      </c>
      <c r="X117" s="18">
        <f>IFERROR(X62*$AX62*(1+($AZ62-1)*X$29)*($D$26*$AY62+(1-$D$26)*X$28),"")</f>
        <v/>
      </c>
      <c r="Y117" s="18">
        <f>IFERROR(Y62*$AX62*(1+($AZ62-1)*Y$29)*($D$26*$AY62+(1-$D$26)*Y$28),"")</f>
        <v/>
      </c>
      <c r="Z117" s="18">
        <f>IFERROR(Z62*$AX62*(1+($AZ62-1)*Z$29)*($D$26*$AY62+(1-$D$26)*Z$28),"")</f>
        <v/>
      </c>
      <c r="AA117" s="18">
        <f>IFERROR(AA62*$AX62*(1+($AZ62-1)*AA$29)*($D$26*$AY62+(1-$D$26)*AA$28),"")</f>
        <v/>
      </c>
      <c r="AB117" s="18">
        <f>IFERROR(AB62*$AX62*(1+($AZ62-1)*AB$29)*($D$26*$AY62+(1-$D$26)*AB$28),"")</f>
        <v/>
      </c>
      <c r="AC117" s="18">
        <f>IFERROR(AC62*$AX62*(1+($AZ62-1)*AC$29)*($D$26*$AY62+(1-$D$26)*AC$28),"")</f>
        <v/>
      </c>
      <c r="AD117" s="18">
        <f>IFERROR(AD62*$AX62*(1+($AZ62-1)*AD$29)*($D$26*$AY62+(1-$D$26)*AD$28),"")</f>
        <v/>
      </c>
      <c r="AE117" s="18">
        <f>IFERROR(AE62*$AX62*(1+($AZ62-1)*AE$29)*($D$26*$AY62+(1-$D$26)*AE$28),"")</f>
        <v/>
      </c>
      <c r="AF117" s="18">
        <f>IFERROR(AF62*$AX62*(1+($AZ62-1)*AF$29)*($D$26*$AY62+(1-$D$26)*AF$28),"")</f>
        <v/>
      </c>
      <c r="AG117" s="18">
        <f>IFERROR(AG62*$AX62*(1+($AZ62-1)*AG$29)*($D$26*$AY62+(1-$D$26)*AG$28),"")</f>
        <v/>
      </c>
      <c r="AH117" s="18">
        <f>IFERROR(AH62*$AX62*(1+($AZ62-1)*AH$29)*($D$26*$AY62+(1-$D$26)*AH$28),"")</f>
        <v/>
      </c>
    </row>
    <row r="118">
      <c r="A118" t="inlineStr">
        <is>
          <t>20260323800137</t>
        </is>
      </c>
      <c r="B118" t="inlineStr">
        <is>
          <t>LNGC</t>
        </is>
      </c>
      <c r="C118" t="n">
        <v>2</v>
      </c>
      <c r="D118" t="inlineStr">
        <is>
          <t>LNG운반선 2척</t>
        </is>
      </c>
      <c r="U118" s="18">
        <f>IFERROR(U63*$AX63*(1+($AZ63-1)*U$29)*($D$26*$AY63+(1-$D$26)*U$28),"")</f>
        <v/>
      </c>
      <c r="V118" s="18">
        <f>IFERROR(V63*$AX63*(1+($AZ63-1)*V$29)*($D$26*$AY63+(1-$D$26)*V$28),"")</f>
        <v/>
      </c>
      <c r="W118" s="18">
        <f>IFERROR(W63*$AX63*(1+($AZ63-1)*W$29)*($D$26*$AY63+(1-$D$26)*W$28),"")</f>
        <v/>
      </c>
      <c r="X118" s="18">
        <f>IFERROR(X63*$AX63*(1+($AZ63-1)*X$29)*($D$26*$AY63+(1-$D$26)*X$28),"")</f>
        <v/>
      </c>
      <c r="Y118" s="18">
        <f>IFERROR(Y63*$AX63*(1+($AZ63-1)*Y$29)*($D$26*$AY63+(1-$D$26)*Y$28),"")</f>
        <v/>
      </c>
      <c r="Z118" s="18">
        <f>IFERROR(Z63*$AX63*(1+($AZ63-1)*Z$29)*($D$26*$AY63+(1-$D$26)*Z$28),"")</f>
        <v/>
      </c>
      <c r="AA118" s="18">
        <f>IFERROR(AA63*$AX63*(1+($AZ63-1)*AA$29)*($D$26*$AY63+(1-$D$26)*AA$28),"")</f>
        <v/>
      </c>
      <c r="AB118" s="18">
        <f>IFERROR(AB63*$AX63*(1+($AZ63-1)*AB$29)*($D$26*$AY63+(1-$D$26)*AB$28),"")</f>
        <v/>
      </c>
      <c r="AC118" s="18">
        <f>IFERROR(AC63*$AX63*(1+($AZ63-1)*AC$29)*($D$26*$AY63+(1-$D$26)*AC$28),"")</f>
        <v/>
      </c>
      <c r="AD118" s="18">
        <f>IFERROR(AD63*$AX63*(1+($AZ63-1)*AD$29)*($D$26*$AY63+(1-$D$26)*AD$28),"")</f>
        <v/>
      </c>
      <c r="AE118" s="18">
        <f>IFERROR(AE63*$AX63*(1+($AZ63-1)*AE$29)*($D$26*$AY63+(1-$D$26)*AE$28),"")</f>
        <v/>
      </c>
    </row>
    <row r="119">
      <c r="A119" t="inlineStr">
        <is>
          <t>20260401800243</t>
        </is>
      </c>
      <c r="B119" t="inlineStr">
        <is>
          <t>VLGC</t>
        </is>
      </c>
      <c r="C119" t="n">
        <v>2</v>
      </c>
      <c r="D119" t="inlineStr">
        <is>
          <t>VLGC 2척</t>
        </is>
      </c>
      <c r="U119" s="18">
        <f>IFERROR(U64*$AX64*(1+($AZ64-1)*U$29)*($D$26*$AY64+(1-$D$26)*U$28),"")</f>
        <v/>
      </c>
      <c r="V119" s="18">
        <f>IFERROR(V64*$AX64*(1+($AZ64-1)*V$29)*($D$26*$AY64+(1-$D$26)*V$28),"")</f>
        <v/>
      </c>
      <c r="W119" s="18">
        <f>IFERROR(W64*$AX64*(1+($AZ64-1)*W$29)*($D$26*$AY64+(1-$D$26)*W$28),"")</f>
        <v/>
      </c>
      <c r="X119" s="18">
        <f>IFERROR(X64*$AX64*(1+($AZ64-1)*X$29)*($D$26*$AY64+(1-$D$26)*X$28),"")</f>
        <v/>
      </c>
      <c r="Y119" s="18">
        <f>IFERROR(Y64*$AX64*(1+($AZ64-1)*Y$29)*($D$26*$AY64+(1-$D$26)*Y$28),"")</f>
        <v/>
      </c>
      <c r="Z119" s="18">
        <f>IFERROR(Z64*$AX64*(1+($AZ64-1)*Z$29)*($D$26*$AY64+(1-$D$26)*Z$28),"")</f>
        <v/>
      </c>
      <c r="AA119" s="18">
        <f>IFERROR(AA64*$AX64*(1+($AZ64-1)*AA$29)*($D$26*$AY64+(1-$D$26)*AA$28),"")</f>
        <v/>
      </c>
      <c r="AB119" s="18">
        <f>IFERROR(AB64*$AX64*(1+($AZ64-1)*AB$29)*($D$26*$AY64+(1-$D$26)*AB$28),"")</f>
        <v/>
      </c>
      <c r="AC119" s="18">
        <f>IFERROR(AC64*$AX64*(1+($AZ64-1)*AC$29)*($D$26*$AY64+(1-$D$26)*AC$28),"")</f>
        <v/>
      </c>
      <c r="AD119" s="18">
        <f>IFERROR(AD64*$AX64*(1+($AZ64-1)*AD$29)*($D$26*$AY64+(1-$D$26)*AD$28),"")</f>
        <v/>
      </c>
      <c r="AE119" s="18">
        <f>IFERROR(AE64*$AX64*(1+($AZ64-1)*AE$29)*($D$26*$AY64+(1-$D$26)*AE$28),"")</f>
        <v/>
      </c>
      <c r="AF119" s="18">
        <f>IFERROR(AF64*$AX64*(1+($AZ64-1)*AF$29)*($D$26*$AY64+(1-$D$26)*AF$28),"")</f>
        <v/>
      </c>
      <c r="AG119" s="18">
        <f>IFERROR(AG64*$AX64*(1+($AZ64-1)*AG$29)*($D$26*$AY64+(1-$D$26)*AG$28),"")</f>
        <v/>
      </c>
      <c r="AH119" s="18">
        <f>IFERROR(AH64*$AX64*(1+($AZ64-1)*AH$29)*($D$26*$AY64+(1-$D$26)*AH$28),"")</f>
        <v/>
      </c>
    </row>
    <row r="120">
      <c r="A120" t="inlineStr">
        <is>
          <t>20260504800254</t>
        </is>
      </c>
      <c r="B120" t="inlineStr">
        <is>
          <t>LNGC</t>
        </is>
      </c>
      <c r="C120" t="n">
        <v>1</v>
      </c>
      <c r="D120" t="inlineStr">
        <is>
          <t>FSRU 1척</t>
        </is>
      </c>
      <c r="V120" s="18">
        <f>IFERROR(V65*$AX65*(1+($AZ65-1)*V$29)*($D$26*$AY65+(1-$D$26)*V$28),"")</f>
        <v/>
      </c>
      <c r="W120" s="18">
        <f>IFERROR(W65*$AX65*(1+($AZ65-1)*W$29)*($D$26*$AY65+(1-$D$26)*W$28),"")</f>
        <v/>
      </c>
      <c r="X120" s="18">
        <f>IFERROR(X65*$AX65*(1+($AZ65-1)*X$29)*($D$26*$AY65+(1-$D$26)*X$28),"")</f>
        <v/>
      </c>
      <c r="Y120" s="18">
        <f>IFERROR(Y65*$AX65*(1+($AZ65-1)*Y$29)*($D$26*$AY65+(1-$D$26)*Y$28),"")</f>
        <v/>
      </c>
      <c r="Z120" s="18">
        <f>IFERROR(Z65*$AX65*(1+($AZ65-1)*Z$29)*($D$26*$AY65+(1-$D$26)*Z$28),"")</f>
        <v/>
      </c>
      <c r="AA120" s="18">
        <f>IFERROR(AA65*$AX65*(1+($AZ65-1)*AA$29)*($D$26*$AY65+(1-$D$26)*AA$28),"")</f>
        <v/>
      </c>
      <c r="AB120" s="18">
        <f>IFERROR(AB65*$AX65*(1+($AZ65-1)*AB$29)*($D$26*$AY65+(1-$D$26)*AB$28),"")</f>
        <v/>
      </c>
      <c r="AC120" s="18">
        <f>IFERROR(AC65*$AX65*(1+($AZ65-1)*AC$29)*($D$26*$AY65+(1-$D$26)*AC$28),"")</f>
        <v/>
      </c>
      <c r="AD120" s="18">
        <f>IFERROR(AD65*$AX65*(1+($AZ65-1)*AD$29)*($D$26*$AY65+(1-$D$26)*AD$28),"")</f>
        <v/>
      </c>
      <c r="AE120" s="18">
        <f>IFERROR(AE65*$AX65*(1+($AZ65-1)*AE$29)*($D$26*$AY65+(1-$D$26)*AE$28),"")</f>
        <v/>
      </c>
      <c r="AF120" s="18">
        <f>IFERROR(AF65*$AX65*(1+($AZ65-1)*AF$29)*($D$26*$AY65+(1-$D$26)*AF$28),"")</f>
        <v/>
      </c>
      <c r="AG120" s="18">
        <f>IFERROR(AG65*$AX65*(1+($AZ65-1)*AG$29)*($D$26*$AY65+(1-$D$26)*AG$28),"")</f>
        <v/>
      </c>
    </row>
    <row r="121">
      <c r="A121" t="inlineStr">
        <is>
          <t>20260514800296</t>
        </is>
      </c>
      <c r="B121" t="inlineStr">
        <is>
          <t>LNGC</t>
        </is>
      </c>
      <c r="C121" t="n">
        <v>2</v>
      </c>
      <c r="D121" t="inlineStr">
        <is>
          <t>LNG운반선 2척</t>
        </is>
      </c>
      <c r="V121" s="18">
        <f>IFERROR(V66*$AX66*(1+($AZ66-1)*V$29)*($D$26*$AY66+(1-$D$26)*V$28),"")</f>
        <v/>
      </c>
      <c r="W121" s="18">
        <f>IFERROR(W66*$AX66*(1+($AZ66-1)*W$29)*($D$26*$AY66+(1-$D$26)*W$28),"")</f>
        <v/>
      </c>
      <c r="X121" s="18">
        <f>IFERROR(X66*$AX66*(1+($AZ66-1)*X$29)*($D$26*$AY66+(1-$D$26)*X$28),"")</f>
        <v/>
      </c>
      <c r="Y121" s="18">
        <f>IFERROR(Y66*$AX66*(1+($AZ66-1)*Y$29)*($D$26*$AY66+(1-$D$26)*Y$28),"")</f>
        <v/>
      </c>
      <c r="Z121" s="18">
        <f>IFERROR(Z66*$AX66*(1+($AZ66-1)*Z$29)*($D$26*$AY66+(1-$D$26)*Z$28),"")</f>
        <v/>
      </c>
      <c r="AA121" s="18">
        <f>IFERROR(AA66*$AX66*(1+($AZ66-1)*AA$29)*($D$26*$AY66+(1-$D$26)*AA$28),"")</f>
        <v/>
      </c>
      <c r="AB121" s="18">
        <f>IFERROR(AB66*$AX66*(1+($AZ66-1)*AB$29)*($D$26*$AY66+(1-$D$26)*AB$28),"")</f>
        <v/>
      </c>
      <c r="AC121" s="18">
        <f>IFERROR(AC66*$AX66*(1+($AZ66-1)*AC$29)*($D$26*$AY66+(1-$D$26)*AC$28),"")</f>
        <v/>
      </c>
      <c r="AD121" s="18">
        <f>IFERROR(AD66*$AX66*(1+($AZ66-1)*AD$29)*($D$26*$AY66+(1-$D$26)*AD$28),"")</f>
        <v/>
      </c>
      <c r="AE121" s="18">
        <f>IFERROR(AE66*$AX66*(1+($AZ66-1)*AE$29)*($D$26*$AY66+(1-$D$26)*AE$28),"")</f>
        <v/>
      </c>
      <c r="AF121" s="18">
        <f>IFERROR(AF66*$AX66*(1+($AZ66-1)*AF$29)*($D$26*$AY66+(1-$D$26)*AF$28),"")</f>
        <v/>
      </c>
      <c r="AG121" s="18">
        <f>IFERROR(AG66*$AX66*(1+($AZ66-1)*AG$29)*($D$26*$AY66+(1-$D$26)*AG$28),"")</f>
        <v/>
      </c>
      <c r="AH121" s="18">
        <f>IFERROR(AH66*$AX66*(1+($AZ66-1)*AH$29)*($D$26*$AY66+(1-$D$26)*AH$28),"")</f>
        <v/>
      </c>
    </row>
    <row r="122">
      <c r="A122" t="inlineStr">
        <is>
          <t>20260518800216</t>
        </is>
      </c>
      <c r="B122" t="inlineStr">
        <is>
          <t>LNGC</t>
        </is>
      </c>
      <c r="C122" t="n">
        <v>3</v>
      </c>
      <c r="D122" t="inlineStr">
        <is>
          <t>LNG운반선 3척</t>
        </is>
      </c>
      <c r="V122" s="18">
        <f>IFERROR(V67*$AX67*(1+($AZ67-1)*V$29)*($D$26*$AY67+(1-$D$26)*V$28),"")</f>
        <v/>
      </c>
      <c r="W122" s="18">
        <f>IFERROR(W67*$AX67*(1+($AZ67-1)*W$29)*($D$26*$AY67+(1-$D$26)*W$28),"")</f>
        <v/>
      </c>
      <c r="X122" s="18">
        <f>IFERROR(X67*$AX67*(1+($AZ67-1)*X$29)*($D$26*$AY67+(1-$D$26)*X$28),"")</f>
        <v/>
      </c>
      <c r="Y122" s="18">
        <f>IFERROR(Y67*$AX67*(1+($AZ67-1)*Y$29)*($D$26*$AY67+(1-$D$26)*Y$28),"")</f>
        <v/>
      </c>
      <c r="Z122" s="18">
        <f>IFERROR(Z67*$AX67*(1+($AZ67-1)*Z$29)*($D$26*$AY67+(1-$D$26)*Z$28),"")</f>
        <v/>
      </c>
      <c r="AA122" s="18">
        <f>IFERROR(AA67*$AX67*(1+($AZ67-1)*AA$29)*($D$26*$AY67+(1-$D$26)*AA$28),"")</f>
        <v/>
      </c>
      <c r="AB122" s="18">
        <f>IFERROR(AB67*$AX67*(1+($AZ67-1)*AB$29)*($D$26*$AY67+(1-$D$26)*AB$28),"")</f>
        <v/>
      </c>
      <c r="AC122" s="18">
        <f>IFERROR(AC67*$AX67*(1+($AZ67-1)*AC$29)*($D$26*$AY67+(1-$D$26)*AC$28),"")</f>
        <v/>
      </c>
      <c r="AD122" s="18">
        <f>IFERROR(AD67*$AX67*(1+($AZ67-1)*AD$29)*($D$26*$AY67+(1-$D$26)*AD$28),"")</f>
        <v/>
      </c>
      <c r="AE122" s="18">
        <f>IFERROR(AE67*$AX67*(1+($AZ67-1)*AE$29)*($D$26*$AY67+(1-$D$26)*AE$28),"")</f>
        <v/>
      </c>
      <c r="AF122" s="18">
        <f>IFERROR(AF67*$AX67*(1+($AZ67-1)*AF$29)*($D$26*$AY67+(1-$D$26)*AF$28),"")</f>
        <v/>
      </c>
      <c r="AG122" s="18">
        <f>IFERROR(AG67*$AX67*(1+($AZ67-1)*AG$29)*($D$26*$AY67+(1-$D$26)*AG$28),"")</f>
        <v/>
      </c>
      <c r="AH122" s="18">
        <f>IFERROR(AH67*$AX67*(1+($AZ67-1)*AH$29)*($D$26*$AY67+(1-$D$26)*AH$28),"")</f>
        <v/>
      </c>
    </row>
    <row r="123">
      <c r="A123" t="inlineStr">
        <is>
          <t>20260527800188</t>
        </is>
      </c>
      <c r="B123" t="inlineStr">
        <is>
          <t>LNGC</t>
        </is>
      </c>
      <c r="C123" t="n">
        <v>1</v>
      </c>
      <c r="D123" t="inlineStr">
        <is>
          <t>LNG운반선 1척</t>
        </is>
      </c>
      <c r="V123" s="18">
        <f>IFERROR(V68*$AX68*(1+($AZ68-1)*V$29)*($D$26*$AY68+(1-$D$26)*V$28),"")</f>
        <v/>
      </c>
      <c r="W123" s="18">
        <f>IFERROR(W68*$AX68*(1+($AZ68-1)*W$29)*($D$26*$AY68+(1-$D$26)*W$28),"")</f>
        <v/>
      </c>
      <c r="X123" s="18">
        <f>IFERROR(X68*$AX68*(1+($AZ68-1)*X$29)*($D$26*$AY68+(1-$D$26)*X$28),"")</f>
        <v/>
      </c>
      <c r="Y123" s="18">
        <f>IFERROR(Y68*$AX68*(1+($AZ68-1)*Y$29)*($D$26*$AY68+(1-$D$26)*Y$28),"")</f>
        <v/>
      </c>
      <c r="Z123" s="18">
        <f>IFERROR(Z68*$AX68*(1+($AZ68-1)*Z$29)*($D$26*$AY68+(1-$D$26)*Z$28),"")</f>
        <v/>
      </c>
      <c r="AA123" s="18">
        <f>IFERROR(AA68*$AX68*(1+($AZ68-1)*AA$29)*($D$26*$AY68+(1-$D$26)*AA$28),"")</f>
        <v/>
      </c>
      <c r="AB123" s="18">
        <f>IFERROR(AB68*$AX68*(1+($AZ68-1)*AB$29)*($D$26*$AY68+(1-$D$26)*AB$28),"")</f>
        <v/>
      </c>
      <c r="AC123" s="18">
        <f>IFERROR(AC68*$AX68*(1+($AZ68-1)*AC$29)*($D$26*$AY68+(1-$D$26)*AC$28),"")</f>
        <v/>
      </c>
      <c r="AD123" s="18">
        <f>IFERROR(AD68*$AX68*(1+($AZ68-1)*AD$29)*($D$26*$AY68+(1-$D$26)*AD$28),"")</f>
        <v/>
      </c>
      <c r="AE123" s="18">
        <f>IFERROR(AE68*$AX68*(1+($AZ68-1)*AE$29)*($D$26*$AY68+(1-$D$26)*AE$28),"")</f>
        <v/>
      </c>
      <c r="AF123" s="18">
        <f>IFERROR(AF68*$AX68*(1+($AZ68-1)*AF$29)*($D$26*$AY68+(1-$D$26)*AF$28),"")</f>
        <v/>
      </c>
    </row>
    <row r="124">
      <c r="A124" t="inlineStr">
        <is>
          <t>20260527800189</t>
        </is>
      </c>
      <c r="B124" t="inlineStr">
        <is>
          <t>VLGC</t>
        </is>
      </c>
      <c r="C124" t="n">
        <v>2</v>
      </c>
      <c r="D124" t="inlineStr">
        <is>
          <t>VLGC 2척</t>
        </is>
      </c>
      <c r="V124" s="18">
        <f>IFERROR(V69*$AX69*(1+($AZ69-1)*V$29)*($D$26*$AY69+(1-$D$26)*V$28),"")</f>
        <v/>
      </c>
      <c r="W124" s="18">
        <f>IFERROR(W69*$AX69*(1+($AZ69-1)*W$29)*($D$26*$AY69+(1-$D$26)*W$28),"")</f>
        <v/>
      </c>
      <c r="X124" s="18">
        <f>IFERROR(X69*$AX69*(1+($AZ69-1)*X$29)*($D$26*$AY69+(1-$D$26)*X$28),"")</f>
        <v/>
      </c>
      <c r="Y124" s="18">
        <f>IFERROR(Y69*$AX69*(1+($AZ69-1)*Y$29)*($D$26*$AY69+(1-$D$26)*Y$28),"")</f>
        <v/>
      </c>
      <c r="Z124" s="18">
        <f>IFERROR(Z69*$AX69*(1+($AZ69-1)*Z$29)*($D$26*$AY69+(1-$D$26)*Z$28),"")</f>
        <v/>
      </c>
      <c r="AA124" s="18">
        <f>IFERROR(AA69*$AX69*(1+($AZ69-1)*AA$29)*($D$26*$AY69+(1-$D$26)*AA$28),"")</f>
        <v/>
      </c>
      <c r="AB124" s="18">
        <f>IFERROR(AB69*$AX69*(1+($AZ69-1)*AB$29)*($D$26*$AY69+(1-$D$26)*AB$28),"")</f>
        <v/>
      </c>
      <c r="AC124" s="18">
        <f>IFERROR(AC69*$AX69*(1+($AZ69-1)*AC$29)*($D$26*$AY69+(1-$D$26)*AC$28),"")</f>
        <v/>
      </c>
      <c r="AD124" s="18">
        <f>IFERROR(AD69*$AX69*(1+($AZ69-1)*AD$29)*($D$26*$AY69+(1-$D$26)*AD$28),"")</f>
        <v/>
      </c>
      <c r="AE124" s="18">
        <f>IFERROR(AE69*$AX69*(1+($AZ69-1)*AE$29)*($D$26*$AY69+(1-$D$26)*AE$28),"")</f>
        <v/>
      </c>
      <c r="AF124" s="18">
        <f>IFERROR(AF69*$AX69*(1+($AZ69-1)*AF$29)*($D$26*$AY69+(1-$D$26)*AF$28),"")</f>
        <v/>
      </c>
      <c r="AG124" s="18">
        <f>IFERROR(AG69*$AX69*(1+($AZ69-1)*AG$29)*($D$26*$AY69+(1-$D$26)*AG$28),"")</f>
        <v/>
      </c>
      <c r="AH124" s="18">
        <f>IFERROR(AH69*$AX69*(1+($AZ69-1)*AH$29)*($D$26*$AY69+(1-$D$26)*AH$28),"")</f>
        <v/>
      </c>
      <c r="AI124" s="18">
        <f>IFERROR(AI69*$AX69*(1+($AZ69-1)*AI$29)*($D$26*$AY69+(1-$D$26)*AI$28),"")</f>
        <v/>
      </c>
      <c r="AJ124" s="18">
        <f>IFERROR(AJ69*$AX69*(1+($AZ69-1)*AJ$29)*($D$26*$AY69+(1-$D$26)*AJ$28),"")</f>
        <v/>
      </c>
    </row>
    <row r="125">
      <c r="A125" t="inlineStr">
        <is>
          <t>20260527800191</t>
        </is>
      </c>
      <c r="B125" t="inlineStr">
        <is>
          <t>VLCC</t>
        </is>
      </c>
      <c r="C125" t="n">
        <v>2</v>
      </c>
      <c r="D125" t="inlineStr">
        <is>
          <t>유조선 2척</t>
        </is>
      </c>
      <c r="V125" s="18">
        <f>IFERROR(V70*$AX70*(1+($AZ70-1)*V$29)*($D$26*$AY70+(1-$D$26)*V$28),"")</f>
        <v/>
      </c>
      <c r="W125" s="18">
        <f>IFERROR(W70*$AX70*(1+($AZ70-1)*W$29)*($D$26*$AY70+(1-$D$26)*W$28),"")</f>
        <v/>
      </c>
      <c r="X125" s="18">
        <f>IFERROR(X70*$AX70*(1+($AZ70-1)*X$29)*($D$26*$AY70+(1-$D$26)*X$28),"")</f>
        <v/>
      </c>
      <c r="Y125" s="18">
        <f>IFERROR(Y70*$AX70*(1+($AZ70-1)*Y$29)*($D$26*$AY70+(1-$D$26)*Y$28),"")</f>
        <v/>
      </c>
      <c r="Z125" s="18">
        <f>IFERROR(Z70*$AX70*(1+($AZ70-1)*Z$29)*($D$26*$AY70+(1-$D$26)*Z$28),"")</f>
        <v/>
      </c>
      <c r="AA125" s="18">
        <f>IFERROR(AA70*$AX70*(1+($AZ70-1)*AA$29)*($D$26*$AY70+(1-$D$26)*AA$28),"")</f>
        <v/>
      </c>
      <c r="AB125" s="18">
        <f>IFERROR(AB70*$AX70*(1+($AZ70-1)*AB$29)*($D$26*$AY70+(1-$D$26)*AB$28),"")</f>
        <v/>
      </c>
      <c r="AC125" s="18">
        <f>IFERROR(AC70*$AX70*(1+($AZ70-1)*AC$29)*($D$26*$AY70+(1-$D$26)*AC$28),"")</f>
        <v/>
      </c>
    </row>
    <row r="126">
      <c r="A126" t="inlineStr">
        <is>
          <t>20260604800001</t>
        </is>
      </c>
      <c r="B126" t="inlineStr">
        <is>
          <t>OFFSH</t>
        </is>
      </c>
      <c r="C126" t="n">
        <v>1</v>
      </c>
      <c r="D126" t="inlineStr">
        <is>
          <t>해양생산설비 1기</t>
        </is>
      </c>
      <c r="V126" s="18">
        <f>IFERROR(V71*$AX71*(1+($AZ71-1)*V$29)*($D$26*$AY71+(1-$D$26)*V$28),"")</f>
        <v/>
      </c>
      <c r="W126" s="18">
        <f>IFERROR(W71*$AX71*(1+($AZ71-1)*W$29)*($D$26*$AY71+(1-$D$26)*W$28),"")</f>
        <v/>
      </c>
      <c r="X126" s="18">
        <f>IFERROR(X71*$AX71*(1+($AZ71-1)*X$29)*($D$26*$AY71+(1-$D$26)*X$28),"")</f>
        <v/>
      </c>
      <c r="Y126" s="18">
        <f>IFERROR(Y71*$AX71*(1+($AZ71-1)*Y$29)*($D$26*$AY71+(1-$D$26)*Y$28),"")</f>
        <v/>
      </c>
      <c r="Z126" s="18">
        <f>IFERROR(Z71*$AX71*(1+($AZ71-1)*Z$29)*($D$26*$AY71+(1-$D$26)*Z$28),"")</f>
        <v/>
      </c>
      <c r="AA126" s="18">
        <f>IFERROR(AA71*$AX71*(1+($AZ71-1)*AA$29)*($D$26*$AY71+(1-$D$26)*AA$28),"")</f>
        <v/>
      </c>
      <c r="AB126" s="18">
        <f>IFERROR(AB71*$AX71*(1+($AZ71-1)*AB$29)*($D$26*$AY71+(1-$D$26)*AB$28),"")</f>
        <v/>
      </c>
      <c r="AC126" s="18">
        <f>IFERROR(AC71*$AX71*(1+($AZ71-1)*AC$29)*($D$26*$AY71+(1-$D$26)*AC$28),"")</f>
        <v/>
      </c>
      <c r="AD126" s="18">
        <f>IFERROR(AD71*$AX71*(1+($AZ71-1)*AD$29)*($D$26*$AY71+(1-$D$26)*AD$28),"")</f>
        <v/>
      </c>
      <c r="AE126" s="18">
        <f>IFERROR(AE71*$AX71*(1+($AZ71-1)*AE$29)*($D$26*$AY71+(1-$D$26)*AE$28),"")</f>
        <v/>
      </c>
      <c r="AF126" s="18">
        <f>IFERROR(AF71*$AX71*(1+($AZ71-1)*AF$29)*($D$26*$AY71+(1-$D$26)*AF$28),"")</f>
        <v/>
      </c>
      <c r="AG126" s="18">
        <f>IFERROR(AG71*$AX71*(1+($AZ71-1)*AG$29)*($D$26*$AY71+(1-$D$26)*AG$28),"")</f>
        <v/>
      </c>
      <c r="AH126" s="18">
        <f>IFERROR(AH71*$AX71*(1+($AZ71-1)*AH$29)*($D$26*$AY71+(1-$D$26)*AH$28),"")</f>
        <v/>
      </c>
      <c r="AI126" s="18">
        <f>IFERROR(AI71*$AX71*(1+($AZ71-1)*AI$29)*($D$26*$AY71+(1-$D$26)*AI$28),"")</f>
        <v/>
      </c>
      <c r="AJ126" s="18">
        <f>IFERROR(AJ71*$AX71*(1+($AZ71-1)*AJ$29)*($D$26*$AY71+(1-$D$26)*AJ$28),"")</f>
        <v/>
      </c>
      <c r="AK126" s="18">
        <f>IFERROR(AK71*$AX71*(1+($AZ71-1)*AK$29)*($D$26*$AY71+(1-$D$26)*AK$28),"")</f>
        <v/>
      </c>
      <c r="AL126" s="18">
        <f>IFERROR(AL71*$AX71*(1+($AZ71-1)*AL$29)*($D$26*$AY71+(1-$D$26)*AL$28),"")</f>
        <v/>
      </c>
      <c r="AM126" s="18">
        <f>IFERROR(AM71*$AX71*(1+($AZ71-1)*AM$29)*($D$26*$AY71+(1-$D$26)*AM$28),"")</f>
        <v/>
      </c>
    </row>
    <row r="127">
      <c r="A127" t="inlineStr">
        <is>
          <t>20260608800137</t>
        </is>
      </c>
      <c r="B127" t="inlineStr">
        <is>
          <t>LNGC</t>
        </is>
      </c>
      <c r="C127" t="n">
        <v>1</v>
      </c>
      <c r="D127" t="inlineStr">
        <is>
          <t>LNG운반선 1척</t>
        </is>
      </c>
      <c r="V127" s="18">
        <f>IFERROR(V72*$AX72*(1+($AZ72-1)*V$29)*($D$26*$AY72+(1-$D$26)*V$28),"")</f>
        <v/>
      </c>
      <c r="W127" s="18">
        <f>IFERROR(W72*$AX72*(1+($AZ72-1)*W$29)*($D$26*$AY72+(1-$D$26)*W$28),"")</f>
        <v/>
      </c>
      <c r="X127" s="18">
        <f>IFERROR(X72*$AX72*(1+($AZ72-1)*X$29)*($D$26*$AY72+(1-$D$26)*X$28),"")</f>
        <v/>
      </c>
      <c r="Y127" s="18">
        <f>IFERROR(Y72*$AX72*(1+($AZ72-1)*Y$29)*($D$26*$AY72+(1-$D$26)*Y$28),"")</f>
        <v/>
      </c>
      <c r="Z127" s="18">
        <f>IFERROR(Z72*$AX72*(1+($AZ72-1)*Z$29)*($D$26*$AY72+(1-$D$26)*Z$28),"")</f>
        <v/>
      </c>
      <c r="AA127" s="18">
        <f>IFERROR(AA72*$AX72*(1+($AZ72-1)*AA$29)*($D$26*$AY72+(1-$D$26)*AA$28),"")</f>
        <v/>
      </c>
      <c r="AB127" s="18">
        <f>IFERROR(AB72*$AX72*(1+($AZ72-1)*AB$29)*($D$26*$AY72+(1-$D$26)*AB$28),"")</f>
        <v/>
      </c>
      <c r="AC127" s="18">
        <f>IFERROR(AC72*$AX72*(1+($AZ72-1)*AC$29)*($D$26*$AY72+(1-$D$26)*AC$28),"")</f>
        <v/>
      </c>
      <c r="AD127" s="18">
        <f>IFERROR(AD72*$AX72*(1+($AZ72-1)*AD$29)*($D$26*$AY72+(1-$D$26)*AD$28),"")</f>
        <v/>
      </c>
      <c r="AE127" s="18">
        <f>IFERROR(AE72*$AX72*(1+($AZ72-1)*AE$29)*($D$26*$AY72+(1-$D$26)*AE$28),"")</f>
        <v/>
      </c>
      <c r="AF127" s="18">
        <f>IFERROR(AF72*$AX72*(1+($AZ72-1)*AF$29)*($D$26*$AY72+(1-$D$26)*AF$28),"")</f>
        <v/>
      </c>
      <c r="AG127" s="18">
        <f>IFERROR(AG72*$AX72*(1+($AZ72-1)*AG$29)*($D$26*$AY72+(1-$D$26)*AG$28),"")</f>
        <v/>
      </c>
    </row>
    <row r="128">
      <c r="A128" t="inlineStr">
        <is>
          <t>20260608800714</t>
        </is>
      </c>
      <c r="B128" t="inlineStr">
        <is>
          <t>OFFSH</t>
        </is>
      </c>
      <c r="C128" t="n">
        <v>1</v>
      </c>
      <c r="D128" t="inlineStr">
        <is>
          <t>해양생산설비 1기</t>
        </is>
      </c>
      <c r="J128" s="18">
        <f>IFERROR(J73*$AX73*(1+($AZ73-1)*J$29)*($D$26*$AY73+(1-$D$26)*J$28),"")</f>
        <v/>
      </c>
      <c r="K128" s="18">
        <f>IFERROR(K73*$AX73*(1+($AZ73-1)*K$29)*($D$26*$AY73+(1-$D$26)*K$28),"")</f>
        <v/>
      </c>
      <c r="L128" s="18">
        <f>IFERROR(L73*$AX73*(1+($AZ73-1)*L$29)*($D$26*$AY73+(1-$D$26)*L$28),"")</f>
        <v/>
      </c>
      <c r="M128" s="18">
        <f>IFERROR(M73*$AX73*(1+($AZ73-1)*M$29)*($D$26*$AY73+(1-$D$26)*M$28),"")</f>
        <v/>
      </c>
      <c r="N128" s="18">
        <f>IFERROR(N73*$AX73*(1+($AZ73-1)*N$29)*($D$26*$AY73+(1-$D$26)*N$28),"")</f>
        <v/>
      </c>
      <c r="O128" s="18">
        <f>IFERROR(O73*$AX73*(1+($AZ73-1)*O$29)*($D$26*$AY73+(1-$D$26)*O$28),"")</f>
        <v/>
      </c>
      <c r="P128" s="18">
        <f>IFERROR(P73*$AX73*(1+($AZ73-1)*P$29)*($D$26*$AY73+(1-$D$26)*P$28),"")</f>
        <v/>
      </c>
      <c r="Q128" s="18">
        <f>IFERROR(Q73*$AX73*(1+($AZ73-1)*Q$29)*($D$26*$AY73+(1-$D$26)*Q$28),"")</f>
        <v/>
      </c>
      <c r="R128" s="18">
        <f>IFERROR(R73*$AX73*(1+($AZ73-1)*R$29)*($D$26*$AY73+(1-$D$26)*R$28),"")</f>
        <v/>
      </c>
      <c r="S128" s="18">
        <f>IFERROR(S73*$AX73*(1+($AZ73-1)*S$29)*($D$26*$AY73+(1-$D$26)*S$28),"")</f>
        <v/>
      </c>
      <c r="T128" s="18">
        <f>IFERROR(T73*$AX73*(1+($AZ73-1)*T$29)*($D$26*$AY73+(1-$D$26)*T$28),"")</f>
        <v/>
      </c>
      <c r="U128" s="18">
        <f>IFERROR(U73*$AX73*(1+($AZ73-1)*U$29)*($D$26*$AY73+(1-$D$26)*U$28),"")</f>
        <v/>
      </c>
      <c r="V128" s="18">
        <f>IFERROR(V73*$AX73*(1+($AZ73-1)*V$29)*($D$26*$AY73+(1-$D$26)*V$28),"")</f>
        <v/>
      </c>
      <c r="W128" s="18">
        <f>IFERROR(W73*$AX73*(1+($AZ73-1)*W$29)*($D$26*$AY73+(1-$D$26)*W$28),"")</f>
        <v/>
      </c>
      <c r="X128" s="18">
        <f>IFERROR(X73*$AX73*(1+($AZ73-1)*X$29)*($D$26*$AY73+(1-$D$26)*X$28),"")</f>
        <v/>
      </c>
      <c r="Y128" s="18">
        <f>IFERROR(Y73*$AX73*(1+($AZ73-1)*Y$29)*($D$26*$AY73+(1-$D$26)*Y$28),"")</f>
        <v/>
      </c>
      <c r="Z128" s="18">
        <f>IFERROR(Z73*$AX73*(1+($AZ73-1)*Z$29)*($D$26*$AY73+(1-$D$26)*Z$28),"")</f>
        <v/>
      </c>
      <c r="AA128" s="18">
        <f>IFERROR(AA73*$AX73*(1+($AZ73-1)*AA$29)*($D$26*$AY73+(1-$D$26)*AA$28),"")</f>
        <v/>
      </c>
      <c r="AB128" s="18">
        <f>IFERROR(AB73*$AX73*(1+($AZ73-1)*AB$29)*($D$26*$AY73+(1-$D$26)*AB$28),"")</f>
        <v/>
      </c>
      <c r="AC128" s="18">
        <f>IFERROR(AC73*$AX73*(1+($AZ73-1)*AC$29)*($D$26*$AY73+(1-$D$26)*AC$28),"")</f>
        <v/>
      </c>
      <c r="AD128" s="18">
        <f>IFERROR(AD73*$AX73*(1+($AZ73-1)*AD$29)*($D$26*$AY73+(1-$D$26)*AD$28),"")</f>
        <v/>
      </c>
      <c r="AE128" s="18">
        <f>IFERROR(AE73*$AX73*(1+($AZ73-1)*AE$29)*($D$26*$AY73+(1-$D$26)*AE$28),"")</f>
        <v/>
      </c>
      <c r="AF128" s="18">
        <f>IFERROR(AF73*$AX73*(1+($AZ73-1)*AF$29)*($D$26*$AY73+(1-$D$26)*AF$28),"")</f>
        <v/>
      </c>
      <c r="AG128" s="18">
        <f>IFERROR(AG73*$AX73*(1+($AZ73-1)*AG$29)*($D$26*$AY73+(1-$D$26)*AG$28),"")</f>
        <v/>
      </c>
      <c r="AH128" s="18">
        <f>IFERROR(AH73*$AX73*(1+($AZ73-1)*AH$29)*($D$26*$AY73+(1-$D$26)*AH$28),"")</f>
        <v/>
      </c>
      <c r="AI128" s="18">
        <f>IFERROR(AI73*$AX73*(1+($AZ73-1)*AI$29)*($D$26*$AY73+(1-$D$26)*AI$28),"")</f>
        <v/>
      </c>
    </row>
    <row r="129">
      <c r="A129" t="inlineStr">
        <is>
          <t>20260608800716</t>
        </is>
      </c>
      <c r="B129" t="inlineStr">
        <is>
          <t>OFFSH</t>
        </is>
      </c>
      <c r="D129" t="inlineStr">
        <is>
          <t>해양생산설비 본 계약 체결전 예비 작업</t>
        </is>
      </c>
      <c r="S129" s="18">
        <f>IFERROR(S74*$AX74*(1+($AZ74-1)*S$29)*($D$26*$AY74+(1-$D$26)*S$28),"")</f>
        <v/>
      </c>
      <c r="T129" s="18">
        <f>IFERROR(T74*$AX74*(1+($AZ74-1)*T$29)*($D$26*$AY74+(1-$D$26)*T$28),"")</f>
        <v/>
      </c>
      <c r="U129" s="18">
        <f>IFERROR(U74*$AX74*(1+($AZ74-1)*U$29)*($D$26*$AY74+(1-$D$26)*U$28),"")</f>
        <v/>
      </c>
      <c r="V129" s="18">
        <f>IFERROR(V74*$AX74*(1+($AZ74-1)*V$29)*($D$26*$AY74+(1-$D$26)*V$28),"")</f>
        <v/>
      </c>
    </row>
    <row r="130">
      <c r="A130" t="inlineStr">
        <is>
          <t>20260702800158</t>
        </is>
      </c>
      <c r="B130" t="inlineStr">
        <is>
          <t>VLCC</t>
        </is>
      </c>
      <c r="C130" t="n">
        <v>2</v>
      </c>
      <c r="D130" t="inlineStr">
        <is>
          <t>유조선 2척</t>
        </is>
      </c>
      <c r="W130" s="18">
        <f>IFERROR(W75*$AX75*(1+($AZ75-1)*W$29)*($D$26*$AY75+(1-$D$26)*W$28),"")</f>
        <v/>
      </c>
      <c r="X130" s="18">
        <f>IFERROR(X75*$AX75*(1+($AZ75-1)*X$29)*($D$26*$AY75+(1-$D$26)*X$28),"")</f>
        <v/>
      </c>
      <c r="Y130" s="18">
        <f>IFERROR(Y75*$AX75*(1+($AZ75-1)*Y$29)*($D$26*$AY75+(1-$D$26)*Y$28),"")</f>
        <v/>
      </c>
      <c r="Z130" s="18">
        <f>IFERROR(Z75*$AX75*(1+($AZ75-1)*Z$29)*($D$26*$AY75+(1-$D$26)*Z$28),"")</f>
        <v/>
      </c>
      <c r="AA130" s="18">
        <f>IFERROR(AA75*$AX75*(1+($AZ75-1)*AA$29)*($D$26*$AY75+(1-$D$26)*AA$28),"")</f>
        <v/>
      </c>
      <c r="AB130" s="18">
        <f>IFERROR(AB75*$AX75*(1+($AZ75-1)*AB$29)*($D$26*$AY75+(1-$D$26)*AB$28),"")</f>
        <v/>
      </c>
      <c r="AC130" s="18">
        <f>IFERROR(AC75*$AX75*(1+($AZ75-1)*AC$29)*($D$26*$AY75+(1-$D$26)*AC$28),"")</f>
        <v/>
      </c>
      <c r="AD130" s="18">
        <f>IFERROR(AD75*$AX75*(1+($AZ75-1)*AD$29)*($D$26*$AY75+(1-$D$26)*AD$28),"")</f>
        <v/>
      </c>
      <c r="AE130" s="18">
        <f>IFERROR(AE75*$AX75*(1+($AZ75-1)*AE$29)*($D$26*$AY75+(1-$D$26)*AE$28),"")</f>
        <v/>
      </c>
      <c r="AF130" s="18">
        <f>IFERROR(AF75*$AX75*(1+($AZ75-1)*AF$29)*($D$26*$AY75+(1-$D$26)*AF$28),"")</f>
        <v/>
      </c>
      <c r="AG130" s="18">
        <f>IFERROR(AG75*$AX75*(1+($AZ75-1)*AG$29)*($D$26*$AY75+(1-$D$26)*AG$28),"")</f>
        <v/>
      </c>
      <c r="AH130" s="18">
        <f>IFERROR(AH75*$AX75*(1+($AZ75-1)*AH$29)*($D$26*$AY75+(1-$D$26)*AH$28),"")</f>
        <v/>
      </c>
    </row>
    <row r="131">
      <c r="A131" t="inlineStr">
        <is>
          <t>20260708800164</t>
        </is>
      </c>
      <c r="B131" t="inlineStr">
        <is>
          <t>VLCC</t>
        </is>
      </c>
      <c r="C131" t="n">
        <v>2</v>
      </c>
      <c r="D131" t="inlineStr">
        <is>
          <t>유조선 2척</t>
        </is>
      </c>
      <c r="W131" s="18">
        <f>IFERROR(W76*$AX76*(1+($AZ76-1)*W$29)*($D$26*$AY76+(1-$D$26)*W$28),"")</f>
        <v/>
      </c>
      <c r="X131" s="18">
        <f>IFERROR(X76*$AX76*(1+($AZ76-1)*X$29)*($D$26*$AY76+(1-$D$26)*X$28),"")</f>
        <v/>
      </c>
      <c r="Y131" s="18">
        <f>IFERROR(Y76*$AX76*(1+($AZ76-1)*Y$29)*($D$26*$AY76+(1-$D$26)*Y$28),"")</f>
        <v/>
      </c>
      <c r="Z131" s="18">
        <f>IFERROR(Z76*$AX76*(1+($AZ76-1)*Z$29)*($D$26*$AY76+(1-$D$26)*Z$28),"")</f>
        <v/>
      </c>
      <c r="AA131" s="18">
        <f>IFERROR(AA76*$AX76*(1+($AZ76-1)*AA$29)*($D$26*$AY76+(1-$D$26)*AA$28),"")</f>
        <v/>
      </c>
      <c r="AB131" s="18">
        <f>IFERROR(AB76*$AX76*(1+($AZ76-1)*AB$29)*($D$26*$AY76+(1-$D$26)*AB$28),"")</f>
        <v/>
      </c>
      <c r="AC131" s="18">
        <f>IFERROR(AC76*$AX76*(1+($AZ76-1)*AC$29)*($D$26*$AY76+(1-$D$26)*AC$28),"")</f>
        <v/>
      </c>
      <c r="AD131" s="18">
        <f>IFERROR(AD76*$AX76*(1+($AZ76-1)*AD$29)*($D$26*$AY76+(1-$D$26)*AD$28),"")</f>
        <v/>
      </c>
      <c r="AE131" s="18">
        <f>IFERROR(AE76*$AX76*(1+($AZ76-1)*AE$29)*($D$26*$AY76+(1-$D$26)*AE$28),"")</f>
        <v/>
      </c>
      <c r="AF131" s="18">
        <f>IFERROR(AF76*$AX76*(1+($AZ76-1)*AF$29)*($D$26*$AY76+(1-$D$26)*AF$28),"")</f>
        <v/>
      </c>
      <c r="AG131" s="18">
        <f>IFERROR(AG76*$AX76*(1+($AZ76-1)*AG$29)*($D$26*$AY76+(1-$D$26)*AG$28),"")</f>
        <v/>
      </c>
      <c r="AH131" s="18">
        <f>IFERROR(AH76*$AX76*(1+($AZ76-1)*AH$29)*($D$26*$AY76+(1-$D$26)*AH$28),"")</f>
        <v/>
      </c>
    </row>
    <row r="132">
      <c r="A132" t="inlineStr">
        <is>
          <t>20260728800579</t>
        </is>
      </c>
      <c r="B132" t="inlineStr">
        <is>
          <t>OTHER</t>
        </is>
      </c>
      <c r="D132" t="inlineStr">
        <is>
          <t>P4 Ph4(상동) 마감공사</t>
        </is>
      </c>
      <c r="S132" s="18">
        <f>IFERROR(S77*$AX77*(1+($AZ77-1)*S$29)*($D$26*$AY77+(1-$D$26)*S$28),"")</f>
        <v/>
      </c>
      <c r="T132" s="18">
        <f>IFERROR(T77*$AX77*(1+($AZ77-1)*T$29)*($D$26*$AY77+(1-$D$26)*T$28),"")</f>
        <v/>
      </c>
      <c r="U132" s="18">
        <f>IFERROR(U77*$AX77*(1+($AZ77-1)*U$29)*($D$26*$AY77+(1-$D$26)*U$28),"")</f>
        <v/>
      </c>
      <c r="V132" s="18">
        <f>IFERROR(V77*$AX77*(1+($AZ77-1)*V$29)*($D$26*$AY77+(1-$D$26)*V$28),"")</f>
        <v/>
      </c>
      <c r="W132" s="18">
        <f>IFERROR(W77*$AX77*(1+($AZ77-1)*W$29)*($D$26*$AY77+(1-$D$26)*W$28),"")</f>
        <v/>
      </c>
      <c r="X132" s="18">
        <f>IFERROR(X77*$AX77*(1+($AZ77-1)*X$29)*($D$26*$AY77+(1-$D$26)*X$28),"")</f>
        <v/>
      </c>
      <c r="Y132" s="18">
        <f>IFERROR(Y77*$AX77*(1+($AZ77-1)*Y$29)*($D$26*$AY77+(1-$D$26)*Y$28),"")</f>
        <v/>
      </c>
      <c r="Z132" s="18">
        <f>IFERROR(Z77*$AX77*(1+($AZ77-1)*Z$29)*($D$26*$AY77+(1-$D$26)*Z$28),"")</f>
        <v/>
      </c>
    </row>
    <row r="133">
      <c r="A133" t="inlineStr">
        <is>
          <t>20260803800398</t>
        </is>
      </c>
      <c r="B133" t="inlineStr">
        <is>
          <t>VLCC</t>
        </is>
      </c>
      <c r="C133" t="n">
        <v>2</v>
      </c>
      <c r="D133" t="inlineStr">
        <is>
          <t>유조선 2척</t>
        </is>
      </c>
      <c r="W133" s="18">
        <f>IFERROR(W78*$AX78*(1+($AZ78-1)*W$29)*($D$26*$AY78+(1-$D$26)*W$28),"")</f>
        <v/>
      </c>
      <c r="X133" s="18">
        <f>IFERROR(X78*$AX78*(1+($AZ78-1)*X$29)*($D$26*$AY78+(1-$D$26)*X$28),"")</f>
        <v/>
      </c>
      <c r="Y133" s="18">
        <f>IFERROR(Y78*$AX78*(1+($AZ78-1)*Y$29)*($D$26*$AY78+(1-$D$26)*Y$28),"")</f>
        <v/>
      </c>
      <c r="Z133" s="18">
        <f>IFERROR(Z78*$AX78*(1+($AZ78-1)*Z$29)*($D$26*$AY78+(1-$D$26)*Z$28),"")</f>
        <v/>
      </c>
      <c r="AA133" s="18">
        <f>IFERROR(AA78*$AX78*(1+($AZ78-1)*AA$29)*($D$26*$AY78+(1-$D$26)*AA$28),"")</f>
        <v/>
      </c>
      <c r="AB133" s="18">
        <f>IFERROR(AB78*$AX78*(1+($AZ78-1)*AB$29)*($D$26*$AY78+(1-$D$26)*AB$28),"")</f>
        <v/>
      </c>
      <c r="AC133" s="18">
        <f>IFERROR(AC78*$AX78*(1+($AZ78-1)*AC$29)*($D$26*$AY78+(1-$D$26)*AC$28),"")</f>
        <v/>
      </c>
      <c r="AD133" s="18">
        <f>IFERROR(AD78*$AX78*(1+($AZ78-1)*AD$29)*($D$26*$AY78+(1-$D$26)*AD$28),"")</f>
        <v/>
      </c>
      <c r="AE133" s="18">
        <f>IFERROR(AE78*$AX78*(1+($AZ78-1)*AE$29)*($D$26*$AY78+(1-$D$26)*AE$28),"")</f>
        <v/>
      </c>
      <c r="AF133" s="18">
        <f>IFERROR(AF78*$AX78*(1+($AZ78-1)*AF$29)*($D$26*$AY78+(1-$D$26)*AF$28),"")</f>
        <v/>
      </c>
      <c r="AG133" s="18">
        <f>IFERROR(AG78*$AX78*(1+($AZ78-1)*AG$29)*($D$26*$AY78+(1-$D$26)*AG$28),"")</f>
        <v/>
      </c>
      <c r="AH133" s="18">
        <f>IFERROR(AH78*$AX78*(1+($AZ78-1)*AH$29)*($D$26*$AY78+(1-$D$26)*AH$28),"")</f>
        <v/>
      </c>
      <c r="AI133" s="18">
        <f>IFERROR(AI78*$AX78*(1+($AZ78-1)*AI$29)*($D$26*$AY78+(1-$D$26)*AI$28),"")</f>
        <v/>
      </c>
    </row>
    <row r="134">
      <c r="A134" t="inlineStr">
        <is>
          <t>20260831800071</t>
        </is>
      </c>
      <c r="B134" t="inlineStr">
        <is>
          <t>CONT</t>
        </is>
      </c>
      <c r="C134" t="n">
        <v>2</v>
      </c>
      <c r="D134" t="inlineStr">
        <is>
          <t>컨테이너선 2척</t>
        </is>
      </c>
      <c r="W134" s="18">
        <f>IFERROR(W79*$AX79*(1+($AZ79-1)*W$29)*($D$26*$AY79+(1-$D$26)*W$28),"")</f>
        <v/>
      </c>
      <c r="X134" s="18">
        <f>IFERROR(X79*$AX79*(1+($AZ79-1)*X$29)*($D$26*$AY79+(1-$D$26)*X$28),"")</f>
        <v/>
      </c>
      <c r="Y134" s="18">
        <f>IFERROR(Y79*$AX79*(1+($AZ79-1)*Y$29)*($D$26*$AY79+(1-$D$26)*Y$28),"")</f>
        <v/>
      </c>
      <c r="Z134" s="18">
        <f>IFERROR(Z79*$AX79*(1+($AZ79-1)*Z$29)*($D$26*$AY79+(1-$D$26)*Z$28),"")</f>
        <v/>
      </c>
      <c r="AA134" s="18">
        <f>IFERROR(AA79*$AX79*(1+($AZ79-1)*AA$29)*($D$26*$AY79+(1-$D$26)*AA$28),"")</f>
        <v/>
      </c>
      <c r="AB134" s="18">
        <f>IFERROR(AB79*$AX79*(1+($AZ79-1)*AB$29)*($D$26*$AY79+(1-$D$26)*AB$28),"")</f>
        <v/>
      </c>
      <c r="AC134" s="18">
        <f>IFERROR(AC79*$AX79*(1+($AZ79-1)*AC$29)*($D$26*$AY79+(1-$D$26)*AC$28),"")</f>
        <v/>
      </c>
      <c r="AD134" s="18">
        <f>IFERROR(AD79*$AX79*(1+($AZ79-1)*AD$29)*($D$26*$AY79+(1-$D$26)*AD$28),"")</f>
        <v/>
      </c>
      <c r="AE134" s="18">
        <f>IFERROR(AE79*$AX79*(1+($AZ79-1)*AE$29)*($D$26*$AY79+(1-$D$26)*AE$28),"")</f>
        <v/>
      </c>
      <c r="AF134" s="18">
        <f>IFERROR(AF79*$AX79*(1+($AZ79-1)*AF$29)*($D$26*$AY79+(1-$D$26)*AF$28),"")</f>
        <v/>
      </c>
    </row>
    <row r="135">
      <c r="A135" t="inlineStr">
        <is>
          <t>20260831800178</t>
        </is>
      </c>
      <c r="B135" t="inlineStr">
        <is>
          <t>OTHER</t>
        </is>
      </c>
      <c r="D135" t="inlineStr">
        <is>
          <t>[P4 Ph2(하동)] FAB동 마감공사</t>
        </is>
      </c>
      <c r="K135" s="18">
        <f>IFERROR(K80*$AX80*(1+($AZ80-1)*K$29)*($D$26*$AY80+(1-$D$26)*K$28),"")</f>
        <v/>
      </c>
      <c r="L135" s="18">
        <f>IFERROR(L80*$AX80*(1+($AZ80-1)*L$29)*($D$26*$AY80+(1-$D$26)*L$28),"")</f>
        <v/>
      </c>
      <c r="M135" s="18">
        <f>IFERROR(M80*$AX80*(1+($AZ80-1)*M$29)*($D$26*$AY80+(1-$D$26)*M$28),"")</f>
        <v/>
      </c>
      <c r="N135" s="18">
        <f>IFERROR(N80*$AX80*(1+($AZ80-1)*N$29)*($D$26*$AY80+(1-$D$26)*N$28),"")</f>
        <v/>
      </c>
      <c r="O135" s="18">
        <f>IFERROR(O80*$AX80*(1+($AZ80-1)*O$29)*($D$26*$AY80+(1-$D$26)*O$28),"")</f>
        <v/>
      </c>
      <c r="P135" s="18">
        <f>IFERROR(P80*$AX80*(1+($AZ80-1)*P$29)*($D$26*$AY80+(1-$D$26)*P$28),"")</f>
        <v/>
      </c>
      <c r="Q135" s="18">
        <f>IFERROR(Q80*$AX80*(1+($AZ80-1)*Q$29)*($D$26*$AY80+(1-$D$26)*Q$28),"")</f>
        <v/>
      </c>
      <c r="R135" s="18">
        <f>IFERROR(R80*$AX80*(1+($AZ80-1)*R$29)*($D$26*$AY80+(1-$D$26)*R$28),"")</f>
        <v/>
      </c>
      <c r="S135" s="18">
        <f>IFERROR(S80*$AX80*(1+($AZ80-1)*S$29)*($D$26*$AY80+(1-$D$26)*S$28),"")</f>
        <v/>
      </c>
      <c r="T135" s="18">
        <f>IFERROR(T80*$AX80*(1+($AZ80-1)*T$29)*($D$26*$AY80+(1-$D$26)*T$28),"")</f>
        <v/>
      </c>
      <c r="U135" s="18">
        <f>IFERROR(U80*$AX80*(1+($AZ80-1)*U$29)*($D$26*$AY80+(1-$D$26)*U$28),"")</f>
        <v/>
      </c>
      <c r="V135" s="18">
        <f>IFERROR(V80*$AX80*(1+($AZ80-1)*V$29)*($D$26*$AY80+(1-$D$26)*V$28),"")</f>
        <v/>
      </c>
      <c r="W135" s="18">
        <f>IFERROR(W80*$AX80*(1+($AZ80-1)*W$29)*($D$26*$AY80+(1-$D$26)*W$28),"")</f>
        <v/>
      </c>
      <c r="X135" s="18">
        <f>IFERROR(X80*$AX80*(1+($AZ80-1)*X$29)*($D$26*$AY80+(1-$D$26)*X$28),"")</f>
        <v/>
      </c>
      <c r="Y135" s="18">
        <f>IFERROR(Y80*$AX80*(1+($AZ80-1)*Y$29)*($D$26*$AY80+(1-$D$26)*Y$28),"")</f>
        <v/>
      </c>
      <c r="Z135" s="18">
        <f>IFERROR(Z80*$AX80*(1+($AZ80-1)*Z$29)*($D$26*$AY80+(1-$D$26)*Z$28),"")</f>
        <v/>
      </c>
      <c r="AA135" s="18">
        <f>IFERROR(AA80*$AX80*(1+($AZ80-1)*AA$29)*($D$26*$AY80+(1-$D$26)*AA$28),"")</f>
        <v/>
      </c>
      <c r="AB135" s="18">
        <f>IFERROR(AB80*$AX80*(1+($AZ80-1)*AB$29)*($D$26*$AY80+(1-$D$26)*AB$28),"")</f>
        <v/>
      </c>
    </row>
    <row r="136">
      <c r="A136" t="inlineStr">
        <is>
          <t>20260911800485</t>
        </is>
      </c>
      <c r="B136" t="inlineStr">
        <is>
          <t>VLCC</t>
        </is>
      </c>
      <c r="C136" t="n">
        <v>3</v>
      </c>
      <c r="D136" t="inlineStr">
        <is>
          <t>유조선 3척</t>
        </is>
      </c>
      <c r="T136" s="18">
        <f>IFERROR(T81*$AX81*(1+($AZ81-1)*T$29)*($D$26*$AY81+(1-$D$26)*T$28),"")</f>
        <v/>
      </c>
      <c r="U136" s="18">
        <f>IFERROR(U81*$AX81*(1+($AZ81-1)*U$29)*($D$26*$AY81+(1-$D$26)*U$28),"")</f>
        <v/>
      </c>
      <c r="V136" s="18">
        <f>IFERROR(V81*$AX81*(1+($AZ81-1)*V$29)*($D$26*$AY81+(1-$D$26)*V$28),"")</f>
        <v/>
      </c>
      <c r="W136" s="18">
        <f>IFERROR(W81*$AX81*(1+($AZ81-1)*W$29)*($D$26*$AY81+(1-$D$26)*W$28),"")</f>
        <v/>
      </c>
      <c r="X136" s="18">
        <f>IFERROR(X81*$AX81*(1+($AZ81-1)*X$29)*($D$26*$AY81+(1-$D$26)*X$28),"")</f>
        <v/>
      </c>
      <c r="Y136" s="18">
        <f>IFERROR(Y81*$AX81*(1+($AZ81-1)*Y$29)*($D$26*$AY81+(1-$D$26)*Y$28),"")</f>
        <v/>
      </c>
      <c r="Z136" s="18">
        <f>IFERROR(Z81*$AX81*(1+($AZ81-1)*Z$29)*($D$26*$AY81+(1-$D$26)*Z$28),"")</f>
        <v/>
      </c>
      <c r="AA136" s="18">
        <f>IFERROR(AA81*$AX81*(1+($AZ81-1)*AA$29)*($D$26*$AY81+(1-$D$26)*AA$28),"")</f>
        <v/>
      </c>
      <c r="AB136" s="18">
        <f>IFERROR(AB81*$AX81*(1+($AZ81-1)*AB$29)*($D$26*$AY81+(1-$D$26)*AB$28),"")</f>
        <v/>
      </c>
      <c r="AC136" s="18">
        <f>IFERROR(AC81*$AX81*(1+($AZ81-1)*AC$29)*($D$26*$AY81+(1-$D$26)*AC$28),"")</f>
        <v/>
      </c>
      <c r="AD136" s="18">
        <f>IFERROR(AD81*$AX81*(1+($AZ81-1)*AD$29)*($D$26*$AY81+(1-$D$26)*AD$28),"")</f>
        <v/>
      </c>
      <c r="AE136" s="18">
        <f>IFERROR(AE81*$AX81*(1+($AZ81-1)*AE$29)*($D$26*$AY81+(1-$D$26)*AE$28),"")</f>
        <v/>
      </c>
      <c r="AF136" s="18">
        <f>IFERROR(AF81*$AX81*(1+($AZ81-1)*AF$29)*($D$26*$AY81+(1-$D$26)*AF$28),"")</f>
        <v/>
      </c>
      <c r="AG136" s="18">
        <f>IFERROR(AG81*$AX81*(1+($AZ81-1)*AG$29)*($D$26*$AY81+(1-$D$26)*AG$28),"")</f>
        <v/>
      </c>
    </row>
    <row r="137">
      <c r="A137" t="inlineStr">
        <is>
          <t>20260914800075</t>
        </is>
      </c>
      <c r="B137" t="inlineStr">
        <is>
          <t>LNGC</t>
        </is>
      </c>
      <c r="C137" t="n">
        <v>4</v>
      </c>
      <c r="D137" t="inlineStr">
        <is>
          <t>LNG운반선 4척</t>
        </is>
      </c>
      <c r="W137" s="18">
        <f>IFERROR(W82*$AX82*(1+($AZ82-1)*W$29)*($D$26*$AY82+(1-$D$26)*W$28),"")</f>
        <v/>
      </c>
      <c r="X137" s="18">
        <f>IFERROR(X82*$AX82*(1+($AZ82-1)*X$29)*($D$26*$AY82+(1-$D$26)*X$28),"")</f>
        <v/>
      </c>
      <c r="Y137" s="18">
        <f>IFERROR(Y82*$AX82*(1+($AZ82-1)*Y$29)*($D$26*$AY82+(1-$D$26)*Y$28),"")</f>
        <v/>
      </c>
      <c r="Z137" s="18">
        <f>IFERROR(Z82*$AX82*(1+($AZ82-1)*Z$29)*($D$26*$AY82+(1-$D$26)*Z$28),"")</f>
        <v/>
      </c>
      <c r="AA137" s="18">
        <f>IFERROR(AA82*$AX82*(1+($AZ82-1)*AA$29)*($D$26*$AY82+(1-$D$26)*AA$28),"")</f>
        <v/>
      </c>
      <c r="AB137" s="18">
        <f>IFERROR(AB82*$AX82*(1+($AZ82-1)*AB$29)*($D$26*$AY82+(1-$D$26)*AB$28),"")</f>
        <v/>
      </c>
      <c r="AC137" s="18">
        <f>IFERROR(AC82*$AX82*(1+($AZ82-1)*AC$29)*($D$26*$AY82+(1-$D$26)*AC$28),"")</f>
        <v/>
      </c>
      <c r="AD137" s="18">
        <f>IFERROR(AD82*$AX82*(1+($AZ82-1)*AD$29)*($D$26*$AY82+(1-$D$26)*AD$28),"")</f>
        <v/>
      </c>
      <c r="AE137" s="18">
        <f>IFERROR(AE82*$AX82*(1+($AZ82-1)*AE$29)*($D$26*$AY82+(1-$D$26)*AE$28),"")</f>
        <v/>
      </c>
      <c r="AF137" s="18">
        <f>IFERROR(AF82*$AX82*(1+($AZ82-1)*AF$29)*($D$26*$AY82+(1-$D$26)*AF$28),"")</f>
        <v/>
      </c>
      <c r="AG137" s="18">
        <f>IFERROR(AG82*$AX82*(1+($AZ82-1)*AG$29)*($D$26*$AY82+(1-$D$26)*AG$28),"")</f>
        <v/>
      </c>
      <c r="AH137" s="18">
        <f>IFERROR(AH82*$AX82*(1+($AZ82-1)*AH$29)*($D$26*$AY82+(1-$D$26)*AH$28),"")</f>
        <v/>
      </c>
      <c r="AI137" s="18">
        <f>IFERROR(AI82*$AX82*(1+($AZ82-1)*AI$29)*($D$26*$AY82+(1-$D$26)*AI$28),"")</f>
        <v/>
      </c>
    </row>
    <row r="138">
      <c r="A138" t="inlineStr">
        <is>
          <t>20260930800054</t>
        </is>
      </c>
      <c r="B138" t="inlineStr">
        <is>
          <t>VLGC</t>
        </is>
      </c>
      <c r="C138" t="n">
        <v>2</v>
      </c>
      <c r="D138" t="inlineStr">
        <is>
          <t>VLGC 2척</t>
        </is>
      </c>
      <c r="W138" s="18">
        <f>IFERROR(W83*$AX83*(1+($AZ83-1)*W$29)*($D$26*$AY83+(1-$D$26)*W$28),"")</f>
        <v/>
      </c>
      <c r="X138" s="18">
        <f>IFERROR(X83*$AX83*(1+($AZ83-1)*X$29)*($D$26*$AY83+(1-$D$26)*X$28),"")</f>
        <v/>
      </c>
      <c r="Y138" s="18">
        <f>IFERROR(Y83*$AX83*(1+($AZ83-1)*Y$29)*($D$26*$AY83+(1-$D$26)*Y$28),"")</f>
        <v/>
      </c>
      <c r="Z138" s="18">
        <f>IFERROR(Z83*$AX83*(1+($AZ83-1)*Z$29)*($D$26*$AY83+(1-$D$26)*Z$28),"")</f>
        <v/>
      </c>
      <c r="AA138" s="18">
        <f>IFERROR(AA83*$AX83*(1+($AZ83-1)*AA$29)*($D$26*$AY83+(1-$D$26)*AA$28),"")</f>
        <v/>
      </c>
      <c r="AB138" s="18">
        <f>IFERROR(AB83*$AX83*(1+($AZ83-1)*AB$29)*($D$26*$AY83+(1-$D$26)*AB$28),"")</f>
        <v/>
      </c>
      <c r="AC138" s="18">
        <f>IFERROR(AC83*$AX83*(1+($AZ83-1)*AC$29)*($D$26*$AY83+(1-$D$26)*AC$28),"")</f>
        <v/>
      </c>
      <c r="AD138" s="18">
        <f>IFERROR(AD83*$AX83*(1+($AZ83-1)*AD$29)*($D$26*$AY83+(1-$D$26)*AD$28),"")</f>
        <v/>
      </c>
      <c r="AE138" s="18">
        <f>IFERROR(AE83*$AX83*(1+($AZ83-1)*AE$29)*($D$26*$AY83+(1-$D$26)*AE$28),"")</f>
        <v/>
      </c>
      <c r="AF138" s="18">
        <f>IFERROR(AF83*$AX83*(1+($AZ83-1)*AF$29)*($D$26*$AY83+(1-$D$26)*AF$28),"")</f>
        <v/>
      </c>
      <c r="AG138" s="18">
        <f>IFERROR(AG83*$AX83*(1+($AZ83-1)*AG$29)*($D$26*$AY83+(1-$D$26)*AG$28),"")</f>
        <v/>
      </c>
      <c r="AH138" s="18">
        <f>IFERROR(AH83*$AX83*(1+($AZ83-1)*AH$29)*($D$26*$AY83+(1-$D$26)*AH$28),"")</f>
        <v/>
      </c>
      <c r="AI138" s="18">
        <f>IFERROR(AI83*$AX83*(1+($AZ83-1)*AI$29)*($D$26*$AY83+(1-$D$26)*AI$28),"")</f>
        <v/>
      </c>
      <c r="AJ138" s="18">
        <f>IFERROR(AJ83*$AX83*(1+($AZ83-1)*AJ$29)*($D$26*$AY83+(1-$D$26)*AJ$28),"")</f>
        <v/>
      </c>
      <c r="AK138" s="18">
        <f>IFERROR(AK83*$AX83*(1+($AZ83-1)*AK$29)*($D$26*$AY83+(1-$D$26)*AK$28),"")</f>
        <v/>
      </c>
    </row>
    <row r="139">
      <c r="A139" t="inlineStr">
        <is>
          <t>20261002800245</t>
        </is>
      </c>
      <c r="B139" t="inlineStr">
        <is>
          <t>LNGC</t>
        </is>
      </c>
      <c r="C139" t="n">
        <v>2</v>
      </c>
      <c r="D139" t="inlineStr">
        <is>
          <t>LNG운반선 2척</t>
        </is>
      </c>
      <c r="X139" s="18">
        <f>IFERROR(X84*$AX84*(1+($AZ84-1)*X$29)*($D$26*$AY84+(1-$D$26)*X$28),"")</f>
        <v/>
      </c>
      <c r="Y139" s="18">
        <f>IFERROR(Y84*$AX84*(1+($AZ84-1)*Y$29)*($D$26*$AY84+(1-$D$26)*Y$28),"")</f>
        <v/>
      </c>
      <c r="Z139" s="18">
        <f>IFERROR(Z84*$AX84*(1+($AZ84-1)*Z$29)*($D$26*$AY84+(1-$D$26)*Z$28),"")</f>
        <v/>
      </c>
      <c r="AA139" s="18">
        <f>IFERROR(AA84*$AX84*(1+($AZ84-1)*AA$29)*($D$26*$AY84+(1-$D$26)*AA$28),"")</f>
        <v/>
      </c>
      <c r="AB139" s="18">
        <f>IFERROR(AB84*$AX84*(1+($AZ84-1)*AB$29)*($D$26*$AY84+(1-$D$26)*AB$28),"")</f>
        <v/>
      </c>
      <c r="AC139" s="18">
        <f>IFERROR(AC84*$AX84*(1+($AZ84-1)*AC$29)*($D$26*$AY84+(1-$D$26)*AC$28),"")</f>
        <v/>
      </c>
      <c r="AD139" s="18">
        <f>IFERROR(AD84*$AX84*(1+($AZ84-1)*AD$29)*($D$26*$AY84+(1-$D$26)*AD$28),"")</f>
        <v/>
      </c>
      <c r="AE139" s="18">
        <f>IFERROR(AE84*$AX84*(1+($AZ84-1)*AE$29)*($D$26*$AY84+(1-$D$26)*AE$28),"")</f>
        <v/>
      </c>
      <c r="AF139" s="18">
        <f>IFERROR(AF84*$AX84*(1+($AZ84-1)*AF$29)*($D$26*$AY84+(1-$D$26)*AF$28),"")</f>
        <v/>
      </c>
      <c r="AG139" s="18">
        <f>IFERROR(AG84*$AX84*(1+($AZ84-1)*AG$29)*($D$26*$AY84+(1-$D$26)*AG$28),"")</f>
        <v/>
      </c>
      <c r="AH139" s="18">
        <f>IFERROR(AH84*$AX84*(1+($AZ84-1)*AH$29)*($D$26*$AY84+(1-$D$26)*AH$28),"")</f>
        <v/>
      </c>
    </row>
    <row r="140">
      <c r="A140" s="12" t="inlineStr">
        <is>
          <t>usd_incl</t>
        </is>
      </c>
      <c r="D140" t="inlineStr">
        <is>
          <t>포함 계약 스케줄 합(백만$, 캡 배율 전)</t>
        </is>
      </c>
      <c r="E140" s="26">
        <f>SUMPRODUCT(E32:E84,$AX$32:$AX$84)</f>
        <v/>
      </c>
      <c r="F140" s="26">
        <f>SUMPRODUCT(F32:F84,$AX$32:$AX$84)</f>
        <v/>
      </c>
      <c r="G140" s="26">
        <f>SUMPRODUCT(G32:G84,$AX$32:$AX$84)</f>
        <v/>
      </c>
      <c r="H140" s="26">
        <f>SUMPRODUCT(H32:H84,$AX$32:$AX$84)</f>
        <v/>
      </c>
      <c r="I140" s="26">
        <f>SUMPRODUCT(I32:I84,$AX$32:$AX$84)</f>
        <v/>
      </c>
      <c r="J140" s="26">
        <f>SUMPRODUCT(J32:J84,$AX$32:$AX$84)</f>
        <v/>
      </c>
      <c r="K140" s="26">
        <f>SUMPRODUCT(K32:K84,$AX$32:$AX$84)</f>
        <v/>
      </c>
      <c r="L140" s="26">
        <f>SUMPRODUCT(L32:L84,$AX$32:$AX$84)</f>
        <v/>
      </c>
      <c r="M140" s="26">
        <f>SUMPRODUCT(M32:M84,$AX$32:$AX$84)</f>
        <v/>
      </c>
      <c r="N140" s="26">
        <f>SUMPRODUCT(N32:N84,$AX$32:$AX$84)</f>
        <v/>
      </c>
      <c r="O140" s="26">
        <f>SUMPRODUCT(O32:O84,$AX$32:$AX$84)</f>
        <v/>
      </c>
      <c r="P140" s="26">
        <f>SUMPRODUCT(P32:P84,$AX$32:$AX$84)</f>
        <v/>
      </c>
      <c r="Q140" s="26">
        <f>SUMPRODUCT(Q32:Q84,$AX$32:$AX$84)</f>
        <v/>
      </c>
      <c r="R140" s="26">
        <f>SUMPRODUCT(R32:R84,$AX$32:$AX$84)</f>
        <v/>
      </c>
      <c r="S140" s="26">
        <f>SUMPRODUCT(S32:S84,$AX$32:$AX$84)</f>
        <v/>
      </c>
      <c r="T140" s="26">
        <f>SUMPRODUCT(T32:T84,$AX$32:$AX$84)</f>
        <v/>
      </c>
      <c r="U140" s="26">
        <f>SUMPRODUCT(U32:U84,$AX$32:$AX$84)</f>
        <v/>
      </c>
      <c r="V140" s="26">
        <f>SUMPRODUCT(V32:V84,$AX$32:$AX$84)</f>
        <v/>
      </c>
      <c r="W140" s="26">
        <f>SUMPRODUCT(W32:W84,$AX$32:$AX$84)</f>
        <v/>
      </c>
      <c r="X140" s="26">
        <f>SUMPRODUCT(X32:X84,$AX$32:$AX$84)</f>
        <v/>
      </c>
      <c r="Y140" s="26">
        <f>SUMPRODUCT(Y32:Y84,$AX$32:$AX$84)</f>
        <v/>
      </c>
      <c r="Z140" s="26">
        <f>SUMPRODUCT(Z32:Z84,$AX$32:$AX$84)</f>
        <v/>
      </c>
      <c r="AA140" s="26">
        <f>SUMPRODUCT(AA32:AA84,$AX$32:$AX$84)</f>
        <v/>
      </c>
      <c r="AB140" s="26">
        <f>SUMPRODUCT(AB32:AB84,$AX$32:$AX$84)</f>
        <v/>
      </c>
      <c r="AC140" s="26">
        <f>SUMPRODUCT(AC32:AC84,$AX$32:$AX$84)</f>
        <v/>
      </c>
      <c r="AD140" s="26">
        <f>SUMPRODUCT(AD32:AD84,$AX$32:$AX$84)</f>
        <v/>
      </c>
      <c r="AE140" s="26">
        <f>SUMPRODUCT(AE32:AE84,$AX$32:$AX$84)</f>
        <v/>
      </c>
      <c r="AF140" s="26">
        <f>SUMPRODUCT(AF32:AF84,$AX$32:$AX$84)</f>
        <v/>
      </c>
      <c r="AG140" s="26">
        <f>SUMPRODUCT(AG32:AG84,$AX$32:$AX$84)</f>
        <v/>
      </c>
      <c r="AH140" s="26">
        <f>SUMPRODUCT(AH32:AH84,$AX$32:$AX$84)</f>
        <v/>
      </c>
      <c r="AI140" s="26">
        <f>SUMPRODUCT(AI32:AI84,$AX$32:$AX$84)</f>
        <v/>
      </c>
      <c r="AJ140" s="26">
        <f>SUMPRODUCT(AJ32:AJ84,$AX$32:$AX$84)</f>
        <v/>
      </c>
      <c r="AK140" s="26">
        <f>SUMPRODUCT(AK32:AK84,$AX$32:$AX$84)</f>
        <v/>
      </c>
      <c r="AL140" s="26">
        <f>SUMPRODUCT(AL32:AL84,$AX$32:$AX$84)</f>
        <v/>
      </c>
      <c r="AM140" s="26">
        <f>SUMPRODUCT(AM32:AM84,$AX$32:$AX$84)</f>
        <v/>
      </c>
    </row>
    <row r="141">
      <c r="A141" s="12" t="inlineStr">
        <is>
          <t>krw_link</t>
        </is>
      </c>
      <c r="D141" s="1" t="inlineStr">
        <is>
          <t>원화 합계(백만원) — subQ 연결 행</t>
        </is>
      </c>
      <c r="E141" s="18">
        <f>SUM(E87:E139)</f>
        <v/>
      </c>
      <c r="F141" s="18">
        <f>SUM(F87:F139)</f>
        <v/>
      </c>
      <c r="G141" s="18">
        <f>SUM(G87:G139)</f>
        <v/>
      </c>
      <c r="H141" s="18">
        <f>SUM(H87:H139)</f>
        <v/>
      </c>
      <c r="I141" s="18">
        <f>SUM(I87:I139)</f>
        <v/>
      </c>
      <c r="J141" s="18">
        <f>SUM(J87:J139)</f>
        <v/>
      </c>
      <c r="K141" s="18">
        <f>SUM(K87:K139)</f>
        <v/>
      </c>
      <c r="L141" s="18">
        <f>SUM(L87:L139)</f>
        <v/>
      </c>
      <c r="M141" s="18">
        <f>SUM(M87:M139)</f>
        <v/>
      </c>
      <c r="N141" s="18">
        <f>SUM(N87:N139)</f>
        <v/>
      </c>
      <c r="O141" s="18">
        <f>SUM(O87:O139)</f>
        <v/>
      </c>
      <c r="P141" s="18">
        <f>SUM(P87:P139)</f>
        <v/>
      </c>
      <c r="Q141" s="18">
        <f>SUM(Q87:Q139)</f>
        <v/>
      </c>
      <c r="R141" s="18">
        <f>SUM(R87:R139)</f>
        <v/>
      </c>
      <c r="S141" s="18">
        <f>SUM(S87:S139)</f>
        <v/>
      </c>
      <c r="T141" s="18">
        <f>SUM(T87:T139)</f>
        <v/>
      </c>
      <c r="U141" s="18">
        <f>SUM(U87:U139)</f>
        <v/>
      </c>
      <c r="V141" s="18">
        <f>SUM(V87:V139)</f>
        <v/>
      </c>
      <c r="W141" s="18">
        <f>SUM(W87:W139)</f>
        <v/>
      </c>
      <c r="X141" s="18">
        <f>SUM(X87:X139)</f>
        <v/>
      </c>
      <c r="Y141" s="18">
        <f>SUM(Y87:Y139)</f>
        <v/>
      </c>
      <c r="Z141" s="18">
        <f>SUM(Z87:Z139)</f>
        <v/>
      </c>
      <c r="AA141" s="18">
        <f>SUM(AA87:AA139)</f>
        <v/>
      </c>
      <c r="AB141" s="18">
        <f>SUM(AB87:AB139)</f>
        <v/>
      </c>
      <c r="AC141" s="18">
        <f>SUM(AC87:AC139)</f>
        <v/>
      </c>
      <c r="AD141" s="18">
        <f>SUM(AD87:AD139)</f>
        <v/>
      </c>
      <c r="AE141" s="18">
        <f>SUM(AE87:AE139)</f>
        <v/>
      </c>
      <c r="AF141" s="18">
        <f>SUM(AF87:AF139)</f>
        <v/>
      </c>
      <c r="AG141" s="18">
        <f>SUM(AG87:AG139)</f>
        <v/>
      </c>
      <c r="AH141" s="18">
        <f>SUM(AH87:AH139)</f>
        <v/>
      </c>
      <c r="AI141" s="18">
        <f>SUM(AI87:AI139)</f>
        <v/>
      </c>
      <c r="AJ141" s="18">
        <f>SUM(AJ87:AJ139)</f>
        <v/>
      </c>
      <c r="AK141" s="18">
        <f>SUM(AK87:AK139)</f>
        <v/>
      </c>
      <c r="AL141" s="18">
        <f>SUM(AL87:AL139)</f>
        <v/>
      </c>
      <c r="AM141" s="18">
        <f>SUM(AM87:AM139)</f>
        <v/>
      </c>
    </row>
    <row r="143">
      <c r="A143" s="1" t="inlineStr">
        <is>
          <t>계약 원장(contracts.json 기반 — counted 아닌 계약 포함)</t>
        </is>
      </c>
    </row>
    <row r="144">
      <c r="A144" s="1" t="inlineStr">
        <is>
          <t>rcp</t>
        </is>
      </c>
      <c r="B144" s="1" t="inlineStr">
        <is>
          <t>type</t>
        </is>
      </c>
      <c r="C144" s="1" t="inlineStr">
        <is>
          <t>ships</t>
        </is>
      </c>
      <c r="D144" s="1" t="inlineStr">
        <is>
          <t>amt_krw_m</t>
        </is>
      </c>
      <c r="E144" s="1" t="inlineStr">
        <is>
          <t>amt_usd_m</t>
        </is>
      </c>
      <c r="F144" s="1" t="inlineStr">
        <is>
          <t>fx_at_sign</t>
        </is>
      </c>
      <c r="G144" s="1" t="inlineStr">
        <is>
          <t>signed</t>
        </is>
      </c>
      <c r="H144" s="1" t="inlineStr">
        <is>
          <t>start</t>
        </is>
      </c>
      <c r="I144" s="1" t="inlineStr">
        <is>
          <t>end</t>
        </is>
      </c>
      <c r="J144" s="1" t="inlineStr">
        <is>
          <t>cohort</t>
        </is>
      </c>
      <c r="K144" s="1" t="inlineStr">
        <is>
          <t>cohort_alt</t>
        </is>
      </c>
      <c r="L144" s="1" t="inlineStr">
        <is>
          <t>curve</t>
        </is>
      </c>
      <c r="M144" s="1" t="inlineStr">
        <is>
          <t>counted</t>
        </is>
      </c>
      <c r="N144" s="1" t="inlineStr">
        <is>
          <t>signed_by_origin</t>
        </is>
      </c>
      <c r="O144" s="1" t="inlineStr">
        <is>
          <t>estimated_series</t>
        </is>
      </c>
    </row>
    <row r="145">
      <c r="A145" t="inlineStr">
        <is>
          <t>20240701800160</t>
        </is>
      </c>
      <c r="B145" t="inlineStr">
        <is>
          <t>LNGC</t>
        </is>
      </c>
      <c r="C145" t="n">
        <v>4</v>
      </c>
      <c r="D145" t="n">
        <v>1438100</v>
      </c>
      <c r="E145" t="n">
        <v>1048.728</v>
      </c>
      <c r="F145" t="n">
        <v>1371.28</v>
      </c>
      <c r="G145" t="inlineStr">
        <is>
          <t>2024-06-30</t>
        </is>
      </c>
      <c r="H145" t="inlineStr">
        <is>
          <t>2024-06-30</t>
        </is>
      </c>
      <c r="I145" t="inlineStr">
        <is>
          <t>2028-08-31</t>
        </is>
      </c>
      <c r="J145" t="inlineStr">
        <is>
          <t>⑤초호황</t>
        </is>
      </c>
      <c r="K145" t="inlineStr">
        <is>
          <t>③중마진</t>
        </is>
      </c>
      <c r="L145" t="inlineStr">
        <is>
          <t>linear_progress</t>
        </is>
      </c>
      <c r="M145" t="b">
        <v>1</v>
      </c>
      <c r="N145" t="b">
        <v>1</v>
      </c>
      <c r="O145" t="b">
        <v>1</v>
      </c>
    </row>
    <row r="146">
      <c r="A146" t="inlineStr">
        <is>
          <t>20241002800072</t>
        </is>
      </c>
      <c r="B146" t="inlineStr">
        <is>
          <t>LNGC</t>
        </is>
      </c>
      <c r="C146" t="n">
        <v>2</v>
      </c>
      <c r="D146" t="n">
        <v>678300</v>
      </c>
      <c r="E146" t="n">
        <v>500.14</v>
      </c>
      <c r="F146" t="n">
        <v>1356.22</v>
      </c>
      <c r="G146" t="inlineStr">
        <is>
          <t>2024-09-30</t>
        </is>
      </c>
      <c r="H146" t="inlineStr">
        <is>
          <t>2024-09-30</t>
        </is>
      </c>
      <c r="I146" t="inlineStr">
        <is>
          <t>2027-04-30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20241031800038</t>
        </is>
      </c>
      <c r="B147" t="inlineStr">
        <is>
          <t>LNGC</t>
        </is>
      </c>
      <c r="C147" t="n">
        <v>1</v>
      </c>
      <c r="D147" t="n">
        <v>358200</v>
      </c>
      <c r="E147" t="n">
        <v>256.535</v>
      </c>
      <c r="F147" t="n">
        <v>1396.3</v>
      </c>
      <c r="G147" t="inlineStr">
        <is>
          <t>2024-10-30</t>
        </is>
      </c>
      <c r="H147" t="inlineStr">
        <is>
          <t>2024-10-30</t>
        </is>
      </c>
      <c r="I147" t="inlineStr">
        <is>
          <t>2027-06-30</t>
        </is>
      </c>
      <c r="J147" t="inlineStr">
        <is>
          <t>⑤초호황</t>
        </is>
      </c>
      <c r="K147" t="inlineStr">
        <is>
          <t>③중마진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20241101800164</t>
        </is>
      </c>
      <c r="B148" t="inlineStr">
        <is>
          <t>VLCC</t>
        </is>
      </c>
      <c r="C148" t="n">
        <v>4</v>
      </c>
      <c r="D148" t="n">
        <v>459300</v>
      </c>
      <c r="E148" t="n">
        <v>328.941</v>
      </c>
      <c r="F148" t="n">
        <v>1396.3</v>
      </c>
      <c r="G148" t="inlineStr">
        <is>
          <t>2024-10-31</t>
        </is>
      </c>
      <c r="H148" t="inlineStr">
        <is>
          <t>2024-10-31</t>
        </is>
      </c>
      <c r="I148" t="inlineStr">
        <is>
          <t>2027-12-31</t>
        </is>
      </c>
      <c r="J148" t="inlineStr">
        <is>
          <t>⑤초호황</t>
        </is>
      </c>
      <c r="K148" t="inlineStr">
        <is>
          <t>②BEP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20241125800093</t>
        </is>
      </c>
      <c r="B149" t="inlineStr">
        <is>
          <t>CONT</t>
        </is>
      </c>
      <c r="C149" t="n">
        <v>4</v>
      </c>
      <c r="D149" t="n">
        <v>1098500</v>
      </c>
      <c r="E149" t="n">
        <v>786.722</v>
      </c>
      <c r="F149" t="n">
        <v>1396.3</v>
      </c>
      <c r="G149" t="inlineStr">
        <is>
          <t>2024-11-22</t>
        </is>
      </c>
      <c r="H149" t="inlineStr">
        <is>
          <t>2024-11-22</t>
        </is>
      </c>
      <c r="I149" t="inlineStr">
        <is>
          <t>2027-12-31</t>
        </is>
      </c>
      <c r="J149" t="inlineStr">
        <is>
          <t>⑤초호황</t>
        </is>
      </c>
      <c r="K149" t="inlineStr">
        <is>
          <t>④호황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20241230800259</t>
        </is>
      </c>
      <c r="B150" t="inlineStr">
        <is>
          <t>OTHER</t>
        </is>
      </c>
      <c r="D150" t="n">
        <v>523270</v>
      </c>
      <c r="E150" t="n">
        <v>384.723</v>
      </c>
      <c r="F150" t="n">
        <v>1360.12</v>
      </c>
      <c r="G150" t="inlineStr">
        <is>
          <t>2022-11-28</t>
        </is>
      </c>
      <c r="H150" t="inlineStr">
        <is>
          <t>2022-04-22</t>
        </is>
      </c>
      <c r="I150" t="inlineStr">
        <is>
          <t>2025-03-31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20241230800261</t>
        </is>
      </c>
      <c r="B151" t="inlineStr">
        <is>
          <t>OTHER</t>
        </is>
      </c>
      <c r="D151" t="n">
        <v>488730</v>
      </c>
      <c r="E151" t="n">
        <v>359.329</v>
      </c>
      <c r="F151" t="n">
        <v>1360.12</v>
      </c>
      <c r="G151" t="inlineStr">
        <is>
          <t>2022-11-10</t>
        </is>
      </c>
      <c r="H151" t="inlineStr">
        <is>
          <t>2022-11-15</t>
        </is>
      </c>
      <c r="I151" t="inlineStr">
        <is>
          <t>2025-03-31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20250120800318</t>
        </is>
      </c>
      <c r="B152" t="inlineStr">
        <is>
          <t>LNGC</t>
        </is>
      </c>
      <c r="C152" t="n">
        <v>1</v>
      </c>
      <c r="D152" t="n">
        <v>379600</v>
      </c>
      <c r="E152" t="n">
        <v>261.382</v>
      </c>
      <c r="F152" t="n">
        <v>1452.28</v>
      </c>
      <c r="G152" t="inlineStr">
        <is>
          <t>2025-01-17</t>
        </is>
      </c>
      <c r="H152" t="inlineStr">
        <is>
          <t>2025-01-17</t>
        </is>
      </c>
      <c r="I152" t="inlineStr">
        <is>
          <t>2027-06-30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20250123800869</t>
        </is>
      </c>
      <c r="B153" t="inlineStr">
        <is>
          <t>VLGC</t>
        </is>
      </c>
      <c r="C153" t="n">
        <v>3</v>
      </c>
      <c r="D153" t="n">
        <v>742200</v>
      </c>
      <c r="E153" t="n">
        <v>531.548</v>
      </c>
      <c r="F153" t="n">
        <v>1396.3</v>
      </c>
      <c r="G153" t="inlineStr">
        <is>
          <t>2024-12-24</t>
        </is>
      </c>
      <c r="H153" t="inlineStr">
        <is>
          <t>2024-12-24</t>
        </is>
      </c>
      <c r="I153" t="inlineStr">
        <is>
          <t>2027-12-31</t>
        </is>
      </c>
      <c r="J153" t="inlineStr">
        <is>
          <t>⑤초호황</t>
        </is>
      </c>
      <c r="K153" t="inlineStr">
        <is>
          <t>④호황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20250317800118</t>
        </is>
      </c>
      <c r="B154" t="inlineStr">
        <is>
          <t>VLCC</t>
        </is>
      </c>
      <c r="C154" t="n">
        <v>9</v>
      </c>
      <c r="D154" t="n">
        <v>1935500</v>
      </c>
      <c r="E154" t="n">
        <v>1332.732</v>
      </c>
      <c r="F154" t="n">
        <v>1452.28</v>
      </c>
      <c r="G154" t="inlineStr">
        <is>
          <t>2025-03-14</t>
        </is>
      </c>
      <c r="H154" t="inlineStr">
        <is>
          <t>2025-03-14</t>
        </is>
      </c>
      <c r="I154" t="inlineStr">
        <is>
          <t>2028-12-31</t>
        </is>
      </c>
      <c r="J154" t="inlineStr">
        <is>
          <t>⑤초호황</t>
        </is>
      </c>
      <c r="K154" t="inlineStr">
        <is>
          <t>④호황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20250318800145</t>
        </is>
      </c>
      <c r="B155" t="inlineStr">
        <is>
          <t>VLGC</t>
        </is>
      </c>
      <c r="C155" t="n">
        <v>2</v>
      </c>
      <c r="D155" t="n">
        <v>466100</v>
      </c>
      <c r="E155" t="n">
        <v>320.944</v>
      </c>
      <c r="F155" t="n">
        <v>1452.28</v>
      </c>
      <c r="G155" t="inlineStr">
        <is>
          <t>2025-03-17</t>
        </is>
      </c>
      <c r="H155" t="inlineStr">
        <is>
          <t>2025-03-17</t>
        </is>
      </c>
      <c r="I155" t="inlineStr">
        <is>
          <t>2028-02-29</t>
        </is>
      </c>
      <c r="J155" t="inlineStr">
        <is>
          <t>⑤초호황</t>
        </is>
      </c>
      <c r="K155" t="inlineStr">
        <is>
          <t>③중마진</t>
        </is>
      </c>
      <c r="L155" t="inlineStr">
        <is>
          <t>linear_progress</t>
        </is>
      </c>
      <c r="M155" t="b">
        <v>1</v>
      </c>
      <c r="N155" t="b">
        <v>1</v>
      </c>
      <c r="O155" t="b">
        <v>1</v>
      </c>
    </row>
    <row r="156">
      <c r="A156" t="inlineStr">
        <is>
          <t>20250408800489</t>
        </is>
      </c>
      <c r="B156" t="inlineStr">
        <is>
          <t>VLCC</t>
        </is>
      </c>
      <c r="C156" t="n">
        <v>4</v>
      </c>
      <c r="D156" t="n">
        <v>477800</v>
      </c>
      <c r="E156" t="n">
        <v>341.647</v>
      </c>
      <c r="F156" t="n">
        <v>1398.52</v>
      </c>
      <c r="G156" t="inlineStr">
        <is>
          <t>2025-04-07</t>
        </is>
      </c>
      <c r="H156" t="inlineStr">
        <is>
          <t>2025-04-07</t>
        </is>
      </c>
      <c r="I156" t="inlineStr">
        <is>
          <t>2028-12-31</t>
        </is>
      </c>
      <c r="J156" t="inlineStr">
        <is>
          <t>⑤초호황</t>
        </is>
      </c>
      <c r="K156" t="inlineStr">
        <is>
          <t>③중마진</t>
        </is>
      </c>
      <c r="L156" t="inlineStr">
        <is>
          <t>linear_progress</t>
        </is>
      </c>
      <c r="M156" t="b">
        <v>1</v>
      </c>
      <c r="N156" t="b">
        <v>1</v>
      </c>
      <c r="O156" t="b">
        <v>1</v>
      </c>
    </row>
    <row r="157">
      <c r="A157" t="inlineStr">
        <is>
          <t>20250425800546</t>
        </is>
      </c>
      <c r="B157" t="inlineStr">
        <is>
          <t>CONT</t>
        </is>
      </c>
      <c r="C157" t="n">
        <v>5</v>
      </c>
      <c r="D157" t="n">
        <v>803600</v>
      </c>
      <c r="E157" t="n">
        <v>666.457</v>
      </c>
      <c r="F157" t="n">
        <v>1205.78</v>
      </c>
      <c r="G157" t="inlineStr">
        <is>
          <t>2022-03-25</t>
        </is>
      </c>
      <c r="H157" t="inlineStr">
        <is>
          <t>2022-03-25</t>
        </is>
      </c>
      <c r="I157" t="inlineStr">
        <is>
          <t>2025-08-12</t>
        </is>
      </c>
      <c r="J157" t="inlineStr">
        <is>
          <t>⑤초호황</t>
        </is>
      </c>
      <c r="K157" t="inlineStr">
        <is>
          <t>②BEP</t>
        </is>
      </c>
      <c r="L157" t="inlineStr">
        <is>
          <t>linear_progress</t>
        </is>
      </c>
      <c r="M157" t="b">
        <v>1</v>
      </c>
      <c r="N157" t="b">
        <v>1</v>
      </c>
      <c r="O157" t="b">
        <v>1</v>
      </c>
    </row>
    <row r="158">
      <c r="A158" t="inlineStr">
        <is>
          <t>20250428800076</t>
        </is>
      </c>
      <c r="B158" t="inlineStr">
        <is>
          <t>CONT</t>
        </is>
      </c>
      <c r="C158" t="n">
        <v>2</v>
      </c>
      <c r="D158" t="n">
        <v>561900</v>
      </c>
      <c r="E158" t="n">
        <v>401.782</v>
      </c>
      <c r="F158" t="n">
        <v>1398.52</v>
      </c>
      <c r="G158" t="inlineStr">
        <is>
          <t>2025-04-25</t>
        </is>
      </c>
      <c r="H158" t="inlineStr">
        <is>
          <t>2025-04-25</t>
        </is>
      </c>
      <c r="I158" t="inlineStr">
        <is>
          <t>2028-01-31</t>
        </is>
      </c>
      <c r="J158" t="inlineStr">
        <is>
          <t>⑤초호황</t>
        </is>
      </c>
      <c r="K158" t="inlineStr">
        <is>
          <t>③중마진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20250618800387</t>
        </is>
      </c>
      <c r="B159" t="inlineStr">
        <is>
          <t>OTHER</t>
        </is>
      </c>
      <c r="F159" t="n">
        <v>1183.5</v>
      </c>
      <c r="G159" t="inlineStr"/>
      <c r="H159" t="inlineStr">
        <is>
          <t>2021-10-15</t>
        </is>
      </c>
      <c r="I159" t="inlineStr">
        <is>
          <t>2026-04-09</t>
        </is>
      </c>
      <c r="L159" t="inlineStr">
        <is>
          <t>linear_progress</t>
        </is>
      </c>
      <c r="N159" t="b">
        <v>1</v>
      </c>
      <c r="O159" t="b">
        <v>0</v>
      </c>
    </row>
    <row r="160">
      <c r="A160" t="inlineStr">
        <is>
          <t>20250618800388</t>
        </is>
      </c>
      <c r="B160" t="inlineStr">
        <is>
          <t>OTHER</t>
        </is>
      </c>
      <c r="F160" t="n">
        <v>1117.97</v>
      </c>
      <c r="G160" t="inlineStr"/>
      <c r="H160" t="inlineStr">
        <is>
          <t>2020-11-20</t>
        </is>
      </c>
      <c r="I160" t="inlineStr">
        <is>
          <t>2025-05-15</t>
        </is>
      </c>
      <c r="L160" t="inlineStr">
        <is>
          <t>linear_progress</t>
        </is>
      </c>
      <c r="N160" t="b">
        <v>1</v>
      </c>
      <c r="O160" t="b">
        <v>0</v>
      </c>
    </row>
    <row r="161">
      <c r="A161" t="inlineStr">
        <is>
          <t>20250818800096</t>
        </is>
      </c>
      <c r="B161" t="inlineStr">
        <is>
          <t>LNGC</t>
        </is>
      </c>
      <c r="C161" t="n">
        <v>2</v>
      </c>
      <c r="D161" t="n">
        <v>705700</v>
      </c>
      <c r="E161" t="n">
        <v>508.814</v>
      </c>
      <c r="F161" t="n">
        <v>1386.95</v>
      </c>
      <c r="G161" t="inlineStr">
        <is>
          <t>2025-08-15</t>
        </is>
      </c>
      <c r="H161" t="inlineStr">
        <is>
          <t>2025-08-15</t>
        </is>
      </c>
      <c r="I161" t="inlineStr">
        <is>
          <t>2028-01-31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20250818800098</t>
        </is>
      </c>
      <c r="B162" t="inlineStr">
        <is>
          <t>LNGC</t>
        </is>
      </c>
      <c r="C162" t="n">
        <v>4</v>
      </c>
      <c r="D162" t="n">
        <v>1435000</v>
      </c>
      <c r="E162" t="n">
        <v>1034.644</v>
      </c>
      <c r="F162" t="n">
        <v>1386.95</v>
      </c>
      <c r="G162" t="inlineStr">
        <is>
          <t>2025-08-15</t>
        </is>
      </c>
      <c r="H162" t="inlineStr">
        <is>
          <t>2025-08-15</t>
        </is>
      </c>
      <c r="I162" t="inlineStr">
        <is>
          <t>2028-11-30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1</v>
      </c>
    </row>
    <row r="163">
      <c r="A163" t="inlineStr">
        <is>
          <t>20251107800084</t>
        </is>
      </c>
      <c r="B163" t="inlineStr">
        <is>
          <t>VLCC</t>
        </is>
      </c>
      <c r="C163" t="n">
        <v>2</v>
      </c>
      <c r="D163" t="n">
        <v>290100</v>
      </c>
      <c r="E163" t="n">
        <v>200.181</v>
      </c>
      <c r="F163" t="n">
        <v>1449.19</v>
      </c>
      <c r="G163" t="inlineStr">
        <is>
          <t>2025-11-06</t>
        </is>
      </c>
      <c r="H163" t="inlineStr">
        <is>
          <t>2025-11-06</t>
        </is>
      </c>
      <c r="I163" t="inlineStr">
        <is>
          <t>2029-01-31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20251120800137</t>
        </is>
      </c>
      <c r="B164" t="inlineStr">
        <is>
          <t>CONT</t>
        </is>
      </c>
      <c r="C164" t="n">
        <v>7</v>
      </c>
      <c r="D164" t="n">
        <v>1922000</v>
      </c>
      <c r="E164" t="n">
        <v>1326.258</v>
      </c>
      <c r="F164" t="n">
        <v>1449.19</v>
      </c>
      <c r="G164" t="inlineStr">
        <is>
          <t>2025-11-19</t>
        </is>
      </c>
      <c r="H164" t="inlineStr">
        <is>
          <t>2025-11-19</t>
        </is>
      </c>
      <c r="I164" t="inlineStr">
        <is>
          <t>2029-11-30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20251212800879</t>
        </is>
      </c>
      <c r="B165" t="inlineStr">
        <is>
          <t>OTHER</t>
        </is>
      </c>
      <c r="D165" t="n">
        <v>391600</v>
      </c>
      <c r="E165" t="n">
        <v>287.916</v>
      </c>
      <c r="F165" t="n">
        <v>1360.12</v>
      </c>
      <c r="G165" t="inlineStr">
        <is>
          <t>2022-12-23</t>
        </is>
      </c>
      <c r="H165" t="inlineStr">
        <is>
          <t>2023-01-01</t>
        </is>
      </c>
      <c r="I165" t="inlineStr">
        <is>
          <t>2025-12-31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20251223800127</t>
        </is>
      </c>
      <c r="B166" t="inlineStr">
        <is>
          <t>LNGC</t>
        </is>
      </c>
      <c r="C166" t="n">
        <v>2</v>
      </c>
      <c r="D166" t="n">
        <v>743000</v>
      </c>
      <c r="E166" t="n">
        <v>512.7</v>
      </c>
      <c r="F166" t="n">
        <v>1449.19</v>
      </c>
      <c r="G166" t="inlineStr">
        <is>
          <t>2025-12-22</t>
        </is>
      </c>
      <c r="H166" t="inlineStr">
        <is>
          <t>2025-12-22</t>
        </is>
      </c>
      <c r="I166" t="inlineStr">
        <is>
          <t>2029-03-31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20251226800865</t>
        </is>
      </c>
      <c r="B167" t="inlineStr">
        <is>
          <t>OTHER</t>
        </is>
      </c>
      <c r="D167" t="n">
        <v>554183.3</v>
      </c>
      <c r="E167" t="n">
        <v>404.136</v>
      </c>
      <c r="F167" t="n">
        <v>1371.28</v>
      </c>
      <c r="G167" t="inlineStr">
        <is>
          <t>2024-06-14</t>
        </is>
      </c>
      <c r="H167" t="inlineStr">
        <is>
          <t>2024-06-17</t>
        </is>
      </c>
      <c r="I167" t="inlineStr">
        <is>
          <t>2025-12-26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20260102800222</t>
        </is>
      </c>
      <c r="B168" t="inlineStr">
        <is>
          <t>LNGC</t>
        </is>
      </c>
      <c r="C168" t="n">
        <v>2</v>
      </c>
      <c r="D168" t="n">
        <v>721100</v>
      </c>
      <c r="E168" t="n">
        <v>497.588</v>
      </c>
      <c r="F168" t="n">
        <v>1449.19</v>
      </c>
      <c r="G168" t="inlineStr">
        <is>
          <t>2025-12-31</t>
        </is>
      </c>
      <c r="H168" t="inlineStr">
        <is>
          <t>2025-12-31</t>
        </is>
      </c>
      <c r="I168" t="inlineStr">
        <is>
          <t>2028-09-15</t>
        </is>
      </c>
      <c r="J168" t="inlineStr">
        <is>
          <t>⑤초호황</t>
        </is>
      </c>
      <c r="K168" t="inlineStr">
        <is>
          <t>③중마진</t>
        </is>
      </c>
      <c r="L168" t="inlineStr">
        <is>
          <t>linear_progress</t>
        </is>
      </c>
      <c r="M168" t="b">
        <v>1</v>
      </c>
      <c r="N168" t="b">
        <v>1</v>
      </c>
      <c r="O168" t="b">
        <v>1</v>
      </c>
    </row>
    <row r="169">
      <c r="A169" t="inlineStr">
        <is>
          <t>20260128800216</t>
        </is>
      </c>
      <c r="B169" t="inlineStr">
        <is>
          <t>VLGC</t>
        </is>
      </c>
      <c r="C169" t="n">
        <v>2</v>
      </c>
      <c r="D169" t="n">
        <v>430900</v>
      </c>
      <c r="E169" t="n">
        <v>293.905</v>
      </c>
      <c r="F169" t="n">
        <v>1466.12</v>
      </c>
      <c r="G169" t="inlineStr">
        <is>
          <t>2026-01-27</t>
        </is>
      </c>
      <c r="H169" t="inlineStr">
        <is>
          <t>2026-01-27</t>
        </is>
      </c>
      <c r="I169" t="inlineStr">
        <is>
          <t>2029-01-15</t>
        </is>
      </c>
      <c r="J169" t="inlineStr">
        <is>
          <t>⑤초호황</t>
        </is>
      </c>
      <c r="K169" t="inlineStr">
        <is>
          <t>④호황</t>
        </is>
      </c>
      <c r="L169" t="inlineStr">
        <is>
          <t>linear_progress</t>
        </is>
      </c>
      <c r="M169" t="b">
        <v>1</v>
      </c>
      <c r="N169" t="b">
        <v>1</v>
      </c>
      <c r="O169" t="b">
        <v>0</v>
      </c>
    </row>
    <row r="170">
      <c r="A170" t="inlineStr">
        <is>
          <t>20260128800218</t>
        </is>
      </c>
      <c r="B170" t="inlineStr">
        <is>
          <t>LNGC</t>
        </is>
      </c>
      <c r="C170" t="n">
        <v>2</v>
      </c>
      <c r="D170" t="n">
        <v>727200</v>
      </c>
      <c r="E170" t="n">
        <v>496.003</v>
      </c>
      <c r="F170" t="n">
        <v>1466.12</v>
      </c>
      <c r="G170" t="inlineStr">
        <is>
          <t>2026-01-27</t>
        </is>
      </c>
      <c r="H170" t="inlineStr">
        <is>
          <t>2026-01-27</t>
        </is>
      </c>
      <c r="I170" t="inlineStr">
        <is>
          <t>2029-01-31</t>
        </is>
      </c>
      <c r="J170" t="inlineStr">
        <is>
          <t>⑤초호황</t>
        </is>
      </c>
      <c r="K170" t="inlineStr">
        <is>
          <t>③중마진</t>
        </is>
      </c>
      <c r="L170" t="inlineStr">
        <is>
          <t>linear_progress</t>
        </is>
      </c>
      <c r="M170" t="b">
        <v>1</v>
      </c>
      <c r="N170" t="b">
        <v>1</v>
      </c>
      <c r="O170" t="b">
        <v>1</v>
      </c>
    </row>
    <row r="171">
      <c r="A171" t="inlineStr">
        <is>
          <t>20260211800232</t>
        </is>
      </c>
      <c r="B171" t="inlineStr">
        <is>
          <t>CONT</t>
        </is>
      </c>
      <c r="C171" t="n">
        <v>2</v>
      </c>
      <c r="D171" t="n">
        <v>468600</v>
      </c>
      <c r="E171" t="n">
        <v>319.619</v>
      </c>
      <c r="F171" t="n">
        <v>1466.12</v>
      </c>
      <c r="G171" t="inlineStr">
        <is>
          <t>2026-02-10</t>
        </is>
      </c>
      <c r="H171" t="inlineStr">
        <is>
          <t>2026-02-10</t>
        </is>
      </c>
      <c r="I171" t="inlineStr">
        <is>
          <t>2028-05-01</t>
        </is>
      </c>
      <c r="J171" t="inlineStr">
        <is>
          <t>⑤초호황</t>
        </is>
      </c>
      <c r="K171" t="inlineStr">
        <is>
          <t>④호황</t>
        </is>
      </c>
      <c r="L171" t="inlineStr">
        <is>
          <t>linear_progress</t>
        </is>
      </c>
      <c r="M171" t="b">
        <v>1</v>
      </c>
      <c r="N171" t="b">
        <v>1</v>
      </c>
      <c r="O171" t="b">
        <v>0</v>
      </c>
    </row>
    <row r="172">
      <c r="A172" t="inlineStr">
        <is>
          <t>20260220800213</t>
        </is>
      </c>
      <c r="B172" t="inlineStr">
        <is>
          <t>LNGC</t>
        </is>
      </c>
      <c r="C172" t="n">
        <v>1</v>
      </c>
      <c r="D172" t="n">
        <v>368000</v>
      </c>
      <c r="E172" t="n">
        <v>251.003</v>
      </c>
      <c r="F172" t="n">
        <v>1466.12</v>
      </c>
      <c r="G172" t="inlineStr">
        <is>
          <t>2026-02-19</t>
        </is>
      </c>
      <c r="H172" t="inlineStr">
        <is>
          <t>2026-02-19</t>
        </is>
      </c>
      <c r="I172" t="inlineStr">
        <is>
          <t>2028-05-31</t>
        </is>
      </c>
      <c r="J172" t="inlineStr">
        <is>
          <t>⑤초호황</t>
        </is>
      </c>
      <c r="K172" t="inlineStr">
        <is>
          <t>③중마진</t>
        </is>
      </c>
      <c r="L172" t="inlineStr">
        <is>
          <t>linear_progress</t>
        </is>
      </c>
      <c r="M172" t="b">
        <v>1</v>
      </c>
      <c r="N172" t="b">
        <v>1</v>
      </c>
      <c r="O172" t="b">
        <v>1</v>
      </c>
    </row>
    <row r="173">
      <c r="A173" t="inlineStr">
        <is>
          <t>20260310800545</t>
        </is>
      </c>
      <c r="B173" t="inlineStr">
        <is>
          <t>VLCC</t>
        </is>
      </c>
      <c r="C173" t="n">
        <v>3</v>
      </c>
      <c r="D173" t="n">
        <v>400100</v>
      </c>
      <c r="E173" t="n">
        <v>272.897</v>
      </c>
      <c r="F173" t="n">
        <v>1466.12</v>
      </c>
      <c r="G173" t="inlineStr">
        <is>
          <t>2026-03-10</t>
        </is>
      </c>
      <c r="H173" t="inlineStr">
        <is>
          <t>2026-03-10</t>
        </is>
      </c>
      <c r="I173" t="inlineStr">
        <is>
          <t>2029-02-28</t>
        </is>
      </c>
      <c r="J173" t="inlineStr">
        <is>
          <t>⑤초호황</t>
        </is>
      </c>
      <c r="K173" t="inlineStr">
        <is>
          <t>③중마진</t>
        </is>
      </c>
      <c r="L173" t="inlineStr">
        <is>
          <t>linear_progress</t>
        </is>
      </c>
      <c r="M173" t="b">
        <v>1</v>
      </c>
      <c r="N173" t="b">
        <v>1</v>
      </c>
      <c r="O173" t="b">
        <v>1</v>
      </c>
    </row>
    <row r="174">
      <c r="A174" t="inlineStr">
        <is>
          <t>20260316801038</t>
        </is>
      </c>
      <c r="B174" t="inlineStr">
        <is>
          <t>VLCC</t>
        </is>
      </c>
      <c r="C174" t="n">
        <v>1</v>
      </c>
      <c r="F174" t="n">
        <v>1315.69</v>
      </c>
      <c r="G174" t="inlineStr"/>
      <c r="H174" t="inlineStr">
        <is>
          <t>2023-06-02</t>
        </is>
      </c>
      <c r="I174" t="inlineStr">
        <is>
          <t>2026-07-03</t>
        </is>
      </c>
      <c r="L174" t="inlineStr">
        <is>
          <t>linear_progress</t>
        </is>
      </c>
      <c r="N174" t="b">
        <v>1</v>
      </c>
      <c r="O174" t="b">
        <v>0</v>
      </c>
    </row>
    <row r="175">
      <c r="A175" t="inlineStr">
        <is>
          <t>20260320800106</t>
        </is>
      </c>
      <c r="B175" t="inlineStr">
        <is>
          <t>LNGC</t>
        </is>
      </c>
      <c r="C175" t="n">
        <v>1</v>
      </c>
      <c r="D175" t="n">
        <v>377900</v>
      </c>
      <c r="E175" t="n">
        <v>257.755</v>
      </c>
      <c r="F175" t="n">
        <v>1466.12</v>
      </c>
      <c r="G175" t="inlineStr">
        <is>
          <t>2026-03-20</t>
        </is>
      </c>
      <c r="H175" t="inlineStr">
        <is>
          <t>2026-03-20</t>
        </is>
      </c>
      <c r="I175" t="inlineStr">
        <is>
          <t>2029-04-30</t>
        </is>
      </c>
      <c r="J175" t="inlineStr">
        <is>
          <t>⑤초호황</t>
        </is>
      </c>
      <c r="K175" t="inlineStr">
        <is>
          <t>③중마진</t>
        </is>
      </c>
      <c r="L175" t="inlineStr">
        <is>
          <t>linear_progress</t>
        </is>
      </c>
      <c r="M175" t="b">
        <v>1</v>
      </c>
      <c r="N175" t="b">
        <v>1</v>
      </c>
      <c r="O175" t="b">
        <v>1</v>
      </c>
    </row>
    <row r="176">
      <c r="A176" t="inlineStr">
        <is>
          <t>20260323800137</t>
        </is>
      </c>
      <c r="B176" t="inlineStr">
        <is>
          <t>LNGC</t>
        </is>
      </c>
      <c r="C176" t="n">
        <v>2</v>
      </c>
      <c r="D176" t="n">
        <v>770100</v>
      </c>
      <c r="E176" t="n">
        <v>525.264</v>
      </c>
      <c r="F176" t="n">
        <v>1466.12</v>
      </c>
      <c r="G176" t="inlineStr">
        <is>
          <t>2026-03-20</t>
        </is>
      </c>
      <c r="H176" t="inlineStr">
        <is>
          <t>2026-03-20</t>
        </is>
      </c>
      <c r="I176" t="inlineStr">
        <is>
          <t>2028-09-30</t>
        </is>
      </c>
      <c r="J176" t="inlineStr">
        <is>
          <t>⑤초호황</t>
        </is>
      </c>
      <c r="K176" t="inlineStr">
        <is>
          <t>③중마진</t>
        </is>
      </c>
      <c r="L176" t="inlineStr">
        <is>
          <t>linear_progress</t>
        </is>
      </c>
      <c r="M176" t="b">
        <v>1</v>
      </c>
      <c r="N176" t="b">
        <v>1</v>
      </c>
      <c r="O176" t="b">
        <v>1</v>
      </c>
    </row>
    <row r="177">
      <c r="A177" t="inlineStr">
        <is>
          <t>20260401800243</t>
        </is>
      </c>
      <c r="B177" t="inlineStr">
        <is>
          <t>VLGC</t>
        </is>
      </c>
      <c r="C177" t="n">
        <v>2</v>
      </c>
      <c r="D177" t="n">
        <v>342000</v>
      </c>
      <c r="E177" t="n">
        <v>233.269</v>
      </c>
      <c r="F177" t="n">
        <v>1466.12</v>
      </c>
      <c r="G177" t="inlineStr">
        <is>
          <t>2026-03-31</t>
        </is>
      </c>
      <c r="H177" t="inlineStr">
        <is>
          <t>2026-03-31</t>
        </is>
      </c>
      <c r="I177" t="inlineStr">
        <is>
          <t>2029-05-31</t>
        </is>
      </c>
      <c r="J177" t="inlineStr">
        <is>
          <t>⑤초호황</t>
        </is>
      </c>
      <c r="K177" t="inlineStr">
        <is>
          <t>③중마진</t>
        </is>
      </c>
      <c r="L177" t="inlineStr">
        <is>
          <t>linear_progress</t>
        </is>
      </c>
      <c r="M177" t="b">
        <v>1</v>
      </c>
      <c r="N177" t="b">
        <v>1</v>
      </c>
      <c r="O177" t="b">
        <v>1</v>
      </c>
    </row>
    <row r="178">
      <c r="A178" t="inlineStr">
        <is>
          <t>20260504800254</t>
        </is>
      </c>
      <c r="B178" t="inlineStr">
        <is>
          <t>LNGC</t>
        </is>
      </c>
      <c r="C178" t="n">
        <v>1</v>
      </c>
      <c r="D178" t="n">
        <v>484800</v>
      </c>
      <c r="E178" t="n">
        <v>322.823</v>
      </c>
      <c r="F178" t="n">
        <v>1501.75</v>
      </c>
      <c r="G178" t="inlineStr">
        <is>
          <t>2026-04-30</t>
        </is>
      </c>
      <c r="H178" t="inlineStr">
        <is>
          <t>2026-04-30</t>
        </is>
      </c>
      <c r="I178" t="inlineStr">
        <is>
          <t>2029-02-15</t>
        </is>
      </c>
      <c r="J178" t="inlineStr">
        <is>
          <t>⑤초호황</t>
        </is>
      </c>
      <c r="K178" t="inlineStr">
        <is>
          <t>④호황</t>
        </is>
      </c>
      <c r="L178" t="inlineStr">
        <is>
          <t>linear_progress</t>
        </is>
      </c>
      <c r="M178" t="b">
        <v>1</v>
      </c>
      <c r="N178" t="b">
        <v>1</v>
      </c>
      <c r="O178" t="b">
        <v>1</v>
      </c>
    </row>
    <row r="179">
      <c r="A179" t="inlineStr">
        <is>
          <t>20260514800296</t>
        </is>
      </c>
      <c r="B179" t="inlineStr">
        <is>
          <t>LNGC</t>
        </is>
      </c>
      <c r="C179" t="n">
        <v>2</v>
      </c>
      <c r="D179" t="n">
        <v>750500</v>
      </c>
      <c r="E179" t="n">
        <v>499.75</v>
      </c>
      <c r="F179" t="n">
        <v>1501.75</v>
      </c>
      <c r="G179" t="inlineStr">
        <is>
          <t>2026-05-13</t>
        </is>
      </c>
      <c r="H179" t="inlineStr">
        <is>
          <t>2026-05-13</t>
        </is>
      </c>
      <c r="I179" t="inlineStr">
        <is>
          <t>2029-06-30</t>
        </is>
      </c>
      <c r="J179" t="inlineStr">
        <is>
          <t>⑤초호황</t>
        </is>
      </c>
      <c r="K179" t="inlineStr">
        <is>
          <t>③중마진</t>
        </is>
      </c>
      <c r="L179" t="inlineStr">
        <is>
          <t>linear_progress</t>
        </is>
      </c>
      <c r="M179" t="b">
        <v>1</v>
      </c>
      <c r="N179" t="b">
        <v>1</v>
      </c>
      <c r="O179" t="b">
        <v>1</v>
      </c>
    </row>
    <row r="180">
      <c r="A180" t="inlineStr">
        <is>
          <t>20260518800216</t>
        </is>
      </c>
      <c r="B180" t="inlineStr">
        <is>
          <t>LNGC</t>
        </is>
      </c>
      <c r="C180" t="n">
        <v>3</v>
      </c>
      <c r="D180" t="n">
        <v>1124200</v>
      </c>
      <c r="E180" t="n">
        <v>748.593</v>
      </c>
      <c r="F180" t="n">
        <v>1501.75</v>
      </c>
      <c r="G180" t="inlineStr">
        <is>
          <t>2026-05-15</t>
        </is>
      </c>
      <c r="H180" t="inlineStr">
        <is>
          <t>2026-05-15</t>
        </is>
      </c>
      <c r="I180" t="inlineStr">
        <is>
          <t>2029-05-31</t>
        </is>
      </c>
      <c r="J180" t="inlineStr">
        <is>
          <t>⑤초호황</t>
        </is>
      </c>
      <c r="K180" t="inlineStr">
        <is>
          <t>③중마진</t>
        </is>
      </c>
      <c r="L180" t="inlineStr">
        <is>
          <t>linear_progress</t>
        </is>
      </c>
      <c r="M180" t="b">
        <v>1</v>
      </c>
      <c r="N180" t="b">
        <v>1</v>
      </c>
      <c r="O180" t="b">
        <v>1</v>
      </c>
    </row>
    <row r="181">
      <c r="A181" t="inlineStr">
        <is>
          <t>20260527800188</t>
        </is>
      </c>
      <c r="B181" t="inlineStr">
        <is>
          <t>LNGC</t>
        </is>
      </c>
      <c r="C181" t="n">
        <v>1</v>
      </c>
      <c r="D181" t="n">
        <v>381400</v>
      </c>
      <c r="E181" t="n">
        <v>253.97</v>
      </c>
      <c r="F181" t="n">
        <v>1501.75</v>
      </c>
      <c r="G181" t="inlineStr">
        <is>
          <t>2026-05-26</t>
        </is>
      </c>
      <c r="H181" t="inlineStr">
        <is>
          <t>2026-05-26</t>
        </is>
      </c>
      <c r="I181" t="inlineStr">
        <is>
          <t>2028-10-31</t>
        </is>
      </c>
      <c r="J181" t="inlineStr">
        <is>
          <t>⑤초호황</t>
        </is>
      </c>
      <c r="K181" t="inlineStr">
        <is>
          <t>③중마진</t>
        </is>
      </c>
      <c r="L181" t="inlineStr">
        <is>
          <t>linear_progress</t>
        </is>
      </c>
      <c r="M181" t="b">
        <v>1</v>
      </c>
      <c r="N181" t="b">
        <v>1</v>
      </c>
      <c r="O181" t="b">
        <v>1</v>
      </c>
    </row>
    <row r="182">
      <c r="A182" t="inlineStr">
        <is>
          <t>20260527800189</t>
        </is>
      </c>
      <c r="B182" t="inlineStr">
        <is>
          <t>VLGC</t>
        </is>
      </c>
      <c r="C182" t="n">
        <v>2</v>
      </c>
      <c r="D182" t="n">
        <v>342000</v>
      </c>
      <c r="E182" t="n">
        <v>227.734</v>
      </c>
      <c r="F182" t="n">
        <v>1501.75</v>
      </c>
      <c r="G182" t="inlineStr">
        <is>
          <t>2026-05-26</t>
        </is>
      </c>
      <c r="H182" t="inlineStr">
        <is>
          <t>2026-05-26</t>
        </is>
      </c>
      <c r="I182" t="inlineStr">
        <is>
          <t>2029-11-30</t>
        </is>
      </c>
      <c r="J182" t="inlineStr">
        <is>
          <t>⑤초호황</t>
        </is>
      </c>
      <c r="K182" t="inlineStr">
        <is>
          <t>③중마진</t>
        </is>
      </c>
      <c r="L182" t="inlineStr">
        <is>
          <t>linear_progress</t>
        </is>
      </c>
      <c r="M182" t="b">
        <v>1</v>
      </c>
      <c r="N182" t="b">
        <v>1</v>
      </c>
      <c r="O182" t="b">
        <v>1</v>
      </c>
    </row>
    <row r="183">
      <c r="A183" t="inlineStr">
        <is>
          <t>20260527800191</t>
        </is>
      </c>
      <c r="B183" t="inlineStr">
        <is>
          <t>VLCC</t>
        </is>
      </c>
      <c r="C183" t="n">
        <v>2</v>
      </c>
      <c r="D183" t="n">
        <v>278400</v>
      </c>
      <c r="E183" t="n">
        <v>185.384</v>
      </c>
      <c r="F183" t="n">
        <v>1501.75</v>
      </c>
      <c r="G183" t="inlineStr">
        <is>
          <t>2026-05-26</t>
        </is>
      </c>
      <c r="H183" t="inlineStr">
        <is>
          <t>2026-05-26</t>
        </is>
      </c>
      <c r="I183" t="inlineStr">
        <is>
          <t>2028-03-15</t>
        </is>
      </c>
      <c r="J183" t="inlineStr">
        <is>
          <t>⑤초호황</t>
        </is>
      </c>
      <c r="K183" t="inlineStr">
        <is>
          <t>③중마진</t>
        </is>
      </c>
      <c r="L183" t="inlineStr">
        <is>
          <t>linear_progress</t>
        </is>
      </c>
      <c r="M183" t="b">
        <v>1</v>
      </c>
      <c r="N183" t="b">
        <v>1</v>
      </c>
      <c r="O183" t="b">
        <v>1</v>
      </c>
    </row>
    <row r="184">
      <c r="A184" t="inlineStr">
        <is>
          <t>20260604800001</t>
        </is>
      </c>
      <c r="B184" t="inlineStr">
        <is>
          <t>OFFSH</t>
        </is>
      </c>
      <c r="C184" t="n">
        <v>1</v>
      </c>
      <c r="D184" t="n">
        <v>4330100</v>
      </c>
      <c r="E184" t="n">
        <v>2883.369</v>
      </c>
      <c r="F184" t="n">
        <v>1501.75</v>
      </c>
      <c r="G184" t="inlineStr">
        <is>
          <t>2026-06-01</t>
        </is>
      </c>
      <c r="H184" t="inlineStr">
        <is>
          <t>2026-06-01</t>
        </is>
      </c>
      <c r="I184" t="inlineStr">
        <is>
          <t>2030-07-19</t>
        </is>
      </c>
      <c r="J184" t="inlineStr">
        <is>
          <t>⑤초호황</t>
        </is>
      </c>
      <c r="K184" t="inlineStr">
        <is>
          <t>④호황</t>
        </is>
      </c>
      <c r="L184" t="inlineStr">
        <is>
          <t>linear_progress</t>
        </is>
      </c>
      <c r="M184" t="b">
        <v>1</v>
      </c>
      <c r="N184" t="b">
        <v>1</v>
      </c>
      <c r="O184" t="b">
        <v>0</v>
      </c>
    </row>
    <row r="185">
      <c r="A185" t="inlineStr">
        <is>
          <t>20260608800137</t>
        </is>
      </c>
      <c r="B185" t="inlineStr">
        <is>
          <t>LNGC</t>
        </is>
      </c>
      <c r="C185" t="n">
        <v>1</v>
      </c>
      <c r="D185" t="n">
        <v>385500</v>
      </c>
      <c r="E185" t="n">
        <v>256.701</v>
      </c>
      <c r="F185" t="n">
        <v>1501.75</v>
      </c>
      <c r="G185" t="inlineStr">
        <is>
          <t>2026-06-05</t>
        </is>
      </c>
      <c r="H185" t="inlineStr">
        <is>
          <t>2026-06-05</t>
        </is>
      </c>
      <c r="I185" t="inlineStr">
        <is>
          <t>2029-01-08</t>
        </is>
      </c>
      <c r="J185" t="inlineStr">
        <is>
          <t>⑤초호황</t>
        </is>
      </c>
      <c r="K185" t="inlineStr">
        <is>
          <t>③중마진</t>
        </is>
      </c>
      <c r="L185" t="inlineStr">
        <is>
          <t>linear_progress</t>
        </is>
      </c>
      <c r="M185" t="b">
        <v>1</v>
      </c>
      <c r="N185" t="b">
        <v>1</v>
      </c>
      <c r="O185" t="b">
        <v>1</v>
      </c>
    </row>
    <row r="186">
      <c r="A186" t="inlineStr">
        <is>
          <t>20260608800714</t>
        </is>
      </c>
      <c r="B186" t="inlineStr">
        <is>
          <t>OFFSH</t>
        </is>
      </c>
      <c r="C186" t="n">
        <v>1</v>
      </c>
      <c r="D186" t="n">
        <v>1904600</v>
      </c>
      <c r="E186" t="n">
        <v>1268.254</v>
      </c>
      <c r="F186" t="n">
        <v>1501.75</v>
      </c>
      <c r="G186" t="inlineStr">
        <is>
          <t>2026-06-06</t>
        </is>
      </c>
      <c r="H186" t="inlineStr">
        <is>
          <t>2023-06-05</t>
        </is>
      </c>
      <c r="I186" t="inlineStr">
        <is>
          <t>2029-09-30</t>
        </is>
      </c>
      <c r="J186" t="inlineStr">
        <is>
          <t>⑤초호황</t>
        </is>
      </c>
      <c r="K186" t="inlineStr">
        <is>
          <t>③중마진</t>
        </is>
      </c>
      <c r="L186" t="inlineStr">
        <is>
          <t>linear_progress</t>
        </is>
      </c>
      <c r="M186" t="b">
        <v>1</v>
      </c>
      <c r="N186" t="b">
        <v>1</v>
      </c>
      <c r="O186" t="b">
        <v>0</v>
      </c>
    </row>
    <row r="187">
      <c r="A187" t="inlineStr">
        <is>
          <t>20260608800716</t>
        </is>
      </c>
      <c r="B187" t="inlineStr">
        <is>
          <t>OFFSH</t>
        </is>
      </c>
      <c r="D187" t="n">
        <v>1553900</v>
      </c>
      <c r="E187" t="n">
        <v>1120.372</v>
      </c>
      <c r="F187" t="n">
        <v>1386.95</v>
      </c>
      <c r="G187" t="inlineStr">
        <is>
          <t>2025-07-04</t>
        </is>
      </c>
      <c r="H187" t="inlineStr">
        <is>
          <t>2025-07-04</t>
        </is>
      </c>
      <c r="I187" t="inlineStr">
        <is>
          <t>2026-06-08</t>
        </is>
      </c>
      <c r="L187" t="inlineStr">
        <is>
          <t>linear_progress</t>
        </is>
      </c>
      <c r="M187" t="b">
        <v>1</v>
      </c>
      <c r="N187" t="b">
        <v>1</v>
      </c>
      <c r="O187" t="b">
        <v>0</v>
      </c>
    </row>
    <row r="188">
      <c r="A188" t="inlineStr">
        <is>
          <t>20260702800158</t>
        </is>
      </c>
      <c r="B188" t="inlineStr">
        <is>
          <t>VLCC</t>
        </is>
      </c>
      <c r="C188" t="n">
        <v>2</v>
      </c>
      <c r="D188" t="n">
        <v>273400</v>
      </c>
      <c r="E188" t="n">
        <v>192.705</v>
      </c>
      <c r="F188" t="n">
        <v>1418.75</v>
      </c>
      <c r="G188" t="inlineStr">
        <is>
          <t>2026-07-01</t>
        </is>
      </c>
      <c r="H188" t="inlineStr">
        <is>
          <t>2026-07-01</t>
        </is>
      </c>
      <c r="I188" t="inlineStr">
        <is>
          <t>2029-06-30</t>
        </is>
      </c>
      <c r="J188" t="inlineStr">
        <is>
          <t>⑤초호황</t>
        </is>
      </c>
      <c r="K188" t="inlineStr">
        <is>
          <t>③중마진</t>
        </is>
      </c>
      <c r="L188" t="inlineStr">
        <is>
          <t>linear_progress</t>
        </is>
      </c>
      <c r="M188" t="b">
        <v>1</v>
      </c>
      <c r="N188" t="b">
        <v>0</v>
      </c>
      <c r="O188" t="b">
        <v>0</v>
      </c>
    </row>
    <row r="189">
      <c r="A189" t="inlineStr">
        <is>
          <t>20260708800164</t>
        </is>
      </c>
      <c r="B189" t="inlineStr">
        <is>
          <t>VLCC</t>
        </is>
      </c>
      <c r="C189" t="n">
        <v>2</v>
      </c>
      <c r="D189" t="n">
        <v>284900</v>
      </c>
      <c r="E189" t="n">
        <v>200.811</v>
      </c>
      <c r="F189" t="n">
        <v>1418.75</v>
      </c>
      <c r="G189" t="inlineStr">
        <is>
          <t>2026-07-07</t>
        </is>
      </c>
      <c r="H189" t="inlineStr">
        <is>
          <t>2026-07-07</t>
        </is>
      </c>
      <c r="I189" t="inlineStr">
        <is>
          <t>2029-05-15</t>
        </is>
      </c>
      <c r="J189" t="inlineStr">
        <is>
          <t>⑤초호황</t>
        </is>
      </c>
      <c r="K189" t="inlineStr">
        <is>
          <t>③중마진</t>
        </is>
      </c>
      <c r="L189" t="inlineStr">
        <is>
          <t>linear_progress</t>
        </is>
      </c>
      <c r="M189" t="b">
        <v>1</v>
      </c>
      <c r="N189" t="b">
        <v>0</v>
      </c>
      <c r="O189" t="b">
        <v>1</v>
      </c>
    </row>
    <row r="190">
      <c r="A190" t="inlineStr">
        <is>
          <t>20260728800579</t>
        </is>
      </c>
      <c r="B190" t="inlineStr">
        <is>
          <t>OTHER</t>
        </is>
      </c>
      <c r="D190" t="n">
        <v>607786.3</v>
      </c>
      <c r="E190" t="n">
        <v>438.218</v>
      </c>
      <c r="F190" t="n">
        <v>1386.95</v>
      </c>
      <c r="G190" t="inlineStr">
        <is>
          <t>2025-07-18</t>
        </is>
      </c>
      <c r="H190" t="inlineStr">
        <is>
          <t>2025-07-18</t>
        </is>
      </c>
      <c r="I190" t="inlineStr">
        <is>
          <t>2027-04-30</t>
        </is>
      </c>
      <c r="L190" t="inlineStr">
        <is>
          <t>linear_progress</t>
        </is>
      </c>
      <c r="M190" t="b">
        <v>1</v>
      </c>
      <c r="N190" t="b">
        <v>1</v>
      </c>
      <c r="O190" t="b">
        <v>0</v>
      </c>
    </row>
    <row r="191">
      <c r="A191" t="inlineStr">
        <is>
          <t>20260803800398</t>
        </is>
      </c>
      <c r="B191" t="inlineStr">
        <is>
          <t>VLCC</t>
        </is>
      </c>
      <c r="C191" t="n">
        <v>2</v>
      </c>
      <c r="D191" t="n">
        <v>268000</v>
      </c>
      <c r="E191" t="n">
        <v>188.899</v>
      </c>
      <c r="F191" t="n">
        <v>1418.75</v>
      </c>
      <c r="G191" t="inlineStr">
        <is>
          <t>2026-07-31</t>
        </is>
      </c>
      <c r="H191" t="inlineStr">
        <is>
          <t>2026-07-31</t>
        </is>
      </c>
      <c r="I191" t="inlineStr">
        <is>
          <t>2029-08-31</t>
        </is>
      </c>
      <c r="J191" t="inlineStr">
        <is>
          <t>⑤초호황</t>
        </is>
      </c>
      <c r="K191" t="inlineStr">
        <is>
          <t>③중마진</t>
        </is>
      </c>
      <c r="L191" t="inlineStr">
        <is>
          <t>linear_progress</t>
        </is>
      </c>
      <c r="M191" t="b">
        <v>1</v>
      </c>
      <c r="N191" t="b">
        <v>0</v>
      </c>
      <c r="O191" t="b">
        <v>0</v>
      </c>
    </row>
    <row r="192">
      <c r="A192" t="inlineStr">
        <is>
          <t>20260831800071</t>
        </is>
      </c>
      <c r="B192" t="inlineStr">
        <is>
          <t>CONT</t>
        </is>
      </c>
      <c r="C192" t="n">
        <v>2</v>
      </c>
      <c r="D192" t="n">
        <v>444500</v>
      </c>
      <c r="E192" t="n">
        <v>313.304</v>
      </c>
      <c r="F192" t="n">
        <v>1418.75</v>
      </c>
      <c r="G192" t="inlineStr">
        <is>
          <t>2026-08-28</t>
        </is>
      </c>
      <c r="H192" t="inlineStr">
        <is>
          <t>2026-08-28</t>
        </is>
      </c>
      <c r="I192" t="inlineStr">
        <is>
          <t>2028-12-27</t>
        </is>
      </c>
      <c r="J192" t="inlineStr">
        <is>
          <t>⑤초호황</t>
        </is>
      </c>
      <c r="K192" t="inlineStr">
        <is>
          <t>④호황</t>
        </is>
      </c>
      <c r="L192" t="inlineStr">
        <is>
          <t>linear_progress</t>
        </is>
      </c>
      <c r="M192" t="b">
        <v>1</v>
      </c>
      <c r="N192" t="b">
        <v>0</v>
      </c>
      <c r="O192" t="b">
        <v>0</v>
      </c>
    </row>
    <row r="193">
      <c r="A193" t="inlineStr">
        <is>
          <t>20260831800178</t>
        </is>
      </c>
      <c r="B193" t="inlineStr">
        <is>
          <t>OTHER</t>
        </is>
      </c>
      <c r="D193" t="n">
        <v>639855.7</v>
      </c>
      <c r="E193" t="n">
        <v>484.002</v>
      </c>
      <c r="F193" t="n">
        <v>1322.01</v>
      </c>
      <c r="G193" t="inlineStr">
        <is>
          <t>2023-12-13</t>
        </is>
      </c>
      <c r="H193" t="inlineStr">
        <is>
          <t>2023-07-15</t>
        </is>
      </c>
      <c r="I193" t="inlineStr">
        <is>
          <t>2027-12-31</t>
        </is>
      </c>
      <c r="L193" t="inlineStr">
        <is>
          <t>linear_progress</t>
        </is>
      </c>
      <c r="M193" t="b">
        <v>1</v>
      </c>
      <c r="N193" t="b">
        <v>1</v>
      </c>
      <c r="O193" t="b">
        <v>0</v>
      </c>
    </row>
    <row r="194">
      <c r="A194" t="inlineStr">
        <is>
          <t>20260911800485</t>
        </is>
      </c>
      <c r="B194" t="inlineStr">
        <is>
          <t>VLCC</t>
        </is>
      </c>
      <c r="C194" t="n">
        <v>3</v>
      </c>
      <c r="D194" t="n">
        <v>341100</v>
      </c>
      <c r="E194" t="n">
        <v>235.373</v>
      </c>
      <c r="F194" t="n">
        <v>1449.19</v>
      </c>
      <c r="G194" t="inlineStr">
        <is>
          <t>2025-10-23</t>
        </is>
      </c>
      <c r="H194" t="inlineStr">
        <is>
          <t>2025-10-23</t>
        </is>
      </c>
      <c r="I194" t="inlineStr">
        <is>
          <t>2029-03-31</t>
        </is>
      </c>
      <c r="J194" t="inlineStr">
        <is>
          <t>⑤초호황</t>
        </is>
      </c>
      <c r="K194" t="inlineStr">
        <is>
          <t>②BEP</t>
        </is>
      </c>
      <c r="L194" t="inlineStr">
        <is>
          <t>linear_progress</t>
        </is>
      </c>
      <c r="M194" t="b">
        <v>1</v>
      </c>
      <c r="N194" t="b">
        <v>1</v>
      </c>
      <c r="O194" t="b">
        <v>0</v>
      </c>
    </row>
    <row r="195">
      <c r="A195" t="inlineStr">
        <is>
          <t>20260914800075</t>
        </is>
      </c>
      <c r="B195" t="inlineStr">
        <is>
          <t>LNGC</t>
        </is>
      </c>
      <c r="C195" t="n">
        <v>4</v>
      </c>
      <c r="D195" t="n">
        <v>1407800</v>
      </c>
      <c r="E195" t="n">
        <v>992.282</v>
      </c>
      <c r="F195" t="n">
        <v>1418.75</v>
      </c>
      <c r="G195" t="inlineStr">
        <is>
          <t>2026-09-11</t>
        </is>
      </c>
      <c r="H195" t="inlineStr">
        <is>
          <t>2026-09-11</t>
        </is>
      </c>
      <c r="I195" t="inlineStr">
        <is>
          <t>2029-09-28</t>
        </is>
      </c>
      <c r="J195" t="inlineStr">
        <is>
          <t>⑤초호황</t>
        </is>
      </c>
      <c r="K195" t="inlineStr">
        <is>
          <t>③중마진</t>
        </is>
      </c>
      <c r="L195" t="inlineStr">
        <is>
          <t>linear_progress</t>
        </is>
      </c>
      <c r="M195" t="b">
        <v>1</v>
      </c>
      <c r="N195" t="b">
        <v>0</v>
      </c>
      <c r="O195" t="b">
        <v>1</v>
      </c>
    </row>
    <row r="196">
      <c r="A196" t="inlineStr">
        <is>
          <t>20260930800054</t>
        </is>
      </c>
      <c r="B196" t="inlineStr">
        <is>
          <t>VLGC</t>
        </is>
      </c>
      <c r="C196" t="n">
        <v>2</v>
      </c>
      <c r="D196" t="n">
        <v>307400</v>
      </c>
      <c r="E196" t="n">
        <v>216.67</v>
      </c>
      <c r="F196" t="n">
        <v>1418.75</v>
      </c>
      <c r="G196" t="inlineStr">
        <is>
          <t>2026-09-29</t>
        </is>
      </c>
      <c r="H196" t="inlineStr">
        <is>
          <t>2026-09-29</t>
        </is>
      </c>
      <c r="I196" t="inlineStr">
        <is>
          <t>2030-02-28</t>
        </is>
      </c>
      <c r="J196" t="inlineStr">
        <is>
          <t>⑤초호황</t>
        </is>
      </c>
      <c r="K196" t="inlineStr">
        <is>
          <t>③중마진</t>
        </is>
      </c>
      <c r="L196" t="inlineStr">
        <is>
          <t>linear_progress</t>
        </is>
      </c>
      <c r="M196" t="b">
        <v>1</v>
      </c>
      <c r="N196" t="b">
        <v>0</v>
      </c>
      <c r="O196" t="b">
        <v>1</v>
      </c>
    </row>
    <row r="197">
      <c r="A197" t="inlineStr">
        <is>
          <t>20261002800245</t>
        </is>
      </c>
      <c r="B197" t="inlineStr">
        <is>
          <t>LNGC</t>
        </is>
      </c>
      <c r="C197" t="n">
        <v>2</v>
      </c>
      <c r="D197" t="n">
        <v>672200</v>
      </c>
      <c r="E197" t="n">
        <v>499.331</v>
      </c>
      <c r="F197" t="n">
        <v>1346.2</v>
      </c>
      <c r="G197" t="inlineStr">
        <is>
          <t>2026-10-02</t>
        </is>
      </c>
      <c r="H197" t="inlineStr">
        <is>
          <t>2026-10-02</t>
        </is>
      </c>
      <c r="I197" t="inlineStr">
        <is>
          <t>2029-05-31</t>
        </is>
      </c>
      <c r="J197" t="inlineStr">
        <is>
          <t>⑤초호황</t>
        </is>
      </c>
      <c r="K197" t="inlineStr">
        <is>
          <t>③중마진</t>
        </is>
      </c>
      <c r="L197" t="inlineStr">
        <is>
          <t>linear_progress</t>
        </is>
      </c>
      <c r="M197" t="b">
        <v>1</v>
      </c>
      <c r="N197" t="b">
        <v>0</v>
      </c>
      <c r="O197" t="b">
        <v>1</v>
      </c>
    </row>
    <row r="198">
      <c r="A198" s="2" t="inlineStr">
        <is>
          <t>⚠ 종료일 = 마지막 호선 인도 예정; 진행률 매출 분기는 계약기간 안에 선형 배분(가정)</t>
        </is>
      </c>
    </row>
    <row r="199">
      <c r="A199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200">
      <c r="A200" s="2" t="inlineStr">
        <is>
          <t>⚠ 공시 통화선도 매도 명목액 25538백만$ 을 잔고 대비 환산하면 현물(2026Q2 기말 1550.89원) 기준 1.13(+0.43) · 수주시점 평균환율(1432.15원, 계약 43건) 기준 1.04(+0.34) — 가정 0.70 과 다르다. 약정환율 미공시라 적용하지 않음(참고치 hedge.hedge_ratio_implied_spot·hedge_ratio_implied_sign_rate; 채택은 사용자 결정)</t>
        </is>
      </c>
    </row>
    <row r="201">
      <c r="A201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202">
      <c r="A202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1%, ③중마진 69%, ④호황 30%;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203">
      <c r="A203" s="2" t="inlineStr">
        <is>
          <t>⚠ 스케줄 불가 3건(금액·기간 없음) — contracts[].schedule 비움</t>
        </is>
      </c>
    </row>
    <row r="204">
      <c r="A204" s="2" t="inlineStr">
        <is>
          <t>⚠ 종료일 '-' 3건은 같은 선종 계약기간 중위로 종료 추정(end_estimated)</t>
        </is>
      </c>
    </row>
    <row r="205">
      <c r="A205" s="2" t="inlineStr">
        <is>
          <t>⚠ 정기보고서 부문 매출 3개월분 &gt; 연결 매출(fin) 1분기(2025Q2; 최대 +17.4%)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338.54</v>
      </c>
      <c r="G18" s="20">
        <f>SUM(E18:F18)</f>
        <v/>
      </c>
      <c r="H18" s="34" t="n">
        <v>1269.27</v>
      </c>
      <c r="I18" s="34" t="n">
        <v>2664.86</v>
      </c>
      <c r="J18" s="34" t="n">
        <v>4397.96</v>
      </c>
      <c r="K18" s="34" t="n">
        <v>6341.88</v>
      </c>
      <c r="L18" s="20">
        <f>SUM(H18:K18)</f>
        <v/>
      </c>
      <c r="M18" s="34" t="n">
        <v>8394.040000000001</v>
      </c>
      <c r="N18" s="34" t="n">
        <v>10449.47</v>
      </c>
      <c r="O18" s="34" t="n">
        <v>12394.12</v>
      </c>
      <c r="P18" s="34" t="n">
        <v>14113.92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1106.18</v>
      </c>
      <c r="G24" s="20">
        <f>SUM(E24:F24)</f>
        <v/>
      </c>
      <c r="H24" s="34" t="n">
        <v>4057.61</v>
      </c>
      <c r="I24" s="34" t="n">
        <v>8303.59</v>
      </c>
      <c r="J24" s="34" t="n">
        <v>13293.43</v>
      </c>
      <c r="K24" s="34" t="n">
        <v>18488.76</v>
      </c>
      <c r="L24" s="20">
        <f>SUM(H24:K24)</f>
        <v/>
      </c>
      <c r="M24" s="34" t="n">
        <v>23813.75</v>
      </c>
      <c r="N24" s="34" t="n">
        <v>29147.25</v>
      </c>
      <c r="O24" s="34" t="n">
        <v>34193.29</v>
      </c>
      <c r="P24" s="34" t="n">
        <v>38655.89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1234.7</v>
      </c>
    </row>
    <row r="30">
      <c r="C30" s="2" t="inlineStr">
        <is>
          <t>bps_latest</t>
        </is>
      </c>
      <c r="D30" t="n">
        <v>5586.9</v>
      </c>
    </row>
    <row r="31">
      <c r="C31" s="2" t="inlineStr">
        <is>
          <t>per_now</t>
        </is>
      </c>
      <c r="D31" t="n">
        <v>15.3</v>
      </c>
    </row>
    <row r="32">
      <c r="C32" s="2" t="inlineStr">
        <is>
          <t>pbr_now</t>
        </is>
      </c>
      <c r="D32" t="n">
        <v>3.38</v>
      </c>
    </row>
    <row r="33">
      <c r="C33" s="2" t="inlineStr">
        <is>
          <t>roe_fwd</t>
        </is>
      </c>
      <c r="D33" t="n">
        <v>0.221</v>
      </c>
    </row>
    <row r="34">
      <c r="C34" s="2" t="inlineStr">
        <is>
          <t>fair_pbr</t>
        </is>
      </c>
      <c r="D34" t="n">
        <v>2.46</v>
      </c>
    </row>
    <row r="35">
      <c r="C35" s="2" t="inlineStr">
        <is>
          <t>fair_value_pbr</t>
        </is>
      </c>
      <c r="D35" t="n">
        <v>13700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