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24420억(sls.by_quarter.marine_hedged_krw_m(헤지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23843억(sls.by_quarter.marine_hedged_krw_m(헤지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3087억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23671억(sls.by_quarter.marine_hedged_krw_m(헤지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3121억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23000억(sls.by_quarter.marine_hedged_krw_m(헤지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23000억(sls.by_quarter.marine_hedged_krw_m(헤지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19932억(sls.by_quarter.marine_hedged_krw_m(헤지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3121억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18498억(sls.by_quarter.marine_hedged_krw_m(헤지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3121억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17873억(sls.by_quarter.marine_hedged_krw_m(헤지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15362억(sls.by_quarter.marine_hedged_krw_m(헤지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3135억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41519억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44392억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47429억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50730억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54093억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57654억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61480억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38778억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41519억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44392억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47429억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50730억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54093억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57654억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61480억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24420억(sls.by_quarter.marine_hedged_krw_m(헤지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
[sls_link]</t>
      </text>
    </comment>
    <comment ref="AF38" authorId="0" shapeId="0">
      <text>
        <t>추정: SLS 해양 원화 23843억(sls.by_quarter.marine_hedged_krw_m(헤지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3087억 유지(패널 신규수주 체결 분기별 상계, net_panel)
[sls_link]</t>
      </text>
    </comment>
    <comment ref="AG38" authorId="0" shapeId="0">
      <text>
        <t>추정: SLS 해양 원화 23671억(sls.by_quarter.marine_hedged_krw_m(헤지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3121억 유지(패널 신규수주 체결 분기별 상계, net_panel)
[sls_link]</t>
      </text>
    </comment>
    <comment ref="AH38" authorId="0" shapeId="0">
      <text>
        <t>추정: SLS 해양 원화 23000억(sls.by_quarter.marine_hedged_krw_m(헤지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
[sls_link]</t>
      </text>
    </comment>
    <comment ref="AI38" authorId="0" shapeId="0">
      <text>
        <t>추정: SLS 해양 원화 23000억(sls.by_quarter.marine_hedged_krw_m(헤지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
[sls_link]</t>
      </text>
    </comment>
    <comment ref="AK38" authorId="0" shapeId="0">
      <text>
        <t>추정: SLS 해양 원화 19932억(sls.by_quarter.marine_hedged_krw_m(헤지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3121억 유지(패널 신규수주 체결 분기별 상계, net_panel)
[sls_link]</t>
      </text>
    </comment>
    <comment ref="AL38" authorId="0" shapeId="0">
      <text>
        <t>추정: SLS 해양 원화 18498억(sls.by_quarter.marine_hedged_krw_m(헤지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3121억 유지(패널 신규수주 체결 분기별 상계, net_panel)
[sls_link]</t>
      </text>
    </comment>
    <comment ref="AM38" authorId="0" shapeId="0">
      <text>
        <t>추정: SLS 해양 원화 17873억(sls.by_quarter.marine_hedged_krw_m(헤지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
[sls_link]</t>
      </text>
    </comment>
    <comment ref="AN38" authorId="0" shapeId="0">
      <text>
        <t>추정: SLS 해양 원화 15362억(sls.by_quarter.marine_hedged_krw_m(헤지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3135억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4,202억 vs 54억 · 2027 12,518억 vs 16,454억 · 2028 12,532억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18340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17210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19147.1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-0.002317991</v>
      </c>
      <c r="AD30" s="29" t="n">
        <v>0.004377922</v>
      </c>
      <c r="AE30" s="30" t="n"/>
      <c r="AF30" s="29" t="n">
        <v>0.004394855</v>
      </c>
      <c r="AG30" s="29" t="n">
        <v>-0.002714699</v>
      </c>
      <c r="AH30" s="29" t="n">
        <v>0.008965828</v>
      </c>
      <c r="AI30" s="29" t="n">
        <v>0.004649385</v>
      </c>
      <c r="AJ30" s="30" t="n"/>
      <c r="AK30" s="29" t="n">
        <v>-0.001609489</v>
      </c>
      <c r="AL30" s="29" t="n">
        <v>-0.006824645</v>
      </c>
      <c r="AM30" s="29" t="n">
        <v>0.013848928</v>
      </c>
      <c r="AN30" s="29" t="n">
        <v>-0.006572539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-0.002317991</v>
      </c>
      <c r="AD31" s="29" t="n">
        <v>0.004377922</v>
      </c>
      <c r="AE31" s="30" t="n"/>
      <c r="AF31" s="29" t="n">
        <v>0.004394854</v>
      </c>
      <c r="AG31" s="29" t="n">
        <v>-0.002714698</v>
      </c>
      <c r="AH31" s="29" t="n">
        <v>0.008965828</v>
      </c>
      <c r="AI31" s="29" t="n">
        <v>0.004649385</v>
      </c>
      <c r="AJ31" s="30" t="n"/>
      <c r="AK31" s="29" t="n">
        <v>-0.001609489</v>
      </c>
      <c r="AL31" s="29" t="n">
        <v>-0.006824645</v>
      </c>
      <c r="AM31" s="29" t="n">
        <v>0.013848928</v>
      </c>
      <c r="AN31" s="29" t="n">
        <v>-0.006572539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0.11767155</v>
      </c>
      <c r="AE33" s="25" t="n"/>
      <c r="AF33" s="31" t="n">
        <v>0.105719681</v>
      </c>
      <c r="AG33" s="31" t="n">
        <v>0.100210371</v>
      </c>
      <c r="AH33" s="31" t="n">
        <v>0.096266372</v>
      </c>
      <c r="AI33" s="31" t="n">
        <v>0.095446659</v>
      </c>
      <c r="AJ33" s="25" t="n"/>
      <c r="AK33" s="31" t="n">
        <v>0.088759266</v>
      </c>
      <c r="AL33" s="31" t="n">
        <v>0.086348412</v>
      </c>
      <c r="AM33" s="31" t="n">
        <v>0.085388135</v>
      </c>
      <c r="AN33" s="31" t="n">
        <v>0.080805296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0.07573814</v>
      </c>
      <c r="AE34" s="25" t="n"/>
      <c r="AF34" s="31" t="n">
        <v>0.07069766199999999</v>
      </c>
      <c r="AG34" s="31" t="n">
        <v>0.069205665</v>
      </c>
      <c r="AH34" s="31" t="n">
        <v>0.06840998500000001</v>
      </c>
      <c r="AI34" s="31" t="n">
        <v>0.06959569</v>
      </c>
      <c r="AJ34" s="25" t="n"/>
      <c r="AK34" s="31" t="n">
        <v>0.066283725</v>
      </c>
      <c r="AL34" s="31" t="n">
        <v>0.065842365</v>
      </c>
      <c r="AM34" s="31" t="n">
        <v>0.06636299399999999</v>
      </c>
      <c r="AN34" s="31" t="n">
        <v>0.063921856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13155.200989</v>
      </c>
      <c r="AE40" s="30" t="n"/>
      <c r="AF40" s="29" t="n">
        <v>13086.375995</v>
      </c>
      <c r="AG40" s="29" t="n">
        <v>13120.532029</v>
      </c>
      <c r="AH40" s="29" t="n">
        <v>13154.889404</v>
      </c>
      <c r="AI40" s="29" t="n">
        <v>13154.893177</v>
      </c>
      <c r="AJ40" s="30" t="n"/>
      <c r="AK40" s="29" t="n">
        <v>13120.714482</v>
      </c>
      <c r="AL40" s="29" t="n">
        <v>13120.604632</v>
      </c>
      <c r="AM40" s="29" t="n">
        <v>13154.967999</v>
      </c>
      <c r="AN40" s="29" t="n">
        <v>13134.442038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0.099459194</v>
      </c>
      <c r="AE42" s="25">
        <f>IFERROR(subQ!AE40/subQ!AE38,"")</f>
        <v/>
      </c>
      <c r="AF42" s="31" t="n">
        <v>0.099459086</v>
      </c>
      <c r="AG42" s="31" t="n">
        <v>0.099690002</v>
      </c>
      <c r="AH42" s="31" t="n">
        <v>0.099805042</v>
      </c>
      <c r="AI42" s="31" t="n">
        <v>0.099805112</v>
      </c>
      <c r="AJ42" s="25">
        <f>IFERROR(subQ!AJ40/subQ!AJ38,"")</f>
        <v/>
      </c>
      <c r="AK42" s="31" t="n">
        <v>0.099980523</v>
      </c>
      <c r="AL42" s="31" t="n">
        <v>0.099980583</v>
      </c>
      <c r="AM42" s="31" t="n">
        <v>0.099980746</v>
      </c>
      <c r="AN42" s="31" t="n">
        <v>0.09998056900000001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18340</v>
      </c>
      <c r="E47" s="2" t="inlineStr">
        <is>
          <t>원 — 네이버 정규장 종가(aik 확정종가 대조 · aik 18,860원)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20261013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0.219999423742024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0.04463846693893195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0.01229650830929219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0.05576622541852579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1817.417</v>
      </c>
      <c r="Y5" s="26" t="n">
        <v>1778.411</v>
      </c>
      <c r="Z5" s="26" t="n">
        <v>1724.819</v>
      </c>
      <c r="AA5" s="26" t="n">
        <v>1656.203</v>
      </c>
      <c r="AB5" s="26" t="n">
        <v>1656.203</v>
      </c>
      <c r="AC5" s="26" t="n">
        <v>1406.946</v>
      </c>
      <c r="AD5" s="26" t="n">
        <v>1305.559</v>
      </c>
      <c r="AE5" s="26" t="n">
        <v>1260.803</v>
      </c>
      <c r="AF5" s="26" t="n">
        <v>1081.735</v>
      </c>
      <c r="AG5" s="26" t="n">
        <v>757.058</v>
      </c>
      <c r="AH5" s="26" t="n">
        <v>589.721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6362.682</v>
      </c>
      <c r="AS5" s="26" t="n">
        <v>6815.636</v>
      </c>
      <c r="AT5" s="26" t="n">
        <v>5055.043</v>
      </c>
      <c r="AU5" s="26" t="n">
        <v>2035.982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1728.281</v>
      </c>
      <c r="Y6" s="26" t="n">
        <v>1691.213</v>
      </c>
      <c r="Z6" s="26" t="n">
        <v>1677.651</v>
      </c>
      <c r="AA6" s="26" t="n">
        <v>1628.902</v>
      </c>
      <c r="AB6" s="26" t="n">
        <v>1628.902</v>
      </c>
      <c r="AC6" s="26" t="n">
        <v>1406.946</v>
      </c>
      <c r="AD6" s="26" t="n">
        <v>1305.559</v>
      </c>
      <c r="AE6" s="26" t="n">
        <v>1260.803</v>
      </c>
      <c r="AF6" s="26" t="n">
        <v>1081.735</v>
      </c>
      <c r="AG6" s="26" t="n">
        <v>757.058</v>
      </c>
      <c r="AH6" s="26" t="n">
        <v>589.721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6009.047</v>
      </c>
      <c r="AS6" s="26" t="n">
        <v>6626.668</v>
      </c>
      <c r="AT6" s="26" t="n">
        <v>5055.043</v>
      </c>
      <c r="AU6" s="26" t="n">
        <v>2035.982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833.086</v>
      </c>
      <c r="Y10" s="26" t="n">
        <v>815.478</v>
      </c>
      <c r="Z10" s="26" t="n">
        <v>792.186</v>
      </c>
      <c r="AA10" s="26" t="n">
        <v>733.706</v>
      </c>
      <c r="AB10" s="26" t="n">
        <v>733.706</v>
      </c>
      <c r="AC10" s="26" t="n">
        <v>691.8099999999999</v>
      </c>
      <c r="AD10" s="26" t="n">
        <v>665.245</v>
      </c>
      <c r="AE10" s="26" t="n">
        <v>625.789</v>
      </c>
      <c r="AF10" s="26" t="n">
        <v>448.19</v>
      </c>
      <c r="AG10" s="26" t="n">
        <v>315.868</v>
      </c>
      <c r="AH10" s="26" t="n">
        <v>199.963</v>
      </c>
      <c r="AI10" s="26" t="n">
        <v>80.166</v>
      </c>
      <c r="AP10" s="26" t="n">
        <v>193.223</v>
      </c>
      <c r="AQ10" s="26" t="n">
        <v>845.6369999999999</v>
      </c>
      <c r="AR10" s="26" t="n">
        <v>2583.992</v>
      </c>
      <c r="AS10" s="26" t="n">
        <v>3075.076</v>
      </c>
      <c r="AT10" s="26" t="n">
        <v>2431.034</v>
      </c>
      <c r="AU10" s="26" t="n">
        <v>595.997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1728.281</v>
      </c>
      <c r="Y13" s="26" t="n">
        <v>1691.213</v>
      </c>
      <c r="Z13" s="26" t="n">
        <v>1677.651</v>
      </c>
      <c r="AA13" s="26" t="n">
        <v>1628.902</v>
      </c>
      <c r="AB13" s="26" t="n">
        <v>1628.902</v>
      </c>
      <c r="AC13" s="26" t="n">
        <v>1406.946</v>
      </c>
      <c r="AD13" s="26" t="n">
        <v>1305.559</v>
      </c>
      <c r="AE13" s="26" t="n">
        <v>1260.803</v>
      </c>
      <c r="AF13" s="26" t="n">
        <v>1081.735</v>
      </c>
      <c r="AG13" s="26" t="n">
        <v>757.058</v>
      </c>
      <c r="AH13" s="26" t="n">
        <v>589.721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5485.108</v>
      </c>
      <c r="AS13" s="26" t="n">
        <v>6626.668</v>
      </c>
      <c r="AT13" s="26" t="n">
        <v>5055.043</v>
      </c>
      <c r="AU13" s="26" t="n">
        <v>2035.982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</v>
      </c>
      <c r="Y16" s="13" t="n">
        <v>1438.97</v>
      </c>
      <c r="Z16" s="13" t="n">
        <v>1441.76</v>
      </c>
      <c r="AA16" s="13" t="n">
        <v>1443.76</v>
      </c>
      <c r="AB16" s="13" t="n">
        <v>1443.76</v>
      </c>
      <c r="AC16" s="13" t="n">
        <v>1452.47</v>
      </c>
      <c r="AD16" s="13" t="n">
        <v>1452.72</v>
      </c>
      <c r="AE16" s="13" t="n">
        <v>1453.75</v>
      </c>
      <c r="AF16" s="13" t="n">
        <v>1457.49</v>
      </c>
      <c r="AG16" s="13" t="n">
        <v>1463.1</v>
      </c>
      <c r="AH16" s="13" t="n">
        <v>1465.64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1343.63</v>
      </c>
      <c r="Y17" s="13" t="n">
        <v>1333.09</v>
      </c>
      <c r="Z17" s="13" t="n">
        <v>1333.09</v>
      </c>
      <c r="AA17" s="13" t="n">
        <v>1333.09</v>
      </c>
      <c r="AB17" s="13" t="n">
        <v>1333.09</v>
      </c>
      <c r="AC17" s="13" t="n">
        <v>1333.09</v>
      </c>
      <c r="AD17" s="13" t="n">
        <v>1333.09</v>
      </c>
      <c r="AE17" s="13" t="n">
        <v>1333.09</v>
      </c>
      <c r="AF17" s="13" t="n">
        <v>1333.09</v>
      </c>
      <c r="AG17" s="13" t="n">
        <v>1333.09</v>
      </c>
      <c r="AH17" s="13" t="n">
        <v>1333.09</v>
      </c>
      <c r="AI17" s="13" t="n">
        <v>1333.09</v>
      </c>
      <c r="AJ17" s="13" t="n">
        <v>1333.09</v>
      </c>
      <c r="AK17" s="13" t="n">
        <v>1333.09</v>
      </c>
      <c r="AL17" s="13" t="n">
        <v>1333.09</v>
      </c>
      <c r="AM17" s="13" t="n">
        <v>1333.09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1410.39</v>
      </c>
      <c r="Y18" s="13" t="n">
        <v>1407.2</v>
      </c>
      <c r="Z18" s="13" t="n">
        <v>1409.16</v>
      </c>
      <c r="AA18" s="13" t="n">
        <v>1410.56</v>
      </c>
      <c r="AB18" s="13" t="n">
        <v>1410.56</v>
      </c>
      <c r="AC18" s="13" t="n">
        <v>1416.65</v>
      </c>
      <c r="AD18" s="13" t="n">
        <v>1416.83</v>
      </c>
      <c r="AE18" s="13" t="n">
        <v>1417.55</v>
      </c>
      <c r="AF18" s="13" t="n">
        <v>1420.17</v>
      </c>
      <c r="AG18" s="13" t="n">
        <v>1424.1</v>
      </c>
      <c r="AH18" s="13" t="n">
        <v>1425.87</v>
      </c>
      <c r="AI18" s="13" t="n">
        <v>1429.76</v>
      </c>
      <c r="AJ18" s="13" t="n">
        <v>1439.7</v>
      </c>
      <c r="AK18" s="13" t="n">
        <v>1447.89</v>
      </c>
      <c r="AL18" s="13" t="n">
        <v>1451.15</v>
      </c>
      <c r="AM18" s="13" t="n">
        <v>1451.15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2563258.4</v>
      </c>
      <c r="Y19" s="18" t="n">
        <v>2502587.9</v>
      </c>
      <c r="Z19" s="18" t="n">
        <v>2430540.6</v>
      </c>
      <c r="AA19" s="18" t="n">
        <v>2336167.6</v>
      </c>
      <c r="AB19" s="18" t="n">
        <v>2336167.6</v>
      </c>
      <c r="AC19" s="18" t="n">
        <v>1993155.1</v>
      </c>
      <c r="AD19" s="18" t="n">
        <v>1849757.1</v>
      </c>
      <c r="AE19" s="18" t="n">
        <v>1787251.3</v>
      </c>
      <c r="AF19" s="18" t="n">
        <v>1536244.9</v>
      </c>
      <c r="AG19" s="18" t="n">
        <v>1078124.6</v>
      </c>
      <c r="AH19" s="18" t="n">
        <v>840868.4</v>
      </c>
      <c r="AI19" s="18" t="n">
        <v>617421.5</v>
      </c>
      <c r="AJ19" s="18" t="n">
        <v>370533.5</v>
      </c>
      <c r="AK19" s="18" t="n">
        <v>263647.7</v>
      </c>
      <c r="AL19" s="18" t="n">
        <v>252160.8</v>
      </c>
      <c r="AM19" s="18" t="n">
        <v>52649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9100566.6</v>
      </c>
      <c r="AS19" s="18" t="n">
        <v>9605463.699999999</v>
      </c>
      <c r="AT19" s="18" t="n">
        <v>7166408.4</v>
      </c>
      <c r="AU19" s="18" t="n">
        <v>2906948</v>
      </c>
      <c r="AV19" s="18" t="n">
        <v>568457.5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2442031.2</v>
      </c>
      <c r="Y20" s="18" t="n">
        <v>2384271.8</v>
      </c>
      <c r="Z20" s="18" t="n">
        <v>2367110.9</v>
      </c>
      <c r="AA20" s="18" t="n">
        <v>2299984.5</v>
      </c>
      <c r="AB20" s="18" t="n">
        <v>2299984.5</v>
      </c>
      <c r="AC20" s="18" t="n">
        <v>1993155.1</v>
      </c>
      <c r="AD20" s="18" t="n">
        <v>1849757.1</v>
      </c>
      <c r="AE20" s="18" t="n">
        <v>1787251.3</v>
      </c>
      <c r="AF20" s="18" t="n">
        <v>1536244.9</v>
      </c>
      <c r="AG20" s="18" t="n">
        <v>1078124.6</v>
      </c>
      <c r="AH20" s="18" t="n">
        <v>840868.4</v>
      </c>
      <c r="AI20" s="18" t="n">
        <v>617421.5</v>
      </c>
      <c r="AJ20" s="18" t="n">
        <v>370533.5</v>
      </c>
      <c r="AK20" s="18" t="n">
        <v>263647.7</v>
      </c>
      <c r="AL20" s="18" t="n">
        <v>252160.8</v>
      </c>
      <c r="AM20" s="18" t="n">
        <v>52649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8610215.699999999</v>
      </c>
      <c r="AS20" s="18" t="n">
        <v>9351351.699999999</v>
      </c>
      <c r="AT20" s="18" t="n">
        <v>7166408.4</v>
      </c>
      <c r="AU20" s="18" t="n">
        <v>2906948</v>
      </c>
      <c r="AV20" s="18" t="n">
        <v>568457.5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2126480.3</v>
      </c>
      <c r="Y21" s="18" t="n">
        <v>2075611</v>
      </c>
      <c r="Z21" s="18" t="n">
        <v>2055020.5</v>
      </c>
      <c r="AA21" s="18" t="n">
        <v>1984464.5</v>
      </c>
      <c r="AB21" s="18" t="n">
        <v>1984464.5</v>
      </c>
      <c r="AC21" s="18" t="n">
        <v>1681064.7</v>
      </c>
      <c r="AD21" s="18" t="n">
        <v>1537666.7</v>
      </c>
      <c r="AE21" s="18" t="n">
        <v>1471731.3</v>
      </c>
      <c r="AF21" s="18" t="n">
        <v>1222771.5</v>
      </c>
      <c r="AG21" s="18" t="n">
        <v>815513.4</v>
      </c>
      <c r="AH21" s="18" t="n">
        <v>608341.9</v>
      </c>
      <c r="AI21" s="18" t="n">
        <v>469049.2</v>
      </c>
      <c r="AJ21" s="18" t="n">
        <v>348300.8</v>
      </c>
      <c r="AK21" s="18" t="n">
        <v>249389.8</v>
      </c>
      <c r="AL21" s="18" t="n">
        <v>252160.8</v>
      </c>
      <c r="AM21" s="18" t="n">
        <v>52649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315551</v>
      </c>
      <c r="Y22" s="18" t="n">
        <v>308660.9</v>
      </c>
      <c r="Z22" s="18" t="n">
        <v>312090.4</v>
      </c>
      <c r="AA22" s="18" t="n">
        <v>315520</v>
      </c>
      <c r="AB22" s="18" t="n">
        <v>315520</v>
      </c>
      <c r="AC22" s="18" t="n">
        <v>312090.4</v>
      </c>
      <c r="AD22" s="18" t="n">
        <v>312090.4</v>
      </c>
      <c r="AE22" s="18" t="n">
        <v>315520</v>
      </c>
      <c r="AF22" s="18" t="n">
        <v>313473.3</v>
      </c>
      <c r="AG22" s="18" t="n">
        <v>262611.2</v>
      </c>
      <c r="AH22" s="18" t="n">
        <v>232526.5</v>
      </c>
      <c r="AI22" s="18" t="n">
        <v>148372.3</v>
      </c>
      <c r="AJ22" s="18" t="n">
        <v>22232.7</v>
      </c>
      <c r="AK22" s="18" t="n">
        <v>14257.9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원/달러(평균)",환율,MATCH(X$1,변수H,0),0),1343.63)</f>
        <v/>
      </c>
      <c r="Y28" s="13">
        <f>IFERROR(VLOOKUP(" 원/달러(평균)",환율,MATCH(Y$1,변수H,0),0),1333.09)</f>
        <v/>
      </c>
      <c r="Z28" s="13">
        <f>IFERROR(VLOOKUP(" 원/달러(평균)",환율,MATCH(Z$1,변수H,0),0),1333.09)</f>
        <v/>
      </c>
      <c r="AA28" s="13">
        <f>IFERROR(VLOOKUP(" 원/달러(평균)",환율,MATCH(AA$1,변수H,0),0),1333.09)</f>
        <v/>
      </c>
      <c r="AB28" s="13">
        <f>IFERROR(VLOOKUP(" 원/달러(평균)",환율,MATCH(AB$1,변수H,0),0),1333.09)</f>
        <v/>
      </c>
      <c r="AC28" s="13">
        <f>IFERROR(VLOOKUP(" 원/달러(평균)",환율,MATCH(AC$1,변수H,0),0),1333.09)</f>
        <v/>
      </c>
      <c r="AD28" s="13">
        <f>IFERROR(VLOOKUP(" 원/달러(평균)",환율,MATCH(AD$1,변수H,0),0),1333.09)</f>
        <v/>
      </c>
      <c r="AE28" s="13">
        <f>IFERROR(VLOOKUP(" 원/달러(평균)",환율,MATCH(AE$1,변수H,0),0),1333.09)</f>
        <v/>
      </c>
      <c r="AF28" s="13">
        <f>IFERROR(VLOOKUP(" 원/달러(평균)",환율,MATCH(AF$1,변수H,0),0),1333.09)</f>
        <v/>
      </c>
      <c r="AG28" s="13">
        <f>IFERROR(VLOOKUP(" 원/달러(평균)",환율,MATCH(AG$1,변수H,0),0),1333.09)</f>
        <v/>
      </c>
      <c r="AH28" s="13">
        <f>IFERROR(VLOOKUP(" 원/달러(평균)",환율,MATCH(AH$1,변수H,0),0),1333.09)</f>
        <v/>
      </c>
      <c r="AI28" s="13">
        <f>IFERROR(VLOOKUP(" 원/달러(평균)",환율,MATCH(AI$1,변수H,0),0),1333.09)</f>
        <v/>
      </c>
      <c r="AJ28" s="13">
        <f>IFERROR(VLOOKUP(" 원/달러(평균)",환율,MATCH(AJ$1,변수H,0),0),1333.09)</f>
        <v/>
      </c>
      <c r="AK28" s="13">
        <f>IFERROR(VLOOKUP(" 원/달러(평균)",환율,MATCH(AK$1,변수H,0),0),1333.09)</f>
        <v/>
      </c>
      <c r="AL28" s="13">
        <f>IFERROR(VLOOKUP(" 원/달러(평균)",환율,MATCH(AL$1,변수H,0),0),1333.09)</f>
        <v/>
      </c>
      <c r="AM28" s="13">
        <f>IFERROR(VLOOKUP(" 원/달러(평균)",환율,MATCH(AM$1,변수H,0),0),1333.09)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46.789</v>
      </c>
      <c r="Y84" s="26" t="n">
        <v>46.275</v>
      </c>
      <c r="Z84" s="26" t="n">
        <v>46.789</v>
      </c>
      <c r="AA84" s="26" t="n">
        <v>47.304</v>
      </c>
      <c r="AB84" s="26" t="n">
        <v>47.304</v>
      </c>
      <c r="AC84" s="26" t="n">
        <v>46.789</v>
      </c>
      <c r="AD84" s="26" t="n">
        <v>46.789</v>
      </c>
      <c r="AE84" s="26" t="n">
        <v>47.304</v>
      </c>
      <c r="AF84" s="26" t="n">
        <v>47.304</v>
      </c>
      <c r="AG84" s="26" t="n">
        <v>46.275</v>
      </c>
      <c r="AH84" s="26" t="n">
        <v>31.365</v>
      </c>
      <c r="AX84" s="35" t="n">
        <v>0</v>
      </c>
      <c r="AY84" s="16" t="n">
        <v>1343.63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500.287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500.287</v>
      </c>
      <c r="F197" t="n">
        <v>1343.63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1279.3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14.34</v>
      </c>
    </row>
    <row r="32">
      <c r="C32" s="2" t="inlineStr">
        <is>
          <t>pbr_now</t>
        </is>
      </c>
      <c r="D32" t="n">
        <v>3.28</v>
      </c>
    </row>
    <row r="33">
      <c r="C33" s="2" t="inlineStr">
        <is>
          <t>roe_fwd</t>
        </is>
      </c>
      <c r="D33" t="n">
        <v>0.229</v>
      </c>
    </row>
    <row r="34">
      <c r="C34" s="2" t="inlineStr">
        <is>
          <t>fair_pbr</t>
        </is>
      </c>
      <c r="D34" t="n">
        <v>2.54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