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subQ!$A$5:$AO$48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3" fontId="0" fillId="5" borderId="1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4.46%(최근 4분기 중위)</t>
      </text>
    </comment>
    <comment ref="AD22" authorId="0" shapeId="0">
      <text>
        <t>모델값 역산(implied): v / 매출액
매출액 × 판관비율 4.46%(최근 4분기 중위)</t>
      </text>
    </comment>
    <comment ref="AF22" authorId="0" shapeId="0">
      <text>
        <t>모델값 역산(implied): v / 매출액
매출액 × 판관비율 4.46%(최근 4분기 중위)</t>
      </text>
    </comment>
    <comment ref="AG22" authorId="0" shapeId="0">
      <text>
        <t>모델값 역산(implied): v / 매출액
매출액 × 판관비율 4.46%(최근 4분기 중위)</t>
      </text>
    </comment>
    <comment ref="AH22" authorId="0" shapeId="0">
      <text>
        <t>모델값 역산(implied): v / 매출액
매출액 × 판관비율 4.46%(최근 4분기 중위)</t>
      </text>
    </comment>
    <comment ref="AI22" authorId="0" shapeId="0">
      <text>
        <t>모델값 역산(implied): v / 매출액
매출액 × 판관비율 4.46%(최근 4분기 중위)</t>
      </text>
    </comment>
    <comment ref="AK22" authorId="0" shapeId="0">
      <text>
        <t>모델값 역산(implied): v / 매출액
매출액 × 판관비율 4.46%(최근 4분기 중위)</t>
      </text>
    </comment>
    <comment ref="AL22" authorId="0" shapeId="0">
      <text>
        <t>모델값 역산(implied): v / 매출액
매출액 × 판관비율 4.46%(최근 4분기 중위)</t>
      </text>
    </comment>
    <comment ref="AM22" authorId="0" shapeId="0">
      <text>
        <t>모델값 역산(implied): v / 매출액
매출액 × 판관비율 4.46%(최근 4분기 중위)</t>
      </text>
    </comment>
    <comment ref="AN22" authorId="0" shapeId="0">
      <text>
        <t>모델값 역산(implied): v / 매출액
매출액 × 판관비율 4.46%(최근 4분기 중위)</t>
      </text>
    </comment>
    <comment ref="AC23" authorId="0" shapeId="0">
      <text>
        <t>모델값 역산(implied): v / 매출액
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D23" authorId="0" shapeId="0">
      <text>
        <t>모델값 역산(implied): v / 매출액
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F23" authorId="0" shapeId="0">
      <text>
        <t>모델값 역산(implied): v / 매출액
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G23" authorId="0" shapeId="0">
      <text>
        <t>모델값 역산(implied): v / 매출액
매출액 × OPM(SLS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H23" authorId="0" shapeId="0">
      <text>
        <t>모델값 역산(implied): v / 매출액
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I23" authorId="0" shapeId="0">
      <text>
        <t>모델값 역산(implied): v / 매출액
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K23" authorId="0" shapeId="0">
      <text>
        <t>모델값 역산(implied): v / 매출액
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L23" authorId="0" shapeId="0">
      <text>
        <t>모델값 역산(implied): v / 매출액
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M23" authorId="0" shapeId="0">
      <text>
        <t>모델값 역산(implied): v / 매출액
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N23" authorId="0" shapeId="0">
      <text>
        <t>모델값 역산(implied): v / 매출액
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</t>
      </text>
    </comment>
    <comment ref="AC24" authorId="0" shapeId="0">
      <text>
        <t>모델값 역산(implied): v / 전년동기 − 1
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D24" authorId="0" shapeId="0">
      <text>
        <t>모델값 역산(implied): v / 전년동기 − 1
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F24" authorId="0" shapeId="0">
      <text>
        <t>모델값 역산(implied): v / 전년동기 − 1
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G24" authorId="0" shapeId="0">
      <text>
        <t>모델값 역산(implied): v / 전년동기 − 1
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H24" authorId="0" shapeId="0">
      <text>
        <t>모델값 역산(implied): v / 전년동기 − 1
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I24" authorId="0" shapeId="0">
      <text>
        <t>모델값 역산(implied): v / 전년동기 − 1
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K24" authorId="0" shapeId="0">
      <text>
        <t>모델값 역산(implied): v / 전년동기 − 1
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L24" authorId="0" shapeId="0">
      <text>
        <t>모델값 역산(implied): v / 전년동기 − 1
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M24" authorId="0" shapeId="0">
      <text>
        <t>모델값 역산(implied): v / 전년동기 − 1
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N24" authorId="0" shapeId="0">
      <text>
        <t>모델값 역산(implied): v / 전년동기 − 1
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</t>
      </text>
    </comment>
    <comment ref="AC25" authorId="0" shapeId="0">
      <text>
        <t>모델값 역산(implied): 모델 v 그대로
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-0.01억(최근 4분기(2025Q3~2026Q2) 잔차 중위) (항등식); 이자손익 = 이자발생자산 36218억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-0.01억(최근 4분기(2025Q3~2026Q2) 잔차 중위) (항등식); 이자손익 = 이자발생자산 39015억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-0.01억(최근 4분기(2025Q3~2026Q2) 잔차 중위) (항등식); 이자손익 = 이자발생자산 41939억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-0.01억(최근 4분기(2025Q3~2026Q2) 잔차 중위) (항등식); 이자손익 = 이자발생자산 45124억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-0.01억(최근 4분기(2025Q3~2026Q2) 잔차 중위) (항등식); 이자손익 = 이자발생자산 48567억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-0.01억(최근 4분기(2025Q3~2026Q2) 잔차 중위) (항등식); 이자손익 = 이자발생자산 52342억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-0.01억(최근 4분기(2025Q3~2026Q2) 잔차 중위) (항등식); 이자손익 = 이자발생자산 56233억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-0.01억(최근 4분기(2025Q3~2026Q2) 잔차 중위) (항등식); 이자손익 = 이자발생자산 60350억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-0.01억(최근 4분기(2025Q3~2026Q2) 잔차 중위) (항등식); 이자손익 = 이자발생자산 64744억 × 1.23%(주석 이자수익 ÷ 평균 이자발생자산(2025Q3~2026Q2)) − 총차입금 11021억 × 5.58%(주석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33466억 × 1.23%(주석 이자수익 ÷ 평균 이자발생자산(2025Q3~2026Q2)) − 총차입금 11021억 × 5.58%(주석 이자비용 ÷ 평균 총차입금(2025Q3~2026Q2)) (연율) ÷ 4</t>
      </text>
    </comment>
    <comment ref="AD26" authorId="0" shapeId="0">
      <text>
        <t>모델값 역산(implied): 모델 v 그대로
이자발생자산 36218억 × 1.23%(주석 이자수익 ÷ 평균 이자발생자산(2025Q3~2026Q2)) − 총차입금 11021억 × 5.58%(주석 이자비용 ÷ 평균 총차입금(2025Q3~2026Q2)) (연율) ÷ 4</t>
      </text>
    </comment>
    <comment ref="AF26" authorId="0" shapeId="0">
      <text>
        <t>모델값 역산(implied): 모델 v 그대로
이자발생자산 39015억 × 1.23%(주석 이자수익 ÷ 평균 이자발생자산(2025Q3~2026Q2)) − 총차입금 11021억 × 5.58%(주석 이자비용 ÷ 평균 총차입금(2025Q3~2026Q2)) (연율) ÷ 4</t>
      </text>
    </comment>
    <comment ref="AG26" authorId="0" shapeId="0">
      <text>
        <t>모델값 역산(implied): 모델 v 그대로
이자발생자산 41939억 × 1.23%(주석 이자수익 ÷ 평균 이자발생자산(2025Q3~2026Q2)) − 총차입금 11021억 × 5.58%(주석 이자비용 ÷ 평균 총차입금(2025Q3~2026Q2)) (연율) ÷ 4</t>
      </text>
    </comment>
    <comment ref="AH26" authorId="0" shapeId="0">
      <text>
        <t>모델값 역산(implied): 모델 v 그대로
이자발생자산 45124억 × 1.23%(주석 이자수익 ÷ 평균 이자발생자산(2025Q3~2026Q2)) − 총차입금 11021억 × 5.58%(주석 이자비용 ÷ 평균 총차입금(2025Q3~2026Q2)) (연율) ÷ 4</t>
      </text>
    </comment>
    <comment ref="AI26" authorId="0" shapeId="0">
      <text>
        <t>모델값 역산(implied): 모델 v 그대로
이자발생자산 48567억 × 1.23%(주석 이자수익 ÷ 평균 이자발생자산(2025Q3~2026Q2)) − 총차입금 11021억 × 5.58%(주석 이자비용 ÷ 평균 총차입금(2025Q3~2026Q2)) (연율) ÷ 4</t>
      </text>
    </comment>
    <comment ref="AK26" authorId="0" shapeId="0">
      <text>
        <t>모델값 역산(implied): 모델 v 그대로
이자발생자산 52342억 × 1.23%(주석 이자수익 ÷ 평균 이자발생자산(2025Q3~2026Q2)) − 총차입금 11021억 × 5.58%(주석 이자비용 ÷ 평균 총차입금(2025Q3~2026Q2)) (연율) ÷ 4</t>
      </text>
    </comment>
    <comment ref="AL26" authorId="0" shapeId="0">
      <text>
        <t>모델값 역산(implied): 모델 v 그대로
이자발생자산 56233억 × 1.23%(주석 이자수익 ÷ 평균 이자발생자산(2025Q3~2026Q2)) − 총차입금 11021억 × 5.58%(주석 이자비용 ÷ 평균 총차입금(2025Q3~2026Q2)) (연율) ÷ 4</t>
      </text>
    </comment>
    <comment ref="AM26" authorId="0" shapeId="0">
      <text>
        <t>모델값 역산(implied): 모델 v 그대로
이자발생자산 60350억 × 1.23%(주석 이자수익 ÷ 평균 이자발생자산(2025Q3~2026Q2)) − 총차입금 11021억 × 5.58%(주석 이자비용 ÷ 평균 총차입금(2025Q3~2026Q2)) (연율) ÷ 4</t>
      </text>
    </comment>
    <comment ref="AN26" authorId="0" shapeId="0">
      <text>
        <t>모델값 역산(implied): 모델 v 그대로
이자발생자산 64744억 × 1.23%(주석 이자수익 ÷ 평균 이자발생자산(2025Q3~2026Q2)) − 총차입금 11021억 × 5.58%(주석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4분기(2025Q3~2026Q2) 잔차 중위</t>
      </text>
    </comment>
    <comment ref="AD29" authorId="0" shapeId="0">
      <text>
        <t>모델값 역산(implied): v / 전년동기 − 1
최근 4분기(2025Q3~2026Q2) 잔차 중위</t>
      </text>
    </comment>
    <comment ref="AF29" authorId="0" shapeId="0">
      <text>
        <t>모델값 역산(implied): v / 전년동기 − 1
최근 4분기(2025Q3~2026Q2) 잔차 중위</t>
      </text>
    </comment>
    <comment ref="AH29" authorId="0" shapeId="0">
      <text>
        <t>모델값 역산(implied): v / 전년동기 − 1
최근 4분기(2025Q3~2026Q2) 잔차 중위</t>
      </text>
    </comment>
    <comment ref="AI29" authorId="0" shapeId="0">
      <text>
        <t>모델값 역산(implied): v / 전년동기 − 1
최근 4분기(2025Q3~2026Q2) 잔차 중위</t>
      </text>
    </comment>
    <comment ref="AK29" authorId="0" shapeId="0">
      <text>
        <t>모델값 역산(implied): v / 전년동기 − 1
최근 4분기(2025Q3~2026Q2) 잔차 중위</t>
      </text>
    </comment>
    <comment ref="AL29" authorId="0" shapeId="0">
      <text>
        <t>모델값 역산(implied): v / 전년동기 − 1
최근 4분기(2025Q3~2026Q2) 잔차 중위</t>
      </text>
    </comment>
    <comment ref="AM29" authorId="0" shapeId="0">
      <text>
        <t>모델값 역산(implied): v / 전년동기 − 1
최근 4분기(2025Q3~2026Q2) 잔차 중위</t>
      </text>
    </comment>
    <comment ref="AN29" authorId="0" shapeId="0">
      <text>
        <t>모델값 역산(implied): v / 전년동기 − 1
최근 4분기(2025Q3~2026Q2) 잔차 중위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D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F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G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H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I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K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L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M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N32" authorId="0" shapeId="0">
      <text>
        <t>모델값 역산(implied): v / 세전이익
max(세전, 0) × 세율 22.0%(최근 12분기 유효세율 -65.5% 가 5~27% 밖; 세전 &gt; 0 분기 중위 1.0%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C45" authorId="0" shapeId="0">
      <text>
        <t>모델값 역산(implied): v / 전년동기 − 1
현재 종가 ÷ TTM EPS(추정 포함)</t>
      </text>
    </comment>
    <comment ref="AD45" authorId="0" shapeId="0">
      <text>
        <t>모델값 역산(implied): v / 전년동기 − 1
현재 종가 ÷ TTM EPS(추정 포함)</t>
      </text>
    </comment>
    <comment ref="AF45" authorId="0" shapeId="0">
      <text>
        <t>모델값 역산(implied): v / 전년동기 − 1
현재 종가 ÷ TTM EPS(추정 포함)</t>
      </text>
    </comment>
    <comment ref="AG45" authorId="0" shapeId="0">
      <text>
        <t>모델값 역산(implied): v / 전년동기 − 1
현재 종가 ÷ TTM EPS(추정 포함)</t>
      </text>
    </comment>
    <comment ref="AH45" authorId="0" shapeId="0">
      <text>
        <t>모델값 역산(implied): v / 전년동기 − 1
현재 종가 ÷ TTM EPS(추정 포함)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SLS 해양 원화 21603억(sls.by_quarter.marine_hedged_krw_m_signed_by_origin(헤지 70% 적용; origin 2026Q2 이후 체결 6건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</t>
      </text>
    </comment>
    <comment ref="AD47" authorId="0" shapeId="0">
      <text>
        <t>모델값 역산(implied): v / 매출액
SLS 해양 원화 21318억(sls.by_quarter.marine_hedged_krw_m_signed_by_origin(헤지 70% 적용; origin 2026Q2 이후 체결 6건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2533억 제외(패널 신규에 포함으로 봄)</t>
      </text>
    </comment>
    <comment ref="AF47" authorId="0" shapeId="0">
      <text>
        <t>모델값 역산(implied): v / 매출액
SLS 해양 원화 20854억(sls.by_quarter.marine_hedged_krw_m_signed_by_origin(헤지 70% 적용; origin 2026Q2 이후 체결 6건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2478억 제외(패널 신규에 포함으로 봄)</t>
      </text>
    </comment>
    <comment ref="AG47" authorId="0" shapeId="0">
      <text>
        <t>모델값 역산(implied): v / 매출액
SLS 해양 원화 20647억(sls.by_quarter.marine_hedged_krw_m_signed_by_origin(헤지 70% 적용; origin 2026Q2 이후 체결 6건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2506억 제외(패널 신규에 포함으로 봄)</t>
      </text>
    </comment>
    <comment ref="AH47" authorId="0" shapeId="0">
      <text>
        <t>모델값 역산(implied): v / 매출액
SLS 해양 원화 19938억(sls.by_quarter.marine_hedged_krw_m_signed_by_origin(헤지 70% 적용; origin 2026Q2 이후 체결 6건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2533억 제외(패널 신규에 포함으로 봄)</t>
      </text>
    </comment>
    <comment ref="AI47" authorId="0" shapeId="0">
      <text>
        <t>모델값 역산(implied): v / 매출액
SLS 해양 원화 19938억(sls.by_quarter.marine_hedged_krw_m_signed_by_origin(헤지 70% 적용; origin 2026Q2 이후 체결 6건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2533억 제외(패널 신규에 포함으로 봄)</t>
      </text>
    </comment>
    <comment ref="AK47" authorId="0" shapeId="0">
      <text>
        <t>모델값 역산(implied): v / 매출액
SLS 해양 원화 16890억(sls.by_quarter.marine_hedged_krw_m_signed_by_origin(헤지 70% 적용; origin 2026Q2 이후 체결 6건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2506억 제외(패널 신규에 포함으로 봄)</t>
      </text>
    </comment>
    <comment ref="AL47" authorId="0" shapeId="0">
      <text>
        <t>모델값 역산(implied): v / 매출액
SLS 해양 원화 15449억(sls.by_quarter.marine_hedged_krw_m_signed_by_origin(헤지 70% 적용; origin 2026Q2 이후 체결 6건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2506억 제외(패널 신규에 포함으로 봄)</t>
      </text>
    </comment>
    <comment ref="AM47" authorId="0" shapeId="0">
      <text>
        <t>모델값 역산(implied): v / 매출액
SLS 해양 원화 14786억(sls.by_quarter.marine_hedged_krw_m_signed_by_origin(헤지 70% 적용; origin 2026Q2 이후 체결 6건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2533억 제외(패널 신규에 포함으로 봄)</t>
      </text>
    </comment>
    <comment ref="AN47" authorId="0" shapeId="0">
      <text>
        <t>모델값 역산(implied): v / 매출액
SLS 해양 원화 12285억(sls.by_quarter.marine_hedged_krw_m_signed_by_origin(헤지 70% 적용; origin 2026Q2 이후 체결 6건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2513억 제외(패널 신규에 포함으로 봄)</t>
      </text>
    </comment>
    <comment ref="AC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D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F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G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H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I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K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L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M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N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AC49" authorId="0" shapeId="0">
      <text>
        <t>모델값 역산(implied): v / 매출조선
매출조선 × 타겟 OPM(부문 OP 미공시 → 회사 OPM 적용; 신규수주분 포함)</t>
      </text>
    </comment>
    <comment ref="AD49" authorId="0" shapeId="0">
      <text>
        <t>모델값 역산(implied): v / 매출조선
매출조선 × 타겟 OPM(부문 OP 미공시 → 회사 OPM 적용; 신규수주분 포함)</t>
      </text>
    </comment>
    <comment ref="AF49" authorId="0" shapeId="0">
      <text>
        <t>모델값 역산(implied): v / 매출조선
매출조선 × 타겟 OPM(부문 OP 미공시 → 회사 OPM 적용; 신규수주분 포함)</t>
      </text>
    </comment>
    <comment ref="AG49" authorId="0" shapeId="0">
      <text>
        <t>모델값 역산(implied): v / 매출조선
매출조선 × 타겟 OPM(부문 OP 미공시 → 회사 OPM 적용; 신규수주분 포함)</t>
      </text>
    </comment>
    <comment ref="AH49" authorId="0" shapeId="0">
      <text>
        <t>모델값 역산(implied): v / 매출조선
매출조선 × 타겟 OPM(부문 OP 미공시 → 회사 OPM 적용; 신규수주분 포함)</t>
      </text>
    </comment>
    <comment ref="AI49" authorId="0" shapeId="0">
      <text>
        <t>모델값 역산(implied): v / 매출조선
매출조선 × 타겟 OPM(부문 OP 미공시 → 회사 OPM 적용; 신규수주분 포함)</t>
      </text>
    </comment>
    <comment ref="AK49" authorId="0" shapeId="0">
      <text>
        <t>모델값 역산(implied): v / 매출조선
매출조선 × 타겟 OPM(부문 OP 미공시 → 회사 OPM 적용; 신규수주분 포함)</t>
      </text>
    </comment>
    <comment ref="AL49" authorId="0" shapeId="0">
      <text>
        <t>모델값 역산(implied): v / 매출조선
매출조선 × 타겟 OPM(부문 OP 미공시 → 회사 OPM 적용; 신규수주분 포함)</t>
      </text>
    </comment>
    <comment ref="AM49" authorId="0" shapeId="0">
      <text>
        <t>모델값 역산(implied): v / 매출조선
매출조선 × 타겟 OPM(부문 OP 미공시 → 회사 OPM 적용; 신규수주분 포함)</t>
      </text>
    </comment>
    <comment ref="AN49" authorId="0" shapeId="0">
      <text>
        <t>모델값 역산(implied): v / 매출조선
매출조선 × 타겟 OPM(부문 OP 미공시 → 회사 OPM 적용; 신규수주분 포함)</t>
      </text>
    </comment>
    <comment ref="AD50" authorId="0" shapeId="0">
      <text>
        <t>모델값 역산(implied): v / 매출조선신규
매출조선신규 × 타겟 OPM(신규분에도 같은 타겟) — OP조선에 포함</t>
      </text>
    </comment>
    <comment ref="AF50" authorId="0" shapeId="0">
      <text>
        <t>모델값 역산(implied): v / 매출조선신규
매출조선신규 × 타겟 OPM(신규분에도 같은 타겟) — OP조선에 포함</t>
      </text>
    </comment>
    <comment ref="AG50" authorId="0" shapeId="0">
      <text>
        <t>모델값 역산(implied): v / 매출조선신규
매출조선신규 × 타겟 OPM(신규분에도 같은 타겟) — OP조선에 포함</t>
      </text>
    </comment>
    <comment ref="AH50" authorId="0" shapeId="0">
      <text>
        <t>모델값 역산(implied): v / 매출조선신규
매출조선신규 × 타겟 OPM(신규분에도 같은 타겟) — OP조선에 포함</t>
      </text>
    </comment>
    <comment ref="AI50" authorId="0" shapeId="0">
      <text>
        <t>모델값 역산(implied): v / 매출조선신규
매출조선신규 × 타겟 OPM(신규분에도 같은 타겟) — OP조선에 포함</t>
      </text>
    </comment>
    <comment ref="AK50" authorId="0" shapeId="0">
      <text>
        <t>모델값 역산(implied): v / 매출조선신규
매출조선신규 × 타겟 OPM(신규분에도 같은 타겟) — OP조선에 포함</t>
      </text>
    </comment>
    <comment ref="AL50" authorId="0" shapeId="0">
      <text>
        <t>모델값 역산(implied): v / 매출조선신규
매출조선신규 × 타겟 OPM(신규분에도 같은 타겟) — OP조선에 포함</t>
      </text>
    </comment>
    <comment ref="AM50" authorId="0" shapeId="0">
      <text>
        <t>모델값 역산(implied): v / 매출조선신규
매출조선신규 × 타겟 OPM(신규분에도 같은 타겟) — OP조선에 포함</t>
      </text>
    </comment>
    <comment ref="AN50" authorId="0" shapeId="0">
      <text>
        <t>모델값 역산(implied): v / 매출조선신규
매출조선신규 × 타겟 OPM(신규분에도 같은 타겟) — OP조선에 포함</t>
      </text>
    </comment>
    <comment ref="AC51" authorId="0" shapeId="0">
      <text>
        <t>모델값 역산(implied): v / 매출액
기타 부문(연결 − 조선 부문) 최근 4분기 중위 1149억 유지</t>
      </text>
    </comment>
    <comment ref="AD51" authorId="0" shapeId="0">
      <text>
        <t>모델값 역산(implied): v / 매출액
기타 부문(연결 − 조선 부문) 최근 4분기 중위 1149억 유지</t>
      </text>
    </comment>
    <comment ref="AF51" authorId="0" shapeId="0">
      <text>
        <t>모델값 역산(implied): v / 매출액
기타 부문(연결 − 조선 부문) 최근 4분기 중위 1149억 유지</t>
      </text>
    </comment>
    <comment ref="AG51" authorId="0" shapeId="0">
      <text>
        <t>모델값 역산(implied): v / 매출액
기타 부문(연결 − 조선 부문) 최근 4분기 중위 1149억 유지</t>
      </text>
    </comment>
    <comment ref="AH51" authorId="0" shapeId="0">
      <text>
        <t>모델값 역산(implied): v / 매출액
기타 부문(연결 − 조선 부문) 최근 4분기 중위 1149억 유지</t>
      </text>
    </comment>
    <comment ref="AI51" authorId="0" shapeId="0">
      <text>
        <t>모델값 역산(implied): v / 매출액
기타 부문(연결 − 조선 부문) 최근 4분기 중위 1149억 유지</t>
      </text>
    </comment>
    <comment ref="AK51" authorId="0" shapeId="0">
      <text>
        <t>모델값 역산(implied): v / 매출액
기타 부문(연결 − 조선 부문) 최근 4분기 중위 1149억 유지</t>
      </text>
    </comment>
    <comment ref="AL51" authorId="0" shapeId="0">
      <text>
        <t>모델값 역산(implied): v / 매출액
기타 부문(연결 − 조선 부문) 최근 4분기 중위 1149억 유지</t>
      </text>
    </comment>
    <comment ref="AM51" authorId="0" shapeId="0">
      <text>
        <t>모델값 역산(implied): v / 매출액
기타 부문(연결 − 조선 부문) 최근 4분기 중위 1149억 유지</t>
      </text>
    </comment>
    <comment ref="AN51" authorId="0" shapeId="0">
      <text>
        <t>모델값 역산(implied): v / 매출액
기타 부문(연결 − 조선 부문) 최근 4분기 중위 1149억 유지</t>
      </text>
    </comment>
    <comment ref="AC52" authorId="0" shapeId="0">
      <text>
        <t>모델값 역산(implied): v / 매출기타
매출기타 × 회사 OPM(부문 OP 미공시)</t>
      </text>
    </comment>
    <comment ref="AD52" authorId="0" shapeId="0">
      <text>
        <t>모델값 역산(implied): v / 매출기타
매출기타 × 회사 OPM(부문 OP 미공시)</t>
      </text>
    </comment>
    <comment ref="AF52" authorId="0" shapeId="0">
      <text>
        <t>모델값 역산(implied): v / 매출기타
매출기타 × 회사 OPM(부문 OP 미공시)</t>
      </text>
    </comment>
    <comment ref="AG52" authorId="0" shapeId="0">
      <text>
        <t>모델값 역산(implied): v / 매출기타
매출기타 × 회사 OPM(부문 OP 미공시)</t>
      </text>
    </comment>
    <comment ref="AH52" authorId="0" shapeId="0">
      <text>
        <t>모델값 역산(implied): v / 매출기타
매출기타 × 회사 OPM(부문 OP 미공시)</t>
      </text>
    </comment>
    <comment ref="AI52" authorId="0" shapeId="0">
      <text>
        <t>모델값 역산(implied): v / 매출기타
매출기타 × 회사 OPM(부문 OP 미공시)</t>
      </text>
    </comment>
    <comment ref="AK52" authorId="0" shapeId="0">
      <text>
        <t>모델값 역산(implied): v / 매출기타
매출기타 × 회사 OPM(부문 OP 미공시)</t>
      </text>
    </comment>
    <comment ref="AL52" authorId="0" shapeId="0">
      <text>
        <t>모델값 역산(implied): v / 매출기타
매출기타 × 회사 OPM(부문 OP 미공시)</t>
      </text>
    </comment>
    <comment ref="AM52" authorId="0" shapeId="0">
      <text>
        <t>모델값 역산(implied): v / 매출기타
매출기타 × 회사 OPM(부문 OP 미공시)</t>
      </text>
    </comment>
    <comment ref="AN5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D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F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G9" authorId="0" shapeId="0">
      <text>
        <t>추정: 매출액 × OPM(SLS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H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I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K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L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M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AN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D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F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G10" authorId="0" shapeId="0">
      <text>
        <t>추정: 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H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I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K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L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M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N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[yoy]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36218억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39015억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41939억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45124억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48567억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52342억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56233억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60350억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64744억 × 1.23%(주석 이자수익 ÷ 평균 이자발생자산(2025Q3~2026Q2)) − 총차입금 11021억 × 5.58%(주석 이자비용 ÷ 평균 총차입금(2025Q3~2026Q2)) (연율) ÷ 4; 환율 효과는 환관련손익 행 별도
[abs]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[abs]</t>
      </text>
    </comment>
    <comment ref="AD12" authorId="0" shapeId="0">
      <text>
        <t>추정: 이자발생자산 36218억 × 1.23%(주석 이자수익 ÷ 평균 이자발생자산(2025Q3~2026Q2)) − 총차입금 11021억 × 5.58%(주석 이자비용 ÷ 평균 총차입금(2025Q3~2026Q2)) (연율) ÷ 4
[abs]</t>
      </text>
    </comment>
    <comment ref="AF12" authorId="0" shapeId="0">
      <text>
        <t>추정: 이자발생자산 39015억 × 1.23%(주석 이자수익 ÷ 평균 이자발생자산(2025Q3~2026Q2)) − 총차입금 11021억 × 5.58%(주석 이자비용 ÷ 평균 총차입금(2025Q3~2026Q2)) (연율) ÷ 4
[abs]</t>
      </text>
    </comment>
    <comment ref="AG12" authorId="0" shapeId="0">
      <text>
        <t>추정: 이자발생자산 41939억 × 1.23%(주석 이자수익 ÷ 평균 이자발생자산(2025Q3~2026Q2)) − 총차입금 11021억 × 5.58%(주석 이자비용 ÷ 평균 총차입금(2025Q3~2026Q2)) (연율) ÷ 4
[abs]</t>
      </text>
    </comment>
    <comment ref="AH12" authorId="0" shapeId="0">
      <text>
        <t>추정: 이자발생자산 45124억 × 1.23%(주석 이자수익 ÷ 평균 이자발생자산(2025Q3~2026Q2)) − 총차입금 11021억 × 5.58%(주석 이자비용 ÷ 평균 총차입금(2025Q3~2026Q2)) (연율) ÷ 4
[abs]</t>
      </text>
    </comment>
    <comment ref="AI12" authorId="0" shapeId="0">
      <text>
        <t>추정: 이자발생자산 48567억 × 1.23%(주석 이자수익 ÷ 평균 이자발생자산(2025Q3~2026Q2)) − 총차입금 11021억 × 5.58%(주석 이자비용 ÷ 평균 총차입금(2025Q3~2026Q2)) (연율) ÷ 4
[abs]</t>
      </text>
    </comment>
    <comment ref="AK12" authorId="0" shapeId="0">
      <text>
        <t>추정: 이자발생자산 52342억 × 1.23%(주석 이자수익 ÷ 평균 이자발생자산(2025Q3~2026Q2)) − 총차입금 11021억 × 5.58%(주석 이자비용 ÷ 평균 총차입금(2025Q3~2026Q2)) (연율) ÷ 4
[abs]</t>
      </text>
    </comment>
    <comment ref="AL12" authorId="0" shapeId="0">
      <text>
        <t>추정: 이자발생자산 56233억 × 1.23%(주석 이자수익 ÷ 평균 이자발생자산(2025Q3~2026Q2)) − 총차입금 11021억 × 5.58%(주석 이자비용 ÷ 평균 총차입금(2025Q3~2026Q2)) (연율) ÷ 4
[abs]</t>
      </text>
    </comment>
    <comment ref="AM12" authorId="0" shapeId="0">
      <text>
        <t>추정: 이자발생자산 60350억 × 1.23%(주석 이자수익 ÷ 평균 이자발생자산(2025Q3~2026Q2)) − 총차입금 11021억 × 5.58%(주석 이자비용 ÷ 평균 총차입금(2025Q3~2026Q2)) (연율) ÷ 4
[abs]</t>
      </text>
    </comment>
    <comment ref="AN12" authorId="0" shapeId="0">
      <text>
        <t>추정: 이자발생자산 64744억 × 1.23%(주석 이자수익 ÷ 평균 이자발생자산(2025Q3~2026Q2)) − 총차입금 11021억 × 5.58%(주석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4분기(2025Q3~2026Q2) 잔차 중위
[yoy]</t>
      </text>
    </comment>
    <comment ref="AD15" authorId="0" shapeId="0">
      <text>
        <t>추정: 최근 4분기(2025Q3~2026Q2) 잔차 중위
[yoy]</t>
      </text>
    </comment>
    <comment ref="AF15" authorId="0" shapeId="0">
      <text>
        <t>추정: 최근 4분기(2025Q3~2026Q2) 잔차 중위
[yoy]</t>
      </text>
    </comment>
    <comment ref="AG15" authorId="0" shapeId="0">
      <text>
        <t>추정(가정 셀 참조 불가 — 기준값 없음, 모델값 직접): 최근 4분기(2025Q3~2026Q2) 잔차 중위</t>
      </text>
    </comment>
    <comment ref="AH15" authorId="0" shapeId="0">
      <text>
        <t>추정: 최근 4분기(2025Q3~2026Q2) 잔차 중위
[yoy]</t>
      </text>
    </comment>
    <comment ref="AI15" authorId="0" shapeId="0">
      <text>
        <t>추정: 최근 4분기(2025Q3~2026Q2) 잔차 중위
[yoy]</t>
      </text>
    </comment>
    <comment ref="AK15" authorId="0" shapeId="0">
      <text>
        <t>추정: 최근 4분기(2025Q3~2026Q2) 잔차 중위
[yoy]</t>
      </text>
    </comment>
    <comment ref="AL15" authorId="0" shapeId="0">
      <text>
        <t>추정: 최근 4분기(2025Q3~2026Q2) 잔차 중위
[yoy]</t>
      </text>
    </comment>
    <comment ref="AM15" authorId="0" shapeId="0">
      <text>
        <t>추정: 최근 4분기(2025Q3~2026Q2) 잔차 중위
[yoy]</t>
      </text>
    </comment>
    <comment ref="AN15" authorId="0" shapeId="0">
      <text>
        <t>추정: 최근 4분기(2025Q3~2026Q2) 잔차 중위
[yoy]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추정(가정 셀 참조 불가 — 기준값 없음, 모델값 직접): 직전 결산 DPS 0원 유지</t>
      </text>
    </comment>
    <comment ref="AI35" authorId="0" shapeId="0">
      <text>
        <t>추정(가정 셀 참조 불가 — 기준값 없음, 모델값 직접): 직전 결산 DPS 0원 유지</t>
      </text>
    </comment>
    <comment ref="AN35" authorId="0" shapeId="0">
      <text>
        <t>추정(가정 셀 참조 불가 — 기준값 없음, 모델값 직접): 직전 결산 DPS 0원 유지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AB36" authorId="0" shapeId="0">
      <text>
        <t>실측(계정 매핑 없음 — 모델값 직접) — 토스 일봉 분기 평균 ÷ TTM EPS</t>
      </text>
    </comment>
    <comment ref="AC36" authorId="0" shapeId="0">
      <text>
        <t>추정: 현재 종가 ÷ TTM EPS(추정 포함)
[yoy]</t>
      </text>
    </comment>
    <comment ref="AD36" authorId="0" shapeId="0">
      <text>
        <t>추정: 현재 종가 ÷ TTM EPS(추정 포함)
[yoy]</t>
      </text>
    </comment>
    <comment ref="AF36" authorId="0" shapeId="0">
      <text>
        <t>추정: 현재 종가 ÷ TTM EPS(추정 포함)
[yoy]</t>
      </text>
    </comment>
    <comment ref="AG36" authorId="0" shapeId="0">
      <text>
        <t>추정: 현재 종가 ÷ TTM EPS(추정 포함)
[yoy]</t>
      </text>
    </comment>
    <comment ref="AH36" authorId="0" shapeId="0">
      <text>
        <t>추정: 현재 종가 ÷ TTM EPS(추정 포함)
[yoy]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G38" authorId="0" shapeId="0">
      <text>
        <t>실측(계정 매핑 없음 — 모델값 직접) — sls.reconcile.reported_segment_rev_m ← yards_cache 부문표(3개월분)</t>
      </text>
    </comment>
    <comment ref="H38" authorId="0" shapeId="0">
      <text>
        <t>실측(계정 매핑 없음 — 모델값 직접) — sls.reconcile.reported_segment_rev_m ← yards_cache 부문표(3개월분)</t>
      </text>
    </comment>
    <comment ref="I38" authorId="0" shapeId="0">
      <text>
        <t>실측(계정 매핑 없음 — 모델값 직접) — sls.reconcile.reported_segment_rev_m ← yards_cache 부문표(3개월분)</t>
      </text>
    </comment>
    <comment ref="J38" authorId="0" shapeId="0">
      <text>
        <t>실측(계정 매핑 없음 — 모델값 직접) — sls.reconcile.reported_segment_rev_m ← yards_cache 부문표(3개월분)</t>
      </text>
    </comment>
    <comment ref="L38" authorId="0" shapeId="0">
      <text>
        <t>실측(계정 매핑 없음 — 모델값 직접) — sls.reconcile.reported_segment_rev_m ← yards_cache 부문표(3개월분)</t>
      </text>
    </comment>
    <comment ref="M38" authorId="0" shapeId="0">
      <text>
        <t>실측(계정 매핑 없음 — 모델값 직접) — sls.reconcile.reported_segment_rev_m ← yards_cache 부문표(3개월분)</t>
      </text>
    </comment>
    <comment ref="N38" authorId="0" shapeId="0">
      <text>
        <t>실측(계정 매핑 없음 — 모델값 직접) — sls.reconcile.reported_segment_rev_m ← yards_cache 부문표(3개월분)</t>
      </text>
    </comment>
    <comment ref="O38" authorId="0" shapeId="0">
      <text>
        <t>실측(계정 매핑 없음 — 모델값 직접) — sls.reconcile.reported_segment_rev_m ← yards_cache 부문표(3개월분)</t>
      </text>
    </comment>
    <comment ref="Q38" authorId="0" shapeId="0">
      <text>
        <t>실측(계정 매핑 없음 — 모델값 직접) — sls.reconcile.reported_segment_rev_m ← yards_cache 부문표(3개월분)</t>
      </text>
    </comment>
    <comment ref="R38" authorId="0" shapeId="0">
      <text>
        <t>실측(계정 매핑 없음 — 모델값 직접) — sls.reconcile.reported_segment_rev_m ← yards_cache 부문표(3개월분)</t>
      </text>
    </comment>
    <comment ref="S38" authorId="0" shapeId="0">
      <text>
        <t>실측(계정 매핑 없음 — 모델값 직접) — sls.reconcile.reported_segment_rev_m ← yards_cache 부문표(3개월분)</t>
      </text>
    </comment>
    <comment ref="T38" authorId="0" shapeId="0">
      <text>
        <t>실측(계정 매핑 없음 — 모델값 직접) — sls.reconcile.reported_segment_rev_m ← yards_cache 부문표(3개월분)</t>
      </text>
    </comment>
    <comment ref="V38" authorId="0" shapeId="0">
      <text>
        <t>실측(계정 매핑 없음 — 모델값 직접) — sls.reconcile.reported_segment_rev_m ← yards_cache 부문표(3개월분)</t>
      </text>
    </comment>
    <comment ref="W38" authorId="0" shapeId="0">
      <text>
        <t>실측(계정 매핑 없음 — 모델값 직접) — sls.reconcile.reported_segment_rev_m ← yards_cache 부문표(3개월분)</t>
      </text>
    </comment>
    <comment ref="X38" authorId="0" shapeId="0">
      <text>
        <t>실측(계정 매핑 없음 — 모델값 직접) — sls.reconcile.reported_segment_rev_m ← yards_cache 부문표(3개월분)</t>
      </text>
    </comment>
    <comment ref="Y38" authorId="0" shapeId="0">
      <text>
        <t>실측(계정 매핑 없음 — 모델값 직접) — sls.reconcile.reported_segment_rev_m ← yards_cache 부문표(3개월분)</t>
      </text>
    </comment>
    <comment ref="AA38" authorId="0" shapeId="0">
      <text>
        <t>실측(계정 매핑 없음 — 모델값 직접) — sls.reconcile.reported_segment_rev_m ← yards_cache 부문표(3개월분)</t>
      </text>
    </comment>
    <comment ref="AB38" authorId="0" shapeId="0">
      <text>
        <t>실측(계정 매핑 없음 — 모델값 직접) — sls.reconcile.reported_segment_rev_m ← yards_cache 부문표(3개월분)</t>
      </text>
    </comment>
    <comment ref="AC38" authorId="0" shapeId="0">
      <text>
        <t>추정: SLS 해양 원화 21603억(sls.by_quarter.marine_hedged_krw_m_signed_by_origin(헤지 70% 적용; origin 2026Q2 이후 체결 6건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
[ratio]</t>
      </text>
    </comment>
    <comment ref="AD38" authorId="0" shapeId="0">
      <text>
        <t>추정: SLS 해양 원화 21318억(sls.by_quarter.marine_hedged_krw_m_signed_by_origin(헤지 70% 적용; origin 2026Q2 이후 체결 6건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2533억 제외(패널 신규에 포함으로 봄)
[ratio]</t>
      </text>
    </comment>
    <comment ref="AF38" authorId="0" shapeId="0">
      <text>
        <t>추정: SLS 해양 원화 20854억(sls.by_quarter.marine_hedged_krw_m_signed_by_origin(헤지 70% 적용; origin 2026Q2 이후 체결 6건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2478억 제외(패널 신규에 포함으로 봄)
[ratio]</t>
      </text>
    </comment>
    <comment ref="AG38" authorId="0" shapeId="0">
      <text>
        <t>추정: SLS 해양 원화 20647억(sls.by_quarter.marine_hedged_krw_m_signed_by_origin(헤지 70% 적용; origin 2026Q2 이후 체결 6건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2506억 제외(패널 신규에 포함으로 봄)
[ratio]</t>
      </text>
    </comment>
    <comment ref="AH38" authorId="0" shapeId="0">
      <text>
        <t>추정: SLS 해양 원화 19938억(sls.by_quarter.marine_hedged_krw_m_signed_by_origin(헤지 70% 적용; origin 2026Q2 이후 체결 6건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2533억 제외(패널 신규에 포함으로 봄)
[ratio]</t>
      </text>
    </comment>
    <comment ref="AI38" authorId="0" shapeId="0">
      <text>
        <t>추정: SLS 해양 원화 19938억(sls.by_quarter.marine_hedged_krw_m_signed_by_origin(헤지 70% 적용; origin 2026Q2 이후 체결 6건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2533억 제외(패널 신규에 포함으로 봄)
[ratio]</t>
      </text>
    </comment>
    <comment ref="AK38" authorId="0" shapeId="0">
      <text>
        <t>추정: SLS 해양 원화 16890억(sls.by_quarter.marine_hedged_krw_m_signed_by_origin(헤지 70% 적용; origin 2026Q2 이후 체결 6건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2506억 제외(패널 신규에 포함으로 봄)
[ratio]</t>
      </text>
    </comment>
    <comment ref="AL38" authorId="0" shapeId="0">
      <text>
        <t>추정: SLS 해양 원화 15449억(sls.by_quarter.marine_hedged_krw_m_signed_by_origin(헤지 70% 적용; origin 2026Q2 이후 체결 6건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2506억 제외(패널 신규에 포함으로 봄)
[ratio]</t>
      </text>
    </comment>
    <comment ref="AM38" authorId="0" shapeId="0">
      <text>
        <t>추정: SLS 해양 원화 14786억(sls.by_quarter.marine_hedged_krw_m_signed_by_origin(헤지 70% 적용; origin 2026Q2 이후 체결 6건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2533억 제외(패널 신규에 포함으로 봄)
[ratio]</t>
      </text>
    </comment>
    <comment ref="AN38" authorId="0" shapeId="0">
      <text>
        <t>추정: SLS 해양 원화 12285억(sls.by_quarter.marine_hedged_krw_m_signed_by_origin(헤지 70% 적용; origin 2026Q2 이후 체결 6건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2513억 제외(패널 신규에 포함으로 봄)
[ratio]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D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F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G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H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I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K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L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M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N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추정(가정 셀 참조 불가 — 기준값 없음, 모델값 직접): 매출조선신규 × 타겟 OPM(신규분에도 같은 타겟) — OP조선에 포함</t>
      </text>
    </comment>
    <comment ref="AD41" authorId="0" shapeId="0">
      <text>
        <t>추정: 매출조선신규 × 타겟 OPM(신규분에도 같은 타겟) — OP조선에 포함
[ratio]</t>
      </text>
    </comment>
    <comment ref="AF41" authorId="0" shapeId="0">
      <text>
        <t>추정: 매출조선신규 × 타겟 OPM(신규분에도 같은 타겟) — OP조선에 포함
[ratio]</t>
      </text>
    </comment>
    <comment ref="AG41" authorId="0" shapeId="0">
      <text>
        <t>추정: 매출조선신규 × 타겟 OPM(신규분에도 같은 타겟) — OP조선에 포함
[ratio]</t>
      </text>
    </comment>
    <comment ref="AH41" authorId="0" shapeId="0">
      <text>
        <t>추정: 매출조선신규 × 타겟 OPM(신규분에도 같은 타겟) — OP조선에 포함
[ratio]</t>
      </text>
    </comment>
    <comment ref="AI41" authorId="0" shapeId="0">
      <text>
        <t>추정: 매출조선신규 × 타겟 OPM(신규분에도 같은 타겟) — OP조선에 포함
[ratio]</t>
      </text>
    </comment>
    <comment ref="AK41" authorId="0" shapeId="0">
      <text>
        <t>추정: 매출조선신규 × 타겟 OPM(신규분에도 같은 타겟) — OP조선에 포함
[ratio]</t>
      </text>
    </comment>
    <comment ref="AL41" authorId="0" shapeId="0">
      <text>
        <t>추정: 매출조선신규 × 타겟 OPM(신규분에도 같은 타겟) — OP조선에 포함
[ratio]</t>
      </text>
    </comment>
    <comment ref="AM41" authorId="0" shapeId="0">
      <text>
        <t>추정: 매출조선신규 × 타겟 OPM(신규분에도 같은 타겟) — OP조선에 포함
[ratio]</t>
      </text>
    </comment>
    <comment ref="AN41" authorId="0" shapeId="0">
      <text>
        <t>추정: 매출조선신규 × 타겟 OPM(신규분에도 같은 타겟) — OP조선에 포함
[ratio]</t>
      </text>
    </comment>
    <comment ref="G42" authorId="0" shapeId="0">
      <text>
        <t>실측(계정 매핑 없음 — 모델값 직접) — 연결 매출 − 조선 부문(파생)</t>
      </text>
    </comment>
    <comment ref="H42" authorId="0" shapeId="0">
      <text>
        <t>실측(계정 매핑 없음 — 모델값 직접) — 연결 매출 − 조선 부문(파생)</t>
      </text>
    </comment>
    <comment ref="I42" authorId="0" shapeId="0">
      <text>
        <t>실측(계정 매핑 없음 — 모델값 직접) — 연결 매출 − 조선 부문(파생)</t>
      </text>
    </comment>
    <comment ref="J42" authorId="0" shapeId="0">
      <text>
        <t>실측(계정 매핑 없음 — 모델값 직접) — 연결 매출 − 조선 부문(파생)</t>
      </text>
    </comment>
    <comment ref="L42" authorId="0" shapeId="0">
      <text>
        <t>실측(계정 매핑 없음 — 모델값 직접) — 연결 매출 − 조선 부문(파생)</t>
      </text>
    </comment>
    <comment ref="M42" authorId="0" shapeId="0">
      <text>
        <t>실측(계정 매핑 없음 — 모델값 직접) — 연결 매출 − 조선 부문(파생)</t>
      </text>
    </comment>
    <comment ref="N42" authorId="0" shapeId="0">
      <text>
        <t>실측(계정 매핑 없음 — 모델값 직접) — 연결 매출 − 조선 부문(파생)</t>
      </text>
    </comment>
    <comment ref="O42" authorId="0" shapeId="0">
      <text>
        <t>실측(계정 매핑 없음 — 모델값 직접) — 연결 매출 − 조선 부문(파생)</t>
      </text>
    </comment>
    <comment ref="Q42" authorId="0" shapeId="0">
      <text>
        <t>실측(계정 매핑 없음 — 모델값 직접) — 연결 매출 − 조선 부문(파생)</t>
      </text>
    </comment>
    <comment ref="R42" authorId="0" shapeId="0">
      <text>
        <t>실측(계정 매핑 없음 — 모델값 직접) — 연결 매출 − 조선 부문(파생)</t>
      </text>
    </comment>
    <comment ref="S42" authorId="0" shapeId="0">
      <text>
        <t>실측(계정 매핑 없음 — 모델값 직접) — 연결 매출 − 조선 부문(파생)</t>
      </text>
    </comment>
    <comment ref="T42" authorId="0" shapeId="0">
      <text>
        <t>실측(계정 매핑 없음 — 모델값 직접) — 연결 매출 − 조선 부문(파생)</t>
      </text>
    </comment>
    <comment ref="V42" authorId="0" shapeId="0">
      <text>
        <t>실측(계정 매핑 없음 — 모델값 직접) — 연결 매출 − 조선 부문(파생)</t>
      </text>
    </comment>
    <comment ref="W42" authorId="0" shapeId="0">
      <text>
        <t>실측(계정 매핑 없음 — 모델값 직접) — 연결 매출 − 조선 부문(파생)</t>
      </text>
    </comment>
    <comment ref="X42" authorId="0" shapeId="0">
      <text>
        <t>실측(계정 매핑 없음 — 모델값 직접) — 연결 매출 − 조선 부문(파생)</t>
      </text>
    </comment>
    <comment ref="Y42" authorId="0" shapeId="0">
      <text>
        <t>실측(계정 매핑 없음 — 모델값 직접) — 연결 매출 − 조선 부문(파생)</t>
      </text>
    </comment>
    <comment ref="AA42" authorId="0" shapeId="0">
      <text>
        <t>실측(계정 매핑 없음 — 모델값 직접) — 연결 매출 − 조선 부문(파생)</t>
      </text>
    </comment>
    <comment ref="AB42" authorId="0" shapeId="0">
      <text>
        <t>실측(계정 매핑 없음 — 모델값 직접) — 연결 매출 − 조선 부문(파생)</t>
      </text>
    </comment>
    <comment ref="AC42" authorId="0" shapeId="0">
      <text>
        <t>추정: 기타 부문(연결 − 조선 부문) 최근 4분기 중위 1149억 유지
[ratio]</t>
      </text>
    </comment>
    <comment ref="AD42" authorId="0" shapeId="0">
      <text>
        <t>추정: 기타 부문(연결 − 조선 부문) 최근 4분기 중위 1149억 유지
[ratio]</t>
      </text>
    </comment>
    <comment ref="AF42" authorId="0" shapeId="0">
      <text>
        <t>추정: 기타 부문(연결 − 조선 부문) 최근 4분기 중위 1149억 유지
[ratio]</t>
      </text>
    </comment>
    <comment ref="AG42" authorId="0" shapeId="0">
      <text>
        <t>추정: 기타 부문(연결 − 조선 부문) 최근 4분기 중위 1149억 유지
[ratio]</t>
      </text>
    </comment>
    <comment ref="AH42" authorId="0" shapeId="0">
      <text>
        <t>추정: 기타 부문(연결 − 조선 부문) 최근 4분기 중위 1149억 유지
[ratio]</t>
      </text>
    </comment>
    <comment ref="AI42" authorId="0" shapeId="0">
      <text>
        <t>추정: 기타 부문(연결 − 조선 부문) 최근 4분기 중위 1149억 유지
[ratio]</t>
      </text>
    </comment>
    <comment ref="AK42" authorId="0" shapeId="0">
      <text>
        <t>추정: 기타 부문(연결 − 조선 부문) 최근 4분기 중위 1149억 유지
[ratio]</t>
      </text>
    </comment>
    <comment ref="AL42" authorId="0" shapeId="0">
      <text>
        <t>추정: 기타 부문(연결 − 조선 부문) 최근 4분기 중위 1149억 유지
[ratio]</t>
      </text>
    </comment>
    <comment ref="AM42" authorId="0" shapeId="0">
      <text>
        <t>추정: 기타 부문(연결 − 조선 부문) 최근 4분기 중위 1149억 유지
[ratio]</t>
      </text>
    </comment>
    <comment ref="AN42" authorId="0" shapeId="0">
      <text>
        <t>추정: 기타 부문(연결 − 조선 부문) 최근 4분기 중위 1149억 유지
[ratio]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assets/models/010140.json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15.0% 상수(코호트 모드 reference_anchor); 경로 변화는 등급 없는 비중의 실측 중위 9.7% 채움에서만, 추정 구간 타겟 14.72%→15.00%) / 추정 매출조선 = 2026Q2 기준 잔고 소진분 + forecast_panel base 신규수주 매출(미보정 book-value proxy, status partial; FY합 117,902억) — 보수/낙관은 scenarios 블록(합산 안 함) / origin 이후 공시 수주 6건 29,860억은 패널 신규에 포함된 것으로 보아 기존 SLS 에서 제외 — 추정 창 SLS −23,687억(2026 3,580억 · 2027 10,050억 · 2028 10,057억)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32,424억(92%). 공시 수주의 인식 시점·진행률(선형, 체결 분기부터)은 패널 가정과 다르다(calibrated=false) — FY 제외 SLS vs 패널 base 신규 매출: 2026 3,580억 vs 688억 · 2027 10,050억 vs 29,126억 · 2028 10,057억 vs 88,088억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13460</v>
      </c>
      <c r="W15" s="18" t="n">
        <v>16890</v>
      </c>
      <c r="X15" s="18" t="n">
        <v>21950</v>
      </c>
      <c r="Y15" s="18" t="n">
        <v>24200</v>
      </c>
      <c r="Z15" s="9" t="n"/>
      <c r="AA15" s="18" t="n">
        <v>24550</v>
      </c>
      <c r="AB15" s="19" t="n">
        <v>23450</v>
      </c>
      <c r="AC15" s="20" t="n">
        <v>19840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22900</v>
      </c>
      <c r="Y16" s="18" t="n">
        <v>33450</v>
      </c>
      <c r="Z16" s="9" t="n"/>
      <c r="AA16" s="18" t="n">
        <v>32000</v>
      </c>
      <c r="AB16" s="19" t="n">
        <v>35900</v>
      </c>
      <c r="AC16" s="20" t="n">
        <v>25000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12580</v>
      </c>
      <c r="X17" s="18" t="n">
        <v>15560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13524.3</v>
      </c>
      <c r="W18" s="18" t="n">
        <v>15339.8</v>
      </c>
      <c r="X18" s="18" t="n">
        <v>19695.1</v>
      </c>
      <c r="Y18" s="18" t="n">
        <v>25398.3</v>
      </c>
      <c r="Z18" s="9" t="n"/>
      <c r="AA18" s="18" t="n">
        <v>28252.5</v>
      </c>
      <c r="AB18" s="19" t="n">
        <v>28821.3</v>
      </c>
      <c r="AC18" s="20" t="n">
        <v>21437.3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0.243027</v>
      </c>
      <c r="AD21" s="24" t="n">
        <v>0.168254</v>
      </c>
      <c r="AE21" s="25" t="n"/>
      <c r="AF21" s="24" t="n">
        <v>0.190995</v>
      </c>
      <c r="AG21" s="24" t="n">
        <v>0.149511</v>
      </c>
      <c r="AH21" s="24" t="n">
        <v>0.216059</v>
      </c>
      <c r="AI21" s="24" t="n">
        <v>0.314092</v>
      </c>
      <c r="AJ21" s="25" t="n"/>
      <c r="AK21" s="24" t="n">
        <v>0.285616</v>
      </c>
      <c r="AL21" s="24" t="n">
        <v>0.263494</v>
      </c>
      <c r="AM21" s="24" t="n">
        <v>0.25476</v>
      </c>
      <c r="AN21" s="24" t="n">
        <v>0.16502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0.044639</v>
      </c>
      <c r="AD22" s="24" t="n">
        <v>0.044638</v>
      </c>
      <c r="AE22" s="25">
        <f>IFERROR(subQ!AE8/subQ!AE5,"")</f>
        <v/>
      </c>
      <c r="AF22" s="24" t="n">
        <v>0.044639</v>
      </c>
      <c r="AG22" s="24" t="n">
        <v>0.044639</v>
      </c>
      <c r="AH22" s="24" t="n">
        <v>0.044638</v>
      </c>
      <c r="AI22" s="24" t="n">
        <v>0.044638</v>
      </c>
      <c r="AJ22" s="25">
        <f>IFERROR(subQ!AJ8/subQ!AJ5,"")</f>
        <v/>
      </c>
      <c r="AK22" s="24" t="n">
        <v>0.044638</v>
      </c>
      <c r="AL22" s="24" t="n">
        <v>0.044639</v>
      </c>
      <c r="AM22" s="24" t="n">
        <v>0.044638</v>
      </c>
      <c r="AN22" s="24" t="n">
        <v>0.044639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0.109265</v>
      </c>
      <c r="AD23" s="24" t="n">
        <v>0.109438</v>
      </c>
      <c r="AE23" s="25">
        <f>IFERROR(subQ!AE9/subQ!AE5,"")</f>
        <v/>
      </c>
      <c r="AF23" s="24" t="n">
        <v>0.109438</v>
      </c>
      <c r="AG23" s="24" t="n">
        <v>0.110607</v>
      </c>
      <c r="AH23" s="24" t="n">
        <v>0.111192</v>
      </c>
      <c r="AI23" s="24" t="n">
        <v>0.111192</v>
      </c>
      <c r="AJ23" s="25">
        <f>IFERROR(subQ!AJ9/subQ!AJ5,"")</f>
        <v/>
      </c>
      <c r="AK23" s="24" t="n">
        <v>0.112086</v>
      </c>
      <c r="AL23" s="24" t="n">
        <v>0.112086</v>
      </c>
      <c r="AM23" s="24" t="n">
        <v>0.112087</v>
      </c>
      <c r="AN23" s="24" t="n">
        <v>0.112086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IFERROR(subQ!J45/subQ!E45-1,"")</f>
        <v/>
      </c>
      <c r="K24" s="22" t="n"/>
      <c r="L24" s="21">
        <f>IFERROR(subQ!L45/subQ!G45-1,"")</f>
        <v/>
      </c>
      <c r="M24" s="21">
        <f>IFERROR(subQ!M45/subQ!H45-1,"")</f>
        <v/>
      </c>
      <c r="N24" s="21">
        <f>IFERROR(subQ!N45/subQ!I45-1,"")</f>
        <v/>
      </c>
      <c r="O24" s="21">
        <f>IFERROR(subQ!O45/subQ!J45-1,"")</f>
        <v/>
      </c>
      <c r="P24" s="22" t="n"/>
      <c r="Q24" s="21">
        <f>IFERROR(subQ!Q45/subQ!L45-1,"")</f>
        <v/>
      </c>
      <c r="R24" s="21">
        <f>IFERROR(subQ!R45/subQ!M45-1,"")</f>
        <v/>
      </c>
      <c r="S24" s="21">
        <f>IFERROR(subQ!S45/subQ!N45-1,"")</f>
        <v/>
      </c>
      <c r="T24" s="21">
        <f>IFERROR(subQ!T45/subQ!O45-1,"")</f>
        <v/>
      </c>
      <c r="U24" s="22" t="n"/>
      <c r="V24" s="21">
        <f>IFERROR(subQ!V45/subQ!Q45-1,"")</f>
        <v/>
      </c>
      <c r="W24" s="21">
        <f>IFERROR(subQ!W45/subQ!R45-1,"")</f>
        <v/>
      </c>
      <c r="X24" s="21">
        <f>IFERROR(subQ!X45/subQ!S45-1,"")</f>
        <v/>
      </c>
      <c r="Y24" s="21">
        <f>IFERROR(subQ!Y45/subQ!T45-1,"")</f>
        <v/>
      </c>
      <c r="Z24" s="22" t="n"/>
      <c r="AA24" s="21">
        <f>IFERROR(subQ!AA45/subQ!V45-1,"")</f>
        <v/>
      </c>
      <c r="AB24" s="23">
        <f>IFERROR(subQ!AB45/subQ!W45-1,"")</f>
        <v/>
      </c>
      <c r="AC24" s="24" t="n">
        <v>0.209071</v>
      </c>
      <c r="AD24" s="24" t="n">
        <v>0.047893</v>
      </c>
      <c r="AE24" s="25" t="n"/>
      <c r="AF24" s="24" t="n">
        <v>0.162593</v>
      </c>
      <c r="AG24" s="24" t="n">
        <v>0.09940400000000001</v>
      </c>
      <c r="AH24" s="24" t="n">
        <v>0.017383</v>
      </c>
      <c r="AI24" s="24" t="n">
        <v>0.016453</v>
      </c>
      <c r="AJ24" s="25" t="n"/>
      <c r="AK24" s="24" t="n">
        <v>0.02468</v>
      </c>
      <c r="AL24" s="24" t="n">
        <v>0.013562</v>
      </c>
      <c r="AM24" s="24" t="n">
        <v>0.008094</v>
      </c>
      <c r="AN24" s="24" t="n">
        <v>0.008094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-50.78</v>
      </c>
      <c r="AD25" s="29" t="n">
        <v>-42.32</v>
      </c>
      <c r="AE25" s="30">
        <f>subQ!AE11</f>
        <v/>
      </c>
      <c r="AF25" s="29" t="n">
        <v>-33.72</v>
      </c>
      <c r="AG25" s="29" t="n">
        <v>-24.73</v>
      </c>
      <c r="AH25" s="29" t="n">
        <v>-14.94</v>
      </c>
      <c r="AI25" s="29" t="n">
        <v>-4.36</v>
      </c>
      <c r="AJ25" s="30">
        <f>subQ!AJ11</f>
        <v/>
      </c>
      <c r="AK25" s="29" t="n">
        <v>7.25</v>
      </c>
      <c r="AL25" s="29" t="n">
        <v>19.21</v>
      </c>
      <c r="AM25" s="29" t="n">
        <v>31.86</v>
      </c>
      <c r="AN25" s="29" t="n">
        <v>45.37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-50.78</v>
      </c>
      <c r="AD26" s="29" t="n">
        <v>-42.32</v>
      </c>
      <c r="AE26" s="30">
        <f>subQ!AE12</f>
        <v/>
      </c>
      <c r="AF26" s="29" t="n">
        <v>-33.72</v>
      </c>
      <c r="AG26" s="29" t="n">
        <v>-24.73</v>
      </c>
      <c r="AH26" s="29" t="n">
        <v>-14.94</v>
      </c>
      <c r="AI26" s="29" t="n">
        <v>-4.35</v>
      </c>
      <c r="AJ26" s="30">
        <f>subQ!AJ12</f>
        <v/>
      </c>
      <c r="AK26" s="29" t="n">
        <v>7.25</v>
      </c>
      <c r="AL26" s="29" t="n">
        <v>19.21</v>
      </c>
      <c r="AM26" s="29" t="n">
        <v>31.87</v>
      </c>
      <c r="AN26" s="29" t="n">
        <v>45.38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-1.01</v>
      </c>
      <c r="AD29" s="24" t="n">
        <v>-0.997555</v>
      </c>
      <c r="AE29" s="25" t="n"/>
      <c r="AF29" s="24" t="n">
        <v>0</v>
      </c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-0</v>
      </c>
      <c r="AD31" s="29" t="n">
        <v>-0</v>
      </c>
      <c r="AE31" s="30">
        <f>subQ!AE17</f>
        <v/>
      </c>
      <c r="AF31" s="29" t="n">
        <v>-0</v>
      </c>
      <c r="AG31" s="29" t="n">
        <v>-0</v>
      </c>
      <c r="AH31" s="29" t="n">
        <v>-0</v>
      </c>
      <c r="AI31" s="29" t="n">
        <v>-0</v>
      </c>
      <c r="AJ31" s="30">
        <f>subQ!AJ17</f>
        <v/>
      </c>
      <c r="AK31" s="29" t="n">
        <v>-0</v>
      </c>
      <c r="AL31" s="29" t="n">
        <v>-0</v>
      </c>
      <c r="AM31" s="29" t="n">
        <v>-0</v>
      </c>
      <c r="AN31" s="29" t="n">
        <v>-0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0.220001</v>
      </c>
      <c r="AD32" s="24" t="n">
        <v>0.219999</v>
      </c>
      <c r="AE32" s="25">
        <f>IFERROR(subQ!AE19/subQ!AE18,"")</f>
        <v/>
      </c>
      <c r="AF32" s="24" t="n">
        <v>0.22</v>
      </c>
      <c r="AG32" s="24" t="n">
        <v>0.219999</v>
      </c>
      <c r="AH32" s="24" t="n">
        <v>0.219999</v>
      </c>
      <c r="AI32" s="24" t="n">
        <v>0.22</v>
      </c>
      <c r="AJ32" s="25">
        <f>IFERROR(subQ!AJ19/subQ!AJ18,"")</f>
        <v/>
      </c>
      <c r="AK32" s="24" t="n">
        <v>0.220001</v>
      </c>
      <c r="AL32" s="24" t="n">
        <v>0.220001</v>
      </c>
      <c r="AM32" s="24" t="n">
        <v>0.220001</v>
      </c>
      <c r="AN32" s="24" t="n">
        <v>0.219999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-0.006</v>
      </c>
      <c r="AD35" s="29" t="n">
        <v>0</v>
      </c>
      <c r="AE35" s="30" t="n"/>
      <c r="AF35" s="29" t="n">
        <v>0</v>
      </c>
      <c r="AG35" s="29" t="n">
        <v>0</v>
      </c>
      <c r="AH35" s="29" t="n">
        <v>0.01</v>
      </c>
      <c r="AI35" s="29" t="n">
        <v>-0.01</v>
      </c>
      <c r="AJ35" s="30" t="n"/>
      <c r="AK35" s="29" t="n">
        <v>0.01</v>
      </c>
      <c r="AL35" s="29" t="n">
        <v>0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-0.006</v>
      </c>
      <c r="AD36" s="29" t="n">
        <v>-0</v>
      </c>
      <c r="AE36" s="30" t="n"/>
      <c r="AF36" s="29" t="n">
        <v>0</v>
      </c>
      <c r="AG36" s="29" t="n">
        <v>0</v>
      </c>
      <c r="AH36" s="29" t="n">
        <v>0.01</v>
      </c>
      <c r="AI36" s="29" t="n">
        <v>-0.01</v>
      </c>
      <c r="AJ36" s="30" t="n"/>
      <c r="AK36" s="29" t="n">
        <v>0.01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0.133444</v>
      </c>
      <c r="AD38" s="24" t="n">
        <v>0.119676</v>
      </c>
      <c r="AE38" s="25" t="n"/>
      <c r="AF38" s="24" t="n">
        <v>0.111745</v>
      </c>
      <c r="AG38" s="24" t="n">
        <v>0.109464</v>
      </c>
      <c r="AH38" s="24" t="n">
        <v>0.106653</v>
      </c>
      <c r="AI38" s="24" t="n">
        <v>0.105686</v>
      </c>
      <c r="AJ38" s="25" t="n"/>
      <c r="AK38" s="24" t="n">
        <v>0.09851</v>
      </c>
      <c r="AL38" s="24" t="n">
        <v>0.094898</v>
      </c>
      <c r="AM38" s="24" t="n">
        <v>0.092497</v>
      </c>
      <c r="AN38" s="24" t="n">
        <v>0.086187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0.082222</v>
      </c>
      <c r="AD39" s="24" t="n">
        <v>0.07722999999999999</v>
      </c>
      <c r="AE39" s="25" t="n"/>
      <c r="AF39" s="24" t="n">
        <v>0.07495300000000001</v>
      </c>
      <c r="AG39" s="24" t="n">
        <v>0.075935</v>
      </c>
      <c r="AH39" s="24" t="n">
        <v>0.076292</v>
      </c>
      <c r="AI39" s="24" t="n">
        <v>0.077732</v>
      </c>
      <c r="AJ39" s="25" t="n"/>
      <c r="AK39" s="24" t="n">
        <v>0.074334</v>
      </c>
      <c r="AL39" s="24" t="n">
        <v>0.07321900000000001</v>
      </c>
      <c r="AM39" s="24" t="n">
        <v>0.072808</v>
      </c>
      <c r="AN39" s="24" t="n">
        <v>0.069087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-0.501672</v>
      </c>
      <c r="AD45" s="24" t="n">
        <v>-0.524396</v>
      </c>
      <c r="AE45" s="25" t="n"/>
      <c r="AF45" s="24" t="n">
        <v>-0.642512</v>
      </c>
      <c r="AG45" s="24" t="n">
        <v>-0.6717959999999999</v>
      </c>
      <c r="AH45" s="24" t="n">
        <v>-0.434144</v>
      </c>
      <c r="AI45" s="24" t="n">
        <v>-0.338974</v>
      </c>
      <c r="AJ45" s="25" t="n"/>
      <c r="AK45" s="24" t="n">
        <v>-0.250322</v>
      </c>
      <c r="AL45" s="24" t="n">
        <v>-0.23443</v>
      </c>
      <c r="AM45" s="24" t="n">
        <v>-0.237213</v>
      </c>
      <c r="AN45" s="24" t="n">
        <v>-0.2104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-0.216152</v>
      </c>
      <c r="AD46" s="24" t="n">
        <v>-0.40153</v>
      </c>
      <c r="AE46" s="25" t="n"/>
      <c r="AF46" s="24" t="n">
        <v>-0.446729</v>
      </c>
      <c r="AG46" s="24" t="n">
        <v>-0.457364</v>
      </c>
      <c r="AH46" s="24" t="n">
        <v>-0.19697</v>
      </c>
      <c r="AI46" s="24" t="n">
        <v>-0.201278</v>
      </c>
      <c r="AJ46" s="25" t="n"/>
      <c r="AK46" s="24" t="n">
        <v>-0.202703</v>
      </c>
      <c r="AL46" s="24" t="n">
        <v>-0.203571</v>
      </c>
      <c r="AM46" s="24" t="n">
        <v>-0.203774</v>
      </c>
      <c r="AN46" s="24" t="n">
        <v>-0.2</v>
      </c>
      <c r="AO46" s="25" t="n"/>
    </row>
    <row r="47">
      <c r="A47" s="12" t="inlineStr">
        <is>
          <t>drv:매출조선</t>
        </is>
      </c>
      <c r="B47" s="2" t="inlineStr">
        <is>
          <t>ratio</t>
        </is>
      </c>
      <c r="C47" t="inlineStr">
        <is>
          <t>매출조선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0.964923</v>
      </c>
      <c r="AD47" s="24" t="n">
        <v>0.965349</v>
      </c>
      <c r="AE47" s="25">
        <f>IFERROR(subQ!AE38/subQ!AE5,"")</f>
        <v/>
      </c>
      <c r="AF47" s="24" t="n">
        <v>0.966764</v>
      </c>
      <c r="AG47" s="24" t="n">
        <v>0.969066</v>
      </c>
      <c r="AH47" s="24" t="n">
        <v>0.971155</v>
      </c>
      <c r="AI47" s="24" t="n">
        <v>0.9736320000000001</v>
      </c>
      <c r="AJ47" s="25">
        <f>IFERROR(subQ!AJ38/subQ!AJ5,"")</f>
        <v/>
      </c>
      <c r="AK47" s="24" t="n">
        <v>0.974148</v>
      </c>
      <c r="AL47" s="24" t="n">
        <v>0.975517</v>
      </c>
      <c r="AM47" s="24" t="n">
        <v>0.977012</v>
      </c>
      <c r="AN47" s="24" t="n">
        <v>0.977366</v>
      </c>
      <c r="AO47" s="25">
        <f>IFERROR(subQ!AO38/subQ!AO5,"")</f>
        <v/>
      </c>
    </row>
    <row r="48">
      <c r="A48" s="12" t="inlineStr">
        <is>
          <t>drv:매출조선신규</t>
        </is>
      </c>
      <c r="B48" s="2" t="inlineStr">
        <is>
          <t>ratio</t>
        </is>
      </c>
      <c r="C48" t="inlineStr">
        <is>
          <t>매출조선신규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0</v>
      </c>
      <c r="AD48" s="24" t="n">
        <v>0.020748</v>
      </c>
      <c r="AE48" s="25">
        <f>IFERROR(subQ!AE39/subQ!AE5,"")</f>
        <v/>
      </c>
      <c r="AF48" s="24" t="n">
        <v>0.074142</v>
      </c>
      <c r="AG48" s="24" t="n">
        <v>0.14383</v>
      </c>
      <c r="AH48" s="24" t="n">
        <v>0.219465</v>
      </c>
      <c r="AI48" s="24" t="n">
        <v>0.286468</v>
      </c>
      <c r="AJ48" s="25">
        <f>IFERROR(subQ!AJ39/subQ!AJ5,"")</f>
        <v/>
      </c>
      <c r="AK48" s="24" t="n">
        <v>0.369051</v>
      </c>
      <c r="AL48" s="24" t="n">
        <v>0.433166</v>
      </c>
      <c r="AM48" s="24" t="n">
        <v>0.481033</v>
      </c>
      <c r="AN48" s="24" t="n">
        <v>0.538322</v>
      </c>
      <c r="AO48" s="25">
        <f>IFERROR(subQ!AO39/subQ!AO5,"")</f>
        <v/>
      </c>
    </row>
    <row r="49">
      <c r="A49" s="12" t="inlineStr">
        <is>
          <t>drv:OP조선</t>
        </is>
      </c>
      <c r="B49" s="2" t="inlineStr">
        <is>
          <t>ratio</t>
        </is>
      </c>
      <c r="C49" t="inlineStr">
        <is>
          <t>OP조선 마진(/매출조선)</t>
        </is>
      </c>
      <c r="E49" s="21">
        <f>IFERROR(subQ!E40/subQ!E38,"")</f>
        <v/>
      </c>
      <c r="F49" s="22">
        <f>IFERROR(subQ!F40/subQ!F38,"")</f>
        <v/>
      </c>
      <c r="G49" s="21">
        <f>IFERROR(subQ!G40/subQ!G38,"")</f>
        <v/>
      </c>
      <c r="H49" s="21">
        <f>IFERROR(subQ!H40/subQ!H38,"")</f>
        <v/>
      </c>
      <c r="I49" s="21">
        <f>IFERROR(subQ!I40/subQ!I38,"")</f>
        <v/>
      </c>
      <c r="J49" s="21">
        <f>IFERROR(subQ!J40/subQ!J38,"")</f>
        <v/>
      </c>
      <c r="K49" s="22">
        <f>IFERROR(subQ!K40/subQ!K38,"")</f>
        <v/>
      </c>
      <c r="L49" s="21">
        <f>IFERROR(subQ!L40/subQ!L38,"")</f>
        <v/>
      </c>
      <c r="M49" s="21">
        <f>IFERROR(subQ!M40/subQ!M38,"")</f>
        <v/>
      </c>
      <c r="N49" s="21">
        <f>IFERROR(subQ!N40/subQ!N38,"")</f>
        <v/>
      </c>
      <c r="O49" s="21">
        <f>IFERROR(subQ!O40/subQ!O38,"")</f>
        <v/>
      </c>
      <c r="P49" s="22">
        <f>IFERROR(subQ!P40/subQ!P38,"")</f>
        <v/>
      </c>
      <c r="Q49" s="21">
        <f>IFERROR(subQ!Q40/subQ!Q38,"")</f>
        <v/>
      </c>
      <c r="R49" s="21">
        <f>IFERROR(subQ!R40/subQ!R38,"")</f>
        <v/>
      </c>
      <c r="S49" s="21">
        <f>IFERROR(subQ!S40/subQ!S38,"")</f>
        <v/>
      </c>
      <c r="T49" s="21">
        <f>IFERROR(subQ!T40/subQ!T38,"")</f>
        <v/>
      </c>
      <c r="U49" s="22">
        <f>IFERROR(subQ!U40/subQ!U38,"")</f>
        <v/>
      </c>
      <c r="V49" s="21">
        <f>IFERROR(subQ!V40/subQ!V38,"")</f>
        <v/>
      </c>
      <c r="W49" s="21">
        <f>IFERROR(subQ!W40/subQ!W38,"")</f>
        <v/>
      </c>
      <c r="X49" s="21">
        <f>IFERROR(subQ!X40/subQ!X38,"")</f>
        <v/>
      </c>
      <c r="Y49" s="21">
        <f>IFERROR(subQ!Y40/subQ!Y38,"")</f>
        <v/>
      </c>
      <c r="Z49" s="22">
        <f>IFERROR(subQ!Z40/subQ!Z38,"")</f>
        <v/>
      </c>
      <c r="AA49" s="21">
        <f>IFERROR(subQ!AA40/subQ!AA38,"")</f>
        <v/>
      </c>
      <c r="AB49" s="23">
        <f>IFERROR(subQ!AB40/subQ!AB38,"")</f>
        <v/>
      </c>
      <c r="AC49" s="24" t="n">
        <v>0.109265</v>
      </c>
      <c r="AD49" s="24" t="n">
        <v>0.109438</v>
      </c>
      <c r="AE49" s="25">
        <f>IFERROR(subQ!AE40/subQ!AE38,"")</f>
        <v/>
      </c>
      <c r="AF49" s="24" t="n">
        <v>0.109438</v>
      </c>
      <c r="AG49" s="24" t="n">
        <v>0.110607</v>
      </c>
      <c r="AH49" s="24" t="n">
        <v>0.111192</v>
      </c>
      <c r="AI49" s="24" t="n">
        <v>0.111192</v>
      </c>
      <c r="AJ49" s="25">
        <f>IFERROR(subQ!AJ40/subQ!AJ38,"")</f>
        <v/>
      </c>
      <c r="AK49" s="24" t="n">
        <v>0.112086</v>
      </c>
      <c r="AL49" s="24" t="n">
        <v>0.112086</v>
      </c>
      <c r="AM49" s="24" t="n">
        <v>0.112086</v>
      </c>
      <c r="AN49" s="24" t="n">
        <v>0.112086</v>
      </c>
      <c r="AO49" s="25">
        <f>IFERROR(subQ!AO40/subQ!AO38,"")</f>
        <v/>
      </c>
    </row>
    <row r="50">
      <c r="A50" s="12" t="inlineStr">
        <is>
          <t>drv:OP조선신규</t>
        </is>
      </c>
      <c r="B50" s="2" t="inlineStr">
        <is>
          <t>ratio</t>
        </is>
      </c>
      <c r="C50" t="inlineStr">
        <is>
          <t>OP조선신규 마진(/매출조선신규)</t>
        </is>
      </c>
      <c r="E50" s="21">
        <f>IFERROR(subQ!E41/subQ!E39,"")</f>
        <v/>
      </c>
      <c r="F50" s="22">
        <f>IFERROR(subQ!F41/subQ!F39,"")</f>
        <v/>
      </c>
      <c r="G50" s="21">
        <f>IFERROR(subQ!G41/subQ!G39,"")</f>
        <v/>
      </c>
      <c r="H50" s="21">
        <f>IFERROR(subQ!H41/subQ!H39,"")</f>
        <v/>
      </c>
      <c r="I50" s="21">
        <f>IFERROR(subQ!I41/subQ!I39,"")</f>
        <v/>
      </c>
      <c r="J50" s="21">
        <f>IFERROR(subQ!J41/subQ!J39,"")</f>
        <v/>
      </c>
      <c r="K50" s="22">
        <f>IFERROR(subQ!K41/subQ!K39,"")</f>
        <v/>
      </c>
      <c r="L50" s="21">
        <f>IFERROR(subQ!L41/subQ!L39,"")</f>
        <v/>
      </c>
      <c r="M50" s="21">
        <f>IFERROR(subQ!M41/subQ!M39,"")</f>
        <v/>
      </c>
      <c r="N50" s="21">
        <f>IFERROR(subQ!N41/subQ!N39,"")</f>
        <v/>
      </c>
      <c r="O50" s="21">
        <f>IFERROR(subQ!O41/subQ!O39,"")</f>
        <v/>
      </c>
      <c r="P50" s="22">
        <f>IFERROR(subQ!P41/subQ!P39,"")</f>
        <v/>
      </c>
      <c r="Q50" s="21">
        <f>IFERROR(subQ!Q41/subQ!Q39,"")</f>
        <v/>
      </c>
      <c r="R50" s="21">
        <f>IFERROR(subQ!R41/subQ!R39,"")</f>
        <v/>
      </c>
      <c r="S50" s="21">
        <f>IFERROR(subQ!S41/subQ!S39,"")</f>
        <v/>
      </c>
      <c r="T50" s="21">
        <f>IFERROR(subQ!T41/subQ!T39,"")</f>
        <v/>
      </c>
      <c r="U50" s="22">
        <f>IFERROR(subQ!U41/subQ!U39,"")</f>
        <v/>
      </c>
      <c r="V50" s="21">
        <f>IFERROR(subQ!V41/subQ!V39,"")</f>
        <v/>
      </c>
      <c r="W50" s="21">
        <f>IFERROR(subQ!W41/subQ!W39,"")</f>
        <v/>
      </c>
      <c r="X50" s="21">
        <f>IFERROR(subQ!X41/subQ!X39,"")</f>
        <v/>
      </c>
      <c r="Y50" s="21">
        <f>IFERROR(subQ!Y41/subQ!Y39,"")</f>
        <v/>
      </c>
      <c r="Z50" s="22">
        <f>IFERROR(subQ!Z41/subQ!Z39,"")</f>
        <v/>
      </c>
      <c r="AA50" s="21">
        <f>IFERROR(subQ!AA41/subQ!AA39,"")</f>
        <v/>
      </c>
      <c r="AB50" s="23">
        <f>IFERROR(subQ!AB41/subQ!AB39,"")</f>
        <v/>
      </c>
      <c r="AC50" s="31" t="n"/>
      <c r="AD50" s="24" t="n">
        <v>0.109436</v>
      </c>
      <c r="AE50" s="25">
        <f>IFERROR(subQ!AE41/subQ!AE39,"")</f>
        <v/>
      </c>
      <c r="AF50" s="24" t="n">
        <v>0.10944</v>
      </c>
      <c r="AG50" s="24" t="n">
        <v>0.110608</v>
      </c>
      <c r="AH50" s="24" t="n">
        <v>0.111191</v>
      </c>
      <c r="AI50" s="24" t="n">
        <v>0.111191</v>
      </c>
      <c r="AJ50" s="25">
        <f>IFERROR(subQ!AJ41/subQ!AJ39,"")</f>
        <v/>
      </c>
      <c r="AK50" s="24" t="n">
        <v>0.112086</v>
      </c>
      <c r="AL50" s="24" t="n">
        <v>0.112086</v>
      </c>
      <c r="AM50" s="24" t="n">
        <v>0.112087</v>
      </c>
      <c r="AN50" s="24" t="n">
        <v>0.112086</v>
      </c>
      <c r="AO50" s="25">
        <f>IFERROR(subQ!AO41/subQ!AO39,"")</f>
        <v/>
      </c>
    </row>
    <row r="51">
      <c r="A51" s="12" t="inlineStr">
        <is>
          <t>drv:매출기타</t>
        </is>
      </c>
      <c r="B51" s="2" t="inlineStr">
        <is>
          <t>ratio</t>
        </is>
      </c>
      <c r="C51" t="inlineStr">
        <is>
          <t>매출기타 비중(/매출액)</t>
        </is>
      </c>
      <c r="E51" s="21">
        <f>IFERROR(subQ!E42/subQ!E5,"")</f>
        <v/>
      </c>
      <c r="F51" s="22">
        <f>IFERROR(subQ!F42/subQ!F5,"")</f>
        <v/>
      </c>
      <c r="G51" s="21">
        <f>IFERROR(subQ!G42/subQ!G5,"")</f>
        <v/>
      </c>
      <c r="H51" s="21">
        <f>IFERROR(subQ!H42/subQ!H5,"")</f>
        <v/>
      </c>
      <c r="I51" s="21">
        <f>IFERROR(subQ!I42/subQ!I5,"")</f>
        <v/>
      </c>
      <c r="J51" s="21">
        <f>IFERROR(subQ!J42/subQ!J5,"")</f>
        <v/>
      </c>
      <c r="K51" s="22">
        <f>IFERROR(subQ!K42/subQ!K5,"")</f>
        <v/>
      </c>
      <c r="L51" s="21">
        <f>IFERROR(subQ!L42/subQ!L5,"")</f>
        <v/>
      </c>
      <c r="M51" s="21">
        <f>IFERROR(subQ!M42/subQ!M5,"")</f>
        <v/>
      </c>
      <c r="N51" s="21">
        <f>IFERROR(subQ!N42/subQ!N5,"")</f>
        <v/>
      </c>
      <c r="O51" s="21">
        <f>IFERROR(subQ!O42/subQ!O5,"")</f>
        <v/>
      </c>
      <c r="P51" s="22">
        <f>IFERROR(subQ!P42/subQ!P5,"")</f>
        <v/>
      </c>
      <c r="Q51" s="21">
        <f>IFERROR(subQ!Q42/subQ!Q5,"")</f>
        <v/>
      </c>
      <c r="R51" s="21">
        <f>IFERROR(subQ!R42/subQ!R5,"")</f>
        <v/>
      </c>
      <c r="S51" s="21">
        <f>IFERROR(subQ!S42/subQ!S5,"")</f>
        <v/>
      </c>
      <c r="T51" s="21">
        <f>IFERROR(subQ!T42/subQ!T5,"")</f>
        <v/>
      </c>
      <c r="U51" s="22">
        <f>IFERROR(subQ!U42/subQ!U5,"")</f>
        <v/>
      </c>
      <c r="V51" s="21">
        <f>IFERROR(subQ!V42/subQ!V5,"")</f>
        <v/>
      </c>
      <c r="W51" s="21">
        <f>IFERROR(subQ!W42/subQ!W5,"")</f>
        <v/>
      </c>
      <c r="X51" s="21">
        <f>IFERROR(subQ!X42/subQ!X5,"")</f>
        <v/>
      </c>
      <c r="Y51" s="21">
        <f>IFERROR(subQ!Y42/subQ!Y5,"")</f>
        <v/>
      </c>
      <c r="Z51" s="22">
        <f>IFERROR(subQ!Z42/subQ!Z5,"")</f>
        <v/>
      </c>
      <c r="AA51" s="21">
        <f>IFERROR(subQ!AA42/subQ!AA5,"")</f>
        <v/>
      </c>
      <c r="AB51" s="23">
        <f>IFERROR(subQ!AB42/subQ!AB5,"")</f>
        <v/>
      </c>
      <c r="AC51" s="24" t="n">
        <v>0.035077</v>
      </c>
      <c r="AD51" s="24" t="n">
        <v>0.034651</v>
      </c>
      <c r="AE51" s="25">
        <f>IFERROR(subQ!AE42/subQ!AE5,"")</f>
        <v/>
      </c>
      <c r="AF51" s="24" t="n">
        <v>0.033236</v>
      </c>
      <c r="AG51" s="24" t="n">
        <v>0.030934</v>
      </c>
      <c r="AH51" s="24" t="n">
        <v>0.028844</v>
      </c>
      <c r="AI51" s="24" t="n">
        <v>0.026368</v>
      </c>
      <c r="AJ51" s="25">
        <f>IFERROR(subQ!AJ42/subQ!AJ5,"")</f>
        <v/>
      </c>
      <c r="AK51" s="24" t="n">
        <v>0.025852</v>
      </c>
      <c r="AL51" s="24" t="n">
        <v>0.024483</v>
      </c>
      <c r="AM51" s="24" t="n">
        <v>0.022988</v>
      </c>
      <c r="AN51" s="24" t="n">
        <v>0.022633</v>
      </c>
      <c r="AO51" s="25">
        <f>IFERROR(subQ!AO42/subQ!AO5,"")</f>
        <v/>
      </c>
    </row>
    <row r="52">
      <c r="A52" s="12" t="inlineStr">
        <is>
          <t>drv:OP기타</t>
        </is>
      </c>
      <c r="B52" s="2" t="inlineStr">
        <is>
          <t>ratio</t>
        </is>
      </c>
      <c r="C52" t="inlineStr">
        <is>
          <t>OP기타 마진(/매출기타)</t>
        </is>
      </c>
      <c r="E52" s="21">
        <f>IFERROR(subQ!E43/subQ!E42,"")</f>
        <v/>
      </c>
      <c r="F52" s="22">
        <f>IFERROR(subQ!F43/subQ!F42,"")</f>
        <v/>
      </c>
      <c r="G52" s="21">
        <f>IFERROR(subQ!G43/subQ!G42,"")</f>
        <v/>
      </c>
      <c r="H52" s="21">
        <f>IFERROR(subQ!H43/subQ!H42,"")</f>
        <v/>
      </c>
      <c r="I52" s="21">
        <f>IFERROR(subQ!I43/subQ!I42,"")</f>
        <v/>
      </c>
      <c r="J52" s="21">
        <f>IFERROR(subQ!J43/subQ!J42,"")</f>
        <v/>
      </c>
      <c r="K52" s="22">
        <f>IFERROR(subQ!K43/subQ!K42,"")</f>
        <v/>
      </c>
      <c r="L52" s="21">
        <f>IFERROR(subQ!L43/subQ!L42,"")</f>
        <v/>
      </c>
      <c r="M52" s="21">
        <f>IFERROR(subQ!M43/subQ!M42,"")</f>
        <v/>
      </c>
      <c r="N52" s="21">
        <f>IFERROR(subQ!N43/subQ!N42,"")</f>
        <v/>
      </c>
      <c r="O52" s="21">
        <f>IFERROR(subQ!O43/subQ!O42,"")</f>
        <v/>
      </c>
      <c r="P52" s="22">
        <f>IFERROR(subQ!P43/subQ!P42,"")</f>
        <v/>
      </c>
      <c r="Q52" s="21">
        <f>IFERROR(subQ!Q43/subQ!Q42,"")</f>
        <v/>
      </c>
      <c r="R52" s="21">
        <f>IFERROR(subQ!R43/subQ!R42,"")</f>
        <v/>
      </c>
      <c r="S52" s="21">
        <f>IFERROR(subQ!S43/subQ!S42,"")</f>
        <v/>
      </c>
      <c r="T52" s="21">
        <f>IFERROR(subQ!T43/subQ!T42,"")</f>
        <v/>
      </c>
      <c r="U52" s="22">
        <f>IFERROR(subQ!U43/subQ!U42,"")</f>
        <v/>
      </c>
      <c r="V52" s="21">
        <f>IFERROR(subQ!V43/subQ!V42,"")</f>
        <v/>
      </c>
      <c r="W52" s="21">
        <f>IFERROR(subQ!W43/subQ!W42,"")</f>
        <v/>
      </c>
      <c r="X52" s="21">
        <f>IFERROR(subQ!X43/subQ!X42,"")</f>
        <v/>
      </c>
      <c r="Y52" s="21">
        <f>IFERROR(subQ!Y43/subQ!Y42,"")</f>
        <v/>
      </c>
      <c r="Z52" s="22">
        <f>IFERROR(subQ!Z43/subQ!Z42,"")</f>
        <v/>
      </c>
      <c r="AA52" s="21">
        <f>IFERROR(subQ!AA43/subQ!AA42,"")</f>
        <v/>
      </c>
      <c r="AB52" s="23">
        <f>IFERROR(subQ!AB43/subQ!AB42,"")</f>
        <v/>
      </c>
      <c r="AC52" s="24" t="n">
        <v>0.109261</v>
      </c>
      <c r="AD52" s="24" t="n">
        <v>0.109435</v>
      </c>
      <c r="AE52" s="25">
        <f>IFERROR(subQ!AE43/subQ!AE42,"")</f>
        <v/>
      </c>
      <c r="AF52" s="24" t="n">
        <v>0.109435</v>
      </c>
      <c r="AG52" s="24" t="n">
        <v>0.11061</v>
      </c>
      <c r="AH52" s="24" t="n">
        <v>0.111193</v>
      </c>
      <c r="AI52" s="24" t="n">
        <v>0.111193</v>
      </c>
      <c r="AJ52" s="25">
        <f>IFERROR(subQ!AJ43/subQ!AJ42,"")</f>
        <v/>
      </c>
      <c r="AK52" s="24" t="n">
        <v>0.11209</v>
      </c>
      <c r="AL52" s="24" t="n">
        <v>0.11209</v>
      </c>
      <c r="AM52" s="24" t="n">
        <v>0.11209</v>
      </c>
      <c r="AN52" s="24" t="n">
        <v>0.11209</v>
      </c>
      <c r="AO52" s="25">
        <f>IFERROR(subQ!AO43/subQ!AO42,"")</f>
        <v/>
      </c>
    </row>
    <row r="53"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B54" s="1" t="inlineStr">
        <is>
          <t>3. 밸류에이션·스칼라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sc:종가</t>
        </is>
      </c>
      <c r="C55" t="inlineStr">
        <is>
          <t>종가</t>
        </is>
      </c>
      <c r="D55" s="32" t="n">
        <v>19500</v>
      </c>
      <c r="E55" s="2" t="inlineStr">
        <is>
          <t>원 — aikstockdata(금융위 T+1)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sc:기준일</t>
        </is>
      </c>
      <c r="C56" t="inlineStr">
        <is>
          <t>기준일</t>
        </is>
      </c>
      <c r="D56" s="33" t="inlineStr">
        <is>
          <t>20260929</t>
        </is>
      </c>
      <c r="E56" s="2" t="inlineStr">
        <is>
          <t>종가 기준일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sc:COE</t>
        </is>
      </c>
      <c r="C57" t="inlineStr">
        <is>
          <t>COE</t>
        </is>
      </c>
      <c r="D57" s="24" t="n">
        <v>0.09</v>
      </c>
      <c r="E57" s="2" t="inlineStr">
        <is>
          <t>자기자본비용(가정)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sc:PER_lo</t>
        </is>
      </c>
      <c r="C58" t="inlineStr">
        <is>
          <t>PER_lo</t>
        </is>
      </c>
      <c r="D58" s="29" t="n">
        <v>10</v>
      </c>
      <c r="E58" s="2" t="inlineStr">
        <is>
          <t>PER 밴드 하단(배) — sector_default(레퍼런스 TP_PE PB 예시 10/15/20배; 과거 PER 중위 46.2배가 3~40 밖(턴어라운드 왜곡))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sc:PER_mid</t>
        </is>
      </c>
      <c r="C59" t="inlineStr">
        <is>
          <t>PER_mid</t>
        </is>
      </c>
      <c r="D59" s="29" t="n">
        <v>15</v>
      </c>
      <c r="E59" s="2" t="inlineStr">
        <is>
          <t>PER 밴드 중단(배)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sc:PER_hi</t>
        </is>
      </c>
      <c r="C60" t="inlineStr">
        <is>
          <t>PER_hi</t>
        </is>
      </c>
      <c r="D60" s="29" t="n">
        <v>20</v>
      </c>
      <c r="E60" s="2" t="inlineStr">
        <is>
          <t>PER 밴드 상단(배)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sc:EPS_Y1가중</t>
        </is>
      </c>
      <c r="C61" t="inlineStr">
        <is>
          <t>EPS_Y1가중</t>
        </is>
      </c>
      <c r="D61" s="24" t="n">
        <v>0.5</v>
      </c>
      <c r="E61" s="2" t="inlineStr">
        <is>
          <t>12M fwd EPS = FY(last_actual연도)E × w + FY+1E × (1−w) — 기준 분기 2Q 이면 0.5(가정)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sc:세율</t>
        </is>
      </c>
      <c r="C62" t="inlineStr">
        <is>
          <t>세율</t>
        </is>
      </c>
      <c r="D62" s="24" t="n">
        <v>0.22</v>
      </c>
      <c r="E62" s="2" t="inlineStr">
        <is>
          <t>법인세율 가정(참고 — 추정 수식은 드라이버 행 참조)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s="12" t="inlineStr">
        <is>
          <t>sc:판관비율</t>
        </is>
      </c>
      <c r="C63" t="inlineStr">
        <is>
          <t>판관비율</t>
        </is>
      </c>
      <c r="D63" s="24" t="n">
        <v>0.0446</v>
      </c>
      <c r="E63" s="2" t="inlineStr">
        <is>
          <t>판관비율 가정(참고)</t>
        </is>
      </c>
      <c r="F63" s="9" t="n"/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s="12" t="inlineStr">
        <is>
          <t>sc:배당성향</t>
        </is>
      </c>
      <c r="C64" t="inlineStr">
        <is>
          <t>배당성향</t>
        </is>
      </c>
      <c r="D64" s="24" t="n">
        <v>0</v>
      </c>
      <c r="E64" s="2" t="inlineStr">
        <is>
          <t>배당성향 가정(참고)</t>
        </is>
      </c>
      <c r="F64" s="9" t="n"/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s="12" t="inlineStr">
        <is>
          <t>sc:외화순노출_백만$</t>
        </is>
      </c>
      <c r="C65" t="inlineStr">
        <is>
          <t>외화순노출_백만$</t>
        </is>
      </c>
      <c r="D65" s="29" t="n"/>
      <c r="E65" s="2" t="inlineStr">
        <is>
          <t>외화 순노출 × Δ기말환율 (외화 시트 방식)</t>
        </is>
      </c>
      <c r="F65" s="9" t="n"/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4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4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4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4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4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4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4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4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4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4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4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4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4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4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4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4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4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4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4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4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4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4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4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4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4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4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4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4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4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4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4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4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4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4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4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4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4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4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4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4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4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4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4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4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4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4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4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4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4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4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4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4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4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4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4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4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4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4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4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4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4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4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4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4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4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4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4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4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4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4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4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4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4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4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4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4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4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4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4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4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4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4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4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4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4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4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4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4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4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4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4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4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4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4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4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4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4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4" t="n">
        <v>274.64</v>
      </c>
      <c r="L27" s="18" t="n">
        <v>273.6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4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4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4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4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4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4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4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4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4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4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4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4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4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4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4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4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4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4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4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4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4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4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4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4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4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4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4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4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4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4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4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4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4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4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4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4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4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4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4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4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4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4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4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4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4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4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4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4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4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4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4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4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4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4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4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4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4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4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4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4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4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4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4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4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4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4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4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4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4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4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4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4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4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4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4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4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4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4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4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4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4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4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4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4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4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4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4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4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4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4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4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4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4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4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4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4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4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4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4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4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4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4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4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4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4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4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4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4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4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4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4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4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4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4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4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4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4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4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4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4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4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4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4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4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4" t="n">
        <v>0</v>
      </c>
      <c r="Y53" s="18" t="n">
        <v>0</v>
      </c>
      <c r="Z53" s="34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4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4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4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4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4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4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4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4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4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4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4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4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4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4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4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4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4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4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4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4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4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4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4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4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4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4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4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4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4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4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4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4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4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4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4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4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4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4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4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4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4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4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4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4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4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4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4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4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4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4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4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4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4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4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4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4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4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4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4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4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4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4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4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4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4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4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4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4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4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4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4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4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4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4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4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4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4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4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4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4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4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4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4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4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4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4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4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4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4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4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4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4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4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4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4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4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4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4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4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4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4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4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4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4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4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4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4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4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4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4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4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4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4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4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4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4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4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4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4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4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4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4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4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4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4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4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4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4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4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4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4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4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4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4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4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4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4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4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4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4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4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4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4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4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4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4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4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4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4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4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4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4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4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4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4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4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4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4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4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4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4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4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4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4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4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4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4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4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4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4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4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4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4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4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4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4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4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4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4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4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4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4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4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4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4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4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4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4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4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4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4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4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4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4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4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4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4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4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4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4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4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4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4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4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4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4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4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4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4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4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4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4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4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4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4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4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4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4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4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4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4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4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4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4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4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4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4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4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4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4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4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4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4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4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4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4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4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4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4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4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4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4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4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4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4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4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4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4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4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4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4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4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4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4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4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4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4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4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4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4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4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4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4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4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4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4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4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4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4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4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4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4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4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4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4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4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4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4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4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4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4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4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4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4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4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4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4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4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4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4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4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4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4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4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4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4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4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4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4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4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4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4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4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4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4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4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4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4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4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4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4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4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4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4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4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4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4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4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4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4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4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4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4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4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4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4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4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4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4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4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4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4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4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4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4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4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4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4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4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4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4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4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4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4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4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4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4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4" t="n">
        <v>274.64</v>
      </c>
      <c r="L25" s="18" t="n">
        <v>273.6</v>
      </c>
      <c r="O25" s="18" t="n">
        <v>0</v>
      </c>
      <c r="P25" s="34" t="n">
        <v>0</v>
      </c>
      <c r="T25" s="18" t="n">
        <v>0</v>
      </c>
      <c r="U25" s="34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4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4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4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4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4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4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4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4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4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4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4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4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4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4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4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4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4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4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4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4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4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4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4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4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4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4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4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4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4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4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4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4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4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4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4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4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4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4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4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4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4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4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4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4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4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4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4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4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4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4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4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4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4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4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4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4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4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4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4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4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4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4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4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4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4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4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4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4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4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4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4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4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4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4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4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4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4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4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4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4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4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4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4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4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4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4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4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4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4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4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4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4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4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4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4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4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4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4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4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4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4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4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4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4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4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4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4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4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4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4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4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4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4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4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4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4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4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4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4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4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4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4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4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4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4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4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4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4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4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4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4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4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4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4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4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4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4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4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4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4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4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4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4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4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4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4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4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4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4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4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4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4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4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4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4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4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4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4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4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4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4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4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4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4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4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4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4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4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4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4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4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4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4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4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4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4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4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4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4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4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4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4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4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4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4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4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4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4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4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4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4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4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4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4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4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4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4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4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4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4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4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4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4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4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4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4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4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4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4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4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4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4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4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4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4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4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4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4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4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4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4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4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4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4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4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4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4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4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4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4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4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4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4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4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4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4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4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4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4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4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4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4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4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4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4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4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4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4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4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4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4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4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4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4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4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4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4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4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4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4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4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4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4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4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4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4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4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4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4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4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4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4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4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4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4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4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4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4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4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4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4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4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4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4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4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4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4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4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4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4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4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4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4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4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4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4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4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4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4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4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4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4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4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4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4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4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4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4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4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4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4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4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4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4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4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4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4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4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4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4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4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4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4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4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4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4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4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4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4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-0.1392</v>
      </c>
      <c r="F10" s="34" t="n"/>
      <c r="G10" s="18" t="n">
        <v>-0.064</v>
      </c>
      <c r="H10" s="18" t="n">
        <v>-0.1793</v>
      </c>
      <c r="I10" s="18" t="n">
        <v>-0.1199</v>
      </c>
      <c r="J10" s="18" t="n">
        <v>-0.2055</v>
      </c>
      <c r="K10" s="34">
        <f>SUM(G10:J10)</f>
        <v/>
      </c>
      <c r="L10" s="18" t="n">
        <v>0.0122</v>
      </c>
      <c r="M10" s="18" t="n">
        <v>0.0303</v>
      </c>
      <c r="N10" s="18" t="n">
        <v>0.0375</v>
      </c>
      <c r="O10" s="18" t="n">
        <v>0.0325</v>
      </c>
      <c r="P10" s="34">
        <f>SUM(L10:O10)</f>
        <v/>
      </c>
      <c r="Q10" s="18" t="n">
        <v>0.0332</v>
      </c>
      <c r="R10" s="18" t="n">
        <v>0.0516</v>
      </c>
      <c r="S10" s="18" t="n">
        <v>0.0516</v>
      </c>
      <c r="T10" s="18" t="n">
        <v>0.0645</v>
      </c>
      <c r="U10" s="34">
        <f>SUM(Q10:T10)</f>
        <v/>
      </c>
      <c r="V10" s="18" t="n">
        <v>0.0493</v>
      </c>
      <c r="W10" s="18" t="n">
        <v>0.07630000000000001</v>
      </c>
      <c r="X10" s="18" t="n">
        <v>0.09039999999999999</v>
      </c>
      <c r="Y10" s="18" t="n">
        <v>0.1044</v>
      </c>
      <c r="Z10" s="34">
        <f>SUM(V10:Y10)</f>
        <v/>
      </c>
      <c r="AA10" s="18" t="n">
        <v>0.0941</v>
      </c>
      <c r="AB10" s="19" t="n">
        <v>0.1006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-79.66</v>
      </c>
      <c r="H13" s="18" t="n">
        <v>-216.21</v>
      </c>
      <c r="I13" s="18" t="n">
        <v>-429.88</v>
      </c>
      <c r="J13" s="18" t="n">
        <v>607.6</v>
      </c>
      <c r="K13" s="34">
        <f>SUM(G13:J13)</f>
        <v/>
      </c>
      <c r="L13" s="18" t="n">
        <v>-205.15</v>
      </c>
      <c r="M13" s="18" t="n">
        <v>-94.23</v>
      </c>
      <c r="N13" s="18" t="n">
        <v>-89.66</v>
      </c>
      <c r="O13" s="18" t="n">
        <v>210.1</v>
      </c>
      <c r="P13" s="34">
        <f>SUM(L13:O13)</f>
        <v/>
      </c>
      <c r="Q13" s="18" t="n">
        <v>-163.32</v>
      </c>
      <c r="R13" s="18" t="n">
        <v>-196.83</v>
      </c>
      <c r="S13" s="18" t="n">
        <v>304.15</v>
      </c>
      <c r="T13" s="18" t="n">
        <v>-626.11</v>
      </c>
      <c r="U13" s="34">
        <f>SUM(Q13:T13)</f>
        <v/>
      </c>
      <c r="V13" s="18" t="n">
        <v>-15.62</v>
      </c>
      <c r="W13" s="18" t="n">
        <v>244.07</v>
      </c>
      <c r="X13" s="18" t="n">
        <v>-145.35</v>
      </c>
      <c r="Y13" s="18" t="n">
        <v>-98.59</v>
      </c>
      <c r="Z13" s="34">
        <f>SUM(V13:Y13)</f>
        <v/>
      </c>
      <c r="AA13" s="18" t="n">
        <v>-213.88</v>
      </c>
      <c r="AB13" s="19" t="n">
        <v>-63.92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33.38</v>
      </c>
      <c r="H14" s="18" t="n">
        <v>167.59</v>
      </c>
      <c r="I14" s="18" t="n">
        <v>169.19</v>
      </c>
      <c r="J14" s="18" t="n">
        <v>-125.65</v>
      </c>
      <c r="K14" s="34">
        <f>SUM(G14:J14)</f>
        <v/>
      </c>
      <c r="L14" s="18" t="n">
        <v>71.37</v>
      </c>
      <c r="M14" s="18" t="n">
        <v>182.34</v>
      </c>
      <c r="N14" s="18" t="n">
        <v>86.40000000000001</v>
      </c>
      <c r="O14" s="18" t="n">
        <v>-22.8</v>
      </c>
      <c r="P14" s="34">
        <f>SUM(L14:O14)</f>
        <v/>
      </c>
      <c r="Q14" s="18" t="n">
        <v>298.46</v>
      </c>
      <c r="R14" s="18" t="n">
        <v>261.49</v>
      </c>
      <c r="S14" s="18" t="n">
        <v>-280.1</v>
      </c>
      <c r="T14" s="18" t="n">
        <v>914.05</v>
      </c>
      <c r="U14" s="34">
        <f>SUM(Q14:T14)</f>
        <v/>
      </c>
      <c r="V14" s="18" t="n">
        <v>590.86</v>
      </c>
      <c r="W14" s="18" t="n">
        <v>2030.92</v>
      </c>
      <c r="X14" s="18" t="n">
        <v>-477.36</v>
      </c>
      <c r="Y14" s="18" t="n">
        <v>-530.83</v>
      </c>
      <c r="Z14" s="34">
        <f>SUM(V14:Y14)</f>
        <v/>
      </c>
      <c r="AA14" s="18" t="n">
        <v>-1016</v>
      </c>
      <c r="AB14" s="19" t="n">
        <v>-182.11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0</v>
      </c>
      <c r="H15" s="18" t="n">
        <v>0</v>
      </c>
      <c r="I15" s="18" t="n">
        <v>0</v>
      </c>
      <c r="J15" s="18" t="n">
        <v>-82.73</v>
      </c>
      <c r="K15" s="34">
        <f>SUM(G15:J15)</f>
        <v/>
      </c>
      <c r="L15" s="18" t="n">
        <v>-34.01</v>
      </c>
      <c r="M15" s="18" t="n">
        <v>-35.59</v>
      </c>
      <c r="N15" s="18" t="n">
        <v>-34.83</v>
      </c>
      <c r="O15" s="18" t="n">
        <v>-42.19</v>
      </c>
      <c r="P15" s="34">
        <f>SUM(L15:O15)</f>
        <v/>
      </c>
      <c r="Q15" s="18" t="n">
        <v>-2.59</v>
      </c>
      <c r="R15" s="18" t="n">
        <v>-3.05</v>
      </c>
      <c r="S15" s="18" t="n">
        <v>-2.51</v>
      </c>
      <c r="T15" s="18" t="n">
        <v>-376.03</v>
      </c>
      <c r="U15" s="34">
        <f>SUM(Q15:T15)</f>
        <v/>
      </c>
      <c r="V15" s="18" t="n">
        <v>-2.64</v>
      </c>
      <c r="W15" s="18" t="n">
        <v>-1.31</v>
      </c>
      <c r="X15" s="18" t="n">
        <v>1</v>
      </c>
      <c r="Y15" s="18" t="n">
        <v>-4.09</v>
      </c>
      <c r="Z15" s="34">
        <f>SUM(V15:Y15)</f>
        <v/>
      </c>
      <c r="AA15" s="18" t="n">
        <v>-0.01</v>
      </c>
      <c r="AB15" s="19" t="n">
        <v>0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 t="n">
        <v>-0.01</v>
      </c>
      <c r="AH15" s="20">
        <f>IFERROR(AC15*(1+변수!AH29),"")</f>
        <v/>
      </c>
      <c r="AI15" s="20">
        <f>IFERROR(AD15*(1+변수!AI29),"")</f>
        <v/>
      </c>
      <c r="AJ15" s="35">
        <f>SUM(AF15:AI15)</f>
        <v/>
      </c>
      <c r="AK15" s="20">
        <f>IFERROR(AF15*(1+변수!AK29),"")</f>
        <v/>
      </c>
      <c r="AL15" s="20">
        <f>IFERROR(AG15*(1+변수!AL29),"")</f>
        <v/>
      </c>
      <c r="AM15" s="20">
        <f>IFERROR(AH15*(1+변수!AM29),"")</f>
        <v/>
      </c>
      <c r="AN15" s="20">
        <f>IFERROR(AI15*(1+변수!AN29),"")</f>
        <v/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730.9</v>
      </c>
      <c r="F31" s="34" t="n"/>
      <c r="G31" s="18" t="n">
        <v>-1955.03</v>
      </c>
      <c r="H31" s="18" t="n">
        <v>-1172.98</v>
      </c>
      <c r="I31" s="18" t="n">
        <v>-11595.37</v>
      </c>
      <c r="J31" s="18" t="n">
        <v>-2206.82</v>
      </c>
      <c r="K31" s="34">
        <f>SUM(G31:J31)</f>
        <v/>
      </c>
      <c r="L31" s="18" t="n">
        <v>2800.16</v>
      </c>
      <c r="M31" s="18" t="n">
        <v>-3259.34</v>
      </c>
      <c r="N31" s="18" t="n">
        <v>-4086.77</v>
      </c>
      <c r="O31" s="18" t="n">
        <v>-618.71</v>
      </c>
      <c r="P31" s="34">
        <f>SUM(L31:O31)</f>
        <v/>
      </c>
      <c r="Q31" s="18" t="n">
        <v>2992.82</v>
      </c>
      <c r="R31" s="18" t="n">
        <v>-4352.56</v>
      </c>
      <c r="S31" s="18" t="n">
        <v>1006.62</v>
      </c>
      <c r="T31" s="18" t="n">
        <v>6898.31</v>
      </c>
      <c r="U31" s="34">
        <f>SUM(Q31:T31)</f>
        <v/>
      </c>
      <c r="V31" s="18" t="n">
        <v>-1310.51</v>
      </c>
      <c r="W31" s="18" t="n">
        <v>4014.95</v>
      </c>
      <c r="X31" s="18" t="n">
        <v>13678.89</v>
      </c>
      <c r="Y31" s="18" t="n">
        <v>-754.84</v>
      </c>
      <c r="Z31" s="34">
        <f>SUM(V31:Y31)</f>
        <v/>
      </c>
      <c r="AA31" s="18" t="n">
        <v>14888.09</v>
      </c>
      <c r="AB31" s="19" t="n">
        <v>8181.26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0</v>
      </c>
      <c r="U35" s="34">
        <f>SUM(Q35:T35)</f>
        <v/>
      </c>
      <c r="V35" s="18" t="n"/>
      <c r="W35" s="18" t="n"/>
      <c r="X35" s="18" t="n"/>
      <c r="Y35" s="18" t="n">
        <v>0</v>
      </c>
      <c r="Z35" s="34">
        <f>SUM(V35:Y35)</f>
        <v/>
      </c>
      <c r="AA35" s="18" t="n"/>
      <c r="AB35" s="19" t="n"/>
      <c r="AC35" s="20" t="n"/>
      <c r="AD35" s="20" t="n">
        <v>0</v>
      </c>
      <c r="AE35" s="35">
        <f>SUM(AA35:AD35)</f>
        <v/>
      </c>
      <c r="AF35" s="20" t="n"/>
      <c r="AG35" s="20" t="n"/>
      <c r="AH35" s="20" t="n"/>
      <c r="AI35" s="20" t="n">
        <v>0</v>
      </c>
      <c r="AJ35" s="35">
        <f>SUM(AF35:AI35)</f>
        <v/>
      </c>
      <c r="AK35" s="20" t="n"/>
      <c r="AL35" s="20" t="n"/>
      <c r="AM35" s="20" t="n"/>
      <c r="AN35" s="20" t="n">
        <v>0</v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/>
      <c r="S36" s="18" t="n"/>
      <c r="T36" s="18" t="n">
        <v>144.35</v>
      </c>
      <c r="U36" s="34">
        <f>SUM(Q36:T36)</f>
        <v/>
      </c>
      <c r="V36" s="18" t="n">
        <v>79.14</v>
      </c>
      <c r="W36" s="18" t="n">
        <v>46.2</v>
      </c>
      <c r="X36" s="18" t="n">
        <v>47.84</v>
      </c>
      <c r="Y36" s="18" t="n">
        <v>39.76</v>
      </c>
      <c r="Z36" s="34">
        <f>SUM(V36:Y36)</f>
        <v/>
      </c>
      <c r="AA36" s="18" t="n">
        <v>43.47</v>
      </c>
      <c r="AB36" s="19" t="n">
        <v>43.54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1.21</v>
      </c>
      <c r="F37" s="34" t="n">
        <v>1.18</v>
      </c>
      <c r="G37" s="18" t="n">
        <v>1.19</v>
      </c>
      <c r="H37" s="18" t="n">
        <v>1.17</v>
      </c>
      <c r="I37" s="18" t="n">
        <v>1.08</v>
      </c>
      <c r="J37" s="18" t="n">
        <v>1.24</v>
      </c>
      <c r="K37" s="34">
        <f>SUM(G37:J37)</f>
        <v/>
      </c>
      <c r="L37" s="18" t="n">
        <v>1.21</v>
      </c>
      <c r="M37" s="18" t="n">
        <v>1.36</v>
      </c>
      <c r="N37" s="18" t="n">
        <v>1.82</v>
      </c>
      <c r="O37" s="18" t="n">
        <v>1.88</v>
      </c>
      <c r="P37" s="34">
        <f>SUM(L37:O37)</f>
        <v/>
      </c>
      <c r="Q37" s="18" t="n">
        <v>1.78</v>
      </c>
      <c r="R37" s="18" t="n">
        <v>2.01</v>
      </c>
      <c r="S37" s="18" t="n">
        <v>2.38</v>
      </c>
      <c r="T37" s="18" t="n">
        <v>2.43</v>
      </c>
      <c r="U37" s="34">
        <f>SUM(Q37:T37)</f>
        <v/>
      </c>
      <c r="V37" s="18" t="n">
        <v>3</v>
      </c>
      <c r="W37" s="18" t="n">
        <v>3.59</v>
      </c>
      <c r="X37" s="18" t="n">
        <v>4.21</v>
      </c>
      <c r="Y37" s="18" t="n">
        <v>5.23</v>
      </c>
      <c r="Z37" s="34">
        <f>SUM(V37:Y37)</f>
        <v/>
      </c>
      <c r="AA37" s="18" t="n">
        <v>5.35</v>
      </c>
      <c r="AB37" s="19" t="n">
        <v>5.16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4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4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4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4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4">
        <f>SUM(V38:Y38)</f>
        <v/>
      </c>
      <c r="AA38" s="18" t="n">
        <v>28097</v>
      </c>
      <c r="AB38" s="19" t="n">
        <v>30935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 — 매출조선에 포함)</t>
        </is>
      </c>
      <c r="E39" s="18" t="n"/>
      <c r="F39" s="34" t="n"/>
      <c r="G39" s="18" t="n"/>
      <c r="H39" s="18" t="n"/>
      <c r="I39" s="18" t="n"/>
      <c r="J39" s="18" t="n"/>
      <c r="K39" s="34">
        <f>SUM(G39:J39)</f>
        <v/>
      </c>
      <c r="L39" s="18" t="n"/>
      <c r="M39" s="18" t="n"/>
      <c r="N39" s="18" t="n"/>
      <c r="O39" s="18" t="n"/>
      <c r="P39" s="34">
        <f>SUM(L39:O39)</f>
        <v/>
      </c>
      <c r="Q39" s="18" t="n"/>
      <c r="R39" s="18" t="n"/>
      <c r="S39" s="18" t="n"/>
      <c r="T39" s="18" t="n"/>
      <c r="U39" s="34">
        <f>SUM(Q39:T39)</f>
        <v/>
      </c>
      <c r="V39" s="18" t="n"/>
      <c r="W39" s="18" t="n"/>
      <c r="X39" s="18" t="n"/>
      <c r="Y39" s="18" t="n"/>
      <c r="Z39" s="34">
        <f>SUM(V39:Y39)</f>
        <v/>
      </c>
      <c r="AA39" s="20" t="n">
        <v>0</v>
      </c>
      <c r="AB39" s="37" t="n">
        <v>0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4" t="n"/>
      <c r="G40" s="18" t="n"/>
      <c r="H40" s="18" t="n"/>
      <c r="I40" s="18" t="n"/>
      <c r="J40" s="18" t="n"/>
      <c r="K40" s="34">
        <f>SUM(G40:J40)</f>
        <v/>
      </c>
      <c r="L40" s="18" t="n"/>
      <c r="M40" s="18" t="n"/>
      <c r="N40" s="18" t="n"/>
      <c r="O40" s="18" t="n"/>
      <c r="P40" s="34">
        <f>SUM(L40:O40)</f>
        <v/>
      </c>
      <c r="Q40" s="18" t="n"/>
      <c r="R40" s="18" t="n"/>
      <c r="S40" s="18" t="n"/>
      <c r="T40" s="18" t="n"/>
      <c r="U40" s="34">
        <f>SUM(Q40:T40)</f>
        <v/>
      </c>
      <c r="V40" s="18" t="n"/>
      <c r="W40" s="18" t="n"/>
      <c r="X40" s="18" t="n"/>
      <c r="Y40" s="18" t="n"/>
      <c r="Z40" s="34">
        <f>SUM(V40:Y40)</f>
        <v/>
      </c>
      <c r="AA40" s="18" t="n"/>
      <c r="AB40" s="19" t="n"/>
      <c r="AC40" s="20">
        <f>IFERROR(AC38*변수!AC49,"")</f>
        <v/>
      </c>
      <c r="AD40" s="20">
        <f>IFERROR(AD38*변수!AD49,"")</f>
        <v/>
      </c>
      <c r="AE40" s="35">
        <f>SUM(AA40:AD40)</f>
        <v/>
      </c>
      <c r="AF40" s="20">
        <f>IFERROR(AF38*변수!AF49,"")</f>
        <v/>
      </c>
      <c r="AG40" s="20">
        <f>IFERROR(AG38*변수!AG49,"")</f>
        <v/>
      </c>
      <c r="AH40" s="20">
        <f>IFERROR(AH38*변수!AH49,"")</f>
        <v/>
      </c>
      <c r="AI40" s="20">
        <f>IFERROR(AI38*변수!AI49,"")</f>
        <v/>
      </c>
      <c r="AJ40" s="35">
        <f>SUM(AF40:AI40)</f>
        <v/>
      </c>
      <c r="AK40" s="20">
        <f>IFERROR(AK38*변수!AK49,"")</f>
        <v/>
      </c>
      <c r="AL40" s="20">
        <f>IFERROR(AL38*변수!AL49,"")</f>
        <v/>
      </c>
      <c r="AM40" s="20">
        <f>IFERROR(AM38*변수!AM49,"")</f>
        <v/>
      </c>
      <c r="AN40" s="20">
        <f>IFERROR(AN38*변수!AN49,"")</f>
        <v/>
      </c>
      <c r="AO40" s="35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4" t="n"/>
      <c r="G41" s="18" t="n"/>
      <c r="H41" s="18" t="n"/>
      <c r="I41" s="18" t="n"/>
      <c r="J41" s="18" t="n"/>
      <c r="K41" s="34">
        <f>SUM(G41:J41)</f>
        <v/>
      </c>
      <c r="L41" s="18" t="n"/>
      <c r="M41" s="18" t="n"/>
      <c r="N41" s="18" t="n"/>
      <c r="O41" s="18" t="n"/>
      <c r="P41" s="34">
        <f>SUM(L41:O41)</f>
        <v/>
      </c>
      <c r="Q41" s="18" t="n"/>
      <c r="R41" s="18" t="n"/>
      <c r="S41" s="18" t="n"/>
      <c r="T41" s="18" t="n"/>
      <c r="U41" s="34">
        <f>SUM(Q41:T41)</f>
        <v/>
      </c>
      <c r="V41" s="18" t="n"/>
      <c r="W41" s="18" t="n"/>
      <c r="X41" s="18" t="n"/>
      <c r="Y41" s="18" t="n"/>
      <c r="Z41" s="34">
        <f>SUM(V41:Y41)</f>
        <v/>
      </c>
      <c r="AA41" s="20" t="n">
        <v>0</v>
      </c>
      <c r="AB41" s="37" t="n">
        <v>0</v>
      </c>
      <c r="AC41" s="20" t="n">
        <v>0</v>
      </c>
      <c r="AD41" s="20">
        <f>IFERROR(AD39*변수!AD50,"")</f>
        <v/>
      </c>
      <c r="AE41" s="35">
        <f>SUM(AA41:AD41)</f>
        <v/>
      </c>
      <c r="AF41" s="20">
        <f>IFERROR(AF39*변수!AF50,"")</f>
        <v/>
      </c>
      <c r="AG41" s="20">
        <f>IFERROR(AG39*변수!AG50,"")</f>
        <v/>
      </c>
      <c r="AH41" s="20">
        <f>IFERROR(AH39*변수!AH50,"")</f>
        <v/>
      </c>
      <c r="AI41" s="20">
        <f>IFERROR(AI39*변수!AI50,"")</f>
        <v/>
      </c>
      <c r="AJ41" s="35">
        <f>SUM(AF41:AI41)</f>
        <v/>
      </c>
      <c r="AK41" s="20">
        <f>IFERROR(AK39*변수!AK50,"")</f>
        <v/>
      </c>
      <c r="AL41" s="20">
        <f>IFERROR(AL39*변수!AL50,"")</f>
        <v/>
      </c>
      <c r="AM41" s="20">
        <f>IFERROR(AM39*변수!AM50,"")</f>
        <v/>
      </c>
      <c r="AN41" s="20">
        <f>IFERROR(AN39*변수!AN50,"")</f>
        <v/>
      </c>
      <c r="AO41" s="35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4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4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4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4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4">
        <f>SUM(V42:Y42)</f>
        <v/>
      </c>
      <c r="AA42" s="18" t="n">
        <v>925.51</v>
      </c>
      <c r="AB42" s="19" t="n">
        <v>1372.12</v>
      </c>
      <c r="AC42" s="20">
        <f>IFERROR(AC5*변수!AC51,"")</f>
        <v/>
      </c>
      <c r="AD42" s="20">
        <f>IFERROR(AD5*변수!AD51,"")</f>
        <v/>
      </c>
      <c r="AE42" s="35">
        <f>SUM(AA42:AD42)</f>
        <v/>
      </c>
      <c r="AF42" s="20">
        <f>IFERROR(AF5*변수!AF51,"")</f>
        <v/>
      </c>
      <c r="AG42" s="20">
        <f>IFERROR(AG5*변수!AG51,"")</f>
        <v/>
      </c>
      <c r="AH42" s="20">
        <f>IFERROR(AH5*변수!AH51,"")</f>
        <v/>
      </c>
      <c r="AI42" s="20">
        <f>IFERROR(AI5*변수!AI51,"")</f>
        <v/>
      </c>
      <c r="AJ42" s="35">
        <f>SUM(AF42:AI42)</f>
        <v/>
      </c>
      <c r="AK42" s="20">
        <f>IFERROR(AK5*변수!AK51,"")</f>
        <v/>
      </c>
      <c r="AL42" s="20">
        <f>IFERROR(AL5*변수!AL51,"")</f>
        <v/>
      </c>
      <c r="AM42" s="20">
        <f>IFERROR(AM5*변수!AM51,"")</f>
        <v/>
      </c>
      <c r="AN42" s="20">
        <f>IFERROR(AN5*변수!AN51,"")</f>
        <v/>
      </c>
      <c r="AO42" s="35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4" t="n"/>
      <c r="G43" s="18" t="n"/>
      <c r="H43" s="18" t="n"/>
      <c r="I43" s="18" t="n"/>
      <c r="J43" s="18" t="n"/>
      <c r="K43" s="34">
        <f>SUM(G43:J43)</f>
        <v/>
      </c>
      <c r="L43" s="18" t="n"/>
      <c r="M43" s="18" t="n"/>
      <c r="N43" s="18" t="n"/>
      <c r="O43" s="18" t="n"/>
      <c r="P43" s="34">
        <f>SUM(L43:O43)</f>
        <v/>
      </c>
      <c r="Q43" s="18" t="n"/>
      <c r="R43" s="18" t="n"/>
      <c r="S43" s="18" t="n"/>
      <c r="T43" s="18" t="n"/>
      <c r="U43" s="34">
        <f>SUM(Q43:T43)</f>
        <v/>
      </c>
      <c r="V43" s="18" t="n"/>
      <c r="W43" s="18" t="n"/>
      <c r="X43" s="18" t="n"/>
      <c r="Y43" s="18" t="n"/>
      <c r="Z43" s="34">
        <f>SUM(V43:Y43)</f>
        <v/>
      </c>
      <c r="AA43" s="18" t="n"/>
      <c r="AB43" s="19" t="n"/>
      <c r="AC43" s="20">
        <f>IFERROR(AC42*변수!AC52,"")</f>
        <v/>
      </c>
      <c r="AD43" s="20">
        <f>IFERROR(AD42*변수!AD52,"")</f>
        <v/>
      </c>
      <c r="AE43" s="35">
        <f>SUM(AA43:AD43)</f>
        <v/>
      </c>
      <c r="AF43" s="20">
        <f>IFERROR(AF42*변수!AF52,"")</f>
        <v/>
      </c>
      <c r="AG43" s="20">
        <f>IFERROR(AG42*변수!AG52,"")</f>
        <v/>
      </c>
      <c r="AH43" s="20">
        <f>IFERROR(AH42*변수!AH52,"")</f>
        <v/>
      </c>
      <c r="AI43" s="20">
        <f>IFERROR(AI42*변수!AI52,"")</f>
        <v/>
      </c>
      <c r="AJ43" s="35">
        <f>SUM(AF43:AI43)</f>
        <v/>
      </c>
      <c r="AK43" s="20">
        <f>IFERROR(AK42*변수!AK52,"")</f>
        <v/>
      </c>
      <c r="AL43" s="20">
        <f>IFERROR(AL42*변수!AL52,"")</f>
        <v/>
      </c>
      <c r="AM43" s="20">
        <f>IFERROR(AM42*변수!AM52,"")</f>
        <v/>
      </c>
      <c r="AN43" s="20">
        <f>IFERROR(AN42*변수!AN52,"")</f>
        <v/>
      </c>
      <c r="AO43" s="35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OPM</t>
        </is>
      </c>
      <c r="C45" t="inlineStr">
        <is>
          <t>%</t>
        </is>
      </c>
      <c r="D45" t="inlineStr">
        <is>
          <t>영업이익 / 매출액</t>
        </is>
      </c>
      <c r="E45" s="21">
        <f>IFERROR(E9/E5,"")</f>
        <v/>
      </c>
      <c r="F45" s="22">
        <f>IFERROR(F9/F5,"")</f>
        <v/>
      </c>
      <c r="G45" s="21">
        <f>IFERROR(G9/G5,"")</f>
        <v/>
      </c>
      <c r="H45" s="21">
        <f>IFERROR(H9/H5,"")</f>
        <v/>
      </c>
      <c r="I45" s="21">
        <f>IFERROR(I9/I5,"")</f>
        <v/>
      </c>
      <c r="J45" s="21">
        <f>IFERROR(J9/J5,"")</f>
        <v/>
      </c>
      <c r="K45" s="22">
        <f>IFERROR(K9/K5,"")</f>
        <v/>
      </c>
      <c r="L45" s="21">
        <f>IFERROR(L9/L5,"")</f>
        <v/>
      </c>
      <c r="M45" s="21">
        <f>IFERROR(M9/M5,"")</f>
        <v/>
      </c>
      <c r="N45" s="21">
        <f>IFERROR(N9/N5,"")</f>
        <v/>
      </c>
      <c r="O45" s="21">
        <f>IFERROR(O9/O5,"")</f>
        <v/>
      </c>
      <c r="P45" s="22">
        <f>IFERROR(P9/P5,"")</f>
        <v/>
      </c>
      <c r="Q45" s="21">
        <f>IFERROR(Q9/Q5,"")</f>
        <v/>
      </c>
      <c r="R45" s="21">
        <f>IFERROR(R9/R5,"")</f>
        <v/>
      </c>
      <c r="S45" s="21">
        <f>IFERROR(S9/S5,"")</f>
        <v/>
      </c>
      <c r="T45" s="21">
        <f>IFERROR(T9/T5,"")</f>
        <v/>
      </c>
      <c r="U45" s="22">
        <f>IFERROR(U9/U5,"")</f>
        <v/>
      </c>
      <c r="V45" s="21">
        <f>IFERROR(V9/V5,"")</f>
        <v/>
      </c>
      <c r="W45" s="21">
        <f>IFERROR(W9/W5,"")</f>
        <v/>
      </c>
      <c r="X45" s="21">
        <f>IFERROR(X9/X5,"")</f>
        <v/>
      </c>
      <c r="Y45" s="21">
        <f>IFERROR(Y9/Y5,"")</f>
        <v/>
      </c>
      <c r="Z45" s="22">
        <f>IFERROR(Z9/Z5,"")</f>
        <v/>
      </c>
      <c r="AA45" s="21">
        <f>IFERROR(AA9/AA5,"")</f>
        <v/>
      </c>
      <c r="AB45" s="23">
        <f>IFERROR(AB9/AB5,"")</f>
        <v/>
      </c>
      <c r="AC45" s="31">
        <f>IFERROR(AC9/AC5,"")</f>
        <v/>
      </c>
      <c r="AD45" s="31">
        <f>IFERROR(AD9/AD5,"")</f>
        <v/>
      </c>
      <c r="AE45" s="25">
        <f>IFERROR(AE9/AE5,"")</f>
        <v/>
      </c>
      <c r="AF45" s="31">
        <f>IFERROR(AF9/AF5,"")</f>
        <v/>
      </c>
      <c r="AG45" s="31">
        <f>IFERROR(AG9/AG5,"")</f>
        <v/>
      </c>
      <c r="AH45" s="31">
        <f>IFERROR(AH9/AH5,"")</f>
        <v/>
      </c>
      <c r="AI45" s="31">
        <f>IFERROR(AI9/AI5,"")</f>
        <v/>
      </c>
      <c r="AJ45" s="25">
        <f>IFERROR(AJ9/AJ5,"")</f>
        <v/>
      </c>
      <c r="AK45" s="31">
        <f>IFERROR(AK9/AK5,"")</f>
        <v/>
      </c>
      <c r="AL45" s="31">
        <f>IFERROR(AL9/AL5,"")</f>
        <v/>
      </c>
      <c r="AM45" s="31">
        <f>IFERROR(AM9/AM5,"")</f>
        <v/>
      </c>
      <c r="AN45" s="31">
        <f>IFERROR(AN9/AN5,"")</f>
        <v/>
      </c>
      <c r="AO45" s="25">
        <f>IFERROR(AO9/AO5,"")</f>
        <v/>
      </c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IFERROR(E21/E5,"")</f>
        <v/>
      </c>
      <c r="F46" s="22">
        <f>IFERROR(F21/F5,"")</f>
        <v/>
      </c>
      <c r="G46" s="21">
        <f>IFERROR(G21/G5,"")</f>
        <v/>
      </c>
      <c r="H46" s="21">
        <f>IFERROR(H21/H5,"")</f>
        <v/>
      </c>
      <c r="I46" s="21">
        <f>IFERROR(I21/I5,"")</f>
        <v/>
      </c>
      <c r="J46" s="21">
        <f>IFERROR(J21/J5,"")</f>
        <v/>
      </c>
      <c r="K46" s="22">
        <f>IFERROR(K21/K5,"")</f>
        <v/>
      </c>
      <c r="L46" s="21">
        <f>IFERROR(L21/L5,"")</f>
        <v/>
      </c>
      <c r="M46" s="21">
        <f>IFERROR(M21/M5,"")</f>
        <v/>
      </c>
      <c r="N46" s="21">
        <f>IFERROR(N21/N5,"")</f>
        <v/>
      </c>
      <c r="O46" s="21">
        <f>IFERROR(O21/O5,"")</f>
        <v/>
      </c>
      <c r="P46" s="22">
        <f>IFERROR(P21/P5,"")</f>
        <v/>
      </c>
      <c r="Q46" s="21">
        <f>IFERROR(Q21/Q5,"")</f>
        <v/>
      </c>
      <c r="R46" s="21">
        <f>IFERROR(R21/R5,"")</f>
        <v/>
      </c>
      <c r="S46" s="21">
        <f>IFERROR(S21/S5,"")</f>
        <v/>
      </c>
      <c r="T46" s="21">
        <f>IFERROR(T21/T5,"")</f>
        <v/>
      </c>
      <c r="U46" s="22">
        <f>IFERROR(U21/U5,"")</f>
        <v/>
      </c>
      <c r="V46" s="21">
        <f>IFERROR(V21/V5,"")</f>
        <v/>
      </c>
      <c r="W46" s="21">
        <f>IFERROR(W21/W5,"")</f>
        <v/>
      </c>
      <c r="X46" s="21">
        <f>IFERROR(X21/X5,"")</f>
        <v/>
      </c>
      <c r="Y46" s="21">
        <f>IFERROR(Y21/Y5,"")</f>
        <v/>
      </c>
      <c r="Z46" s="22">
        <f>IFERROR(Z21/Z5,"")</f>
        <v/>
      </c>
      <c r="AA46" s="21">
        <f>IFERROR(AA21/AA5,"")</f>
        <v/>
      </c>
      <c r="AB46" s="23">
        <f>IFERROR(AB21/AB5,"")</f>
        <v/>
      </c>
      <c r="AC46" s="31">
        <f>IFERROR(AC21/AC5,"")</f>
        <v/>
      </c>
      <c r="AD46" s="31">
        <f>IFERROR(AD21/AD5,"")</f>
        <v/>
      </c>
      <c r="AE46" s="25">
        <f>IFERROR(AE21/AE5,"")</f>
        <v/>
      </c>
      <c r="AF46" s="31">
        <f>IFERROR(AF21/AF5,"")</f>
        <v/>
      </c>
      <c r="AG46" s="31">
        <f>IFERROR(AG21/AG5,"")</f>
        <v/>
      </c>
      <c r="AH46" s="31">
        <f>IFERROR(AH21/AH5,"")</f>
        <v/>
      </c>
      <c r="AI46" s="31">
        <f>IFERROR(AI21/AI5,"")</f>
        <v/>
      </c>
      <c r="AJ46" s="25">
        <f>IFERROR(AJ21/AJ5,"")</f>
        <v/>
      </c>
      <c r="AK46" s="31">
        <f>IFERROR(AK21/AK5,"")</f>
        <v/>
      </c>
      <c r="AL46" s="31">
        <f>IFERROR(AL21/AL5,"")</f>
        <v/>
      </c>
      <c r="AM46" s="31">
        <f>IFERROR(AM21/AM5,"")</f>
        <v/>
      </c>
      <c r="AN46" s="31">
        <f>IFERROR(AN21/AN5,"")</f>
        <v/>
      </c>
      <c r="AO46" s="25">
        <f>IFERROR(AO21/AO5,"")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1">
        <f>IFERROR(AC6/AC5,"")</f>
        <v/>
      </c>
      <c r="AD47" s="31">
        <f>IFERROR(AD6/AD5,"")</f>
        <v/>
      </c>
      <c r="AE47" s="25">
        <f>IFERROR(AE6/AE5,"")</f>
        <v/>
      </c>
      <c r="AF47" s="31">
        <f>IFERROR(AF6/AF5,"")</f>
        <v/>
      </c>
      <c r="AG47" s="31">
        <f>IFERROR(AG6/AG5,"")</f>
        <v/>
      </c>
      <c r="AH47" s="31">
        <f>IFERROR(AH6/AH5,"")</f>
        <v/>
      </c>
      <c r="AI47" s="31">
        <f>IFERROR(AI6/AI5,"")</f>
        <v/>
      </c>
      <c r="AJ47" s="25">
        <f>IFERROR(AJ6/AJ5,"")</f>
        <v/>
      </c>
      <c r="AK47" s="31">
        <f>IFERROR(AK6/AK5,"")</f>
        <v/>
      </c>
      <c r="AL47" s="31">
        <f>IFERROR(AL6/AL5,"")</f>
        <v/>
      </c>
      <c r="AM47" s="31">
        <f>IFERROR(AM6/AM5,"")</f>
        <v/>
      </c>
      <c r="AN47" s="31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1">
        <f>IFERROR(AC8/AC5,"")</f>
        <v/>
      </c>
      <c r="AD48" s="31">
        <f>IFERROR(AD8/AD5,"")</f>
        <v/>
      </c>
      <c r="AE48" s="25">
        <f>IFERROR(AE8/AE5,"")</f>
        <v/>
      </c>
      <c r="AF48" s="31">
        <f>IFERROR(AF8/AF5,"")</f>
        <v/>
      </c>
      <c r="AG48" s="31">
        <f>IFERROR(AG8/AG5,"")</f>
        <v/>
      </c>
      <c r="AH48" s="31">
        <f>IFERROR(AH8/AH5,"")</f>
        <v/>
      </c>
      <c r="AI48" s="31">
        <f>IFERROR(AI8/AI5,"")</f>
        <v/>
      </c>
      <c r="AJ48" s="25">
        <f>IFERROR(AJ8/AJ5,"")</f>
        <v/>
      </c>
      <c r="AK48" s="31">
        <f>IFERROR(AK8/AK5,"")</f>
        <v/>
      </c>
      <c r="AL48" s="31">
        <f>IFERROR(AL8/AL5,"")</f>
        <v/>
      </c>
      <c r="AM48" s="31">
        <f>IFERROR(AM8/AM5,"")</f>
        <v/>
      </c>
      <c r="AN48" s="31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1770.627</v>
      </c>
      <c r="Y5" s="26" t="n">
        <v>1732.135</v>
      </c>
      <c r="Z5" s="26" t="n">
        <v>1678.03</v>
      </c>
      <c r="AA5" s="26" t="n">
        <v>1608.899</v>
      </c>
      <c r="AB5" s="26" t="n">
        <v>1608.899</v>
      </c>
      <c r="AC5" s="26" t="n">
        <v>1360.156</v>
      </c>
      <c r="AD5" s="26" t="n">
        <v>1258.769</v>
      </c>
      <c r="AE5" s="26" t="n">
        <v>1213.499</v>
      </c>
      <c r="AF5" s="26" t="n">
        <v>1034.432</v>
      </c>
      <c r="AG5" s="26" t="n">
        <v>710.783</v>
      </c>
      <c r="AH5" s="26" t="n">
        <v>558.357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6315.892</v>
      </c>
      <c r="AS5" s="26" t="n">
        <v>6627.963</v>
      </c>
      <c r="AT5" s="26" t="n">
        <v>4866.856</v>
      </c>
      <c r="AU5" s="26" t="n">
        <v>1958.343</v>
      </c>
      <c r="AV5" s="26" t="n">
        <v>392.138</v>
      </c>
    </row>
    <row r="6">
      <c r="A6" s="12" t="inlineStr">
        <is>
          <t>type:CONT</t>
        </is>
      </c>
      <c r="D6" t="inlineStr">
        <is>
          <t>선종 CONT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49.028</v>
      </c>
      <c r="K6" s="26" t="n">
        <v>49.567</v>
      </c>
      <c r="L6" s="26" t="n">
        <v>49.567</v>
      </c>
      <c r="M6" s="26" t="n">
        <v>49.028</v>
      </c>
      <c r="N6" s="26" t="n">
        <v>49.028</v>
      </c>
      <c r="O6" s="26" t="n">
        <v>49.567</v>
      </c>
      <c r="P6" s="26" t="n">
        <v>77.29300000000001</v>
      </c>
      <c r="Q6" s="26" t="n">
        <v>110.872</v>
      </c>
      <c r="R6" s="26" t="n">
        <v>138.705</v>
      </c>
      <c r="S6" s="26" t="n">
        <v>123.462</v>
      </c>
      <c r="T6" s="26" t="n">
        <v>139.011</v>
      </c>
      <c r="U6" s="26" t="n">
        <v>198.83</v>
      </c>
      <c r="V6" s="26" t="n">
        <v>216.959</v>
      </c>
      <c r="W6" s="26" t="n">
        <v>231.831</v>
      </c>
      <c r="X6" s="26" t="n">
        <v>253.134</v>
      </c>
      <c r="Y6" s="26" t="n">
        <v>247.631</v>
      </c>
      <c r="Z6" s="26" t="n">
        <v>250.383</v>
      </c>
      <c r="AA6" s="26" t="n">
        <v>253.134</v>
      </c>
      <c r="AB6" s="26" t="n">
        <v>253.134</v>
      </c>
      <c r="AC6" s="26" t="n">
        <v>163.485</v>
      </c>
      <c r="AD6" s="26" t="n">
        <v>127.561</v>
      </c>
      <c r="AE6" s="26" t="n">
        <v>116.626</v>
      </c>
      <c r="AF6" s="26" t="n">
        <v>115.157</v>
      </c>
      <c r="AG6" s="26" t="n">
        <v>81.03400000000001</v>
      </c>
      <c r="AH6" s="26" t="n">
        <v>81.934</v>
      </c>
      <c r="AI6" s="26" t="n">
        <v>82.83499999999999</v>
      </c>
      <c r="AJ6" s="26" t="n">
        <v>54.923</v>
      </c>
      <c r="AN6" s="26" t="n">
        <v>151.933</v>
      </c>
      <c r="AO6" s="26" t="n">
        <v>196.651</v>
      </c>
      <c r="AP6" s="26" t="n">
        <v>224.916</v>
      </c>
      <c r="AQ6" s="26" t="n">
        <v>512.05</v>
      </c>
      <c r="AR6" s="26" t="n">
        <v>900.754</v>
      </c>
      <c r="AS6" s="26" t="n">
        <v>1004.282</v>
      </c>
      <c r="AT6" s="26" t="n">
        <v>522.829</v>
      </c>
      <c r="AU6" s="26" t="n">
        <v>300.726</v>
      </c>
    </row>
    <row r="7">
      <c r="A7" s="12" t="inlineStr">
        <is>
          <t>type:OTHER</t>
        </is>
      </c>
      <c r="D7" t="inlineStr">
        <is>
          <t>선종 OTHER</t>
        </is>
      </c>
      <c r="F7" s="26" t="n">
        <v>25.052</v>
      </c>
      <c r="G7" s="26" t="n">
        <v>32.925</v>
      </c>
      <c r="H7" s="26" t="n">
        <v>52.382</v>
      </c>
      <c r="I7" s="26" t="n">
        <v>93.11</v>
      </c>
      <c r="J7" s="26" t="n">
        <v>94.14400000000001</v>
      </c>
      <c r="K7" s="26" t="n">
        <v>118.325</v>
      </c>
      <c r="L7" s="26" t="n">
        <v>122.48</v>
      </c>
      <c r="M7" s="26" t="n">
        <v>121.149</v>
      </c>
      <c r="N7" s="26" t="n">
        <v>131.288</v>
      </c>
      <c r="O7" s="26" t="n">
        <v>189.112</v>
      </c>
      <c r="P7" s="26" t="n">
        <v>189.112</v>
      </c>
      <c r="Q7" s="26" t="n">
        <v>185.001</v>
      </c>
      <c r="R7" s="26" t="n">
        <v>116.817</v>
      </c>
      <c r="S7" s="26" t="n">
        <v>168.51</v>
      </c>
      <c r="T7" s="26" t="n">
        <v>176.314</v>
      </c>
      <c r="U7" s="26" t="n">
        <v>87.19799999999999</v>
      </c>
      <c r="V7" s="26" t="n">
        <v>88.167</v>
      </c>
      <c r="W7" s="26" t="n">
        <v>89.136</v>
      </c>
      <c r="X7" s="26" t="n">
        <v>89.136</v>
      </c>
      <c r="Y7" s="26" t="n">
        <v>87.19799999999999</v>
      </c>
      <c r="Z7" s="26" t="n">
        <v>47.168</v>
      </c>
      <c r="AA7" s="26" t="n">
        <v>27.301</v>
      </c>
      <c r="AB7" s="26" t="n">
        <v>27.301</v>
      </c>
      <c r="AN7" s="26" t="n">
        <v>110.359</v>
      </c>
      <c r="AO7" s="26" t="n">
        <v>428.059</v>
      </c>
      <c r="AP7" s="26" t="n">
        <v>630.6609999999999</v>
      </c>
      <c r="AQ7" s="26" t="n">
        <v>646.6420000000001</v>
      </c>
      <c r="AR7" s="26" t="n">
        <v>353.637</v>
      </c>
      <c r="AS7" s="26" t="n">
        <v>188.968</v>
      </c>
    </row>
    <row r="8">
      <c r="A8" s="12" t="inlineStr">
        <is>
          <t>type:OFFSH</t>
        </is>
      </c>
      <c r="D8" t="inlineStr">
        <is>
          <t>선종 OFFSH</t>
        </is>
      </c>
      <c r="J8" s="26" t="n">
        <v>14.275</v>
      </c>
      <c r="K8" s="26" t="n">
        <v>50.511</v>
      </c>
      <c r="L8" s="26" t="n">
        <v>50.511</v>
      </c>
      <c r="M8" s="26" t="n">
        <v>49.962</v>
      </c>
      <c r="N8" s="26" t="n">
        <v>49.962</v>
      </c>
      <c r="O8" s="26" t="n">
        <v>50.511</v>
      </c>
      <c r="P8" s="26" t="n">
        <v>50.511</v>
      </c>
      <c r="Q8" s="26" t="n">
        <v>49.412</v>
      </c>
      <c r="R8" s="26" t="n">
        <v>49.962</v>
      </c>
      <c r="S8" s="26" t="n">
        <v>343.784</v>
      </c>
      <c r="T8" s="26" t="n">
        <v>353.67</v>
      </c>
      <c r="U8" s="26" t="n">
        <v>345.982</v>
      </c>
      <c r="V8" s="26" t="n">
        <v>334.617</v>
      </c>
      <c r="W8" s="26" t="n">
        <v>226.186</v>
      </c>
      <c r="X8" s="26" t="n">
        <v>226.186</v>
      </c>
      <c r="Y8" s="26" t="n">
        <v>221.269</v>
      </c>
      <c r="Z8" s="26" t="n">
        <v>223.727</v>
      </c>
      <c r="AA8" s="26" t="n">
        <v>226.186</v>
      </c>
      <c r="AB8" s="26" t="n">
        <v>226.186</v>
      </c>
      <c r="AC8" s="26" t="n">
        <v>223.727</v>
      </c>
      <c r="AD8" s="26" t="n">
        <v>223.727</v>
      </c>
      <c r="AE8" s="26" t="n">
        <v>226.186</v>
      </c>
      <c r="AF8" s="26" t="n">
        <v>226.186</v>
      </c>
      <c r="AG8" s="26" t="n">
        <v>221.269</v>
      </c>
      <c r="AH8" s="26" t="n">
        <v>223.727</v>
      </c>
      <c r="AI8" s="26" t="n">
        <v>226.186</v>
      </c>
      <c r="AJ8" s="26" t="n">
        <v>175.675</v>
      </c>
      <c r="AK8" s="26" t="n">
        <v>171.856</v>
      </c>
      <c r="AL8" s="26" t="n">
        <v>173.766</v>
      </c>
      <c r="AM8" s="26" t="n">
        <v>36.281</v>
      </c>
      <c r="AO8" s="26" t="n">
        <v>115.297</v>
      </c>
      <c r="AP8" s="26" t="n">
        <v>200.946</v>
      </c>
      <c r="AQ8" s="26" t="n">
        <v>796.828</v>
      </c>
      <c r="AR8" s="26" t="n">
        <v>1132.971</v>
      </c>
      <c r="AS8" s="26" t="n">
        <v>897.3680000000001</v>
      </c>
      <c r="AT8" s="26" t="n">
        <v>899.826</v>
      </c>
      <c r="AU8" s="26" t="n">
        <v>846.857</v>
      </c>
      <c r="AV8" s="26" t="n">
        <v>381.903</v>
      </c>
    </row>
    <row r="9">
      <c r="A9" s="12" t="inlineStr">
        <is>
          <t>type:LNGC</t>
        </is>
      </c>
      <c r="D9" t="inlineStr">
        <is>
          <t>선종 LNGC</t>
        </is>
      </c>
      <c r="N9" s="26" t="n">
        <v>0.6879999999999999</v>
      </c>
      <c r="O9" s="26" t="n">
        <v>63.839</v>
      </c>
      <c r="P9" s="26" t="n">
        <v>128.696</v>
      </c>
      <c r="Q9" s="26" t="n">
        <v>154.982</v>
      </c>
      <c r="R9" s="26" t="n">
        <v>161.429</v>
      </c>
      <c r="S9" s="26" t="n">
        <v>230.163</v>
      </c>
      <c r="T9" s="26" t="n">
        <v>299.063</v>
      </c>
      <c r="U9" s="26" t="n">
        <v>422.404</v>
      </c>
      <c r="V9" s="26" t="n">
        <v>606.3390000000001</v>
      </c>
      <c r="W9" s="26" t="n">
        <v>722.163</v>
      </c>
      <c r="X9" s="26" t="n">
        <v>786.296</v>
      </c>
      <c r="Y9" s="26" t="n">
        <v>769.203</v>
      </c>
      <c r="Z9" s="26" t="n">
        <v>745.397</v>
      </c>
      <c r="AA9" s="26" t="n">
        <v>686.403</v>
      </c>
      <c r="AB9" s="26" t="n">
        <v>686.403</v>
      </c>
      <c r="AC9" s="26" t="n">
        <v>645.021</v>
      </c>
      <c r="AD9" s="26" t="n">
        <v>618.455</v>
      </c>
      <c r="AE9" s="26" t="n">
        <v>578.485</v>
      </c>
      <c r="AF9" s="26" t="n">
        <v>400.887</v>
      </c>
      <c r="AG9" s="26" t="n">
        <v>269.593</v>
      </c>
      <c r="AH9" s="26" t="n">
        <v>168.598</v>
      </c>
      <c r="AI9" s="26" t="n">
        <v>80.166</v>
      </c>
      <c r="AP9" s="26" t="n">
        <v>193.223</v>
      </c>
      <c r="AQ9" s="26" t="n">
        <v>845.6369999999999</v>
      </c>
      <c r="AR9" s="26" t="n">
        <v>2537.202</v>
      </c>
      <c r="AS9" s="26" t="n">
        <v>2887.406</v>
      </c>
      <c r="AT9" s="26" t="n">
        <v>2242.848</v>
      </c>
      <c r="AU9" s="26" t="n">
        <v>518.357</v>
      </c>
    </row>
    <row r="10">
      <c r="A10" s="12" t="inlineStr">
        <is>
          <t>type:VLCC</t>
        </is>
      </c>
      <c r="D10" t="inlineStr">
        <is>
          <t>선종 VLCC</t>
        </is>
      </c>
      <c r="P10" s="26" t="n">
        <v>17.627</v>
      </c>
      <c r="Q10" s="26" t="n">
        <v>42.858</v>
      </c>
      <c r="R10" s="26" t="n">
        <v>134.46</v>
      </c>
      <c r="S10" s="26" t="n">
        <v>137.456</v>
      </c>
      <c r="T10" s="26" t="n">
        <v>160.05</v>
      </c>
      <c r="U10" s="26" t="n">
        <v>172.086</v>
      </c>
      <c r="V10" s="26" t="n">
        <v>201.372</v>
      </c>
      <c r="W10" s="26" t="n">
        <v>262.303</v>
      </c>
      <c r="X10" s="26" t="n">
        <v>268.481</v>
      </c>
      <c r="Y10" s="26" t="n">
        <v>262.645</v>
      </c>
      <c r="Z10" s="26" t="n">
        <v>265.563</v>
      </c>
      <c r="AA10" s="26" t="n">
        <v>268.481</v>
      </c>
      <c r="AB10" s="26" t="n">
        <v>268.481</v>
      </c>
      <c r="AC10" s="26" t="n">
        <v>235.197</v>
      </c>
      <c r="AD10" s="26" t="n">
        <v>214.131</v>
      </c>
      <c r="AE10" s="26" t="n">
        <v>216.484</v>
      </c>
      <c r="AF10" s="26" t="n">
        <v>216.484</v>
      </c>
      <c r="AG10" s="26" t="n">
        <v>85.131</v>
      </c>
      <c r="AH10" s="26" t="n">
        <v>39.895</v>
      </c>
      <c r="AI10" s="26" t="n">
        <v>10.383</v>
      </c>
      <c r="AP10" s="26" t="n">
        <v>17.627</v>
      </c>
      <c r="AQ10" s="26" t="n">
        <v>474.824</v>
      </c>
      <c r="AR10" s="26" t="n">
        <v>904.242</v>
      </c>
      <c r="AS10" s="26" t="n">
        <v>1065.17</v>
      </c>
      <c r="AT10" s="26" t="n">
        <v>882.296</v>
      </c>
      <c r="AU10" s="26" t="n">
        <v>135.409</v>
      </c>
    </row>
    <row r="11">
      <c r="A11" s="12" t="inlineStr">
        <is>
          <t>type:VLGC</t>
        </is>
      </c>
      <c r="D11" t="inlineStr">
        <is>
          <t>선종 VLGC</t>
        </is>
      </c>
      <c r="P11" s="26" t="n">
        <v>3.855</v>
      </c>
      <c r="Q11" s="26" t="n">
        <v>47.83</v>
      </c>
      <c r="R11" s="26" t="n">
        <v>70.896</v>
      </c>
      <c r="S11" s="26" t="n">
        <v>71.676</v>
      </c>
      <c r="T11" s="26" t="n">
        <v>71.676</v>
      </c>
      <c r="U11" s="26" t="n">
        <v>87.655</v>
      </c>
      <c r="V11" s="26" t="n">
        <v>120.258</v>
      </c>
      <c r="W11" s="26" t="n">
        <v>131.781</v>
      </c>
      <c r="X11" s="26" t="n">
        <v>147.393</v>
      </c>
      <c r="Y11" s="26" t="n">
        <v>144.189</v>
      </c>
      <c r="Z11" s="26" t="n">
        <v>145.791</v>
      </c>
      <c r="AA11" s="26" t="n">
        <v>147.393</v>
      </c>
      <c r="AB11" s="26" t="n">
        <v>147.393</v>
      </c>
      <c r="AC11" s="26" t="n">
        <v>92.72499999999999</v>
      </c>
      <c r="AD11" s="26" t="n">
        <v>74.895</v>
      </c>
      <c r="AE11" s="26" t="n">
        <v>75.718</v>
      </c>
      <c r="AF11" s="26" t="n">
        <v>75.718</v>
      </c>
      <c r="AG11" s="26" t="n">
        <v>53.756</v>
      </c>
      <c r="AH11" s="26" t="n">
        <v>44.202</v>
      </c>
      <c r="AI11" s="26" t="n">
        <v>32.264</v>
      </c>
      <c r="AJ11" s="26" t="n">
        <v>26.77</v>
      </c>
      <c r="AK11" s="26" t="n">
        <v>10.235</v>
      </c>
      <c r="AP11" s="26" t="n">
        <v>3.855</v>
      </c>
      <c r="AQ11" s="26" t="n">
        <v>262.078</v>
      </c>
      <c r="AR11" s="26" t="n">
        <v>487.087</v>
      </c>
      <c r="AS11" s="26" t="n">
        <v>584.766</v>
      </c>
      <c r="AT11" s="26" t="n">
        <v>319.056</v>
      </c>
      <c r="AU11" s="26" t="n">
        <v>156.992</v>
      </c>
      <c r="AV11" s="26" t="n">
        <v>10.235</v>
      </c>
    </row>
    <row r="12">
      <c r="A12" s="12" t="inlineStr">
        <is>
          <t>cohort:⑤초호황</t>
        </is>
      </c>
      <c r="D12" t="inlineStr">
        <is>
          <t>코호트 ⑤초호황</t>
        </is>
      </c>
      <c r="E12" s="26" t="n">
        <v>3.771</v>
      </c>
      <c r="F12" s="26" t="n">
        <v>49.028</v>
      </c>
      <c r="G12" s="26" t="n">
        <v>49.567</v>
      </c>
      <c r="H12" s="26" t="n">
        <v>49.567</v>
      </c>
      <c r="I12" s="26" t="n">
        <v>48.489</v>
      </c>
      <c r="J12" s="26" t="n">
        <v>63.303</v>
      </c>
      <c r="K12" s="26" t="n">
        <v>100.077</v>
      </c>
      <c r="L12" s="26" t="n">
        <v>100.077</v>
      </c>
      <c r="M12" s="26" t="n">
        <v>98.989</v>
      </c>
      <c r="N12" s="26" t="n">
        <v>99.678</v>
      </c>
      <c r="O12" s="26" t="n">
        <v>163.917</v>
      </c>
      <c r="P12" s="26" t="n">
        <v>277.982</v>
      </c>
      <c r="Q12" s="26" t="n">
        <v>405.955</v>
      </c>
      <c r="R12" s="26" t="n">
        <v>555.451</v>
      </c>
      <c r="S12" s="26" t="n">
        <v>613.2670000000001</v>
      </c>
      <c r="T12" s="26" t="n">
        <v>720.311</v>
      </c>
      <c r="U12" s="26" t="n">
        <v>930.388</v>
      </c>
      <c r="V12" s="26" t="n">
        <v>1252.174</v>
      </c>
      <c r="W12" s="26" t="n">
        <v>1574.265</v>
      </c>
      <c r="X12" s="26" t="n">
        <v>1681.492</v>
      </c>
      <c r="Y12" s="26" t="n">
        <v>1644.937</v>
      </c>
      <c r="Z12" s="26" t="n">
        <v>1630.862</v>
      </c>
      <c r="AA12" s="26" t="n">
        <v>1581.598</v>
      </c>
      <c r="AB12" s="26" t="n">
        <v>1581.598</v>
      </c>
      <c r="AC12" s="26" t="n">
        <v>1360.156</v>
      </c>
      <c r="AD12" s="26" t="n">
        <v>1258.769</v>
      </c>
      <c r="AE12" s="26" t="n">
        <v>1213.499</v>
      </c>
      <c r="AF12" s="26" t="n">
        <v>1034.432</v>
      </c>
      <c r="AG12" s="26" t="n">
        <v>710.783</v>
      </c>
      <c r="AH12" s="26" t="n">
        <v>558.357</v>
      </c>
      <c r="AI12" s="26" t="n">
        <v>431.834</v>
      </c>
      <c r="AJ12" s="26" t="n">
        <v>257.369</v>
      </c>
      <c r="AK12" s="26" t="n">
        <v>182.091</v>
      </c>
      <c r="AL12" s="26" t="n">
        <v>173.766</v>
      </c>
      <c r="AM12" s="26" t="n">
        <v>36.281</v>
      </c>
      <c r="AN12" s="26" t="n">
        <v>151.933</v>
      </c>
      <c r="AO12" s="26" t="n">
        <v>311.946</v>
      </c>
      <c r="AP12" s="26" t="n">
        <v>640.566</v>
      </c>
      <c r="AQ12" s="26" t="n">
        <v>2294.984</v>
      </c>
      <c r="AR12" s="26" t="n">
        <v>5438.319</v>
      </c>
      <c r="AS12" s="26" t="n">
        <v>6438.995</v>
      </c>
      <c r="AT12" s="26" t="n">
        <v>4866.856</v>
      </c>
      <c r="AU12" s="26" t="n">
        <v>1958.343</v>
      </c>
      <c r="AV12" s="26" t="n">
        <v>392.138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F13" s="26" t="n">
        <v>25.052</v>
      </c>
      <c r="G13" s="26" t="n">
        <v>32.925</v>
      </c>
      <c r="H13" s="26" t="n">
        <v>52.382</v>
      </c>
      <c r="I13" s="26" t="n">
        <v>93.11</v>
      </c>
      <c r="J13" s="26" t="n">
        <v>94.14400000000001</v>
      </c>
      <c r="K13" s="26" t="n">
        <v>118.325</v>
      </c>
      <c r="L13" s="26" t="n">
        <v>122.48</v>
      </c>
      <c r="M13" s="26" t="n">
        <v>121.149</v>
      </c>
      <c r="N13" s="26" t="n">
        <v>131.288</v>
      </c>
      <c r="O13" s="26" t="n">
        <v>189.112</v>
      </c>
      <c r="P13" s="26" t="n">
        <v>189.112</v>
      </c>
      <c r="Q13" s="26" t="n">
        <v>185.001</v>
      </c>
      <c r="R13" s="26" t="n">
        <v>116.817</v>
      </c>
      <c r="S13" s="26" t="n">
        <v>461.783</v>
      </c>
      <c r="T13" s="26" t="n">
        <v>479.474</v>
      </c>
      <c r="U13" s="26" t="n">
        <v>383.767</v>
      </c>
      <c r="V13" s="26" t="n">
        <v>315.536</v>
      </c>
      <c r="W13" s="26" t="n">
        <v>89.136</v>
      </c>
      <c r="X13" s="26" t="n">
        <v>89.136</v>
      </c>
      <c r="Y13" s="26" t="n">
        <v>87.19799999999999</v>
      </c>
      <c r="Z13" s="26" t="n">
        <v>47.168</v>
      </c>
      <c r="AA13" s="26" t="n">
        <v>27.301</v>
      </c>
      <c r="AB13" s="26" t="n">
        <v>27.301</v>
      </c>
      <c r="AN13" s="26" t="n">
        <v>110.359</v>
      </c>
      <c r="AO13" s="26" t="n">
        <v>428.059</v>
      </c>
      <c r="AP13" s="26" t="n">
        <v>630.6609999999999</v>
      </c>
      <c r="AQ13" s="26" t="n">
        <v>1243.075</v>
      </c>
      <c r="AR13" s="26" t="n">
        <v>877.575</v>
      </c>
      <c r="AS13" s="26" t="n">
        <v>188.968</v>
      </c>
    </row>
    <row r="14">
      <c r="A14" s="12" t="inlineStr">
        <is>
          <t>hedge_ratio</t>
        </is>
      </c>
      <c r="D14" t="inlineStr">
        <is>
          <t>헤지비율</t>
        </is>
      </c>
      <c r="E14" s="21" t="n">
        <v>0.7</v>
      </c>
      <c r="F14" s="21" t="n">
        <v>0.7</v>
      </c>
      <c r="G14" s="21" t="n">
        <v>0.7</v>
      </c>
      <c r="H14" s="21" t="n">
        <v>0.7</v>
      </c>
      <c r="I14" s="21" t="n">
        <v>0.7</v>
      </c>
      <c r="J14" s="21" t="n">
        <v>0.7</v>
      </c>
      <c r="K14" s="21" t="n">
        <v>0.7</v>
      </c>
      <c r="L14" s="21" t="n">
        <v>0.7</v>
      </c>
      <c r="M14" s="21" t="n">
        <v>0.7</v>
      </c>
      <c r="N14" s="21" t="n">
        <v>0.7</v>
      </c>
      <c r="O14" s="21" t="n">
        <v>0.7</v>
      </c>
      <c r="P14" s="21" t="n">
        <v>0.7</v>
      </c>
      <c r="Q14" s="21" t="n">
        <v>0.7</v>
      </c>
      <c r="R14" s="21" t="n">
        <v>0.7</v>
      </c>
      <c r="S14" s="21" t="n">
        <v>0.7</v>
      </c>
      <c r="T14" s="21" t="n">
        <v>0.7</v>
      </c>
      <c r="U14" s="21" t="n">
        <v>0.7</v>
      </c>
      <c r="V14" s="21" t="n">
        <v>0.7</v>
      </c>
      <c r="W14" s="21" t="n">
        <v>0.7</v>
      </c>
      <c r="X14" s="21" t="n">
        <v>0.7</v>
      </c>
      <c r="Y14" s="21" t="n">
        <v>0.7</v>
      </c>
      <c r="Z14" s="21" t="n">
        <v>0.7</v>
      </c>
      <c r="AA14" s="21" t="n">
        <v>0.7</v>
      </c>
      <c r="AB14" s="21" t="n">
        <v>0.7</v>
      </c>
      <c r="AC14" s="21" t="n">
        <v>0.7</v>
      </c>
      <c r="AD14" s="21" t="n">
        <v>0.7</v>
      </c>
      <c r="AE14" s="21" t="n">
        <v>0.7</v>
      </c>
      <c r="AF14" s="21" t="n">
        <v>0.7</v>
      </c>
      <c r="AG14" s="21" t="n">
        <v>0.7</v>
      </c>
      <c r="AH14" s="21" t="n">
        <v>0.7</v>
      </c>
      <c r="AI14" s="21" t="n">
        <v>0.7</v>
      </c>
      <c r="AJ14" s="21" t="n">
        <v>0.7</v>
      </c>
      <c r="AK14" s="21" t="n">
        <v>0.7</v>
      </c>
      <c r="AL14" s="21" t="n">
        <v>0.7</v>
      </c>
      <c r="AM14" s="21" t="n">
        <v>0.7</v>
      </c>
    </row>
    <row r="15">
      <c r="A15" s="12" t="inlineStr">
        <is>
          <t>hedge_rate</t>
        </is>
      </c>
      <c r="D15" t="inlineStr">
        <is>
          <t>헤지환율</t>
        </is>
      </c>
      <c r="E15" s="13" t="n">
        <v>1205.78</v>
      </c>
      <c r="F15" s="13" t="n">
        <v>1257.97</v>
      </c>
      <c r="G15" s="13" t="n">
        <v>1267.38</v>
      </c>
      <c r="H15" s="13" t="n">
        <v>1285.08</v>
      </c>
      <c r="I15" s="13" t="n">
        <v>1307.27</v>
      </c>
      <c r="J15" s="13" t="n">
        <v>1324.9</v>
      </c>
      <c r="K15" s="13" t="n">
        <v>1353.81</v>
      </c>
      <c r="L15" s="13" t="n">
        <v>1353.21</v>
      </c>
      <c r="M15" s="13" t="n">
        <v>1353.21</v>
      </c>
      <c r="N15" s="13" t="n">
        <v>1354.06</v>
      </c>
      <c r="O15" s="13" t="n">
        <v>1359.87</v>
      </c>
      <c r="P15" s="13" t="n">
        <v>1364.62</v>
      </c>
      <c r="Q15" s="13" t="n">
        <v>1375.91</v>
      </c>
      <c r="R15" s="13" t="n">
        <v>1390.2</v>
      </c>
      <c r="S15" s="13" t="n">
        <v>1393.58</v>
      </c>
      <c r="T15" s="13" t="n">
        <v>1399.86</v>
      </c>
      <c r="U15" s="13" t="n">
        <v>1411.59</v>
      </c>
      <c r="V15" s="13" t="n">
        <v>1427.29</v>
      </c>
      <c r="W15" s="13" t="n">
        <v>1442.98</v>
      </c>
      <c r="X15" s="13" t="n">
        <v>1441.52</v>
      </c>
      <c r="Y15" s="13" t="n">
        <v>1441.52</v>
      </c>
      <c r="Z15" s="13" t="n">
        <v>1444.49</v>
      </c>
      <c r="AA15" s="13" t="n">
        <v>1446.7</v>
      </c>
      <c r="AB15" s="13" t="n">
        <v>1446.7</v>
      </c>
      <c r="AC15" s="13" t="n">
        <v>1456.21</v>
      </c>
      <c r="AD15" s="13" t="n">
        <v>1456.78</v>
      </c>
      <c r="AE15" s="13" t="n">
        <v>1458.04</v>
      </c>
      <c r="AF15" s="13" t="n">
        <v>1462.69</v>
      </c>
      <c r="AG15" s="13" t="n">
        <v>1470.88</v>
      </c>
      <c r="AH15" s="13" t="n">
        <v>1472.49</v>
      </c>
      <c r="AI15" s="13" t="n">
        <v>1471.2</v>
      </c>
      <c r="AJ15" s="13" t="n">
        <v>1485.39</v>
      </c>
      <c r="AK15" s="13" t="n">
        <v>1497.08</v>
      </c>
      <c r="AL15" s="13" t="n">
        <v>1501.75</v>
      </c>
      <c r="AM15" s="13" t="n">
        <v>1501.75</v>
      </c>
    </row>
    <row r="16">
      <c r="A16" s="12" t="inlineStr">
        <is>
          <t>spot_assumed</t>
        </is>
      </c>
      <c r="D16" t="inlineStr">
        <is>
          <t>건조시점 환율(가정)</t>
        </is>
      </c>
      <c r="E16" s="13" t="n">
        <v>1205.78</v>
      </c>
      <c r="F16" s="13" t="n">
        <v>1262.09</v>
      </c>
      <c r="G16" s="13" t="n">
        <v>1341.93</v>
      </c>
      <c r="H16" s="13" t="n">
        <v>1360.12</v>
      </c>
      <c r="I16" s="13" t="n">
        <v>1276.95</v>
      </c>
      <c r="J16" s="13" t="n">
        <v>1315.69</v>
      </c>
      <c r="K16" s="13" t="n">
        <v>1313.62</v>
      </c>
      <c r="L16" s="13" t="n">
        <v>1322.01</v>
      </c>
      <c r="M16" s="13" t="n">
        <v>1330.14</v>
      </c>
      <c r="N16" s="13" t="n">
        <v>1371.28</v>
      </c>
      <c r="O16" s="13" t="n">
        <v>1356.22</v>
      </c>
      <c r="P16" s="13" t="n">
        <v>1396.3</v>
      </c>
      <c r="Q16" s="13" t="n">
        <v>1452.28</v>
      </c>
      <c r="R16" s="13" t="n">
        <v>1398.52</v>
      </c>
      <c r="S16" s="13" t="n">
        <v>1386.95</v>
      </c>
      <c r="T16" s="13" t="n">
        <v>1449.19</v>
      </c>
      <c r="U16" s="13" t="n">
        <v>1466.12</v>
      </c>
      <c r="V16" s="13" t="n">
        <v>1501.75</v>
      </c>
      <c r="W16" s="13" t="n">
        <v>1418.75</v>
      </c>
      <c r="X16" s="13" t="n">
        <v>1355.4</v>
      </c>
      <c r="Y16" s="13" t="n">
        <v>1355.4</v>
      </c>
      <c r="Z16" s="13" t="n">
        <v>1355.4</v>
      </c>
      <c r="AA16" s="13" t="n">
        <v>1355.4</v>
      </c>
      <c r="AB16" s="13" t="n">
        <v>1355.4</v>
      </c>
      <c r="AC16" s="13" t="n">
        <v>1355.4</v>
      </c>
      <c r="AD16" s="13" t="n">
        <v>1355.4</v>
      </c>
      <c r="AE16" s="13" t="n">
        <v>1355.4</v>
      </c>
      <c r="AF16" s="13" t="n">
        <v>1355.4</v>
      </c>
      <c r="AG16" s="13" t="n">
        <v>1355.4</v>
      </c>
      <c r="AH16" s="13" t="n">
        <v>1355.4</v>
      </c>
      <c r="AI16" s="13" t="n">
        <v>1355.4</v>
      </c>
      <c r="AJ16" s="13" t="n">
        <v>1355.4</v>
      </c>
      <c r="AK16" s="13" t="n">
        <v>1355.4</v>
      </c>
      <c r="AL16" s="13" t="n">
        <v>1355.4</v>
      </c>
      <c r="AM16" s="13" t="n">
        <v>1355.4</v>
      </c>
    </row>
    <row r="17">
      <c r="A17" s="12" t="inlineStr">
        <is>
          <t>applied_rate</t>
        </is>
      </c>
      <c r="D17" t="inlineStr">
        <is>
          <t>적용환율</t>
        </is>
      </c>
      <c r="E17" s="13" t="n">
        <v>1205.78</v>
      </c>
      <c r="F17" s="13" t="n">
        <v>1259.21</v>
      </c>
      <c r="G17" s="13" t="n">
        <v>1289.75</v>
      </c>
      <c r="H17" s="13" t="n">
        <v>1307.59</v>
      </c>
      <c r="I17" s="13" t="n">
        <v>1298.17</v>
      </c>
      <c r="J17" s="13" t="n">
        <v>1322.14</v>
      </c>
      <c r="K17" s="13" t="n">
        <v>1341.75</v>
      </c>
      <c r="L17" s="13" t="n">
        <v>1343.85</v>
      </c>
      <c r="M17" s="13" t="n">
        <v>1346.29</v>
      </c>
      <c r="N17" s="13" t="n">
        <v>1359.23</v>
      </c>
      <c r="O17" s="13" t="n">
        <v>1358.77</v>
      </c>
      <c r="P17" s="13" t="n">
        <v>1374.13</v>
      </c>
      <c r="Q17" s="13" t="n">
        <v>1398.82</v>
      </c>
      <c r="R17" s="13" t="n">
        <v>1392.7</v>
      </c>
      <c r="S17" s="13" t="n">
        <v>1391.59</v>
      </c>
      <c r="T17" s="13" t="n">
        <v>1414.66</v>
      </c>
      <c r="U17" s="13" t="n">
        <v>1427.95</v>
      </c>
      <c r="V17" s="13" t="n">
        <v>1449.63</v>
      </c>
      <c r="W17" s="13" t="n">
        <v>1435.71</v>
      </c>
      <c r="X17" s="13" t="n">
        <v>1415.68</v>
      </c>
      <c r="Y17" s="13" t="n">
        <v>1415.68</v>
      </c>
      <c r="Z17" s="13" t="n">
        <v>1417.77</v>
      </c>
      <c r="AA17" s="13" t="n">
        <v>1419.31</v>
      </c>
      <c r="AB17" s="13" t="n">
        <v>1419.31</v>
      </c>
      <c r="AC17" s="13" t="n">
        <v>1425.97</v>
      </c>
      <c r="AD17" s="13" t="n">
        <v>1426.36</v>
      </c>
      <c r="AE17" s="13" t="n">
        <v>1427.25</v>
      </c>
      <c r="AF17" s="13" t="n">
        <v>1430.5</v>
      </c>
      <c r="AG17" s="13" t="n">
        <v>1436.24</v>
      </c>
      <c r="AH17" s="13" t="n">
        <v>1437.37</v>
      </c>
      <c r="AI17" s="13" t="n">
        <v>1436.46</v>
      </c>
      <c r="AJ17" s="13" t="n">
        <v>1446.39</v>
      </c>
      <c r="AK17" s="13" t="n">
        <v>1454.58</v>
      </c>
      <c r="AL17" s="13" t="n">
        <v>1457.85</v>
      </c>
      <c r="AM17" s="13" t="n">
        <v>1457.85</v>
      </c>
    </row>
    <row r="18">
      <c r="A18" s="12" t="inlineStr">
        <is>
          <t>hedged_krw_m</t>
        </is>
      </c>
      <c r="D18" t="inlineStr">
        <is>
          <t>헤지적용 원화매출(백만원)</t>
        </is>
      </c>
      <c r="E18" s="18" t="n">
        <v>4547.5</v>
      </c>
      <c r="F18" s="18" t="n">
        <v>93281.8</v>
      </c>
      <c r="G18" s="18" t="n">
        <v>106393.6</v>
      </c>
      <c r="H18" s="18" t="n">
        <v>133307.3</v>
      </c>
      <c r="I18" s="18" t="n">
        <v>183819.8</v>
      </c>
      <c r="J18" s="18" t="n">
        <v>208166.5</v>
      </c>
      <c r="K18" s="18" t="n">
        <v>293042.3</v>
      </c>
      <c r="L18" s="18" t="n">
        <v>299084.3</v>
      </c>
      <c r="M18" s="18" t="n">
        <v>296370.3</v>
      </c>
      <c r="N18" s="18" t="n">
        <v>313935.2</v>
      </c>
      <c r="O18" s="18" t="n">
        <v>479685.9</v>
      </c>
      <c r="P18" s="18" t="n">
        <v>641845.5</v>
      </c>
      <c r="Q18" s="18" t="n">
        <v>826642.1</v>
      </c>
      <c r="R18" s="18" t="n">
        <v>936268</v>
      </c>
      <c r="S18" s="18" t="n">
        <v>1496028.1</v>
      </c>
      <c r="T18" s="18" t="n">
        <v>1697287.6</v>
      </c>
      <c r="U18" s="18" t="n">
        <v>1876550.8</v>
      </c>
      <c r="V18" s="18" t="n">
        <v>2272592.2</v>
      </c>
      <c r="W18" s="18" t="n">
        <v>2388165.2</v>
      </c>
      <c r="X18" s="18" t="n">
        <v>2506642.8</v>
      </c>
      <c r="Y18" s="18" t="n">
        <v>2452150.6</v>
      </c>
      <c r="Z18" s="18" t="n">
        <v>2379051.9</v>
      </c>
      <c r="AA18" s="18" t="n">
        <v>2283527</v>
      </c>
      <c r="AB18" s="18" t="n">
        <v>2283527</v>
      </c>
      <c r="AC18" s="18" t="n">
        <v>1939538.9</v>
      </c>
      <c r="AD18" s="18" t="n">
        <v>1795462.3</v>
      </c>
      <c r="AE18" s="18" t="n">
        <v>1731964.3</v>
      </c>
      <c r="AF18" s="18" t="n">
        <v>1479759.4</v>
      </c>
      <c r="AG18" s="18" t="n">
        <v>1020851.3</v>
      </c>
      <c r="AH18" s="18" t="n">
        <v>802562.6</v>
      </c>
      <c r="AI18" s="18" t="n">
        <v>620311.8</v>
      </c>
      <c r="AJ18" s="18" t="n">
        <v>372256.1</v>
      </c>
      <c r="AK18" s="18" t="n">
        <v>264866.4</v>
      </c>
      <c r="AL18" s="18" t="n">
        <v>253323.8</v>
      </c>
      <c r="AM18" s="18" t="n">
        <v>52891.8</v>
      </c>
      <c r="AN18" s="18" t="n">
        <v>337530.2</v>
      </c>
      <c r="AO18" s="18" t="n">
        <v>984112.9</v>
      </c>
      <c r="AP18" s="18" t="n">
        <v>1731836.9</v>
      </c>
      <c r="AQ18" s="18" t="n">
        <v>4956225.8</v>
      </c>
      <c r="AR18" s="18" t="n">
        <v>9043951</v>
      </c>
      <c r="AS18" s="18" t="n">
        <v>9398256.5</v>
      </c>
      <c r="AT18" s="18" t="n">
        <v>6946724.9</v>
      </c>
      <c r="AU18" s="18" t="n">
        <v>2815981.8</v>
      </c>
      <c r="AV18" s="18" t="n">
        <v>571082</v>
      </c>
    </row>
    <row r="19">
      <c r="A19" s="12" t="inlineStr">
        <is>
          <t>target_opm</t>
        </is>
      </c>
      <c r="D19" t="inlineStr">
        <is>
          <t>타겟 OPM(코호트)</t>
        </is>
      </c>
      <c r="E19" s="21" t="n">
        <v>0.15</v>
      </c>
      <c r="F19" s="21" t="n">
        <v>0.15</v>
      </c>
      <c r="G19" s="21" t="n">
        <v>0.15</v>
      </c>
      <c r="H19" s="21" t="n">
        <v>0.15</v>
      </c>
      <c r="I19" s="21" t="n">
        <v>0.15</v>
      </c>
      <c r="J19" s="21" t="n">
        <v>0.15</v>
      </c>
      <c r="K19" s="21" t="n">
        <v>0.15</v>
      </c>
      <c r="L19" s="21" t="n">
        <v>0.15</v>
      </c>
      <c r="M19" s="21" t="n">
        <v>0.15</v>
      </c>
      <c r="N19" s="21" t="n">
        <v>0.15</v>
      </c>
      <c r="O19" s="21" t="n">
        <v>0.15</v>
      </c>
      <c r="P19" s="21" t="n">
        <v>0.15</v>
      </c>
      <c r="Q19" s="21" t="n">
        <v>0.15</v>
      </c>
      <c r="R19" s="21" t="n">
        <v>0.15</v>
      </c>
      <c r="S19" s="21" t="n">
        <v>0.15</v>
      </c>
      <c r="T19" s="21" t="n">
        <v>0.15</v>
      </c>
      <c r="U19" s="21" t="n">
        <v>0.15</v>
      </c>
      <c r="V19" s="21" t="n">
        <v>0.15</v>
      </c>
      <c r="W19" s="21" t="n">
        <v>0.15</v>
      </c>
      <c r="X19" s="21" t="n">
        <v>0.15</v>
      </c>
      <c r="Y19" s="21" t="n">
        <v>0.15</v>
      </c>
      <c r="Z19" s="21" t="n">
        <v>0.15</v>
      </c>
      <c r="AA19" s="21" t="n">
        <v>0.15</v>
      </c>
      <c r="AB19" s="21" t="n">
        <v>0.15</v>
      </c>
      <c r="AC19" s="21" t="n">
        <v>0.15</v>
      </c>
      <c r="AD19" s="21" t="n">
        <v>0.15</v>
      </c>
      <c r="AE19" s="21" t="n">
        <v>0.15</v>
      </c>
      <c r="AF19" s="21" t="n">
        <v>0.15</v>
      </c>
      <c r="AG19" s="21" t="n">
        <v>0.15</v>
      </c>
      <c r="AH19" s="21" t="n">
        <v>0.15</v>
      </c>
      <c r="AI19" s="21" t="n">
        <v>0.15</v>
      </c>
      <c r="AJ19" s="21" t="n">
        <v>0.15</v>
      </c>
      <c r="AK19" s="21" t="n">
        <v>0.15</v>
      </c>
      <c r="AL19" s="21" t="n">
        <v>0.15</v>
      </c>
      <c r="AM19" s="21" t="n">
        <v>0.15</v>
      </c>
    </row>
    <row r="21">
      <c r="A21" s="1" t="inlineStr">
        <is>
          <t>계약 원장(contracts.json 기반)</t>
        </is>
      </c>
    </row>
    <row r="22">
      <c r="A22" s="1" t="inlineStr">
        <is>
          <t>rcp</t>
        </is>
      </c>
      <c r="B22" s="1" t="inlineStr">
        <is>
          <t>type</t>
        </is>
      </c>
      <c r="C22" s="1" t="inlineStr">
        <is>
          <t>ships</t>
        </is>
      </c>
      <c r="D22" s="1" t="inlineStr">
        <is>
          <t>amt_krw_m</t>
        </is>
      </c>
      <c r="E22" s="1" t="inlineStr">
        <is>
          <t>amt_usd_m</t>
        </is>
      </c>
      <c r="F22" s="1" t="inlineStr">
        <is>
          <t>fx_at_sign</t>
        </is>
      </c>
      <c r="G22" s="1" t="inlineStr">
        <is>
          <t>signed</t>
        </is>
      </c>
      <c r="H22" s="1" t="inlineStr">
        <is>
          <t>start</t>
        </is>
      </c>
      <c r="I22" s="1" t="inlineStr">
        <is>
          <t>end</t>
        </is>
      </c>
      <c r="J22" s="1" t="inlineStr">
        <is>
          <t>cohort</t>
        </is>
      </c>
      <c r="K22" s="1" t="inlineStr">
        <is>
          <t>curve</t>
        </is>
      </c>
      <c r="L22" s="1" t="inlineStr">
        <is>
          <t>estimated_series</t>
        </is>
      </c>
    </row>
    <row r="23">
      <c r="A23" t="inlineStr">
        <is>
          <t>20240701800160</t>
        </is>
      </c>
      <c r="B23" t="inlineStr">
        <is>
          <t>LNGC</t>
        </is>
      </c>
      <c r="C23" t="n">
        <v>4</v>
      </c>
      <c r="D23" t="n">
        <v>1438100</v>
      </c>
      <c r="E23" t="n">
        <v>1048.728</v>
      </c>
      <c r="F23" t="n">
        <v>1371.28</v>
      </c>
      <c r="G23" t="inlineStr">
        <is>
          <t>2024-06-30</t>
        </is>
      </c>
      <c r="H23" t="inlineStr">
        <is>
          <t>2024-06-30</t>
        </is>
      </c>
      <c r="I23" t="inlineStr">
        <is>
          <t>2028-08-31</t>
        </is>
      </c>
      <c r="J23" t="inlineStr">
        <is>
          <t>⑤초호황</t>
        </is>
      </c>
      <c r="K23" t="inlineStr">
        <is>
          <t>linear_progress</t>
        </is>
      </c>
      <c r="L23" t="b">
        <v>1</v>
      </c>
    </row>
    <row r="24">
      <c r="A24" t="inlineStr">
        <is>
          <t>20241002800072</t>
        </is>
      </c>
      <c r="B24" t="inlineStr">
        <is>
          <t>LNGC</t>
        </is>
      </c>
      <c r="C24" t="n">
        <v>2</v>
      </c>
      <c r="D24" t="n">
        <v>678300</v>
      </c>
      <c r="E24" t="n">
        <v>500.14</v>
      </c>
      <c r="F24" t="n">
        <v>1356.22</v>
      </c>
      <c r="G24" t="inlineStr">
        <is>
          <t>2024-09-30</t>
        </is>
      </c>
      <c r="H24" t="inlineStr">
        <is>
          <t>2024-09-30</t>
        </is>
      </c>
      <c r="I24" t="inlineStr">
        <is>
          <t>2027-04-30</t>
        </is>
      </c>
      <c r="J24" t="inlineStr">
        <is>
          <t>⑤초호황</t>
        </is>
      </c>
      <c r="K24" t="inlineStr">
        <is>
          <t>linear_progress</t>
        </is>
      </c>
      <c r="L24" t="b">
        <v>1</v>
      </c>
    </row>
    <row r="25">
      <c r="A25" t="inlineStr">
        <is>
          <t>20241031800038</t>
        </is>
      </c>
      <c r="B25" t="inlineStr">
        <is>
          <t>LNGC</t>
        </is>
      </c>
      <c r="C25" t="n">
        <v>1</v>
      </c>
      <c r="D25" t="n">
        <v>358200</v>
      </c>
      <c r="E25" t="n">
        <v>256.535</v>
      </c>
      <c r="F25" t="n">
        <v>1396.3</v>
      </c>
      <c r="G25" t="inlineStr">
        <is>
          <t>2024-10-30</t>
        </is>
      </c>
      <c r="H25" t="inlineStr">
        <is>
          <t>2024-10-30</t>
        </is>
      </c>
      <c r="I25" t="inlineStr">
        <is>
          <t>2027-06-30</t>
        </is>
      </c>
      <c r="J25" t="inlineStr">
        <is>
          <t>⑤초호황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20241101800164</t>
        </is>
      </c>
      <c r="B26" t="inlineStr">
        <is>
          <t>VLCC</t>
        </is>
      </c>
      <c r="C26" t="n">
        <v>4</v>
      </c>
      <c r="D26" t="n">
        <v>459300</v>
      </c>
      <c r="E26" t="n">
        <v>328.941</v>
      </c>
      <c r="F26" t="n">
        <v>1396.3</v>
      </c>
      <c r="G26" t="inlineStr">
        <is>
          <t>2024-10-31</t>
        </is>
      </c>
      <c r="H26" t="inlineStr">
        <is>
          <t>2024-10-31</t>
        </is>
      </c>
      <c r="I26" t="inlineStr">
        <is>
          <t>2027-12-31</t>
        </is>
      </c>
      <c r="J26" t="inlineStr">
        <is>
          <t>⑤초호황</t>
        </is>
      </c>
      <c r="K26" t="inlineStr">
        <is>
          <t>linear_progress</t>
        </is>
      </c>
      <c r="L26" t="b">
        <v>1</v>
      </c>
    </row>
    <row r="27">
      <c r="A27" t="inlineStr">
        <is>
          <t>20241125800093</t>
        </is>
      </c>
      <c r="B27" t="inlineStr">
        <is>
          <t>CONT</t>
        </is>
      </c>
      <c r="C27" t="n">
        <v>4</v>
      </c>
      <c r="D27" t="n">
        <v>1098500</v>
      </c>
      <c r="E27" t="n">
        <v>786.722</v>
      </c>
      <c r="F27" t="n">
        <v>1396.3</v>
      </c>
      <c r="G27" t="inlineStr">
        <is>
          <t>2024-11-22</t>
        </is>
      </c>
      <c r="H27" t="inlineStr">
        <is>
          <t>2024-11-22</t>
        </is>
      </c>
      <c r="I27" t="inlineStr">
        <is>
          <t>2027-12-31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20241230800259</t>
        </is>
      </c>
      <c r="B28" t="inlineStr">
        <is>
          <t>OTHER</t>
        </is>
      </c>
      <c r="D28" t="n">
        <v>523270</v>
      </c>
      <c r="E28" t="n">
        <v>384.723</v>
      </c>
      <c r="F28" t="n">
        <v>1360.12</v>
      </c>
      <c r="G28" t="inlineStr">
        <is>
          <t>2022-11-28</t>
        </is>
      </c>
      <c r="H28" t="inlineStr">
        <is>
          <t>2022-04-22</t>
        </is>
      </c>
      <c r="I28" t="inlineStr">
        <is>
          <t>2025-03-31</t>
        </is>
      </c>
      <c r="K28" t="inlineStr">
        <is>
          <t>linear_progress</t>
        </is>
      </c>
      <c r="L28" t="b">
        <v>0</v>
      </c>
    </row>
    <row r="29">
      <c r="A29" t="inlineStr">
        <is>
          <t>20241230800261</t>
        </is>
      </c>
      <c r="B29" t="inlineStr">
        <is>
          <t>OTHER</t>
        </is>
      </c>
      <c r="D29" t="n">
        <v>488730</v>
      </c>
      <c r="E29" t="n">
        <v>359.329</v>
      </c>
      <c r="F29" t="n">
        <v>1360.12</v>
      </c>
      <c r="G29" t="inlineStr">
        <is>
          <t>2022-11-10</t>
        </is>
      </c>
      <c r="H29" t="inlineStr">
        <is>
          <t>2022-11-15</t>
        </is>
      </c>
      <c r="I29" t="inlineStr">
        <is>
          <t>2025-03-31</t>
        </is>
      </c>
      <c r="K29" t="inlineStr">
        <is>
          <t>linear_progress</t>
        </is>
      </c>
      <c r="L29" t="b">
        <v>0</v>
      </c>
    </row>
    <row r="30">
      <c r="A30" t="inlineStr">
        <is>
          <t>20250120800318</t>
        </is>
      </c>
      <c r="B30" t="inlineStr">
        <is>
          <t>LNGC</t>
        </is>
      </c>
      <c r="C30" t="n">
        <v>1</v>
      </c>
      <c r="D30" t="n">
        <v>379600</v>
      </c>
      <c r="E30" t="n">
        <v>261.382</v>
      </c>
      <c r="F30" t="n">
        <v>1452.28</v>
      </c>
      <c r="G30" t="inlineStr">
        <is>
          <t>2025-01-17</t>
        </is>
      </c>
      <c r="H30" t="inlineStr">
        <is>
          <t>2025-01-17</t>
        </is>
      </c>
      <c r="I30" t="inlineStr">
        <is>
          <t>2027-06-30</t>
        </is>
      </c>
      <c r="J30" t="inlineStr">
        <is>
          <t>⑤초호황</t>
        </is>
      </c>
      <c r="K30" t="inlineStr">
        <is>
          <t>linear_progress</t>
        </is>
      </c>
      <c r="L30" t="b">
        <v>0</v>
      </c>
    </row>
    <row r="31">
      <c r="A31" t="inlineStr">
        <is>
          <t>20250123800869</t>
        </is>
      </c>
      <c r="B31" t="inlineStr">
        <is>
          <t>VLGC</t>
        </is>
      </c>
      <c r="C31" t="n">
        <v>3</v>
      </c>
      <c r="D31" t="n">
        <v>742200</v>
      </c>
      <c r="E31" t="n">
        <v>531.548</v>
      </c>
      <c r="F31" t="n">
        <v>1396.3</v>
      </c>
      <c r="G31" t="inlineStr">
        <is>
          <t>2024-12-24</t>
        </is>
      </c>
      <c r="H31" t="inlineStr">
        <is>
          <t>2024-12-24</t>
        </is>
      </c>
      <c r="I31" t="inlineStr">
        <is>
          <t>2027-12-31</t>
        </is>
      </c>
      <c r="J31" t="inlineStr">
        <is>
          <t>⑤초호황</t>
        </is>
      </c>
      <c r="K31" t="inlineStr">
        <is>
          <t>linear_progress</t>
        </is>
      </c>
      <c r="L31" t="b">
        <v>1</v>
      </c>
    </row>
    <row r="32">
      <c r="A32" t="inlineStr">
        <is>
          <t>20250317800118</t>
        </is>
      </c>
      <c r="B32" t="inlineStr">
        <is>
          <t>VLCC</t>
        </is>
      </c>
      <c r="C32" t="n">
        <v>9</v>
      </c>
      <c r="D32" t="n">
        <v>1935500</v>
      </c>
      <c r="E32" t="n">
        <v>1332.732</v>
      </c>
      <c r="F32" t="n">
        <v>1452.28</v>
      </c>
      <c r="G32" t="inlineStr">
        <is>
          <t>2025-03-14</t>
        </is>
      </c>
      <c r="H32" t="inlineStr">
        <is>
          <t>2025-03-14</t>
        </is>
      </c>
      <c r="I32" t="inlineStr">
        <is>
          <t>2028-12-31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20250318800145</t>
        </is>
      </c>
      <c r="B33" t="inlineStr">
        <is>
          <t>VLGC</t>
        </is>
      </c>
      <c r="C33" t="n">
        <v>2</v>
      </c>
      <c r="D33" t="n">
        <v>466100</v>
      </c>
      <c r="E33" t="n">
        <v>320.944</v>
      </c>
      <c r="F33" t="n">
        <v>1452.28</v>
      </c>
      <c r="G33" t="inlineStr">
        <is>
          <t>2025-03-17</t>
        </is>
      </c>
      <c r="H33" t="inlineStr">
        <is>
          <t>2025-03-17</t>
        </is>
      </c>
      <c r="I33" t="inlineStr">
        <is>
          <t>2028-02-29</t>
        </is>
      </c>
      <c r="J33" t="inlineStr">
        <is>
          <t>⑤초호황</t>
        </is>
      </c>
      <c r="K33" t="inlineStr">
        <is>
          <t>linear_progress</t>
        </is>
      </c>
      <c r="L33" t="b">
        <v>1</v>
      </c>
    </row>
    <row r="34">
      <c r="A34" t="inlineStr">
        <is>
          <t>20250408800489</t>
        </is>
      </c>
      <c r="B34" t="inlineStr">
        <is>
          <t>VLCC</t>
        </is>
      </c>
      <c r="C34" t="n">
        <v>4</v>
      </c>
      <c r="D34" t="n">
        <v>477800</v>
      </c>
      <c r="E34" t="n">
        <v>341.647</v>
      </c>
      <c r="F34" t="n">
        <v>1398.52</v>
      </c>
      <c r="G34" t="inlineStr">
        <is>
          <t>2025-04-07</t>
        </is>
      </c>
      <c r="H34" t="inlineStr">
        <is>
          <t>2025-04-07</t>
        </is>
      </c>
      <c r="I34" t="inlineStr">
        <is>
          <t>2028-12-31</t>
        </is>
      </c>
      <c r="J34" t="inlineStr">
        <is>
          <t>⑤초호황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20250425800546</t>
        </is>
      </c>
      <c r="B35" t="inlineStr">
        <is>
          <t>CONT</t>
        </is>
      </c>
      <c r="C35" t="n">
        <v>5</v>
      </c>
      <c r="D35" t="n">
        <v>803600</v>
      </c>
      <c r="E35" t="n">
        <v>666.457</v>
      </c>
      <c r="F35" t="n">
        <v>1205.78</v>
      </c>
      <c r="G35" t="inlineStr">
        <is>
          <t>2022-03-25</t>
        </is>
      </c>
      <c r="H35" t="inlineStr">
        <is>
          <t>2022-03-25</t>
        </is>
      </c>
      <c r="I35" t="inlineStr">
        <is>
          <t>2025-08-12</t>
        </is>
      </c>
      <c r="J35" t="inlineStr">
        <is>
          <t>⑤초호황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20250428800076</t>
        </is>
      </c>
      <c r="B36" t="inlineStr">
        <is>
          <t>CONT</t>
        </is>
      </c>
      <c r="C36" t="n">
        <v>2</v>
      </c>
      <c r="D36" t="n">
        <v>561900</v>
      </c>
      <c r="E36" t="n">
        <v>401.782</v>
      </c>
      <c r="F36" t="n">
        <v>1398.52</v>
      </c>
      <c r="G36" t="inlineStr">
        <is>
          <t>2025-04-25</t>
        </is>
      </c>
      <c r="H36" t="inlineStr">
        <is>
          <t>2025-04-25</t>
        </is>
      </c>
      <c r="I36" t="inlineStr">
        <is>
          <t>2028-01-31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20250618800387</t>
        </is>
      </c>
      <c r="B37" t="inlineStr">
        <is>
          <t>OTHER</t>
        </is>
      </c>
      <c r="F37" t="n">
        <v>1183.5</v>
      </c>
      <c r="G37" t="inlineStr"/>
      <c r="H37" t="inlineStr">
        <is>
          <t>2021-10-15</t>
        </is>
      </c>
      <c r="I37" t="inlineStr">
        <is>
          <t>2026-04-09</t>
        </is>
      </c>
      <c r="K37" t="inlineStr">
        <is>
          <t>linear_progress</t>
        </is>
      </c>
      <c r="L37" t="b">
        <v>0</v>
      </c>
    </row>
    <row r="38">
      <c r="A38" t="inlineStr">
        <is>
          <t>20250618800388</t>
        </is>
      </c>
      <c r="B38" t="inlineStr">
        <is>
          <t>OTHER</t>
        </is>
      </c>
      <c r="F38" t="n">
        <v>1117.97</v>
      </c>
      <c r="G38" t="inlineStr"/>
      <c r="H38" t="inlineStr">
        <is>
          <t>2020-11-20</t>
        </is>
      </c>
      <c r="I38" t="inlineStr">
        <is>
          <t>2025-05-15</t>
        </is>
      </c>
      <c r="K38" t="inlineStr">
        <is>
          <t>linear_progress</t>
        </is>
      </c>
      <c r="L38" t="b">
        <v>0</v>
      </c>
    </row>
    <row r="39">
      <c r="A39" t="inlineStr">
        <is>
          <t>20250818800096</t>
        </is>
      </c>
      <c r="B39" t="inlineStr">
        <is>
          <t>LNGC</t>
        </is>
      </c>
      <c r="C39" t="n">
        <v>2</v>
      </c>
      <c r="D39" t="n">
        <v>705700</v>
      </c>
      <c r="E39" t="n">
        <v>508.814</v>
      </c>
      <c r="F39" t="n">
        <v>1386.95</v>
      </c>
      <c r="G39" t="inlineStr">
        <is>
          <t>2025-08-15</t>
        </is>
      </c>
      <c r="H39" t="inlineStr">
        <is>
          <t>2025-08-15</t>
        </is>
      </c>
      <c r="I39" t="inlineStr">
        <is>
          <t>2028-01-31</t>
        </is>
      </c>
      <c r="J39" t="inlineStr">
        <is>
          <t>⑤초호황</t>
        </is>
      </c>
      <c r="K39" t="inlineStr">
        <is>
          <t>linear_progress</t>
        </is>
      </c>
      <c r="L39" t="b">
        <v>1</v>
      </c>
    </row>
    <row r="40">
      <c r="A40" t="inlineStr">
        <is>
          <t>20250818800098</t>
        </is>
      </c>
      <c r="B40" t="inlineStr">
        <is>
          <t>LNGC</t>
        </is>
      </c>
      <c r="C40" t="n">
        <v>4</v>
      </c>
      <c r="D40" t="n">
        <v>1435000</v>
      </c>
      <c r="E40" t="n">
        <v>1034.644</v>
      </c>
      <c r="F40" t="n">
        <v>1386.95</v>
      </c>
      <c r="G40" t="inlineStr">
        <is>
          <t>2025-08-15</t>
        </is>
      </c>
      <c r="H40" t="inlineStr">
        <is>
          <t>2025-08-15</t>
        </is>
      </c>
      <c r="I40" t="inlineStr">
        <is>
          <t>2028-11-30</t>
        </is>
      </c>
      <c r="J40" t="inlineStr">
        <is>
          <t>⑤초호황</t>
        </is>
      </c>
      <c r="K40" t="inlineStr">
        <is>
          <t>linear_progress</t>
        </is>
      </c>
      <c r="L40" t="b">
        <v>1</v>
      </c>
    </row>
    <row r="41">
      <c r="A41" t="inlineStr">
        <is>
          <t>20251107800084</t>
        </is>
      </c>
      <c r="B41" t="inlineStr">
        <is>
          <t>VLCC</t>
        </is>
      </c>
      <c r="C41" t="n">
        <v>2</v>
      </c>
      <c r="D41" t="n">
        <v>290100</v>
      </c>
      <c r="E41" t="n">
        <v>200.181</v>
      </c>
      <c r="F41" t="n">
        <v>1449.19</v>
      </c>
      <c r="G41" t="inlineStr">
        <is>
          <t>2025-11-06</t>
        </is>
      </c>
      <c r="H41" t="inlineStr">
        <is>
          <t>2025-11-06</t>
        </is>
      </c>
      <c r="I41" t="inlineStr">
        <is>
          <t>2029-01-31</t>
        </is>
      </c>
      <c r="J41" t="inlineStr">
        <is>
          <t>⑤초호황</t>
        </is>
      </c>
      <c r="K41" t="inlineStr">
        <is>
          <t>linear_progress</t>
        </is>
      </c>
      <c r="L41" t="b">
        <v>0</v>
      </c>
    </row>
    <row r="42">
      <c r="A42" t="inlineStr">
        <is>
          <t>20251120800137</t>
        </is>
      </c>
      <c r="B42" t="inlineStr">
        <is>
          <t>CONT</t>
        </is>
      </c>
      <c r="C42" t="n">
        <v>7</v>
      </c>
      <c r="D42" t="n">
        <v>1922000</v>
      </c>
      <c r="E42" t="n">
        <v>1326.258</v>
      </c>
      <c r="F42" t="n">
        <v>1449.19</v>
      </c>
      <c r="G42" t="inlineStr">
        <is>
          <t>2025-11-19</t>
        </is>
      </c>
      <c r="H42" t="inlineStr">
        <is>
          <t>2025-11-19</t>
        </is>
      </c>
      <c r="I42" t="inlineStr">
        <is>
          <t>2029-11-30</t>
        </is>
      </c>
      <c r="J42" t="inlineStr">
        <is>
          <t>⑤초호황</t>
        </is>
      </c>
      <c r="K42" t="inlineStr">
        <is>
          <t>linear_progress</t>
        </is>
      </c>
      <c r="L42" t="b">
        <v>1</v>
      </c>
    </row>
    <row r="43">
      <c r="A43" t="inlineStr">
        <is>
          <t>20251212800879</t>
        </is>
      </c>
      <c r="B43" t="inlineStr">
        <is>
          <t>OTHER</t>
        </is>
      </c>
      <c r="D43" t="n">
        <v>391600</v>
      </c>
      <c r="E43" t="n">
        <v>287.916</v>
      </c>
      <c r="F43" t="n">
        <v>1360.12</v>
      </c>
      <c r="G43" t="inlineStr">
        <is>
          <t>2022-12-23</t>
        </is>
      </c>
      <c r="H43" t="inlineStr">
        <is>
          <t>2023-01-01</t>
        </is>
      </c>
      <c r="I43" t="inlineStr">
        <is>
          <t>2025-12-31</t>
        </is>
      </c>
      <c r="K43" t="inlineStr">
        <is>
          <t>linear_progress</t>
        </is>
      </c>
      <c r="L43" t="b">
        <v>0</v>
      </c>
    </row>
    <row r="44">
      <c r="A44" t="inlineStr">
        <is>
          <t>20251223800127</t>
        </is>
      </c>
      <c r="B44" t="inlineStr">
        <is>
          <t>LNGC</t>
        </is>
      </c>
      <c r="C44" t="n">
        <v>2</v>
      </c>
      <c r="D44" t="n">
        <v>743000</v>
      </c>
      <c r="E44" t="n">
        <v>512.7</v>
      </c>
      <c r="F44" t="n">
        <v>1449.19</v>
      </c>
      <c r="G44" t="inlineStr">
        <is>
          <t>2025-12-22</t>
        </is>
      </c>
      <c r="H44" t="inlineStr">
        <is>
          <t>2025-12-22</t>
        </is>
      </c>
      <c r="I44" t="inlineStr">
        <is>
          <t>2029-03-31</t>
        </is>
      </c>
      <c r="J44" t="inlineStr">
        <is>
          <t>⑤초호황</t>
        </is>
      </c>
      <c r="K44" t="inlineStr">
        <is>
          <t>linear_progress</t>
        </is>
      </c>
      <c r="L44" t="b">
        <v>1</v>
      </c>
    </row>
    <row r="45">
      <c r="A45" t="inlineStr">
        <is>
          <t>20251226800865</t>
        </is>
      </c>
      <c r="B45" t="inlineStr">
        <is>
          <t>OTHER</t>
        </is>
      </c>
      <c r="D45" t="n">
        <v>554183.3</v>
      </c>
      <c r="E45" t="n">
        <v>404.136</v>
      </c>
      <c r="F45" t="n">
        <v>1371.28</v>
      </c>
      <c r="G45" t="inlineStr">
        <is>
          <t>2024-06-14</t>
        </is>
      </c>
      <c r="H45" t="inlineStr">
        <is>
          <t>2024-06-17</t>
        </is>
      </c>
      <c r="I45" t="inlineStr">
        <is>
          <t>2025-12-26</t>
        </is>
      </c>
      <c r="K45" t="inlineStr">
        <is>
          <t>linear_progress</t>
        </is>
      </c>
      <c r="L45" t="b">
        <v>0</v>
      </c>
    </row>
    <row r="46">
      <c r="A46" t="inlineStr">
        <is>
          <t>20260102800222</t>
        </is>
      </c>
      <c r="B46" t="inlineStr">
        <is>
          <t>LNGC</t>
        </is>
      </c>
      <c r="C46" t="n">
        <v>2</v>
      </c>
      <c r="D46" t="n">
        <v>721100</v>
      </c>
      <c r="E46" t="n">
        <v>497.588</v>
      </c>
      <c r="F46" t="n">
        <v>1449.19</v>
      </c>
      <c r="G46" t="inlineStr">
        <is>
          <t>2025-12-31</t>
        </is>
      </c>
      <c r="H46" t="inlineStr">
        <is>
          <t>2025-12-31</t>
        </is>
      </c>
      <c r="I46" t="inlineStr">
        <is>
          <t>2028-09-15</t>
        </is>
      </c>
      <c r="J46" t="inlineStr">
        <is>
          <t>⑤초호황</t>
        </is>
      </c>
      <c r="K46" t="inlineStr">
        <is>
          <t>linear_progress</t>
        </is>
      </c>
      <c r="L46" t="b">
        <v>1</v>
      </c>
    </row>
    <row r="47">
      <c r="A47" t="inlineStr">
        <is>
          <t>20260128800216</t>
        </is>
      </c>
      <c r="B47" t="inlineStr">
        <is>
          <t>VLGC</t>
        </is>
      </c>
      <c r="C47" t="n">
        <v>2</v>
      </c>
      <c r="D47" t="n">
        <v>430900</v>
      </c>
      <c r="E47" t="n">
        <v>293.905</v>
      </c>
      <c r="F47" t="n">
        <v>1466.12</v>
      </c>
      <c r="G47" t="inlineStr">
        <is>
          <t>2026-01-27</t>
        </is>
      </c>
      <c r="H47" t="inlineStr">
        <is>
          <t>2026-01-27</t>
        </is>
      </c>
      <c r="I47" t="inlineStr">
        <is>
          <t>2029-01-15</t>
        </is>
      </c>
      <c r="J47" t="inlineStr">
        <is>
          <t>⑤초호황</t>
        </is>
      </c>
      <c r="K47" t="inlineStr">
        <is>
          <t>linear_progress</t>
        </is>
      </c>
      <c r="L47" t="b">
        <v>0</v>
      </c>
    </row>
    <row r="48">
      <c r="A48" t="inlineStr">
        <is>
          <t>20260128800218</t>
        </is>
      </c>
      <c r="B48" t="inlineStr">
        <is>
          <t>LNGC</t>
        </is>
      </c>
      <c r="C48" t="n">
        <v>2</v>
      </c>
      <c r="D48" t="n">
        <v>727200</v>
      </c>
      <c r="E48" t="n">
        <v>496.003</v>
      </c>
      <c r="F48" t="n">
        <v>1466.12</v>
      </c>
      <c r="G48" t="inlineStr">
        <is>
          <t>2026-01-27</t>
        </is>
      </c>
      <c r="H48" t="inlineStr">
        <is>
          <t>2026-01-27</t>
        </is>
      </c>
      <c r="I48" t="inlineStr">
        <is>
          <t>2029-01-31</t>
        </is>
      </c>
      <c r="J48" t="inlineStr">
        <is>
          <t>⑤초호황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20260211800232</t>
        </is>
      </c>
      <c r="B49" t="inlineStr">
        <is>
          <t>CONT</t>
        </is>
      </c>
      <c r="C49" t="n">
        <v>2</v>
      </c>
      <c r="D49" t="n">
        <v>468600</v>
      </c>
      <c r="E49" t="n">
        <v>319.619</v>
      </c>
      <c r="F49" t="n">
        <v>1466.12</v>
      </c>
      <c r="G49" t="inlineStr">
        <is>
          <t>2026-02-10</t>
        </is>
      </c>
      <c r="H49" t="inlineStr">
        <is>
          <t>2026-02-10</t>
        </is>
      </c>
      <c r="I49" t="inlineStr">
        <is>
          <t>2028-05-01</t>
        </is>
      </c>
      <c r="J49" t="inlineStr">
        <is>
          <t>⑤초호황</t>
        </is>
      </c>
      <c r="K49" t="inlineStr">
        <is>
          <t>linear_progress</t>
        </is>
      </c>
      <c r="L49" t="b">
        <v>0</v>
      </c>
    </row>
    <row r="50">
      <c r="A50" t="inlineStr">
        <is>
          <t>20260220800213</t>
        </is>
      </c>
      <c r="B50" t="inlineStr">
        <is>
          <t>LNGC</t>
        </is>
      </c>
      <c r="C50" t="n">
        <v>1</v>
      </c>
      <c r="D50" t="n">
        <v>368000</v>
      </c>
      <c r="E50" t="n">
        <v>251.003</v>
      </c>
      <c r="F50" t="n">
        <v>1466.12</v>
      </c>
      <c r="G50" t="inlineStr">
        <is>
          <t>2026-02-19</t>
        </is>
      </c>
      <c r="H50" t="inlineStr">
        <is>
          <t>2026-02-19</t>
        </is>
      </c>
      <c r="I50" t="inlineStr">
        <is>
          <t>2028-05-31</t>
        </is>
      </c>
      <c r="J50" t="inlineStr">
        <is>
          <t>⑤초호황</t>
        </is>
      </c>
      <c r="K50" t="inlineStr">
        <is>
          <t>linear_progress</t>
        </is>
      </c>
      <c r="L50" t="b">
        <v>1</v>
      </c>
    </row>
    <row r="51">
      <c r="A51" t="inlineStr">
        <is>
          <t>20260310800545</t>
        </is>
      </c>
      <c r="B51" t="inlineStr">
        <is>
          <t>VLCC</t>
        </is>
      </c>
      <c r="C51" t="n">
        <v>3</v>
      </c>
      <c r="D51" t="n">
        <v>400100</v>
      </c>
      <c r="E51" t="n">
        <v>272.897</v>
      </c>
      <c r="F51" t="n">
        <v>1466.12</v>
      </c>
      <c r="G51" t="inlineStr">
        <is>
          <t>2026-03-10</t>
        </is>
      </c>
      <c r="H51" t="inlineStr">
        <is>
          <t>2026-03-10</t>
        </is>
      </c>
      <c r="I51" t="inlineStr">
        <is>
          <t>2029-02-28</t>
        </is>
      </c>
      <c r="J51" t="inlineStr">
        <is>
          <t>⑤초호황</t>
        </is>
      </c>
      <c r="K51" t="inlineStr">
        <is>
          <t>linear_progress</t>
        </is>
      </c>
      <c r="L51" t="b">
        <v>1</v>
      </c>
    </row>
    <row r="52">
      <c r="A52" t="inlineStr">
        <is>
          <t>20260316801038</t>
        </is>
      </c>
      <c r="B52" t="inlineStr">
        <is>
          <t>VLCC</t>
        </is>
      </c>
      <c r="C52" t="n">
        <v>1</v>
      </c>
      <c r="F52" t="n">
        <v>1315.69</v>
      </c>
      <c r="G52" t="inlineStr"/>
      <c r="H52" t="inlineStr">
        <is>
          <t>2023-06-02</t>
        </is>
      </c>
      <c r="I52" t="inlineStr">
        <is>
          <t>2026-07-03</t>
        </is>
      </c>
      <c r="K52" t="inlineStr">
        <is>
          <t>linear_progress</t>
        </is>
      </c>
      <c r="L52" t="b">
        <v>0</v>
      </c>
    </row>
    <row r="53">
      <c r="A53" t="inlineStr">
        <is>
          <t>20260320800106</t>
        </is>
      </c>
      <c r="B53" t="inlineStr">
        <is>
          <t>LNGC</t>
        </is>
      </c>
      <c r="C53" t="n">
        <v>1</v>
      </c>
      <c r="D53" t="n">
        <v>377900</v>
      </c>
      <c r="E53" t="n">
        <v>257.755</v>
      </c>
      <c r="F53" t="n">
        <v>1466.12</v>
      </c>
      <c r="G53" t="inlineStr">
        <is>
          <t>2026-03-20</t>
        </is>
      </c>
      <c r="H53" t="inlineStr">
        <is>
          <t>2026-03-20</t>
        </is>
      </c>
      <c r="I53" t="inlineStr">
        <is>
          <t>2029-04-30</t>
        </is>
      </c>
      <c r="J53" t="inlineStr">
        <is>
          <t>⑤초호황</t>
        </is>
      </c>
      <c r="K53" t="inlineStr">
        <is>
          <t>linear_progress</t>
        </is>
      </c>
      <c r="L53" t="b">
        <v>1</v>
      </c>
    </row>
    <row r="54">
      <c r="A54" t="inlineStr">
        <is>
          <t>20260323800137</t>
        </is>
      </c>
      <c r="B54" t="inlineStr">
        <is>
          <t>LNGC</t>
        </is>
      </c>
      <c r="C54" t="n">
        <v>2</v>
      </c>
      <c r="D54" t="n">
        <v>770100</v>
      </c>
      <c r="E54" t="n">
        <v>525.264</v>
      </c>
      <c r="F54" t="n">
        <v>1466.12</v>
      </c>
      <c r="G54" t="inlineStr">
        <is>
          <t>2026-03-20</t>
        </is>
      </c>
      <c r="H54" t="inlineStr">
        <is>
          <t>2026-03-20</t>
        </is>
      </c>
      <c r="I54" t="inlineStr">
        <is>
          <t>2028-09-30</t>
        </is>
      </c>
      <c r="J54" t="inlineStr">
        <is>
          <t>⑤초호황</t>
        </is>
      </c>
      <c r="K54" t="inlineStr">
        <is>
          <t>linear_progress</t>
        </is>
      </c>
      <c r="L54" t="b">
        <v>1</v>
      </c>
    </row>
    <row r="55">
      <c r="A55" t="inlineStr">
        <is>
          <t>20260401800243</t>
        </is>
      </c>
      <c r="B55" t="inlineStr">
        <is>
          <t>VLGC</t>
        </is>
      </c>
      <c r="C55" t="n">
        <v>2</v>
      </c>
      <c r="D55" t="n">
        <v>342000</v>
      </c>
      <c r="E55" t="n">
        <v>233.269</v>
      </c>
      <c r="F55" t="n">
        <v>1466.12</v>
      </c>
      <c r="G55" t="inlineStr">
        <is>
          <t>2026-03-31</t>
        </is>
      </c>
      <c r="H55" t="inlineStr">
        <is>
          <t>2026-03-31</t>
        </is>
      </c>
      <c r="I55" t="inlineStr">
        <is>
          <t>2029-05-31</t>
        </is>
      </c>
      <c r="J55" t="inlineStr">
        <is>
          <t>⑤초호황</t>
        </is>
      </c>
      <c r="K55" t="inlineStr">
        <is>
          <t>linear_progress</t>
        </is>
      </c>
      <c r="L55" t="b">
        <v>1</v>
      </c>
    </row>
    <row r="56">
      <c r="A56" t="inlineStr">
        <is>
          <t>20260504800254</t>
        </is>
      </c>
      <c r="B56" t="inlineStr">
        <is>
          <t>LNGC</t>
        </is>
      </c>
      <c r="C56" t="n">
        <v>1</v>
      </c>
      <c r="D56" t="n">
        <v>484800</v>
      </c>
      <c r="E56" t="n">
        <v>322.823</v>
      </c>
      <c r="F56" t="n">
        <v>1501.75</v>
      </c>
      <c r="G56" t="inlineStr">
        <is>
          <t>2026-04-30</t>
        </is>
      </c>
      <c r="H56" t="inlineStr">
        <is>
          <t>2026-04-30</t>
        </is>
      </c>
      <c r="I56" t="inlineStr">
        <is>
          <t>2029-02-15</t>
        </is>
      </c>
      <c r="J56" t="inlineStr">
        <is>
          <t>⑤초호황</t>
        </is>
      </c>
      <c r="K56" t="inlineStr">
        <is>
          <t>linear_progress</t>
        </is>
      </c>
      <c r="L56" t="b">
        <v>0</v>
      </c>
    </row>
    <row r="57">
      <c r="A57" t="inlineStr">
        <is>
          <t>20260514800296</t>
        </is>
      </c>
      <c r="B57" t="inlineStr">
        <is>
          <t>LNGC</t>
        </is>
      </c>
      <c r="C57" t="n">
        <v>2</v>
      </c>
      <c r="D57" t="n">
        <v>750500</v>
      </c>
      <c r="E57" t="n">
        <v>499.75</v>
      </c>
      <c r="F57" t="n">
        <v>1501.75</v>
      </c>
      <c r="G57" t="inlineStr">
        <is>
          <t>2026-05-13</t>
        </is>
      </c>
      <c r="H57" t="inlineStr">
        <is>
          <t>2026-05-13</t>
        </is>
      </c>
      <c r="I57" t="inlineStr">
        <is>
          <t>2029-06-30</t>
        </is>
      </c>
      <c r="J57" t="inlineStr">
        <is>
          <t>⑤초호황</t>
        </is>
      </c>
      <c r="K57" t="inlineStr">
        <is>
          <t>linear_progress</t>
        </is>
      </c>
      <c r="L57" t="b">
        <v>1</v>
      </c>
    </row>
    <row r="58">
      <c r="A58" t="inlineStr">
        <is>
          <t>20260518800216</t>
        </is>
      </c>
      <c r="B58" t="inlineStr">
        <is>
          <t>LNGC</t>
        </is>
      </c>
      <c r="C58" t="n">
        <v>3</v>
      </c>
      <c r="D58" t="n">
        <v>1124200</v>
      </c>
      <c r="E58" t="n">
        <v>748.593</v>
      </c>
      <c r="F58" t="n">
        <v>1501.75</v>
      </c>
      <c r="G58" t="inlineStr">
        <is>
          <t>2026-05-15</t>
        </is>
      </c>
      <c r="H58" t="inlineStr">
        <is>
          <t>2026-05-15</t>
        </is>
      </c>
      <c r="I58" t="inlineStr">
        <is>
          <t>2029-05-31</t>
        </is>
      </c>
      <c r="J58" t="inlineStr">
        <is>
          <t>⑤초호황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20260527800188</t>
        </is>
      </c>
      <c r="B59" t="inlineStr">
        <is>
          <t>LNGC</t>
        </is>
      </c>
      <c r="C59" t="n">
        <v>1</v>
      </c>
      <c r="D59" t="n">
        <v>381400</v>
      </c>
      <c r="E59" t="n">
        <v>253.97</v>
      </c>
      <c r="F59" t="n">
        <v>1501.75</v>
      </c>
      <c r="G59" t="inlineStr">
        <is>
          <t>2026-05-26</t>
        </is>
      </c>
      <c r="H59" t="inlineStr">
        <is>
          <t>2026-05-26</t>
        </is>
      </c>
      <c r="I59" t="inlineStr">
        <is>
          <t>2028-10-31</t>
        </is>
      </c>
      <c r="J59" t="inlineStr">
        <is>
          <t>⑤초호황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20260527800189</t>
        </is>
      </c>
      <c r="B60" t="inlineStr">
        <is>
          <t>VLGC</t>
        </is>
      </c>
      <c r="C60" t="n">
        <v>2</v>
      </c>
      <c r="D60" t="n">
        <v>342000</v>
      </c>
      <c r="E60" t="n">
        <v>227.734</v>
      </c>
      <c r="F60" t="n">
        <v>1501.75</v>
      </c>
      <c r="G60" t="inlineStr">
        <is>
          <t>2026-05-26</t>
        </is>
      </c>
      <c r="H60" t="inlineStr">
        <is>
          <t>2026-05-26</t>
        </is>
      </c>
      <c r="I60" t="inlineStr">
        <is>
          <t>2029-11-30</t>
        </is>
      </c>
      <c r="J60" t="inlineStr">
        <is>
          <t>⑤초호황</t>
        </is>
      </c>
      <c r="K60" t="inlineStr">
        <is>
          <t>linear_progress</t>
        </is>
      </c>
      <c r="L60" t="b">
        <v>1</v>
      </c>
    </row>
    <row r="61">
      <c r="A61" t="inlineStr">
        <is>
          <t>20260527800191</t>
        </is>
      </c>
      <c r="B61" t="inlineStr">
        <is>
          <t>VLCC</t>
        </is>
      </c>
      <c r="C61" t="n">
        <v>2</v>
      </c>
      <c r="D61" t="n">
        <v>278400</v>
      </c>
      <c r="E61" t="n">
        <v>185.384</v>
      </c>
      <c r="F61" t="n">
        <v>1501.75</v>
      </c>
      <c r="G61" t="inlineStr">
        <is>
          <t>2026-05-26</t>
        </is>
      </c>
      <c r="H61" t="inlineStr">
        <is>
          <t>2026-05-26</t>
        </is>
      </c>
      <c r="I61" t="inlineStr">
        <is>
          <t>2028-03-15</t>
        </is>
      </c>
      <c r="J61" t="inlineStr">
        <is>
          <t>⑤초호황</t>
        </is>
      </c>
      <c r="K61" t="inlineStr">
        <is>
          <t>linear_progress</t>
        </is>
      </c>
      <c r="L61" t="b">
        <v>1</v>
      </c>
    </row>
    <row r="62">
      <c r="A62" t="inlineStr">
        <is>
          <t>20260604800001</t>
        </is>
      </c>
      <c r="B62" t="inlineStr">
        <is>
          <t>OFFSH</t>
        </is>
      </c>
      <c r="C62" t="n">
        <v>1</v>
      </c>
      <c r="D62" t="n">
        <v>4330100</v>
      </c>
      <c r="E62" t="n">
        <v>2883.369</v>
      </c>
      <c r="F62" t="n">
        <v>1501.75</v>
      </c>
      <c r="G62" t="inlineStr">
        <is>
          <t>2026-06-01</t>
        </is>
      </c>
      <c r="H62" t="inlineStr">
        <is>
          <t>2026-06-01</t>
        </is>
      </c>
      <c r="I62" t="inlineStr">
        <is>
          <t>2030-07-19</t>
        </is>
      </c>
      <c r="J62" t="inlineStr">
        <is>
          <t>⑤초호황</t>
        </is>
      </c>
      <c r="K62" t="inlineStr">
        <is>
          <t>linear_progress</t>
        </is>
      </c>
      <c r="L62" t="b">
        <v>0</v>
      </c>
    </row>
    <row r="63">
      <c r="A63" t="inlineStr">
        <is>
          <t>20260608800137</t>
        </is>
      </c>
      <c r="B63" t="inlineStr">
        <is>
          <t>LNGC</t>
        </is>
      </c>
      <c r="C63" t="n">
        <v>1</v>
      </c>
      <c r="D63" t="n">
        <v>385500</v>
      </c>
      <c r="E63" t="n">
        <v>256.701</v>
      </c>
      <c r="F63" t="n">
        <v>1501.75</v>
      </c>
      <c r="G63" t="inlineStr">
        <is>
          <t>2026-06-05</t>
        </is>
      </c>
      <c r="H63" t="inlineStr">
        <is>
          <t>2026-06-05</t>
        </is>
      </c>
      <c r="I63" t="inlineStr">
        <is>
          <t>2029-01-08</t>
        </is>
      </c>
      <c r="J63" t="inlineStr">
        <is>
          <t>⑤초호황</t>
        </is>
      </c>
      <c r="K63" t="inlineStr">
        <is>
          <t>linear_progress</t>
        </is>
      </c>
      <c r="L63" t="b">
        <v>1</v>
      </c>
    </row>
    <row r="64">
      <c r="A64" t="inlineStr">
        <is>
          <t>20260608800714</t>
        </is>
      </c>
      <c r="B64" t="inlineStr">
        <is>
          <t>OFFSH</t>
        </is>
      </c>
      <c r="C64" t="n">
        <v>1</v>
      </c>
      <c r="D64" t="n">
        <v>1904600</v>
      </c>
      <c r="E64" t="n">
        <v>1268.254</v>
      </c>
      <c r="F64" t="n">
        <v>1501.75</v>
      </c>
      <c r="G64" t="inlineStr">
        <is>
          <t>2026-06-06</t>
        </is>
      </c>
      <c r="H64" t="inlineStr">
        <is>
          <t>2023-06-05</t>
        </is>
      </c>
      <c r="I64" t="inlineStr">
        <is>
          <t>2029-09-30</t>
        </is>
      </c>
      <c r="J64" t="inlineStr">
        <is>
          <t>⑤초호황</t>
        </is>
      </c>
      <c r="K64" t="inlineStr">
        <is>
          <t>linear_progress</t>
        </is>
      </c>
      <c r="L64" t="b">
        <v>0</v>
      </c>
    </row>
    <row r="65">
      <c r="A65" t="inlineStr">
        <is>
          <t>20260608800716</t>
        </is>
      </c>
      <c r="B65" t="inlineStr">
        <is>
          <t>OFFSH</t>
        </is>
      </c>
      <c r="D65" t="n">
        <v>1553900</v>
      </c>
      <c r="E65" t="n">
        <v>1120.372</v>
      </c>
      <c r="F65" t="n">
        <v>1386.95</v>
      </c>
      <c r="G65" t="inlineStr">
        <is>
          <t>2025-07-04</t>
        </is>
      </c>
      <c r="H65" t="inlineStr">
        <is>
          <t>2025-07-04</t>
        </is>
      </c>
      <c r="I65" t="inlineStr">
        <is>
          <t>2026-06-08</t>
        </is>
      </c>
      <c r="K65" t="inlineStr">
        <is>
          <t>linear_progress</t>
        </is>
      </c>
      <c r="L65" t="b">
        <v>0</v>
      </c>
    </row>
    <row r="66">
      <c r="A66" t="inlineStr">
        <is>
          <t>20260702800158</t>
        </is>
      </c>
      <c r="B66" t="inlineStr">
        <is>
          <t>VLCC</t>
        </is>
      </c>
      <c r="C66" t="n">
        <v>2</v>
      </c>
      <c r="D66" t="n">
        <v>273400</v>
      </c>
      <c r="E66" t="n">
        <v>192.705</v>
      </c>
      <c r="F66" t="n">
        <v>1418.75</v>
      </c>
      <c r="G66" t="inlineStr">
        <is>
          <t>2026-07-01</t>
        </is>
      </c>
      <c r="H66" t="inlineStr">
        <is>
          <t>2026-07-01</t>
        </is>
      </c>
      <c r="I66" t="inlineStr">
        <is>
          <t>2029-06-30</t>
        </is>
      </c>
      <c r="J66" t="inlineStr">
        <is>
          <t>⑤초호황</t>
        </is>
      </c>
      <c r="K66" t="inlineStr">
        <is>
          <t>linear_progress</t>
        </is>
      </c>
      <c r="L66" t="b">
        <v>0</v>
      </c>
    </row>
    <row r="67">
      <c r="A67" t="inlineStr">
        <is>
          <t>20260708800164</t>
        </is>
      </c>
      <c r="B67" t="inlineStr">
        <is>
          <t>VLCC</t>
        </is>
      </c>
      <c r="C67" t="n">
        <v>2</v>
      </c>
      <c r="D67" t="n">
        <v>284900</v>
      </c>
      <c r="E67" t="n">
        <v>200.811</v>
      </c>
      <c r="F67" t="n">
        <v>1418.75</v>
      </c>
      <c r="G67" t="inlineStr">
        <is>
          <t>2026-07-07</t>
        </is>
      </c>
      <c r="H67" t="inlineStr">
        <is>
          <t>2026-07-07</t>
        </is>
      </c>
      <c r="I67" t="inlineStr">
        <is>
          <t>2029-05-15</t>
        </is>
      </c>
      <c r="J67" t="inlineStr">
        <is>
          <t>⑤초호황</t>
        </is>
      </c>
      <c r="K67" t="inlineStr">
        <is>
          <t>linear_progress</t>
        </is>
      </c>
      <c r="L67" t="b">
        <v>1</v>
      </c>
    </row>
    <row r="68">
      <c r="A68" t="inlineStr">
        <is>
          <t>20260728800579</t>
        </is>
      </c>
      <c r="B68" t="inlineStr">
        <is>
          <t>OTHER</t>
        </is>
      </c>
      <c r="D68" t="n">
        <v>607786.3</v>
      </c>
      <c r="E68" t="n">
        <v>438.218</v>
      </c>
      <c r="F68" t="n">
        <v>1386.95</v>
      </c>
      <c r="G68" t="inlineStr">
        <is>
          <t>2025-07-18</t>
        </is>
      </c>
      <c r="H68" t="inlineStr">
        <is>
          <t>2025-07-18</t>
        </is>
      </c>
      <c r="I68" t="inlineStr">
        <is>
          <t>2027-04-30</t>
        </is>
      </c>
      <c r="K68" t="inlineStr">
        <is>
          <t>linear_progress</t>
        </is>
      </c>
      <c r="L68" t="b">
        <v>0</v>
      </c>
    </row>
    <row r="69">
      <c r="A69" t="inlineStr">
        <is>
          <t>20260803800398</t>
        </is>
      </c>
      <c r="B69" t="inlineStr">
        <is>
          <t>VLCC</t>
        </is>
      </c>
      <c r="C69" t="n">
        <v>2</v>
      </c>
      <c r="D69" t="n">
        <v>268000</v>
      </c>
      <c r="E69" t="n">
        <v>188.899</v>
      </c>
      <c r="F69" t="n">
        <v>1418.75</v>
      </c>
      <c r="G69" t="inlineStr">
        <is>
          <t>2026-07-31</t>
        </is>
      </c>
      <c r="H69" t="inlineStr">
        <is>
          <t>2026-07-31</t>
        </is>
      </c>
      <c r="I69" t="inlineStr">
        <is>
          <t>2029-08-31</t>
        </is>
      </c>
      <c r="J69" t="inlineStr">
        <is>
          <t>⑤초호황</t>
        </is>
      </c>
      <c r="K69" t="inlineStr">
        <is>
          <t>linear_progress</t>
        </is>
      </c>
      <c r="L69" t="b">
        <v>0</v>
      </c>
    </row>
    <row r="70">
      <c r="A70" t="inlineStr">
        <is>
          <t>20260831800071</t>
        </is>
      </c>
      <c r="B70" t="inlineStr">
        <is>
          <t>CONT</t>
        </is>
      </c>
      <c r="C70" t="n">
        <v>2</v>
      </c>
      <c r="D70" t="n">
        <v>444500</v>
      </c>
      <c r="E70" t="n">
        <v>313.304</v>
      </c>
      <c r="F70" t="n">
        <v>1418.75</v>
      </c>
      <c r="G70" t="inlineStr">
        <is>
          <t>2026-08-28</t>
        </is>
      </c>
      <c r="H70" t="inlineStr">
        <is>
          <t>2026-08-28</t>
        </is>
      </c>
      <c r="I70" t="inlineStr">
        <is>
          <t>2028-12-27</t>
        </is>
      </c>
      <c r="J70" t="inlineStr">
        <is>
          <t>⑤초호황</t>
        </is>
      </c>
      <c r="K70" t="inlineStr">
        <is>
          <t>linear_progress</t>
        </is>
      </c>
      <c r="L70" t="b">
        <v>0</v>
      </c>
    </row>
    <row r="71">
      <c r="A71" t="inlineStr">
        <is>
          <t>20260831800178</t>
        </is>
      </c>
      <c r="B71" t="inlineStr">
        <is>
          <t>OTHER</t>
        </is>
      </c>
      <c r="D71" t="n">
        <v>639855.7</v>
      </c>
      <c r="E71" t="n">
        <v>484.002</v>
      </c>
      <c r="F71" t="n">
        <v>1322.01</v>
      </c>
      <c r="G71" t="inlineStr">
        <is>
          <t>2023-12-13</t>
        </is>
      </c>
      <c r="H71" t="inlineStr">
        <is>
          <t>2023-07-15</t>
        </is>
      </c>
      <c r="I71" t="inlineStr">
        <is>
          <t>2027-12-31</t>
        </is>
      </c>
      <c r="K71" t="inlineStr">
        <is>
          <t>linear_progress</t>
        </is>
      </c>
      <c r="L71" t="b">
        <v>0</v>
      </c>
    </row>
    <row r="72">
      <c r="A72" t="inlineStr">
        <is>
          <t>20260911800485</t>
        </is>
      </c>
      <c r="B72" t="inlineStr">
        <is>
          <t>VLCC</t>
        </is>
      </c>
      <c r="C72" t="n">
        <v>3</v>
      </c>
      <c r="D72" t="n">
        <v>341100</v>
      </c>
      <c r="E72" t="n">
        <v>235.373</v>
      </c>
      <c r="F72" t="n">
        <v>1449.19</v>
      </c>
      <c r="G72" t="inlineStr">
        <is>
          <t>2025-10-23</t>
        </is>
      </c>
      <c r="H72" t="inlineStr">
        <is>
          <t>2025-10-23</t>
        </is>
      </c>
      <c r="I72" t="inlineStr">
        <is>
          <t>2029-03-31</t>
        </is>
      </c>
      <c r="J72" t="inlineStr">
        <is>
          <t>⑤초호황</t>
        </is>
      </c>
      <c r="K72" t="inlineStr">
        <is>
          <t>linear_progress</t>
        </is>
      </c>
      <c r="L72" t="b">
        <v>0</v>
      </c>
    </row>
    <row r="73">
      <c r="A73" t="inlineStr">
        <is>
          <t>20260914800075</t>
        </is>
      </c>
      <c r="B73" t="inlineStr">
        <is>
          <t>LNGC</t>
        </is>
      </c>
      <c r="C73" t="n">
        <v>4</v>
      </c>
      <c r="D73" t="n">
        <v>1407800</v>
      </c>
      <c r="E73" t="n">
        <v>992.282</v>
      </c>
      <c r="F73" t="n">
        <v>1418.75</v>
      </c>
      <c r="G73" t="inlineStr">
        <is>
          <t>2026-09-11</t>
        </is>
      </c>
      <c r="H73" t="inlineStr">
        <is>
          <t>2026-09-11</t>
        </is>
      </c>
      <c r="I73" t="inlineStr">
        <is>
          <t>2029-09-28</t>
        </is>
      </c>
      <c r="J73" t="inlineStr">
        <is>
          <t>⑤초호황</t>
        </is>
      </c>
      <c r="K73" t="inlineStr">
        <is>
          <t>linear_progress</t>
        </is>
      </c>
      <c r="L73" t="b">
        <v>1</v>
      </c>
    </row>
    <row r="74">
      <c r="A74" t="inlineStr">
        <is>
          <t>20260930800054</t>
        </is>
      </c>
      <c r="B74" t="inlineStr">
        <is>
          <t>VLGC</t>
        </is>
      </c>
      <c r="C74" t="n">
        <v>2</v>
      </c>
      <c r="D74" t="n">
        <v>307400</v>
      </c>
      <c r="E74" t="n">
        <v>216.67</v>
      </c>
      <c r="F74" t="n">
        <v>1418.75</v>
      </c>
      <c r="G74" t="inlineStr">
        <is>
          <t>2026-09-29</t>
        </is>
      </c>
      <c r="H74" t="inlineStr">
        <is>
          <t>2026-09-29</t>
        </is>
      </c>
      <c r="I74" t="inlineStr">
        <is>
          <t>2030-02-28</t>
        </is>
      </c>
      <c r="J74" t="inlineStr">
        <is>
          <t>⑤초호황</t>
        </is>
      </c>
      <c r="K74" t="inlineStr">
        <is>
          <t>linear_progress</t>
        </is>
      </c>
      <c r="L74" t="b">
        <v>1</v>
      </c>
    </row>
    <row r="75">
      <c r="A75" s="2" t="inlineStr">
        <is>
          <t>⚠ 종료일 = 마지막 호선 인도 예정; 진행률 매출 분기는 계약기간 안에 선형 배분(가정)</t>
        </is>
      </c>
    </row>
    <row r="76">
      <c r="A76" s="2" t="inlineStr">
        <is>
          <t>⚠ 헤지비율 0.7 은 가정(약정환율 미공시 → 레퍼런스 SLS 시트의 HEDGE 70% 가정. hedge_rate 는 계약별 수주시점 환율로 대체)</t>
        </is>
      </c>
    </row>
    <row r="77">
      <c r="A77" s="2" t="inlineStr">
        <is>
          <t>⚠ 공시 통화선도 매도 명목액 25538백만$ 을 현물(2026Q2 기말 1550.89원)로 잔고 대비 환산하면 1.13 — 가정 0.70 과 +0.43 차이. 약정환율 미공시라 적용하지 않음(참고치 hedge.hedge_ratio_implied_spot; 채택은 사용자 결정)</t>
        </is>
      </c>
    </row>
    <row r="78">
      <c r="A78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68%, ④호황 31%;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79">
      <c r="A79" s="2" t="inlineStr">
        <is>
          <t>⚠ 스케줄 불가 3건(금액·기간 없음) — contracts[].schedule 비움</t>
        </is>
      </c>
    </row>
    <row r="80">
      <c r="A80" s="2" t="inlineStr">
        <is>
          <t>⚠ 종료일 '-' 3건은 같은 선종 계약기간 중위로 종료 추정(end_estimated)</t>
        </is>
      </c>
    </row>
    <row r="81">
      <c r="A81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8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변수!D55</f>
        <v/>
      </c>
      <c r="W2" s="39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0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1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2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2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2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2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2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3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2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2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2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2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2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2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2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2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2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2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2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2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2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2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2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2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2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2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2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2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2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4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2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2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2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2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2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2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2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2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2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2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2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OPM</t>
        </is>
      </c>
      <c r="D44" t="inlineStr">
        <is>
          <t>영업이익률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3">
        <f>IFERROR(VLOOKUP($A44,subQ,MATCH(W$1,SUBQH,0),0),"")</f>
        <v/>
      </c>
      <c r="X44" s="31">
        <f>IFERROR(VLOOKUP($A44,subQ,MATCH(X$1,SUBQH,0),0),"")</f>
        <v/>
      </c>
      <c r="Y44" s="31">
        <f>IFERROR(VLOOKUP($A44,subQ,MATCH(Y$1,SUBQH,0),0),"")</f>
        <v/>
      </c>
      <c r="Z44" s="31">
        <f>IFERROR(VLOOKUP($A44,subQ,MATCH(Z$1,SUBQH,0),0),"")</f>
        <v/>
      </c>
      <c r="AA44" s="31">
        <f>IFERROR(VLOOKUP($A44,subQ,MATCH(AA$1,SUBQH,0),0),"")</f>
        <v/>
      </c>
      <c r="AB44" s="31">
        <f>IFERROR(VLOOKUP($A44,subQ,MATCH(AB$1,SUBQH,0),0),"")</f>
        <v/>
      </c>
      <c r="AC44" s="31">
        <f>IFERROR(VLOOKUP($A44,subQ,MATCH(AC$1,SUBQH,0),0),"")</f>
        <v/>
      </c>
      <c r="AD44" s="31">
        <f>IFERROR(VLOOKUP($A44,subQ,MATCH(AD$1,SUBQH,0),0),"")</f>
        <v/>
      </c>
      <c r="AE44" s="31">
        <f>IFERROR(VLOOKUP($A44,subQ,MATCH(AE$1,SUBQH,0),0),"")</f>
        <v/>
      </c>
      <c r="AF44" s="31">
        <f>IFERROR(VLOOKUP($A44,subQ,MATCH(AF$1,SUBQH,0),0),"")</f>
        <v/>
      </c>
      <c r="AG44" s="31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3">
        <f>IFERROR(VLOOKUP($A45,subQ,MATCH(W$1,SUBQH,0),0),"")</f>
        <v/>
      </c>
      <c r="X45" s="31">
        <f>IFERROR(VLOOKUP($A45,subQ,MATCH(X$1,SUBQH,0),0),"")</f>
        <v/>
      </c>
      <c r="Y45" s="31">
        <f>IFERROR(VLOOKUP($A45,subQ,MATCH(Y$1,SUBQH,0),0),"")</f>
        <v/>
      </c>
      <c r="Z45" s="31">
        <f>IFERROR(VLOOKUP($A45,subQ,MATCH(Z$1,SUBQH,0),0),"")</f>
        <v/>
      </c>
      <c r="AA45" s="31">
        <f>IFERROR(VLOOKUP($A45,subQ,MATCH(AA$1,SUBQH,0),0),"")</f>
        <v/>
      </c>
      <c r="AB45" s="31">
        <f>IFERROR(VLOOKUP($A45,subQ,MATCH(AB$1,SUBQH,0),0),"")</f>
        <v/>
      </c>
      <c r="AC45" s="31">
        <f>IFERROR(VLOOKUP($A45,subQ,MATCH(AC$1,SUBQH,0),0),"")</f>
        <v/>
      </c>
      <c r="AD45" s="31">
        <f>IFERROR(VLOOKUP($A45,subQ,MATCH(AD$1,SUBQH,0),0),"")</f>
        <v/>
      </c>
      <c r="AE45" s="31">
        <f>IFERROR(VLOOKUP($A45,subQ,MATCH(AE$1,SUBQH,0),0),"")</f>
        <v/>
      </c>
      <c r="AF45" s="31">
        <f>IFERROR(VLOOKUP($A45,subQ,MATCH(AF$1,SUBQH,0),0),"")</f>
        <v/>
      </c>
      <c r="AG45" s="31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3">
        <f>IFERROR(W5/S5-1,"")</f>
        <v/>
      </c>
      <c r="X46" s="31">
        <f>IFERROR(X5/T5-1,"")</f>
        <v/>
      </c>
      <c r="Y46" s="31">
        <f>IFERROR(Y5/U5-1,"")</f>
        <v/>
      </c>
      <c r="Z46" s="31">
        <f>IFERROR(Z5/V5-1,"")</f>
        <v/>
      </c>
      <c r="AA46" s="31">
        <f>IFERROR(AA5/W5-1,"")</f>
        <v/>
      </c>
      <c r="AB46" s="31">
        <f>IFERROR(AB5/X5-1,"")</f>
        <v/>
      </c>
      <c r="AC46" s="31">
        <f>IFERROR(AC5/Y5-1,"")</f>
        <v/>
      </c>
      <c r="AD46" s="31">
        <f>IFERROR(AD5/Z5-1,"")</f>
        <v/>
      </c>
      <c r="AE46" s="31">
        <f>IFERROR(AE5/AA5-1,"")</f>
        <v/>
      </c>
      <c r="AF46" s="31">
        <f>IFERROR(AF5/AB5-1,"")</f>
        <v/>
      </c>
      <c r="AG46" s="31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3">
        <f>IFERROR(W9/S9-1,"")</f>
        <v/>
      </c>
      <c r="X47" s="31">
        <f>IFERROR(X9/T9-1,"")</f>
        <v/>
      </c>
      <c r="Y47" s="31">
        <f>IFERROR(Y9/U9-1,"")</f>
        <v/>
      </c>
      <c r="Z47" s="31">
        <f>IFERROR(Z9/V9-1,"")</f>
        <v/>
      </c>
      <c r="AA47" s="31">
        <f>IFERROR(AA9/W9-1,"")</f>
        <v/>
      </c>
      <c r="AB47" s="31">
        <f>IFERROR(AB9/X9-1,"")</f>
        <v/>
      </c>
      <c r="AC47" s="31">
        <f>IFERROR(AC9/Y9-1,"")</f>
        <v/>
      </c>
      <c r="AD47" s="31">
        <f>IFERROR(AD9/Z9-1,"")</f>
        <v/>
      </c>
      <c r="AE47" s="31">
        <f>IFERROR(AE9/AA9-1,"")</f>
        <v/>
      </c>
      <c r="AF47" s="31">
        <f>IFERROR(AF9/AB9-1,"")</f>
        <v/>
      </c>
      <c r="AG47" s="31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IFERROR(I21/E21-1,"")</f>
        <v/>
      </c>
      <c r="J48" s="21">
        <f>IFERROR(J21/F21-1,"")</f>
        <v/>
      </c>
      <c r="K48" s="21">
        <f>IFERROR(K21/G21-1,"")</f>
        <v/>
      </c>
      <c r="L48" s="21">
        <f>IFERROR(L21/H21-1,"")</f>
        <v/>
      </c>
      <c r="M48" s="21">
        <f>IFERROR(M21/I21-1,"")</f>
        <v/>
      </c>
      <c r="N48" s="21">
        <f>IFERROR(N21/J21-1,"")</f>
        <v/>
      </c>
      <c r="O48" s="21">
        <f>IFERROR(O21/K21-1,"")</f>
        <v/>
      </c>
      <c r="P48" s="21">
        <f>IFERROR(P21/L21-1,"")</f>
        <v/>
      </c>
      <c r="Q48" s="21">
        <f>IFERROR(Q21/M21-1,"")</f>
        <v/>
      </c>
      <c r="R48" s="21">
        <f>IFERROR(R21/N21-1,"")</f>
        <v/>
      </c>
      <c r="S48" s="21">
        <f>IFERROR(S21/O21-1,"")</f>
        <v/>
      </c>
      <c r="T48" s="21">
        <f>IFERROR(T21/P21-1,"")</f>
        <v/>
      </c>
      <c r="U48" s="21">
        <f>IFERROR(U21/Q21-1,"")</f>
        <v/>
      </c>
      <c r="V48" s="21">
        <f>IFERROR(V21/R21-1,"")</f>
        <v/>
      </c>
      <c r="W48" s="43">
        <f>IFERROR(W21/S21-1,"")</f>
        <v/>
      </c>
      <c r="X48" s="31">
        <f>IFERROR(X21/T21-1,"")</f>
        <v/>
      </c>
      <c r="Y48" s="31">
        <f>IFERROR(Y21/U21-1,"")</f>
        <v/>
      </c>
      <c r="Z48" s="31">
        <f>IFERROR(Z21/V21-1,"")</f>
        <v/>
      </c>
      <c r="AA48" s="31">
        <f>IFERROR(AA21/W21-1,"")</f>
        <v/>
      </c>
      <c r="AB48" s="31">
        <f>IFERROR(AB21/X21-1,"")</f>
        <v/>
      </c>
      <c r="AC48" s="31">
        <f>IFERROR(AC21/Y21-1,"")</f>
        <v/>
      </c>
      <c r="AD48" s="31">
        <f>IFERROR(AD21/Z21-1,"")</f>
        <v/>
      </c>
      <c r="AE48" s="31">
        <f>IFERROR(AE21/AA21-1,"")</f>
        <v/>
      </c>
      <c r="AF48" s="31">
        <f>IFERROR(AF21/AB21-1,"")</f>
        <v/>
      </c>
      <c r="AG48" s="31">
        <f>IFERROR(AG21/AC21-1,"")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8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변수!D55</f>
        <v/>
      </c>
      <c r="I2" s="39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40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1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2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2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2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2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2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3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2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2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2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2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2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2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2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2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2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2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2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2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2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2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2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2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2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2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2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2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2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4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2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2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2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2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2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2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2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2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2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2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2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OPM</t>
        </is>
      </c>
      <c r="D44" t="inlineStr">
        <is>
          <t>영업이익률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3">
        <f>IFERROR(VLOOKUP($A44,subQ,MATCH(I$1,SUBQH,0),0),"")</f>
        <v/>
      </c>
      <c r="J44" s="31">
        <f>IFERROR(VLOOKUP($A44,subQ,MATCH(J$1,SUBQH,0),0),"")</f>
        <v/>
      </c>
      <c r="K44" s="31">
        <f>IFERROR(VLOOKUP($A44,subQ,MATCH(K$1,SUBQH,0),0),"")</f>
        <v/>
      </c>
      <c r="L44" s="31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3">
        <f>IFERROR(VLOOKUP($A45,subQ,MATCH(I$1,SUBQH,0),0),"")</f>
        <v/>
      </c>
      <c r="J45" s="31">
        <f>IFERROR(VLOOKUP($A45,subQ,MATCH(J$1,SUBQH,0),0),"")</f>
        <v/>
      </c>
      <c r="K45" s="31">
        <f>IFERROR(VLOOKUP($A45,subQ,MATCH(K$1,SUBQH,0),0),"")</f>
        <v/>
      </c>
      <c r="L45" s="31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3">
        <f>IFERROR(I5/H5-1,"")</f>
        <v/>
      </c>
      <c r="J46" s="31">
        <f>IFERROR(J5/I5-1,"")</f>
        <v/>
      </c>
      <c r="K46" s="31">
        <f>IFERROR(K5/J5-1,"")</f>
        <v/>
      </c>
      <c r="L46" s="31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3">
        <f>IFERROR(I9/H9-1,"")</f>
        <v/>
      </c>
      <c r="J47" s="31">
        <f>IFERROR(J9/I9-1,"")</f>
        <v/>
      </c>
      <c r="K47" s="31">
        <f>IFERROR(K9/J9-1,"")</f>
        <v/>
      </c>
      <c r="L47" s="31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IFERROR(F21/E21-1,"")</f>
        <v/>
      </c>
      <c r="G48" s="21">
        <f>IFERROR(G21/F21-1,"")</f>
        <v/>
      </c>
      <c r="H48" s="21">
        <f>IFERROR(H21/G21-1,"")</f>
        <v/>
      </c>
      <c r="I48" s="43">
        <f>IFERROR(I21/H21-1,"")</f>
        <v/>
      </c>
      <c r="J48" s="31">
        <f>IFERROR(J21/I21-1,"")</f>
        <v/>
      </c>
      <c r="K48" s="31">
        <f>IFERROR(K21/J21-1,"")</f>
        <v/>
      </c>
      <c r="L48" s="31">
        <f>IFERROR(L21/K21-1,"")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변수!D55</f>
        <v/>
      </c>
    </row>
    <row r="2">
      <c r="B2" s="1" t="inlineStr">
        <is>
          <t>기준일</t>
        </is>
      </c>
      <c r="C2">
        <f>변수!D56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5" t="n">
        <v>2025</v>
      </c>
      <c r="E5" s="45" t="n">
        <v>2026</v>
      </c>
      <c r="F5" s="45" t="n">
        <v>2027</v>
      </c>
      <c r="G5" s="45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IFERROR(E7*변수!D61+F7*(1-변수!D61),"")</f>
        <v/>
      </c>
    </row>
    <row r="15">
      <c r="C15" t="inlineStr">
        <is>
          <t>적정가치 @PER_lo</t>
        </is>
      </c>
      <c r="D15" s="26">
        <f>변수!D58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변수!D60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1365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14.29</v>
      </c>
    </row>
    <row r="32">
      <c r="C32" s="2" t="inlineStr">
        <is>
          <t>pbr_now</t>
        </is>
      </c>
      <c r="D32" t="n">
        <v>3.49</v>
      </c>
    </row>
    <row r="33">
      <c r="C33" s="2" t="inlineStr">
        <is>
          <t>roe_fwd</t>
        </is>
      </c>
      <c r="D33" t="n">
        <v>0.2443</v>
      </c>
    </row>
    <row r="34">
      <c r="C34" s="2" t="inlineStr">
        <is>
          <t>fair_pbr</t>
        </is>
      </c>
      <c r="D34" t="n">
        <v>2.71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6">
        <f>IFERROR(VLOOKUP($D5,환율,MATCH(X$1,변수H,0),0),"")</f>
        <v/>
      </c>
      <c r="Y5" s="46">
        <f>IFERROR(VLOOKUP($D5,환율,MATCH(Y$1,변수H,0),0),"")</f>
        <v/>
      </c>
      <c r="Z5" s="46">
        <f>IFERROR(VLOOKUP($D5,환율,MATCH(Z$1,변수H,0),0),"")</f>
        <v/>
      </c>
      <c r="AA5" s="46">
        <f>IFERROR(VLOOKUP($D5,환율,MATCH(AA$1,변수H,0),0),"")</f>
        <v/>
      </c>
      <c r="AB5" s="46">
        <f>IFERROR(VLOOKUP($D5,환율,MATCH(AB$1,변수H,0),0),"")</f>
        <v/>
      </c>
      <c r="AC5" s="46">
        <f>IFERROR(VLOOKUP($D5,환율,MATCH(AC$1,변수H,0),0),"")</f>
        <v/>
      </c>
      <c r="AD5" s="46">
        <f>IFERROR(VLOOKUP($D5,환율,MATCH(AD$1,변수H,0),0),"")</f>
        <v/>
      </c>
      <c r="AE5" s="46">
        <f>IFERROR(VLOOKUP($D5,환율,MATCH(AE$1,변수H,0),0),"")</f>
        <v/>
      </c>
      <c r="AF5" s="46">
        <f>IFERROR(VLOOKUP($D5,환율,MATCH(AF$1,변수H,0),0),"")</f>
        <v/>
      </c>
      <c r="AG5" s="46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6">
        <f>IFERROR(VLOOKUP($D7,환율,MATCH(X$1,변수H,0),0),"")</f>
        <v/>
      </c>
      <c r="Y7" s="46">
        <f>IFERROR(VLOOKUP($D7,환율,MATCH(Y$1,변수H,0),0),"")</f>
        <v/>
      </c>
      <c r="Z7" s="46">
        <f>IFERROR(VLOOKUP($D7,환율,MATCH(Z$1,변수H,0),0),"")</f>
        <v/>
      </c>
      <c r="AA7" s="46">
        <f>IFERROR(VLOOKUP($D7,환율,MATCH(AA$1,변수H,0),0),"")</f>
        <v/>
      </c>
      <c r="AB7" s="46">
        <f>IFERROR(VLOOKUP($D7,환율,MATCH(AB$1,변수H,0),0),"")</f>
        <v/>
      </c>
      <c r="AC7" s="46">
        <f>IFERROR(VLOOKUP($D7,환율,MATCH(AC$1,변수H,0),0),"")</f>
        <v/>
      </c>
      <c r="AD7" s="46">
        <f>IFERROR(VLOOKUP($D7,환율,MATCH(AD$1,변수H,0),0),"")</f>
        <v/>
      </c>
      <c r="AE7" s="46">
        <f>IFERROR(VLOOKUP($D7,환율,MATCH(AE$1,변수H,0),0),"")</f>
        <v/>
      </c>
      <c r="AF7" s="46">
        <f>IFERROR(VLOOKUP($D7,환율,MATCH(AF$1,변수H,0),0),"")</f>
        <v/>
      </c>
      <c r="AG7" s="46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6">
        <f>IFERROR(VLOOKUP($D9,환율,MATCH(X$1,변수H,0),0),"")</f>
        <v/>
      </c>
      <c r="Y9" s="46">
        <f>IFERROR(VLOOKUP($D9,환율,MATCH(Y$1,변수H,0),0),"")</f>
        <v/>
      </c>
      <c r="Z9" s="46">
        <f>IFERROR(VLOOKUP($D9,환율,MATCH(Z$1,변수H,0),0),"")</f>
        <v/>
      </c>
      <c r="AA9" s="46">
        <f>IFERROR(VLOOKUP($D9,환율,MATCH(AA$1,변수H,0),0),"")</f>
        <v/>
      </c>
      <c r="AB9" s="46">
        <f>IFERROR(VLOOKUP($D9,환율,MATCH(AB$1,변수H,0),0),"")</f>
        <v/>
      </c>
      <c r="AC9" s="46">
        <f>IFERROR(VLOOKUP($D9,환율,MATCH(AC$1,변수H,0),0),"")</f>
        <v/>
      </c>
      <c r="AD9" s="46">
        <f>IFERROR(VLOOKUP($D9,환율,MATCH(AD$1,변수H,0),0),"")</f>
        <v/>
      </c>
      <c r="AE9" s="46">
        <f>IFERROR(VLOOKUP($D9,환율,MATCH(AE$1,변수H,0),0),"")</f>
        <v/>
      </c>
      <c r="AF9" s="46">
        <f>IFERROR(VLOOKUP($D9,환율,MATCH(AF$1,변수H,0),0),"")</f>
        <v/>
      </c>
      <c r="AG9" s="46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6">
        <f>IFERROR(VLOOKUP($D11,환율,MATCH(X$1,변수H,0),0),"")</f>
        <v/>
      </c>
      <c r="Y11" s="46">
        <f>IFERROR(VLOOKUP($D11,환율,MATCH(Y$1,변수H,0),0),"")</f>
        <v/>
      </c>
      <c r="Z11" s="46">
        <f>IFERROR(VLOOKUP($D11,환율,MATCH(Z$1,변수H,0),0),"")</f>
        <v/>
      </c>
      <c r="AA11" s="46">
        <f>IFERROR(VLOOKUP($D11,환율,MATCH(AA$1,변수H,0),0),"")</f>
        <v/>
      </c>
      <c r="AB11" s="46">
        <f>IFERROR(VLOOKUP($D11,환율,MATCH(AB$1,변수H,0),0),"")</f>
        <v/>
      </c>
      <c r="AC11" s="46">
        <f>IFERROR(VLOOKUP($D11,환율,MATCH(AC$1,변수H,0),0),"")</f>
        <v/>
      </c>
      <c r="AD11" s="46">
        <f>IFERROR(VLOOKUP($D11,환율,MATCH(AD$1,변수H,0),0),"")</f>
        <v/>
      </c>
      <c r="AE11" s="46">
        <f>IFERROR(VLOOKUP($D11,환율,MATCH(AE$1,변수H,0),0),"")</f>
        <v/>
      </c>
      <c r="AF11" s="46">
        <f>IFERROR(VLOOKUP($D11,환율,MATCH(AF$1,변수H,0),0),"")</f>
        <v/>
      </c>
      <c r="AG11" s="46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6">
        <f>IFERROR(VLOOKUP($D13,환율,MATCH(X$1,변수H,0),0),"")</f>
        <v/>
      </c>
      <c r="Y13" s="46">
        <f>IFERROR(VLOOKUP($D13,환율,MATCH(Y$1,변수H,0),0),"")</f>
        <v/>
      </c>
      <c r="Z13" s="46">
        <f>IFERROR(VLOOKUP($D13,환율,MATCH(Z$1,변수H,0),0),"")</f>
        <v/>
      </c>
      <c r="AA13" s="46">
        <f>IFERROR(VLOOKUP($D13,환율,MATCH(AA$1,변수H,0),0),"")</f>
        <v/>
      </c>
      <c r="AB13" s="46">
        <f>IFERROR(VLOOKUP($D13,환율,MATCH(AB$1,변수H,0),0),"")</f>
        <v/>
      </c>
      <c r="AC13" s="46">
        <f>IFERROR(VLOOKUP($D13,환율,MATCH(AC$1,변수H,0),0),"")</f>
        <v/>
      </c>
      <c r="AD13" s="46">
        <f>IFERROR(VLOOKUP($D13,환율,MATCH(AD$1,변수H,0),0),"")</f>
        <v/>
      </c>
      <c r="AE13" s="46">
        <f>IFERROR(VLOOKUP($D13,환율,MATCH(AE$1,변수H,0),0),"")</f>
        <v/>
      </c>
      <c r="AF13" s="46">
        <f>IFERROR(VLOOKUP($D13,환율,MATCH(AF$1,변수H,0),0),"")</f>
        <v/>
      </c>
      <c r="AG13" s="46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