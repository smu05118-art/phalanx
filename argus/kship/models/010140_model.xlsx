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24431억(sls.by_quarter.marine_hedged_krw_m(헤지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3157억 유지(패널 신규수주 체결 분기별 상계, net_panel)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23895억(sls.by_quarter.marine_hedged_krw_m(헤지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3093억 유지(패널 신규수주 체결 분기별 상계, net_panel)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23723억(sls.by_quarter.marine_hedged_krw_m(헤지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23050억(sls.by_quarter.marine_hedged_krw_m(헤지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23050억(sls.by_quarter.marine_hedged_krw_m(헤지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19975억(sls.by_quarter.marine_hedged_krw_m(헤지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18538억(sls.by_quarter.marine_hedged_krw_m(헤지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17911억(sls.by_quarter.marine_hedged_krw_m(헤지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15396억(sls.by_quarter.marine_hedged_krw_m(헤지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3141억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36047억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38778억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41524억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44401억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47442억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50747억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54113억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57678억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36047억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38778억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41524억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44401억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47442억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50747억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54113억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57678억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61507억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22649억(sls.by_quarter.marine_hedged_krw_m(헤지 70% 적용; origin 2026Q2 이후 체결 7건 SLS 유지 — 패널 신규수주와 체결 분기별 상계(net_panel))) + 원장 밖 잔고 소진 10000억(최근 4분기 '부문매출−SLS' 중위 10000억/분기, 잔여 120931억)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1046억 유지(패널 신규수주 체결 분기별 상계, net_panel)
[sls_link]</t>
      </text>
    </comment>
    <comment ref="AD38" authorId="0" shapeId="0">
      <text>
        <t>추정: SLS 해양 원화 24431억(sls.by_quarter.marine_hedged_krw_m(헤지 70% 적용; origin 2026Q2 이후 체결 7건 SLS 유지 — 패널 신규수주와 체결 분기별 상계(net_panel))) + 원장 밖 잔고 소진 10000억(최근 4분기 '부문매출−SLS' 중위 10000억/분기, 잔여 110931억) + 신규수주 매출 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3157억 유지(패널 신규수주 체결 분기별 상계, net_panel)
[sls_link]</t>
      </text>
    </comment>
    <comment ref="AF38" authorId="0" shapeId="0">
      <text>
        <t>추정: SLS 해양 원화 23895억(sls.by_quarter.marine_hedged_krw_m(헤지 70% 적용; origin 2026Q2 이후 체결 7건 SLS 유지 — 패널 신규수주와 체결 분기별 상계(net_panel))) + 원장 밖 잔고 소진 10000억(최근 4분기 '부문매출−SLS' 중위 10000억/분기, 잔여 100931억) + 신규수주 매출 694억(forecast_panel.json.gz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3093억 유지(패널 신규수주 체결 분기별 상계, net_panel)
[sls_link]</t>
      </text>
    </comment>
    <comment ref="AG38" authorId="0" shapeId="0">
      <text>
        <t>추정: SLS 해양 원화 23723억(sls.by_quarter.marine_hedged_krw_m(헤지 70% 적용; origin 2026Q2 이후 체결 7건 SLS 유지 — 패널 신규수주와 체결 분기별 상계(net_panel))) + 원장 밖 잔고 소진 10000억(최근 4분기 '부문매출−SLS' 중위 10000억/분기, 잔여 90931억) + 신규수주 매출 2394억(forecast_panel.json.gz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
[sls_link]</t>
      </text>
    </comment>
    <comment ref="AH38" authorId="0" shapeId="0">
      <text>
        <t>추정: SLS 해양 원화 23050억(sls.by_quarter.marine_hedged_krw_m(헤지 70% 적용; origin 2026Q2 이후 체결 7건 SLS 유지 — 패널 신규수주와 체결 분기별 상계(net_panel))) + 원장 밖 잔고 소진 10000억(최근 4분기 '부문매출−SLS' 중위 10000억/분기, 잔여 80932억) + 신규수주 매출 5034억(forecast_panel.json.gz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
[sls_link]</t>
      </text>
    </comment>
    <comment ref="AI38" authorId="0" shapeId="0">
      <text>
        <t>추정: SLS 해양 원화 23050억(sls.by_quarter.marine_hedged_krw_m(헤지 70% 적용; origin 2026Q2 이후 체결 7건 SLS 유지 — 패널 신규수주와 체결 분기별 상계(net_panel))) + 원장 밖 잔고 소진 10000억(최근 4분기 '부문매출−SLS' 중위 10000억/분기, 잔여 70932억) + 신규수주 매출 8332억(forecast_panel.json.gz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
[sls_link]</t>
      </text>
    </comment>
    <comment ref="AK38" authorId="0" shapeId="0">
      <text>
        <t>추정: SLS 해양 원화 19975억(sls.by_quarter.marine_hedged_krw_m(헤지 70% 적용; origin 2026Q2 이후 체결 7건 SLS 유지 — 패널 신규수주와 체결 분기별 상계(net_panel))) + 원장 밖 잔고 소진 10000억(최근 4분기 '부문매출−SLS' 중위 10000억/분기, 잔여 60932억) + 신규수주 매출 12015억(forecast_panel.json.gz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
[sls_link]</t>
      </text>
    </comment>
    <comment ref="AL38" authorId="0" shapeId="0">
      <text>
        <t>추정: SLS 해양 원화 18538억(sls.by_quarter.marine_hedged_krw_m(헤지 70% 적용; origin 2026Q2 이후 체결 7건 SLS 유지 — 패널 신규수주와 체결 분기별 상계(net_panel))) + 원장 밖 잔고 소진 10000억(최근 4분기 '부문매출−SLS' 중위 10000억/분기, 잔여 50933억) + 신규수주 매출 15898억(forecast_panel.json.gz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3128억 유지(패널 신규수주 체결 분기별 상계, net_panel)
[sls_link]</t>
      </text>
    </comment>
    <comment ref="AM38" authorId="0" shapeId="0">
      <text>
        <t>추정: SLS 해양 원화 17911억(sls.by_quarter.marine_hedged_krw_m(헤지 70% 적용; origin 2026Q2 이후 체결 7건 SLS 유지 — 패널 신규수주와 체결 분기별 상계(net_panel))) + 원장 밖 잔고 소진 10000억(최근 4분기 '부문매출−SLS' 중위 10000억/분기, 잔여 40933억) + 신규수주 매출 19805억(forecast_panel.json.gz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3162억 유지(패널 신규수주 체결 분기별 상계, net_panel)
[sls_link]</t>
      </text>
    </comment>
    <comment ref="AN38" authorId="0" shapeId="0">
      <text>
        <t>추정: SLS 해양 원화 15396억(sls.by_quarter.marine_hedged_krw_m(헤지 70% 적용; origin 2026Q2 이후 체결 7건 SLS 유지 — 패널 신규수주와 체결 분기별 상계(net_panel))) + 원장 밖 잔고 소진 10000억(최근 4분기 '부문매출−SLS' 중위 10000억/분기, 잔여 30933억) + 신규수주 매출 23529억(forecast_panel.json.gz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25,702억)) · origin 이후 공시 수주 SLS 3141억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32,424억 − 공시 29,860억 = 2,564억 · 2026Q4 패널 32,424억 − 공시 6,722억 = 25,702억)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new_order_revenue 신규수주 매출(미보정 book-value proxy, status partial; FY합 87,756억) — 보수/낙관은 scenarios 블록(합산 안 함) / origin 이후 공시 수주 7건 36,582억은 SLS 일정으로 전부 유지, 패널 신규수주에서 체결 분기별 상계(2026Q3 패널 32,424억 − 공시 29,860억 = 2,564억 · 2026Q4 패널 32,424억 − 공시 6,722억 = 25,702억) — 패널 base 신규 매출 −30,146억(2026 633억 · 2027 12,672억 · 2028 16,841억)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유지 SLS(공시) vs 패널 base 신규 매출(상계 후): 2026 4,203억 vs 54억 · 2027 12,545억 vs 16,454억 · 2028 12,559억 vs 71,248억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18900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18800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19562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-0.005267365</v>
      </c>
      <c r="AD30" s="29" t="n">
        <v>-0.009146474999999999</v>
      </c>
      <c r="AE30" s="30" t="n"/>
      <c r="AF30" s="29" t="n">
        <v>0.000349108</v>
      </c>
      <c r="AG30" s="29" t="n">
        <v>5.5327e-05</v>
      </c>
      <c r="AH30" s="29" t="n">
        <v>0.00273027</v>
      </c>
      <c r="AI30" s="29" t="n">
        <v>0.0005186429999999999</v>
      </c>
      <c r="AJ30" s="30" t="n"/>
      <c r="AK30" s="29" t="n">
        <v>0.001719344</v>
      </c>
      <c r="AL30" s="29" t="n">
        <v>-0.004266916</v>
      </c>
      <c r="AM30" s="29" t="n">
        <v>0.005383531</v>
      </c>
      <c r="AN30" s="29" t="n">
        <v>0.004102383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-0.005267365</v>
      </c>
      <c r="AD31" s="29" t="n">
        <v>-0.009146474999999999</v>
      </c>
      <c r="AE31" s="30" t="n"/>
      <c r="AF31" s="29" t="n">
        <v>0.000349108</v>
      </c>
      <c r="AG31" s="29" t="n">
        <v>5.5327e-05</v>
      </c>
      <c r="AH31" s="29" t="n">
        <v>0.00273027</v>
      </c>
      <c r="AI31" s="29" t="n">
        <v>0.0005186429999999999</v>
      </c>
      <c r="AJ31" s="30" t="n"/>
      <c r="AK31" s="29" t="n">
        <v>0.001719344</v>
      </c>
      <c r="AL31" s="29" t="n">
        <v>-0.004266916</v>
      </c>
      <c r="AM31" s="29" t="n">
        <v>0.005383531</v>
      </c>
      <c r="AN31" s="29" t="n">
        <v>0.004102383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0.125169959</v>
      </c>
      <c r="AD33" s="31" t="n">
        <v>0.117707324</v>
      </c>
      <c r="AE33" s="25" t="n"/>
      <c r="AF33" s="31" t="n">
        <v>0.105872472</v>
      </c>
      <c r="AG33" s="31" t="n">
        <v>0.100334541</v>
      </c>
      <c r="AH33" s="31" t="n">
        <v>0.096364306</v>
      </c>
      <c r="AI33" s="31" t="n">
        <v>0.09552529899999999</v>
      </c>
      <c r="AJ33" s="25" t="n"/>
      <c r="AK33" s="31" t="n">
        <v>0.088810351</v>
      </c>
      <c r="AL33" s="31" t="n">
        <v>0.086383321</v>
      </c>
      <c r="AM33" s="31" t="n">
        <v>0.085412396</v>
      </c>
      <c r="AN33" s="31" t="n">
        <v>0.08081609300000001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0.07712440299999999</v>
      </c>
      <c r="AD34" s="31" t="n">
        <v>0.075760888</v>
      </c>
      <c r="AE34" s="25" t="n"/>
      <c r="AF34" s="31" t="n">
        <v>0.07080112199999999</v>
      </c>
      <c r="AG34" s="31" t="n">
        <v>0.069295049</v>
      </c>
      <c r="AH34" s="31" t="n">
        <v>0.068484947</v>
      </c>
      <c r="AI34" s="31" t="n">
        <v>0.069660055</v>
      </c>
      <c r="AJ34" s="25" t="n"/>
      <c r="AK34" s="31" t="n">
        <v>0.066329333</v>
      </c>
      <c r="AL34" s="31" t="n">
        <v>0.065876849</v>
      </c>
      <c r="AM34" s="31" t="n">
        <v>0.06638957500000001</v>
      </c>
      <c r="AN34" s="31" t="n">
        <v>0.063937511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11046.034703</v>
      </c>
      <c r="AD40" s="29" t="n">
        <v>13156.352722</v>
      </c>
      <c r="AE40" s="30" t="n"/>
      <c r="AF40" s="29" t="n">
        <v>13093.029906</v>
      </c>
      <c r="AG40" s="29" t="n">
        <v>13127.254696</v>
      </c>
      <c r="AH40" s="29" t="n">
        <v>13161.686022</v>
      </c>
      <c r="AI40" s="29" t="n">
        <v>13161.699827</v>
      </c>
      <c r="AJ40" s="30" t="n"/>
      <c r="AK40" s="29" t="n">
        <v>13127.439217</v>
      </c>
      <c r="AL40" s="29" t="n">
        <v>13127.323267</v>
      </c>
      <c r="AM40" s="29" t="n">
        <v>13161.766333</v>
      </c>
      <c r="AN40" s="29" t="n">
        <v>13141.195321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54.41</v>
      </c>
      <c r="AE41" s="30">
        <f>subQ!AE39</f>
        <v/>
      </c>
      <c r="AF41" s="29" t="n">
        <v>693.5700000000001</v>
      </c>
      <c r="AG41" s="29" t="n">
        <v>2393.86</v>
      </c>
      <c r="AH41" s="29" t="n">
        <v>5034.28</v>
      </c>
      <c r="AI41" s="29" t="n">
        <v>8331.889999999999</v>
      </c>
      <c r="AJ41" s="30">
        <f>subQ!AJ39</f>
        <v/>
      </c>
      <c r="AK41" s="29" t="n">
        <v>12015.39</v>
      </c>
      <c r="AL41" s="29" t="n">
        <v>15897.92</v>
      </c>
      <c r="AM41" s="29" t="n">
        <v>19805.34</v>
      </c>
      <c r="AN41" s="29" t="n">
        <v>23529.12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0.099410028</v>
      </c>
      <c r="AD42" s="31" t="n">
        <v>0.099458926</v>
      </c>
      <c r="AE42" s="25">
        <f>IFERROR(subQ!AE40/subQ!AE38,"")</f>
        <v/>
      </c>
      <c r="AF42" s="31" t="n">
        <v>0.099458979</v>
      </c>
      <c r="AG42" s="31" t="n">
        <v>0.099689921</v>
      </c>
      <c r="AH42" s="31" t="n">
        <v>0.099805116</v>
      </c>
      <c r="AI42" s="31" t="n">
        <v>0.09980491399999999</v>
      </c>
      <c r="AJ42" s="25">
        <f>IFERROR(subQ!AJ40/subQ!AJ38,"")</f>
        <v/>
      </c>
      <c r="AK42" s="31" t="n">
        <v>0.099980614</v>
      </c>
      <c r="AL42" s="31" t="n">
        <v>0.099980579</v>
      </c>
      <c r="AM42" s="31" t="n">
        <v>0.099980719</v>
      </c>
      <c r="AN42" s="31" t="n">
        <v>0.099980685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18900</v>
      </c>
      <c r="E47" s="2" t="inlineStr">
        <is>
          <t>원 — 네이버 정규장 종가(aik 확정종가 대조 · aik 19,540원)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0.2199997462877507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0.04463843968357698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0.01229747721816401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0.0557700431890551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25215.05</v>
      </c>
      <c r="F43" s="37" t="n">
        <v>25215.05</v>
      </c>
      <c r="G43" s="18" t="n">
        <v>34277.29</v>
      </c>
      <c r="H43" s="18" t="n">
        <v>30231.44</v>
      </c>
      <c r="I43" s="18" t="n">
        <v>19265.64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비유동리스부채</t>
        </is>
      </c>
      <c r="E49" s="18" t="n">
        <v>11390.69</v>
      </c>
      <c r="F49" s="37" t="n">
        <v>11390.69</v>
      </c>
      <c r="G49" s="18" t="n">
        <v>7813.22</v>
      </c>
      <c r="H49" s="18" t="n">
        <v>3406.07</v>
      </c>
      <c r="I49" s="18" t="n">
        <v>3476.04</v>
      </c>
      <c r="J49" s="18" t="n">
        <v>23643.99</v>
      </c>
      <c r="K49" s="37" t="n">
        <v>23643.99</v>
      </c>
      <c r="L49" s="18" t="n">
        <v>30397.06</v>
      </c>
      <c r="M49" s="18" t="n">
        <v>26102.37</v>
      </c>
      <c r="N49" s="18" t="n">
        <v>22944.46</v>
      </c>
      <c r="O49" s="18" t="n">
        <v>98825.3</v>
      </c>
      <c r="P49" s="37" t="n">
        <v>98825.3</v>
      </c>
      <c r="Q49" s="18" t="n">
        <v>116821.81</v>
      </c>
      <c r="R49" s="18" t="n">
        <v>135361.8</v>
      </c>
      <c r="S49" s="18" t="n">
        <v>120208.56</v>
      </c>
      <c r="T49" s="18" t="n">
        <v>260361.99</v>
      </c>
      <c r="U49" s="37" t="n">
        <v>260361.99</v>
      </c>
      <c r="V49" s="18" t="n">
        <v>229263.33</v>
      </c>
      <c r="W49" s="18" t="n">
        <v>217866.14</v>
      </c>
      <c r="X49" s="18" t="n">
        <v>206144.41</v>
      </c>
      <c r="Y49" s="18" t="n">
        <v>194567.72</v>
      </c>
      <c r="Z49" s="37" t="n">
        <v>194567.72</v>
      </c>
      <c r="AA49" s="18" t="n">
        <v>191617.06</v>
      </c>
      <c r="AB49" s="19" t="n">
        <v>179711.06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479880.42</v>
      </c>
      <c r="F50" s="37" t="n">
        <v>479880.42</v>
      </c>
      <c r="G50" s="18" t="n">
        <v>453740.98</v>
      </c>
      <c r="H50" s="18" t="n">
        <v>1000628.56</v>
      </c>
      <c r="I50" s="18" t="n">
        <v>1492711.98</v>
      </c>
      <c r="J50" s="18" t="n">
        <v>516181.09</v>
      </c>
      <c r="K50" s="37" t="n">
        <v>516181.09</v>
      </c>
      <c r="L50" s="18" t="n">
        <v>441858.85</v>
      </c>
      <c r="M50" s="18" t="n">
        <v>390409.64</v>
      </c>
      <c r="N50" s="18" t="n">
        <v>374634.02</v>
      </c>
      <c r="O50" s="18" t="n">
        <v>391936.06</v>
      </c>
      <c r="P50" s="37" t="n">
        <v>391936.06</v>
      </c>
      <c r="Q50" s="18" t="n">
        <v>376168.92</v>
      </c>
      <c r="R50" s="18" t="n">
        <v>589826.4300000001</v>
      </c>
      <c r="S50" s="18" t="n">
        <v>301279.1</v>
      </c>
      <c r="T50" s="18" t="n">
        <v>1237410.02</v>
      </c>
      <c r="U50" s="37" t="n">
        <v>1237410.02</v>
      </c>
      <c r="V50" s="18" t="n">
        <v>1159405.13</v>
      </c>
      <c r="W50" s="18" t="n">
        <v>706941.92</v>
      </c>
      <c r="X50" s="18" t="n">
        <v>748176.12</v>
      </c>
      <c r="Y50" s="18" t="n">
        <v>1051863.9</v>
      </c>
      <c r="Z50" s="37" t="n">
        <v>1051863.9</v>
      </c>
      <c r="AA50" s="18" t="n">
        <v>1741807.17</v>
      </c>
      <c r="AB50" s="19" t="n">
        <v>1827805.03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장기충당부채</t>
        </is>
      </c>
      <c r="E51" s="18" t="n">
        <v>78546.23</v>
      </c>
      <c r="F51" s="37" t="n">
        <v>78546.23</v>
      </c>
      <c r="G51" s="18" t="n">
        <v>55608.31</v>
      </c>
      <c r="H51" s="18" t="n">
        <v>55663.85</v>
      </c>
      <c r="I51" s="18" t="n">
        <v>26244.24</v>
      </c>
      <c r="J51" s="18" t="n">
        <v>28986.64</v>
      </c>
      <c r="K51" s="37" t="n">
        <v>28986.64</v>
      </c>
      <c r="L51" s="18" t="n">
        <v>29236.73</v>
      </c>
      <c r="M51" s="18" t="n">
        <v>24476.95</v>
      </c>
      <c r="N51" s="18" t="n">
        <v>26846.31</v>
      </c>
      <c r="O51" s="18" t="n">
        <v>29982.69</v>
      </c>
      <c r="P51" s="37" t="n">
        <v>29982.69</v>
      </c>
      <c r="Q51" s="18" t="n">
        <v>32456.13</v>
      </c>
      <c r="R51" s="18" t="n">
        <v>37544.47</v>
      </c>
      <c r="S51" s="18" t="n">
        <v>36915.02</v>
      </c>
      <c r="T51" s="18" t="n">
        <v>41757.36</v>
      </c>
      <c r="U51" s="37" t="n">
        <v>41757.36</v>
      </c>
      <c r="V51" s="18" t="n">
        <v>50425.78</v>
      </c>
      <c r="W51" s="18" t="n">
        <v>50444.32</v>
      </c>
      <c r="X51" s="18" t="n">
        <v>55881.58</v>
      </c>
      <c r="Y51" s="18" t="n">
        <v>63805.15</v>
      </c>
      <c r="Z51" s="37" t="n">
        <v>63805.15</v>
      </c>
      <c r="AA51" s="18" t="n">
        <v>68229.69</v>
      </c>
      <c r="AB51" s="19" t="n">
        <v>79501.12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장기파생상품부채</t>
        </is>
      </c>
      <c r="E52" s="18" t="n">
        <v>417699.39</v>
      </c>
      <c r="F52" s="37" t="n">
        <v>417699.39</v>
      </c>
      <c r="G52" s="18" t="n">
        <v>395352.66</v>
      </c>
      <c r="H52" s="18" t="n">
        <v>786612.71</v>
      </c>
      <c r="I52" s="18" t="n">
        <v>1279017.55</v>
      </c>
      <c r="J52" s="18" t="n">
        <v>274626.53</v>
      </c>
      <c r="K52" s="37" t="n">
        <v>274626.53</v>
      </c>
      <c r="L52" s="18" t="n">
        <v>188154.52</v>
      </c>
      <c r="M52" s="18" t="n">
        <v>139650.81</v>
      </c>
      <c r="N52" s="18" t="n">
        <v>124205.26</v>
      </c>
      <c r="O52" s="18" t="n">
        <v>105724.86</v>
      </c>
      <c r="P52" s="37" t="n">
        <v>105724.86</v>
      </c>
      <c r="Q52" s="18" t="n">
        <v>199974.85</v>
      </c>
      <c r="R52" s="18" t="n">
        <v>394904.27</v>
      </c>
      <c r="S52" s="18" t="n">
        <v>121765.91</v>
      </c>
      <c r="T52" s="18" t="n">
        <v>914698.45</v>
      </c>
      <c r="U52" s="37" t="n">
        <v>914698.45</v>
      </c>
      <c r="V52" s="18" t="n">
        <v>864750.74</v>
      </c>
      <c r="W52" s="18" t="n">
        <v>423500.26</v>
      </c>
      <c r="X52" s="18" t="n">
        <v>476332.47</v>
      </c>
      <c r="Y52" s="18" t="n">
        <v>775354.91</v>
      </c>
      <c r="Z52" s="37" t="n">
        <v>775354.91</v>
      </c>
      <c r="AA52" s="18" t="n">
        <v>1467463.84</v>
      </c>
      <c r="AB52" s="19" t="n">
        <v>1564892.87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E53" s="18" t="n">
        <v>50790.34</v>
      </c>
      <c r="F53" s="37" t="n">
        <v>50790.34</v>
      </c>
      <c r="G53" s="18" t="n">
        <v>50575.1</v>
      </c>
      <c r="H53" s="18" t="n">
        <v>210609.78</v>
      </c>
      <c r="I53" s="18" t="n">
        <v>210218.39</v>
      </c>
      <c r="J53" s="18" t="n">
        <v>217910.57</v>
      </c>
      <c r="K53" s="37" t="n">
        <v>217910.57</v>
      </c>
      <c r="L53" s="18" t="n">
        <v>223307.27</v>
      </c>
      <c r="M53" s="18" t="n">
        <v>224656.46</v>
      </c>
      <c r="N53" s="18" t="n">
        <v>227484.3</v>
      </c>
      <c r="O53" s="18" t="n">
        <v>187385.9</v>
      </c>
      <c r="P53" s="37" t="n">
        <v>187385.9</v>
      </c>
      <c r="Q53" s="18" t="n">
        <v>59372.26</v>
      </c>
      <c r="R53" s="18" t="n">
        <v>59560.36</v>
      </c>
      <c r="S53" s="18" t="n">
        <v>59304.63</v>
      </c>
      <c r="T53" s="18" t="n">
        <v>62349.58</v>
      </c>
      <c r="U53" s="37" t="n">
        <v>62349.58</v>
      </c>
      <c r="V53" s="18" t="n">
        <v>65391.06</v>
      </c>
      <c r="W53" s="18" t="n">
        <v>65575.52</v>
      </c>
      <c r="X53" s="18" t="n">
        <v>65699.24000000001</v>
      </c>
      <c r="Y53" s="18" t="n">
        <v>81941.27</v>
      </c>
      <c r="Z53" s="37" t="n">
        <v>81941.27</v>
      </c>
      <c r="AA53" s="18" t="n">
        <v>82726.27</v>
      </c>
      <c r="AB53" s="19" t="n">
        <v>83201.10000000001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E54" s="18" t="n">
        <v>27179.19</v>
      </c>
      <c r="F54" s="37" t="n">
        <v>27179.19</v>
      </c>
      <c r="G54" s="18" t="n">
        <v>28165.52</v>
      </c>
      <c r="H54" s="18" t="n">
        <v>29960.34</v>
      </c>
      <c r="I54" s="18" t="n">
        <v>33253.84</v>
      </c>
      <c r="J54" s="18" t="n">
        <v>21861.69</v>
      </c>
      <c r="K54" s="37" t="n">
        <v>21861.69</v>
      </c>
      <c r="L54" s="18" t="n">
        <v>18007.91</v>
      </c>
      <c r="M54" s="18" t="n">
        <v>17697.11</v>
      </c>
      <c r="N54" s="18" t="n">
        <v>14050.09</v>
      </c>
      <c r="O54" s="18" t="n">
        <v>14086.42</v>
      </c>
      <c r="P54" s="37" t="n">
        <v>14086.42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Y54" s="18" t="n">
        <v>0</v>
      </c>
      <c r="Z54" s="37" t="n">
        <v>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8041328.86</v>
      </c>
      <c r="F55" s="37" t="n">
        <v>8041328.86</v>
      </c>
      <c r="G55" s="18" t="n">
        <v>8253315.24</v>
      </c>
      <c r="H55" s="18" t="n">
        <v>9570294.279999999</v>
      </c>
      <c r="I55" s="18" t="n">
        <v>12369442.93</v>
      </c>
      <c r="J55" s="18" t="n">
        <v>10919760.59</v>
      </c>
      <c r="K55" s="37" t="n">
        <v>10919760.59</v>
      </c>
      <c r="L55" s="18" t="n">
        <v>10931420.36</v>
      </c>
      <c r="M55" s="18" t="n">
        <v>11272755.19</v>
      </c>
      <c r="N55" s="18" t="n">
        <v>12727072.7</v>
      </c>
      <c r="O55" s="18" t="n">
        <v>12184181.55</v>
      </c>
      <c r="P55" s="37" t="n">
        <v>12184181.55</v>
      </c>
      <c r="Q55" s="18" t="n">
        <v>12687134.45</v>
      </c>
      <c r="R55" s="18" t="n">
        <v>12859746.37</v>
      </c>
      <c r="S55" s="18" t="n">
        <v>11344791.93</v>
      </c>
      <c r="T55" s="18" t="n">
        <v>13445186.02</v>
      </c>
      <c r="U55" s="37" t="n">
        <v>13445186.02</v>
      </c>
      <c r="V55" s="18" t="n">
        <v>12473197.52</v>
      </c>
      <c r="W55" s="18" t="n">
        <v>10332762.13</v>
      </c>
      <c r="X55" s="18" t="n">
        <v>10594103.78</v>
      </c>
      <c r="Y55" s="18" t="n">
        <v>10853831.16</v>
      </c>
      <c r="Z55" s="37" t="n">
        <v>10853831.16</v>
      </c>
      <c r="AA55" s="18" t="n">
        <v>12113230.2</v>
      </c>
      <c r="AB55" s="19" t="n">
        <v>13249028.8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4111043.96</v>
      </c>
      <c r="F56" s="37" t="n">
        <v>4111043.96</v>
      </c>
      <c r="G56" s="18" t="n">
        <v>4048489.67</v>
      </c>
      <c r="H56" s="18" t="n">
        <v>4244211.22</v>
      </c>
      <c r="I56" s="18" t="n">
        <v>4514542.26</v>
      </c>
      <c r="J56" s="18" t="n">
        <v>3594491.08</v>
      </c>
      <c r="K56" s="37" t="n">
        <v>3594491.08</v>
      </c>
      <c r="L56" s="18" t="n">
        <v>3745865.3</v>
      </c>
      <c r="M56" s="18" t="n">
        <v>3736371.86</v>
      </c>
      <c r="N56" s="18" t="n">
        <v>3903339.23</v>
      </c>
      <c r="O56" s="18" t="n">
        <v>3439345</v>
      </c>
      <c r="P56" s="37" t="n">
        <v>3439345</v>
      </c>
      <c r="Q56" s="18" t="n">
        <v>3705485.47</v>
      </c>
      <c r="R56" s="18" t="n">
        <v>3955772.1</v>
      </c>
      <c r="S56" s="18" t="n">
        <v>3769079.35</v>
      </c>
      <c r="T56" s="18" t="n">
        <v>3794592.95</v>
      </c>
      <c r="U56" s="37" t="n">
        <v>3794592.95</v>
      </c>
      <c r="V56" s="18" t="n">
        <v>3854995.33</v>
      </c>
      <c r="W56" s="18" t="n">
        <v>3654160.42</v>
      </c>
      <c r="X56" s="18" t="n">
        <v>3993852.28</v>
      </c>
      <c r="Y56" s="18" t="n">
        <v>4148939.31</v>
      </c>
      <c r="Z56" s="37" t="n">
        <v>4148939.31</v>
      </c>
      <c r="AA56" s="18" t="n">
        <v>4513941.76</v>
      </c>
      <c r="AB56" s="19" t="n">
        <v>4771398.4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880114.84</v>
      </c>
      <c r="F57" s="37" t="n">
        <v>880114.84</v>
      </c>
      <c r="G57" s="18" t="n">
        <v>880114.84</v>
      </c>
      <c r="H57" s="18" t="n">
        <v>880114.84</v>
      </c>
      <c r="I57" s="18" t="n">
        <v>880114.84</v>
      </c>
      <c r="J57" s="18" t="n">
        <v>880114.84</v>
      </c>
      <c r="K57" s="37" t="n">
        <v>880114.84</v>
      </c>
      <c r="L57" s="18" t="n">
        <v>880114.84</v>
      </c>
      <c r="M57" s="18" t="n">
        <v>880114.84</v>
      </c>
      <c r="N57" s="18" t="n">
        <v>880114.84</v>
      </c>
      <c r="O57" s="18" t="n">
        <v>880114.84</v>
      </c>
      <c r="P57" s="37" t="n">
        <v>880114.84</v>
      </c>
      <c r="Q57" s="18" t="n">
        <v>880114.84</v>
      </c>
      <c r="R57" s="18" t="n">
        <v>880114.84</v>
      </c>
      <c r="S57" s="18" t="n">
        <v>880114.84</v>
      </c>
      <c r="T57" s="18" t="n">
        <v>880114.84</v>
      </c>
      <c r="U57" s="37" t="n">
        <v>880114.84</v>
      </c>
      <c r="V57" s="18" t="n">
        <v>880114.84</v>
      </c>
      <c r="W57" s="18" t="n">
        <v>880114.84</v>
      </c>
      <c r="X57" s="18" t="n">
        <v>880114.84</v>
      </c>
      <c r="Y57" s="18" t="n">
        <v>880114.84</v>
      </c>
      <c r="Z57" s="37" t="n">
        <v>880114.84</v>
      </c>
      <c r="AA57" s="18" t="n">
        <v>880114.84</v>
      </c>
      <c r="AB57" s="19" t="n">
        <v>880114.84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보통주자본금</t>
        </is>
      </c>
      <c r="E58" s="18" t="n">
        <v>880000</v>
      </c>
      <c r="F58" s="37" t="n">
        <v>880000</v>
      </c>
      <c r="G58" s="18" t="n">
        <v>880000</v>
      </c>
      <c r="H58" s="18" t="n">
        <v>880000</v>
      </c>
      <c r="I58" s="18" t="n">
        <v>880000</v>
      </c>
      <c r="J58" s="18" t="n">
        <v>880000</v>
      </c>
      <c r="K58" s="37" t="n">
        <v>880000</v>
      </c>
      <c r="L58" s="18" t="n">
        <v>880000</v>
      </c>
      <c r="M58" s="18" t="n">
        <v>880000</v>
      </c>
      <c r="N58" s="18" t="n">
        <v>880000</v>
      </c>
      <c r="O58" s="18" t="n">
        <v>880000</v>
      </c>
      <c r="P58" s="37" t="n">
        <v>880000</v>
      </c>
      <c r="Q58" s="18" t="n">
        <v>880000</v>
      </c>
      <c r="R58" s="18" t="n">
        <v>880000</v>
      </c>
      <c r="S58" s="18" t="n">
        <v>880000</v>
      </c>
      <c r="T58" s="18" t="n">
        <v>880000</v>
      </c>
      <c r="U58" s="37" t="n">
        <v>880000</v>
      </c>
      <c r="V58" s="18" t="n">
        <v>880000</v>
      </c>
      <c r="W58" s="18" t="n">
        <v>880000</v>
      </c>
      <c r="X58" s="18" t="n">
        <v>880000</v>
      </c>
      <c r="Y58" s="18" t="n">
        <v>880000</v>
      </c>
      <c r="Z58" s="37" t="n">
        <v>880000</v>
      </c>
      <c r="AA58" s="18" t="n">
        <v>880000</v>
      </c>
      <c r="AB58" s="19" t="n">
        <v>880000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우선주자본금</t>
        </is>
      </c>
      <c r="E59" s="18" t="n">
        <v>114.84</v>
      </c>
      <c r="F59" s="37" t="n">
        <v>114.84</v>
      </c>
      <c r="G59" s="18" t="n">
        <v>114.84</v>
      </c>
      <c r="H59" s="18" t="n">
        <v>114.84</v>
      </c>
      <c r="I59" s="18" t="n">
        <v>114.84</v>
      </c>
      <c r="J59" s="18" t="n">
        <v>114.84</v>
      </c>
      <c r="K59" s="37" t="n">
        <v>114.84</v>
      </c>
      <c r="L59" s="18" t="n">
        <v>114.84</v>
      </c>
      <c r="M59" s="18" t="n">
        <v>114.84</v>
      </c>
      <c r="N59" s="18" t="n">
        <v>114.84</v>
      </c>
      <c r="O59" s="18" t="n">
        <v>114.84</v>
      </c>
      <c r="P59" s="37" t="n">
        <v>114.84</v>
      </c>
      <c r="Q59" s="18" t="n">
        <v>114.84</v>
      </c>
      <c r="R59" s="18" t="n">
        <v>114.84</v>
      </c>
      <c r="S59" s="18" t="n">
        <v>114.84</v>
      </c>
      <c r="T59" s="18" t="n">
        <v>114.84</v>
      </c>
      <c r="U59" s="37" t="n">
        <v>114.84</v>
      </c>
      <c r="V59" s="18" t="n">
        <v>114.84</v>
      </c>
      <c r="W59" s="18" t="n">
        <v>114.84</v>
      </c>
      <c r="X59" s="18" t="n">
        <v>114.84</v>
      </c>
      <c r="Y59" s="18" t="n">
        <v>114.84</v>
      </c>
      <c r="Z59" s="37" t="n">
        <v>114.84</v>
      </c>
      <c r="AA59" s="18" t="n">
        <v>114.84</v>
      </c>
      <c r="AB59" s="19" t="n">
        <v>114.84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자본잉여금</t>
        </is>
      </c>
      <c r="E60" s="18" t="n">
        <v>1969727.2</v>
      </c>
      <c r="F60" s="37" t="n">
        <v>1969727.2</v>
      </c>
      <c r="G60" s="18" t="n">
        <v>1969727.2</v>
      </c>
      <c r="H60" s="18" t="n">
        <v>1969727.2</v>
      </c>
      <c r="I60" s="18" t="n">
        <v>1969727.2</v>
      </c>
      <c r="J60" s="18" t="n">
        <v>1969727.2</v>
      </c>
      <c r="K60" s="37" t="n">
        <v>1969727.2</v>
      </c>
      <c r="L60" s="18" t="n">
        <v>1969727.2</v>
      </c>
      <c r="M60" s="18" t="n">
        <v>1969727.2</v>
      </c>
      <c r="N60" s="18" t="n">
        <v>1969727.2</v>
      </c>
      <c r="O60" s="18" t="n">
        <v>1969727.2</v>
      </c>
      <c r="P60" s="37" t="n">
        <v>1969727.2</v>
      </c>
      <c r="Q60" s="18" t="n">
        <v>1969727.2</v>
      </c>
      <c r="R60" s="18" t="n">
        <v>1969727.2</v>
      </c>
      <c r="S60" s="18" t="n">
        <v>1969727.2</v>
      </c>
      <c r="T60" s="18" t="n">
        <v>1969727.2</v>
      </c>
      <c r="U60" s="37" t="n">
        <v>1969727.2</v>
      </c>
      <c r="V60" s="18" t="n">
        <v>1969727.2</v>
      </c>
      <c r="W60" s="18" t="n">
        <v>1969727.2</v>
      </c>
      <c r="X60" s="18" t="n">
        <v>1969727.2</v>
      </c>
      <c r="Y60" s="18" t="n">
        <v>1969727.2</v>
      </c>
      <c r="Z60" s="37" t="n">
        <v>1969727.2</v>
      </c>
      <c r="AA60" s="18" t="n">
        <v>1969727.2</v>
      </c>
      <c r="AB60" s="19" t="n">
        <v>1969727.2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E61" s="18" t="n">
        <v>1060330.62</v>
      </c>
      <c r="F61" s="37" t="n">
        <v>1060330.62</v>
      </c>
      <c r="G61" s="18" t="n">
        <v>1100811.83</v>
      </c>
      <c r="H61" s="18" t="n">
        <v>1333501.06</v>
      </c>
      <c r="I61" s="18" t="n">
        <v>1802788.05</v>
      </c>
      <c r="J61" s="18" t="n">
        <v>1147530.94</v>
      </c>
      <c r="K61" s="37" t="n">
        <v>1147530.94</v>
      </c>
      <c r="L61" s="18" t="n">
        <v>1287480.88</v>
      </c>
      <c r="M61" s="18" t="n">
        <v>1252379.35</v>
      </c>
      <c r="N61" s="18" t="n">
        <v>1381235.89</v>
      </c>
      <c r="O61" s="18" t="n">
        <v>1202135.76</v>
      </c>
      <c r="P61" s="37" t="n">
        <v>1202135.76</v>
      </c>
      <c r="Q61" s="18" t="n">
        <v>1458329.32</v>
      </c>
      <c r="R61" s="18" t="n">
        <v>1632059.61</v>
      </c>
      <c r="S61" s="18" t="n">
        <v>1371387.3</v>
      </c>
      <c r="T61" s="18" t="n">
        <v>1524732.98</v>
      </c>
      <c r="U61" s="37" t="n">
        <v>1524732.98</v>
      </c>
      <c r="V61" s="18" t="n">
        <v>1493039.63</v>
      </c>
      <c r="W61" s="18" t="n">
        <v>1078085.44</v>
      </c>
      <c r="X61" s="18" t="n">
        <v>1273381.84</v>
      </c>
      <c r="Y61" s="18" t="n">
        <v>1345897.38</v>
      </c>
      <c r="Z61" s="37" t="n">
        <v>1345897.38</v>
      </c>
      <c r="AA61" s="18" t="n">
        <v>1609315.95</v>
      </c>
      <c r="AB61" s="19" t="n">
        <v>1642439.97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기타자본</t>
        </is>
      </c>
      <c r="E62" s="18" t="n">
        <v>1556045.05</v>
      </c>
      <c r="F62" s="37" t="n">
        <v>1556045.05</v>
      </c>
      <c r="G62" s="18" t="n">
        <v>1556045.05</v>
      </c>
      <c r="H62" s="18" t="n">
        <v>1556045.05</v>
      </c>
      <c r="I62" s="18" t="n">
        <v>1556045.05</v>
      </c>
      <c r="J62" s="18" t="n">
        <v>1556045.05</v>
      </c>
      <c r="K62" s="37" t="n">
        <v>1556045.05</v>
      </c>
      <c r="L62" s="18" t="n">
        <v>1556045.05</v>
      </c>
      <c r="M62" s="18" t="n">
        <v>1556045.05</v>
      </c>
      <c r="N62" s="18" t="n">
        <v>1556045.05</v>
      </c>
      <c r="O62" s="18" t="n">
        <v>1556045.05</v>
      </c>
      <c r="P62" s="37" t="n">
        <v>1556045.05</v>
      </c>
      <c r="Q62" s="18" t="n">
        <v>1556045.05</v>
      </c>
      <c r="R62" s="18" t="n">
        <v>1556045.05</v>
      </c>
      <c r="S62" s="18" t="n">
        <v>1556045.05</v>
      </c>
      <c r="T62" s="18" t="n">
        <v>1556045.05</v>
      </c>
      <c r="U62" s="37" t="n">
        <v>1556045.05</v>
      </c>
      <c r="V62" s="18" t="n">
        <v>1556045.05</v>
      </c>
      <c r="W62" s="18" t="n">
        <v>1556045.05</v>
      </c>
      <c r="X62" s="18" t="n">
        <v>1556045.05</v>
      </c>
      <c r="Y62" s="18" t="n">
        <v>1556045.05</v>
      </c>
      <c r="Z62" s="37" t="n">
        <v>1556045.05</v>
      </c>
      <c r="AA62" s="18" t="n">
        <v>1556045.05</v>
      </c>
      <c r="AB62" s="19" t="n">
        <v>1556045.05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이익잉여금</t>
        </is>
      </c>
      <c r="E63" s="18" t="n">
        <v>-1355173.76</v>
      </c>
      <c r="F63" s="37" t="n">
        <v>-1355173.76</v>
      </c>
      <c r="G63" s="18" t="n">
        <v>-1458209.26</v>
      </c>
      <c r="H63" s="18" t="n">
        <v>-1495176.94</v>
      </c>
      <c r="I63" s="18" t="n">
        <v>-1694132.89</v>
      </c>
      <c r="J63" s="18" t="n">
        <v>-1958926.96</v>
      </c>
      <c r="K63" s="37" t="n">
        <v>-1958926.96</v>
      </c>
      <c r="L63" s="18" t="n">
        <v>-1947502.68</v>
      </c>
      <c r="M63" s="18" t="n">
        <v>-1921894.59</v>
      </c>
      <c r="N63" s="18" t="n">
        <v>-1883783.76</v>
      </c>
      <c r="O63" s="18" t="n">
        <v>-2168677.85</v>
      </c>
      <c r="P63" s="37" t="n">
        <v>-2168677.85</v>
      </c>
      <c r="Q63" s="18" t="n">
        <v>-2158730.94</v>
      </c>
      <c r="R63" s="18" t="n">
        <v>-2082174.61</v>
      </c>
      <c r="S63" s="18" t="n">
        <v>-2008195.05</v>
      </c>
      <c r="T63" s="18" t="n">
        <v>-2136027.13</v>
      </c>
      <c r="U63" s="37" t="n">
        <v>-2136027.13</v>
      </c>
      <c r="V63" s="18" t="n">
        <v>-2043931.41</v>
      </c>
      <c r="W63" s="18" t="n">
        <v>-1829812.12</v>
      </c>
      <c r="X63" s="18" t="n">
        <v>-1685416.66</v>
      </c>
      <c r="Y63" s="18" t="n">
        <v>-1602845.17</v>
      </c>
      <c r="Z63" s="37" t="n">
        <v>-1602845.17</v>
      </c>
      <c r="AA63" s="18" t="n">
        <v>-1501261.29</v>
      </c>
      <c r="AB63" s="19" t="n">
        <v>-1276928.67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비지배주주지분</t>
        </is>
      </c>
      <c r="E64" s="18" t="n">
        <v>-13776.85</v>
      </c>
      <c r="F64" s="37" t="n">
        <v>-13776.85</v>
      </c>
      <c r="G64" s="18" t="n">
        <v>-14925.61</v>
      </c>
      <c r="H64" s="18" t="n">
        <v>-18056.08</v>
      </c>
      <c r="I64" s="18" t="n">
        <v>-22924.9</v>
      </c>
      <c r="J64" s="18" t="n">
        <v>-22553.68</v>
      </c>
      <c r="K64" s="37" t="n">
        <v>-22553.68</v>
      </c>
      <c r="L64" s="18" t="n">
        <v>-25397.45</v>
      </c>
      <c r="M64" s="18" t="n">
        <v>-27945.27</v>
      </c>
      <c r="N64" s="18" t="n">
        <v>-31213.01</v>
      </c>
      <c r="O64" s="18" t="n">
        <v>-30137.4</v>
      </c>
      <c r="P64" s="37" t="n">
        <v>-30137.4</v>
      </c>
      <c r="Q64" s="18" t="n">
        <v>-33614.48</v>
      </c>
      <c r="R64" s="18" t="n">
        <v>-37270.51</v>
      </c>
      <c r="S64" s="18" t="n">
        <v>-37902.17</v>
      </c>
      <c r="T64" s="18" t="n">
        <v>-45141.84</v>
      </c>
      <c r="U64" s="37" t="n">
        <v>-45141.84</v>
      </c>
      <c r="V64" s="18" t="n">
        <v>-47036.82</v>
      </c>
      <c r="W64" s="18" t="n">
        <v>-45203.09</v>
      </c>
      <c r="X64" s="18" t="n">
        <v>-48506.35</v>
      </c>
      <c r="Y64" s="18" t="n">
        <v>-53899.37</v>
      </c>
      <c r="Z64" s="37" t="n">
        <v>-53899.37</v>
      </c>
      <c r="AA64" s="18" t="n">
        <v>-58448.98</v>
      </c>
      <c r="AB64" s="19" t="n">
        <v>-61044.99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자본총계</t>
        </is>
      </c>
      <c r="E65" s="18" t="n">
        <v>4097267.11</v>
      </c>
      <c r="F65" s="37" t="n">
        <v>4097267.11</v>
      </c>
      <c r="G65" s="18" t="n">
        <v>4033564.06</v>
      </c>
      <c r="H65" s="18" t="n">
        <v>4226155.14</v>
      </c>
      <c r="I65" s="18" t="n">
        <v>4491617.36</v>
      </c>
      <c r="J65" s="18" t="n">
        <v>3571937.4</v>
      </c>
      <c r="K65" s="37" t="n">
        <v>3571937.4</v>
      </c>
      <c r="L65" s="18" t="n">
        <v>3720467.85</v>
      </c>
      <c r="M65" s="18" t="n">
        <v>3708426.59</v>
      </c>
      <c r="N65" s="18" t="n">
        <v>3872126.22</v>
      </c>
      <c r="O65" s="18" t="n">
        <v>3409207.6</v>
      </c>
      <c r="P65" s="37" t="n">
        <v>3409207.6</v>
      </c>
      <c r="Q65" s="18" t="n">
        <v>3671870.99</v>
      </c>
      <c r="R65" s="18" t="n">
        <v>3918501.59</v>
      </c>
      <c r="S65" s="18" t="n">
        <v>3731177.19</v>
      </c>
      <c r="T65" s="18" t="n">
        <v>3749451.11</v>
      </c>
      <c r="U65" s="37" t="n">
        <v>3749451.11</v>
      </c>
      <c r="V65" s="18" t="n">
        <v>3807958.51</v>
      </c>
      <c r="W65" s="18" t="n">
        <v>3608957.33</v>
      </c>
      <c r="X65" s="18" t="n">
        <v>3945345.92</v>
      </c>
      <c r="Y65" s="18" t="n">
        <v>4095039.94</v>
      </c>
      <c r="Z65" s="37" t="n">
        <v>4095039.94</v>
      </c>
      <c r="AA65" s="18" t="n">
        <v>4455492.78</v>
      </c>
      <c r="AB65" s="19" t="n">
        <v>4710353.4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부채와자본총계</t>
        </is>
      </c>
      <c r="E66" s="18" t="n">
        <v>12138595.96</v>
      </c>
      <c r="F66" s="37" t="n">
        <v>12138595.96</v>
      </c>
      <c r="G66" s="18" t="n">
        <v>12286879.3</v>
      </c>
      <c r="H66" s="18" t="n">
        <v>13796449.42</v>
      </c>
      <c r="I66" s="18" t="n">
        <v>16861060.29</v>
      </c>
      <c r="J66" s="18" t="n">
        <v>14491697.98</v>
      </c>
      <c r="K66" s="37" t="n">
        <v>14491697.98</v>
      </c>
      <c r="L66" s="18" t="n">
        <v>14651888.21</v>
      </c>
      <c r="M66" s="18" t="n">
        <v>14981181.78</v>
      </c>
      <c r="N66" s="18" t="n">
        <v>16599198.92</v>
      </c>
      <c r="O66" s="18" t="n">
        <v>15593389.15</v>
      </c>
      <c r="P66" s="37" t="n">
        <v>15593389.15</v>
      </c>
      <c r="Q66" s="18" t="n">
        <v>16359005.44</v>
      </c>
      <c r="R66" s="18" t="n">
        <v>16778247.96</v>
      </c>
      <c r="S66" s="18" t="n">
        <v>15075969.11</v>
      </c>
      <c r="T66" s="18" t="n">
        <v>17194637.13</v>
      </c>
      <c r="U66" s="37" t="n">
        <v>17194637.13</v>
      </c>
      <c r="V66" s="18" t="n">
        <v>16281156.02</v>
      </c>
      <c r="W66" s="18" t="n">
        <v>13941719.46</v>
      </c>
      <c r="X66" s="18" t="n">
        <v>14539449.71</v>
      </c>
      <c r="Y66" s="18" t="n">
        <v>14948871.09</v>
      </c>
      <c r="Z66" s="37" t="n">
        <v>14948871.09</v>
      </c>
      <c r="AA66" s="18" t="n">
        <v>16568722.98</v>
      </c>
      <c r="AB66" s="19" t="n">
        <v>17959382.2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총차입금</t>
        </is>
      </c>
      <c r="E67" s="18" t="n">
        <v>2247063.78</v>
      </c>
      <c r="F67" s="37" t="n">
        <v>2247063.78</v>
      </c>
      <c r="G67" s="18" t="n">
        <v>2133513.58</v>
      </c>
      <c r="H67" s="18" t="n">
        <v>2139053.68</v>
      </c>
      <c r="I67" s="18" t="n">
        <v>3037361.36</v>
      </c>
      <c r="J67" s="18" t="n">
        <v>3063381.34</v>
      </c>
      <c r="K67" s="37" t="n">
        <v>3063381.34</v>
      </c>
      <c r="L67" s="18" t="n">
        <v>2831768.51</v>
      </c>
      <c r="M67" s="18" t="n">
        <v>3165213.52</v>
      </c>
      <c r="N67" s="18" t="n">
        <v>3348103.32</v>
      </c>
      <c r="O67" s="18" t="n">
        <v>3551161.25</v>
      </c>
      <c r="P67" s="37" t="n">
        <v>3551161.25</v>
      </c>
      <c r="Q67" s="18" t="n">
        <v>3573130.58</v>
      </c>
      <c r="R67" s="18" t="n">
        <v>3617735.85</v>
      </c>
      <c r="S67" s="18" t="n">
        <v>3811952.19</v>
      </c>
      <c r="T67" s="18" t="n">
        <v>3218241.49</v>
      </c>
      <c r="U67" s="37" t="n">
        <v>3218241.49</v>
      </c>
      <c r="V67" s="18" t="n">
        <v>3105959.59</v>
      </c>
      <c r="W67" s="18" t="n">
        <v>2728837.49</v>
      </c>
      <c r="X67" s="18" t="n">
        <v>2459777.99</v>
      </c>
      <c r="Y67" s="18" t="n">
        <v>2047792.26</v>
      </c>
      <c r="Z67" s="37" t="n">
        <v>2047792.26</v>
      </c>
      <c r="AA67" s="18" t="n">
        <v>1195828.85</v>
      </c>
      <c r="AB67" s="19" t="n">
        <v>1102144.31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순차입금</t>
        </is>
      </c>
      <c r="E68" s="18" t="n">
        <v>638535.3100000001</v>
      </c>
      <c r="F68" s="37" t="n">
        <v>638535.3100000001</v>
      </c>
      <c r="G68" s="18" t="n">
        <v>572071.46</v>
      </c>
      <c r="H68" s="18" t="n">
        <v>-901843.1</v>
      </c>
      <c r="I68" s="18" t="n">
        <v>-1495396.7</v>
      </c>
      <c r="J68" s="18" t="n">
        <v>117286.3</v>
      </c>
      <c r="K68" s="37" t="n">
        <v>117286.3</v>
      </c>
      <c r="L68" s="18" t="n">
        <v>143361.33</v>
      </c>
      <c r="M68" s="18" t="n">
        <v>290561.91</v>
      </c>
      <c r="N68" s="18" t="n">
        <v>60148.1</v>
      </c>
      <c r="O68" s="18" t="n">
        <v>1433002.02</v>
      </c>
      <c r="P68" s="37" t="n">
        <v>1433002.02</v>
      </c>
      <c r="Q68" s="18" t="n">
        <v>696904.6899999999</v>
      </c>
      <c r="R68" s="18" t="n">
        <v>804142.46</v>
      </c>
      <c r="S68" s="18" t="n">
        <v>1673625.43</v>
      </c>
      <c r="T68" s="18" t="n">
        <v>163338.39</v>
      </c>
      <c r="U68" s="37" t="n">
        <v>163338.39</v>
      </c>
      <c r="V68" s="18" t="n">
        <v>744420.65</v>
      </c>
      <c r="W68" s="18" t="n">
        <v>999625.55</v>
      </c>
      <c r="X68" s="18" t="n">
        <v>-102309.85</v>
      </c>
      <c r="Y68" s="18" t="n">
        <v>-81690.17999999999</v>
      </c>
      <c r="Z68" s="37" t="n">
        <v>-81690.17999999999</v>
      </c>
      <c r="AA68" s="18" t="n">
        <v>-1899206.73</v>
      </c>
      <c r="AB68" s="19" t="n">
        <v>-2062046.7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이자발생자산</t>
        </is>
      </c>
      <c r="E69" s="18" t="n">
        <v>1654204.2</v>
      </c>
      <c r="F69" s="37" t="n">
        <v>1654204.2</v>
      </c>
      <c r="G69" s="18" t="n">
        <v>1607873.38</v>
      </c>
      <c r="H69" s="18" t="n">
        <v>3087254.38</v>
      </c>
      <c r="I69" s="18" t="n">
        <v>4578758.4</v>
      </c>
      <c r="J69" s="18" t="n">
        <v>3031841.04</v>
      </c>
      <c r="K69" s="37" t="n">
        <v>3031841.04</v>
      </c>
      <c r="L69" s="18" t="n">
        <v>2774179.54</v>
      </c>
      <c r="M69" s="18" t="n">
        <v>2960649.59</v>
      </c>
      <c r="N69" s="18" t="n">
        <v>3373879.62</v>
      </c>
      <c r="O69" s="18" t="n">
        <v>2205461.33</v>
      </c>
      <c r="P69" s="37" t="n">
        <v>2205461.33</v>
      </c>
      <c r="Q69" s="18" t="n">
        <v>2963817.11</v>
      </c>
      <c r="R69" s="18" t="n">
        <v>2901054.48</v>
      </c>
      <c r="S69" s="18" t="n">
        <v>2226751.34</v>
      </c>
      <c r="T69" s="18" t="n">
        <v>3157244.54</v>
      </c>
      <c r="U69" s="37" t="n">
        <v>3157244.54</v>
      </c>
      <c r="V69" s="18" t="n">
        <v>2481499.01</v>
      </c>
      <c r="W69" s="18" t="n">
        <v>1849195.26</v>
      </c>
      <c r="X69" s="18" t="n">
        <v>2738983</v>
      </c>
      <c r="Y69" s="18" t="n">
        <v>2297860.74</v>
      </c>
      <c r="Z69" s="37" t="n">
        <v>2297860.74</v>
      </c>
      <c r="AA69" s="18" t="n">
        <v>3260818.8</v>
      </c>
      <c r="AB69" s="19" t="n">
        <v>3346629.22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24825.79</v>
      </c>
      <c r="F41" s="37" t="n">
        <v>24825.79</v>
      </c>
      <c r="G41" s="18" t="n">
        <v>24817.38</v>
      </c>
      <c r="H41" s="18" t="n">
        <v>20143.71</v>
      </c>
      <c r="I41" s="18" t="n">
        <v>18992.08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11390.69</v>
      </c>
      <c r="F47" s="37" t="n">
        <v>11390.69</v>
      </c>
      <c r="G47" s="18" t="n">
        <v>7813.22</v>
      </c>
      <c r="H47" s="18" t="n">
        <v>3406.07</v>
      </c>
      <c r="I47" s="18" t="n">
        <v>3476.04</v>
      </c>
      <c r="J47" s="18" t="n">
        <v>23643.99</v>
      </c>
      <c r="K47" s="37" t="n">
        <v>23643.99</v>
      </c>
      <c r="L47" s="18" t="n">
        <v>30397.06</v>
      </c>
      <c r="M47" s="18" t="n">
        <v>26102.37</v>
      </c>
      <c r="N47" s="18" t="n">
        <v>22944.46</v>
      </c>
      <c r="O47" s="18" t="n">
        <v>98825.3</v>
      </c>
      <c r="P47" s="37" t="n">
        <v>98825.3</v>
      </c>
      <c r="Q47" s="18" t="n">
        <v>116821.81</v>
      </c>
      <c r="R47" s="18" t="n">
        <v>135361.8</v>
      </c>
      <c r="S47" s="18" t="n">
        <v>120208.56</v>
      </c>
      <c r="T47" s="18" t="n">
        <v>260361.99</v>
      </c>
      <c r="U47" s="37" t="n">
        <v>260361.99</v>
      </c>
      <c r="V47" s="18" t="n">
        <v>229263.33</v>
      </c>
      <c r="W47" s="18" t="n">
        <v>217866.14</v>
      </c>
      <c r="X47" s="18" t="n">
        <v>206144.41</v>
      </c>
      <c r="Y47" s="18" t="n">
        <v>194567.72</v>
      </c>
      <c r="Z47" s="37" t="n">
        <v>194567.72</v>
      </c>
      <c r="AA47" s="18" t="n">
        <v>191617.06</v>
      </c>
      <c r="AB47" s="19" t="n">
        <v>179711.06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479089.84</v>
      </c>
      <c r="F48" s="37" t="n">
        <v>479089.84</v>
      </c>
      <c r="G48" s="18" t="n">
        <v>452918.94</v>
      </c>
      <c r="H48" s="18" t="n">
        <v>839257.29</v>
      </c>
      <c r="I48" s="18" t="n">
        <v>1330963.56</v>
      </c>
      <c r="J48" s="18" t="n">
        <v>347495.09</v>
      </c>
      <c r="K48" s="37" t="n">
        <v>347495.09</v>
      </c>
      <c r="L48" s="18" t="n">
        <v>268670.88</v>
      </c>
      <c r="M48" s="18" t="n">
        <v>215812.93</v>
      </c>
      <c r="N48" s="18" t="n">
        <v>196576.95</v>
      </c>
      <c r="O48" s="18" t="n">
        <v>262487.58</v>
      </c>
      <c r="P48" s="37" t="n">
        <v>262487.58</v>
      </c>
      <c r="Q48" s="18" t="n">
        <v>375087.08</v>
      </c>
      <c r="R48" s="18" t="n">
        <v>588591.04</v>
      </c>
      <c r="S48" s="18" t="n">
        <v>300027.7</v>
      </c>
      <c r="T48" s="18" t="n">
        <v>1235598.03</v>
      </c>
      <c r="U48" s="37" t="n">
        <v>1235598.03</v>
      </c>
      <c r="V48" s="18" t="n">
        <v>1157555.27</v>
      </c>
      <c r="W48" s="18" t="n">
        <v>704888.55</v>
      </c>
      <c r="X48" s="18" t="n">
        <v>746038.3</v>
      </c>
      <c r="Y48" s="18" t="n">
        <v>1048424.18</v>
      </c>
      <c r="Z48" s="37" t="n">
        <v>1048424.18</v>
      </c>
      <c r="AA48" s="18" t="n">
        <v>1737565</v>
      </c>
      <c r="AB48" s="19" t="n">
        <v>1823299.3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61798.56</v>
      </c>
      <c r="F49" s="37" t="n">
        <v>61798.56</v>
      </c>
      <c r="G49" s="18" t="n">
        <v>39429.58</v>
      </c>
      <c r="H49" s="18" t="n">
        <v>38828.65</v>
      </c>
      <c r="I49" s="18" t="n">
        <v>26244.24</v>
      </c>
      <c r="J49" s="18" t="n">
        <v>28986.64</v>
      </c>
      <c r="K49" s="37" t="n">
        <v>28986.64</v>
      </c>
      <c r="L49" s="18" t="n">
        <v>19466.9</v>
      </c>
      <c r="M49" s="18" t="n">
        <v>23514.47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55319.83</v>
      </c>
      <c r="Y49" s="18" t="n">
        <v>63230.31</v>
      </c>
      <c r="Z49" s="37" t="n">
        <v>63230.31</v>
      </c>
      <c r="AA49" s="18" t="n">
        <v>67623.39999999999</v>
      </c>
      <c r="AB49" s="19" t="n">
        <v>78883.57000000001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E51" s="18" t="n">
        <v>49999.76</v>
      </c>
      <c r="F51" s="37" t="n">
        <v>49999.76</v>
      </c>
      <c r="G51" s="18" t="n">
        <v>49753.06</v>
      </c>
      <c r="H51" s="18" t="n">
        <v>49238.51</v>
      </c>
      <c r="I51" s="18" t="n">
        <v>48469.97</v>
      </c>
      <c r="J51" s="18" t="n">
        <v>49224.57</v>
      </c>
      <c r="K51" s="37" t="n">
        <v>49224.57</v>
      </c>
      <c r="L51" s="18" t="n">
        <v>50119.3</v>
      </c>
      <c r="M51" s="18" t="n">
        <v>50059.75</v>
      </c>
      <c r="N51" s="18" t="n">
        <v>49427.23</v>
      </c>
      <c r="O51" s="18" t="n">
        <v>57937.42</v>
      </c>
      <c r="P51" s="37" t="n">
        <v>57937.42</v>
      </c>
      <c r="Q51" s="18" t="n">
        <v>58290.42</v>
      </c>
      <c r="R51" s="18" t="n">
        <v>58324.97</v>
      </c>
      <c r="S51" s="18" t="n">
        <v>58053.23</v>
      </c>
      <c r="T51" s="18" t="n">
        <v>60537.59</v>
      </c>
      <c r="U51" s="37" t="n">
        <v>60537.59</v>
      </c>
      <c r="V51" s="18" t="n">
        <v>63541.2</v>
      </c>
      <c r="W51" s="18" t="n">
        <v>63522.15</v>
      </c>
      <c r="X51" s="18" t="n">
        <v>63561.42</v>
      </c>
      <c r="Y51" s="18" t="n">
        <v>78501.55</v>
      </c>
      <c r="Z51" s="37" t="n">
        <v>78501.55</v>
      </c>
      <c r="AA51" s="18" t="n">
        <v>78484.10000000001</v>
      </c>
      <c r="AB51" s="19" t="n">
        <v>78695.37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7669432.61</v>
      </c>
      <c r="F52" s="37" t="n">
        <v>7669432.61</v>
      </c>
      <c r="G52" s="18" t="n">
        <v>7890281.19</v>
      </c>
      <c r="H52" s="18" t="n">
        <v>9821190.220000001</v>
      </c>
      <c r="I52" s="18" t="n">
        <v>12698813.3</v>
      </c>
      <c r="J52" s="18" t="n">
        <v>11186551.2</v>
      </c>
      <c r="K52" s="37" t="n">
        <v>11186551.2</v>
      </c>
      <c r="L52" s="18" t="n">
        <v>11136315.97</v>
      </c>
      <c r="M52" s="18" t="n">
        <v>11479477.72</v>
      </c>
      <c r="N52" s="18" t="n">
        <v>12970907.76</v>
      </c>
      <c r="O52" s="18" t="n">
        <v>12448525.75</v>
      </c>
      <c r="P52" s="37" t="n">
        <v>12448525.75</v>
      </c>
      <c r="Q52" s="18" t="n">
        <v>12710795.72</v>
      </c>
      <c r="R52" s="18" t="n">
        <v>12849616.54</v>
      </c>
      <c r="S52" s="18" t="n">
        <v>11328558.26</v>
      </c>
      <c r="T52" s="18" t="n">
        <v>13275009.33</v>
      </c>
      <c r="U52" s="37" t="n">
        <v>13275009.33</v>
      </c>
      <c r="V52" s="18" t="n">
        <v>12322672.78</v>
      </c>
      <c r="W52" s="18" t="n">
        <v>10210365.18</v>
      </c>
      <c r="X52" s="18" t="n">
        <v>10446071.19</v>
      </c>
      <c r="Y52" s="18" t="n">
        <v>10706551.83</v>
      </c>
      <c r="Z52" s="37" t="n">
        <v>10706551.83</v>
      </c>
      <c r="AA52" s="18" t="n">
        <v>12003580.5</v>
      </c>
      <c r="AB52" s="19" t="n">
        <v>13115989.99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880114.84</v>
      </c>
      <c r="F53" s="37" t="n">
        <v>880114.84</v>
      </c>
      <c r="G53" s="18" t="n">
        <v>880114.84</v>
      </c>
      <c r="H53" s="18" t="n">
        <v>880114.84</v>
      </c>
      <c r="I53" s="18" t="n">
        <v>880114.84</v>
      </c>
      <c r="J53" s="18" t="n">
        <v>880114.84</v>
      </c>
      <c r="K53" s="37" t="n">
        <v>880114.84</v>
      </c>
      <c r="L53" s="18" t="n">
        <v>880114.84</v>
      </c>
      <c r="M53" s="18" t="n">
        <v>880114.84</v>
      </c>
      <c r="N53" s="18" t="n">
        <v>880114.84</v>
      </c>
      <c r="O53" s="18" t="n">
        <v>880114.84</v>
      </c>
      <c r="P53" s="37" t="n">
        <v>880114.84</v>
      </c>
      <c r="Q53" s="18" t="n">
        <v>880114.84</v>
      </c>
      <c r="R53" s="18" t="n">
        <v>880114.84</v>
      </c>
      <c r="S53" s="18" t="n">
        <v>880114.84</v>
      </c>
      <c r="T53" s="18" t="n">
        <v>880114.84</v>
      </c>
      <c r="U53" s="37" t="n">
        <v>880114.84</v>
      </c>
      <c r="V53" s="18" t="n">
        <v>880114.84</v>
      </c>
      <c r="W53" s="18" t="n">
        <v>880114.84</v>
      </c>
      <c r="X53" s="18" t="n">
        <v>880114.84</v>
      </c>
      <c r="Y53" s="18" t="n">
        <v>880114.84</v>
      </c>
      <c r="Z53" s="37" t="n">
        <v>880114.84</v>
      </c>
      <c r="AA53" s="18" t="n">
        <v>880114.84</v>
      </c>
      <c r="AB53" s="19" t="n">
        <v>880114.84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보통주자본금</t>
        </is>
      </c>
      <c r="E54" s="18" t="n">
        <v>880000</v>
      </c>
      <c r="F54" s="37" t="n">
        <v>880000</v>
      </c>
      <c r="G54" s="18" t="n">
        <v>880000</v>
      </c>
      <c r="H54" s="18" t="n">
        <v>880000</v>
      </c>
      <c r="I54" s="18" t="n">
        <v>880000</v>
      </c>
      <c r="J54" s="18" t="n">
        <v>880000</v>
      </c>
      <c r="K54" s="37" t="n">
        <v>880000</v>
      </c>
      <c r="L54" s="18" t="n">
        <v>880000</v>
      </c>
      <c r="M54" s="18" t="n">
        <v>880000</v>
      </c>
      <c r="N54" s="18" t="n">
        <v>880000</v>
      </c>
      <c r="O54" s="18" t="n">
        <v>880000</v>
      </c>
      <c r="P54" s="37" t="n">
        <v>880000</v>
      </c>
      <c r="Q54" s="18" t="n">
        <v>880000</v>
      </c>
      <c r="R54" s="18" t="n">
        <v>880000</v>
      </c>
      <c r="S54" s="18" t="n">
        <v>880000</v>
      </c>
      <c r="T54" s="18" t="n">
        <v>880000</v>
      </c>
      <c r="U54" s="37" t="n">
        <v>880000</v>
      </c>
      <c r="V54" s="18" t="n">
        <v>880000</v>
      </c>
      <c r="W54" s="18" t="n">
        <v>880000</v>
      </c>
      <c r="X54" s="18" t="n">
        <v>880000</v>
      </c>
      <c r="Y54" s="18" t="n">
        <v>880000</v>
      </c>
      <c r="Z54" s="37" t="n">
        <v>880000</v>
      </c>
      <c r="AA54" s="18" t="n">
        <v>880000</v>
      </c>
      <c r="AB54" s="19" t="n">
        <v>880000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우선주자본금</t>
        </is>
      </c>
      <c r="E55" s="18" t="n">
        <v>114.84</v>
      </c>
      <c r="F55" s="37" t="n">
        <v>114.84</v>
      </c>
      <c r="G55" s="18" t="n">
        <v>114.84</v>
      </c>
      <c r="H55" s="18" t="n">
        <v>114.84</v>
      </c>
      <c r="I55" s="18" t="n">
        <v>114.84</v>
      </c>
      <c r="J55" s="18" t="n">
        <v>114.84</v>
      </c>
      <c r="K55" s="37" t="n">
        <v>114.84</v>
      </c>
      <c r="L55" s="18" t="n">
        <v>114.84</v>
      </c>
      <c r="M55" s="18" t="n">
        <v>114.84</v>
      </c>
      <c r="N55" s="18" t="n">
        <v>114.84</v>
      </c>
      <c r="O55" s="18" t="n">
        <v>114.84</v>
      </c>
      <c r="P55" s="37" t="n">
        <v>114.84</v>
      </c>
      <c r="Q55" s="18" t="n">
        <v>114.84</v>
      </c>
      <c r="R55" s="18" t="n">
        <v>114.84</v>
      </c>
      <c r="S55" s="18" t="n">
        <v>114.84</v>
      </c>
      <c r="T55" s="18" t="n">
        <v>114.84</v>
      </c>
      <c r="U55" s="37" t="n">
        <v>114.84</v>
      </c>
      <c r="V55" s="18" t="n">
        <v>114.84</v>
      </c>
      <c r="W55" s="18" t="n">
        <v>114.84</v>
      </c>
      <c r="X55" s="18" t="n">
        <v>114.84</v>
      </c>
      <c r="Y55" s="18" t="n">
        <v>114.84</v>
      </c>
      <c r="Z55" s="37" t="n">
        <v>114.84</v>
      </c>
      <c r="AA55" s="18" t="n">
        <v>114.84</v>
      </c>
      <c r="AB55" s="19" t="n">
        <v>114.84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1969727.2</v>
      </c>
      <c r="F56" s="37" t="n">
        <v>1969727.2</v>
      </c>
      <c r="G56" s="18" t="n">
        <v>1969727.2</v>
      </c>
      <c r="H56" s="18" t="n">
        <v>1969727.2</v>
      </c>
      <c r="I56" s="18" t="n">
        <v>1969727.2</v>
      </c>
      <c r="J56" s="18" t="n">
        <v>1969727.2</v>
      </c>
      <c r="K56" s="37" t="n">
        <v>1969727.2</v>
      </c>
      <c r="L56" s="18" t="n">
        <v>1969727.2</v>
      </c>
      <c r="M56" s="18" t="n">
        <v>1969727.2</v>
      </c>
      <c r="N56" s="18" t="n">
        <v>1969727.2</v>
      </c>
      <c r="O56" s="18" t="n">
        <v>1969727.2</v>
      </c>
      <c r="P56" s="37" t="n">
        <v>1969727.2</v>
      </c>
      <c r="Q56" s="18" t="n">
        <v>1969727.2</v>
      </c>
      <c r="R56" s="18" t="n">
        <v>1969727.2</v>
      </c>
      <c r="S56" s="18" t="n">
        <v>1969727.2</v>
      </c>
      <c r="T56" s="18" t="n">
        <v>1969727.2</v>
      </c>
      <c r="U56" s="37" t="n">
        <v>1969727.2</v>
      </c>
      <c r="V56" s="18" t="n">
        <v>1969727.2</v>
      </c>
      <c r="W56" s="18" t="n">
        <v>1969727.2</v>
      </c>
      <c r="X56" s="18" t="n">
        <v>1969727.2</v>
      </c>
      <c r="Y56" s="18" t="n">
        <v>1969727.2</v>
      </c>
      <c r="Z56" s="37" t="n">
        <v>1969727.2</v>
      </c>
      <c r="AA56" s="18" t="n">
        <v>1969727.2</v>
      </c>
      <c r="AB56" s="19" t="n">
        <v>1969727.2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기타포괄이익누계액</t>
        </is>
      </c>
      <c r="E57" s="18" t="n">
        <v>1173140.79</v>
      </c>
      <c r="F57" s="37" t="n">
        <v>1173140.79</v>
      </c>
      <c r="G57" s="18" t="n">
        <v>1208455.35</v>
      </c>
      <c r="H57" s="18" t="n">
        <v>1427756.67</v>
      </c>
      <c r="I57" s="18" t="n">
        <v>1875453.65</v>
      </c>
      <c r="J57" s="18" t="n">
        <v>1267458.63</v>
      </c>
      <c r="K57" s="37" t="n">
        <v>1267458.63</v>
      </c>
      <c r="L57" s="18" t="n">
        <v>1390770.61</v>
      </c>
      <c r="M57" s="18" t="n">
        <v>1370585.95</v>
      </c>
      <c r="N57" s="18" t="n">
        <v>1518179.33</v>
      </c>
      <c r="O57" s="18" t="n">
        <v>1308612.03</v>
      </c>
      <c r="P57" s="37" t="n">
        <v>1308612.03</v>
      </c>
      <c r="Q57" s="18" t="n">
        <v>1561439.31</v>
      </c>
      <c r="R57" s="18" t="n">
        <v>1729108.56</v>
      </c>
      <c r="S57" s="18" t="n">
        <v>1454060.34</v>
      </c>
      <c r="T57" s="18" t="n">
        <v>1603542.16</v>
      </c>
      <c r="U57" s="37" t="n">
        <v>1603542.16</v>
      </c>
      <c r="V57" s="18" t="n">
        <v>1570252.52</v>
      </c>
      <c r="W57" s="18" t="n">
        <v>1167907.04</v>
      </c>
      <c r="X57" s="18" t="n">
        <v>1356493.11</v>
      </c>
      <c r="Y57" s="18" t="n">
        <v>1420867.53</v>
      </c>
      <c r="Z57" s="37" t="n">
        <v>1420867.53</v>
      </c>
      <c r="AA57" s="18" t="n">
        <v>1669663</v>
      </c>
      <c r="AB57" s="19" t="n">
        <v>1694099.07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기타자본</t>
        </is>
      </c>
      <c r="E58" s="18" t="n">
        <v>1556045.05</v>
      </c>
      <c r="F58" s="37" t="n">
        <v>1556045.05</v>
      </c>
      <c r="G58" s="18" t="n">
        <v>1556045.05</v>
      </c>
      <c r="H58" s="18" t="n">
        <v>1556045.05</v>
      </c>
      <c r="I58" s="18" t="n">
        <v>1556045.05</v>
      </c>
      <c r="J58" s="18" t="n">
        <v>1556045.05</v>
      </c>
      <c r="K58" s="37" t="n">
        <v>1556045.05</v>
      </c>
      <c r="L58" s="18" t="n">
        <v>1556045.05</v>
      </c>
      <c r="M58" s="18" t="n">
        <v>1556045.05</v>
      </c>
      <c r="N58" s="18" t="n">
        <v>1556045.05</v>
      </c>
      <c r="O58" s="18" t="n">
        <v>1556045.05</v>
      </c>
      <c r="P58" s="37" t="n">
        <v>1556045.05</v>
      </c>
      <c r="Q58" s="18" t="n">
        <v>1556045.05</v>
      </c>
      <c r="R58" s="18" t="n">
        <v>1556045.05</v>
      </c>
      <c r="S58" s="18" t="n">
        <v>1556045.05</v>
      </c>
      <c r="T58" s="18" t="n">
        <v>1556045.05</v>
      </c>
      <c r="U58" s="37" t="n">
        <v>1556045.05</v>
      </c>
      <c r="V58" s="18" t="n">
        <v>1556045.05</v>
      </c>
      <c r="W58" s="18" t="n">
        <v>1556045.05</v>
      </c>
      <c r="X58" s="18" t="n">
        <v>1556045.05</v>
      </c>
      <c r="Y58" s="18" t="n">
        <v>1556045.05</v>
      </c>
      <c r="Z58" s="37" t="n">
        <v>1556045.05</v>
      </c>
      <c r="AA58" s="18" t="n">
        <v>1556045.05</v>
      </c>
      <c r="AB58" s="19" t="n">
        <v>1556045.05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-1356322.93</v>
      </c>
      <c r="F59" s="37" t="n">
        <v>-1356322.93</v>
      </c>
      <c r="G59" s="18" t="n">
        <v>-1441919.24</v>
      </c>
      <c r="H59" s="18" t="n">
        <v>-1693475.44</v>
      </c>
      <c r="I59" s="18" t="n">
        <v>-1918015.28</v>
      </c>
      <c r="J59" s="18" t="n">
        <v>-2120523.2</v>
      </c>
      <c r="K59" s="37" t="n">
        <v>-2120523.2</v>
      </c>
      <c r="L59" s="18" t="n">
        <v>-2049465.42</v>
      </c>
      <c r="M59" s="18" t="n">
        <v>-1989763.65</v>
      </c>
      <c r="N59" s="18" t="n">
        <v>-1967528.89</v>
      </c>
      <c r="O59" s="18" t="n">
        <v>-2271046.14</v>
      </c>
      <c r="P59" s="37" t="n">
        <v>-2271046.14</v>
      </c>
      <c r="Q59" s="18" t="n">
        <v>-2337263.75</v>
      </c>
      <c r="R59" s="18" t="n">
        <v>-2276935.88</v>
      </c>
      <c r="S59" s="18" t="n">
        <v>-2200158.91</v>
      </c>
      <c r="T59" s="18" t="n">
        <v>-2286584.91</v>
      </c>
      <c r="U59" s="37" t="n">
        <v>-2286584.91</v>
      </c>
      <c r="V59" s="18" t="n">
        <v>-2184703.03</v>
      </c>
      <c r="W59" s="18" t="n">
        <v>-1966242.59</v>
      </c>
      <c r="X59" s="18" t="n">
        <v>-1820555.79</v>
      </c>
      <c r="Y59" s="18" t="n">
        <v>-1758618.09</v>
      </c>
      <c r="Z59" s="37" t="n">
        <v>-1758618.09</v>
      </c>
      <c r="AA59" s="18" t="n">
        <v>-1643215.54</v>
      </c>
      <c r="AB59" s="19" t="n">
        <v>-1417785.06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자본총계</t>
        </is>
      </c>
      <c r="E60" s="18" t="n">
        <v>4222704.96</v>
      </c>
      <c r="F60" s="37" t="n">
        <v>4222704.96</v>
      </c>
      <c r="G60" s="18" t="n">
        <v>4172423.21</v>
      </c>
      <c r="H60" s="18" t="n">
        <v>4140168.34</v>
      </c>
      <c r="I60" s="18" t="n">
        <v>4363325.47</v>
      </c>
      <c r="J60" s="18" t="n">
        <v>3552822.52</v>
      </c>
      <c r="K60" s="37" t="n">
        <v>3552822.52</v>
      </c>
      <c r="L60" s="18" t="n">
        <v>3747192.29</v>
      </c>
      <c r="M60" s="18" t="n">
        <v>3786709.4</v>
      </c>
      <c r="N60" s="18" t="n">
        <v>3956537.54</v>
      </c>
      <c r="O60" s="18" t="n">
        <v>3443452.99</v>
      </c>
      <c r="P60" s="37" t="n">
        <v>3443452.99</v>
      </c>
      <c r="Q60" s="18" t="n">
        <v>3630062.66</v>
      </c>
      <c r="R60" s="18" t="n">
        <v>3858059.77</v>
      </c>
      <c r="S60" s="18" t="n">
        <v>3659788.53</v>
      </c>
      <c r="T60" s="18" t="n">
        <v>3722844.35</v>
      </c>
      <c r="U60" s="37" t="n">
        <v>3722844.35</v>
      </c>
      <c r="V60" s="18" t="n">
        <v>3791436.59</v>
      </c>
      <c r="W60" s="18" t="n">
        <v>3607551.55</v>
      </c>
      <c r="X60" s="18" t="n">
        <v>3941824.42</v>
      </c>
      <c r="Y60" s="18" t="n">
        <v>4068136.54</v>
      </c>
      <c r="Z60" s="37" t="n">
        <v>4068136.54</v>
      </c>
      <c r="AA60" s="18" t="n">
        <v>4432334.56</v>
      </c>
      <c r="AB60" s="19" t="n">
        <v>4682201.11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부채와자본총계</t>
        </is>
      </c>
      <c r="E61" s="18" t="n">
        <v>11892137.57</v>
      </c>
      <c r="F61" s="37" t="n">
        <v>11892137.57</v>
      </c>
      <c r="G61" s="18" t="n">
        <v>12062704.4</v>
      </c>
      <c r="H61" s="18" t="n">
        <v>13961358.56</v>
      </c>
      <c r="I61" s="18" t="n">
        <v>17062138.77</v>
      </c>
      <c r="J61" s="18" t="n">
        <v>14739373.72</v>
      </c>
      <c r="K61" s="37" t="n">
        <v>14739373.72</v>
      </c>
      <c r="L61" s="18" t="n">
        <v>14883508.26</v>
      </c>
      <c r="M61" s="18" t="n">
        <v>15266187.11</v>
      </c>
      <c r="N61" s="18" t="n">
        <v>16927445.3</v>
      </c>
      <c r="O61" s="18" t="n">
        <v>15891978.74</v>
      </c>
      <c r="P61" s="37" t="n">
        <v>15891978.74</v>
      </c>
      <c r="Q61" s="18" t="n">
        <v>16340858.38</v>
      </c>
      <c r="R61" s="18" t="n">
        <v>16707676.31</v>
      </c>
      <c r="S61" s="18" t="n">
        <v>14988346.79</v>
      </c>
      <c r="T61" s="18" t="n">
        <v>16997853.68</v>
      </c>
      <c r="U61" s="37" t="n">
        <v>16997853.68</v>
      </c>
      <c r="V61" s="18" t="n">
        <v>16114109.37</v>
      </c>
      <c r="W61" s="18" t="n">
        <v>13817916.73</v>
      </c>
      <c r="X61" s="18" t="n">
        <v>14387895.61</v>
      </c>
      <c r="Y61" s="18" t="n">
        <v>14774688.37</v>
      </c>
      <c r="Z61" s="37" t="n">
        <v>14774688.37</v>
      </c>
      <c r="AA61" s="18" t="n">
        <v>16435915.06</v>
      </c>
      <c r="AB61" s="19" t="n">
        <v>17798191.1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지배주주지분</t>
        </is>
      </c>
      <c r="E62" s="18" t="n">
        <v>4222704.96</v>
      </c>
      <c r="F62" s="37" t="n">
        <v>4222704.96</v>
      </c>
      <c r="G62" s="18" t="n">
        <v>4172423.21</v>
      </c>
      <c r="H62" s="18" t="n">
        <v>4140168.34</v>
      </c>
      <c r="I62" s="18" t="n">
        <v>4363325.47</v>
      </c>
      <c r="J62" s="18" t="n">
        <v>3552822.52</v>
      </c>
      <c r="K62" s="37" t="n">
        <v>3552822.52</v>
      </c>
      <c r="L62" s="18" t="n">
        <v>3747192.29</v>
      </c>
      <c r="M62" s="18" t="n">
        <v>3786709.4</v>
      </c>
      <c r="N62" s="18" t="n">
        <v>3956537.54</v>
      </c>
      <c r="O62" s="18" t="n">
        <v>3443452.99</v>
      </c>
      <c r="P62" s="37" t="n">
        <v>3443452.99</v>
      </c>
      <c r="Q62" s="18" t="n">
        <v>3630062.66</v>
      </c>
      <c r="R62" s="18" t="n">
        <v>3858059.77</v>
      </c>
      <c r="S62" s="18" t="n">
        <v>3659788.53</v>
      </c>
      <c r="T62" s="18" t="n">
        <v>3722844.35</v>
      </c>
      <c r="U62" s="37" t="n">
        <v>3722844.35</v>
      </c>
      <c r="V62" s="18" t="n">
        <v>3791436.59</v>
      </c>
      <c r="W62" s="18" t="n">
        <v>3607551.55</v>
      </c>
      <c r="X62" s="18" t="n">
        <v>3941824.42</v>
      </c>
      <c r="Y62" s="18" t="n">
        <v>4068136.54</v>
      </c>
      <c r="Z62" s="37" t="n">
        <v>4068136.54</v>
      </c>
      <c r="AA62" s="18" t="n">
        <v>4432334.56</v>
      </c>
      <c r="AB62" s="19" t="n">
        <v>4682201.11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2126684.13</v>
      </c>
      <c r="F63" s="37" t="n">
        <v>2126684.13</v>
      </c>
      <c r="G63" s="18" t="n">
        <v>2022845.2</v>
      </c>
      <c r="H63" s="18" t="n">
        <v>2751734.18</v>
      </c>
      <c r="I63" s="18" t="n">
        <v>3605868.78</v>
      </c>
      <c r="J63" s="18" t="n">
        <v>3658829.22</v>
      </c>
      <c r="K63" s="37" t="n">
        <v>3658829.22</v>
      </c>
      <c r="L63" s="18" t="n">
        <v>3441273.32</v>
      </c>
      <c r="M63" s="18" t="n">
        <v>3959458.77</v>
      </c>
      <c r="N63" s="18" t="n">
        <v>4206833.43</v>
      </c>
      <c r="O63" s="18" t="n">
        <v>4439375.92</v>
      </c>
      <c r="P63" s="37" t="n">
        <v>4439375.92</v>
      </c>
      <c r="Q63" s="18" t="n">
        <v>3912757.9</v>
      </c>
      <c r="R63" s="18" t="n">
        <v>3741791.38</v>
      </c>
      <c r="S63" s="18" t="n">
        <v>3932747.73</v>
      </c>
      <c r="T63" s="18" t="n">
        <v>3077891.94</v>
      </c>
      <c r="U63" s="37" t="n">
        <v>3077891.94</v>
      </c>
      <c r="V63" s="18" t="n">
        <v>2987072.74</v>
      </c>
      <c r="W63" s="18" t="n">
        <v>2636246.14</v>
      </c>
      <c r="X63" s="18" t="n">
        <v>2345905.64</v>
      </c>
      <c r="Y63" s="18" t="n">
        <v>1919683.76</v>
      </c>
      <c r="Z63" s="37" t="n">
        <v>1919683.76</v>
      </c>
      <c r="AA63" s="18" t="n">
        <v>1110049.47</v>
      </c>
      <c r="AB63" s="19" t="n">
        <v>1006203.6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605419.52</v>
      </c>
      <c r="F64" s="37" t="n">
        <v>605419.52</v>
      </c>
      <c r="G64" s="18" t="n">
        <v>550320.9399999999</v>
      </c>
      <c r="H64" s="18" t="n">
        <v>169615.1</v>
      </c>
      <c r="I64" s="18" t="n">
        <v>-476850.85</v>
      </c>
      <c r="J64" s="18" t="n">
        <v>1150323.56</v>
      </c>
      <c r="K64" s="37" t="n">
        <v>1150323.56</v>
      </c>
      <c r="L64" s="18" t="n">
        <v>855007.42</v>
      </c>
      <c r="M64" s="18" t="n">
        <v>1166956.65</v>
      </c>
      <c r="N64" s="18" t="n">
        <v>1044933.02</v>
      </c>
      <c r="O64" s="18" t="n">
        <v>2408393.48</v>
      </c>
      <c r="P64" s="37" t="n">
        <v>2408393.48</v>
      </c>
      <c r="Q64" s="18" t="n">
        <v>1067273.73</v>
      </c>
      <c r="R64" s="18" t="n">
        <v>1011954.2</v>
      </c>
      <c r="S64" s="18" t="n">
        <v>1875956.45</v>
      </c>
      <c r="T64" s="18" t="n">
        <v>107411.89</v>
      </c>
      <c r="U64" s="37" t="n">
        <v>107411.89</v>
      </c>
      <c r="V64" s="18" t="n">
        <v>683280.5600000001</v>
      </c>
      <c r="W64" s="18" t="n">
        <v>970250.91</v>
      </c>
      <c r="X64" s="18" t="n">
        <v>-130465.89</v>
      </c>
      <c r="Y64" s="18" t="n">
        <v>-98414.38</v>
      </c>
      <c r="Z64" s="37" t="n">
        <v>-98414.38</v>
      </c>
      <c r="AA64" s="18" t="n">
        <v>-1930189.71</v>
      </c>
      <c r="AB64" s="19" t="n">
        <v>-2099373.79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1566672.49</v>
      </c>
      <c r="F65" s="37" t="n">
        <v>1566672.49</v>
      </c>
      <c r="G65" s="18" t="n">
        <v>1518735.18</v>
      </c>
      <c r="H65" s="18" t="n">
        <v>2628181.78</v>
      </c>
      <c r="I65" s="18" t="n">
        <v>4128421.65</v>
      </c>
      <c r="J65" s="18" t="n">
        <v>2594022.34</v>
      </c>
      <c r="K65" s="37" t="n">
        <v>2594022.34</v>
      </c>
      <c r="L65" s="18" t="n">
        <v>2671805.94</v>
      </c>
      <c r="M65" s="18" t="n">
        <v>2878279.1</v>
      </c>
      <c r="N65" s="18" t="n">
        <v>3247611.83</v>
      </c>
      <c r="O65" s="18" t="n">
        <v>2117902.78</v>
      </c>
      <c r="P65" s="37" t="n">
        <v>2117902.78</v>
      </c>
      <c r="Q65" s="18" t="n">
        <v>2932683.36</v>
      </c>
      <c r="R65" s="18" t="n">
        <v>2837881.92</v>
      </c>
      <c r="S65" s="18" t="n">
        <v>2164730.54</v>
      </c>
      <c r="T65" s="18" t="n">
        <v>3094541.87</v>
      </c>
      <c r="U65" s="37" t="n">
        <v>3094541.87</v>
      </c>
      <c r="V65" s="18" t="n">
        <v>2445422.25</v>
      </c>
      <c r="W65" s="18" t="n">
        <v>1839930.69</v>
      </c>
      <c r="X65" s="18" t="n">
        <v>2709048.35</v>
      </c>
      <c r="Y65" s="18" t="n">
        <v>2241560.73</v>
      </c>
      <c r="Z65" s="37" t="n">
        <v>2241560.73</v>
      </c>
      <c r="AA65" s="18" t="n">
        <v>3264242.14</v>
      </c>
      <c r="AB65" s="19" t="n">
        <v>3345350.7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사용권자산</t>
        </is>
      </c>
      <c r="F66" s="9" t="n"/>
      <c r="G66" s="18" t="n">
        <v>6872.69</v>
      </c>
      <c r="H66" s="18" t="n">
        <v>5705.09</v>
      </c>
      <c r="I66" s="18" t="n">
        <v>7436.78</v>
      </c>
      <c r="J66" s="18" t="n">
        <v>47000.66</v>
      </c>
      <c r="K66" s="37" t="n">
        <v>47000.66</v>
      </c>
      <c r="L66" s="18" t="n">
        <v>74199.03</v>
      </c>
      <c r="M66" s="18" t="n">
        <v>66576.89999999999</v>
      </c>
      <c r="N66" s="18" t="n">
        <v>57470.06</v>
      </c>
      <c r="O66" s="18" t="n">
        <v>127772.18</v>
      </c>
      <c r="P66" s="37" t="n">
        <v>127772.18</v>
      </c>
      <c r="Q66" s="18" t="n">
        <v>195986.43</v>
      </c>
      <c r="R66" s="18" t="n">
        <v>210758.81</v>
      </c>
      <c r="S66" s="18" t="n">
        <v>188268.89</v>
      </c>
      <c r="T66" s="18" t="n">
        <v>211609.24</v>
      </c>
      <c r="U66" s="37" t="n">
        <v>211609.24</v>
      </c>
      <c r="V66" s="18" t="n">
        <v>195180.18</v>
      </c>
      <c r="W66" s="18" t="n">
        <v>176638.97</v>
      </c>
      <c r="X66" s="18" t="n">
        <v>165683.35</v>
      </c>
      <c r="Y66" s="18" t="n">
        <v>145255.68</v>
      </c>
      <c r="Z66" s="37" t="n">
        <v>145255.68</v>
      </c>
      <c r="AA66" s="18" t="n">
        <v>149095.69</v>
      </c>
      <c r="AB66" s="19" t="n">
        <v>124052.11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1817.343</v>
      </c>
      <c r="Y5" s="26" t="n">
        <v>1778.338</v>
      </c>
      <c r="Z5" s="26" t="n">
        <v>1724.746</v>
      </c>
      <c r="AA5" s="26" t="n">
        <v>1656.128</v>
      </c>
      <c r="AB5" s="26" t="n">
        <v>1656.128</v>
      </c>
      <c r="AC5" s="26" t="n">
        <v>1406.872</v>
      </c>
      <c r="AD5" s="26" t="n">
        <v>1305.485</v>
      </c>
      <c r="AE5" s="26" t="n">
        <v>1260.729</v>
      </c>
      <c r="AF5" s="26" t="n">
        <v>1081.661</v>
      </c>
      <c r="AG5" s="26" t="n">
        <v>756.985</v>
      </c>
      <c r="AH5" s="26" t="n">
        <v>589.672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6362.608</v>
      </c>
      <c r="AS5" s="26" t="n">
        <v>6815.34</v>
      </c>
      <c r="AT5" s="26" t="n">
        <v>5054.747</v>
      </c>
      <c r="AU5" s="26" t="n">
        <v>2035.86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1728.208</v>
      </c>
      <c r="Y6" s="26" t="n">
        <v>1691.14</v>
      </c>
      <c r="Z6" s="26" t="n">
        <v>1677.578</v>
      </c>
      <c r="AA6" s="26" t="n">
        <v>1628.827</v>
      </c>
      <c r="AB6" s="26" t="n">
        <v>1628.827</v>
      </c>
      <c r="AC6" s="26" t="n">
        <v>1406.872</v>
      </c>
      <c r="AD6" s="26" t="n">
        <v>1305.485</v>
      </c>
      <c r="AE6" s="26" t="n">
        <v>1260.729</v>
      </c>
      <c r="AF6" s="26" t="n">
        <v>1081.661</v>
      </c>
      <c r="AG6" s="26" t="n">
        <v>756.985</v>
      </c>
      <c r="AH6" s="26" t="n">
        <v>589.672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6008.974</v>
      </c>
      <c r="AS6" s="26" t="n">
        <v>6626.372</v>
      </c>
      <c r="AT6" s="26" t="n">
        <v>5054.747</v>
      </c>
      <c r="AU6" s="26" t="n">
        <v>2035.86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833.0119999999999</v>
      </c>
      <c r="Y10" s="26" t="n">
        <v>815.4059999999999</v>
      </c>
      <c r="Z10" s="26" t="n">
        <v>792.1130000000001</v>
      </c>
      <c r="AA10" s="26" t="n">
        <v>733.6319999999999</v>
      </c>
      <c r="AB10" s="26" t="n">
        <v>733.6319999999999</v>
      </c>
      <c r="AC10" s="26" t="n">
        <v>691.737</v>
      </c>
      <c r="AD10" s="26" t="n">
        <v>665.171</v>
      </c>
      <c r="AE10" s="26" t="n">
        <v>625.715</v>
      </c>
      <c r="AF10" s="26" t="n">
        <v>448.116</v>
      </c>
      <c r="AG10" s="26" t="n">
        <v>315.795</v>
      </c>
      <c r="AH10" s="26" t="n">
        <v>199.913</v>
      </c>
      <c r="AI10" s="26" t="n">
        <v>80.166</v>
      </c>
      <c r="AP10" s="26" t="n">
        <v>193.223</v>
      </c>
      <c r="AQ10" s="26" t="n">
        <v>845.6369999999999</v>
      </c>
      <c r="AR10" s="26" t="n">
        <v>2583.918</v>
      </c>
      <c r="AS10" s="26" t="n">
        <v>3074.783</v>
      </c>
      <c r="AT10" s="26" t="n">
        <v>2430.739</v>
      </c>
      <c r="AU10" s="26" t="n">
        <v>595.874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1728.208</v>
      </c>
      <c r="Y13" s="26" t="n">
        <v>1691.14</v>
      </c>
      <c r="Z13" s="26" t="n">
        <v>1677.578</v>
      </c>
      <c r="AA13" s="26" t="n">
        <v>1628.827</v>
      </c>
      <c r="AB13" s="26" t="n">
        <v>1628.827</v>
      </c>
      <c r="AC13" s="26" t="n">
        <v>1406.872</v>
      </c>
      <c r="AD13" s="26" t="n">
        <v>1305.485</v>
      </c>
      <c r="AE13" s="26" t="n">
        <v>1260.729</v>
      </c>
      <c r="AF13" s="26" t="n">
        <v>1081.661</v>
      </c>
      <c r="AG13" s="26" t="n">
        <v>756.985</v>
      </c>
      <c r="AH13" s="26" t="n">
        <v>589.672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5485.035</v>
      </c>
      <c r="AS13" s="26" t="n">
        <v>6626.372</v>
      </c>
      <c r="AT13" s="26" t="n">
        <v>5054.747</v>
      </c>
      <c r="AU13" s="26" t="n">
        <v>2035.86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1439.05</v>
      </c>
      <c r="Y16" s="13" t="n">
        <v>1439.03</v>
      </c>
      <c r="Z16" s="13" t="n">
        <v>1441.82</v>
      </c>
      <c r="AA16" s="13" t="n">
        <v>1443.82</v>
      </c>
      <c r="AB16" s="13" t="n">
        <v>1443.82</v>
      </c>
      <c r="AC16" s="13" t="n">
        <v>1452.54</v>
      </c>
      <c r="AD16" s="13" t="n">
        <v>1452.8</v>
      </c>
      <c r="AE16" s="13" t="n">
        <v>1453.83</v>
      </c>
      <c r="AF16" s="13" t="n">
        <v>1457.59</v>
      </c>
      <c r="AG16" s="13" t="n">
        <v>1463.24</v>
      </c>
      <c r="AH16" s="13" t="n">
        <v>1465.76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1345.74</v>
      </c>
      <c r="Y17" s="13" t="n">
        <v>1343.46</v>
      </c>
      <c r="Z17" s="13" t="n">
        <v>1343.46</v>
      </c>
      <c r="AA17" s="13" t="n">
        <v>1343.46</v>
      </c>
      <c r="AB17" s="13" t="n">
        <v>1343.46</v>
      </c>
      <c r="AC17" s="13" t="n">
        <v>1343.46</v>
      </c>
      <c r="AD17" s="13" t="n">
        <v>1343.46</v>
      </c>
      <c r="AE17" s="13" t="n">
        <v>1343.46</v>
      </c>
      <c r="AF17" s="13" t="n">
        <v>1343.46</v>
      </c>
      <c r="AG17" s="13" t="n">
        <v>1343.46</v>
      </c>
      <c r="AH17" s="13" t="n">
        <v>1343.46</v>
      </c>
      <c r="AI17" s="13" t="n">
        <v>1343.46</v>
      </c>
      <c r="AJ17" s="13" t="n">
        <v>1343.46</v>
      </c>
      <c r="AK17" s="13" t="n">
        <v>1343.46</v>
      </c>
      <c r="AL17" s="13" t="n">
        <v>1343.46</v>
      </c>
      <c r="AM17" s="13" t="n">
        <v>1343.46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1411.06</v>
      </c>
      <c r="Y18" s="13" t="n">
        <v>1410.36</v>
      </c>
      <c r="Z18" s="13" t="n">
        <v>1412.31</v>
      </c>
      <c r="AA18" s="13" t="n">
        <v>1413.71</v>
      </c>
      <c r="AB18" s="13" t="n">
        <v>1413.71</v>
      </c>
      <c r="AC18" s="13" t="n">
        <v>1419.82</v>
      </c>
      <c r="AD18" s="13" t="n">
        <v>1420</v>
      </c>
      <c r="AE18" s="13" t="n">
        <v>1420.72</v>
      </c>
      <c r="AF18" s="13" t="n">
        <v>1423.35</v>
      </c>
      <c r="AG18" s="13" t="n">
        <v>1427.31</v>
      </c>
      <c r="AH18" s="13" t="n">
        <v>1429.07</v>
      </c>
      <c r="AI18" s="13" t="n">
        <v>1432.88</v>
      </c>
      <c r="AJ18" s="13" t="n">
        <v>1442.81</v>
      </c>
      <c r="AK18" s="13" t="n">
        <v>1451</v>
      </c>
      <c r="AL18" s="13" t="n">
        <v>1454.26</v>
      </c>
      <c r="AM18" s="13" t="n">
        <v>1454.26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2564379.1</v>
      </c>
      <c r="Y19" s="18" t="n">
        <v>2508091.2</v>
      </c>
      <c r="Z19" s="18" t="n">
        <v>2435876.9</v>
      </c>
      <c r="AA19" s="18" t="n">
        <v>2341290.1</v>
      </c>
      <c r="AB19" s="18" t="n">
        <v>2341290.1</v>
      </c>
      <c r="AC19" s="18" t="n">
        <v>1997502.5</v>
      </c>
      <c r="AD19" s="18" t="n">
        <v>1853789</v>
      </c>
      <c r="AE19" s="18" t="n">
        <v>1791143.7</v>
      </c>
      <c r="AF19" s="18" t="n">
        <v>1539580.2</v>
      </c>
      <c r="AG19" s="18" t="n">
        <v>1080450.5</v>
      </c>
      <c r="AH19" s="18" t="n">
        <v>842683.2</v>
      </c>
      <c r="AI19" s="18" t="n">
        <v>618765</v>
      </c>
      <c r="AJ19" s="18" t="n">
        <v>371334.2</v>
      </c>
      <c r="AK19" s="18" t="n">
        <v>264214.2</v>
      </c>
      <c r="AL19" s="18" t="n">
        <v>252701.4</v>
      </c>
      <c r="AM19" s="18" t="n">
        <v>52761.8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9101687.300000001</v>
      </c>
      <c r="AS19" s="18" t="n">
        <v>9626548.300000001</v>
      </c>
      <c r="AT19" s="18" t="n">
        <v>7182015.4</v>
      </c>
      <c r="AU19" s="18" t="n">
        <v>2913232.9</v>
      </c>
      <c r="AV19" s="18" t="n">
        <v>569677.4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2443095.6</v>
      </c>
      <c r="Y20" s="18" t="n">
        <v>2389503.9</v>
      </c>
      <c r="Z20" s="18" t="n">
        <v>2372300.5</v>
      </c>
      <c r="AA20" s="18" t="n">
        <v>2305022</v>
      </c>
      <c r="AB20" s="18" t="n">
        <v>2305022</v>
      </c>
      <c r="AC20" s="18" t="n">
        <v>1997502.5</v>
      </c>
      <c r="AD20" s="18" t="n">
        <v>1853789</v>
      </c>
      <c r="AE20" s="18" t="n">
        <v>1791143.7</v>
      </c>
      <c r="AF20" s="18" t="n">
        <v>1539580.2</v>
      </c>
      <c r="AG20" s="18" t="n">
        <v>1080450.5</v>
      </c>
      <c r="AH20" s="18" t="n">
        <v>842683.2</v>
      </c>
      <c r="AI20" s="18" t="n">
        <v>618765</v>
      </c>
      <c r="AJ20" s="18" t="n">
        <v>371334.2</v>
      </c>
      <c r="AK20" s="18" t="n">
        <v>264214.2</v>
      </c>
      <c r="AL20" s="18" t="n">
        <v>252701.4</v>
      </c>
      <c r="AM20" s="18" t="n">
        <v>52761.8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8611280.1</v>
      </c>
      <c r="AS20" s="18" t="n">
        <v>9371848.4</v>
      </c>
      <c r="AT20" s="18" t="n">
        <v>7182015.4</v>
      </c>
      <c r="AU20" s="18" t="n">
        <v>2913232.9</v>
      </c>
      <c r="AV20" s="18" t="n">
        <v>569677.4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2127430.1</v>
      </c>
      <c r="Y21" s="18" t="n">
        <v>2080177.6</v>
      </c>
      <c r="Z21" s="18" t="n">
        <v>2059537.2</v>
      </c>
      <c r="AA21" s="18" t="n">
        <v>1988821.8</v>
      </c>
      <c r="AB21" s="18" t="n">
        <v>1988821.8</v>
      </c>
      <c r="AC21" s="18" t="n">
        <v>1684739.3</v>
      </c>
      <c r="AD21" s="18" t="n">
        <v>1541025.8</v>
      </c>
      <c r="AE21" s="18" t="n">
        <v>1474943.5</v>
      </c>
      <c r="AF21" s="18" t="n">
        <v>1225431.2</v>
      </c>
      <c r="AG21" s="18" t="n">
        <v>817276.7</v>
      </c>
      <c r="AH21" s="18" t="n">
        <v>609653.6</v>
      </c>
      <c r="AI21" s="18" t="n">
        <v>470061.3</v>
      </c>
      <c r="AJ21" s="18" t="n">
        <v>349051.9</v>
      </c>
      <c r="AK21" s="18" t="n">
        <v>249924.4</v>
      </c>
      <c r="AL21" s="18" t="n">
        <v>252701.4</v>
      </c>
      <c r="AM21" s="18" t="n">
        <v>52761.8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315665.4</v>
      </c>
      <c r="Y22" s="18" t="n">
        <v>309326.3</v>
      </c>
      <c r="Z22" s="18" t="n">
        <v>312763.2</v>
      </c>
      <c r="AA22" s="18" t="n">
        <v>316200.2</v>
      </c>
      <c r="AB22" s="18" t="n">
        <v>316200.2</v>
      </c>
      <c r="AC22" s="18" t="n">
        <v>312763.2</v>
      </c>
      <c r="AD22" s="18" t="n">
        <v>312763.2</v>
      </c>
      <c r="AE22" s="18" t="n">
        <v>316200.2</v>
      </c>
      <c r="AF22" s="18" t="n">
        <v>314149</v>
      </c>
      <c r="AG22" s="18" t="n">
        <v>263173.7</v>
      </c>
      <c r="AH22" s="18" t="n">
        <v>233029.6</v>
      </c>
      <c r="AI22" s="18" t="n">
        <v>148703.7</v>
      </c>
      <c r="AJ22" s="18" t="n">
        <v>22282.3</v>
      </c>
      <c r="AK22" s="18" t="n">
        <v>14289.7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원/달러(평균)",환율,MATCH(X$1,변수H,0),0),1345.74)</f>
        <v/>
      </c>
      <c r="Y28" s="13">
        <f>IFERROR(VLOOKUP(" 원/달러(평균)",환율,MATCH(Y$1,변수H,0),0),1343.46)</f>
        <v/>
      </c>
      <c r="Z28" s="13">
        <f>IFERROR(VLOOKUP(" 원/달러(평균)",환율,MATCH(Z$1,변수H,0),0),1343.46)</f>
        <v/>
      </c>
      <c r="AA28" s="13">
        <f>IFERROR(VLOOKUP(" 원/달러(평균)",환율,MATCH(AA$1,변수H,0),0),1343.46)</f>
        <v/>
      </c>
      <c r="AB28" s="13">
        <f>IFERROR(VLOOKUP(" 원/달러(평균)",환율,MATCH(AB$1,변수H,0),0),1343.46)</f>
        <v/>
      </c>
      <c r="AC28" s="13">
        <f>IFERROR(VLOOKUP(" 원/달러(평균)",환율,MATCH(AC$1,변수H,0),0),1343.46)</f>
        <v/>
      </c>
      <c r="AD28" s="13">
        <f>IFERROR(VLOOKUP(" 원/달러(평균)",환율,MATCH(AD$1,변수H,0),0),1343.46)</f>
        <v/>
      </c>
      <c r="AE28" s="13">
        <f>IFERROR(VLOOKUP(" 원/달러(평균)",환율,MATCH(AE$1,변수H,0),0),1343.46)</f>
        <v/>
      </c>
      <c r="AF28" s="13">
        <f>IFERROR(VLOOKUP(" 원/달러(평균)",환율,MATCH(AF$1,변수H,0),0),1343.46)</f>
        <v/>
      </c>
      <c r="AG28" s="13">
        <f>IFERROR(VLOOKUP(" 원/달러(평균)",환율,MATCH(AG$1,변수H,0),0),1343.46)</f>
        <v/>
      </c>
      <c r="AH28" s="13">
        <f>IFERROR(VLOOKUP(" 원/달러(평균)",환율,MATCH(AH$1,변수H,0),0),1343.46)</f>
        <v/>
      </c>
      <c r="AI28" s="13">
        <f>IFERROR(VLOOKUP(" 원/달러(평균)",환율,MATCH(AI$1,변수H,0),0),1343.46)</f>
        <v/>
      </c>
      <c r="AJ28" s="13">
        <f>IFERROR(VLOOKUP(" 원/달러(평균)",환율,MATCH(AJ$1,변수H,0),0),1343.46)</f>
        <v/>
      </c>
      <c r="AK28" s="13">
        <f>IFERROR(VLOOKUP(" 원/달러(평균)",환율,MATCH(AK$1,변수H,0),0),1343.46)</f>
        <v/>
      </c>
      <c r="AL28" s="13">
        <f>IFERROR(VLOOKUP(" 원/달러(평균)",환율,MATCH(AL$1,변수H,0),0),1343.46)</f>
        <v/>
      </c>
      <c r="AM28" s="13">
        <f>IFERROR(VLOOKUP(" 원/달러(평균)",환율,MATCH(AM$1,변수H,0),0),1343.46)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46.716</v>
      </c>
      <c r="Y84" s="26" t="n">
        <v>46.203</v>
      </c>
      <c r="Z84" s="26" t="n">
        <v>46.716</v>
      </c>
      <c r="AA84" s="26" t="n">
        <v>47.229</v>
      </c>
      <c r="AB84" s="26" t="n">
        <v>47.229</v>
      </c>
      <c r="AC84" s="26" t="n">
        <v>46.716</v>
      </c>
      <c r="AD84" s="26" t="n">
        <v>46.716</v>
      </c>
      <c r="AE84" s="26" t="n">
        <v>47.229</v>
      </c>
      <c r="AF84" s="26" t="n">
        <v>47.229</v>
      </c>
      <c r="AG84" s="26" t="n">
        <v>46.203</v>
      </c>
      <c r="AH84" s="26" t="n">
        <v>31.316</v>
      </c>
      <c r="AX84" s="35" t="n">
        <v>0</v>
      </c>
      <c r="AY84" s="16" t="n">
        <v>1345.74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499.502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499.502</v>
      </c>
      <c r="F197" t="n">
        <v>1345.74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202.96</v>
      </c>
      <c r="I18" s="34" t="n">
        <v>896.53</v>
      </c>
      <c r="J18" s="34" t="n">
        <v>2105.95</v>
      </c>
      <c r="K18" s="34" t="n">
        <v>3703.88</v>
      </c>
      <c r="L18" s="20">
        <f>SUM(H18:K18)</f>
        <v/>
      </c>
      <c r="M18" s="34" t="n">
        <v>5563.38</v>
      </c>
      <c r="N18" s="34" t="n">
        <v>7572.18</v>
      </c>
      <c r="O18" s="34" t="n">
        <v>9626.299999999999</v>
      </c>
      <c r="P18" s="34" t="n">
        <v>11615.32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381.61</v>
      </c>
      <c r="G24" s="20">
        <f>SUM(E24:F24)</f>
        <v/>
      </c>
      <c r="H24" s="34" t="n">
        <v>1961.25</v>
      </c>
      <c r="I24" s="34" t="n">
        <v>5087.17</v>
      </c>
      <c r="J24" s="34" t="n">
        <v>9398.879999999999</v>
      </c>
      <c r="K24" s="34" t="n">
        <v>14349.92</v>
      </c>
      <c r="L24" s="20">
        <f>SUM(H24:K24)</f>
        <v/>
      </c>
      <c r="M24" s="34" t="n">
        <v>19559.68</v>
      </c>
      <c r="N24" s="34" t="n">
        <v>24868.49</v>
      </c>
      <c r="O24" s="34" t="n">
        <v>30101.56</v>
      </c>
      <c r="P24" s="34" t="n">
        <v>34988.72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1280.4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14.76</v>
      </c>
    </row>
    <row r="32">
      <c r="C32" s="2" t="inlineStr">
        <is>
          <t>pbr_now</t>
        </is>
      </c>
      <c r="D32" t="n">
        <v>3.38</v>
      </c>
    </row>
    <row r="33">
      <c r="C33" s="2" t="inlineStr">
        <is>
          <t>roe_fwd</t>
        </is>
      </c>
      <c r="D33" t="n">
        <v>0.2292</v>
      </c>
    </row>
    <row r="34">
      <c r="C34" s="2" t="inlineStr">
        <is>
          <t>fair_pbr</t>
        </is>
      </c>
      <c r="D34" t="n">
        <v>2.55</v>
      </c>
    </row>
    <row r="35">
      <c r="C35" s="2" t="inlineStr">
        <is>
          <t>fair_value_pbr</t>
        </is>
      </c>
      <c r="D35" t="n">
        <v>14200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