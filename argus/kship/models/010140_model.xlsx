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BS별도!$C$5:$AO$106</definedName>
    <definedName name="SUBQH">subQ!$A$1:$AO$1</definedName>
    <definedName name="subQ">subQ!$A$5:$AO$42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4.46%(최근 4분기 중위)</t>
      </text>
    </comment>
    <comment ref="AD22" authorId="0" shapeId="0">
      <text>
        <t>모델값 역산(implied): v / 매출액
매출액 × 판관비율 4.46%(최근 4분기 중위)</t>
      </text>
    </comment>
    <comment ref="AF22" authorId="0" shapeId="0">
      <text>
        <t>모델값 역산(implied): v / 매출액
매출액 × 판관비율 4.46%(최근 4분기 중위)</t>
      </text>
    </comment>
    <comment ref="AG22" authorId="0" shapeId="0">
      <text>
        <t>모델값 역산(implied): v / 매출액
매출액 × 판관비율 4.46%(최근 4분기 중위)</t>
      </text>
    </comment>
    <comment ref="AH22" authorId="0" shapeId="0">
      <text>
        <t>모델값 역산(implied): v / 매출액
매출액 × 판관비율 4.46%(최근 4분기 중위)</t>
      </text>
    </comment>
    <comment ref="AI22" authorId="0" shapeId="0">
      <text>
        <t>모델값 역산(implied): v / 매출액
매출액 × 판관비율 4.46%(최근 4분기 중위)</t>
      </text>
    </comment>
    <comment ref="AK22" authorId="0" shapeId="0">
      <text>
        <t>모델값 역산(implied): v / 매출액
매출액 × 판관비율 4.46%(최근 4분기 중위)</t>
      </text>
    </comment>
    <comment ref="AL22" authorId="0" shapeId="0">
      <text>
        <t>모델값 역산(implied): v / 매출액
매출액 × 판관비율 4.46%(최근 4분기 중위)</t>
      </text>
    </comment>
    <comment ref="AM22" authorId="0" shapeId="0">
      <text>
        <t>모델값 역산(implied): v / 매출액
매출액 × 판관비율 4.46%(최근 4분기 중위)</t>
      </text>
    </comment>
    <comment ref="AN22" authorId="0" shapeId="0">
      <text>
        <t>모델값 역산(implied): v / 매출액
매출액 × 판관비율 4.46%(최근 4분기 중위)</t>
      </text>
    </comment>
    <comment ref="AC23" authorId="0" shapeId="0">
      <text>
        <t>모델값 역산(implied): v / 매출액
매출액 × OPM(SLS 코호트 타겟 6.4% + 회사 캘리브레이션 +3.6%p(최근 4분기 실측−타겟 중위))</t>
      </text>
    </comment>
    <comment ref="AD23" authorId="0" shapeId="0">
      <text>
        <t>모델값 역산(implied): v / 매출액
매출액 × OPM(SLS 코호트 타겟 6.4% + 회사 캘리브레이션 +3.6%p(최근 4분기 실측−타겟 중위))</t>
      </text>
    </comment>
    <comment ref="AF23" authorId="0" shapeId="0">
      <text>
        <t>모델값 역산(implied): v / 매출액
매출액 × OPM(SLS 코호트 타겟 6.4% + 회사 캘리브레이션 +3.6%p(최근 4분기 실측−타겟 중위))</t>
      </text>
    </comment>
    <comment ref="AG23" authorId="0" shapeId="0">
      <text>
        <t>모델값 역산(implied): v / 매출액
매출액 × OPM(SLS 코호트 타겟 6.4% + 회사 캘리브레이션 +3.6%p(최근 4분기 실측−타겟 중위))</t>
      </text>
    </comment>
    <comment ref="AH23" authorId="0" shapeId="0">
      <text>
        <t>모델값 역산(implied): v / 매출액
매출액 × OPM(SLS 코호트 타겟 6.5% + 회사 캘리브레이션 +3.6%p(최근 4분기 실측−타겟 중위))</t>
      </text>
    </comment>
    <comment ref="AI23" authorId="0" shapeId="0">
      <text>
        <t>모델값 역산(implied): v / 매출액
매출액 × OPM(SLS 코호트 타겟 6.5% + 회사 캘리브레이션 +3.6%p(최근 4분기 실측−타겟 중위))</t>
      </text>
    </comment>
    <comment ref="AK23" authorId="0" shapeId="0">
      <text>
        <t>모델값 역산(implied): v / 매출액
매출액 × OPM(SLS 코호트 타겟 6.4% + 회사 캘리브레이션 +3.6%p(최근 4분기 실측−타겟 중위))</t>
      </text>
    </comment>
    <comment ref="AL23" authorId="0" shapeId="0">
      <text>
        <t>모델값 역산(implied): v / 매출액
매출액 × OPM(SLS 코호트 타겟 6.4% + 회사 캘리브레이션 +3.6%p(최근 4분기 실측−타겟 중위))</t>
      </text>
    </comment>
    <comment ref="AM23" authorId="0" shapeId="0">
      <text>
        <t>모델값 역산(implied): v / 매출액
매출액 × OPM(SLS 코호트 타겟 6.4% + 회사 캘리브레이션 +3.6%p(최근 4분기 실측−타겟 중위))</t>
      </text>
    </comment>
    <comment ref="AN23" authorId="0" shapeId="0">
      <text>
        <t>모델값 역산(implied): v / 매출액
매출액 × OPM(SLS 코호트 타겟 6.7% + 회사 캘리브레이션 +3.6%p(최근 4분기 실측−타겟 중위))</t>
      </text>
    </comment>
    <comment ref="AC24" authorId="0" shapeId="0">
      <text>
        <t>모델값 역산(implied): v / 전년동기 − 1
SLS 코호트 타겟 6.4% + 회사 캘리브레이션 +3.6%p(최근 4분기 실측−타겟 중위)</t>
      </text>
    </comment>
    <comment ref="AD24" authorId="0" shapeId="0">
      <text>
        <t>모델값 역산(implied): v / 전년동기 − 1
SLS 코호트 타겟 6.4% + 회사 캘리브레이션 +3.6%p(최근 4분기 실측−타겟 중위)</t>
      </text>
    </comment>
    <comment ref="AF24" authorId="0" shapeId="0">
      <text>
        <t>모델값 역산(implied): v / 전년동기 − 1
SLS 코호트 타겟 6.4% + 회사 캘리브레이션 +3.6%p(최근 4분기 실측−타겟 중위)</t>
      </text>
    </comment>
    <comment ref="AG24" authorId="0" shapeId="0">
      <text>
        <t>모델값 역산(implied): v / 전년동기 − 1
SLS 코호트 타겟 6.4% + 회사 캘리브레이션 +3.6%p(최근 4분기 실측−타겟 중위)</t>
      </text>
    </comment>
    <comment ref="AH24" authorId="0" shapeId="0">
      <text>
        <t>모델값 역산(implied): v / 전년동기 − 1
SLS 코호트 타겟 6.5% + 회사 캘리브레이션 +3.6%p(최근 4분기 실측−타겟 중위)</t>
      </text>
    </comment>
    <comment ref="AI24" authorId="0" shapeId="0">
      <text>
        <t>모델값 역산(implied): v / 전년동기 − 1
SLS 코호트 타겟 6.5% + 회사 캘리브레이션 +3.6%p(최근 4분기 실측−타겟 중위)</t>
      </text>
    </comment>
    <comment ref="AK24" authorId="0" shapeId="0">
      <text>
        <t>모델값 역산(implied): v / 전년동기 − 1
SLS 코호트 타겟 6.4% + 회사 캘리브레이션 +3.6%p(최근 4분기 실측−타겟 중위)</t>
      </text>
    </comment>
    <comment ref="AL24" authorId="0" shapeId="0">
      <text>
        <t>모델값 역산(implied): v / 전년동기 − 1
SLS 코호트 타겟 6.4% + 회사 캘리브레이션 +3.6%p(최근 4분기 실측−타겟 중위)</t>
      </text>
    </comment>
    <comment ref="AM24" authorId="0" shapeId="0">
      <text>
        <t>모델값 역산(implied): v / 전년동기 − 1
SLS 코호트 타겟 6.4% + 회사 캘리브레이션 +3.6%p(최근 4분기 실측−타겟 중위)</t>
      </text>
    </comment>
    <comment ref="AN24" authorId="0" shapeId="0">
      <text>
        <t>모델값 역산(implied): v / 전년동기 − 1
SLS 코호트 타겟 6.7% + 회사 캘리브레이션 +3.6%p(최근 4분기 실측−타겟 중위)</t>
      </text>
    </comment>
    <comment ref="AC25" authorId="0" shapeId="0">
      <text>
        <t>모델값 역산(implied): 모델 v 그대로
이자손익 = 이자발생자산 33466억 × 1.26% − 총차입금 11021억 × 6.95% (연율, CF 실측) ÷ 4; 환·평가손익 0 가정</t>
      </text>
    </comment>
    <comment ref="AD25" authorId="0" shapeId="0">
      <text>
        <t>모델값 역산(implied): 모델 v 그대로
이자손익 = 이자발생자산 36598억 × 1.26% − 총차입금 11021억 × 6.95% (연율, CF 실측) ÷ 4; 환·평가손익 0 가정</t>
      </text>
    </comment>
    <comment ref="AF25" authorId="0" shapeId="0">
      <text>
        <t>모델값 역산(implied): 모델 v 그대로
이자손익 = 이자발생자산 39841억 × 1.26% − 총차입금 11021억 × 6.95% (연율, CF 실측) ÷ 4; 환·평가손익 0 가정</t>
      </text>
    </comment>
    <comment ref="AG25" authorId="0" shapeId="0">
      <text>
        <t>모델값 역산(implied): 모델 v 그대로
이자손익 = 이자발생자산 43046억 × 1.26% − 총차입금 11021억 × 6.95% (연율, CF 실측) ÷ 4; 환·평가손익 0 가정</t>
      </text>
    </comment>
    <comment ref="AH25" authorId="0" shapeId="0">
      <text>
        <t>모델값 역산(implied): 모델 v 그대로
이자손익 = 이자발생자산 46252억 × 1.26% − 총차입금 11021억 × 6.95% (연율, CF 실측) ÷ 4; 환·평가손익 0 가정</t>
      </text>
    </comment>
    <comment ref="AI25" authorId="0" shapeId="0">
      <text>
        <t>모델값 역산(implied): 모델 v 그대로
이자손익 = 이자발생자산 49423억 × 1.26% − 총차입금 11021억 × 6.95% (연율, CF 실측) ÷ 4; 환·평가손익 0 가정</t>
      </text>
    </comment>
    <comment ref="AK25" authorId="0" shapeId="0">
      <text>
        <t>모델값 역산(implied): 모델 v 그대로
이자손익 = 이자발생자산 52603억 × 1.26% − 총차입금 11021억 × 6.95% (연율, CF 실측) ÷ 4; 환·평가손익 0 가정</t>
      </text>
    </comment>
    <comment ref="AL25" authorId="0" shapeId="0">
      <text>
        <t>모델값 역산(implied): 모델 v 그대로
이자손익 = 이자발생자산 55476억 × 1.26% − 총차입금 11021억 × 6.95% (연율, CF 실측) ÷ 4; 환·평가손익 0 가정</t>
      </text>
    </comment>
    <comment ref="AM25" authorId="0" shapeId="0">
      <text>
        <t>모델값 역산(implied): 모델 v 그대로
이자손익 = 이자발생자산 58226억 × 1.26% − 총차입금 11021억 × 6.95% (연율, CF 실측) ÷ 4; 환·평가손익 0 가정</t>
      </text>
    </comment>
    <comment ref="AN25" authorId="0" shapeId="0">
      <text>
        <t>모델값 역산(implied): 모델 v 그대로
이자손익 = 이자발생자산 60929억 × 1.26% − 총차입금 11021억 × 6.95%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5.0%(최근 12분기 유효세율 -65.5% → 5~27% 클립)</t>
      </text>
    </comment>
    <comment ref="AD28" authorId="0" shapeId="0">
      <text>
        <t>모델값 역산(implied): v / 세전이익
max(세전, 0) × 세율 5.0%(최근 12분기 유효세율 -65.5% → 5~27% 클립)</t>
      </text>
    </comment>
    <comment ref="AF28" authorId="0" shapeId="0">
      <text>
        <t>모델값 역산(implied): v / 세전이익
max(세전, 0) × 세율 5.0%(최근 12분기 유효세율 -65.5% → 5~27% 클립)</t>
      </text>
    </comment>
    <comment ref="AG28" authorId="0" shapeId="0">
      <text>
        <t>모델값 역산(implied): v / 세전이익
max(세전, 0) × 세율 5.0%(최근 12분기 유효세율 -65.5% → 5~27% 클립)</t>
      </text>
    </comment>
    <comment ref="AH28" authorId="0" shapeId="0">
      <text>
        <t>모델값 역산(implied): v / 세전이익
max(세전, 0) × 세율 5.0%(최근 12분기 유효세율 -65.5% → 5~27% 클립)</t>
      </text>
    </comment>
    <comment ref="AI28" authorId="0" shapeId="0">
      <text>
        <t>모델값 역산(implied): v / 세전이익
max(세전, 0) × 세율 5.0%(최근 12분기 유효세율 -65.5% → 5~27% 클립)</t>
      </text>
    </comment>
    <comment ref="AK28" authorId="0" shapeId="0">
      <text>
        <t>모델값 역산(implied): v / 세전이익
max(세전, 0) × 세율 5.0%(최근 12분기 유효세율 -65.5% → 5~27% 클립)</t>
      </text>
    </comment>
    <comment ref="AL28" authorId="0" shapeId="0">
      <text>
        <t>모델값 역산(implied): v / 세전이익
max(세전, 0) × 세율 5.0%(최근 12분기 유효세율 -65.5% → 5~27% 클립)</t>
      </text>
    </comment>
    <comment ref="AM28" authorId="0" shapeId="0">
      <text>
        <t>모델값 역산(implied): v / 세전이익
max(세전, 0) × 세율 5.0%(최근 12분기 유효세율 -65.5% → 5~27% 클립)</t>
      </text>
    </comment>
    <comment ref="AN28" authorId="0" shapeId="0">
      <text>
        <t>모델값 역산(implied): v / 세전이익
max(세전, 0) × 세율 5.0%(최근 12분기 유효세율 -65.5%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SLS 해양 원화 22654억(sls.by_quarter.marine_hedged_krw_m(헤지 70% 적용)) + 원장 밖 잔고 소진 10000억(최근 4분기 '부문매출−SLS' 중위 10000억/분기, 잔여 120931억)</t>
      </text>
    </comment>
    <comment ref="AD43" authorId="0" shapeId="0">
      <text>
        <t>모델값 역산(implied): v / 매출액
SLS 해양 원화 23840억(sls.by_quarter.marine_hedged_krw_m(헤지 70% 적용)) + 원장 밖 잔고 소진 10000억(최근 4분기 '부문매출−SLS' 중위 10000억/분기, 잔여 110931억)</t>
      </text>
    </comment>
    <comment ref="AF43" authorId="0" shapeId="0">
      <text>
        <t>모델값 역산(implied): v / 매출액
SLS 해양 원화 23322억(sls.by_quarter.marine_hedged_krw_m(헤지 70% 적용)) + 원장 밖 잔고 소진 10000억(최근 4분기 '부문매출−SLS' 중위 10000억/분기, 잔여 100931억)</t>
      </text>
    </comment>
    <comment ref="AG43" authorId="0" shapeId="0">
      <text>
        <t>모델값 역산(implied): v / 매출액
SLS 해양 원화 23143억(sls.by_quarter.marine_hedged_krw_m(헤지 70% 적용)) + 원장 밖 잔고 소진 10000억(최근 4분기 '부문매출−SLS' 중위 10000억/분기, 잔여 90931억)</t>
      </text>
    </comment>
    <comment ref="AH43" authorId="0" shapeId="0">
      <text>
        <t>모델값 역산(implied): v / 매출액
SLS 해양 원화 22461억(sls.by_quarter.marine_hedged_krw_m(헤지 70% 적용)) + 원장 밖 잔고 소진 10000억(최근 4분기 '부문매출−SLS' 중위 10000억/분기, 잔여 80932억)</t>
      </text>
    </comment>
    <comment ref="AI43" authorId="0" shapeId="0">
      <text>
        <t>모델값 역산(implied): v / 매출액
SLS 해양 원화 22461억(sls.by_quarter.marine_hedged_krw_m(헤지 70% 적용)) + 원장 밖 잔고 소진 10000억(최근 4분기 '부문매출−SLS' 중위 10000억/분기, 잔여 70932억)</t>
      </text>
    </comment>
    <comment ref="AK43" authorId="0" shapeId="0">
      <text>
        <t>모델값 역산(implied): v / 매출액
SLS 해양 원화 19387억(sls.by_quarter.marine_hedged_krw_m(헤지 70% 적용)) + 원장 밖 잔고 소진 10000억(최근 4분기 '부문매출−SLS' 중위 10000억/분기, 잔여 60932억)</t>
      </text>
    </comment>
    <comment ref="AL43" authorId="0" shapeId="0">
      <text>
        <t>모델값 역산(implied): v / 매출액
SLS 해양 원화 17946억(sls.by_quarter.marine_hedged_krw_m(헤지 70% 적용)) + 원장 밖 잔고 소진 10000억(최근 4분기 '부문매출−SLS' 중위 10000억/분기, 잔여 50933억)</t>
      </text>
    </comment>
    <comment ref="AM43" authorId="0" shapeId="0">
      <text>
        <t>모델값 역산(implied): v / 매출액
SLS 해양 원화 17312억(sls.by_quarter.marine_hedged_krw_m(헤지 70% 적용)) + 원장 밖 잔고 소진 10000억(최근 4분기 '부문매출−SLS' 중위 10000억/분기, 잔여 40933억)</t>
      </text>
    </comment>
    <comment ref="AN43" authorId="0" shapeId="0">
      <text>
        <t>모델값 역산(implied): v / 매출액
SLS 해양 원화 14791억(sls.by_quarter.marine_hedged_krw_m(헤지 70% 적용)) + 원장 밖 잔고 소진 10000억(최근 4분기 '부문매출−SLS' 중위 10000억/분기, 잔여 30933억)</t>
      </text>
    </comment>
    <comment ref="AC44" authorId="0" shapeId="0">
      <text>
        <t>모델값 역산(implied): v / 매출조선
매출조선 × 타겟 OPM(부문 OP 미공시 → 회사 OPM 적용)</t>
      </text>
    </comment>
    <comment ref="AD44" authorId="0" shapeId="0">
      <text>
        <t>모델값 역산(implied): v / 매출조선
매출조선 × 타겟 OPM(부문 OP 미공시 → 회사 OPM 적용)</t>
      </text>
    </comment>
    <comment ref="AF44" authorId="0" shapeId="0">
      <text>
        <t>모델값 역산(implied): v / 매출조선
매출조선 × 타겟 OPM(부문 OP 미공시 → 회사 OPM 적용)</t>
      </text>
    </comment>
    <comment ref="AG44" authorId="0" shapeId="0">
      <text>
        <t>모델값 역산(implied): v / 매출조선
매출조선 × 타겟 OPM(부문 OP 미공시 → 회사 OPM 적용)</t>
      </text>
    </comment>
    <comment ref="AH44" authorId="0" shapeId="0">
      <text>
        <t>모델값 역산(implied): v / 매출조선
매출조선 × 타겟 OPM(부문 OP 미공시 → 회사 OPM 적용)</t>
      </text>
    </comment>
    <comment ref="AI44" authorId="0" shapeId="0">
      <text>
        <t>모델값 역산(implied): v / 매출조선
매출조선 × 타겟 OPM(부문 OP 미공시 → 회사 OPM 적용)</t>
      </text>
    </comment>
    <comment ref="AK44" authorId="0" shapeId="0">
      <text>
        <t>모델값 역산(implied): v / 매출조선
매출조선 × 타겟 OPM(부문 OP 미공시 → 회사 OPM 적용)</t>
      </text>
    </comment>
    <comment ref="AL44" authorId="0" shapeId="0">
      <text>
        <t>모델값 역산(implied): v / 매출조선
매출조선 × 타겟 OPM(부문 OP 미공시 → 회사 OPM 적용)</t>
      </text>
    </comment>
    <comment ref="AM44" authorId="0" shapeId="0">
      <text>
        <t>모델값 역산(implied): v / 매출조선
매출조선 × 타겟 OPM(부문 OP 미공시 → 회사 OPM 적용)</t>
      </text>
    </comment>
    <comment ref="AN44" authorId="0" shapeId="0">
      <text>
        <t>모델값 역산(implied): v / 매출조선
매출조선 × 타겟 OPM(부문 OP 미공시 → 회사 OPM 적용)</t>
      </text>
    </comment>
    <comment ref="AC45" authorId="0" shapeId="0">
      <text>
        <t>모델값 역산(implied): v / 매출액
기타 부문(연결 − 조선 부문) 최근 4분기 중위 1149억 유지</t>
      </text>
    </comment>
    <comment ref="AD45" authorId="0" shapeId="0">
      <text>
        <t>모델값 역산(implied): v / 매출액
기타 부문(연결 − 조선 부문) 최근 4분기 중위 1149억 유지</t>
      </text>
    </comment>
    <comment ref="AF45" authorId="0" shapeId="0">
      <text>
        <t>모델값 역산(implied): v / 매출액
기타 부문(연결 − 조선 부문) 최근 4분기 중위 1149억 유지</t>
      </text>
    </comment>
    <comment ref="AG45" authorId="0" shapeId="0">
      <text>
        <t>모델값 역산(implied): v / 매출액
기타 부문(연결 − 조선 부문) 최근 4분기 중위 1149억 유지</t>
      </text>
    </comment>
    <comment ref="AH45" authorId="0" shapeId="0">
      <text>
        <t>모델값 역산(implied): v / 매출액
기타 부문(연결 − 조선 부문) 최근 4분기 중위 1149억 유지</t>
      </text>
    </comment>
    <comment ref="AI45" authorId="0" shapeId="0">
      <text>
        <t>모델값 역산(implied): v / 매출액
기타 부문(연결 − 조선 부문) 최근 4분기 중위 1149억 유지</t>
      </text>
    </comment>
    <comment ref="AK45" authorId="0" shapeId="0">
      <text>
        <t>모델값 역산(implied): v / 매출액
기타 부문(연결 − 조선 부문) 최근 4분기 중위 1149억 유지</t>
      </text>
    </comment>
    <comment ref="AL45" authorId="0" shapeId="0">
      <text>
        <t>모델값 역산(implied): v / 매출액
기타 부문(연결 − 조선 부문) 최근 4분기 중위 1149억 유지</t>
      </text>
    </comment>
    <comment ref="AM45" authorId="0" shapeId="0">
      <text>
        <t>모델값 역산(implied): v / 매출액
기타 부문(연결 − 조선 부문) 최근 4분기 중위 1149억 유지</t>
      </text>
    </comment>
    <comment ref="AN45" authorId="0" shapeId="0">
      <text>
        <t>모델값 역산(implied): v / 매출액
기타 부문(연결 − 조선 부문) 최근 4분기 중위 1149억 유지</t>
      </text>
    </comment>
    <comment ref="AC46" authorId="0" shapeId="0">
      <text>
        <t>모델값 역산(implied): v / 매출기타
매출기타 × 회사 OPM(부문 OP 미공시)</t>
      </text>
    </comment>
    <comment ref="AD46" authorId="0" shapeId="0">
      <text>
        <t>모델값 역산(implied): v / 매출기타
매출기타 × 회사 OPM(부문 OP 미공시)</t>
      </text>
    </comment>
    <comment ref="AF46" authorId="0" shapeId="0">
      <text>
        <t>모델값 역산(implied): v / 매출기타
매출기타 × 회사 OPM(부문 OP 미공시)</t>
      </text>
    </comment>
    <comment ref="AG46" authorId="0" shapeId="0">
      <text>
        <t>모델값 역산(implied): v / 매출기타
매출기타 × 회사 OPM(부문 OP 미공시)</t>
      </text>
    </comment>
    <comment ref="AH46" authorId="0" shapeId="0">
      <text>
        <t>모델값 역산(implied): v / 매출기타
매출기타 × 회사 OPM(부문 OP 미공시)</t>
      </text>
    </comment>
    <comment ref="AI46" authorId="0" shapeId="0">
      <text>
        <t>모델값 역산(implied): v / 매출기타
매출기타 × 회사 OPM(부문 OP 미공시)</t>
      </text>
    </comment>
    <comment ref="AK46" authorId="0" shapeId="0">
      <text>
        <t>모델값 역산(implied): v / 매출기타
매출기타 × 회사 OPM(부문 OP 미공시)</t>
      </text>
    </comment>
    <comment ref="AL46" authorId="0" shapeId="0">
      <text>
        <t>모델값 역산(implied): v / 매출기타
매출기타 × 회사 OPM(부문 OP 미공시)</t>
      </text>
    </comment>
    <comment ref="AM46" authorId="0" shapeId="0">
      <text>
        <t>모델값 역산(implied): v / 매출기타
매출기타 × 회사 OPM(부문 OP 미공시)</t>
      </text>
    </comment>
    <comment ref="AN46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6.4% + 회사 캘리브레이션 +3.6%p(최근 4분기 실측−타겟 중위))
[ratio]</t>
      </text>
    </comment>
    <comment ref="AD9" authorId="0" shapeId="0">
      <text>
        <t>추정: 매출액 × OPM(SLS 코호트 타겟 6.4% + 회사 캘리브레이션 +3.6%p(최근 4분기 실측−타겟 중위))
[ratio]</t>
      </text>
    </comment>
    <comment ref="AF9" authorId="0" shapeId="0">
      <text>
        <t>추정: 매출액 × OPM(SLS 코호트 타겟 6.4% + 회사 캘리브레이션 +3.6%p(최근 4분기 실측−타겟 중위))
[ratio]</t>
      </text>
    </comment>
    <comment ref="AG9" authorId="0" shapeId="0">
      <text>
        <t>추정: 매출액 × OPM(SLS 코호트 타겟 6.4% + 회사 캘리브레이션 +3.6%p(최근 4분기 실측−타겟 중위))
[ratio]</t>
      </text>
    </comment>
    <comment ref="AH9" authorId="0" shapeId="0">
      <text>
        <t>추정: 매출액 × OPM(SLS 코호트 타겟 6.5% + 회사 캘리브레이션 +3.6%p(최근 4분기 실측−타겟 중위))
[ratio]</t>
      </text>
    </comment>
    <comment ref="AI9" authorId="0" shapeId="0">
      <text>
        <t>추정: 매출액 × OPM(SLS 코호트 타겟 6.5% + 회사 캘리브레이션 +3.6%p(최근 4분기 실측−타겟 중위))
[ratio]</t>
      </text>
    </comment>
    <comment ref="AK9" authorId="0" shapeId="0">
      <text>
        <t>추정: 매출액 × OPM(SLS 코호트 타겟 6.4% + 회사 캘리브레이션 +3.6%p(최근 4분기 실측−타겟 중위))
[ratio]</t>
      </text>
    </comment>
    <comment ref="AL9" authorId="0" shapeId="0">
      <text>
        <t>추정: 매출액 × OPM(SLS 코호트 타겟 6.4% + 회사 캘리브레이션 +3.6%p(최근 4분기 실측−타겟 중위))
[ratio]</t>
      </text>
    </comment>
    <comment ref="AM9" authorId="0" shapeId="0">
      <text>
        <t>추정: 매출액 × OPM(SLS 코호트 타겟 6.4% + 회사 캘리브레이션 +3.6%p(최근 4분기 실측−타겟 중위))
[ratio]</t>
      </text>
    </comment>
    <comment ref="AN9" authorId="0" shapeId="0">
      <text>
        <t>추정: 매출액 × OPM(SLS 코호트 타겟 6.7% + 회사 캘리브레이션 +3.6%p(최근 4분기 실측−타겟 중위))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6.4% + 회사 캘리브레이션 +3.6%p(최근 4분기 실측−타겟 중위)
[yoy]</t>
      </text>
    </comment>
    <comment ref="AD10" authorId="0" shapeId="0">
      <text>
        <t>추정: SLS 코호트 타겟 6.4% + 회사 캘리브레이션 +3.6%p(최근 4분기 실측−타겟 중위)
[yoy]</t>
      </text>
    </comment>
    <comment ref="AF10" authorId="0" shapeId="0">
      <text>
        <t>추정: SLS 코호트 타겟 6.4% + 회사 캘리브레이션 +3.6%p(최근 4분기 실측−타겟 중위)
[yoy]</t>
      </text>
    </comment>
    <comment ref="AG10" authorId="0" shapeId="0">
      <text>
        <t>추정: SLS 코호트 타겟 6.4% + 회사 캘리브레이션 +3.6%p(최근 4분기 실측−타겟 중위)
[yoy]</t>
      </text>
    </comment>
    <comment ref="AH10" authorId="0" shapeId="0">
      <text>
        <t>추정: SLS 코호트 타겟 6.5% + 회사 캘리브레이션 +3.6%p(최근 4분기 실측−타겟 중위)
[yoy]</t>
      </text>
    </comment>
    <comment ref="AI10" authorId="0" shapeId="0">
      <text>
        <t>추정: SLS 코호트 타겟 6.5% + 회사 캘리브레이션 +3.6%p(최근 4분기 실측−타겟 중위)
[yoy]</t>
      </text>
    </comment>
    <comment ref="AK10" authorId="0" shapeId="0">
      <text>
        <t>추정: SLS 코호트 타겟 6.4% + 회사 캘리브레이션 +3.6%p(최근 4분기 실측−타겟 중위)
[yoy]</t>
      </text>
    </comment>
    <comment ref="AL10" authorId="0" shapeId="0">
      <text>
        <t>추정: SLS 코호트 타겟 6.4% + 회사 캘리브레이션 +3.6%p(최근 4분기 실측−타겟 중위)
[yoy]</t>
      </text>
    </comment>
    <comment ref="AM10" authorId="0" shapeId="0">
      <text>
        <t>추정: SLS 코호트 타겟 6.4% + 회사 캘리브레이션 +3.6%p(최근 4분기 실측−타겟 중위)
[yoy]</t>
      </text>
    </comment>
    <comment ref="AN10" authorId="0" shapeId="0">
      <text>
        <t>추정: SLS 코호트 타겟 6.7% + 회사 캘리브레이션 +3.6%p(최근 4분기 실측−타겟 중위)
[yoy]</t>
      </text>
    </comment>
    <comment ref="AC11" authorId="0" shapeId="0">
      <text>
        <t>추정: 이자손익 = 이자발생자산 33466억 × 1.26% − 총차입금 11021억 × 6.95% (연율, CF 실측) ÷ 4; 환·평가손익 0 가정
[abs]</t>
      </text>
    </comment>
    <comment ref="AD11" authorId="0" shapeId="0">
      <text>
        <t>추정: 이자손익 = 이자발생자산 36598억 × 1.26% − 총차입금 11021억 × 6.95% (연율, CF 실측) ÷ 4; 환·평가손익 0 가정
[abs]</t>
      </text>
    </comment>
    <comment ref="AF11" authorId="0" shapeId="0">
      <text>
        <t>추정: 이자손익 = 이자발생자산 39841억 × 1.26% − 총차입금 11021억 × 6.95% (연율, CF 실측) ÷ 4; 환·평가손익 0 가정
[abs]</t>
      </text>
    </comment>
    <comment ref="AG11" authorId="0" shapeId="0">
      <text>
        <t>추정: 이자손익 = 이자발생자산 43046억 × 1.26% − 총차입금 11021억 × 6.95% (연율, CF 실측) ÷ 4; 환·평가손익 0 가정
[abs]</t>
      </text>
    </comment>
    <comment ref="AH11" authorId="0" shapeId="0">
      <text>
        <t>추정: 이자손익 = 이자발생자산 46252억 × 1.26% − 총차입금 11021억 × 6.95% (연율, CF 실측) ÷ 4; 환·평가손익 0 가정
[abs]</t>
      </text>
    </comment>
    <comment ref="AI11" authorId="0" shapeId="0">
      <text>
        <t>추정: 이자손익 = 이자발생자산 49423억 × 1.26% − 총차입금 11021억 × 6.95% (연율, CF 실측) ÷ 4; 환·평가손익 0 가정
[abs]</t>
      </text>
    </comment>
    <comment ref="AK11" authorId="0" shapeId="0">
      <text>
        <t>추정: 이자손익 = 이자발생자산 52603억 × 1.26% − 총차입금 11021억 × 6.95% (연율, CF 실측) ÷ 4; 환·평가손익 0 가정
[abs]</t>
      </text>
    </comment>
    <comment ref="AL11" authorId="0" shapeId="0">
      <text>
        <t>추정: 이자손익 = 이자발생자산 55476억 × 1.26% − 총차입금 11021억 × 6.95% (연율, CF 실측) ÷ 4; 환·평가손익 0 가정
[abs]</t>
      </text>
    </comment>
    <comment ref="AM11" authorId="0" shapeId="0">
      <text>
        <t>추정: 이자손익 = 이자발생자산 58226억 × 1.26% − 총차입금 11021억 × 6.95% (연율, CF 실측) ÷ 4; 환·평가손익 0 가정
[abs]</t>
      </text>
    </comment>
    <comment ref="AN11" authorId="0" shapeId="0">
      <text>
        <t>추정: 이자손익 = 이자발생자산 60929억 × 1.26% − 총차입금 11021억 × 6.95%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5.0%(최근 12분기 유효세율 -65.5% → 5~27% 클립)
[ratio]</t>
      </text>
    </comment>
    <comment ref="AD15" authorId="0" shapeId="0">
      <text>
        <t>추정: max(세전, 0) × 세율 5.0%(최근 12분기 유효세율 -65.5% → 5~27% 클립)
[ratio]</t>
      </text>
    </comment>
    <comment ref="AF15" authorId="0" shapeId="0">
      <text>
        <t>추정: max(세전, 0) × 세율 5.0%(최근 12분기 유효세율 -65.5% → 5~27% 클립)
[ratio]</t>
      </text>
    </comment>
    <comment ref="AG15" authorId="0" shapeId="0">
      <text>
        <t>추정: max(세전, 0) × 세율 5.0%(최근 12분기 유효세율 -65.5% → 5~27% 클립)
[ratio]</t>
      </text>
    </comment>
    <comment ref="AH15" authorId="0" shapeId="0">
      <text>
        <t>추정: max(세전, 0) × 세율 5.0%(최근 12분기 유효세율 -65.5% → 5~27% 클립)
[ratio]</t>
      </text>
    </comment>
    <comment ref="AI15" authorId="0" shapeId="0">
      <text>
        <t>추정: max(세전, 0) × 세율 5.0%(최근 12분기 유효세율 -65.5% → 5~27% 클립)
[ratio]</t>
      </text>
    </comment>
    <comment ref="AK15" authorId="0" shapeId="0">
      <text>
        <t>추정: max(세전, 0) × 세율 5.0%(최근 12분기 유효세율 -65.5% → 5~27% 클립)
[ratio]</t>
      </text>
    </comment>
    <comment ref="AL15" authorId="0" shapeId="0">
      <text>
        <t>추정: max(세전, 0) × 세율 5.0%(최근 12분기 유효세율 -65.5% → 5~27% 클립)
[ratio]</t>
      </text>
    </comment>
    <comment ref="AM15" authorId="0" shapeId="0">
      <text>
        <t>추정: max(세전, 0) × 세율 5.0%(최근 12분기 유효세율 -65.5% → 5~27% 클립)
[ratio]</t>
      </text>
    </comment>
    <comment ref="AN15" authorId="0" shapeId="0">
      <text>
        <t>추정: max(세전, 0) × 세율 5.0%(최근 12분기 유효세율 -65.5%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G34" authorId="0" shapeId="0">
      <text>
        <t>실측(계정 매핑 없음 — 모델값 직접) — sls.reconcile.reported_segment_rev_m ← yards_cache 부문표(3개월분)</t>
      </text>
    </comment>
    <comment ref="H34" authorId="0" shapeId="0">
      <text>
        <t>실측(계정 매핑 없음 — 모델값 직접) — sls.reconcile.reported_segment_rev_m ← yards_cache 부문표(3개월분)</t>
      </text>
    </comment>
    <comment ref="I34" authorId="0" shapeId="0">
      <text>
        <t>실측(계정 매핑 없음 — 모델값 직접) — sls.reconcile.reported_segment_rev_m ← yards_cache 부문표(3개월분)</t>
      </text>
    </comment>
    <comment ref="J34" authorId="0" shapeId="0">
      <text>
        <t>실측(계정 매핑 없음 — 모델값 직접) — sls.reconcile.reported_segment_rev_m ← yards_cache 부문표(3개월분)</t>
      </text>
    </comment>
    <comment ref="L34" authorId="0" shapeId="0">
      <text>
        <t>실측(계정 매핑 없음 — 모델값 직접) — sls.reconcile.reported_segment_rev_m ← yards_cache 부문표(3개월분)</t>
      </text>
    </comment>
    <comment ref="M34" authorId="0" shapeId="0">
      <text>
        <t>실측(계정 매핑 없음 — 모델값 직접) — sls.reconcile.reported_segment_rev_m ← yards_cache 부문표(3개월분)</t>
      </text>
    </comment>
    <comment ref="N34" authorId="0" shapeId="0">
      <text>
        <t>실측(계정 매핑 없음 — 모델값 직접) — sls.reconcile.reported_segment_rev_m ← yards_cache 부문표(3개월분)</t>
      </text>
    </comment>
    <comment ref="O34" authorId="0" shapeId="0">
      <text>
        <t>실측(계정 매핑 없음 — 모델값 직접) — sls.reconcile.reported_segment_rev_m ← yards_cache 부문표(3개월분)</t>
      </text>
    </comment>
    <comment ref="Q34" authorId="0" shapeId="0">
      <text>
        <t>실측(계정 매핑 없음 — 모델값 직접) — sls.reconcile.reported_segment_rev_m ← yards_cache 부문표(3개월분)</t>
      </text>
    </comment>
    <comment ref="R34" authorId="0" shapeId="0">
      <text>
        <t>실측(계정 매핑 없음 — 모델값 직접) — sls.reconcile.reported_segment_rev_m ← yards_cache 부문표(3개월분)</t>
      </text>
    </comment>
    <comment ref="S34" authorId="0" shapeId="0">
      <text>
        <t>실측(계정 매핑 없음 — 모델값 직접) — sls.reconcile.reported_segment_rev_m ← yards_cache 부문표(3개월분)</t>
      </text>
    </comment>
    <comment ref="T34" authorId="0" shapeId="0">
      <text>
        <t>실측(계정 매핑 없음 — 모델값 직접) — sls.reconcile.reported_segment_rev_m ← yards_cache 부문표(3개월분)</t>
      </text>
    </comment>
    <comment ref="V34" authorId="0" shapeId="0">
      <text>
        <t>실측(계정 매핑 없음 — 모델값 직접) — sls.reconcile.reported_segment_rev_m ← yards_cache 부문표(3개월분)</t>
      </text>
    </comment>
    <comment ref="W34" authorId="0" shapeId="0">
      <text>
        <t>실측(계정 매핑 없음 — 모델값 직접) — sls.reconcile.reported_segment_rev_m ← yards_cache 부문표(3개월분)</t>
      </text>
    </comment>
    <comment ref="X34" authorId="0" shapeId="0">
      <text>
        <t>실측(계정 매핑 없음 — 모델값 직접) — sls.reconcile.reported_segment_rev_m ← yards_cache 부문표(3개월분)</t>
      </text>
    </comment>
    <comment ref="Y34" authorId="0" shapeId="0">
      <text>
        <t>실측(계정 매핑 없음 — 모델값 직접) — sls.reconcile.reported_segment_rev_m ← yards_cache 부문표(3개월분)</t>
      </text>
    </comment>
    <comment ref="AA34" authorId="0" shapeId="0">
      <text>
        <t>실측(계정 매핑 없음 — 모델값 직접) — sls.reconcile.reported_segment_rev_m ← yards_cache 부문표(3개월분)</t>
      </text>
    </comment>
    <comment ref="AB34" authorId="0" shapeId="0">
      <text>
        <t>실측(계정 매핑 없음 — 모델값 직접) — sls.reconcile.reported_segment_rev_m ← yards_cache 부문표(3개월분)</t>
      </text>
    </comment>
    <comment ref="AC34" authorId="0" shapeId="0">
      <text>
        <t>추정: SLS 해양 원화 22654억(sls.by_quarter.marine_hedged_krw_m(헤지 70% 적용)) + 원장 밖 잔고 소진 10000억(최근 4분기 '부문매출−SLS' 중위 10000억/분기, 잔여 120931억)
[ratio]</t>
      </text>
    </comment>
    <comment ref="AD34" authorId="0" shapeId="0">
      <text>
        <t>추정: SLS 해양 원화 23840억(sls.by_quarter.marine_hedged_krw_m(헤지 70% 적용)) + 원장 밖 잔고 소진 10000억(최근 4분기 '부문매출−SLS' 중위 10000억/분기, 잔여 110931억)
[ratio]</t>
      </text>
    </comment>
    <comment ref="AF34" authorId="0" shapeId="0">
      <text>
        <t>추정: SLS 해양 원화 23322억(sls.by_quarter.marine_hedged_krw_m(헤지 70% 적용)) + 원장 밖 잔고 소진 10000억(최근 4분기 '부문매출−SLS' 중위 10000억/분기, 잔여 100931억)
[ratio]</t>
      </text>
    </comment>
    <comment ref="AG34" authorId="0" shapeId="0">
      <text>
        <t>추정: SLS 해양 원화 23143억(sls.by_quarter.marine_hedged_krw_m(헤지 70% 적용)) + 원장 밖 잔고 소진 10000억(최근 4분기 '부문매출−SLS' 중위 10000억/분기, 잔여 90931억)
[ratio]</t>
      </text>
    </comment>
    <comment ref="AH34" authorId="0" shapeId="0">
      <text>
        <t>추정: SLS 해양 원화 22461억(sls.by_quarter.marine_hedged_krw_m(헤지 70% 적용)) + 원장 밖 잔고 소진 10000억(최근 4분기 '부문매출−SLS' 중위 10000억/분기, 잔여 80932억)
[ratio]</t>
      </text>
    </comment>
    <comment ref="AI34" authorId="0" shapeId="0">
      <text>
        <t>추정: SLS 해양 원화 22461억(sls.by_quarter.marine_hedged_krw_m(헤지 70% 적용)) + 원장 밖 잔고 소진 10000억(최근 4분기 '부문매출−SLS' 중위 10000억/분기, 잔여 70932억)
[ratio]</t>
      </text>
    </comment>
    <comment ref="AK34" authorId="0" shapeId="0">
      <text>
        <t>추정: SLS 해양 원화 19387억(sls.by_quarter.marine_hedged_krw_m(헤지 70% 적용)) + 원장 밖 잔고 소진 10000억(최근 4분기 '부문매출−SLS' 중위 10000억/분기, 잔여 60932억)
[ratio]</t>
      </text>
    </comment>
    <comment ref="AL34" authorId="0" shapeId="0">
      <text>
        <t>추정: SLS 해양 원화 17946억(sls.by_quarter.marine_hedged_krw_m(헤지 70% 적용)) + 원장 밖 잔고 소진 10000억(최근 4분기 '부문매출−SLS' 중위 10000억/분기, 잔여 50933억)
[ratio]</t>
      </text>
    </comment>
    <comment ref="AM34" authorId="0" shapeId="0">
      <text>
        <t>추정: SLS 해양 원화 17312억(sls.by_quarter.marine_hedged_krw_m(헤지 70% 적용)) + 원장 밖 잔고 소진 10000억(최근 4분기 '부문매출−SLS' 중위 10000억/분기, 잔여 40933억)
[ratio]</t>
      </text>
    </comment>
    <comment ref="AN34" authorId="0" shapeId="0">
      <text>
        <t>추정: SLS 해양 원화 14791억(sls.by_quarter.marine_hedged_krw_m(헤지 70% 적용)) + 원장 밖 잔고 소진 10000억(최근 4분기 '부문매출−SLS' 중위 10000억/분기, 잔여 30933억)
[ratio]</t>
      </text>
    </comment>
    <comment ref="AC35" authorId="0" shapeId="0">
      <text>
        <t>추정: 매출조선 × 타겟 OPM(부문 OP 미공시 → 회사 OPM 적용)
[ratio]</t>
      </text>
    </comment>
    <comment ref="AD35" authorId="0" shapeId="0">
      <text>
        <t>추정: 매출조선 × 타겟 OPM(부문 OP 미공시 → 회사 OPM 적용)
[ratio]</t>
      </text>
    </comment>
    <comment ref="AF35" authorId="0" shapeId="0">
      <text>
        <t>추정: 매출조선 × 타겟 OPM(부문 OP 미공시 → 회사 OPM 적용)
[ratio]</t>
      </text>
    </comment>
    <comment ref="AG35" authorId="0" shapeId="0">
      <text>
        <t>추정: 매출조선 × 타겟 OPM(부문 OP 미공시 → 회사 OPM 적용)
[ratio]</t>
      </text>
    </comment>
    <comment ref="AH35" authorId="0" shapeId="0">
      <text>
        <t>추정: 매출조선 × 타겟 OPM(부문 OP 미공시 → 회사 OPM 적용)
[ratio]</t>
      </text>
    </comment>
    <comment ref="AI35" authorId="0" shapeId="0">
      <text>
        <t>추정: 매출조선 × 타겟 OPM(부문 OP 미공시 → 회사 OPM 적용)
[ratio]</t>
      </text>
    </comment>
    <comment ref="AK35" authorId="0" shapeId="0">
      <text>
        <t>추정: 매출조선 × 타겟 OPM(부문 OP 미공시 → 회사 OPM 적용)
[ratio]</t>
      </text>
    </comment>
    <comment ref="AL35" authorId="0" shapeId="0">
      <text>
        <t>추정: 매출조선 × 타겟 OPM(부문 OP 미공시 → 회사 OPM 적용)
[ratio]</t>
      </text>
    </comment>
    <comment ref="AM35" authorId="0" shapeId="0">
      <text>
        <t>추정: 매출조선 × 타겟 OPM(부문 OP 미공시 → 회사 OPM 적용)
[ratio]</t>
      </text>
    </comment>
    <comment ref="AN35" authorId="0" shapeId="0">
      <text>
        <t>추정: 매출조선 × 타겟 OPM(부문 OP 미공시 → 회사 OPM 적용)
[ratio]</t>
      </text>
    </comment>
    <comment ref="G36" authorId="0" shapeId="0">
      <text>
        <t>실측(계정 매핑 없음 — 모델값 직접) — 연결 매출 − 조선 부문(파생)</t>
      </text>
    </comment>
    <comment ref="H36" authorId="0" shapeId="0">
      <text>
        <t>실측(계정 매핑 없음 — 모델값 직접) — 연결 매출 − 조선 부문(파생)</t>
      </text>
    </comment>
    <comment ref="I36" authorId="0" shapeId="0">
      <text>
        <t>실측(계정 매핑 없음 — 모델값 직접) — 연결 매출 − 조선 부문(파생)</t>
      </text>
    </comment>
    <comment ref="J36" authorId="0" shapeId="0">
      <text>
        <t>실측(계정 매핑 없음 — 모델값 직접) — 연결 매출 − 조선 부문(파생)</t>
      </text>
    </comment>
    <comment ref="L36" authorId="0" shapeId="0">
      <text>
        <t>실측(계정 매핑 없음 — 모델값 직접) — 연결 매출 − 조선 부문(파생)</t>
      </text>
    </comment>
    <comment ref="M36" authorId="0" shapeId="0">
      <text>
        <t>실측(계정 매핑 없음 — 모델값 직접) — 연결 매출 − 조선 부문(파생)</t>
      </text>
    </comment>
    <comment ref="N36" authorId="0" shapeId="0">
      <text>
        <t>실측(계정 매핑 없음 — 모델값 직접) — 연결 매출 − 조선 부문(파생)</t>
      </text>
    </comment>
    <comment ref="O36" authorId="0" shapeId="0">
      <text>
        <t>실측(계정 매핑 없음 — 모델값 직접) — 연결 매출 − 조선 부문(파생)</t>
      </text>
    </comment>
    <comment ref="Q36" authorId="0" shapeId="0">
      <text>
        <t>실측(계정 매핑 없음 — 모델값 직접) — 연결 매출 − 조선 부문(파생)</t>
      </text>
    </comment>
    <comment ref="R36" authorId="0" shapeId="0">
      <text>
        <t>실측(계정 매핑 없음 — 모델값 직접) — 연결 매출 − 조선 부문(파생)</t>
      </text>
    </comment>
    <comment ref="S36" authorId="0" shapeId="0">
      <text>
        <t>실측(계정 매핑 없음 — 모델값 직접) — 연결 매출 − 조선 부문(파생)</t>
      </text>
    </comment>
    <comment ref="T36" authorId="0" shapeId="0">
      <text>
        <t>실측(계정 매핑 없음 — 모델값 직접) — 연결 매출 − 조선 부문(파생)</t>
      </text>
    </comment>
    <comment ref="V36" authorId="0" shapeId="0">
      <text>
        <t>실측(계정 매핑 없음 — 모델값 직접) — 연결 매출 − 조선 부문(파생)</t>
      </text>
    </comment>
    <comment ref="W36" authorId="0" shapeId="0">
      <text>
        <t>실측(계정 매핑 없음 — 모델값 직접) — 연결 매출 − 조선 부문(파생)</t>
      </text>
    </comment>
    <comment ref="X36" authorId="0" shapeId="0">
      <text>
        <t>실측(계정 매핑 없음 — 모델값 직접) — 연결 매출 − 조선 부문(파생)</t>
      </text>
    </comment>
    <comment ref="Y36" authorId="0" shapeId="0">
      <text>
        <t>실측(계정 매핑 없음 — 모델값 직접) — 연결 매출 − 조선 부문(파생)</t>
      </text>
    </comment>
    <comment ref="AA36" authorId="0" shapeId="0">
      <text>
        <t>실측(계정 매핑 없음 — 모델값 직접) — 연결 매출 − 조선 부문(파생)</t>
      </text>
    </comment>
    <comment ref="AB36" authorId="0" shapeId="0">
      <text>
        <t>실측(계정 매핑 없음 — 모델값 직접) — 연결 매출 − 조선 부문(파생)</t>
      </text>
    </comment>
    <comment ref="AC36" authorId="0" shapeId="0">
      <text>
        <t>추정: 기타 부문(연결 − 조선 부문) 최근 4분기 중위 1149억 유지
[ratio]</t>
      </text>
    </comment>
    <comment ref="AD36" authorId="0" shapeId="0">
      <text>
        <t>추정: 기타 부문(연결 − 조선 부문) 최근 4분기 중위 1149억 유지
[ratio]</t>
      </text>
    </comment>
    <comment ref="AF36" authorId="0" shapeId="0">
      <text>
        <t>추정: 기타 부문(연결 − 조선 부문) 최근 4분기 중위 1149억 유지
[ratio]</t>
      </text>
    </comment>
    <comment ref="AG36" authorId="0" shapeId="0">
      <text>
        <t>추정: 기타 부문(연결 − 조선 부문) 최근 4분기 중위 1149억 유지
[ratio]</t>
      </text>
    </comment>
    <comment ref="AH36" authorId="0" shapeId="0">
      <text>
        <t>추정: 기타 부문(연결 − 조선 부문) 최근 4분기 중위 1149억 유지
[ratio]</t>
      </text>
    </comment>
    <comment ref="AI36" authorId="0" shapeId="0">
      <text>
        <t>추정: 기타 부문(연결 − 조선 부문) 최근 4분기 중위 1149억 유지
[ratio]</t>
      </text>
    </comment>
    <comment ref="AK36" authorId="0" shapeId="0">
      <text>
        <t>추정: 기타 부문(연결 − 조선 부문) 최근 4분기 중위 1149억 유지
[ratio]</t>
      </text>
    </comment>
    <comment ref="AL36" authorId="0" shapeId="0">
      <text>
        <t>추정: 기타 부문(연결 − 조선 부문) 최근 4분기 중위 1149억 유지
[ratio]</t>
      </text>
    </comment>
    <comment ref="AM36" authorId="0" shapeId="0">
      <text>
        <t>추정: 기타 부문(연결 − 조선 부문) 최근 4분기 중위 1149억 유지
[ratio]</t>
      </text>
    </comment>
    <comment ref="AN36" authorId="0" shapeId="0">
      <text>
        <t>추정: 기타 부문(연결 − 조선 부문) 최근 4분기 중위 1149억 유지
[ratio]</t>
      </text>
    </comment>
    <comment ref="AC37" authorId="0" shapeId="0">
      <text>
        <t>추정: 매출기타 × 회사 OPM(부문 OP 미공시)
[ratio]</t>
      </text>
    </comment>
    <comment ref="AD37" authorId="0" shapeId="0">
      <text>
        <t>추정: 매출기타 × 회사 OPM(부문 OP 미공시)
[ratio]</t>
      </text>
    </comment>
    <comment ref="AF37" authorId="0" shapeId="0">
      <text>
        <t>추정: 매출기타 × 회사 OPM(부문 OP 미공시)
[ratio]</t>
      </text>
    </comment>
    <comment ref="AG37" authorId="0" shapeId="0">
      <text>
        <t>추정: 매출기타 × 회사 OPM(부문 OP 미공시)
[ratio]</t>
      </text>
    </comment>
    <comment ref="AH37" authorId="0" shapeId="0">
      <text>
        <t>추정: 매출기타 × 회사 OPM(부문 OP 미공시)
[ratio]</t>
      </text>
    </comment>
    <comment ref="AI37" authorId="0" shapeId="0">
      <text>
        <t>추정: 매출기타 × 회사 OPM(부문 OP 미공시)
[ratio]</t>
      </text>
    </comment>
    <comment ref="AK37" authorId="0" shapeId="0">
      <text>
        <t>추정: 매출기타 × 회사 OPM(부문 OP 미공시)
[ratio]</t>
      </text>
    </comment>
    <comment ref="AL37" authorId="0" shapeId="0">
      <text>
        <t>추정: 매출기타 × 회사 OPM(부문 OP 미공시)
[ratio]</t>
      </text>
    </comment>
    <comment ref="AM37" authorId="0" shapeId="0">
      <text>
        <t>추정: 매출기타 × 회사 OPM(부문 OP 미공시)
[ratio]</t>
      </text>
    </comment>
    <comment ref="AN37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assets/models/010140.json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추정 매출은 2026Q2 기준 잔고 소진분만 — 이후 신규 수주 매출 미포함(2028 감소는 이 한계). forecast_panel 모듈 참고 / 감가상각비가 face·CF 에 없음(주석 미파싱) → EBITDA·EV/EBITDA 미산출</t>
        </is>
      </c>
    </row>
    <row r="22">
      <c r="A22" t="inlineStr">
        <is>
          <t>백테스트: {"freeze": "2025Q2", "horizon": 4, "revenue_wape_pct": 6.5, "op_wape_pct": 13.2, "n": 4, "note": "단일 회사 4분기 — 통계 아님", "driver_at_freeze": "sls_marine_plus_uncovered_backlog_runoff",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29660.89, "rev_act": 26348.19, "op_pred": 2455.58, "op_act": 2380.82}, {"q": "2025Q4", "rev_pred": 29381.56, "rev_act": 28379.29, "op_pred": 2513.35, "op_act": 2962.35}, {"q": "2026Q1", "rev_pred": 29237.07, "rev_act": 29022.51, "op_pred": 2500.99, "op_act": 2731.18}, {"q": "2026Q2", "rev_pred": 29309.33, "rev_act": 32307.12, "op_pred": 2507.17,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13460</v>
      </c>
      <c r="W15" s="18" t="n">
        <v>16890</v>
      </c>
      <c r="X15" s="18" t="n">
        <v>21950</v>
      </c>
      <c r="Y15" s="18" t="n">
        <v>24200</v>
      </c>
      <c r="Z15" s="9" t="n"/>
      <c r="AA15" s="18" t="n">
        <v>24550</v>
      </c>
      <c r="AB15" s="19" t="n">
        <v>23450</v>
      </c>
      <c r="AC15" s="20" t="n">
        <v>19840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22900</v>
      </c>
      <c r="Y16" s="18" t="n">
        <v>33450</v>
      </c>
      <c r="Z16" s="9" t="n"/>
      <c r="AA16" s="18" t="n">
        <v>32000</v>
      </c>
      <c r="AB16" s="19" t="n">
        <v>35900</v>
      </c>
      <c r="AC16" s="20" t="n">
        <v>25000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12580</v>
      </c>
      <c r="X17" s="18" t="n">
        <v>15560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13524.3</v>
      </c>
      <c r="W18" s="18" t="n">
        <v>15339.8</v>
      </c>
      <c r="X18" s="18" t="n">
        <v>19695.1</v>
      </c>
      <c r="Y18" s="18" t="n">
        <v>25398.3</v>
      </c>
      <c r="Z18" s="9" t="n"/>
      <c r="AA18" s="18" t="n">
        <v>28252.5</v>
      </c>
      <c r="AB18" s="19" t="n">
        <v>28821.3</v>
      </c>
      <c r="AC18" s="20" t="n">
        <v>21437.3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0.282904</v>
      </c>
      <c r="AD21" s="24" t="n">
        <v>0.232897</v>
      </c>
      <c r="AE21" s="25" t="n"/>
      <c r="AF21" s="24" t="n">
        <v>0.187716</v>
      </c>
      <c r="AG21" s="24" t="n">
        <v>0.061411</v>
      </c>
      <c r="AH21" s="24" t="n">
        <v>-0.005687</v>
      </c>
      <c r="AI21" s="24" t="n">
        <v>-0.039406</v>
      </c>
      <c r="AJ21" s="25" t="n"/>
      <c r="AK21" s="24" t="n">
        <v>-0.114167</v>
      </c>
      <c r="AL21" s="24" t="n">
        <v>-0.151531</v>
      </c>
      <c r="AM21" s="24" t="n">
        <v>-0.15322</v>
      </c>
      <c r="AN21" s="24" t="n">
        <v>-0.228226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0.044639</v>
      </c>
      <c r="AD22" s="24" t="n">
        <v>0.044638</v>
      </c>
      <c r="AE22" s="25">
        <f>IFERROR(subQ!AE8/subQ!AE5,"")</f>
        <v/>
      </c>
      <c r="AF22" s="24" t="n">
        <v>0.044638</v>
      </c>
      <c r="AG22" s="24" t="n">
        <v>0.044638</v>
      </c>
      <c r="AH22" s="24" t="n">
        <v>0.044639</v>
      </c>
      <c r="AI22" s="24" t="n">
        <v>0.044639</v>
      </c>
      <c r="AJ22" s="25">
        <f>IFERROR(subQ!AJ8/subQ!AJ5,"")</f>
        <v/>
      </c>
      <c r="AK22" s="24" t="n">
        <v>0.044638</v>
      </c>
      <c r="AL22" s="24" t="n">
        <v>0.044638</v>
      </c>
      <c r="AM22" s="24" t="n">
        <v>0.044638</v>
      </c>
      <c r="AN22" s="24" t="n">
        <v>0.044638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0.100055</v>
      </c>
      <c r="AD23" s="24" t="n">
        <v>0.099755</v>
      </c>
      <c r="AE23" s="25">
        <f>IFERROR(subQ!AE9/subQ!AE5,"")</f>
        <v/>
      </c>
      <c r="AF23" s="24" t="n">
        <v>0.099755</v>
      </c>
      <c r="AG23" s="24" t="n">
        <v>0.100055</v>
      </c>
      <c r="AH23" s="24" t="n">
        <v>0.100655</v>
      </c>
      <c r="AI23" s="24" t="n">
        <v>0.100655</v>
      </c>
      <c r="AJ23" s="25">
        <f>IFERROR(subQ!AJ9/subQ!AJ5,"")</f>
        <v/>
      </c>
      <c r="AK23" s="24" t="n">
        <v>0.099855</v>
      </c>
      <c r="AL23" s="24" t="n">
        <v>0.100055</v>
      </c>
      <c r="AM23" s="24" t="n">
        <v>0.100255</v>
      </c>
      <c r="AN23" s="24" t="n">
        <v>0.102655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IFERROR(subQ!J39/subQ!E39-1,"")</f>
        <v/>
      </c>
      <c r="K24" s="22" t="n"/>
      <c r="L24" s="21">
        <f>IFERROR(subQ!L39/subQ!G39-1,"")</f>
        <v/>
      </c>
      <c r="M24" s="21">
        <f>IFERROR(subQ!M39/subQ!H39-1,"")</f>
        <v/>
      </c>
      <c r="N24" s="21">
        <f>IFERROR(subQ!N39/subQ!I39-1,"")</f>
        <v/>
      </c>
      <c r="O24" s="21">
        <f>IFERROR(subQ!O39/subQ!J39-1,"")</f>
        <v/>
      </c>
      <c r="P24" s="22" t="n"/>
      <c r="Q24" s="21">
        <f>IFERROR(subQ!Q39/subQ!L39-1,"")</f>
        <v/>
      </c>
      <c r="R24" s="21">
        <f>IFERROR(subQ!R39/subQ!M39-1,"")</f>
        <v/>
      </c>
      <c r="S24" s="21">
        <f>IFERROR(subQ!S39/subQ!N39-1,"")</f>
        <v/>
      </c>
      <c r="T24" s="21">
        <f>IFERROR(subQ!T39/subQ!O39-1,"")</f>
        <v/>
      </c>
      <c r="U24" s="22" t="n"/>
      <c r="V24" s="21">
        <f>IFERROR(subQ!V39/subQ!Q39-1,"")</f>
        <v/>
      </c>
      <c r="W24" s="21">
        <f>IFERROR(subQ!W39/subQ!R39-1,"")</f>
        <v/>
      </c>
      <c r="X24" s="21">
        <f>IFERROR(subQ!X39/subQ!S39-1,"")</f>
        <v/>
      </c>
      <c r="Y24" s="21">
        <f>IFERROR(subQ!Y39/subQ!T39-1,"")</f>
        <v/>
      </c>
      <c r="Z24" s="22" t="n"/>
      <c r="AA24" s="21">
        <f>IFERROR(subQ!AA39/subQ!V39-1,"")</f>
        <v/>
      </c>
      <c r="AB24" s="23">
        <f>IFERROR(subQ!AB39/subQ!W39-1,"")</f>
        <v/>
      </c>
      <c r="AC24" s="24" t="n">
        <v>0.107301</v>
      </c>
      <c r="AD24" s="24" t="n">
        <v>-0.044061</v>
      </c>
      <c r="AE24" s="25" t="n"/>
      <c r="AF24" s="24" t="n">
        <v>0.060574</v>
      </c>
      <c r="AG24" s="24" t="n">
        <v>-0.00497</v>
      </c>
      <c r="AH24" s="24" t="n">
        <v>0.005994</v>
      </c>
      <c r="AI24" s="24" t="n">
        <v>0.009018</v>
      </c>
      <c r="AJ24" s="25" t="n"/>
      <c r="AK24" s="24" t="n">
        <v>0.001002</v>
      </c>
      <c r="AL24" s="24" t="n">
        <v>0</v>
      </c>
      <c r="AM24" s="24" t="n">
        <v>-0.003972</v>
      </c>
      <c r="AN24" s="24" t="n">
        <v>0.019861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-85.86</v>
      </c>
      <c r="AD25" s="29" t="n">
        <v>-75.97</v>
      </c>
      <c r="AE25" s="30">
        <f>subQ!AE11</f>
        <v/>
      </c>
      <c r="AF25" s="29" t="n">
        <v>-65.72</v>
      </c>
      <c r="AG25" s="29" t="n">
        <v>-55.6</v>
      </c>
      <c r="AH25" s="29" t="n">
        <v>-45.47</v>
      </c>
      <c r="AI25" s="29" t="n">
        <v>-35.45</v>
      </c>
      <c r="AJ25" s="30">
        <f>subQ!AJ11</f>
        <v/>
      </c>
      <c r="AK25" s="29" t="n">
        <v>-25.41</v>
      </c>
      <c r="AL25" s="29" t="n">
        <v>-16.33</v>
      </c>
      <c r="AM25" s="29" t="n">
        <v>-7.65</v>
      </c>
      <c r="AN25" s="29" t="n">
        <v>0.89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</v>
      </c>
      <c r="AD27" s="29" t="n">
        <v>-0</v>
      </c>
      <c r="AE27" s="30">
        <f>subQ!AE13</f>
        <v/>
      </c>
      <c r="AF27" s="29" t="n">
        <v>-0</v>
      </c>
      <c r="AG27" s="29" t="n">
        <v>-0</v>
      </c>
      <c r="AH27" s="29" t="n">
        <v>-0</v>
      </c>
      <c r="AI27" s="29" t="n">
        <v>-0</v>
      </c>
      <c r="AJ27" s="30">
        <f>subQ!AJ13</f>
        <v/>
      </c>
      <c r="AK27" s="29" t="n">
        <v>-0</v>
      </c>
      <c r="AL27" s="29" t="n">
        <v>-0</v>
      </c>
      <c r="AM27" s="29" t="n">
        <v>-0</v>
      </c>
      <c r="AN27" s="29" t="n">
        <v>-0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</v>
      </c>
      <c r="AD28" s="24" t="n">
        <v>0.050001</v>
      </c>
      <c r="AE28" s="25">
        <f>IFERROR(subQ!AE15/subQ!AE14,"")</f>
        <v/>
      </c>
      <c r="AF28" s="24" t="n">
        <v>0.049999</v>
      </c>
      <c r="AG28" s="24" t="n">
        <v>0.05</v>
      </c>
      <c r="AH28" s="24" t="n">
        <v>0.050001</v>
      </c>
      <c r="AI28" s="24" t="n">
        <v>0.050001</v>
      </c>
      <c r="AJ28" s="25">
        <f>IFERROR(subQ!AJ15/subQ!AJ14,"")</f>
        <v/>
      </c>
      <c r="AK28" s="24" t="n">
        <v>0.049999</v>
      </c>
      <c r="AL28" s="24" t="n">
        <v>0.050001</v>
      </c>
      <c r="AM28" s="24" t="n">
        <v>0.049999</v>
      </c>
      <c r="AN28" s="24" t="n">
        <v>0.049998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0.004</v>
      </c>
      <c r="AD31" s="29" t="n">
        <v>0</v>
      </c>
      <c r="AE31" s="30" t="n"/>
      <c r="AF31" s="29" t="n">
        <v>0.01</v>
      </c>
      <c r="AG31" s="29" t="n">
        <v>0</v>
      </c>
      <c r="AH31" s="29" t="n">
        <v>-0.01</v>
      </c>
      <c r="AI31" s="29" t="n">
        <v>0.01</v>
      </c>
      <c r="AJ31" s="30" t="n"/>
      <c r="AK31" s="29" t="n">
        <v>0</v>
      </c>
      <c r="AL31" s="29" t="n">
        <v>-0.01</v>
      </c>
      <c r="AM31" s="29" t="n">
        <v>0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0.004</v>
      </c>
      <c r="AD32" s="29" t="n">
        <v>0</v>
      </c>
      <c r="AE32" s="30" t="n"/>
      <c r="AF32" s="29" t="n">
        <v>0.01</v>
      </c>
      <c r="AG32" s="29" t="n">
        <v>-0</v>
      </c>
      <c r="AH32" s="29" t="n">
        <v>-0.01</v>
      </c>
      <c r="AI32" s="29" t="n">
        <v>0.01</v>
      </c>
      <c r="AJ32" s="30" t="n"/>
      <c r="AK32" s="29" t="n">
        <v>0</v>
      </c>
      <c r="AL32" s="29" t="n">
        <v>-0.01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0.151859</v>
      </c>
      <c r="AD34" s="24" t="n">
        <v>0.136563</v>
      </c>
      <c r="AE34" s="25" t="n"/>
      <c r="AF34" s="24" t="n">
        <v>0.118695</v>
      </c>
      <c r="AG34" s="24" t="n">
        <v>0.106181</v>
      </c>
      <c r="AH34" s="24" t="n">
        <v>0.094912</v>
      </c>
      <c r="AI34" s="24" t="n">
        <v>0.08694499999999999</v>
      </c>
      <c r="AJ34" s="25" t="n"/>
      <c r="AK34" s="24" t="n">
        <v>0.072251</v>
      </c>
      <c r="AL34" s="24" t="n">
        <v>0.06451</v>
      </c>
      <c r="AM34" s="24" t="n">
        <v>0.059572</v>
      </c>
      <c r="AN34" s="24" t="n">
        <v>0.052628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0.093569</v>
      </c>
      <c r="AD35" s="24" t="n">
        <v>0.088629</v>
      </c>
      <c r="AE35" s="25" t="n"/>
      <c r="AF35" s="24" t="n">
        <v>0.080425</v>
      </c>
      <c r="AG35" s="24" t="n">
        <v>0.074494</v>
      </c>
      <c r="AH35" s="24" t="n">
        <v>0.068552</v>
      </c>
      <c r="AI35" s="24" t="n">
        <v>0.064346</v>
      </c>
      <c r="AJ35" s="25" t="n"/>
      <c r="AK35" s="24" t="n">
        <v>0.054607</v>
      </c>
      <c r="AL35" s="24" t="n">
        <v>0.049572</v>
      </c>
      <c r="AM35" s="24" t="n">
        <v>0.046429</v>
      </c>
      <c r="AN35" s="24" t="n">
        <v>0.041532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-0.527383</v>
      </c>
      <c r="AD41" s="24" t="n">
        <v>-0.565141</v>
      </c>
      <c r="AE41" s="25" t="n"/>
      <c r="AF41" s="24" t="n">
        <v>-0.675868</v>
      </c>
      <c r="AG41" s="24" t="n">
        <v>-0.7009649999999999</v>
      </c>
      <c r="AH41" s="24" t="n">
        <v>-0.425918</v>
      </c>
      <c r="AI41" s="24" t="n">
        <v>-0.245228</v>
      </c>
      <c r="AJ41" s="25" t="n"/>
      <c r="AK41" s="24" t="n">
        <v>-0.048971</v>
      </c>
      <c r="AL41" s="24" t="n">
        <v>0.068356</v>
      </c>
      <c r="AM41" s="24" t="n">
        <v>0.114792</v>
      </c>
      <c r="AN41" s="24" t="n">
        <v>0.175479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-0.220903</v>
      </c>
      <c r="AD42" s="24" t="n">
        <v>-0.41109</v>
      </c>
      <c r="AE42" s="25" t="n"/>
      <c r="AF42" s="24" t="n">
        <v>-0.456075</v>
      </c>
      <c r="AG42" s="24" t="n">
        <v>-0.467054</v>
      </c>
      <c r="AH42" s="24" t="n">
        <v>-0.20122</v>
      </c>
      <c r="AI42" s="24" t="n">
        <v>-0.191558</v>
      </c>
      <c r="AJ42" s="25" t="n"/>
      <c r="AK42" s="24" t="n">
        <v>-0.178694</v>
      </c>
      <c r="AL42" s="24" t="n">
        <v>-0.163636</v>
      </c>
      <c r="AM42" s="24" t="n">
        <v>-0.152672</v>
      </c>
      <c r="AN42" s="24" t="n">
        <v>-0.140562</v>
      </c>
      <c r="AO42" s="25" t="n"/>
    </row>
    <row r="43">
      <c r="A43" s="12" t="inlineStr">
        <is>
          <t>drv:매출조선</t>
        </is>
      </c>
      <c r="B43" s="2" t="inlineStr">
        <is>
          <t>ratio</t>
        </is>
      </c>
      <c r="C43" t="inlineStr">
        <is>
          <t>매출조선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0.966013</v>
      </c>
      <c r="AD43" s="24" t="n">
        <v>0.967166</v>
      </c>
      <c r="AE43" s="25">
        <f>IFERROR(subQ!AE34/subQ!AE5,"")</f>
        <v/>
      </c>
      <c r="AF43" s="24" t="n">
        <v>0.966672</v>
      </c>
      <c r="AG43" s="24" t="n">
        <v>0.966498</v>
      </c>
      <c r="AH43" s="24" t="n">
        <v>0.965819</v>
      </c>
      <c r="AI43" s="24" t="n">
        <v>0.965819</v>
      </c>
      <c r="AJ43" s="25">
        <f>IFERROR(subQ!AJ34/subQ!AJ5,"")</f>
        <v/>
      </c>
      <c r="AK43" s="24" t="n">
        <v>0.962377</v>
      </c>
      <c r="AL43" s="24" t="n">
        <v>0.960515</v>
      </c>
      <c r="AM43" s="24" t="n">
        <v>0.959635</v>
      </c>
      <c r="AN43" s="24" t="n">
        <v>0.955712</v>
      </c>
      <c r="AO43" s="25">
        <f>IFERROR(subQ!AO34/subQ!AO5,"")</f>
        <v/>
      </c>
    </row>
    <row r="44">
      <c r="A44" s="12" t="inlineStr">
        <is>
          <t>drv:OP조선</t>
        </is>
      </c>
      <c r="B44" s="2" t="inlineStr">
        <is>
          <t>ratio</t>
        </is>
      </c>
      <c r="C44" t="inlineStr">
        <is>
          <t>OP조선 마진(/매출조선)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0.100055</v>
      </c>
      <c r="AD44" s="24" t="n">
        <v>0.099755</v>
      </c>
      <c r="AE44" s="25">
        <f>IFERROR(subQ!AE35/subQ!AE34,"")</f>
        <v/>
      </c>
      <c r="AF44" s="24" t="n">
        <v>0.099755</v>
      </c>
      <c r="AG44" s="24" t="n">
        <v>0.100055</v>
      </c>
      <c r="AH44" s="24" t="n">
        <v>0.100655</v>
      </c>
      <c r="AI44" s="24" t="n">
        <v>0.100655</v>
      </c>
      <c r="AJ44" s="25">
        <f>IFERROR(subQ!AJ35/subQ!AJ34,"")</f>
        <v/>
      </c>
      <c r="AK44" s="24" t="n">
        <v>0.099855</v>
      </c>
      <c r="AL44" s="24" t="n">
        <v>0.100055</v>
      </c>
      <c r="AM44" s="24" t="n">
        <v>0.100255</v>
      </c>
      <c r="AN44" s="24" t="n">
        <v>0.102655</v>
      </c>
      <c r="AO44" s="25">
        <f>IFERROR(subQ!AO35/subQ!AO34,"")</f>
        <v/>
      </c>
    </row>
    <row r="45">
      <c r="A45" s="12" t="inlineStr">
        <is>
          <t>drv:매출기타</t>
        </is>
      </c>
      <c r="B45" s="2" t="inlineStr">
        <is>
          <t>ratio</t>
        </is>
      </c>
      <c r="C45" t="inlineStr">
        <is>
          <t>매출기타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0.033986</v>
      </c>
      <c r="AD45" s="24" t="n">
        <v>0.032834</v>
      </c>
      <c r="AE45" s="25">
        <f>IFERROR(subQ!AE36/subQ!AE5,"")</f>
        <v/>
      </c>
      <c r="AF45" s="24" t="n">
        <v>0.033327</v>
      </c>
      <c r="AG45" s="24" t="n">
        <v>0.033502</v>
      </c>
      <c r="AH45" s="24" t="n">
        <v>0.034181</v>
      </c>
      <c r="AI45" s="24" t="n">
        <v>0.034181</v>
      </c>
      <c r="AJ45" s="25">
        <f>IFERROR(subQ!AJ36/subQ!AJ5,"")</f>
        <v/>
      </c>
      <c r="AK45" s="24" t="n">
        <v>0.037623</v>
      </c>
      <c r="AL45" s="24" t="n">
        <v>0.039485</v>
      </c>
      <c r="AM45" s="24" t="n">
        <v>0.040365</v>
      </c>
      <c r="AN45" s="24" t="n">
        <v>0.044288</v>
      </c>
      <c r="AO45" s="25">
        <f>IFERROR(subQ!AO36/subQ!AO5,"")</f>
        <v/>
      </c>
    </row>
    <row r="46">
      <c r="A46" s="12" t="inlineStr">
        <is>
          <t>drv:OP기타</t>
        </is>
      </c>
      <c r="B46" s="2" t="inlineStr">
        <is>
          <t>ratio</t>
        </is>
      </c>
      <c r="C46" t="inlineStr">
        <is>
          <t>OP기타 마진(/매출기타)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0.100051</v>
      </c>
      <c r="AD46" s="24" t="n">
        <v>0.099755</v>
      </c>
      <c r="AE46" s="25">
        <f>IFERROR(subQ!AE37/subQ!AE36,"")</f>
        <v/>
      </c>
      <c r="AF46" s="24" t="n">
        <v>0.099755</v>
      </c>
      <c r="AG46" s="24" t="n">
        <v>0.100051</v>
      </c>
      <c r="AH46" s="24" t="n">
        <v>0.100652</v>
      </c>
      <c r="AI46" s="24" t="n">
        <v>0.100652</v>
      </c>
      <c r="AJ46" s="25">
        <f>IFERROR(subQ!AJ37/subQ!AJ36,"")</f>
        <v/>
      </c>
      <c r="AK46" s="24" t="n">
        <v>0.099851</v>
      </c>
      <c r="AL46" s="24" t="n">
        <v>0.100051</v>
      </c>
      <c r="AM46" s="24" t="n">
        <v>0.100252</v>
      </c>
      <c r="AN46" s="24" t="n">
        <v>0.102654</v>
      </c>
      <c r="AO46" s="25">
        <f>IFERROR(subQ!AO37/subQ!AO36,"")</f>
        <v/>
      </c>
    </row>
    <row r="47"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B48" s="1" t="inlineStr">
        <is>
          <t>3. 밸류에이션·스칼라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sc:종가</t>
        </is>
      </c>
      <c r="C49" t="inlineStr">
        <is>
          <t>종가</t>
        </is>
      </c>
      <c r="D49" s="32" t="n">
        <v>19500</v>
      </c>
      <c r="E49" s="2" t="inlineStr">
        <is>
          <t>원 — aikstockdata(금융위 T+1)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sc:기준일</t>
        </is>
      </c>
      <c r="C50" t="inlineStr">
        <is>
          <t>기준일</t>
        </is>
      </c>
      <c r="D50" s="33" t="inlineStr">
        <is>
          <t>20260929</t>
        </is>
      </c>
      <c r="E50" s="2" t="inlineStr">
        <is>
          <t>종가 기준일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sc:COE</t>
        </is>
      </c>
      <c r="C51" t="inlineStr">
        <is>
          <t>COE</t>
        </is>
      </c>
      <c r="D51" s="24" t="n">
        <v>0.09</v>
      </c>
      <c r="E51" s="2" t="inlineStr">
        <is>
          <t>자기자본비용(가정)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sc:PER_lo</t>
        </is>
      </c>
      <c r="C52" t="inlineStr">
        <is>
          <t>PER_lo</t>
        </is>
      </c>
      <c r="D52" s="29" t="n">
        <v>10</v>
      </c>
      <c r="E52" s="2" t="inlineStr">
        <is>
          <t>PER 밴드 하단(배) — sector_default(레퍼런스 TP_PE PB 예시 10/15/20배; 과거 PER 중위 46.2배가 3~40 밖(턴어라운드 왜곡))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sc:PER_mid</t>
        </is>
      </c>
      <c r="C53" t="inlineStr">
        <is>
          <t>PER_mid</t>
        </is>
      </c>
      <c r="D53" s="29" t="n">
        <v>15</v>
      </c>
      <c r="E53" s="2" t="inlineStr">
        <is>
          <t>PER 밴드 중단(배)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sc:PER_hi</t>
        </is>
      </c>
      <c r="C54" t="inlineStr">
        <is>
          <t>PER_hi</t>
        </is>
      </c>
      <c r="D54" s="29" t="n">
        <v>20</v>
      </c>
      <c r="E54" s="2" t="inlineStr">
        <is>
          <t>PER 밴드 상단(배)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sc:EPS_Y1가중</t>
        </is>
      </c>
      <c r="C55" t="inlineStr">
        <is>
          <t>EPS_Y1가중</t>
        </is>
      </c>
      <c r="D55" s="24" t="n">
        <v>0.5</v>
      </c>
      <c r="E55" s="2" t="inlineStr">
        <is>
          <t>12M fwd EPS = FY(last_actual연도)E × w + FY+1E × (1−w) — 기준 분기 2Q 이면 0.5(가정)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sc:세율</t>
        </is>
      </c>
      <c r="C56" t="inlineStr">
        <is>
          <t>세율</t>
        </is>
      </c>
      <c r="D56" s="24" t="n">
        <v>0.05</v>
      </c>
      <c r="E56" s="2" t="inlineStr">
        <is>
          <t>법인세율 가정(참고 — 추정 수식은 드라이버 행 참조)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sc:판관비율</t>
        </is>
      </c>
      <c r="C57" t="inlineStr">
        <is>
          <t>판관비율</t>
        </is>
      </c>
      <c r="D57" s="24" t="n">
        <v>0.0446</v>
      </c>
      <c r="E57" s="2" t="inlineStr">
        <is>
          <t>판관비율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>
        <v>0</v>
      </c>
      <c r="E58" s="2" t="inlineStr">
        <is>
          <t>배당성향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4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4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4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4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4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4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4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4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4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4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4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4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4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4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4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4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4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4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4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4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4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4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4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4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4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4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4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4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4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4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4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4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4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4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4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4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4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4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4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4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4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4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4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4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4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4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4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4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4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4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4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4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4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4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4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4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4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4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4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4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4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4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4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4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4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4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4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4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4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4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4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4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4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4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4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4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4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4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4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4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4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4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4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4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4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4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4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4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4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4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4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4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4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4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4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4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4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4" t="n">
        <v>274.64</v>
      </c>
      <c r="L27" s="18" t="n">
        <v>273.6</v>
      </c>
      <c r="O27" s="18" t="n">
        <v>0</v>
      </c>
      <c r="P27" s="34" t="n">
        <v>0</v>
      </c>
      <c r="T27" s="18" t="n">
        <v>0</v>
      </c>
      <c r="U27" s="34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4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4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4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4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4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4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4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4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4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4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4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4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4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4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4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4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4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4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4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4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4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4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4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4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4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4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4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4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4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4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4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4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4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4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4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4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4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4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4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4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4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4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4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4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4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4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4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4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4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4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4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4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4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4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4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4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4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4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4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4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4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4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4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4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4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4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4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4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4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4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4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4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4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4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4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4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4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4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4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4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4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4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4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4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4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4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4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4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4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4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4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4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4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4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4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4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4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4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4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4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4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4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4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4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4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4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4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4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4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4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4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4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4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4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4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4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4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4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4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4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4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4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4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4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4" t="n">
        <v>0</v>
      </c>
      <c r="Y53" s="18" t="n">
        <v>0</v>
      </c>
      <c r="Z53" s="34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4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4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4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4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4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4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4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4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4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4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4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4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4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4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4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4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4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4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4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4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4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4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4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4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4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4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4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4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4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4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4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4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4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4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4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4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4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4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4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4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4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4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4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4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4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4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4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4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4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4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4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4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4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4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4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4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4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4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4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4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4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4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4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4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4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4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4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4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4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4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4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4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4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4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4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4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4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4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4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4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4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4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4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4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4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4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4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4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4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4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4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4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4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4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4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4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4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4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4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4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4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4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4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4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4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4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4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4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4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4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4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4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4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4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4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4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4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4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4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4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4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4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4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4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4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4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4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4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4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4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4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4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4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4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4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4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4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4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4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4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4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4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4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4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4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4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4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4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4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4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4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4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4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4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4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4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4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4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4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4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4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73090.05</v>
      </c>
      <c r="F93" s="9" t="n"/>
      <c r="G93" s="18" t="n">
        <v>-195503.4</v>
      </c>
      <c r="H93" s="18" t="n">
        <v>-117297.68</v>
      </c>
      <c r="I93" s="18" t="n">
        <v>-1159537.17</v>
      </c>
      <c r="J93" s="18" t="n">
        <v>-220682.46</v>
      </c>
      <c r="K93" s="34" t="n">
        <v>-1693020.71</v>
      </c>
      <c r="L93" s="18" t="n">
        <v>280015.58</v>
      </c>
      <c r="M93" s="18" t="n">
        <v>-325934.21</v>
      </c>
      <c r="N93" s="18" t="n">
        <v>-408677.03</v>
      </c>
      <c r="O93" s="18" t="n">
        <v>-61870.9</v>
      </c>
      <c r="P93" s="34" t="n">
        <v>-516466.56</v>
      </c>
      <c r="Q93" s="18" t="n">
        <v>299282.43</v>
      </c>
      <c r="R93" s="18" t="n">
        <v>-435255.69</v>
      </c>
      <c r="S93" s="18" t="n">
        <v>100661.91</v>
      </c>
      <c r="T93" s="18" t="n">
        <v>689831.29</v>
      </c>
      <c r="U93" s="34" t="n">
        <v>654519.9399999999</v>
      </c>
      <c r="V93" s="18" t="n">
        <v>-131050.83</v>
      </c>
      <c r="W93" s="18" t="n">
        <v>401494.8</v>
      </c>
      <c r="X93" s="18" t="n">
        <v>1367889.09</v>
      </c>
      <c r="Y93" s="18" t="n">
        <v>-75484.3</v>
      </c>
      <c r="Z93" s="34" t="n">
        <v>1562848.76</v>
      </c>
      <c r="AA93" s="18" t="n">
        <v>1488808.58</v>
      </c>
      <c r="AB93" s="19" t="n">
        <v>818125.83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E94" s="18" t="n">
        <v>24028.25</v>
      </c>
      <c r="F94" s="9" t="n"/>
      <c r="G94" s="18" t="n">
        <v>10317.76</v>
      </c>
      <c r="H94" s="18" t="n">
        <v>12349.83</v>
      </c>
      <c r="I94" s="18" t="n">
        <v>11519.3</v>
      </c>
      <c r="J94" s="18" t="n">
        <v>-1869.9</v>
      </c>
      <c r="K94" s="34" t="n">
        <v>32316.99</v>
      </c>
      <c r="L94" s="18" t="n">
        <v>12466.36</v>
      </c>
      <c r="M94" s="18" t="n">
        <v>8780.48</v>
      </c>
      <c r="N94" s="18" t="n">
        <v>13185.23</v>
      </c>
      <c r="O94" s="18" t="n">
        <v>13498.97</v>
      </c>
      <c r="P94" s="34" t="n">
        <v>47931.04</v>
      </c>
      <c r="Q94" s="18" t="n">
        <v>18272.57</v>
      </c>
      <c r="R94" s="18" t="n">
        <v>9984.209999999999</v>
      </c>
      <c r="S94" s="18" t="n">
        <v>6345.51</v>
      </c>
      <c r="T94" s="18" t="n">
        <v>6768.07</v>
      </c>
      <c r="U94" s="34" t="n">
        <v>41370.36</v>
      </c>
      <c r="V94" s="18" t="n">
        <v>7356.31</v>
      </c>
      <c r="W94" s="18" t="n">
        <v>6381.38</v>
      </c>
      <c r="X94" s="18" t="n">
        <v>6611.83</v>
      </c>
      <c r="Y94" s="18" t="n">
        <v>10288.29</v>
      </c>
      <c r="Z94" s="34" t="n">
        <v>30637.81</v>
      </c>
      <c r="AA94" s="18" t="n">
        <v>10011.24</v>
      </c>
      <c r="AB94" s="19" t="n">
        <v>9872.68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E95" s="18" t="n">
        <v>-39539.07</v>
      </c>
      <c r="F95" s="9" t="n"/>
      <c r="G95" s="18" t="n">
        <v>-24558.99</v>
      </c>
      <c r="H95" s="18" t="n">
        <v>-16854.85</v>
      </c>
      <c r="I95" s="18" t="n">
        <v>-22936.52</v>
      </c>
      <c r="J95" s="18" t="n">
        <v>-28162.47</v>
      </c>
      <c r="K95" s="34" t="n">
        <v>-92512.83</v>
      </c>
      <c r="L95" s="18" t="n">
        <v>-26000.8</v>
      </c>
      <c r="M95" s="18" t="n">
        <v>-52785.78</v>
      </c>
      <c r="N95" s="18" t="n">
        <v>-43706.08</v>
      </c>
      <c r="O95" s="18" t="n">
        <v>-60935.51</v>
      </c>
      <c r="P95" s="34" t="n">
        <v>-183428.17</v>
      </c>
      <c r="Q95" s="18" t="n">
        <v>-74156.66</v>
      </c>
      <c r="R95" s="18" t="n">
        <v>-59938.66</v>
      </c>
      <c r="S95" s="18" t="n">
        <v>-50700.9</v>
      </c>
      <c r="T95" s="18" t="n">
        <v>-82384.98</v>
      </c>
      <c r="U95" s="34" t="n">
        <v>-267181.2</v>
      </c>
      <c r="V95" s="18" t="n">
        <v>-47326.54</v>
      </c>
      <c r="W95" s="18" t="n">
        <v>-43244.7</v>
      </c>
      <c r="X95" s="18" t="n">
        <v>-32996.68</v>
      </c>
      <c r="Y95" s="18" t="n">
        <v>-46398.47</v>
      </c>
      <c r="Z95" s="34" t="n">
        <v>-169966.39</v>
      </c>
      <c r="AA95" s="18" t="n">
        <v>-24199.24</v>
      </c>
      <c r="AB95" s="19" t="n">
        <v>-14702.43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배당금수취(CF)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-0.21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A96" s="18" t="n">
        <v>246.84</v>
      </c>
      <c r="AB96" s="19" t="n">
        <v>682.67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법인세납부(CF)</t>
        </is>
      </c>
      <c r="E97" s="18" t="n">
        <v>11290.53</v>
      </c>
      <c r="F97" s="9" t="n"/>
      <c r="G97" s="18" t="n">
        <v>8055.68</v>
      </c>
      <c r="H97" s="18" t="n">
        <v>7491.26</v>
      </c>
      <c r="I97" s="18" t="n">
        <v>-36190.91</v>
      </c>
      <c r="J97" s="18" t="n">
        <v>-10504.01</v>
      </c>
      <c r="K97" s="34" t="n">
        <v>-31147.98</v>
      </c>
      <c r="N97" s="18" t="n">
        <v>-1187.31</v>
      </c>
      <c r="O97" s="18" t="n">
        <v>-2594.71</v>
      </c>
      <c r="P97" s="9" t="n"/>
      <c r="Q97" s="18" t="n">
        <v>-4012.81</v>
      </c>
      <c r="R97" s="18" t="n">
        <v>-1210.86</v>
      </c>
      <c r="S97" s="18" t="n">
        <v>-1860.38</v>
      </c>
      <c r="T97" s="18" t="n">
        <v>-958.79</v>
      </c>
      <c r="U97" s="34" t="n">
        <v>-8042.84</v>
      </c>
      <c r="V97" s="18" t="n">
        <v>-267.44</v>
      </c>
      <c r="W97" s="18" t="n">
        <v>2467.73</v>
      </c>
      <c r="X97" s="18" t="n">
        <v>-1532.34</v>
      </c>
      <c r="Y97" s="18" t="n">
        <v>-2758.61</v>
      </c>
      <c r="Z97" s="34" t="n">
        <v>-2090.66</v>
      </c>
      <c r="AA97" s="18" t="n">
        <v>-6700.74</v>
      </c>
      <c r="AB97" s="19" t="n">
        <v>-10806.16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-87857.60000000001</v>
      </c>
      <c r="F98" s="9" t="n"/>
      <c r="G98" s="18" t="n">
        <v>409903.94</v>
      </c>
      <c r="H98" s="18" t="n">
        <v>227288.32</v>
      </c>
      <c r="I98" s="18" t="n">
        <v>237106.74</v>
      </c>
      <c r="J98" s="18" t="n">
        <v>227768.05</v>
      </c>
      <c r="K98" s="34" t="n">
        <v>1102067.05</v>
      </c>
      <c r="L98" s="18" t="n">
        <v>-640775.89</v>
      </c>
      <c r="M98" s="18" t="n">
        <v>378685.81</v>
      </c>
      <c r="N98" s="18" t="n">
        <v>83125.49000000001</v>
      </c>
      <c r="O98" s="18" t="n">
        <v>-15779.9</v>
      </c>
      <c r="P98" s="34" t="n">
        <v>-194744.49</v>
      </c>
      <c r="Q98" s="18" t="n">
        <v>34292.81</v>
      </c>
      <c r="R98" s="18" t="n">
        <v>-30865.52</v>
      </c>
      <c r="S98" s="18" t="n">
        <v>-13103.59</v>
      </c>
      <c r="T98" s="18" t="n">
        <v>320203.66</v>
      </c>
      <c r="U98" s="34" t="n">
        <v>310527.36</v>
      </c>
      <c r="V98" s="18" t="n">
        <v>-170854.7</v>
      </c>
      <c r="W98" s="18" t="n">
        <v>36977.32</v>
      </c>
      <c r="X98" s="18" t="n">
        <v>-240693.62</v>
      </c>
      <c r="Y98" s="18" t="n">
        <v>-105808.87</v>
      </c>
      <c r="Z98" s="34" t="n">
        <v>-480379.87</v>
      </c>
      <c r="AA98" s="18" t="n">
        <v>-330587.3</v>
      </c>
      <c r="AB98" s="19" t="n">
        <v>-938806.23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E99" s="18" t="n">
        <v>6215.37</v>
      </c>
      <c r="F99" s="9" t="n"/>
      <c r="G99" s="18" t="n">
        <v>17466.06</v>
      </c>
      <c r="H99" s="18" t="n">
        <v>14586.68</v>
      </c>
      <c r="I99" s="18" t="n">
        <v>9456.49</v>
      </c>
      <c r="J99" s="18" t="n">
        <v>20900.76</v>
      </c>
      <c r="K99" s="34" t="n">
        <v>62409.99</v>
      </c>
      <c r="L99" s="18" t="n">
        <v>26244.76</v>
      </c>
      <c r="M99" s="18" t="n">
        <v>42229.93</v>
      </c>
      <c r="N99" s="18" t="n">
        <v>45027.13</v>
      </c>
      <c r="O99" s="18" t="n">
        <v>39918.11</v>
      </c>
      <c r="P99" s="34" t="n">
        <v>153419.93</v>
      </c>
      <c r="Q99" s="18" t="n">
        <v>28467.26</v>
      </c>
      <c r="R99" s="18" t="n">
        <v>35507.25</v>
      </c>
      <c r="S99" s="18" t="n">
        <v>43971.29</v>
      </c>
      <c r="T99" s="18" t="n">
        <v>65449.16</v>
      </c>
      <c r="U99" s="34" t="n">
        <v>173394.96</v>
      </c>
      <c r="V99" s="18" t="n">
        <v>41791.51</v>
      </c>
      <c r="W99" s="18" t="n">
        <v>66823.74000000001</v>
      </c>
      <c r="X99" s="18" t="n">
        <v>51943.64</v>
      </c>
      <c r="Y99" s="18" t="n">
        <v>55695.83</v>
      </c>
      <c r="Z99" s="34" t="n">
        <v>216254.72</v>
      </c>
      <c r="AA99" s="18" t="n">
        <v>35789.81</v>
      </c>
      <c r="AB99" s="19" t="n">
        <v>61171.15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CAPEX</t>
        </is>
      </c>
      <c r="E100" s="18" t="n">
        <v>6215.37</v>
      </c>
      <c r="F100" s="9" t="n"/>
      <c r="G100" s="18" t="n">
        <v>17466.06</v>
      </c>
      <c r="H100" s="18" t="n">
        <v>14586.68</v>
      </c>
      <c r="I100" s="18" t="n">
        <v>9456.49</v>
      </c>
      <c r="J100" s="18" t="n">
        <v>20900.76</v>
      </c>
      <c r="K100" s="34" t="n">
        <v>62409.99</v>
      </c>
      <c r="L100" s="18" t="n">
        <v>26244.76</v>
      </c>
      <c r="M100" s="18" t="n">
        <v>42229.93</v>
      </c>
      <c r="N100" s="18" t="n">
        <v>45067.8</v>
      </c>
      <c r="O100" s="18" t="n">
        <v>39917.98</v>
      </c>
      <c r="P100" s="34" t="n">
        <v>153460.47</v>
      </c>
      <c r="Q100" s="18" t="n">
        <v>28482.94</v>
      </c>
      <c r="R100" s="18" t="n">
        <v>35507.44</v>
      </c>
      <c r="S100" s="18" t="n">
        <v>43971.36</v>
      </c>
      <c r="T100" s="18" t="n">
        <v>65453.08</v>
      </c>
      <c r="U100" s="34" t="n">
        <v>173414.82</v>
      </c>
      <c r="V100" s="18" t="n">
        <v>41791.51</v>
      </c>
      <c r="W100" s="18" t="n">
        <v>66823.74000000001</v>
      </c>
      <c r="X100" s="18" t="n">
        <v>51943.64</v>
      </c>
      <c r="Y100" s="18" t="n">
        <v>55695.83</v>
      </c>
      <c r="Z100" s="34" t="n">
        <v>216254.72</v>
      </c>
      <c r="AA100" s="18" t="n">
        <v>35789.81</v>
      </c>
      <c r="AB100" s="19" t="n">
        <v>61171.15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유형자산의감소</t>
        </is>
      </c>
      <c r="E101" s="18" t="n">
        <v>138495.94</v>
      </c>
      <c r="F101" s="9" t="n"/>
      <c r="G101" s="18" t="n">
        <v>5944.07</v>
      </c>
      <c r="H101" s="18" t="n">
        <v>23475.18</v>
      </c>
      <c r="J101" s="18" t="n">
        <v>297766.99</v>
      </c>
      <c r="K101" s="9" t="n"/>
      <c r="L101" s="18" t="n">
        <v>39.3</v>
      </c>
      <c r="M101" s="18" t="n">
        <v>970.33</v>
      </c>
      <c r="N101" s="18" t="n">
        <v>180.96</v>
      </c>
      <c r="O101" s="18" t="n">
        <v>503.83</v>
      </c>
      <c r="P101" s="34" t="n">
        <v>1694.42</v>
      </c>
      <c r="Q101" s="18" t="n">
        <v>399.8</v>
      </c>
      <c r="R101" s="18" t="n">
        <v>662.53</v>
      </c>
      <c r="S101" s="18" t="n">
        <v>173.24</v>
      </c>
      <c r="T101" s="18" t="n">
        <v>382480.37</v>
      </c>
      <c r="U101" s="34" t="n">
        <v>383715.94</v>
      </c>
      <c r="V101" s="18" t="n">
        <v>18505.89</v>
      </c>
      <c r="W101" s="18" t="n">
        <v>295.92</v>
      </c>
      <c r="X101" s="18" t="n">
        <v>499.2</v>
      </c>
      <c r="Y101" s="18" t="n">
        <v>2326.03</v>
      </c>
      <c r="Z101" s="34" t="n">
        <v>21627.04</v>
      </c>
      <c r="AA101" s="18" t="n">
        <v>507.98</v>
      </c>
      <c r="AB101" s="19" t="n">
        <v>334.53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E102" s="18" t="n">
        <v>0</v>
      </c>
      <c r="F102" s="9" t="n"/>
      <c r="I102" s="18" t="n">
        <v>10.97</v>
      </c>
      <c r="J102" s="18" t="n">
        <v>-0.91</v>
      </c>
      <c r="K102" s="9" t="n"/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재무활동으로인한현금흐름</t>
        </is>
      </c>
      <c r="E103" s="18" t="n">
        <v>-572668.0699999999</v>
      </c>
      <c r="F103" s="9" t="n"/>
      <c r="G103" s="18" t="n">
        <v>-131800.92</v>
      </c>
      <c r="H103" s="18" t="n">
        <v>123199.84</v>
      </c>
      <c r="I103" s="18" t="n">
        <v>838202.92</v>
      </c>
      <c r="J103" s="18" t="n">
        <v>117207.9</v>
      </c>
      <c r="K103" s="34" t="n">
        <v>946809.74</v>
      </c>
      <c r="L103" s="18" t="n">
        <v>-273036.63</v>
      </c>
      <c r="M103" s="18" t="n">
        <v>313328.34</v>
      </c>
      <c r="N103" s="18" t="n">
        <v>167118.79</v>
      </c>
      <c r="O103" s="18" t="n">
        <v>168589.2</v>
      </c>
      <c r="P103" s="34" t="n">
        <v>375999.7</v>
      </c>
      <c r="Q103" s="18" t="n">
        <v>-137462.25</v>
      </c>
      <c r="R103" s="18" t="n">
        <v>9263.790000000001</v>
      </c>
      <c r="S103" s="18" t="n">
        <v>219287.87</v>
      </c>
      <c r="T103" s="18" t="n">
        <v>-690305.09</v>
      </c>
      <c r="U103" s="34" t="n">
        <v>-599215.6800000001</v>
      </c>
      <c r="V103" s="18" t="n">
        <v>-134240.53</v>
      </c>
      <c r="W103" s="18" t="n">
        <v>-358878.94</v>
      </c>
      <c r="X103" s="18" t="n">
        <v>-321042.86</v>
      </c>
      <c r="Y103" s="18" t="n">
        <v>-452353.85</v>
      </c>
      <c r="Z103" s="34" t="n">
        <v>-1266516.18</v>
      </c>
      <c r="AA103" s="18" t="n">
        <v>-896453.12</v>
      </c>
      <c r="AB103" s="19" t="n">
        <v>-113016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E104" s="18" t="n">
        <v>233841.15</v>
      </c>
      <c r="F104" s="9" t="n"/>
      <c r="G104" s="18" t="n">
        <v>172835.71</v>
      </c>
      <c r="H104" s="18" t="n">
        <v>424867.94</v>
      </c>
      <c r="I104" s="18" t="n">
        <v>941183.2</v>
      </c>
      <c r="J104" s="18" t="n">
        <v>301254.04</v>
      </c>
      <c r="K104" s="34" t="n">
        <v>1840140.89</v>
      </c>
      <c r="L104" s="18" t="n">
        <v>552455.7</v>
      </c>
      <c r="M104" s="18" t="n">
        <v>428462.83</v>
      </c>
      <c r="N104" s="18" t="n">
        <v>676363.71</v>
      </c>
      <c r="O104" s="18" t="n">
        <v>516942.92</v>
      </c>
      <c r="P104" s="34" t="n">
        <v>2174225.16</v>
      </c>
      <c r="Q104" s="18" t="n">
        <v>1010071.6</v>
      </c>
      <c r="R104" s="18" t="n">
        <v>865604.85</v>
      </c>
      <c r="S104" s="18" t="n">
        <v>979079.1</v>
      </c>
      <c r="T104" s="18" t="n">
        <v>626139.28</v>
      </c>
      <c r="U104" s="34" t="n">
        <v>3480894.83</v>
      </c>
      <c r="V104" s="18" t="n">
        <v>749564.59</v>
      </c>
      <c r="W104" s="18" t="n">
        <v>481342.71</v>
      </c>
      <c r="X104" s="18" t="n">
        <v>580886.7</v>
      </c>
      <c r="Y104" s="18" t="n">
        <v>184765.85</v>
      </c>
      <c r="Z104" s="34" t="n">
        <v>1996559.85</v>
      </c>
      <c r="AA104" s="18" t="n">
        <v>146391.58</v>
      </c>
      <c r="AB104" s="19" t="n">
        <v>182068.51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E105" s="18" t="n">
        <v>1006718.19</v>
      </c>
      <c r="F105" s="9" t="n"/>
      <c r="G105" s="18" t="n">
        <v>286966.15</v>
      </c>
      <c r="H105" s="18" t="n">
        <v>509245.4</v>
      </c>
      <c r="I105" s="18" t="n">
        <v>115510.54</v>
      </c>
      <c r="J105" s="18" t="n">
        <v>422545.09</v>
      </c>
      <c r="K105" s="34" t="n">
        <v>1334267.18</v>
      </c>
      <c r="L105" s="18" t="n">
        <v>761234.42</v>
      </c>
      <c r="M105" s="18" t="n">
        <v>177333.3</v>
      </c>
      <c r="N105" s="18" t="n">
        <v>484470.61</v>
      </c>
      <c r="O105" s="18" t="n">
        <v>306608.99</v>
      </c>
      <c r="P105" s="34" t="n">
        <v>1729647.32</v>
      </c>
      <c r="Q105" s="18" t="n">
        <v>807134.12</v>
      </c>
      <c r="R105" s="18" t="n">
        <v>760031.59</v>
      </c>
      <c r="S105" s="18" t="n">
        <v>688720.6800000001</v>
      </c>
      <c r="T105" s="18" t="n">
        <v>983191.98</v>
      </c>
      <c r="U105" s="34" t="n">
        <v>3239078.37</v>
      </c>
      <c r="V105" s="18" t="n">
        <v>788760.36</v>
      </c>
      <c r="W105" s="18" t="n">
        <v>714152.22</v>
      </c>
      <c r="X105" s="18" t="n">
        <v>778178.14</v>
      </c>
      <c r="Y105" s="18" t="n">
        <v>430410.95</v>
      </c>
      <c r="Z105" s="34" t="n">
        <v>2711501.67</v>
      </c>
      <c r="AA105" s="18" t="n">
        <v>862182.78</v>
      </c>
      <c r="AB105" s="19" t="n">
        <v>167365.29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유동성장기부채의감소</t>
        </is>
      </c>
      <c r="E106" s="18" t="n">
        <v>1169979</v>
      </c>
      <c r="F106" s="9" t="n"/>
      <c r="G106" s="18" t="n">
        <v>117791</v>
      </c>
      <c r="H106" s="18" t="n">
        <v>317138</v>
      </c>
      <c r="I106" s="18" t="n">
        <v>170650</v>
      </c>
      <c r="J106" s="18" t="n">
        <v>30000</v>
      </c>
      <c r="K106" s="34" t="n">
        <v>635579</v>
      </c>
      <c r="L106" s="18" t="n">
        <v>94314.53</v>
      </c>
      <c r="M106" s="18" t="n">
        <v>679585.73</v>
      </c>
      <c r="O106" s="18" t="n">
        <v>0</v>
      </c>
      <c r="P106" s="9" t="n"/>
      <c r="Q106" s="18" t="n">
        <v>315644</v>
      </c>
      <c r="R106" s="18" t="n">
        <v>180110</v>
      </c>
      <c r="S106" s="18" t="n">
        <v>247676</v>
      </c>
      <c r="T106" s="18" t="n">
        <v>388753</v>
      </c>
      <c r="U106" s="34" t="n">
        <v>1132183</v>
      </c>
      <c r="V106" s="18" t="n">
        <v>78961</v>
      </c>
      <c r="W106" s="18" t="n">
        <v>302284</v>
      </c>
      <c r="X106" s="18" t="n">
        <v>399177</v>
      </c>
      <c r="Y106" s="18" t="n">
        <v>182185</v>
      </c>
      <c r="Z106" s="34" t="n">
        <v>962607</v>
      </c>
      <c r="AA106" s="18" t="n">
        <v>164865.01</v>
      </c>
      <c r="AB106" s="19" t="n">
        <v>117502.27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사채의증가</t>
        </is>
      </c>
      <c r="E107" s="18" t="n">
        <v>0</v>
      </c>
      <c r="F107" s="9" t="n"/>
      <c r="I107" s="18" t="n">
        <v>0</v>
      </c>
      <c r="J107" s="18" t="n">
        <v>79539.16</v>
      </c>
      <c r="K107" s="9" t="n"/>
      <c r="L107" s="18" t="n">
        <v>44909.51</v>
      </c>
      <c r="M107" s="18" t="n">
        <v>179638.2</v>
      </c>
      <c r="N107" s="18" t="n">
        <v>0</v>
      </c>
      <c r="O107" s="18" t="n">
        <v>0</v>
      </c>
      <c r="P107" s="34" t="n">
        <v>224547.71</v>
      </c>
      <c r="Q107" s="18" t="n">
        <v>0</v>
      </c>
      <c r="R107" s="18" t="n">
        <v>0</v>
      </c>
      <c r="S107" s="18" t="n">
        <v>0</v>
      </c>
      <c r="T107" s="18" t="n">
        <v>0</v>
      </c>
      <c r="U107" s="34" t="n">
        <v>0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장기차입금의증가</t>
        </is>
      </c>
      <c r="E108" s="18" t="n">
        <v>100000</v>
      </c>
      <c r="F108" s="9" t="n"/>
      <c r="G108" s="18" t="n">
        <v>110145</v>
      </c>
      <c r="H108" s="18" t="n">
        <v>361407</v>
      </c>
      <c r="I108" s="18" t="n">
        <v>194447.54</v>
      </c>
      <c r="J108" s="18" t="n">
        <v>205001.19</v>
      </c>
      <c r="K108" s="34" t="n">
        <v>871000.73</v>
      </c>
      <c r="N108" s="18" t="n">
        <v>0</v>
      </c>
      <c r="O108" s="18" t="n">
        <v>117530</v>
      </c>
      <c r="P108" s="9" t="n"/>
      <c r="Q108" s="18" t="n">
        <v>107012.16</v>
      </c>
      <c r="R108" s="18" t="n">
        <v>105319.33</v>
      </c>
      <c r="S108" s="18" t="n">
        <v>198041.69</v>
      </c>
      <c r="T108" s="18" t="n">
        <v>76345.47</v>
      </c>
      <c r="U108" s="34" t="n">
        <v>486718.65</v>
      </c>
      <c r="V108" s="18" t="n">
        <v>1656.09</v>
      </c>
      <c r="W108" s="18" t="n">
        <v>195583.36</v>
      </c>
      <c r="Z108" s="9" t="n"/>
      <c r="AA108" s="18" t="n">
        <v>0</v>
      </c>
      <c r="AB108" s="19" t="n">
        <v>0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리스부채의상환</t>
        </is>
      </c>
      <c r="E109" s="18" t="n">
        <v>5486.85</v>
      </c>
      <c r="F109" s="9" t="n"/>
      <c r="G109" s="18" t="n">
        <v>10024.48</v>
      </c>
      <c r="H109" s="18" t="n">
        <v>16751.48</v>
      </c>
      <c r="I109" s="18" t="n">
        <v>11267.28</v>
      </c>
      <c r="J109" s="18" t="n">
        <v>16041.39</v>
      </c>
      <c r="K109" s="34" t="n">
        <v>54084.63</v>
      </c>
      <c r="L109" s="18" t="n">
        <v>15805.12</v>
      </c>
      <c r="M109" s="18" t="n">
        <v>19196.43</v>
      </c>
      <c r="N109" s="18" t="n">
        <v>14105.85</v>
      </c>
      <c r="O109" s="18" t="n">
        <v>14775.23</v>
      </c>
      <c r="P109" s="34" t="n">
        <v>63882.63</v>
      </c>
      <c r="Q109" s="18" t="n">
        <v>20849.73</v>
      </c>
      <c r="R109" s="18" t="n">
        <v>21496.91</v>
      </c>
      <c r="S109" s="18" t="n">
        <v>21436.23</v>
      </c>
      <c r="T109" s="18" t="n">
        <v>20823.64</v>
      </c>
      <c r="U109" s="34" t="n">
        <v>84606.50999999999</v>
      </c>
      <c r="V109" s="18" t="n">
        <v>17739.85</v>
      </c>
      <c r="W109" s="18" t="n">
        <v>19368.79</v>
      </c>
      <c r="X109" s="18" t="n">
        <v>22221.57</v>
      </c>
      <c r="Y109" s="18" t="n">
        <v>22861.36</v>
      </c>
      <c r="Z109" s="34" t="n">
        <v>82191.57000000001</v>
      </c>
      <c r="AA109" s="18" t="n">
        <v>15796.91</v>
      </c>
      <c r="AB109" s="19" t="n">
        <v>10236.95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현금및현금성자산의증감</t>
        </is>
      </c>
      <c r="E110" s="18" t="n">
        <v>-587435.63</v>
      </c>
      <c r="F110" s="9" t="n"/>
      <c r="G110" s="18" t="n">
        <v>82599.62</v>
      </c>
      <c r="H110" s="18" t="n">
        <v>233190.47</v>
      </c>
      <c r="I110" s="18" t="n">
        <v>-84227.50999999999</v>
      </c>
      <c r="J110" s="18" t="n">
        <v>124293.51</v>
      </c>
      <c r="K110" s="34" t="n">
        <v>355856.09</v>
      </c>
      <c r="L110" s="18" t="n">
        <v>-633796.9399999999</v>
      </c>
      <c r="M110" s="18" t="n">
        <v>366079.94</v>
      </c>
      <c r="N110" s="18" t="n">
        <v>-158432.75</v>
      </c>
      <c r="O110" s="18" t="n">
        <v>90938.39999999999</v>
      </c>
      <c r="P110" s="34" t="n">
        <v>-335211.35</v>
      </c>
      <c r="Q110" s="18" t="n">
        <v>196112.99</v>
      </c>
      <c r="R110" s="18" t="n">
        <v>-456857.41</v>
      </c>
      <c r="S110" s="18" t="n">
        <v>306846.19</v>
      </c>
      <c r="T110" s="18" t="n">
        <v>319729.84</v>
      </c>
      <c r="U110" s="34" t="n">
        <v>365831.61</v>
      </c>
      <c r="V110" s="18" t="n">
        <v>-436146.06</v>
      </c>
      <c r="W110" s="18" t="n">
        <v>79593.17</v>
      </c>
      <c r="X110" s="18" t="n">
        <v>806152.62</v>
      </c>
      <c r="Y110" s="18" t="n">
        <v>-633647.01</v>
      </c>
      <c r="Z110" s="34" t="n">
        <v>-184047.28</v>
      </c>
      <c r="AA110" s="18" t="n">
        <v>261768.16</v>
      </c>
      <c r="AB110" s="19" t="n">
        <v>-233696.4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기말현금및현금성자산</t>
        </is>
      </c>
      <c r="E111" s="18" t="n">
        <v>-597485.24</v>
      </c>
      <c r="F111" s="9" t="n"/>
      <c r="G111" s="18" t="n">
        <v>674797.03</v>
      </c>
      <c r="H111" s="18" t="n">
        <v>240586.97</v>
      </c>
      <c r="I111" s="18" t="n">
        <v>-88206.64</v>
      </c>
      <c r="J111" s="18" t="n">
        <v>92014.34</v>
      </c>
      <c r="K111" s="34" t="n">
        <v>919191.7</v>
      </c>
      <c r="L111" s="18" t="n">
        <v>287073.93</v>
      </c>
      <c r="M111" s="18" t="n">
        <v>364375.25</v>
      </c>
      <c r="N111" s="18" t="n">
        <v>-157600.26</v>
      </c>
      <c r="O111" s="18" t="n">
        <v>89962.78</v>
      </c>
      <c r="P111" s="34" t="n">
        <v>583811.7</v>
      </c>
      <c r="Q111" s="18" t="n">
        <v>789036.13</v>
      </c>
      <c r="R111" s="18" t="n">
        <v>-463500.79</v>
      </c>
      <c r="S111" s="18" t="n">
        <v>304937.82</v>
      </c>
      <c r="T111" s="18" t="n">
        <v>325488.69</v>
      </c>
      <c r="U111" s="34" t="n">
        <v>955961.85</v>
      </c>
      <c r="V111" s="18" t="n">
        <v>519674.1</v>
      </c>
      <c r="W111" s="18" t="n">
        <v>77097.06</v>
      </c>
      <c r="X111" s="18" t="n">
        <v>806251.88</v>
      </c>
      <c r="Y111" s="18" t="n">
        <v>-630408.39</v>
      </c>
      <c r="Z111" s="34" t="n">
        <v>772614.65</v>
      </c>
      <c r="AA111" s="18" t="n">
        <v>1038042.76</v>
      </c>
      <c r="AB111" s="19" t="n">
        <v>-230627.48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장기차입금의감소</t>
        </is>
      </c>
      <c r="F112" s="9" t="n"/>
      <c r="K112" s="9" t="n"/>
      <c r="N112" s="18" t="n">
        <v>265222.72</v>
      </c>
      <c r="O112" s="18" t="n">
        <v>95360.78</v>
      </c>
      <c r="P112" s="9" t="n"/>
      <c r="S112" s="18" t="n">
        <v>0</v>
      </c>
      <c r="T112" s="18" t="n">
        <v>0</v>
      </c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무형자산의증가</t>
        </is>
      </c>
      <c r="F113" s="9" t="n"/>
      <c r="K113" s="9" t="n"/>
      <c r="O113" s="18" t="n">
        <v>-0.13</v>
      </c>
      <c r="P113" s="9" t="n"/>
      <c r="Q113" s="18" t="n">
        <v>15.68</v>
      </c>
      <c r="R113" s="18" t="n">
        <v>0.19</v>
      </c>
      <c r="S113" s="18" t="n">
        <v>0.07000000000000001</v>
      </c>
      <c r="T113" s="18" t="n">
        <v>3.92</v>
      </c>
      <c r="U113" s="34" t="n">
        <v>19.86</v>
      </c>
      <c r="V113" s="18" t="n">
        <v>0</v>
      </c>
      <c r="W113" s="18" t="n">
        <v>0</v>
      </c>
      <c r="X113" s="18" t="n">
        <v>0</v>
      </c>
      <c r="Y113" s="18" t="n">
        <v>0</v>
      </c>
      <c r="Z113" s="34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4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4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4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4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4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4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4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4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4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4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4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4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4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4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4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4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4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4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4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4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4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4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4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4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4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4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4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4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4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4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4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4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4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4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4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4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4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4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4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4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4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4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4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4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4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4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4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4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4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4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4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4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4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4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4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4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4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4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4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4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4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4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4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4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4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4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4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4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4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4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4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4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4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4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4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4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4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4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4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4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4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4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4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4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4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4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4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4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4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4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4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4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4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4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4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4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4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4" t="n">
        <v>274.64</v>
      </c>
      <c r="L25" s="18" t="n">
        <v>273.6</v>
      </c>
      <c r="O25" s="18" t="n">
        <v>0</v>
      </c>
      <c r="P25" s="34" t="n">
        <v>0</v>
      </c>
      <c r="T25" s="18" t="n">
        <v>0</v>
      </c>
      <c r="U25" s="34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4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4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4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4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4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4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4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4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4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4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4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4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4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4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4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4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4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4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4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4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4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4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4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4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4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4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4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4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4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4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4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4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4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4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4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4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4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4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4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4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4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4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4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4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4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4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4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4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4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4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4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4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4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4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4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4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4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4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4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4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4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4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4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4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4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4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4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4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4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4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4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4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4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4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4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4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4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4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4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4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4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4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4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4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4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4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4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4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4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4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4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4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4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4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4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4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4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4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4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4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4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4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4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4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4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4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4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4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4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4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4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4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4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4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4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4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4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4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4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4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4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4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4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4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4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4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4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4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4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4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4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4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4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4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4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4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4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4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4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4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4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4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4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4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4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4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4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4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4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4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4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4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4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4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4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4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4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4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4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4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4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4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4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4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4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4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4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4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4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4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4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4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4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4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4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4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4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4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4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4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4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4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4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4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4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4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4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4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4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4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4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4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4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4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4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4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4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4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4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4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4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4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4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4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4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4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4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4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4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4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4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4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4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4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4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4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4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4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4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4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4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4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4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4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4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4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4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4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4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4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4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4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4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4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4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4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4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4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4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4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4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4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4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4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4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4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4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4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4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4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4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4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4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4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4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4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4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4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4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4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4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4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4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4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4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4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4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4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4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4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4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4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4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4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4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4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4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4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4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4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4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4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4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4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4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4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4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4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4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4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4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4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4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4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4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4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4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4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4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4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4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4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4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4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4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4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4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4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4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4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4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4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4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4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4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4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4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4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4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4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4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4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4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4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4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4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4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4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4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4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-0.1392</v>
      </c>
      <c r="F10" s="34" t="n"/>
      <c r="G10" s="18" t="n">
        <v>-0.064</v>
      </c>
      <c r="H10" s="18" t="n">
        <v>-0.1793</v>
      </c>
      <c r="I10" s="18" t="n">
        <v>-0.1199</v>
      </c>
      <c r="J10" s="18" t="n">
        <v>-0.2055</v>
      </c>
      <c r="K10" s="34">
        <f>SUM(G10:J10)</f>
        <v/>
      </c>
      <c r="L10" s="18" t="n">
        <v>0.0122</v>
      </c>
      <c r="M10" s="18" t="n">
        <v>0.0303</v>
      </c>
      <c r="N10" s="18" t="n">
        <v>0.0375</v>
      </c>
      <c r="O10" s="18" t="n">
        <v>0.0325</v>
      </c>
      <c r="P10" s="34">
        <f>SUM(L10:O10)</f>
        <v/>
      </c>
      <c r="Q10" s="18" t="n">
        <v>0.0332</v>
      </c>
      <c r="R10" s="18" t="n">
        <v>0.0516</v>
      </c>
      <c r="S10" s="18" t="n">
        <v>0.0516</v>
      </c>
      <c r="T10" s="18" t="n">
        <v>0.0645</v>
      </c>
      <c r="U10" s="34">
        <f>SUM(Q10:T10)</f>
        <v/>
      </c>
      <c r="V10" s="18" t="n">
        <v>0.0493</v>
      </c>
      <c r="W10" s="18" t="n">
        <v>0.07630000000000001</v>
      </c>
      <c r="X10" s="18" t="n">
        <v>0.09039999999999999</v>
      </c>
      <c r="Y10" s="18" t="n">
        <v>0.1044</v>
      </c>
      <c r="Z10" s="34">
        <f>SUM(V10:Y10)</f>
        <v/>
      </c>
      <c r="AA10" s="18" t="n">
        <v>0.0941</v>
      </c>
      <c r="AB10" s="19" t="n">
        <v>0.1006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730.9</v>
      </c>
      <c r="F27" s="34" t="n"/>
      <c r="G27" s="18" t="n">
        <v>-1955.03</v>
      </c>
      <c r="H27" s="18" t="n">
        <v>-1172.98</v>
      </c>
      <c r="I27" s="18" t="n">
        <v>-11595.37</v>
      </c>
      <c r="J27" s="18" t="n">
        <v>-2206.82</v>
      </c>
      <c r="K27" s="34">
        <f>SUM(G27:J27)</f>
        <v/>
      </c>
      <c r="L27" s="18" t="n">
        <v>2800.16</v>
      </c>
      <c r="M27" s="18" t="n">
        <v>-3259.34</v>
      </c>
      <c r="N27" s="18" t="n">
        <v>-4086.77</v>
      </c>
      <c r="O27" s="18" t="n">
        <v>-618.71</v>
      </c>
      <c r="P27" s="34">
        <f>SUM(L27:O27)</f>
        <v/>
      </c>
      <c r="Q27" s="18" t="n">
        <v>2992.82</v>
      </c>
      <c r="R27" s="18" t="n">
        <v>-4352.56</v>
      </c>
      <c r="S27" s="18" t="n">
        <v>1006.62</v>
      </c>
      <c r="T27" s="18" t="n">
        <v>6898.31</v>
      </c>
      <c r="U27" s="34">
        <f>SUM(Q27:T27)</f>
        <v/>
      </c>
      <c r="V27" s="18" t="n">
        <v>-1310.51</v>
      </c>
      <c r="W27" s="18" t="n">
        <v>4014.95</v>
      </c>
      <c r="X27" s="18" t="n">
        <v>13678.89</v>
      </c>
      <c r="Y27" s="18" t="n">
        <v>-754.84</v>
      </c>
      <c r="Z27" s="34">
        <f>SUM(V27:Y27)</f>
        <v/>
      </c>
      <c r="AA27" s="18" t="n">
        <v>14888.09</v>
      </c>
      <c r="AB27" s="19" t="n">
        <v>8181.26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854.0359999999999</v>
      </c>
      <c r="F28" s="27">
        <f>E28</f>
        <v/>
      </c>
      <c r="G28" s="26" t="n">
        <v>854.0359999999999</v>
      </c>
      <c r="H28" s="26" t="n">
        <v>854.0359999999999</v>
      </c>
      <c r="I28" s="26" t="n">
        <v>854.0359999999999</v>
      </c>
      <c r="J28" s="26" t="n">
        <v>854.0359999999999</v>
      </c>
      <c r="K28" s="27">
        <f>J28</f>
        <v/>
      </c>
      <c r="L28" s="26" t="n">
        <v>854.0359999999999</v>
      </c>
      <c r="M28" s="26" t="n">
        <v>854.0359999999999</v>
      </c>
      <c r="N28" s="26" t="n">
        <v>854.0359999999999</v>
      </c>
      <c r="O28" s="26" t="n">
        <v>854.0359999999999</v>
      </c>
      <c r="P28" s="27">
        <f>O28</f>
        <v/>
      </c>
      <c r="Q28" s="26" t="n">
        <v>854.0359999999999</v>
      </c>
      <c r="R28" s="26" t="n">
        <v>854.0359999999999</v>
      </c>
      <c r="S28" s="26" t="n">
        <v>854.0359999999999</v>
      </c>
      <c r="T28" s="26" t="n">
        <v>854.0359999999999</v>
      </c>
      <c r="U28" s="27">
        <f>T28</f>
        <v/>
      </c>
      <c r="V28" s="26" t="n">
        <v>854.0359999999999</v>
      </c>
      <c r="W28" s="26" t="n">
        <v>854.0359999999999</v>
      </c>
      <c r="X28" s="26" t="n">
        <v>854.0359999999999</v>
      </c>
      <c r="Y28" s="26" t="n">
        <v>854.0359999999999</v>
      </c>
      <c r="Z28" s="27">
        <f>Y28</f>
        <v/>
      </c>
      <c r="AA28" s="26" t="n">
        <v>854.0359999999999</v>
      </c>
      <c r="AB28" s="28" t="n">
        <v>854.0359999999999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/>
      <c r="J32" s="18" t="n"/>
      <c r="K32" s="34">
        <f>SUM(G32:J32)</f>
        <v/>
      </c>
      <c r="L32" s="18" t="n"/>
      <c r="M32" s="18" t="n"/>
      <c r="N32" s="18" t="n"/>
      <c r="O32" s="18" t="n"/>
      <c r="P32" s="34">
        <f>SUM(L32:O32)</f>
        <v/>
      </c>
      <c r="Q32" s="18" t="n"/>
      <c r="R32" s="18" t="n"/>
      <c r="S32" s="18" t="n"/>
      <c r="T32" s="18" t="n">
        <v>144.35</v>
      </c>
      <c r="U32" s="34">
        <f>SUM(Q32:T32)</f>
        <v/>
      </c>
      <c r="V32" s="18" t="n">
        <v>79.14</v>
      </c>
      <c r="W32" s="18" t="n">
        <v>46.2</v>
      </c>
      <c r="X32" s="18" t="n">
        <v>47.84</v>
      </c>
      <c r="Y32" s="18" t="n">
        <v>39.76</v>
      </c>
      <c r="Z32" s="34">
        <f>SUM(V32:Y32)</f>
        <v/>
      </c>
      <c r="AA32" s="18" t="n">
        <v>43.47</v>
      </c>
      <c r="AB32" s="19" t="n">
        <v>43.54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1.21</v>
      </c>
      <c r="F33" s="34" t="n">
        <v>1.18</v>
      </c>
      <c r="G33" s="18" t="n">
        <v>1.19</v>
      </c>
      <c r="H33" s="18" t="n">
        <v>1.17</v>
      </c>
      <c r="I33" s="18" t="n">
        <v>1.08</v>
      </c>
      <c r="J33" s="18" t="n">
        <v>1.24</v>
      </c>
      <c r="K33" s="34">
        <f>SUM(G33:J33)</f>
        <v/>
      </c>
      <c r="L33" s="18" t="n">
        <v>1.21</v>
      </c>
      <c r="M33" s="18" t="n">
        <v>1.36</v>
      </c>
      <c r="N33" s="18" t="n">
        <v>1.82</v>
      </c>
      <c r="O33" s="18" t="n">
        <v>1.88</v>
      </c>
      <c r="P33" s="34">
        <f>SUM(L33:O33)</f>
        <v/>
      </c>
      <c r="Q33" s="18" t="n">
        <v>1.78</v>
      </c>
      <c r="R33" s="18" t="n">
        <v>2.01</v>
      </c>
      <c r="S33" s="18" t="n">
        <v>2.38</v>
      </c>
      <c r="T33" s="18" t="n">
        <v>2.43</v>
      </c>
      <c r="U33" s="34">
        <f>SUM(Q33:T33)</f>
        <v/>
      </c>
      <c r="V33" s="18" t="n">
        <v>3</v>
      </c>
      <c r="W33" s="18" t="n">
        <v>3.59</v>
      </c>
      <c r="X33" s="18" t="n">
        <v>4.21</v>
      </c>
      <c r="Y33" s="18" t="n">
        <v>5.23</v>
      </c>
      <c r="Z33" s="34">
        <f>SUM(V33:Y33)</f>
        <v/>
      </c>
      <c r="AA33" s="18" t="n">
        <v>5.35</v>
      </c>
      <c r="AB33" s="19" t="n">
        <v>5.16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매출조선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조선·해양(조선해양)</t>
        </is>
      </c>
      <c r="E34" s="18" t="n"/>
      <c r="F34" s="34" t="n"/>
      <c r="G34" s="18" t="n">
        <v>14972</v>
      </c>
      <c r="H34" s="18" t="n">
        <v>14022</v>
      </c>
      <c r="I34" s="18" t="n">
        <v>12974</v>
      </c>
      <c r="J34" s="18" t="n">
        <v>14356</v>
      </c>
      <c r="K34" s="34">
        <f>SUM(G34:J34)</f>
        <v/>
      </c>
      <c r="L34" s="18" t="n">
        <v>14522</v>
      </c>
      <c r="M34" s="18" t="n">
        <v>18157</v>
      </c>
      <c r="N34" s="18" t="n">
        <v>19278</v>
      </c>
      <c r="O34" s="18" t="n">
        <v>22382</v>
      </c>
      <c r="P34" s="34">
        <f>SUM(L34:O34)</f>
        <v/>
      </c>
      <c r="Q34" s="18" t="n">
        <v>22122</v>
      </c>
      <c r="R34" s="18" t="n">
        <v>22532</v>
      </c>
      <c r="S34" s="18" t="n">
        <v>22638</v>
      </c>
      <c r="T34" s="18" t="n">
        <v>25808</v>
      </c>
      <c r="U34" s="34">
        <f>SUM(Q34:T34)</f>
        <v/>
      </c>
      <c r="V34" s="18" t="n">
        <v>23988</v>
      </c>
      <c r="W34" s="18" t="n">
        <v>31509</v>
      </c>
      <c r="X34" s="18" t="n">
        <v>21080</v>
      </c>
      <c r="Y34" s="18" t="n">
        <v>27786</v>
      </c>
      <c r="Z34" s="34">
        <f>SUM(V34:Y34)</f>
        <v/>
      </c>
      <c r="AA34" s="18" t="n">
        <v>28097</v>
      </c>
      <c r="AB34" s="19" t="n">
        <v>30935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OP조선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조선·해양(조선해양)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A36" s="12" t="inlineStr">
        <is>
          <t>매출기타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기타 부문(총매출 − 조선)</t>
        </is>
      </c>
      <c r="E36" s="18" t="n"/>
      <c r="F36" s="34" t="n"/>
      <c r="G36" s="18" t="n">
        <v>0</v>
      </c>
      <c r="H36" s="18" t="n">
        <v>239.46</v>
      </c>
      <c r="I36" s="18" t="n">
        <v>1027.29</v>
      </c>
      <c r="J36" s="18" t="n">
        <v>1989.46</v>
      </c>
      <c r="K36" s="34">
        <f>SUM(G36:J36)</f>
        <v/>
      </c>
      <c r="L36" s="18" t="n">
        <v>1528.52</v>
      </c>
      <c r="M36" s="18" t="n">
        <v>1300.87</v>
      </c>
      <c r="N36" s="18" t="n">
        <v>976.3</v>
      </c>
      <c r="O36" s="18" t="n">
        <v>1949.61</v>
      </c>
      <c r="P36" s="34">
        <f>SUM(L36:O36)</f>
        <v/>
      </c>
      <c r="Q36" s="18" t="n">
        <v>1355.96</v>
      </c>
      <c r="R36" s="18" t="n">
        <v>2787.55</v>
      </c>
      <c r="S36" s="18" t="n">
        <v>591.5599999999999</v>
      </c>
      <c r="T36" s="18" t="n">
        <v>1195.71</v>
      </c>
      <c r="U36" s="34">
        <f>SUM(Q36:T36)</f>
        <v/>
      </c>
      <c r="V36" s="18" t="n">
        <v>954.86</v>
      </c>
      <c r="W36" s="18" t="n">
        <v>0</v>
      </c>
      <c r="X36" s="18" t="n">
        <v>5268.19</v>
      </c>
      <c r="Y36" s="18" t="n">
        <v>593.29</v>
      </c>
      <c r="Z36" s="34">
        <f>SUM(V36:Y36)</f>
        <v/>
      </c>
      <c r="AA36" s="18" t="n">
        <v>925.51</v>
      </c>
      <c r="AB36" s="19" t="n">
        <v>1372.12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OP기타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기타 부문(총매출 − 조선)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OPM</t>
        </is>
      </c>
      <c r="C39" t="inlineStr">
        <is>
          <t>%</t>
        </is>
      </c>
      <c r="D39" t="inlineStr">
        <is>
          <t>영업이익 / 매출액</t>
        </is>
      </c>
      <c r="E39" s="21">
        <f>IFERROR(E9/E5,"")</f>
        <v/>
      </c>
      <c r="F39" s="22">
        <f>IFERROR(F9/F5,"")</f>
        <v/>
      </c>
      <c r="G39" s="21">
        <f>IFERROR(G9/G5,"")</f>
        <v/>
      </c>
      <c r="H39" s="21">
        <f>IFERROR(H9/H5,"")</f>
        <v/>
      </c>
      <c r="I39" s="21">
        <f>IFERROR(I9/I5,"")</f>
        <v/>
      </c>
      <c r="J39" s="21">
        <f>IFERROR(J9/J5,"")</f>
        <v/>
      </c>
      <c r="K39" s="22">
        <f>IFERROR(K9/K5,"")</f>
        <v/>
      </c>
      <c r="L39" s="21">
        <f>IFERROR(L9/L5,"")</f>
        <v/>
      </c>
      <c r="M39" s="21">
        <f>IFERROR(M9/M5,"")</f>
        <v/>
      </c>
      <c r="N39" s="21">
        <f>IFERROR(N9/N5,"")</f>
        <v/>
      </c>
      <c r="O39" s="21">
        <f>IFERROR(O9/O5,"")</f>
        <v/>
      </c>
      <c r="P39" s="22">
        <f>IFERROR(P9/P5,"")</f>
        <v/>
      </c>
      <c r="Q39" s="21">
        <f>IFERROR(Q9/Q5,"")</f>
        <v/>
      </c>
      <c r="R39" s="21">
        <f>IFERROR(R9/R5,"")</f>
        <v/>
      </c>
      <c r="S39" s="21">
        <f>IFERROR(S9/S5,"")</f>
        <v/>
      </c>
      <c r="T39" s="21">
        <f>IFERROR(T9/T5,"")</f>
        <v/>
      </c>
      <c r="U39" s="22">
        <f>IFERROR(U9/U5,"")</f>
        <v/>
      </c>
      <c r="V39" s="21">
        <f>IFERROR(V9/V5,"")</f>
        <v/>
      </c>
      <c r="W39" s="21">
        <f>IFERROR(W9/W5,"")</f>
        <v/>
      </c>
      <c r="X39" s="21">
        <f>IFERROR(X9/X5,"")</f>
        <v/>
      </c>
      <c r="Y39" s="21">
        <f>IFERROR(Y9/Y5,"")</f>
        <v/>
      </c>
      <c r="Z39" s="22">
        <f>IFERROR(Z9/Z5,"")</f>
        <v/>
      </c>
      <c r="AA39" s="21">
        <f>IFERROR(AA9/AA5,"")</f>
        <v/>
      </c>
      <c r="AB39" s="23">
        <f>IFERROR(AB9/AB5,"")</f>
        <v/>
      </c>
      <c r="AC39" s="31">
        <f>IFERROR(AC9/AC5,"")</f>
        <v/>
      </c>
      <c r="AD39" s="31">
        <f>IFERROR(AD9/AD5,"")</f>
        <v/>
      </c>
      <c r="AE39" s="25">
        <f>IFERROR(AE9/AE5,"")</f>
        <v/>
      </c>
      <c r="AF39" s="31">
        <f>IFERROR(AF9/AF5,"")</f>
        <v/>
      </c>
      <c r="AG39" s="31">
        <f>IFERROR(AG9/AG5,"")</f>
        <v/>
      </c>
      <c r="AH39" s="31">
        <f>IFERROR(AH9/AH5,"")</f>
        <v/>
      </c>
      <c r="AI39" s="31">
        <f>IFERROR(AI9/AI5,"")</f>
        <v/>
      </c>
      <c r="AJ39" s="25">
        <f>IFERROR(AJ9/AJ5,"")</f>
        <v/>
      </c>
      <c r="AK39" s="31">
        <f>IFERROR(AK9/AK5,"")</f>
        <v/>
      </c>
      <c r="AL39" s="31">
        <f>IFERROR(AL9/AL5,"")</f>
        <v/>
      </c>
      <c r="AM39" s="31">
        <f>IFERROR(AM9/AM5,"")</f>
        <v/>
      </c>
      <c r="AN39" s="31">
        <f>IFERROR(AN9/AN5,"")</f>
        <v/>
      </c>
      <c r="AO39" s="25">
        <f>IFERROR(AO9/AO5,"")</f>
        <v/>
      </c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IFERROR(E17/E5,"")</f>
        <v/>
      </c>
      <c r="F40" s="22">
        <f>IFERROR(F17/F5,"")</f>
        <v/>
      </c>
      <c r="G40" s="21">
        <f>IFERROR(G17/G5,"")</f>
        <v/>
      </c>
      <c r="H40" s="21">
        <f>IFERROR(H17/H5,"")</f>
        <v/>
      </c>
      <c r="I40" s="21">
        <f>IFERROR(I17/I5,"")</f>
        <v/>
      </c>
      <c r="J40" s="21">
        <f>IFERROR(J17/J5,"")</f>
        <v/>
      </c>
      <c r="K40" s="22">
        <f>IFERROR(K17/K5,"")</f>
        <v/>
      </c>
      <c r="L40" s="21">
        <f>IFERROR(L17/L5,"")</f>
        <v/>
      </c>
      <c r="M40" s="21">
        <f>IFERROR(M17/M5,"")</f>
        <v/>
      </c>
      <c r="N40" s="21">
        <f>IFERROR(N17/N5,"")</f>
        <v/>
      </c>
      <c r="O40" s="21">
        <f>IFERROR(O17/O5,"")</f>
        <v/>
      </c>
      <c r="P40" s="22">
        <f>IFERROR(P17/P5,"")</f>
        <v/>
      </c>
      <c r="Q40" s="21">
        <f>IFERROR(Q17/Q5,"")</f>
        <v/>
      </c>
      <c r="R40" s="21">
        <f>IFERROR(R17/R5,"")</f>
        <v/>
      </c>
      <c r="S40" s="21">
        <f>IFERROR(S17/S5,"")</f>
        <v/>
      </c>
      <c r="T40" s="21">
        <f>IFERROR(T17/T5,"")</f>
        <v/>
      </c>
      <c r="U40" s="22">
        <f>IFERROR(U17/U5,"")</f>
        <v/>
      </c>
      <c r="V40" s="21">
        <f>IFERROR(V17/V5,"")</f>
        <v/>
      </c>
      <c r="W40" s="21">
        <f>IFERROR(W17/W5,"")</f>
        <v/>
      </c>
      <c r="X40" s="21">
        <f>IFERROR(X17/X5,"")</f>
        <v/>
      </c>
      <c r="Y40" s="21">
        <f>IFERROR(Y17/Y5,"")</f>
        <v/>
      </c>
      <c r="Z40" s="22">
        <f>IFERROR(Z17/Z5,"")</f>
        <v/>
      </c>
      <c r="AA40" s="21">
        <f>IFERROR(AA17/AA5,"")</f>
        <v/>
      </c>
      <c r="AB40" s="23">
        <f>IFERROR(AB17/AB5,"")</f>
        <v/>
      </c>
      <c r="AC40" s="31">
        <f>IFERROR(AC17/AC5,"")</f>
        <v/>
      </c>
      <c r="AD40" s="31">
        <f>IFERROR(AD17/AD5,"")</f>
        <v/>
      </c>
      <c r="AE40" s="25">
        <f>IFERROR(AE17/AE5,"")</f>
        <v/>
      </c>
      <c r="AF40" s="31">
        <f>IFERROR(AF17/AF5,"")</f>
        <v/>
      </c>
      <c r="AG40" s="31">
        <f>IFERROR(AG17/AG5,"")</f>
        <v/>
      </c>
      <c r="AH40" s="31">
        <f>IFERROR(AH17/AH5,"")</f>
        <v/>
      </c>
      <c r="AI40" s="31">
        <f>IFERROR(AI17/AI5,"")</f>
        <v/>
      </c>
      <c r="AJ40" s="25">
        <f>IFERROR(AJ17/AJ5,"")</f>
        <v/>
      </c>
      <c r="AK40" s="31">
        <f>IFERROR(AK17/AK5,"")</f>
        <v/>
      </c>
      <c r="AL40" s="31">
        <f>IFERROR(AL17/AL5,"")</f>
        <v/>
      </c>
      <c r="AM40" s="31">
        <f>IFERROR(AM17/AM5,"")</f>
        <v/>
      </c>
      <c r="AN40" s="31">
        <f>IFERROR(AN17/AN5,"")</f>
        <v/>
      </c>
      <c r="AO40" s="25">
        <f>IFERROR(AO17/AO5,"")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1">
        <f>IFERROR(AC6/AC5,"")</f>
        <v/>
      </c>
      <c r="AD41" s="31">
        <f>IFERROR(AD6/AD5,"")</f>
        <v/>
      </c>
      <c r="AE41" s="25">
        <f>IFERROR(AE6/AE5,"")</f>
        <v/>
      </c>
      <c r="AF41" s="31">
        <f>IFERROR(AF6/AF5,"")</f>
        <v/>
      </c>
      <c r="AG41" s="31">
        <f>IFERROR(AG6/AG5,"")</f>
        <v/>
      </c>
      <c r="AH41" s="31">
        <f>IFERROR(AH6/AH5,"")</f>
        <v/>
      </c>
      <c r="AI41" s="31">
        <f>IFERROR(AI6/AI5,"")</f>
        <v/>
      </c>
      <c r="AJ41" s="25">
        <f>IFERROR(AJ6/AJ5,"")</f>
        <v/>
      </c>
      <c r="AK41" s="31">
        <f>IFERROR(AK6/AK5,"")</f>
        <v/>
      </c>
      <c r="AL41" s="31">
        <f>IFERROR(AL6/AL5,"")</f>
        <v/>
      </c>
      <c r="AM41" s="31">
        <f>IFERROR(AM6/AM5,"")</f>
        <v/>
      </c>
      <c r="AN41" s="31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1">
        <f>IFERROR(AC8/AC5,"")</f>
        <v/>
      </c>
      <c r="AD42" s="31">
        <f>IFERROR(AD8/AD5,"")</f>
        <v/>
      </c>
      <c r="AE42" s="25">
        <f>IFERROR(AE8/AE5,"")</f>
        <v/>
      </c>
      <c r="AF42" s="31">
        <f>IFERROR(AF8/AF5,"")</f>
        <v/>
      </c>
      <c r="AG42" s="31">
        <f>IFERROR(AG8/AG5,"")</f>
        <v/>
      </c>
      <c r="AH42" s="31">
        <f>IFERROR(AH8/AH5,"")</f>
        <v/>
      </c>
      <c r="AI42" s="31">
        <f>IFERROR(AI8/AI5,"")</f>
        <v/>
      </c>
      <c r="AJ42" s="25">
        <f>IFERROR(AJ8/AJ5,"")</f>
        <v/>
      </c>
      <c r="AK42" s="31">
        <f>IFERROR(AK8/AK5,"")</f>
        <v/>
      </c>
      <c r="AL42" s="31">
        <f>IFERROR(AL8/AL5,"")</f>
        <v/>
      </c>
      <c r="AM42" s="31">
        <f>IFERROR(AM8/AM5,"")</f>
        <v/>
      </c>
      <c r="AN42" s="31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V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1663.35</v>
      </c>
      <c r="X5" s="26" t="n">
        <v>1770.503</v>
      </c>
      <c r="Y5" s="26" t="n">
        <v>1732.014</v>
      </c>
      <c r="Z5" s="26" t="n">
        <v>1677.907</v>
      </c>
      <c r="AA5" s="26" t="n">
        <v>1608.775</v>
      </c>
      <c r="AB5" s="26" t="n">
        <v>1608.775</v>
      </c>
      <c r="AC5" s="26" t="n">
        <v>1360.034</v>
      </c>
      <c r="AD5" s="26" t="n">
        <v>1258.647</v>
      </c>
      <c r="AE5" s="26" t="n">
        <v>1213.376</v>
      </c>
      <c r="AF5" s="26" t="n">
        <v>1034.309</v>
      </c>
      <c r="AG5" s="26" t="n">
        <v>710.684</v>
      </c>
      <c r="AH5" s="26" t="n">
        <v>558.263</v>
      </c>
      <c r="AI5" s="26" t="n">
        <v>431.762</v>
      </c>
      <c r="AJ5" s="26" t="n">
        <v>257.358</v>
      </c>
      <c r="AK5" s="26" t="n">
        <v>182.084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6315.718</v>
      </c>
      <c r="AS5" s="26" t="n">
        <v>6627.471</v>
      </c>
      <c r="AT5" s="26" t="n">
        <v>4866.366</v>
      </c>
      <c r="AU5" s="26" t="n">
        <v>1958.067</v>
      </c>
      <c r="AV5" s="26" t="n">
        <v>392.131</v>
      </c>
    </row>
    <row r="6">
      <c r="A6" s="12" t="inlineStr">
        <is>
          <t>type:CONT</t>
        </is>
      </c>
      <c r="D6" t="inlineStr">
        <is>
          <t>선종 CONT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49.028</v>
      </c>
      <c r="K6" s="26" t="n">
        <v>49.567</v>
      </c>
      <c r="L6" s="26" t="n">
        <v>49.567</v>
      </c>
      <c r="M6" s="26" t="n">
        <v>49.028</v>
      </c>
      <c r="N6" s="26" t="n">
        <v>49.028</v>
      </c>
      <c r="O6" s="26" t="n">
        <v>49.567</v>
      </c>
      <c r="P6" s="26" t="n">
        <v>77.29300000000001</v>
      </c>
      <c r="Q6" s="26" t="n">
        <v>110.872</v>
      </c>
      <c r="R6" s="26" t="n">
        <v>138.705</v>
      </c>
      <c r="S6" s="26" t="n">
        <v>123.462</v>
      </c>
      <c r="T6" s="26" t="n">
        <v>139.011</v>
      </c>
      <c r="U6" s="26" t="n">
        <v>198.83</v>
      </c>
      <c r="V6" s="26" t="n">
        <v>216.959</v>
      </c>
      <c r="W6" s="26" t="n">
        <v>231.823</v>
      </c>
      <c r="X6" s="26" t="n">
        <v>253.111</v>
      </c>
      <c r="Y6" s="26" t="n">
        <v>247.609</v>
      </c>
      <c r="Z6" s="26" t="n">
        <v>250.36</v>
      </c>
      <c r="AA6" s="26" t="n">
        <v>253.111</v>
      </c>
      <c r="AB6" s="26" t="n">
        <v>253.111</v>
      </c>
      <c r="AC6" s="26" t="n">
        <v>163.463</v>
      </c>
      <c r="AD6" s="26" t="n">
        <v>127.538</v>
      </c>
      <c r="AE6" s="26" t="n">
        <v>116.603</v>
      </c>
      <c r="AF6" s="26" t="n">
        <v>115.135</v>
      </c>
      <c r="AG6" s="26" t="n">
        <v>81.03400000000001</v>
      </c>
      <c r="AH6" s="26" t="n">
        <v>81.934</v>
      </c>
      <c r="AI6" s="26" t="n">
        <v>82.83499999999999</v>
      </c>
      <c r="AJ6" s="26" t="n">
        <v>54.923</v>
      </c>
      <c r="AN6" s="26" t="n">
        <v>151.933</v>
      </c>
      <c r="AO6" s="26" t="n">
        <v>196.651</v>
      </c>
      <c r="AP6" s="26" t="n">
        <v>224.916</v>
      </c>
      <c r="AQ6" s="26" t="n">
        <v>512.05</v>
      </c>
      <c r="AR6" s="26" t="n">
        <v>900.723</v>
      </c>
      <c r="AS6" s="26" t="n">
        <v>1004.191</v>
      </c>
      <c r="AT6" s="26" t="n">
        <v>522.739</v>
      </c>
      <c r="AU6" s="26" t="n">
        <v>300.726</v>
      </c>
    </row>
    <row r="7">
      <c r="A7" s="12" t="inlineStr">
        <is>
          <t>type:OTHER</t>
        </is>
      </c>
      <c r="D7" t="inlineStr">
        <is>
          <t>선종 OTHER</t>
        </is>
      </c>
      <c r="F7" s="26" t="n">
        <v>25.052</v>
      </c>
      <c r="G7" s="26" t="n">
        <v>32.925</v>
      </c>
      <c r="H7" s="26" t="n">
        <v>52.382</v>
      </c>
      <c r="I7" s="26" t="n">
        <v>93.11</v>
      </c>
      <c r="J7" s="26" t="n">
        <v>94.14400000000001</v>
      </c>
      <c r="K7" s="26" t="n">
        <v>118.325</v>
      </c>
      <c r="L7" s="26" t="n">
        <v>122.48</v>
      </c>
      <c r="M7" s="26" t="n">
        <v>121.149</v>
      </c>
      <c r="N7" s="26" t="n">
        <v>131.288</v>
      </c>
      <c r="O7" s="26" t="n">
        <v>189.112</v>
      </c>
      <c r="P7" s="26" t="n">
        <v>189.112</v>
      </c>
      <c r="Q7" s="26" t="n">
        <v>185.001</v>
      </c>
      <c r="R7" s="26" t="n">
        <v>116.817</v>
      </c>
      <c r="S7" s="26" t="n">
        <v>168.51</v>
      </c>
      <c r="T7" s="26" t="n">
        <v>176.314</v>
      </c>
      <c r="U7" s="26" t="n">
        <v>87.19799999999999</v>
      </c>
      <c r="V7" s="26" t="n">
        <v>88.167</v>
      </c>
      <c r="W7" s="26" t="n">
        <v>89.136</v>
      </c>
      <c r="X7" s="26" t="n">
        <v>89.136</v>
      </c>
      <c r="Y7" s="26" t="n">
        <v>87.19799999999999</v>
      </c>
      <c r="Z7" s="26" t="n">
        <v>47.168</v>
      </c>
      <c r="AA7" s="26" t="n">
        <v>27.301</v>
      </c>
      <c r="AB7" s="26" t="n">
        <v>27.301</v>
      </c>
      <c r="AN7" s="26" t="n">
        <v>110.359</v>
      </c>
      <c r="AO7" s="26" t="n">
        <v>428.059</v>
      </c>
      <c r="AP7" s="26" t="n">
        <v>630.6609999999999</v>
      </c>
      <c r="AQ7" s="26" t="n">
        <v>646.6420000000001</v>
      </c>
      <c r="AR7" s="26" t="n">
        <v>353.637</v>
      </c>
      <c r="AS7" s="26" t="n">
        <v>188.968</v>
      </c>
    </row>
    <row r="8">
      <c r="A8" s="12" t="inlineStr">
        <is>
          <t>type:OFFSH</t>
        </is>
      </c>
      <c r="D8" t="inlineStr">
        <is>
          <t>선종 OFFSH</t>
        </is>
      </c>
      <c r="J8" s="26" t="n">
        <v>14.275</v>
      </c>
      <c r="K8" s="26" t="n">
        <v>50.511</v>
      </c>
      <c r="L8" s="26" t="n">
        <v>50.511</v>
      </c>
      <c r="M8" s="26" t="n">
        <v>49.962</v>
      </c>
      <c r="N8" s="26" t="n">
        <v>49.962</v>
      </c>
      <c r="O8" s="26" t="n">
        <v>50.511</v>
      </c>
      <c r="P8" s="26" t="n">
        <v>50.511</v>
      </c>
      <c r="Q8" s="26" t="n">
        <v>49.412</v>
      </c>
      <c r="R8" s="26" t="n">
        <v>49.962</v>
      </c>
      <c r="S8" s="26" t="n">
        <v>343.784</v>
      </c>
      <c r="T8" s="26" t="n">
        <v>353.67</v>
      </c>
      <c r="U8" s="26" t="n">
        <v>345.982</v>
      </c>
      <c r="V8" s="26" t="n">
        <v>334.617</v>
      </c>
      <c r="W8" s="26" t="n">
        <v>226.186</v>
      </c>
      <c r="X8" s="26" t="n">
        <v>226.186</v>
      </c>
      <c r="Y8" s="26" t="n">
        <v>221.269</v>
      </c>
      <c r="Z8" s="26" t="n">
        <v>223.727</v>
      </c>
      <c r="AA8" s="26" t="n">
        <v>226.186</v>
      </c>
      <c r="AB8" s="26" t="n">
        <v>226.186</v>
      </c>
      <c r="AC8" s="26" t="n">
        <v>223.727</v>
      </c>
      <c r="AD8" s="26" t="n">
        <v>223.727</v>
      </c>
      <c r="AE8" s="26" t="n">
        <v>226.186</v>
      </c>
      <c r="AF8" s="26" t="n">
        <v>226.186</v>
      </c>
      <c r="AG8" s="26" t="n">
        <v>221.269</v>
      </c>
      <c r="AH8" s="26" t="n">
        <v>223.727</v>
      </c>
      <c r="AI8" s="26" t="n">
        <v>226.186</v>
      </c>
      <c r="AJ8" s="26" t="n">
        <v>175.675</v>
      </c>
      <c r="AK8" s="26" t="n">
        <v>171.856</v>
      </c>
      <c r="AL8" s="26" t="n">
        <v>173.766</v>
      </c>
      <c r="AM8" s="26" t="n">
        <v>36.281</v>
      </c>
      <c r="AO8" s="26" t="n">
        <v>115.297</v>
      </c>
      <c r="AP8" s="26" t="n">
        <v>200.946</v>
      </c>
      <c r="AQ8" s="26" t="n">
        <v>796.828</v>
      </c>
      <c r="AR8" s="26" t="n">
        <v>1132.971</v>
      </c>
      <c r="AS8" s="26" t="n">
        <v>897.3680000000001</v>
      </c>
      <c r="AT8" s="26" t="n">
        <v>899.826</v>
      </c>
      <c r="AU8" s="26" t="n">
        <v>846.857</v>
      </c>
      <c r="AV8" s="26" t="n">
        <v>381.903</v>
      </c>
    </row>
    <row r="9">
      <c r="A9" s="12" t="inlineStr">
        <is>
          <t>type:LNGC</t>
        </is>
      </c>
      <c r="D9" t="inlineStr">
        <is>
          <t>선종 LNGC</t>
        </is>
      </c>
      <c r="N9" s="26" t="n">
        <v>0.6879999999999999</v>
      </c>
      <c r="O9" s="26" t="n">
        <v>63.839</v>
      </c>
      <c r="P9" s="26" t="n">
        <v>128.696</v>
      </c>
      <c r="Q9" s="26" t="n">
        <v>154.982</v>
      </c>
      <c r="R9" s="26" t="n">
        <v>161.429</v>
      </c>
      <c r="S9" s="26" t="n">
        <v>230.163</v>
      </c>
      <c r="T9" s="26" t="n">
        <v>299.063</v>
      </c>
      <c r="U9" s="26" t="n">
        <v>422.404</v>
      </c>
      <c r="V9" s="26" t="n">
        <v>606.3390000000001</v>
      </c>
      <c r="W9" s="26" t="n">
        <v>722.151</v>
      </c>
      <c r="X9" s="26" t="n">
        <v>786.24</v>
      </c>
      <c r="Y9" s="26" t="n">
        <v>769.148</v>
      </c>
      <c r="Z9" s="26" t="n">
        <v>745.342</v>
      </c>
      <c r="AA9" s="26" t="n">
        <v>686.347</v>
      </c>
      <c r="AB9" s="26" t="n">
        <v>686.347</v>
      </c>
      <c r="AC9" s="26" t="n">
        <v>644.965</v>
      </c>
      <c r="AD9" s="26" t="n">
        <v>618.4</v>
      </c>
      <c r="AE9" s="26" t="n">
        <v>578.429</v>
      </c>
      <c r="AF9" s="26" t="n">
        <v>400.831</v>
      </c>
      <c r="AG9" s="26" t="n">
        <v>269.538</v>
      </c>
      <c r="AH9" s="26" t="n">
        <v>168.543</v>
      </c>
      <c r="AI9" s="26" t="n">
        <v>80.11199999999999</v>
      </c>
      <c r="AP9" s="26" t="n">
        <v>193.223</v>
      </c>
      <c r="AQ9" s="26" t="n">
        <v>845.6369999999999</v>
      </c>
      <c r="AR9" s="26" t="n">
        <v>2537.134</v>
      </c>
      <c r="AS9" s="26" t="n">
        <v>2887.184</v>
      </c>
      <c r="AT9" s="26" t="n">
        <v>2242.625</v>
      </c>
      <c r="AU9" s="26" t="n">
        <v>518.193</v>
      </c>
    </row>
    <row r="10">
      <c r="A10" s="12" t="inlineStr">
        <is>
          <t>type:VLCC</t>
        </is>
      </c>
      <c r="D10" t="inlineStr">
        <is>
          <t>선종 VLCC</t>
        </is>
      </c>
      <c r="P10" s="26" t="n">
        <v>17.627</v>
      </c>
      <c r="Q10" s="26" t="n">
        <v>42.858</v>
      </c>
      <c r="R10" s="26" t="n">
        <v>134.46</v>
      </c>
      <c r="S10" s="26" t="n">
        <v>137.456</v>
      </c>
      <c r="T10" s="26" t="n">
        <v>160.05</v>
      </c>
      <c r="U10" s="26" t="n">
        <v>172.086</v>
      </c>
      <c r="V10" s="26" t="n">
        <v>201.372</v>
      </c>
      <c r="W10" s="26" t="n">
        <v>262.274</v>
      </c>
      <c r="X10" s="26" t="n">
        <v>268.448</v>
      </c>
      <c r="Y10" s="26" t="n">
        <v>262.612</v>
      </c>
      <c r="Z10" s="26" t="n">
        <v>265.53</v>
      </c>
      <c r="AA10" s="26" t="n">
        <v>268.448</v>
      </c>
      <c r="AB10" s="26" t="n">
        <v>268.448</v>
      </c>
      <c r="AC10" s="26" t="n">
        <v>235.164</v>
      </c>
      <c r="AD10" s="26" t="n">
        <v>214.098</v>
      </c>
      <c r="AE10" s="26" t="n">
        <v>216.45</v>
      </c>
      <c r="AF10" s="26" t="n">
        <v>216.45</v>
      </c>
      <c r="AG10" s="26" t="n">
        <v>85.098</v>
      </c>
      <c r="AH10" s="26" t="n">
        <v>39.868</v>
      </c>
      <c r="AI10" s="26" t="n">
        <v>10.376</v>
      </c>
      <c r="AP10" s="26" t="n">
        <v>17.627</v>
      </c>
      <c r="AQ10" s="26" t="n">
        <v>474.824</v>
      </c>
      <c r="AR10" s="26" t="n">
        <v>904.1799999999999</v>
      </c>
      <c r="AS10" s="26" t="n">
        <v>1065.038</v>
      </c>
      <c r="AT10" s="26" t="n">
        <v>882.162</v>
      </c>
      <c r="AU10" s="26" t="n">
        <v>135.342</v>
      </c>
    </row>
    <row r="11">
      <c r="A11" s="12" t="inlineStr">
        <is>
          <t>type:VLGC</t>
        </is>
      </c>
      <c r="D11" t="inlineStr">
        <is>
          <t>선종 VLGC</t>
        </is>
      </c>
      <c r="P11" s="26" t="n">
        <v>3.855</v>
      </c>
      <c r="Q11" s="26" t="n">
        <v>47.83</v>
      </c>
      <c r="R11" s="26" t="n">
        <v>70.896</v>
      </c>
      <c r="S11" s="26" t="n">
        <v>71.676</v>
      </c>
      <c r="T11" s="26" t="n">
        <v>71.676</v>
      </c>
      <c r="U11" s="26" t="n">
        <v>87.655</v>
      </c>
      <c r="V11" s="26" t="n">
        <v>120.258</v>
      </c>
      <c r="W11" s="26" t="n">
        <v>131.78</v>
      </c>
      <c r="X11" s="26" t="n">
        <v>147.383</v>
      </c>
      <c r="Y11" s="26" t="n">
        <v>144.179</v>
      </c>
      <c r="Z11" s="26" t="n">
        <v>145.781</v>
      </c>
      <c r="AA11" s="26" t="n">
        <v>147.383</v>
      </c>
      <c r="AB11" s="26" t="n">
        <v>147.383</v>
      </c>
      <c r="AC11" s="26" t="n">
        <v>92.714</v>
      </c>
      <c r="AD11" s="26" t="n">
        <v>74.884</v>
      </c>
      <c r="AE11" s="26" t="n">
        <v>75.70699999999999</v>
      </c>
      <c r="AF11" s="26" t="n">
        <v>75.70699999999999</v>
      </c>
      <c r="AG11" s="26" t="n">
        <v>53.745</v>
      </c>
      <c r="AH11" s="26" t="n">
        <v>44.191</v>
      </c>
      <c r="AI11" s="26" t="n">
        <v>32.253</v>
      </c>
      <c r="AJ11" s="26" t="n">
        <v>26.759</v>
      </c>
      <c r="AK11" s="26" t="n">
        <v>10.228</v>
      </c>
      <c r="AP11" s="26" t="n">
        <v>3.855</v>
      </c>
      <c r="AQ11" s="26" t="n">
        <v>262.078</v>
      </c>
      <c r="AR11" s="26" t="n">
        <v>487.076</v>
      </c>
      <c r="AS11" s="26" t="n">
        <v>584.726</v>
      </c>
      <c r="AT11" s="26" t="n">
        <v>319.012</v>
      </c>
      <c r="AU11" s="26" t="n">
        <v>156.948</v>
      </c>
      <c r="AV11" s="26" t="n">
        <v>10.228</v>
      </c>
    </row>
    <row r="12">
      <c r="A12" s="12" t="inlineStr">
        <is>
          <t>cohort:②BEP</t>
        </is>
      </c>
      <c r="D12" t="inlineStr">
        <is>
          <t>코호트 ②BEP</t>
        </is>
      </c>
      <c r="E12" s="26" t="n">
        <v>3.771</v>
      </c>
      <c r="F12" s="26" t="n">
        <v>49.028</v>
      </c>
      <c r="G12" s="26" t="n">
        <v>49.567</v>
      </c>
      <c r="H12" s="26" t="n">
        <v>49.567</v>
      </c>
      <c r="I12" s="26" t="n">
        <v>48.489</v>
      </c>
      <c r="J12" s="26" t="n">
        <v>49.028</v>
      </c>
      <c r="K12" s="26" t="n">
        <v>49.567</v>
      </c>
      <c r="L12" s="26" t="n">
        <v>49.567</v>
      </c>
      <c r="M12" s="26" t="n">
        <v>49.028</v>
      </c>
      <c r="N12" s="26" t="n">
        <v>49.028</v>
      </c>
      <c r="O12" s="26" t="n">
        <v>49.567</v>
      </c>
      <c r="P12" s="26" t="n">
        <v>67.194</v>
      </c>
      <c r="Q12" s="26" t="n">
        <v>74.077</v>
      </c>
      <c r="R12" s="26" t="n">
        <v>74.90000000000001</v>
      </c>
      <c r="S12" s="26" t="n">
        <v>49.323</v>
      </c>
      <c r="T12" s="26" t="n">
        <v>39.274</v>
      </c>
      <c r="U12" s="26" t="n">
        <v>42.453</v>
      </c>
      <c r="V12" s="26" t="n">
        <v>42.925</v>
      </c>
      <c r="W12" s="26" t="n">
        <v>43.397</v>
      </c>
      <c r="X12" s="26" t="n">
        <v>43.397</v>
      </c>
      <c r="Y12" s="26" t="n">
        <v>42.453</v>
      </c>
      <c r="Z12" s="26" t="n">
        <v>42.925</v>
      </c>
      <c r="AA12" s="26" t="n">
        <v>43.397</v>
      </c>
      <c r="AB12" s="26" t="n">
        <v>43.397</v>
      </c>
      <c r="AC12" s="26" t="n">
        <v>17.053</v>
      </c>
      <c r="AD12" s="26" t="n">
        <v>17.053</v>
      </c>
      <c r="AE12" s="26" t="n">
        <v>17.241</v>
      </c>
      <c r="AF12" s="26" t="n">
        <v>17.241</v>
      </c>
      <c r="AG12" s="26" t="n">
        <v>16.866</v>
      </c>
      <c r="AN12" s="26" t="n">
        <v>151.933</v>
      </c>
      <c r="AO12" s="26" t="n">
        <v>196.651</v>
      </c>
      <c r="AP12" s="26" t="n">
        <v>214.817</v>
      </c>
      <c r="AQ12" s="26" t="n">
        <v>237.574</v>
      </c>
      <c r="AR12" s="26" t="n">
        <v>172.172</v>
      </c>
      <c r="AS12" s="26" t="n">
        <v>172.172</v>
      </c>
      <c r="AT12" s="26" t="n">
        <v>68.58799999999999</v>
      </c>
      <c r="AU12" s="26" t="n">
        <v>16.866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F13" s="26" t="n">
        <v>25.052</v>
      </c>
      <c r="G13" s="26" t="n">
        <v>32.925</v>
      </c>
      <c r="H13" s="26" t="n">
        <v>52.382</v>
      </c>
      <c r="I13" s="26" t="n">
        <v>93.11</v>
      </c>
      <c r="J13" s="26" t="n">
        <v>94.14400000000001</v>
      </c>
      <c r="K13" s="26" t="n">
        <v>118.325</v>
      </c>
      <c r="L13" s="26" t="n">
        <v>122.48</v>
      </c>
      <c r="M13" s="26" t="n">
        <v>121.149</v>
      </c>
      <c r="N13" s="26" t="n">
        <v>131.288</v>
      </c>
      <c r="O13" s="26" t="n">
        <v>189.112</v>
      </c>
      <c r="P13" s="26" t="n">
        <v>189.112</v>
      </c>
      <c r="Q13" s="26" t="n">
        <v>185.001</v>
      </c>
      <c r="R13" s="26" t="n">
        <v>116.817</v>
      </c>
      <c r="S13" s="26" t="n">
        <v>461.783</v>
      </c>
      <c r="T13" s="26" t="n">
        <v>479.474</v>
      </c>
      <c r="U13" s="26" t="n">
        <v>383.767</v>
      </c>
      <c r="V13" s="26" t="n">
        <v>315.536</v>
      </c>
      <c r="W13" s="26" t="n">
        <v>89.136</v>
      </c>
      <c r="X13" s="26" t="n">
        <v>89.136</v>
      </c>
      <c r="Y13" s="26" t="n">
        <v>87.19799999999999</v>
      </c>
      <c r="Z13" s="26" t="n">
        <v>47.168</v>
      </c>
      <c r="AA13" s="26" t="n">
        <v>27.301</v>
      </c>
      <c r="AB13" s="26" t="n">
        <v>27.301</v>
      </c>
      <c r="AN13" s="26" t="n">
        <v>110.359</v>
      </c>
      <c r="AO13" s="26" t="n">
        <v>428.059</v>
      </c>
      <c r="AP13" s="26" t="n">
        <v>630.6609999999999</v>
      </c>
      <c r="AQ13" s="26" t="n">
        <v>1243.075</v>
      </c>
      <c r="AR13" s="26" t="n">
        <v>877.575</v>
      </c>
      <c r="AS13" s="26" t="n">
        <v>188.968</v>
      </c>
    </row>
    <row r="14">
      <c r="A14" s="12" t="inlineStr">
        <is>
          <t>cohort:③중마진</t>
        </is>
      </c>
      <c r="D14" t="inlineStr">
        <is>
          <t>코호트 ③중마진</t>
        </is>
      </c>
      <c r="J14" s="26" t="n">
        <v>14.275</v>
      </c>
      <c r="K14" s="26" t="n">
        <v>50.511</v>
      </c>
      <c r="L14" s="26" t="n">
        <v>50.511</v>
      </c>
      <c r="M14" s="26" t="n">
        <v>49.962</v>
      </c>
      <c r="N14" s="26" t="n">
        <v>50.65</v>
      </c>
      <c r="O14" s="26" t="n">
        <v>114.35</v>
      </c>
      <c r="P14" s="26" t="n">
        <v>179.207</v>
      </c>
      <c r="Q14" s="26" t="n">
        <v>208.852</v>
      </c>
      <c r="R14" s="26" t="n">
        <v>286.308</v>
      </c>
      <c r="S14" s="26" t="n">
        <v>367.566</v>
      </c>
      <c r="T14" s="26" t="n">
        <v>475.182</v>
      </c>
      <c r="U14" s="26" t="n">
        <v>643.579</v>
      </c>
      <c r="V14" s="26" t="n">
        <v>862.2859999999999</v>
      </c>
      <c r="W14" s="26" t="n">
        <v>1040.55</v>
      </c>
      <c r="X14" s="26" t="n">
        <v>1126.415</v>
      </c>
      <c r="Y14" s="26" t="n">
        <v>1101.928</v>
      </c>
      <c r="Z14" s="26" t="n">
        <v>1081.819</v>
      </c>
      <c r="AA14" s="26" t="n">
        <v>1026.522</v>
      </c>
      <c r="AB14" s="26" t="n">
        <v>1026.522</v>
      </c>
      <c r="AC14" s="26" t="n">
        <v>943.915</v>
      </c>
      <c r="AD14" s="26" t="n">
        <v>866.146</v>
      </c>
      <c r="AE14" s="26" t="n">
        <v>828.897</v>
      </c>
      <c r="AF14" s="26" t="n">
        <v>651.299</v>
      </c>
      <c r="AG14" s="26" t="n">
        <v>498.137</v>
      </c>
      <c r="AH14" s="26" t="n">
        <v>384.497</v>
      </c>
      <c r="AI14" s="26" t="n">
        <v>256.086</v>
      </c>
      <c r="AJ14" s="26" t="n">
        <v>81.68300000000001</v>
      </c>
      <c r="AK14" s="26" t="n">
        <v>10.228</v>
      </c>
      <c r="AO14" s="26" t="n">
        <v>115.297</v>
      </c>
      <c r="AP14" s="26" t="n">
        <v>394.169</v>
      </c>
      <c r="AQ14" s="26" t="n">
        <v>1337.908</v>
      </c>
      <c r="AR14" s="26" t="n">
        <v>3672.83</v>
      </c>
      <c r="AS14" s="26" t="n">
        <v>4236.791</v>
      </c>
      <c r="AT14" s="26" t="n">
        <v>3290.257</v>
      </c>
      <c r="AU14" s="26" t="n">
        <v>1220.403</v>
      </c>
      <c r="AV14" s="26" t="n">
        <v>10.228</v>
      </c>
    </row>
    <row r="15">
      <c r="A15" s="12" t="inlineStr">
        <is>
          <t>cohort:④호황</t>
        </is>
      </c>
      <c r="D15" t="inlineStr">
        <is>
          <t>코호트 ④호황</t>
        </is>
      </c>
      <c r="P15" s="26" t="n">
        <v>31.581</v>
      </c>
      <c r="Q15" s="26" t="n">
        <v>123.026</v>
      </c>
      <c r="R15" s="26" t="n">
        <v>194.244</v>
      </c>
      <c r="S15" s="26" t="n">
        <v>196.378</v>
      </c>
      <c r="T15" s="26" t="n">
        <v>205.854</v>
      </c>
      <c r="U15" s="26" t="n">
        <v>244.356</v>
      </c>
      <c r="V15" s="26" t="n">
        <v>346.962</v>
      </c>
      <c r="W15" s="26" t="n">
        <v>490.267</v>
      </c>
      <c r="X15" s="26" t="n">
        <v>511.556</v>
      </c>
      <c r="Y15" s="26" t="n">
        <v>500.435</v>
      </c>
      <c r="Z15" s="26" t="n">
        <v>505.995</v>
      </c>
      <c r="AA15" s="26" t="n">
        <v>511.556</v>
      </c>
      <c r="AB15" s="26" t="n">
        <v>511.556</v>
      </c>
      <c r="AC15" s="26" t="n">
        <v>399.065</v>
      </c>
      <c r="AD15" s="26" t="n">
        <v>375.448</v>
      </c>
      <c r="AE15" s="26" t="n">
        <v>367.237</v>
      </c>
      <c r="AF15" s="26" t="n">
        <v>365.769</v>
      </c>
      <c r="AG15" s="26" t="n">
        <v>195.681</v>
      </c>
      <c r="AH15" s="26" t="n">
        <v>173.766</v>
      </c>
      <c r="AI15" s="26" t="n">
        <v>175.675</v>
      </c>
      <c r="AJ15" s="26" t="n">
        <v>175.675</v>
      </c>
      <c r="AK15" s="26" t="n">
        <v>171.856</v>
      </c>
      <c r="AL15" s="26" t="n">
        <v>173.766</v>
      </c>
      <c r="AM15" s="26" t="n">
        <v>36.281</v>
      </c>
      <c r="AP15" s="26" t="n">
        <v>31.581</v>
      </c>
      <c r="AQ15" s="26" t="n">
        <v>719.502</v>
      </c>
      <c r="AR15" s="26" t="n">
        <v>1593.141</v>
      </c>
      <c r="AS15" s="26" t="n">
        <v>2029.542</v>
      </c>
      <c r="AT15" s="26" t="n">
        <v>1507.519</v>
      </c>
      <c r="AU15" s="26" t="n">
        <v>720.797</v>
      </c>
      <c r="AV15" s="26" t="n">
        <v>381.903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</row>
    <row r="17">
      <c r="A17" s="12" t="inlineStr">
        <is>
          <t>hedge_rate</t>
        </is>
      </c>
      <c r="D17" t="inlineStr">
        <is>
          <t>헤지환율</t>
        </is>
      </c>
      <c r="E17" s="13" t="n">
        <v>1205.78</v>
      </c>
      <c r="F17" s="13" t="n">
        <v>1257.97</v>
      </c>
      <c r="G17" s="13" t="n">
        <v>1267.38</v>
      </c>
      <c r="H17" s="13" t="n">
        <v>1285.08</v>
      </c>
      <c r="I17" s="13" t="n">
        <v>1307.27</v>
      </c>
      <c r="J17" s="13" t="n">
        <v>1324.9</v>
      </c>
      <c r="K17" s="13" t="n">
        <v>1353.81</v>
      </c>
      <c r="L17" s="13" t="n">
        <v>1353.21</v>
      </c>
      <c r="M17" s="13" t="n">
        <v>1353.21</v>
      </c>
      <c r="N17" s="13" t="n">
        <v>1354.06</v>
      </c>
      <c r="O17" s="13" t="n">
        <v>1359.87</v>
      </c>
      <c r="P17" s="13" t="n">
        <v>1364.62</v>
      </c>
      <c r="Q17" s="13" t="n">
        <v>1375.91</v>
      </c>
      <c r="R17" s="13" t="n">
        <v>1390.2</v>
      </c>
      <c r="S17" s="13" t="n">
        <v>1393.58</v>
      </c>
      <c r="T17" s="13" t="n">
        <v>1399.86</v>
      </c>
      <c r="U17" s="13" t="n">
        <v>1411.59</v>
      </c>
      <c r="V17" s="13" t="n">
        <v>1427.29</v>
      </c>
      <c r="W17" s="13" t="n">
        <v>1443.03</v>
      </c>
      <c r="X17" s="13" t="n">
        <v>1441.62</v>
      </c>
      <c r="Y17" s="13" t="n">
        <v>1441.62</v>
      </c>
      <c r="Z17" s="13" t="n">
        <v>1444.6</v>
      </c>
      <c r="AA17" s="13" t="n">
        <v>1446.81</v>
      </c>
      <c r="AB17" s="13" t="n">
        <v>1446.81</v>
      </c>
      <c r="AC17" s="13" t="n">
        <v>1456.34</v>
      </c>
      <c r="AD17" s="13" t="n">
        <v>1456.92</v>
      </c>
      <c r="AE17" s="13" t="n">
        <v>1458.19</v>
      </c>
      <c r="AF17" s="13" t="n">
        <v>1462.87</v>
      </c>
      <c r="AG17" s="13" t="n">
        <v>1471.08</v>
      </c>
      <c r="AH17" s="13" t="n">
        <v>1472.74</v>
      </c>
      <c r="AI17" s="13" t="n">
        <v>1471.44</v>
      </c>
      <c r="AJ17" s="13" t="n">
        <v>1485.45</v>
      </c>
      <c r="AK17" s="13" t="n">
        <v>1497.14</v>
      </c>
      <c r="AL17" s="13" t="n">
        <v>1501.75</v>
      </c>
      <c r="AM17" s="13" t="n">
        <v>1501.75</v>
      </c>
    </row>
    <row r="18">
      <c r="A18" s="12" t="inlineStr">
        <is>
          <t>spot_assumed</t>
        </is>
      </c>
      <c r="D18" t="inlineStr">
        <is>
          <t>건조시점 환율(가정)</t>
        </is>
      </c>
      <c r="E18" s="13" t="n">
        <v>1205.78</v>
      </c>
      <c r="F18" s="13" t="n">
        <v>1262.09</v>
      </c>
      <c r="G18" s="13" t="n">
        <v>1341.93</v>
      </c>
      <c r="H18" s="13" t="n">
        <v>1360.12</v>
      </c>
      <c r="I18" s="13" t="n">
        <v>1276.95</v>
      </c>
      <c r="J18" s="13" t="n">
        <v>1315.69</v>
      </c>
      <c r="K18" s="13" t="n">
        <v>1313.62</v>
      </c>
      <c r="L18" s="13" t="n">
        <v>1322.01</v>
      </c>
      <c r="M18" s="13" t="n">
        <v>1330.14</v>
      </c>
      <c r="N18" s="13" t="n">
        <v>1371.28</v>
      </c>
      <c r="O18" s="13" t="n">
        <v>1356.22</v>
      </c>
      <c r="P18" s="13" t="n">
        <v>1396.3</v>
      </c>
      <c r="Q18" s="13" t="n">
        <v>1452.28</v>
      </c>
      <c r="R18" s="13" t="n">
        <v>1398.52</v>
      </c>
      <c r="S18" s="13" t="n">
        <v>1386.95</v>
      </c>
      <c r="T18" s="13" t="n">
        <v>1449.19</v>
      </c>
      <c r="U18" s="13" t="n">
        <v>1466.12</v>
      </c>
      <c r="V18" s="13" t="n">
        <v>1501.75</v>
      </c>
      <c r="W18" s="13" t="n">
        <v>1419.72</v>
      </c>
      <c r="X18" s="13" t="n">
        <v>1353.36</v>
      </c>
      <c r="Y18" s="13" t="n">
        <v>1353.36</v>
      </c>
      <c r="Z18" s="13" t="n">
        <v>1353.36</v>
      </c>
      <c r="AA18" s="13" t="n">
        <v>1353.36</v>
      </c>
      <c r="AB18" s="13" t="n">
        <v>1353.36</v>
      </c>
      <c r="AC18" s="13" t="n">
        <v>1353.36</v>
      </c>
      <c r="AD18" s="13" t="n">
        <v>1353.36</v>
      </c>
      <c r="AE18" s="13" t="n">
        <v>1353.36</v>
      </c>
      <c r="AF18" s="13" t="n">
        <v>1353.36</v>
      </c>
      <c r="AG18" s="13" t="n">
        <v>1353.36</v>
      </c>
      <c r="AH18" s="13" t="n">
        <v>1353.36</v>
      </c>
      <c r="AI18" s="13" t="n">
        <v>1353.36</v>
      </c>
      <c r="AJ18" s="13" t="n">
        <v>1353.36</v>
      </c>
      <c r="AK18" s="13" t="n">
        <v>1353.36</v>
      </c>
      <c r="AL18" s="13" t="n">
        <v>1353.36</v>
      </c>
      <c r="AM18" s="13" t="n">
        <v>1353.36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1205.78</v>
      </c>
      <c r="F19" s="13" t="n">
        <v>1259.21</v>
      </c>
      <c r="G19" s="13" t="n">
        <v>1289.75</v>
      </c>
      <c r="H19" s="13" t="n">
        <v>1307.59</v>
      </c>
      <c r="I19" s="13" t="n">
        <v>1298.17</v>
      </c>
      <c r="J19" s="13" t="n">
        <v>1322.14</v>
      </c>
      <c r="K19" s="13" t="n">
        <v>1341.75</v>
      </c>
      <c r="L19" s="13" t="n">
        <v>1343.85</v>
      </c>
      <c r="M19" s="13" t="n">
        <v>1346.29</v>
      </c>
      <c r="N19" s="13" t="n">
        <v>1359.23</v>
      </c>
      <c r="O19" s="13" t="n">
        <v>1358.77</v>
      </c>
      <c r="P19" s="13" t="n">
        <v>1374.13</v>
      </c>
      <c r="Q19" s="13" t="n">
        <v>1398.82</v>
      </c>
      <c r="R19" s="13" t="n">
        <v>1392.7</v>
      </c>
      <c r="S19" s="13" t="n">
        <v>1391.59</v>
      </c>
      <c r="T19" s="13" t="n">
        <v>1414.66</v>
      </c>
      <c r="U19" s="13" t="n">
        <v>1427.95</v>
      </c>
      <c r="V19" s="13" t="n">
        <v>1449.63</v>
      </c>
      <c r="W19" s="13" t="n">
        <v>1436.03</v>
      </c>
      <c r="X19" s="13" t="n">
        <v>1415.14</v>
      </c>
      <c r="Y19" s="13" t="n">
        <v>1415.14</v>
      </c>
      <c r="Z19" s="13" t="n">
        <v>1417.23</v>
      </c>
      <c r="AA19" s="13" t="n">
        <v>1418.78</v>
      </c>
      <c r="AB19" s="13" t="n">
        <v>1418.78</v>
      </c>
      <c r="AC19" s="13" t="n">
        <v>1425.45</v>
      </c>
      <c r="AD19" s="13" t="n">
        <v>1425.85</v>
      </c>
      <c r="AE19" s="13" t="n">
        <v>1426.74</v>
      </c>
      <c r="AF19" s="13" t="n">
        <v>1430.01</v>
      </c>
      <c r="AG19" s="13" t="n">
        <v>1435.77</v>
      </c>
      <c r="AH19" s="13" t="n">
        <v>1436.93</v>
      </c>
      <c r="AI19" s="13" t="n">
        <v>1436.02</v>
      </c>
      <c r="AJ19" s="13" t="n">
        <v>1445.82</v>
      </c>
      <c r="AK19" s="13" t="n">
        <v>1454.01</v>
      </c>
      <c r="AL19" s="13" t="n">
        <v>1457.23</v>
      </c>
      <c r="AM19" s="13" t="n">
        <v>1457.23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4547.5</v>
      </c>
      <c r="F20" s="18" t="n">
        <v>93281.8</v>
      </c>
      <c r="G20" s="18" t="n">
        <v>106393.6</v>
      </c>
      <c r="H20" s="18" t="n">
        <v>133307.3</v>
      </c>
      <c r="I20" s="18" t="n">
        <v>183819.8</v>
      </c>
      <c r="J20" s="18" t="n">
        <v>208166.5</v>
      </c>
      <c r="K20" s="18" t="n">
        <v>293042.3</v>
      </c>
      <c r="L20" s="18" t="n">
        <v>299084.3</v>
      </c>
      <c r="M20" s="18" t="n">
        <v>296370.3</v>
      </c>
      <c r="N20" s="18" t="n">
        <v>313935.2</v>
      </c>
      <c r="O20" s="18" t="n">
        <v>479685.9</v>
      </c>
      <c r="P20" s="18" t="n">
        <v>641845.5</v>
      </c>
      <c r="Q20" s="18" t="n">
        <v>826642.1</v>
      </c>
      <c r="R20" s="18" t="n">
        <v>936268</v>
      </c>
      <c r="S20" s="18" t="n">
        <v>1496028.1</v>
      </c>
      <c r="T20" s="18" t="n">
        <v>1697287.6</v>
      </c>
      <c r="U20" s="18" t="n">
        <v>1876550.8</v>
      </c>
      <c r="V20" s="18" t="n">
        <v>2272592.2</v>
      </c>
      <c r="W20" s="18" t="n">
        <v>2388627.6</v>
      </c>
      <c r="X20" s="18" t="n">
        <v>2505508.9</v>
      </c>
      <c r="Y20" s="18" t="n">
        <v>2451041.3</v>
      </c>
      <c r="Z20" s="18" t="n">
        <v>2377975.2</v>
      </c>
      <c r="AA20" s="18" t="n">
        <v>2282492.1</v>
      </c>
      <c r="AB20" s="18" t="n">
        <v>2282492.1</v>
      </c>
      <c r="AC20" s="18" t="n">
        <v>1938656.7</v>
      </c>
      <c r="AD20" s="18" t="n">
        <v>1794642.1</v>
      </c>
      <c r="AE20" s="18" t="n">
        <v>1731171.3</v>
      </c>
      <c r="AF20" s="18" t="n">
        <v>1479076.4</v>
      </c>
      <c r="AG20" s="18" t="n">
        <v>1020376.3</v>
      </c>
      <c r="AH20" s="18" t="n">
        <v>802182.9</v>
      </c>
      <c r="AI20" s="18" t="n">
        <v>620018</v>
      </c>
      <c r="AJ20" s="18" t="n">
        <v>372094.1</v>
      </c>
      <c r="AK20" s="18" t="n">
        <v>264752.2</v>
      </c>
      <c r="AL20" s="18" t="n">
        <v>253217.5</v>
      </c>
      <c r="AM20" s="18" t="n">
        <v>52869.6</v>
      </c>
      <c r="AN20" s="18" t="n">
        <v>337530.2</v>
      </c>
      <c r="AO20" s="18" t="n">
        <v>984112.9</v>
      </c>
      <c r="AP20" s="18" t="n">
        <v>1731836.9</v>
      </c>
      <c r="AQ20" s="18" t="n">
        <v>4956225.8</v>
      </c>
      <c r="AR20" s="18" t="n">
        <v>9043279.5</v>
      </c>
      <c r="AS20" s="18" t="n">
        <v>9394000.699999999</v>
      </c>
      <c r="AT20" s="18" t="n">
        <v>6943546.5</v>
      </c>
      <c r="AU20" s="18" t="n">
        <v>2814671.3</v>
      </c>
      <c r="AV20" s="18" t="n">
        <v>570839.3</v>
      </c>
    </row>
    <row r="21">
      <c r="A21" s="12" t="inlineStr">
        <is>
          <t>target_opm</t>
        </is>
      </c>
      <c r="D21" t="inlineStr">
        <is>
          <t>타겟 OPM(코호트)</t>
        </is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0.0113</v>
      </c>
      <c r="K21" s="21" t="n">
        <v>0.0252</v>
      </c>
      <c r="L21" s="21" t="n">
        <v>0.0252</v>
      </c>
      <c r="M21" s="21" t="n">
        <v>0.0252</v>
      </c>
      <c r="N21" s="21" t="n">
        <v>0.0254</v>
      </c>
      <c r="O21" s="21" t="n">
        <v>0.0349</v>
      </c>
      <c r="P21" s="21" t="n">
        <v>0.0436</v>
      </c>
      <c r="Q21" s="21" t="n">
        <v>0.056</v>
      </c>
      <c r="R21" s="21" t="n">
        <v>0.0607</v>
      </c>
      <c r="S21" s="21" t="n">
        <v>0.062</v>
      </c>
      <c r="T21" s="21" t="n">
        <v>0.0616</v>
      </c>
      <c r="U21" s="21" t="n">
        <v>0.0609</v>
      </c>
      <c r="V21" s="21" t="n">
        <v>0.0621</v>
      </c>
      <c r="W21" s="21" t="n">
        <v>0.06419999999999999</v>
      </c>
      <c r="X21" s="21" t="n">
        <v>0.0639</v>
      </c>
      <c r="Y21" s="21" t="n">
        <v>0.0639</v>
      </c>
      <c r="Z21" s="21" t="n">
        <v>0.06419999999999999</v>
      </c>
      <c r="AA21" s="21" t="n">
        <v>0.0648</v>
      </c>
      <c r="AB21" s="21" t="n">
        <v>0.0648</v>
      </c>
      <c r="AC21" s="21" t="n">
        <v>0.064</v>
      </c>
      <c r="AD21" s="21" t="n">
        <v>0.06419999999999999</v>
      </c>
      <c r="AE21" s="21" t="n">
        <v>0.0644</v>
      </c>
      <c r="AF21" s="21" t="n">
        <v>0.0668</v>
      </c>
      <c r="AG21" s="21" t="n">
        <v>0.0626</v>
      </c>
      <c r="AH21" s="21" t="n">
        <v>0.06560000000000001</v>
      </c>
      <c r="AI21" s="21" t="n">
        <v>0.0703</v>
      </c>
      <c r="AJ21" s="21" t="n">
        <v>0.08409999999999999</v>
      </c>
      <c r="AK21" s="21" t="n">
        <v>0.09719999999999999</v>
      </c>
      <c r="AL21" s="21" t="n">
        <v>0.1</v>
      </c>
      <c r="AM21" s="21" t="n">
        <v>0.1</v>
      </c>
    </row>
    <row r="23">
      <c r="A23" s="1" t="inlineStr">
        <is>
          <t>계약 원장(contracts.json 기반)</t>
        </is>
      </c>
    </row>
    <row r="24">
      <c r="A24" s="1" t="inlineStr">
        <is>
          <t>rcp</t>
        </is>
      </c>
      <c r="B24" s="1" t="inlineStr">
        <is>
          <t>type</t>
        </is>
      </c>
      <c r="C24" s="1" t="inlineStr">
        <is>
          <t>ships</t>
        </is>
      </c>
      <c r="D24" s="1" t="inlineStr">
        <is>
          <t>amt_krw_m</t>
        </is>
      </c>
      <c r="E24" s="1" t="inlineStr">
        <is>
          <t>amt_usd_m</t>
        </is>
      </c>
      <c r="F24" s="1" t="inlineStr">
        <is>
          <t>fx_at_sign</t>
        </is>
      </c>
      <c r="G24" s="1" t="inlineStr">
        <is>
          <t>signed</t>
        </is>
      </c>
      <c r="H24" s="1" t="inlineStr">
        <is>
          <t>start</t>
        </is>
      </c>
      <c r="I24" s="1" t="inlineStr">
        <is>
          <t>end</t>
        </is>
      </c>
      <c r="J24" s="1" t="inlineStr">
        <is>
          <t>cohort</t>
        </is>
      </c>
      <c r="K24" s="1" t="inlineStr">
        <is>
          <t>curve</t>
        </is>
      </c>
      <c r="L24" s="1" t="inlineStr">
        <is>
          <t>estimated_series</t>
        </is>
      </c>
    </row>
    <row r="25">
      <c r="A25" t="inlineStr">
        <is>
          <t>20240701800160</t>
        </is>
      </c>
      <c r="B25" t="inlineStr">
        <is>
          <t>LNGC</t>
        </is>
      </c>
      <c r="C25" t="n">
        <v>4</v>
      </c>
      <c r="D25" t="n">
        <v>1438100</v>
      </c>
      <c r="E25" t="n">
        <v>1048.728</v>
      </c>
      <c r="F25" t="n">
        <v>1371.28</v>
      </c>
      <c r="G25" t="inlineStr">
        <is>
          <t>2024-06-30</t>
        </is>
      </c>
      <c r="H25" t="inlineStr">
        <is>
          <t>2024-06-30</t>
        </is>
      </c>
      <c r="I25" t="inlineStr">
        <is>
          <t>2028-08-31</t>
        </is>
      </c>
      <c r="J25" t="inlineStr">
        <is>
          <t>③중마진</t>
        </is>
      </c>
      <c r="K25" t="inlineStr">
        <is>
          <t>linear_progress</t>
        </is>
      </c>
      <c r="L25" t="b">
        <v>1</v>
      </c>
    </row>
    <row r="26">
      <c r="A26" t="inlineStr">
        <is>
          <t>20241002800072</t>
        </is>
      </c>
      <c r="B26" t="inlineStr">
        <is>
          <t>LNGC</t>
        </is>
      </c>
      <c r="C26" t="n">
        <v>2</v>
      </c>
      <c r="D26" t="n">
        <v>678300</v>
      </c>
      <c r="E26" t="n">
        <v>500.14</v>
      </c>
      <c r="F26" t="n">
        <v>1356.22</v>
      </c>
      <c r="G26" t="inlineStr">
        <is>
          <t>2024-09-30</t>
        </is>
      </c>
      <c r="H26" t="inlineStr">
        <is>
          <t>2024-09-30</t>
        </is>
      </c>
      <c r="I26" t="inlineStr">
        <is>
          <t>2027-04-30</t>
        </is>
      </c>
      <c r="J26" t="inlineStr">
        <is>
          <t>③중마진</t>
        </is>
      </c>
      <c r="K26" t="inlineStr">
        <is>
          <t>linear_progress</t>
        </is>
      </c>
      <c r="L26" t="b">
        <v>1</v>
      </c>
    </row>
    <row r="27">
      <c r="A27" t="inlineStr">
        <is>
          <t>20241031800038</t>
        </is>
      </c>
      <c r="B27" t="inlineStr">
        <is>
          <t>LNGC</t>
        </is>
      </c>
      <c r="C27" t="n">
        <v>1</v>
      </c>
      <c r="D27" t="n">
        <v>358200</v>
      </c>
      <c r="E27" t="n">
        <v>256.535</v>
      </c>
      <c r="F27" t="n">
        <v>1396.3</v>
      </c>
      <c r="G27" t="inlineStr">
        <is>
          <t>2024-10-30</t>
        </is>
      </c>
      <c r="H27" t="inlineStr">
        <is>
          <t>2024-10-30</t>
        </is>
      </c>
      <c r="I27" t="inlineStr">
        <is>
          <t>2027-06-30</t>
        </is>
      </c>
      <c r="J27" t="inlineStr">
        <is>
          <t>③중마진</t>
        </is>
      </c>
      <c r="K27" t="inlineStr">
        <is>
          <t>linear_progress</t>
        </is>
      </c>
      <c r="L27" t="b">
        <v>1</v>
      </c>
    </row>
    <row r="28">
      <c r="A28" t="inlineStr">
        <is>
          <t>20241101800164</t>
        </is>
      </c>
      <c r="B28" t="inlineStr">
        <is>
          <t>VLCC</t>
        </is>
      </c>
      <c r="C28" t="n">
        <v>4</v>
      </c>
      <c r="D28" t="n">
        <v>459300</v>
      </c>
      <c r="E28" t="n">
        <v>328.941</v>
      </c>
      <c r="F28" t="n">
        <v>1396.3</v>
      </c>
      <c r="G28" t="inlineStr">
        <is>
          <t>2024-10-31</t>
        </is>
      </c>
      <c r="H28" t="inlineStr">
        <is>
          <t>2024-10-31</t>
        </is>
      </c>
      <c r="I28" t="inlineStr">
        <is>
          <t>2027-12-31</t>
        </is>
      </c>
      <c r="J28" t="inlineStr">
        <is>
          <t>②BEP</t>
        </is>
      </c>
      <c r="K28" t="inlineStr">
        <is>
          <t>linear_progress</t>
        </is>
      </c>
      <c r="L28" t="b">
        <v>1</v>
      </c>
    </row>
    <row r="29">
      <c r="A29" t="inlineStr">
        <is>
          <t>20241125800093</t>
        </is>
      </c>
      <c r="B29" t="inlineStr">
        <is>
          <t>CONT</t>
        </is>
      </c>
      <c r="C29" t="n">
        <v>4</v>
      </c>
      <c r="D29" t="n">
        <v>1098500</v>
      </c>
      <c r="E29" t="n">
        <v>786.722</v>
      </c>
      <c r="F29" t="n">
        <v>1396.3</v>
      </c>
      <c r="G29" t="inlineStr">
        <is>
          <t>2024-11-22</t>
        </is>
      </c>
      <c r="H29" t="inlineStr">
        <is>
          <t>2024-11-22</t>
        </is>
      </c>
      <c r="I29" t="inlineStr">
        <is>
          <t>2027-12-31</t>
        </is>
      </c>
      <c r="J29" t="inlineStr">
        <is>
          <t>④호황</t>
        </is>
      </c>
      <c r="K29" t="inlineStr">
        <is>
          <t>linear_progress</t>
        </is>
      </c>
      <c r="L29" t="b">
        <v>1</v>
      </c>
    </row>
    <row r="30">
      <c r="A30" t="inlineStr">
        <is>
          <t>20241230800259</t>
        </is>
      </c>
      <c r="B30" t="inlineStr">
        <is>
          <t>OTHER</t>
        </is>
      </c>
      <c r="D30" t="n">
        <v>523270</v>
      </c>
      <c r="E30" t="n">
        <v>384.723</v>
      </c>
      <c r="F30" t="n">
        <v>1360.12</v>
      </c>
      <c r="G30" t="inlineStr">
        <is>
          <t>2022-11-28</t>
        </is>
      </c>
      <c r="H30" t="inlineStr">
        <is>
          <t>2022-04-22</t>
        </is>
      </c>
      <c r="I30" t="inlineStr">
        <is>
          <t>2025-03-31</t>
        </is>
      </c>
      <c r="K30" t="inlineStr">
        <is>
          <t>linear_progress</t>
        </is>
      </c>
      <c r="L30" t="b">
        <v>0</v>
      </c>
    </row>
    <row r="31">
      <c r="A31" t="inlineStr">
        <is>
          <t>20241230800261</t>
        </is>
      </c>
      <c r="B31" t="inlineStr">
        <is>
          <t>OTHER</t>
        </is>
      </c>
      <c r="D31" t="n">
        <v>488730</v>
      </c>
      <c r="E31" t="n">
        <v>359.329</v>
      </c>
      <c r="F31" t="n">
        <v>1360.12</v>
      </c>
      <c r="G31" t="inlineStr">
        <is>
          <t>2022-11-10</t>
        </is>
      </c>
      <c r="H31" t="inlineStr">
        <is>
          <t>2022-11-15</t>
        </is>
      </c>
      <c r="I31" t="inlineStr">
        <is>
          <t>2025-03-31</t>
        </is>
      </c>
      <c r="K31" t="inlineStr">
        <is>
          <t>linear_progress</t>
        </is>
      </c>
      <c r="L31" t="b">
        <v>0</v>
      </c>
    </row>
    <row r="32">
      <c r="A32" t="inlineStr">
        <is>
          <t>20250120800318</t>
        </is>
      </c>
      <c r="B32" t="inlineStr">
        <is>
          <t>LNGC</t>
        </is>
      </c>
      <c r="C32" t="n">
        <v>1</v>
      </c>
      <c r="D32" t="n">
        <v>379600</v>
      </c>
      <c r="E32" t="n">
        <v>261.382</v>
      </c>
      <c r="F32" t="n">
        <v>1452.28</v>
      </c>
      <c r="G32" t="inlineStr">
        <is>
          <t>2025-01-17</t>
        </is>
      </c>
      <c r="H32" t="inlineStr">
        <is>
          <t>2025-01-17</t>
        </is>
      </c>
      <c r="I32" t="inlineStr">
        <is>
          <t>2027-06-30</t>
        </is>
      </c>
      <c r="J32" t="inlineStr">
        <is>
          <t>③중마진</t>
        </is>
      </c>
      <c r="K32" t="inlineStr">
        <is>
          <t>linear_progress</t>
        </is>
      </c>
      <c r="L32" t="b">
        <v>0</v>
      </c>
    </row>
    <row r="33">
      <c r="A33" t="inlineStr">
        <is>
          <t>20250123800869</t>
        </is>
      </c>
      <c r="B33" t="inlineStr">
        <is>
          <t>VLGC</t>
        </is>
      </c>
      <c r="C33" t="n">
        <v>3</v>
      </c>
      <c r="D33" t="n">
        <v>742200</v>
      </c>
      <c r="E33" t="n">
        <v>531.548</v>
      </c>
      <c r="F33" t="n">
        <v>1396.3</v>
      </c>
      <c r="G33" t="inlineStr">
        <is>
          <t>2024-12-24</t>
        </is>
      </c>
      <c r="H33" t="inlineStr">
        <is>
          <t>2024-12-24</t>
        </is>
      </c>
      <c r="I33" t="inlineStr">
        <is>
          <t>2027-12-31</t>
        </is>
      </c>
      <c r="J33" t="inlineStr">
        <is>
          <t>④호황</t>
        </is>
      </c>
      <c r="K33" t="inlineStr">
        <is>
          <t>linear_progress</t>
        </is>
      </c>
      <c r="L33" t="b">
        <v>1</v>
      </c>
    </row>
    <row r="34">
      <c r="A34" t="inlineStr">
        <is>
          <t>20250317800118</t>
        </is>
      </c>
      <c r="B34" t="inlineStr">
        <is>
          <t>VLCC</t>
        </is>
      </c>
      <c r="C34" t="n">
        <v>9</v>
      </c>
      <c r="D34" t="n">
        <v>1935500</v>
      </c>
      <c r="E34" t="n">
        <v>1332.732</v>
      </c>
      <c r="F34" t="n">
        <v>1452.28</v>
      </c>
      <c r="G34" t="inlineStr">
        <is>
          <t>2025-03-14</t>
        </is>
      </c>
      <c r="H34" t="inlineStr">
        <is>
          <t>2025-03-14</t>
        </is>
      </c>
      <c r="I34" t="inlineStr">
        <is>
          <t>2028-12-31</t>
        </is>
      </c>
      <c r="J34" t="inlineStr">
        <is>
          <t>④호황</t>
        </is>
      </c>
      <c r="K34" t="inlineStr">
        <is>
          <t>linear_progress</t>
        </is>
      </c>
      <c r="L34" t="b">
        <v>1</v>
      </c>
    </row>
    <row r="35">
      <c r="A35" t="inlineStr">
        <is>
          <t>20250318800145</t>
        </is>
      </c>
      <c r="B35" t="inlineStr">
        <is>
          <t>VLGC</t>
        </is>
      </c>
      <c r="C35" t="n">
        <v>2</v>
      </c>
      <c r="D35" t="n">
        <v>466100</v>
      </c>
      <c r="E35" t="n">
        <v>320.944</v>
      </c>
      <c r="F35" t="n">
        <v>1452.28</v>
      </c>
      <c r="G35" t="inlineStr">
        <is>
          <t>2025-03-17</t>
        </is>
      </c>
      <c r="H35" t="inlineStr">
        <is>
          <t>2025-03-17</t>
        </is>
      </c>
      <c r="I35" t="inlineStr">
        <is>
          <t>2028-02-29</t>
        </is>
      </c>
      <c r="J35" t="inlineStr">
        <is>
          <t>③중마진</t>
        </is>
      </c>
      <c r="K35" t="inlineStr">
        <is>
          <t>linear_progress</t>
        </is>
      </c>
      <c r="L35" t="b">
        <v>1</v>
      </c>
    </row>
    <row r="36">
      <c r="A36" t="inlineStr">
        <is>
          <t>20250408800489</t>
        </is>
      </c>
      <c r="B36" t="inlineStr">
        <is>
          <t>VLCC</t>
        </is>
      </c>
      <c r="C36" t="n">
        <v>4</v>
      </c>
      <c r="D36" t="n">
        <v>477800</v>
      </c>
      <c r="E36" t="n">
        <v>341.647</v>
      </c>
      <c r="F36" t="n">
        <v>1398.52</v>
      </c>
      <c r="G36" t="inlineStr">
        <is>
          <t>2025-04-07</t>
        </is>
      </c>
      <c r="H36" t="inlineStr">
        <is>
          <t>2025-04-07</t>
        </is>
      </c>
      <c r="I36" t="inlineStr">
        <is>
          <t>2028-12-31</t>
        </is>
      </c>
      <c r="J36" t="inlineStr">
        <is>
          <t>③중마진</t>
        </is>
      </c>
      <c r="K36" t="inlineStr">
        <is>
          <t>linear_progress</t>
        </is>
      </c>
      <c r="L36" t="b">
        <v>1</v>
      </c>
    </row>
    <row r="37">
      <c r="A37" t="inlineStr">
        <is>
          <t>20250425800546</t>
        </is>
      </c>
      <c r="B37" t="inlineStr">
        <is>
          <t>CONT</t>
        </is>
      </c>
      <c r="C37" t="n">
        <v>5</v>
      </c>
      <c r="D37" t="n">
        <v>803600</v>
      </c>
      <c r="E37" t="n">
        <v>666.457</v>
      </c>
      <c r="F37" t="n">
        <v>1205.78</v>
      </c>
      <c r="G37" t="inlineStr">
        <is>
          <t>2022-03-25</t>
        </is>
      </c>
      <c r="H37" t="inlineStr">
        <is>
          <t>2022-03-25</t>
        </is>
      </c>
      <c r="I37" t="inlineStr">
        <is>
          <t>2025-08-12</t>
        </is>
      </c>
      <c r="J37" t="inlineStr">
        <is>
          <t>②BEP</t>
        </is>
      </c>
      <c r="K37" t="inlineStr">
        <is>
          <t>linear_progress</t>
        </is>
      </c>
      <c r="L37" t="b">
        <v>1</v>
      </c>
    </row>
    <row r="38">
      <c r="A38" t="inlineStr">
        <is>
          <t>20250428800076</t>
        </is>
      </c>
      <c r="B38" t="inlineStr">
        <is>
          <t>CONT</t>
        </is>
      </c>
      <c r="C38" t="n">
        <v>2</v>
      </c>
      <c r="D38" t="n">
        <v>561900</v>
      </c>
      <c r="E38" t="n">
        <v>401.782</v>
      </c>
      <c r="F38" t="n">
        <v>1398.52</v>
      </c>
      <c r="G38" t="inlineStr">
        <is>
          <t>2025-04-25</t>
        </is>
      </c>
      <c r="H38" t="inlineStr">
        <is>
          <t>2025-04-25</t>
        </is>
      </c>
      <c r="I38" t="inlineStr">
        <is>
          <t>2028-01-31</t>
        </is>
      </c>
      <c r="J38" t="inlineStr">
        <is>
          <t>③중마진</t>
        </is>
      </c>
      <c r="K38" t="inlineStr">
        <is>
          <t>linear_progress</t>
        </is>
      </c>
      <c r="L38" t="b">
        <v>1</v>
      </c>
    </row>
    <row r="39">
      <c r="A39" t="inlineStr">
        <is>
          <t>20250618800387</t>
        </is>
      </c>
      <c r="B39" t="inlineStr">
        <is>
          <t>OTHER</t>
        </is>
      </c>
      <c r="F39" t="n">
        <v>1183.5</v>
      </c>
      <c r="G39" t="inlineStr"/>
      <c r="H39" t="inlineStr">
        <is>
          <t>2021-10-15</t>
        </is>
      </c>
      <c r="I39" t="inlineStr">
        <is>
          <t>2026-04-09</t>
        </is>
      </c>
      <c r="K39" t="inlineStr">
        <is>
          <t>linear_progress</t>
        </is>
      </c>
      <c r="L39" t="b">
        <v>0</v>
      </c>
    </row>
    <row r="40">
      <c r="A40" t="inlineStr">
        <is>
          <t>20250618800388</t>
        </is>
      </c>
      <c r="B40" t="inlineStr">
        <is>
          <t>OTHER</t>
        </is>
      </c>
      <c r="F40" t="n">
        <v>1117.97</v>
      </c>
      <c r="G40" t="inlineStr"/>
      <c r="H40" t="inlineStr">
        <is>
          <t>2020-11-20</t>
        </is>
      </c>
      <c r="I40" t="inlineStr">
        <is>
          <t>2025-05-15</t>
        </is>
      </c>
      <c r="K40" t="inlineStr">
        <is>
          <t>linear_progress</t>
        </is>
      </c>
      <c r="L40" t="b">
        <v>0</v>
      </c>
    </row>
    <row r="41">
      <c r="A41" t="inlineStr">
        <is>
          <t>20250818800096</t>
        </is>
      </c>
      <c r="B41" t="inlineStr">
        <is>
          <t>LNGC</t>
        </is>
      </c>
      <c r="C41" t="n">
        <v>2</v>
      </c>
      <c r="D41" t="n">
        <v>705700</v>
      </c>
      <c r="E41" t="n">
        <v>508.814</v>
      </c>
      <c r="F41" t="n">
        <v>1386.95</v>
      </c>
      <c r="G41" t="inlineStr">
        <is>
          <t>2025-08-15</t>
        </is>
      </c>
      <c r="H41" t="inlineStr">
        <is>
          <t>2025-08-15</t>
        </is>
      </c>
      <c r="I41" t="inlineStr">
        <is>
          <t>2028-01-31</t>
        </is>
      </c>
      <c r="J41" t="inlineStr">
        <is>
          <t>③중마진</t>
        </is>
      </c>
      <c r="K41" t="inlineStr">
        <is>
          <t>linear_progress</t>
        </is>
      </c>
      <c r="L41" t="b">
        <v>1</v>
      </c>
    </row>
    <row r="42">
      <c r="A42" t="inlineStr">
        <is>
          <t>20250818800098</t>
        </is>
      </c>
      <c r="B42" t="inlineStr">
        <is>
          <t>LNGC</t>
        </is>
      </c>
      <c r="C42" t="n">
        <v>4</v>
      </c>
      <c r="D42" t="n">
        <v>1435000</v>
      </c>
      <c r="E42" t="n">
        <v>1034.644</v>
      </c>
      <c r="F42" t="n">
        <v>1386.95</v>
      </c>
      <c r="G42" t="inlineStr">
        <is>
          <t>2025-08-15</t>
        </is>
      </c>
      <c r="H42" t="inlineStr">
        <is>
          <t>2025-08-15</t>
        </is>
      </c>
      <c r="I42" t="inlineStr">
        <is>
          <t>2028-11-30</t>
        </is>
      </c>
      <c r="J42" t="inlineStr">
        <is>
          <t>③중마진</t>
        </is>
      </c>
      <c r="K42" t="inlineStr">
        <is>
          <t>linear_progress</t>
        </is>
      </c>
      <c r="L42" t="b">
        <v>1</v>
      </c>
    </row>
    <row r="43">
      <c r="A43" t="inlineStr">
        <is>
          <t>20251107800084</t>
        </is>
      </c>
      <c r="B43" t="inlineStr">
        <is>
          <t>VLCC</t>
        </is>
      </c>
      <c r="C43" t="n">
        <v>2</v>
      </c>
      <c r="D43" t="n">
        <v>290100</v>
      </c>
      <c r="E43" t="n">
        <v>200.181</v>
      </c>
      <c r="F43" t="n">
        <v>1449.19</v>
      </c>
      <c r="G43" t="inlineStr">
        <is>
          <t>2025-11-06</t>
        </is>
      </c>
      <c r="H43" t="inlineStr">
        <is>
          <t>2025-11-06</t>
        </is>
      </c>
      <c r="I43" t="inlineStr">
        <is>
          <t>2029-01-31</t>
        </is>
      </c>
      <c r="J43" t="inlineStr">
        <is>
          <t>④호황</t>
        </is>
      </c>
      <c r="K43" t="inlineStr">
        <is>
          <t>linear_progress</t>
        </is>
      </c>
      <c r="L43" t="b">
        <v>0</v>
      </c>
    </row>
    <row r="44">
      <c r="A44" t="inlineStr">
        <is>
          <t>20251120800137</t>
        </is>
      </c>
      <c r="B44" t="inlineStr">
        <is>
          <t>CONT</t>
        </is>
      </c>
      <c r="C44" t="n">
        <v>7</v>
      </c>
      <c r="D44" t="n">
        <v>1922000</v>
      </c>
      <c r="E44" t="n">
        <v>1326.258</v>
      </c>
      <c r="F44" t="n">
        <v>1449.19</v>
      </c>
      <c r="G44" t="inlineStr">
        <is>
          <t>2025-11-19</t>
        </is>
      </c>
      <c r="H44" t="inlineStr">
        <is>
          <t>2025-11-19</t>
        </is>
      </c>
      <c r="I44" t="inlineStr">
        <is>
          <t>2029-11-30</t>
        </is>
      </c>
      <c r="J44" t="inlineStr">
        <is>
          <t>③중마진</t>
        </is>
      </c>
      <c r="K44" t="inlineStr">
        <is>
          <t>linear_progress</t>
        </is>
      </c>
      <c r="L44" t="b">
        <v>1</v>
      </c>
    </row>
    <row r="45">
      <c r="A45" t="inlineStr">
        <is>
          <t>20251212800879</t>
        </is>
      </c>
      <c r="B45" t="inlineStr">
        <is>
          <t>OTHER</t>
        </is>
      </c>
      <c r="D45" t="n">
        <v>391600</v>
      </c>
      <c r="E45" t="n">
        <v>287.916</v>
      </c>
      <c r="F45" t="n">
        <v>1360.12</v>
      </c>
      <c r="G45" t="inlineStr">
        <is>
          <t>2022-12-23</t>
        </is>
      </c>
      <c r="H45" t="inlineStr">
        <is>
          <t>2023-01-01</t>
        </is>
      </c>
      <c r="I45" t="inlineStr">
        <is>
          <t>2025-12-31</t>
        </is>
      </c>
      <c r="K45" t="inlineStr">
        <is>
          <t>linear_progress</t>
        </is>
      </c>
      <c r="L45" t="b">
        <v>0</v>
      </c>
    </row>
    <row r="46">
      <c r="A46" t="inlineStr">
        <is>
          <t>20251223800127</t>
        </is>
      </c>
      <c r="B46" t="inlineStr">
        <is>
          <t>LNGC</t>
        </is>
      </c>
      <c r="C46" t="n">
        <v>2</v>
      </c>
      <c r="D46" t="n">
        <v>743000</v>
      </c>
      <c r="E46" t="n">
        <v>512.7</v>
      </c>
      <c r="F46" t="n">
        <v>1449.19</v>
      </c>
      <c r="G46" t="inlineStr">
        <is>
          <t>2025-12-22</t>
        </is>
      </c>
      <c r="H46" t="inlineStr">
        <is>
          <t>2025-12-22</t>
        </is>
      </c>
      <c r="I46" t="inlineStr">
        <is>
          <t>2029-03-31</t>
        </is>
      </c>
      <c r="J46" t="inlineStr">
        <is>
          <t>③중마진</t>
        </is>
      </c>
      <c r="K46" t="inlineStr">
        <is>
          <t>linear_progress</t>
        </is>
      </c>
      <c r="L46" t="b">
        <v>1</v>
      </c>
    </row>
    <row r="47">
      <c r="A47" t="inlineStr">
        <is>
          <t>20251226800865</t>
        </is>
      </c>
      <c r="B47" t="inlineStr">
        <is>
          <t>OTHER</t>
        </is>
      </c>
      <c r="D47" t="n">
        <v>554183.3</v>
      </c>
      <c r="E47" t="n">
        <v>404.136</v>
      </c>
      <c r="F47" t="n">
        <v>1371.28</v>
      </c>
      <c r="G47" t="inlineStr">
        <is>
          <t>2024-06-14</t>
        </is>
      </c>
      <c r="H47" t="inlineStr">
        <is>
          <t>2024-06-17</t>
        </is>
      </c>
      <c r="I47" t="inlineStr">
        <is>
          <t>2025-12-26</t>
        </is>
      </c>
      <c r="K47" t="inlineStr">
        <is>
          <t>linear_progress</t>
        </is>
      </c>
      <c r="L47" t="b">
        <v>0</v>
      </c>
    </row>
    <row r="48">
      <c r="A48" t="inlineStr">
        <is>
          <t>20260102800222</t>
        </is>
      </c>
      <c r="B48" t="inlineStr">
        <is>
          <t>LNGC</t>
        </is>
      </c>
      <c r="C48" t="n">
        <v>2</v>
      </c>
      <c r="D48" t="n">
        <v>721100</v>
      </c>
      <c r="E48" t="n">
        <v>497.588</v>
      </c>
      <c r="F48" t="n">
        <v>1449.19</v>
      </c>
      <c r="G48" t="inlineStr">
        <is>
          <t>2025-12-31</t>
        </is>
      </c>
      <c r="H48" t="inlineStr">
        <is>
          <t>2025-12-31</t>
        </is>
      </c>
      <c r="I48" t="inlineStr">
        <is>
          <t>2028-09-15</t>
        </is>
      </c>
      <c r="J48" t="inlineStr">
        <is>
          <t>③중마진</t>
        </is>
      </c>
      <c r="K48" t="inlineStr">
        <is>
          <t>linear_progress</t>
        </is>
      </c>
      <c r="L48" t="b">
        <v>1</v>
      </c>
    </row>
    <row r="49">
      <c r="A49" t="inlineStr">
        <is>
          <t>20260128800216</t>
        </is>
      </c>
      <c r="B49" t="inlineStr">
        <is>
          <t>VLGC</t>
        </is>
      </c>
      <c r="C49" t="n">
        <v>2</v>
      </c>
      <c r="D49" t="n">
        <v>430900</v>
      </c>
      <c r="E49" t="n">
        <v>293.905</v>
      </c>
      <c r="F49" t="n">
        <v>1466.12</v>
      </c>
      <c r="G49" t="inlineStr">
        <is>
          <t>2026-01-27</t>
        </is>
      </c>
      <c r="H49" t="inlineStr">
        <is>
          <t>2026-01-27</t>
        </is>
      </c>
      <c r="I49" t="inlineStr">
        <is>
          <t>2029-01-15</t>
        </is>
      </c>
      <c r="J49" t="inlineStr">
        <is>
          <t>④호황</t>
        </is>
      </c>
      <c r="K49" t="inlineStr">
        <is>
          <t>linear_progress</t>
        </is>
      </c>
      <c r="L49" t="b">
        <v>0</v>
      </c>
    </row>
    <row r="50">
      <c r="A50" t="inlineStr">
        <is>
          <t>20260128800218</t>
        </is>
      </c>
      <c r="B50" t="inlineStr">
        <is>
          <t>LNGC</t>
        </is>
      </c>
      <c r="C50" t="n">
        <v>2</v>
      </c>
      <c r="D50" t="n">
        <v>727200</v>
      </c>
      <c r="E50" t="n">
        <v>496.003</v>
      </c>
      <c r="F50" t="n">
        <v>1466.12</v>
      </c>
      <c r="G50" t="inlineStr">
        <is>
          <t>2026-01-27</t>
        </is>
      </c>
      <c r="H50" t="inlineStr">
        <is>
          <t>2026-01-27</t>
        </is>
      </c>
      <c r="I50" t="inlineStr">
        <is>
          <t>2029-01-31</t>
        </is>
      </c>
      <c r="J50" t="inlineStr">
        <is>
          <t>③중마진</t>
        </is>
      </c>
      <c r="K50" t="inlineStr">
        <is>
          <t>linear_progress</t>
        </is>
      </c>
      <c r="L50" t="b">
        <v>1</v>
      </c>
    </row>
    <row r="51">
      <c r="A51" t="inlineStr">
        <is>
          <t>20260211800232</t>
        </is>
      </c>
      <c r="B51" t="inlineStr">
        <is>
          <t>CONT</t>
        </is>
      </c>
      <c r="C51" t="n">
        <v>2</v>
      </c>
      <c r="D51" t="n">
        <v>468600</v>
      </c>
      <c r="E51" t="n">
        <v>319.619</v>
      </c>
      <c r="F51" t="n">
        <v>1466.12</v>
      </c>
      <c r="G51" t="inlineStr">
        <is>
          <t>2026-02-10</t>
        </is>
      </c>
      <c r="H51" t="inlineStr">
        <is>
          <t>2026-02-10</t>
        </is>
      </c>
      <c r="I51" t="inlineStr">
        <is>
          <t>2028-05-01</t>
        </is>
      </c>
      <c r="J51" t="inlineStr">
        <is>
          <t>④호황</t>
        </is>
      </c>
      <c r="K51" t="inlineStr">
        <is>
          <t>linear_progress</t>
        </is>
      </c>
      <c r="L51" t="b">
        <v>0</v>
      </c>
    </row>
    <row r="52">
      <c r="A52" t="inlineStr">
        <is>
          <t>20260220800213</t>
        </is>
      </c>
      <c r="B52" t="inlineStr">
        <is>
          <t>LNGC</t>
        </is>
      </c>
      <c r="C52" t="n">
        <v>1</v>
      </c>
      <c r="D52" t="n">
        <v>368000</v>
      </c>
      <c r="E52" t="n">
        <v>251.003</v>
      </c>
      <c r="F52" t="n">
        <v>1466.12</v>
      </c>
      <c r="G52" t="inlineStr">
        <is>
          <t>2026-02-19</t>
        </is>
      </c>
      <c r="H52" t="inlineStr">
        <is>
          <t>2026-02-19</t>
        </is>
      </c>
      <c r="I52" t="inlineStr">
        <is>
          <t>2028-05-31</t>
        </is>
      </c>
      <c r="J52" t="inlineStr">
        <is>
          <t>③중마진</t>
        </is>
      </c>
      <c r="K52" t="inlineStr">
        <is>
          <t>linear_progress</t>
        </is>
      </c>
      <c r="L52" t="b">
        <v>1</v>
      </c>
    </row>
    <row r="53">
      <c r="A53" t="inlineStr">
        <is>
          <t>20260310800545</t>
        </is>
      </c>
      <c r="B53" t="inlineStr">
        <is>
          <t>VLCC</t>
        </is>
      </c>
      <c r="C53" t="n">
        <v>3</v>
      </c>
      <c r="D53" t="n">
        <v>400100</v>
      </c>
      <c r="E53" t="n">
        <v>272.897</v>
      </c>
      <c r="F53" t="n">
        <v>1466.12</v>
      </c>
      <c r="G53" t="inlineStr">
        <is>
          <t>2026-03-10</t>
        </is>
      </c>
      <c r="H53" t="inlineStr">
        <is>
          <t>2026-03-10</t>
        </is>
      </c>
      <c r="I53" t="inlineStr">
        <is>
          <t>2029-02-28</t>
        </is>
      </c>
      <c r="J53" t="inlineStr">
        <is>
          <t>③중마진</t>
        </is>
      </c>
      <c r="K53" t="inlineStr">
        <is>
          <t>linear_progress</t>
        </is>
      </c>
      <c r="L53" t="b">
        <v>1</v>
      </c>
    </row>
    <row r="54">
      <c r="A54" t="inlineStr">
        <is>
          <t>20260316801038</t>
        </is>
      </c>
      <c r="B54" t="inlineStr">
        <is>
          <t>VLCC</t>
        </is>
      </c>
      <c r="C54" t="n">
        <v>1</v>
      </c>
      <c r="F54" t="n">
        <v>1315.69</v>
      </c>
      <c r="G54" t="inlineStr"/>
      <c r="H54" t="inlineStr">
        <is>
          <t>2023-06-02</t>
        </is>
      </c>
      <c r="I54" t="inlineStr">
        <is>
          <t>2026-07-03</t>
        </is>
      </c>
      <c r="K54" t="inlineStr">
        <is>
          <t>linear_progress</t>
        </is>
      </c>
      <c r="L54" t="b">
        <v>0</v>
      </c>
    </row>
    <row r="55">
      <c r="A55" t="inlineStr">
        <is>
          <t>20260320800106</t>
        </is>
      </c>
      <c r="B55" t="inlineStr">
        <is>
          <t>LNGC</t>
        </is>
      </c>
      <c r="C55" t="n">
        <v>1</v>
      </c>
      <c r="D55" t="n">
        <v>377900</v>
      </c>
      <c r="E55" t="n">
        <v>257.755</v>
      </c>
      <c r="F55" t="n">
        <v>1466.12</v>
      </c>
      <c r="G55" t="inlineStr">
        <is>
          <t>2026-03-20</t>
        </is>
      </c>
      <c r="H55" t="inlineStr">
        <is>
          <t>2026-03-20</t>
        </is>
      </c>
      <c r="I55" t="inlineStr">
        <is>
          <t>2029-04-30</t>
        </is>
      </c>
      <c r="J55" t="inlineStr">
        <is>
          <t>③중마진</t>
        </is>
      </c>
      <c r="K55" t="inlineStr">
        <is>
          <t>linear_progress</t>
        </is>
      </c>
      <c r="L55" t="b">
        <v>1</v>
      </c>
    </row>
    <row r="56">
      <c r="A56" t="inlineStr">
        <is>
          <t>20260323800137</t>
        </is>
      </c>
      <c r="B56" t="inlineStr">
        <is>
          <t>LNGC</t>
        </is>
      </c>
      <c r="C56" t="n">
        <v>2</v>
      </c>
      <c r="D56" t="n">
        <v>770100</v>
      </c>
      <c r="E56" t="n">
        <v>525.264</v>
      </c>
      <c r="F56" t="n">
        <v>1466.12</v>
      </c>
      <c r="G56" t="inlineStr">
        <is>
          <t>2026-03-20</t>
        </is>
      </c>
      <c r="H56" t="inlineStr">
        <is>
          <t>2026-03-20</t>
        </is>
      </c>
      <c r="I56" t="inlineStr">
        <is>
          <t>2028-09-30</t>
        </is>
      </c>
      <c r="J56" t="inlineStr">
        <is>
          <t>③중마진</t>
        </is>
      </c>
      <c r="K56" t="inlineStr">
        <is>
          <t>linear_progress</t>
        </is>
      </c>
      <c r="L56" t="b">
        <v>1</v>
      </c>
    </row>
    <row r="57">
      <c r="A57" t="inlineStr">
        <is>
          <t>20260401800243</t>
        </is>
      </c>
      <c r="B57" t="inlineStr">
        <is>
          <t>VLGC</t>
        </is>
      </c>
      <c r="C57" t="n">
        <v>2</v>
      </c>
      <c r="D57" t="n">
        <v>342000</v>
      </c>
      <c r="E57" t="n">
        <v>233.269</v>
      </c>
      <c r="F57" t="n">
        <v>1466.12</v>
      </c>
      <c r="G57" t="inlineStr">
        <is>
          <t>2026-03-31</t>
        </is>
      </c>
      <c r="H57" t="inlineStr">
        <is>
          <t>2026-03-31</t>
        </is>
      </c>
      <c r="I57" t="inlineStr">
        <is>
          <t>2029-05-31</t>
        </is>
      </c>
      <c r="J57" t="inlineStr">
        <is>
          <t>③중마진</t>
        </is>
      </c>
      <c r="K57" t="inlineStr">
        <is>
          <t>linear_progress</t>
        </is>
      </c>
      <c r="L57" t="b">
        <v>1</v>
      </c>
    </row>
    <row r="58">
      <c r="A58" t="inlineStr">
        <is>
          <t>20260504800254</t>
        </is>
      </c>
      <c r="B58" t="inlineStr">
        <is>
          <t>LNGC</t>
        </is>
      </c>
      <c r="C58" t="n">
        <v>1</v>
      </c>
      <c r="D58" t="n">
        <v>484800</v>
      </c>
      <c r="E58" t="n">
        <v>322.823</v>
      </c>
      <c r="F58" t="n">
        <v>1501.75</v>
      </c>
      <c r="G58" t="inlineStr">
        <is>
          <t>2026-04-30</t>
        </is>
      </c>
      <c r="H58" t="inlineStr">
        <is>
          <t>2026-04-30</t>
        </is>
      </c>
      <c r="I58" t="inlineStr">
        <is>
          <t>2029-02-15</t>
        </is>
      </c>
      <c r="J58" t="inlineStr">
        <is>
          <t>④호황</t>
        </is>
      </c>
      <c r="K58" t="inlineStr">
        <is>
          <t>linear_progress</t>
        </is>
      </c>
      <c r="L58" t="b">
        <v>0</v>
      </c>
    </row>
    <row r="59">
      <c r="A59" t="inlineStr">
        <is>
          <t>20260514800296</t>
        </is>
      </c>
      <c r="B59" t="inlineStr">
        <is>
          <t>LNGC</t>
        </is>
      </c>
      <c r="C59" t="n">
        <v>2</v>
      </c>
      <c r="D59" t="n">
        <v>750500</v>
      </c>
      <c r="E59" t="n">
        <v>499.75</v>
      </c>
      <c r="F59" t="n">
        <v>1501.75</v>
      </c>
      <c r="G59" t="inlineStr">
        <is>
          <t>2026-05-13</t>
        </is>
      </c>
      <c r="H59" t="inlineStr">
        <is>
          <t>2026-05-13</t>
        </is>
      </c>
      <c r="I59" t="inlineStr">
        <is>
          <t>2029-06-30</t>
        </is>
      </c>
      <c r="J59" t="inlineStr">
        <is>
          <t>③중마진</t>
        </is>
      </c>
      <c r="K59" t="inlineStr">
        <is>
          <t>linear_progress</t>
        </is>
      </c>
      <c r="L59" t="b">
        <v>1</v>
      </c>
    </row>
    <row r="60">
      <c r="A60" t="inlineStr">
        <is>
          <t>20260518800216</t>
        </is>
      </c>
      <c r="B60" t="inlineStr">
        <is>
          <t>LNGC</t>
        </is>
      </c>
      <c r="C60" t="n">
        <v>3</v>
      </c>
      <c r="D60" t="n">
        <v>1124200</v>
      </c>
      <c r="E60" t="n">
        <v>748.593</v>
      </c>
      <c r="F60" t="n">
        <v>1501.75</v>
      </c>
      <c r="G60" t="inlineStr">
        <is>
          <t>2026-05-15</t>
        </is>
      </c>
      <c r="H60" t="inlineStr">
        <is>
          <t>2026-05-15</t>
        </is>
      </c>
      <c r="I60" t="inlineStr">
        <is>
          <t>2029-05-31</t>
        </is>
      </c>
      <c r="J60" t="inlineStr">
        <is>
          <t>③중마진</t>
        </is>
      </c>
      <c r="K60" t="inlineStr">
        <is>
          <t>linear_progress</t>
        </is>
      </c>
      <c r="L60" t="b">
        <v>1</v>
      </c>
    </row>
    <row r="61">
      <c r="A61" t="inlineStr">
        <is>
          <t>20260527800188</t>
        </is>
      </c>
      <c r="B61" t="inlineStr">
        <is>
          <t>LNGC</t>
        </is>
      </c>
      <c r="C61" t="n">
        <v>1</v>
      </c>
      <c r="D61" t="n">
        <v>381400</v>
      </c>
      <c r="E61" t="n">
        <v>253.97</v>
      </c>
      <c r="F61" t="n">
        <v>1501.75</v>
      </c>
      <c r="G61" t="inlineStr">
        <is>
          <t>2026-05-26</t>
        </is>
      </c>
      <c r="H61" t="inlineStr">
        <is>
          <t>2026-05-26</t>
        </is>
      </c>
      <c r="I61" t="inlineStr">
        <is>
          <t>2028-10-31</t>
        </is>
      </c>
      <c r="J61" t="inlineStr">
        <is>
          <t>③중마진</t>
        </is>
      </c>
      <c r="K61" t="inlineStr">
        <is>
          <t>linear_progress</t>
        </is>
      </c>
      <c r="L61" t="b">
        <v>1</v>
      </c>
    </row>
    <row r="62">
      <c r="A62" t="inlineStr">
        <is>
          <t>20260527800189</t>
        </is>
      </c>
      <c r="B62" t="inlineStr">
        <is>
          <t>VLGC</t>
        </is>
      </c>
      <c r="C62" t="n">
        <v>2</v>
      </c>
      <c r="D62" t="n">
        <v>342000</v>
      </c>
      <c r="E62" t="n">
        <v>227.734</v>
      </c>
      <c r="F62" t="n">
        <v>1501.75</v>
      </c>
      <c r="G62" t="inlineStr">
        <is>
          <t>2026-05-26</t>
        </is>
      </c>
      <c r="H62" t="inlineStr">
        <is>
          <t>2026-05-26</t>
        </is>
      </c>
      <c r="I62" t="inlineStr">
        <is>
          <t>2029-11-30</t>
        </is>
      </c>
      <c r="J62" t="inlineStr">
        <is>
          <t>③중마진</t>
        </is>
      </c>
      <c r="K62" t="inlineStr">
        <is>
          <t>linear_progress</t>
        </is>
      </c>
      <c r="L62" t="b">
        <v>1</v>
      </c>
    </row>
    <row r="63">
      <c r="A63" t="inlineStr">
        <is>
          <t>20260527800191</t>
        </is>
      </c>
      <c r="B63" t="inlineStr">
        <is>
          <t>VLCC</t>
        </is>
      </c>
      <c r="C63" t="n">
        <v>2</v>
      </c>
      <c r="D63" t="n">
        <v>278400</v>
      </c>
      <c r="E63" t="n">
        <v>185.384</v>
      </c>
      <c r="F63" t="n">
        <v>1501.75</v>
      </c>
      <c r="G63" t="inlineStr">
        <is>
          <t>2026-05-26</t>
        </is>
      </c>
      <c r="H63" t="inlineStr">
        <is>
          <t>2026-05-26</t>
        </is>
      </c>
      <c r="I63" t="inlineStr">
        <is>
          <t>2028-03-15</t>
        </is>
      </c>
      <c r="J63" t="inlineStr">
        <is>
          <t>③중마진</t>
        </is>
      </c>
      <c r="K63" t="inlineStr">
        <is>
          <t>linear_progress</t>
        </is>
      </c>
      <c r="L63" t="b">
        <v>1</v>
      </c>
    </row>
    <row r="64">
      <c r="A64" t="inlineStr">
        <is>
          <t>20260604800001</t>
        </is>
      </c>
      <c r="B64" t="inlineStr">
        <is>
          <t>OFFSH</t>
        </is>
      </c>
      <c r="C64" t="n">
        <v>1</v>
      </c>
      <c r="D64" t="n">
        <v>4330100</v>
      </c>
      <c r="E64" t="n">
        <v>2883.369</v>
      </c>
      <c r="F64" t="n">
        <v>1501.75</v>
      </c>
      <c r="G64" t="inlineStr">
        <is>
          <t>2026-06-01</t>
        </is>
      </c>
      <c r="H64" t="inlineStr">
        <is>
          <t>2026-06-01</t>
        </is>
      </c>
      <c r="I64" t="inlineStr">
        <is>
          <t>2030-07-19</t>
        </is>
      </c>
      <c r="J64" t="inlineStr">
        <is>
          <t>④호황</t>
        </is>
      </c>
      <c r="K64" t="inlineStr">
        <is>
          <t>linear_progress</t>
        </is>
      </c>
      <c r="L64" t="b">
        <v>0</v>
      </c>
    </row>
    <row r="65">
      <c r="A65" t="inlineStr">
        <is>
          <t>20260608800137</t>
        </is>
      </c>
      <c r="B65" t="inlineStr">
        <is>
          <t>LNGC</t>
        </is>
      </c>
      <c r="C65" t="n">
        <v>1</v>
      </c>
      <c r="D65" t="n">
        <v>385500</v>
      </c>
      <c r="E65" t="n">
        <v>256.701</v>
      </c>
      <c r="F65" t="n">
        <v>1501.75</v>
      </c>
      <c r="G65" t="inlineStr">
        <is>
          <t>2026-06-05</t>
        </is>
      </c>
      <c r="H65" t="inlineStr">
        <is>
          <t>2026-06-05</t>
        </is>
      </c>
      <c r="I65" t="inlineStr">
        <is>
          <t>2029-01-08</t>
        </is>
      </c>
      <c r="J65" t="inlineStr">
        <is>
          <t>③중마진</t>
        </is>
      </c>
      <c r="K65" t="inlineStr">
        <is>
          <t>linear_progress</t>
        </is>
      </c>
      <c r="L65" t="b">
        <v>1</v>
      </c>
    </row>
    <row r="66">
      <c r="A66" t="inlineStr">
        <is>
          <t>20260608800714</t>
        </is>
      </c>
      <c r="B66" t="inlineStr">
        <is>
          <t>OFFSH</t>
        </is>
      </c>
      <c r="C66" t="n">
        <v>1</v>
      </c>
      <c r="D66" t="n">
        <v>1904600</v>
      </c>
      <c r="E66" t="n">
        <v>1268.254</v>
      </c>
      <c r="F66" t="n">
        <v>1501.75</v>
      </c>
      <c r="G66" t="inlineStr">
        <is>
          <t>2026-06-06</t>
        </is>
      </c>
      <c r="H66" t="inlineStr">
        <is>
          <t>2023-06-05</t>
        </is>
      </c>
      <c r="I66" t="inlineStr">
        <is>
          <t>2029-09-30</t>
        </is>
      </c>
      <c r="J66" t="inlineStr">
        <is>
          <t>③중마진</t>
        </is>
      </c>
      <c r="K66" t="inlineStr">
        <is>
          <t>linear_progress</t>
        </is>
      </c>
      <c r="L66" t="b">
        <v>0</v>
      </c>
    </row>
    <row r="67">
      <c r="A67" t="inlineStr">
        <is>
          <t>20260608800716</t>
        </is>
      </c>
      <c r="B67" t="inlineStr">
        <is>
          <t>OFFSH</t>
        </is>
      </c>
      <c r="D67" t="n">
        <v>1553900</v>
      </c>
      <c r="E67" t="n">
        <v>1120.372</v>
      </c>
      <c r="F67" t="n">
        <v>1386.95</v>
      </c>
      <c r="G67" t="inlineStr">
        <is>
          <t>2025-07-04</t>
        </is>
      </c>
      <c r="H67" t="inlineStr">
        <is>
          <t>2025-07-04</t>
        </is>
      </c>
      <c r="I67" t="inlineStr">
        <is>
          <t>2026-06-08</t>
        </is>
      </c>
      <c r="K67" t="inlineStr">
        <is>
          <t>linear_progress</t>
        </is>
      </c>
      <c r="L67" t="b">
        <v>0</v>
      </c>
    </row>
    <row r="68">
      <c r="A68" t="inlineStr">
        <is>
          <t>20260702800158</t>
        </is>
      </c>
      <c r="B68" t="inlineStr">
        <is>
          <t>VLCC</t>
        </is>
      </c>
      <c r="C68" t="n">
        <v>2</v>
      </c>
      <c r="D68" t="n">
        <v>273400</v>
      </c>
      <c r="E68" t="n">
        <v>192.573</v>
      </c>
      <c r="F68" t="n">
        <v>1419.72</v>
      </c>
      <c r="G68" t="inlineStr">
        <is>
          <t>2026-07-01</t>
        </is>
      </c>
      <c r="H68" t="inlineStr">
        <is>
          <t>2026-07-01</t>
        </is>
      </c>
      <c r="I68" t="inlineStr">
        <is>
          <t>2029-06-30</t>
        </is>
      </c>
      <c r="J68" t="inlineStr">
        <is>
          <t>③중마진</t>
        </is>
      </c>
      <c r="K68" t="inlineStr">
        <is>
          <t>linear_progress</t>
        </is>
      </c>
      <c r="L68" t="b">
        <v>0</v>
      </c>
    </row>
    <row r="69">
      <c r="A69" t="inlineStr">
        <is>
          <t>20260708800164</t>
        </is>
      </c>
      <c r="B69" t="inlineStr">
        <is>
          <t>VLCC</t>
        </is>
      </c>
      <c r="C69" t="n">
        <v>2</v>
      </c>
      <c r="D69" t="n">
        <v>284900</v>
      </c>
      <c r="E69" t="n">
        <v>200.673</v>
      </c>
      <c r="F69" t="n">
        <v>1419.72</v>
      </c>
      <c r="G69" t="inlineStr">
        <is>
          <t>2026-07-07</t>
        </is>
      </c>
      <c r="H69" t="inlineStr">
        <is>
          <t>2026-07-07</t>
        </is>
      </c>
      <c r="I69" t="inlineStr">
        <is>
          <t>2029-05-15</t>
        </is>
      </c>
      <c r="J69" t="inlineStr">
        <is>
          <t>③중마진</t>
        </is>
      </c>
      <c r="K69" t="inlineStr">
        <is>
          <t>linear_progress</t>
        </is>
      </c>
      <c r="L69" t="b">
        <v>1</v>
      </c>
    </row>
    <row r="70">
      <c r="A70" t="inlineStr">
        <is>
          <t>20260728800579</t>
        </is>
      </c>
      <c r="B70" t="inlineStr">
        <is>
          <t>OTHER</t>
        </is>
      </c>
      <c r="D70" t="n">
        <v>607786.3</v>
      </c>
      <c r="E70" t="n">
        <v>438.218</v>
      </c>
      <c r="F70" t="n">
        <v>1386.95</v>
      </c>
      <c r="G70" t="inlineStr">
        <is>
          <t>2025-07-18</t>
        </is>
      </c>
      <c r="H70" t="inlineStr">
        <is>
          <t>2025-07-18</t>
        </is>
      </c>
      <c r="I70" t="inlineStr">
        <is>
          <t>2027-04-30</t>
        </is>
      </c>
      <c r="K70" t="inlineStr">
        <is>
          <t>linear_progress</t>
        </is>
      </c>
      <c r="L70" t="b">
        <v>0</v>
      </c>
    </row>
    <row r="71">
      <c r="A71" t="inlineStr">
        <is>
          <t>20260803800398</t>
        </is>
      </c>
      <c r="B71" t="inlineStr">
        <is>
          <t>VLCC</t>
        </is>
      </c>
      <c r="C71" t="n">
        <v>2</v>
      </c>
      <c r="D71" t="n">
        <v>268000</v>
      </c>
      <c r="E71" t="n">
        <v>188.77</v>
      </c>
      <c r="F71" t="n">
        <v>1419.72</v>
      </c>
      <c r="G71" t="inlineStr">
        <is>
          <t>2026-07-31</t>
        </is>
      </c>
      <c r="H71" t="inlineStr">
        <is>
          <t>2026-07-31</t>
        </is>
      </c>
      <c r="I71" t="inlineStr">
        <is>
          <t>2029-08-31</t>
        </is>
      </c>
      <c r="J71" t="inlineStr">
        <is>
          <t>③중마진</t>
        </is>
      </c>
      <c r="K71" t="inlineStr">
        <is>
          <t>linear_progress</t>
        </is>
      </c>
      <c r="L71" t="b">
        <v>0</v>
      </c>
    </row>
    <row r="72">
      <c r="A72" t="inlineStr">
        <is>
          <t>20260831800071</t>
        </is>
      </c>
      <c r="B72" t="inlineStr">
        <is>
          <t>CONT</t>
        </is>
      </c>
      <c r="C72" t="n">
        <v>2</v>
      </c>
      <c r="D72" t="n">
        <v>444500</v>
      </c>
      <c r="E72" t="n">
        <v>313.09</v>
      </c>
      <c r="F72" t="n">
        <v>1419.72</v>
      </c>
      <c r="G72" t="inlineStr">
        <is>
          <t>2026-08-28</t>
        </is>
      </c>
      <c r="H72" t="inlineStr">
        <is>
          <t>2026-08-28</t>
        </is>
      </c>
      <c r="I72" t="inlineStr">
        <is>
          <t>2028-12-27</t>
        </is>
      </c>
      <c r="J72" t="inlineStr">
        <is>
          <t>④호황</t>
        </is>
      </c>
      <c r="K72" t="inlineStr">
        <is>
          <t>linear_progress</t>
        </is>
      </c>
      <c r="L72" t="b">
        <v>0</v>
      </c>
    </row>
    <row r="73">
      <c r="A73" t="inlineStr">
        <is>
          <t>20260831800178</t>
        </is>
      </c>
      <c r="B73" t="inlineStr">
        <is>
          <t>OTHER</t>
        </is>
      </c>
      <c r="D73" t="n">
        <v>639855.7</v>
      </c>
      <c r="E73" t="n">
        <v>484.002</v>
      </c>
      <c r="F73" t="n">
        <v>1322.01</v>
      </c>
      <c r="G73" t="inlineStr">
        <is>
          <t>2023-12-13</t>
        </is>
      </c>
      <c r="H73" t="inlineStr">
        <is>
          <t>2023-07-15</t>
        </is>
      </c>
      <c r="I73" t="inlineStr">
        <is>
          <t>2027-12-31</t>
        </is>
      </c>
      <c r="K73" t="inlineStr">
        <is>
          <t>linear_progress</t>
        </is>
      </c>
      <c r="L73" t="b">
        <v>0</v>
      </c>
    </row>
    <row r="74">
      <c r="A74" t="inlineStr">
        <is>
          <t>20260911800485</t>
        </is>
      </c>
      <c r="B74" t="inlineStr">
        <is>
          <t>VLCC</t>
        </is>
      </c>
      <c r="C74" t="n">
        <v>3</v>
      </c>
      <c r="D74" t="n">
        <v>341100</v>
      </c>
      <c r="E74" t="n">
        <v>235.373</v>
      </c>
      <c r="F74" t="n">
        <v>1449.19</v>
      </c>
      <c r="G74" t="inlineStr">
        <is>
          <t>2025-10-23</t>
        </is>
      </c>
      <c r="H74" t="inlineStr">
        <is>
          <t>2025-10-23</t>
        </is>
      </c>
      <c r="I74" t="inlineStr">
        <is>
          <t>2029-03-31</t>
        </is>
      </c>
      <c r="J74" t="inlineStr">
        <is>
          <t>②BEP</t>
        </is>
      </c>
      <c r="K74" t="inlineStr">
        <is>
          <t>linear_progress</t>
        </is>
      </c>
      <c r="L74" t="b">
        <v>0</v>
      </c>
    </row>
    <row r="75">
      <c r="A75" t="inlineStr">
        <is>
          <t>20260914800075</t>
        </is>
      </c>
      <c r="B75" t="inlineStr">
        <is>
          <t>LNGC</t>
        </is>
      </c>
      <c r="C75" t="n">
        <v>4</v>
      </c>
      <c r="D75" t="n">
        <v>1407800</v>
      </c>
      <c r="E75" t="n">
        <v>991.604</v>
      </c>
      <c r="F75" t="n">
        <v>1419.72</v>
      </c>
      <c r="G75" t="inlineStr">
        <is>
          <t>2026-09-11</t>
        </is>
      </c>
      <c r="H75" t="inlineStr">
        <is>
          <t>2026-09-11</t>
        </is>
      </c>
      <c r="I75" t="inlineStr">
        <is>
          <t>2029-09-28</t>
        </is>
      </c>
      <c r="J75" t="inlineStr">
        <is>
          <t>③중마진</t>
        </is>
      </c>
      <c r="K75" t="inlineStr">
        <is>
          <t>linear_progress</t>
        </is>
      </c>
      <c r="L75" t="b">
        <v>1</v>
      </c>
    </row>
    <row r="76">
      <c r="A76" t="inlineStr">
        <is>
          <t>20260930800054</t>
        </is>
      </c>
      <c r="B76" t="inlineStr">
        <is>
          <t>VLGC</t>
        </is>
      </c>
      <c r="C76" t="n">
        <v>2</v>
      </c>
      <c r="D76" t="n">
        <v>307400</v>
      </c>
      <c r="E76" t="n">
        <v>216.522</v>
      </c>
      <c r="F76" t="n">
        <v>1419.72</v>
      </c>
      <c r="G76" t="inlineStr">
        <is>
          <t>2026-09-29</t>
        </is>
      </c>
      <c r="H76" t="inlineStr">
        <is>
          <t>2026-09-29</t>
        </is>
      </c>
      <c r="I76" t="inlineStr">
        <is>
          <t>2030-02-28</t>
        </is>
      </c>
      <c r="J76" t="inlineStr">
        <is>
          <t>③중마진</t>
        </is>
      </c>
      <c r="K76" t="inlineStr">
        <is>
          <t>linear_progress</t>
        </is>
      </c>
      <c r="L76" t="b">
        <v>1</v>
      </c>
    </row>
    <row r="77">
      <c r="A77" s="2" t="inlineStr">
        <is>
          <t>⚠ 종료일 = 마지막 호선 인도 예정; 진행률 매출 분기는 계약기간 안에 선형 배분(가정)</t>
        </is>
      </c>
    </row>
    <row r="78">
      <c r="A78" s="2" t="inlineStr">
        <is>
          <t>⚠ 헤지비율 0.7 은 가정(약정환율 미공시 → 레퍼런스 SLS 시트의 HEDGE 70% 가정. hedge_rate 는 계약별 수주시점 환율로 대체)</t>
        </is>
      </c>
    </row>
    <row r="79">
      <c r="A79" s="2" t="inlineStr">
        <is>
          <t>⚠ 공시 통화선도 매도 명목액 25538백만$ 을 현물(2026Q2 기말 1550.89원)로 잔고 대비 환산하면 1.13 — 가정 0.70 과 +0.43 차이. 약정환율 미공시라 적용하지 않음(참고치 hedge.hedge_ratio_implied_spot; 채택은 사용자 결정)</t>
        </is>
      </c>
    </row>
    <row r="80">
      <c r="A80" s="2" t="inlineStr">
        <is>
          <t>⚠ 코호트는 원장 내부 상대 등급(신조선가 지수 없음): 2025~ 수주 물량(백만$) 판정 ②BEP 1%, ③중마진 68%, ④호황 31% — 최다 ③중마진. 레퍼런스 HD현대미포 SLS 는 2025~ 물량을 100% ⑤초호황으로 두어 방향이 다르다(2021 이후 절대 호황 수준 미반영). 타겟 OPM 은 회사 calibrated_shift 로 실측 OPM 에 맞추고, 외부 지수 도입은 사용자 결정</t>
        </is>
      </c>
    </row>
    <row r="81">
      <c r="A81" s="2" t="inlineStr">
        <is>
          <t>⚠ 스케줄 불가 3건(금액·기간 없음) — contracts[].schedule 비움</t>
        </is>
      </c>
    </row>
    <row r="82">
      <c r="A82" s="2" t="inlineStr">
        <is>
          <t>⚠ 종료일 '-' 3건은 같은 선종 계약기간 중위로 종료 추정(end_estimated)</t>
        </is>
      </c>
    </row>
    <row r="83">
      <c r="A83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변수!D49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OP조선</t>
        </is>
      </c>
      <c r="D35" t="inlineStr">
        <is>
          <t>OP 조선·해양(조선해양)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2">
        <f>IFERROR(W5/S5-1,"")</f>
        <v/>
      </c>
      <c r="X40" s="31">
        <f>IFERROR(X5/T5-1,"")</f>
        <v/>
      </c>
      <c r="Y40" s="31">
        <f>IFERROR(Y5/U5-1,"")</f>
        <v/>
      </c>
      <c r="Z40" s="31">
        <f>IFERROR(Z5/V5-1,"")</f>
        <v/>
      </c>
      <c r="AA40" s="31">
        <f>IFERROR(AA5/W5-1,"")</f>
        <v/>
      </c>
      <c r="AB40" s="31">
        <f>IFERROR(AB5/X5-1,"")</f>
        <v/>
      </c>
      <c r="AC40" s="31">
        <f>IFERROR(AC5/Y5-1,"")</f>
        <v/>
      </c>
      <c r="AD40" s="31">
        <f>IFERROR(AD5/Z5-1,"")</f>
        <v/>
      </c>
      <c r="AE40" s="31">
        <f>IFERROR(AE5/AA5-1,"")</f>
        <v/>
      </c>
      <c r="AF40" s="31">
        <f>IFERROR(AF5/AB5-1,"")</f>
        <v/>
      </c>
      <c r="AG40" s="31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2">
        <f>IFERROR(W9/S9-1,"")</f>
        <v/>
      </c>
      <c r="X41" s="31">
        <f>IFERROR(X9/T9-1,"")</f>
        <v/>
      </c>
      <c r="Y41" s="31">
        <f>IFERROR(Y9/U9-1,"")</f>
        <v/>
      </c>
      <c r="Z41" s="31">
        <f>IFERROR(Z9/V9-1,"")</f>
        <v/>
      </c>
      <c r="AA41" s="31">
        <f>IFERROR(AA9/W9-1,"")</f>
        <v/>
      </c>
      <c r="AB41" s="31">
        <f>IFERROR(AB9/X9-1,"")</f>
        <v/>
      </c>
      <c r="AC41" s="31">
        <f>IFERROR(AC9/Y9-1,"")</f>
        <v/>
      </c>
      <c r="AD41" s="31">
        <f>IFERROR(AD9/Z9-1,"")</f>
        <v/>
      </c>
      <c r="AE41" s="31">
        <f>IFERROR(AE9/AA9-1,"")</f>
        <v/>
      </c>
      <c r="AF41" s="31">
        <f>IFERROR(AF9/AB9-1,"")</f>
        <v/>
      </c>
      <c r="AG41" s="31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IFERROR(I17/E17-1,"")</f>
        <v/>
      </c>
      <c r="J42" s="21">
        <f>IFERROR(J17/F17-1,"")</f>
        <v/>
      </c>
      <c r="K42" s="21">
        <f>IFERROR(K17/G17-1,"")</f>
        <v/>
      </c>
      <c r="L42" s="21">
        <f>IFERROR(L17/H17-1,"")</f>
        <v/>
      </c>
      <c r="M42" s="21">
        <f>IFERROR(M17/I17-1,"")</f>
        <v/>
      </c>
      <c r="N42" s="21">
        <f>IFERROR(N17/J17-1,"")</f>
        <v/>
      </c>
      <c r="O42" s="21">
        <f>IFERROR(O17/K17-1,"")</f>
        <v/>
      </c>
      <c r="P42" s="21">
        <f>IFERROR(P17/L17-1,"")</f>
        <v/>
      </c>
      <c r="Q42" s="21">
        <f>IFERROR(Q17/M17-1,"")</f>
        <v/>
      </c>
      <c r="R42" s="21">
        <f>IFERROR(R17/N17-1,"")</f>
        <v/>
      </c>
      <c r="S42" s="21">
        <f>IFERROR(S17/O17-1,"")</f>
        <v/>
      </c>
      <c r="T42" s="21">
        <f>IFERROR(T17/P17-1,"")</f>
        <v/>
      </c>
      <c r="U42" s="21">
        <f>IFERROR(U17/Q17-1,"")</f>
        <v/>
      </c>
      <c r="V42" s="21">
        <f>IFERROR(V17/R17-1,"")</f>
        <v/>
      </c>
      <c r="W42" s="42">
        <f>IFERROR(W17/S17-1,"")</f>
        <v/>
      </c>
      <c r="X42" s="31">
        <f>IFERROR(X17/T17-1,"")</f>
        <v/>
      </c>
      <c r="Y42" s="31">
        <f>IFERROR(Y17/U17-1,"")</f>
        <v/>
      </c>
      <c r="Z42" s="31">
        <f>IFERROR(Z17/V17-1,"")</f>
        <v/>
      </c>
      <c r="AA42" s="31">
        <f>IFERROR(AA17/W17-1,"")</f>
        <v/>
      </c>
      <c r="AB42" s="31">
        <f>IFERROR(AB17/X17-1,"")</f>
        <v/>
      </c>
      <c r="AC42" s="31">
        <f>IFERROR(AC17/Y17-1,"")</f>
        <v/>
      </c>
      <c r="AD42" s="31">
        <f>IFERROR(AD17/Z17-1,"")</f>
        <v/>
      </c>
      <c r="AE42" s="31">
        <f>IFERROR(AE17/AA17-1,"")</f>
        <v/>
      </c>
      <c r="AF42" s="31">
        <f>IFERROR(AF17/AB17-1,"")</f>
        <v/>
      </c>
      <c r="AG42" s="31">
        <f>IFERROR(AG17/AC17-1,"")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변수!D49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매출조선</t>
        </is>
      </c>
      <c r="D34" t="inlineStr">
        <is>
          <t>매출 조선·해양(조선해양)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OP조선</t>
        </is>
      </c>
      <c r="D35" t="inlineStr">
        <is>
          <t>OP 조선·해양(조선해양)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매출기타</t>
        </is>
      </c>
      <c r="D36" t="inlineStr">
        <is>
          <t>매출 기타 부문(총매출 − 조선)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OP기타</t>
        </is>
      </c>
      <c r="D37" t="inlineStr">
        <is>
          <t>OP 기타 부문(총매출 − 조선)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OPM</t>
        </is>
      </c>
      <c r="D38" t="inlineStr">
        <is>
          <t>영업이익률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2">
        <f>IFERROR(I5/H5-1,"")</f>
        <v/>
      </c>
      <c r="J40" s="31">
        <f>IFERROR(J5/I5-1,"")</f>
        <v/>
      </c>
      <c r="K40" s="31">
        <f>IFERROR(K5/J5-1,"")</f>
        <v/>
      </c>
      <c r="L40" s="31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2">
        <f>IFERROR(I9/H9-1,"")</f>
        <v/>
      </c>
      <c r="J41" s="31">
        <f>IFERROR(J9/I9-1,"")</f>
        <v/>
      </c>
      <c r="K41" s="31">
        <f>IFERROR(K9/J9-1,"")</f>
        <v/>
      </c>
      <c r="L41" s="31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IFERROR(F17/E17-1,"")</f>
        <v/>
      </c>
      <c r="G42" s="21">
        <f>IFERROR(G17/F17-1,"")</f>
        <v/>
      </c>
      <c r="H42" s="21">
        <f>IFERROR(H17/G17-1,"")</f>
        <v/>
      </c>
      <c r="I42" s="42">
        <f>IFERROR(I17/H17-1,"")</f>
        <v/>
      </c>
      <c r="J42" s="31">
        <f>IFERROR(J17/I17-1,"")</f>
        <v/>
      </c>
      <c r="K42" s="31">
        <f>IFERROR(K17/J17-1,"")</f>
        <v/>
      </c>
      <c r="L42" s="31">
        <f>IFERROR(L17/K17-1,"")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변수!D49</f>
        <v/>
      </c>
    </row>
    <row r="2">
      <c r="B2" s="1" t="inlineStr">
        <is>
          <t>기준일</t>
        </is>
      </c>
      <c r="C2">
        <f>변수!D50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IFERROR(E7*변수!D55+F7*(1-변수!D55),"")</f>
        <v/>
      </c>
    </row>
    <row r="15">
      <c r="C15" t="inlineStr">
        <is>
          <t>적정가치 @PER_lo</t>
        </is>
      </c>
      <c r="D15" s="26">
        <f>변수!D52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1497.2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13.02</v>
      </c>
    </row>
    <row r="32">
      <c r="C32" s="2" t="inlineStr">
        <is>
          <t>pbr_now</t>
        </is>
      </c>
      <c r="D32" t="n">
        <v>3.49</v>
      </c>
    </row>
    <row r="33">
      <c r="C33" s="2" t="inlineStr">
        <is>
          <t>roe_fwd</t>
        </is>
      </c>
      <c r="D33" t="n">
        <v>0.268</v>
      </c>
    </row>
    <row r="34">
      <c r="C34" s="2" t="inlineStr">
        <is>
          <t>fair_pbr</t>
        </is>
      </c>
      <c r="D34" t="n">
        <v>2.98</v>
      </c>
    </row>
    <row r="35">
      <c r="C35" s="2" t="inlineStr">
        <is>
          <t>fair_value_pbr</t>
        </is>
      </c>
      <c r="D35" t="n">
        <v>16600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