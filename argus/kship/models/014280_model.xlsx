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모델값 역산(implied): v / 매출액
매출액 × 판관비율 13.40%(최근 4분기 중위)</t>
      </text>
    </comment>
    <comment ref="AD22" authorId="0" shapeId="0">
      <text>
        <t>모델값 역산(implied): v / 매출액
매출액 × 판관비율 13.40%(최근 4분기 중위)</t>
      </text>
    </comment>
    <comment ref="AF22" authorId="0" shapeId="0">
      <text>
        <t>모델값 역산(implied): v / 매출액
매출액 × 판관비율 13.40%(최근 4분기 중위)</t>
      </text>
    </comment>
    <comment ref="AG22" authorId="0" shapeId="0">
      <text>
        <t>모델값 역산(implied): v / 매출액
매출액 × 판관비율 13.40%(최근 4분기 중위)</t>
      </text>
    </comment>
    <comment ref="AH22" authorId="0" shapeId="0">
      <text>
        <t>모델값 역산(implied): v / 매출액
매출액 × 판관비율 13.40%(최근 4분기 중위)</t>
      </text>
    </comment>
    <comment ref="AI22" authorId="0" shapeId="0">
      <text>
        <t>모델값 역산(implied): v / 매출액
매출액 × 판관비율 13.40%(최근 4분기 중위)</t>
      </text>
    </comment>
    <comment ref="AK22" authorId="0" shapeId="0">
      <text>
        <t>모델값 역산(implied): v / 매출액
매출액 × 판관비율 13.40%(최근 4분기 중위)</t>
      </text>
    </comment>
    <comment ref="AL22" authorId="0" shapeId="0">
      <text>
        <t>모델값 역산(implied): v / 매출액
매출액 × 판관비율 13.40%(최근 4분기 중위)</t>
      </text>
    </comment>
    <comment ref="AM22" authorId="0" shapeId="0">
      <text>
        <t>모델값 역산(implied): v / 매출액
매출액 × 판관비율 13.40%(최근 4분기 중위)</t>
      </text>
    </comment>
    <comment ref="AN22" authorId="0" shapeId="0">
      <text>
        <t>모델값 역산(implied): v / 매출액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v / 전년동기 − 1
최근 8분기 OPM 중위 2.7% 유지(클립 −20~40%)</t>
      </text>
    </comment>
    <comment ref="AD24" authorId="0" shapeId="0">
      <text>
        <t>모델값 역산(implied): v / 전년동기 − 1
최근 8분기 OPM 중위 2.7% 유지(클립 −20~40%)</t>
      </text>
    </comment>
    <comment ref="AF24" authorId="0" shapeId="0">
      <text>
        <t>모델값 역산(implied): v / 전년동기 − 1
최근 8분기 OPM 중위 2.7% 유지(클립 −20~40%)</t>
      </text>
    </comment>
    <comment ref="AG24" authorId="0" shapeId="0">
      <text>
        <t>모델값 역산(implied): v / 전년동기 − 1
최근 8분기 OPM 중위 2.7% 유지(클립 −20~40%)</t>
      </text>
    </comment>
    <comment ref="AH24" authorId="0" shapeId="0">
      <text>
        <t>모델값 역산(implied): v / 전년동기 − 1
최근 8분기 OPM 중위 2.7% 유지(클립 −20~40%)</t>
      </text>
    </comment>
    <comment ref="AI24" authorId="0" shapeId="0">
      <text>
        <t>모델값 역산(implied): v / 전년동기 − 1
최근 8분기 OPM 중위 2.7% 유지(클립 −20~40%)</t>
      </text>
    </comment>
    <comment ref="AK24" authorId="0" shapeId="0">
      <text>
        <t>모델값 역산(implied): v / 전년동기 − 1
최근 8분기 OPM 중위 2.7% 유지(클립 −20~40%)</t>
      </text>
    </comment>
    <comment ref="AL24" authorId="0" shapeId="0">
      <text>
        <t>모델값 역산(implied): v / 전년동기 − 1
최근 8분기 OPM 중위 2.7% 유지(클립 −20~40%)</t>
      </text>
    </comment>
    <comment ref="AM24" authorId="0" shapeId="0">
      <text>
        <t>모델값 역산(implied): v / 전년동기 − 1
최근 8분기 OPM 중위 2.7% 유지(클립 −20~40%)</t>
      </text>
    </comment>
    <comment ref="AN24" authorId="0" shapeId="0">
      <text>
        <t>모델값 역산(implied): v / 전년동기 − 1
최근 8분기 OPM 중위 2.7%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1751억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1756억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1762억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1741억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1749억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1754억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1761억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1740억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1748억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</t>
      </text>
    </comment>
    <comment ref="AC26" authorId="0" shapeId="0">
      <text>
        <t>모델값 역산(implied): 모델 v 그대로
이자발생자산 1743억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D26" authorId="0" shapeId="0">
      <text>
        <t>모델값 역산(implied): 모델 v 그대로
이자발생자산 1751억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F26" authorId="0" shapeId="0">
      <text>
        <t>모델값 역산(implied): 모델 v 그대로
이자발생자산 1756억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G26" authorId="0" shapeId="0">
      <text>
        <t>모델값 역산(implied): 모델 v 그대로
이자발생자산 1762억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H26" authorId="0" shapeId="0">
      <text>
        <t>모델값 역산(implied): 모델 v 그대로
이자발생자산 1741억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I26" authorId="0" shapeId="0">
      <text>
        <t>모델값 역산(implied): 모델 v 그대로
이자발생자산 1749억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K26" authorId="0" shapeId="0">
      <text>
        <t>모델값 역산(implied): 모델 v 그대로
이자발생자산 1754억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L26" authorId="0" shapeId="0">
      <text>
        <t>모델값 역산(implied): 모델 v 그대로
이자발생자산 1761억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M26" authorId="0" shapeId="0">
      <text>
        <t>모델값 역산(implied): 모델 v 그대로
이자발생자산 1740억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N26" authorId="0" shapeId="0">
      <text>
        <t>모델값 역산(implied): 모델 v 그대로
이자발생자산 1748억 × 2.47%(CF 이자수취 ÷ 평균 이자발생자산(2025Q3~2026Q2; 주석 이자수익 0분기 &lt; 4)) − 총차입금 6080억 × 4.32%(CF 이자지급 ÷ 평균 총차입금(2025Q3~2026Q2; 주석 이자비용 0분기 &lt; 4))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D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F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G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H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I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K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L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M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N29" authorId="0" shapeId="0">
      <text>
        <t>모델값 역산(implied): v / 세전이익
max(세전, 0) × 세율 24.0%(최근 12분기 유효세율 28.1% 가 5~27% 밖 → 클립 대신 최근 8분기 중 세전 &gt; 0 인 5분기(2024Q3~2026Q2)의 법인세/세전 중위 24.0%)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전년동기 − 1
최근 4분기 감가상각비 중위 유지</t>
      </text>
    </comment>
    <comment ref="AD32" authorId="0" shapeId="0">
      <text>
        <t>모델값 역산(implied): v / 전년동기 − 1
최근 4분기 감가상각비 중위 유지</t>
      </text>
    </comment>
    <comment ref="AF32" authorId="0" shapeId="0">
      <text>
        <t>모델값 역산(implied): v / 전년동기 − 1
최근 4분기 감가상각비 중위 유지</t>
      </text>
    </comment>
    <comment ref="AG32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최근 4분기 감가상각비 중위 유지</t>
      </text>
    </comment>
    <comment ref="AI32" authorId="0" shapeId="0">
      <text>
        <t>모델값 역산(implied): v / 전년동기 − 1
최근 4분기 감가상각비 중위 유지</t>
      </text>
    </comment>
    <comment ref="AK32" authorId="0" shapeId="0">
      <text>
        <t>모델값 역산(implied): v / 전년동기 − 1
최근 4분기 감가상각비 중위 유지</t>
      </text>
    </comment>
    <comment ref="AL32" authorId="0" shapeId="0">
      <text>
        <t>모델값 역산(implied): v / 전년동기 − 1
최근 4분기 감가상각비 중위 유지</t>
      </text>
    </comment>
    <comment ref="AM32" authorId="0" shapeId="0">
      <text>
        <t>모델값 역산(implied): v / 전년동기 − 1
최근 4분기 감가상각비 중위 유지</t>
      </text>
    </comment>
    <comment ref="AN32" authorId="0" shapeId="0">
      <text>
        <t>모델값 역산(implied): v / 전년동기 − 1
최근 4분기 감가상각비 중위 유지</t>
      </text>
    </comment>
    <comment ref="AC33" authorId="0" shapeId="0">
      <text>
        <t>모델값 역산(implied): v / 전년동기 − 1
영업이익 + 감가상각비</t>
      </text>
    </comment>
    <comment ref="AD33" authorId="0" shapeId="0">
      <text>
        <t>모델값 역산(implied): v / 전년동기 − 1
영업이익 + 감가상각비</t>
      </text>
    </comment>
    <comment ref="AF33" authorId="0" shapeId="0">
      <text>
        <t>모델값 역산(implied): v / 전년동기 − 1
영업이익 + 감가상각비</t>
      </text>
    </comment>
    <comment ref="AG33" authorId="0" shapeId="0">
      <text>
        <t>모델값 역산(implied): v / 전년동기 − 1
영업이익 + 감가상각비</t>
      </text>
    </comment>
    <comment ref="AH33" authorId="0" shapeId="0">
      <text>
        <t>모델값 역산(implied): v / 전년동기 − 1
영업이익 + 감가상각비</t>
      </text>
    </comment>
    <comment ref="AI33" authorId="0" shapeId="0">
      <text>
        <t>모델값 역산(implied): v / 전년동기 − 1
영업이익 + 감가상각비</t>
      </text>
    </comment>
    <comment ref="AK33" authorId="0" shapeId="0">
      <text>
        <t>모델값 역산(implied): v / 전년동기 − 1
영업이익 + 감가상각비</t>
      </text>
    </comment>
    <comment ref="AL33" authorId="0" shapeId="0">
      <text>
        <t>모델값 역산(implied): v / 전년동기 − 1
영업이익 + 감가상각비</t>
      </text>
    </comment>
    <comment ref="AM33" authorId="0" shapeId="0">
      <text>
        <t>모델값 역산(implied): v / 전년동기 − 1
영업이익 + 감가상각비</t>
      </text>
    </comment>
    <comment ref="AN33" authorId="0" shapeId="0">
      <text>
        <t>모델값 역산(implied): v / 전년동기 − 1
영업이익 + 감가상각비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전년동기 − 1
직전 결산 DPS 120원 유지</t>
      </text>
    </comment>
    <comment ref="AI44" authorId="0" shapeId="0">
      <text>
        <t>모델값 역산(implied): v / 전년동기 − 1
직전 결산 DPS 120원 유지</t>
      </text>
    </comment>
    <comment ref="AN44" authorId="0" shapeId="0">
      <text>
        <t>모델값 역산(implied): v / 전년동기 − 1
직전 결산 DPS 120원 유지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2.7% 유지(클립 −20~40%)
[yoy]</t>
      </text>
    </comment>
    <comment ref="AD10" authorId="0" shapeId="0">
      <text>
        <t>추정: 최근 8분기 OPM 중위 2.7% 유지(클립 −20~40%)
[yoy]</t>
      </text>
    </comment>
    <comment ref="AF10" authorId="0" shapeId="0">
      <text>
        <t>추정: 최근 8분기 OPM 중위 2.7% 유지(클립 −20~40%)
[yoy]</t>
      </text>
    </comment>
    <comment ref="AG10" authorId="0" shapeId="0">
      <text>
        <t>추정: 최근 8분기 OPM 중위 2.7% 유지(클립 −20~40%)
[yoy]</t>
      </text>
    </comment>
    <comment ref="AH10" authorId="0" shapeId="0">
      <text>
        <t>추정: 최근 8분기 OPM 중위 2.7% 유지(클립 −20~40%)
[yoy]</t>
      </text>
    </comment>
    <comment ref="AI10" authorId="0" shapeId="0">
      <text>
        <t>추정: 최근 8분기 OPM 중위 2.7% 유지(클립 −20~40%)
[yoy]</t>
      </text>
    </comment>
    <comment ref="AK10" authorId="0" shapeId="0">
      <text>
        <t>추정: 최근 8분기 OPM 중위 2.7% 유지(클립 −20~40%)
[yoy]</t>
      </text>
    </comment>
    <comment ref="AL10" authorId="0" shapeId="0">
      <text>
        <t>추정: 최근 8분기 OPM 중위 2.7% 유지(클립 −20~40%)
[yoy]</t>
      </text>
    </comment>
    <comment ref="AM10" authorId="0" shapeId="0">
      <text>
        <t>추정: 최근 8분기 OPM 중위 2.7% 유지(클립 −20~40%)
[yoy]</t>
      </text>
    </comment>
    <comment ref="AN10" authorId="0" shapeId="0">
      <text>
        <t>추정: 최근 8분기 OPM 중위 2.7%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1751억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1756억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1762억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1741억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1749억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1754억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1761억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1740억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1748억 × 2.47%(CF 이자수취 ÷ 평균 이자발생자산(2025Q3~2026Q2; 주석 이자수익 0분기 &lt; 4)) − 총차입금 6080억 × 4.32%(CF 이자지급 ÷ 평균 총차입금(2025Q3~2026Q2; 주석 이자비용 0분기 &lt; 4)) (연율) ÷ 4; 환율 효과는 환관련손익 행 별도
[abs]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D12" authorId="0" shapeId="0">
      <text>
        <t>추정: 이자발생자산 1751억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F12" authorId="0" shapeId="0">
      <text>
        <t>추정: 이자발생자산 1756억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G12" authorId="0" shapeId="0">
      <text>
        <t>추정: 이자발생자산 1762억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H12" authorId="0" shapeId="0">
      <text>
        <t>추정: 이자발생자산 1741억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I12" authorId="0" shapeId="0">
      <text>
        <t>추정: 이자발생자산 1749억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K12" authorId="0" shapeId="0">
      <text>
        <t>추정: 이자발생자산 1754억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L12" authorId="0" shapeId="0">
      <text>
        <t>추정: 이자발생자산 1761억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M12" authorId="0" shapeId="0">
      <text>
        <t>추정: 이자발생자산 1740억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N12" authorId="0" shapeId="0">
      <text>
        <t>추정: 이자발생자산 1748억 × 2.47%(CF 이자수취 ÷ 평균 이자발생자산(2025Q3~2026Q2; 주석 이자수익 0분기 &lt; 4)) − 총차입금 6080억 × 4.32%(CF 이자지급 ÷ 평균 총차입금(2025Q3~2026Q2; 주석 이자비용 0분기 &lt; 4))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O19" authorId="0" shapeId="0">
      <text>
        <t>실측(계정 매핑 없음 — 모델값 직접) — fin.cons.is.중단사업이익</t>
      </text>
    </comment>
    <comment ref="Y19" authorId="0" shapeId="0">
      <text>
        <t>실측(계정 매핑 없음 — 모델값 직접) — fin.cons.is.중단사업이익</t>
      </text>
    </comment>
    <comment ref="AC20" authorId="0" shapeId="0">
      <text>
        <t>추정: 최근 4분기 감가상각비 중위 유지
[yoy]</t>
      </text>
    </comment>
    <comment ref="AD20" authorId="0" shapeId="0">
      <text>
        <t>추정: 최근 4분기 감가상각비 중위 유지
[yoy]</t>
      </text>
    </comment>
    <comment ref="AF20" authorId="0" shapeId="0">
      <text>
        <t>추정: 최근 4분기 감가상각비 중위 유지
[yoy]</t>
      </text>
    </comment>
    <comment ref="AG20" authorId="0" shapeId="0">
      <text>
        <t>추정: 최근 4분기 감가상각비 중위 유지
[yoy]</t>
      </text>
    </comment>
    <comment ref="AH20" authorId="0" shapeId="0">
      <text>
        <t>추정: 최근 4분기 감가상각비 중위 유지
[yoy]</t>
      </text>
    </comment>
    <comment ref="AI20" authorId="0" shapeId="0">
      <text>
        <t>추정: 최근 4분기 감가상각비 중위 유지
[yoy]</t>
      </text>
    </comment>
    <comment ref="AK20" authorId="0" shapeId="0">
      <text>
        <t>추정: 최근 4분기 감가상각비 중위 유지
[yoy]</t>
      </text>
    </comment>
    <comment ref="AL20" authorId="0" shapeId="0">
      <text>
        <t>추정: 최근 4분기 감가상각비 중위 유지
[yoy]</t>
      </text>
    </comment>
    <comment ref="AM20" authorId="0" shapeId="0">
      <text>
        <t>추정: 최근 4분기 감가상각비 중위 유지
[yoy]</t>
      </text>
    </comment>
    <comment ref="AN20" authorId="0" shapeId="0">
      <text>
        <t>추정: 최근 4분기 감가상각비 중위 유지
[yoy]</t>
      </text>
    </comment>
    <comment ref="E21" authorId="0" shapeId="0">
      <text>
        <t>실측(계정 매핑 없음 — 모델값 직접) — 영업이익 + 감가상각비(CF)</t>
      </text>
    </comment>
    <comment ref="G21" authorId="0" shapeId="0">
      <text>
        <t>실측(계정 매핑 없음 — 모델값 직접) — 영업이익 + 감가상각비(CF)</t>
      </text>
    </comment>
    <comment ref="H21" authorId="0" shapeId="0">
      <text>
        <t>실측(계정 매핑 없음 — 모델값 직접) — 영업이익 + 감가상각비(CF)</t>
      </text>
    </comment>
    <comment ref="I21" authorId="0" shapeId="0">
      <text>
        <t>실측(계정 매핑 없음 — 모델값 직접) — 영업이익 + 감가상각비(CF)</t>
      </text>
    </comment>
    <comment ref="J21" authorId="0" shapeId="0">
      <text>
        <t>실측(계정 매핑 없음 — 모델값 직접) — 영업이익 + 감가상각비(CF)</t>
      </text>
    </comment>
    <comment ref="L21" authorId="0" shapeId="0">
      <text>
        <t>실측(계정 매핑 없음 — 모델값 직접) — 영업이익 + 감가상각비(CF)</t>
      </text>
    </comment>
    <comment ref="M21" authorId="0" shapeId="0">
      <text>
        <t>실측(계정 매핑 없음 — 모델값 직접) — 영업이익 + 감가상각비(CF)</t>
      </text>
    </comment>
    <comment ref="N21" authorId="0" shapeId="0">
      <text>
        <t>실측(계정 매핑 없음 — 모델값 직접) — 영업이익 + 감가상각비(CF)</t>
      </text>
    </comment>
    <comment ref="O21" authorId="0" shapeId="0">
      <text>
        <t>실측(계정 매핑 없음 — 모델값 직접) — 영업이익 + 감가상각비(CF)</t>
      </text>
    </comment>
    <comment ref="Q21" authorId="0" shapeId="0">
      <text>
        <t>실측(계정 매핑 없음 — 모델값 직접) — 영업이익 + 감가상각비(CF)</t>
      </text>
    </comment>
    <comment ref="R21" authorId="0" shapeId="0">
      <text>
        <t>실측(계정 매핑 없음 — 모델값 직접) — 영업이익 + 감가상각비(CF)</t>
      </text>
    </comment>
    <comment ref="S21" authorId="0" shapeId="0">
      <text>
        <t>실측(계정 매핑 없음 — 모델값 직접) — 영업이익 + 감가상각비(CF)</t>
      </text>
    </comment>
    <comment ref="T21" authorId="0" shapeId="0">
      <text>
        <t>실측(계정 매핑 없음 — 모델값 직접) — 영업이익 + 감가상각비(CF)</t>
      </text>
    </comment>
    <comment ref="V21" authorId="0" shapeId="0">
      <text>
        <t>실측(계정 매핑 없음 — 모델값 직접) — 영업이익 + 감가상각비(CF)</t>
      </text>
    </comment>
    <comment ref="W21" authorId="0" shapeId="0">
      <text>
        <t>실측(계정 매핑 없음 — 모델값 직접) — 영업이익 + 감가상각비(CF)</t>
      </text>
    </comment>
    <comment ref="X21" authorId="0" shapeId="0">
      <text>
        <t>실측(계정 매핑 없음 — 모델값 직접) — 영업이익 + 감가상각비(CF)</t>
      </text>
    </comment>
    <comment ref="Y21" authorId="0" shapeId="0">
      <text>
        <t>실측(계정 매핑 없음 — 모델값 직접) — 영업이익 + 감가상각비(CF)</t>
      </text>
    </comment>
    <comment ref="AA21" authorId="0" shapeId="0">
      <text>
        <t>실측(계정 매핑 없음 — 모델값 직접) — 영업이익 + 감가상각비(CF)</t>
      </text>
    </comment>
    <comment ref="AB21" authorId="0" shapeId="0">
      <text>
        <t>실측(계정 매핑 없음 — 모델값 직접) — 영업이익 + 감가상각비(CF)</t>
      </text>
    </comment>
    <comment ref="AC21" authorId="0" shapeId="0">
      <text>
        <t>추정: 영업이익 + 감가상각비
[yoy]</t>
      </text>
    </comment>
    <comment ref="AD21" authorId="0" shapeId="0">
      <text>
        <t>추정: 영업이익 + 감가상각비
[yoy]</t>
      </text>
    </comment>
    <comment ref="AF21" authorId="0" shapeId="0">
      <text>
        <t>추정: 영업이익 + 감가상각비
[yoy]</t>
      </text>
    </comment>
    <comment ref="AG21" authorId="0" shapeId="0">
      <text>
        <t>추정: 영업이익 + 감가상각비
[yoy]</t>
      </text>
    </comment>
    <comment ref="AH21" authorId="0" shapeId="0">
      <text>
        <t>추정: 영업이익 + 감가상각비
[yoy]</t>
      </text>
    </comment>
    <comment ref="AI21" authorId="0" shapeId="0">
      <text>
        <t>추정: 영업이익 + 감가상각비
[yoy]</t>
      </text>
    </comment>
    <comment ref="AK21" authorId="0" shapeId="0">
      <text>
        <t>추정: 영업이익 + 감가상각비
[yoy]</t>
      </text>
    </comment>
    <comment ref="AL21" authorId="0" shapeId="0">
      <text>
        <t>추정: 영업이익 + 감가상각비
[yoy]</t>
      </text>
    </comment>
    <comment ref="AM21" authorId="0" shapeId="0">
      <text>
        <t>추정: 영업이익 + 감가상각비
[yoy]</t>
      </text>
    </comment>
    <comment ref="AN21" authorId="0" shapeId="0">
      <text>
        <t>추정: 영업이익 + 감가상각비
[yoy]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추정: 직전 결산 DPS 120원 유지
[yoy]</t>
      </text>
    </comment>
    <comment ref="AI35" authorId="0" shapeId="0">
      <text>
        <t>추정: 직전 결산 DPS 120원 유지
[yoy]</t>
      </text>
    </comment>
    <comment ref="AN35" authorId="0" shapeId="0">
      <text>
        <t>추정: 직전 결산 DPS 120원 유지
[yoy]</t>
      </text>
    </comment>
    <comment ref="I36" authorId="0" shapeId="0">
      <text>
        <t>실측(계정 매핑 없음 — 모델값 직접) — 토스 일봉 분기 평균 ÷ TTM EPS</t>
      </text>
    </comment>
    <comment ref="J36" authorId="0" shapeId="0">
      <text>
        <t>실측(계정 매핑 없음 — 모델값 직접) — 토스 일봉 분기 평균 ÷ TTM EPS</t>
      </text>
    </comment>
    <comment ref="L36" authorId="0" shapeId="0">
      <text>
        <t>실측(계정 매핑 없음 — 모델값 직접) — 토스 일봉 분기 평균 ÷ TTM EPS</t>
      </text>
    </comment>
    <comment ref="M36" authorId="0" shapeId="0">
      <text>
        <t>실측(계정 매핑 없음 — 모델값 직접) — 토스 일봉 분기 평균 ÷ TTM EPS</t>
      </text>
    </comment>
    <comment ref="N36" authorId="0" shapeId="0">
      <text>
        <t>실측(계정 매핑 없음 — 모델값 직접) — 토스 일봉 분기 평균 ÷ TTM EPS</t>
      </text>
    </comment>
    <comment ref="O36" authorId="0" shapeId="0">
      <text>
        <t>실측(계정 매핑 없음 — 모델값 직접) — 토스 일봉 분기 평균 ÷ TTM EPS</t>
      </text>
    </comment>
    <comment ref="Q36" authorId="0" shapeId="0">
      <text>
        <t>실측(계정 매핑 없음 — 모델값 직접) — 토스 일봉 분기 평균 ÷ TTM EPS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AD36" authorId="0" shapeId="0">
      <text>
        <t>추정(가정 셀 참조 불가 — 기준값 없음, 모델값 직접): 현재 종가 ÷ TTM EPS(추정 포함)</t>
      </text>
    </comment>
    <comment ref="AF36" authorId="0" shapeId="0">
      <text>
        <t>추정(가정 셀 참조 불가 — 기준값 없음, 모델값 직접): 현재 종가 ÷ TTM EPS(추정 포함)</t>
      </text>
    </comment>
    <comment ref="AG36" authorId="0" shapeId="0">
      <text>
        <t>추정(가정 셀 참조 불가 — 기준값 없음, 모델값 직접): 현재 종가 ÷ TTM EPS(추정 포함)</t>
      </text>
    </comment>
    <comment ref="AH36" authorId="0" shapeId="0">
      <text>
        <t>추정(가정 셀 참조 불가 — 기준값 없음, 모델값 직접): 현재 종가 ÷ TTM EPS(추정 포함)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assets/models/014280.json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37억) → 지배NI -310억·EPS·FY2025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</v>
      </c>
      <c r="AD21" s="24" t="n">
        <v>0.007324</v>
      </c>
      <c r="AE21" s="25" t="n"/>
      <c r="AF21" s="24" t="n">
        <v>0.007324</v>
      </c>
      <c r="AG21" s="24" t="n">
        <v>0.007323</v>
      </c>
      <c r="AH21" s="24" t="n">
        <v>0.003661</v>
      </c>
      <c r="AI21" s="24" t="n">
        <v>0.003659</v>
      </c>
      <c r="AJ21" s="25" t="n"/>
      <c r="AK21" s="24" t="n">
        <v>0.00366</v>
      </c>
      <c r="AL21" s="24" t="n">
        <v>0.003662</v>
      </c>
      <c r="AM21" s="24" t="n">
        <v>0.001831</v>
      </c>
      <c r="AN21" s="24" t="n">
        <v>0.001834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0.134019</v>
      </c>
      <c r="AD22" s="24" t="n">
        <v>0.13402</v>
      </c>
      <c r="AE22" s="25">
        <f>IFERROR(subQ!AE8/subQ!AE5,"")</f>
        <v/>
      </c>
      <c r="AF22" s="24" t="n">
        <v>0.134018</v>
      </c>
      <c r="AG22" s="24" t="n">
        <v>0.134017</v>
      </c>
      <c r="AH22" s="24" t="n">
        <v>0.134017</v>
      </c>
      <c r="AI22" s="24" t="n">
        <v>0.134018</v>
      </c>
      <c r="AJ22" s="25">
        <f>IFERROR(subQ!AJ8/subQ!AJ5,"")</f>
        <v/>
      </c>
      <c r="AK22" s="24" t="n">
        <v>0.134017</v>
      </c>
      <c r="AL22" s="24" t="n">
        <v>0.13402</v>
      </c>
      <c r="AM22" s="24" t="n">
        <v>0.134017</v>
      </c>
      <c r="AN22" s="24" t="n">
        <v>0.13402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0.026773</v>
      </c>
      <c r="AD23" s="24" t="n">
        <v>0.026771</v>
      </c>
      <c r="AE23" s="25">
        <f>IFERROR(subQ!AE9/subQ!AE5,"")</f>
        <v/>
      </c>
      <c r="AF23" s="24" t="n">
        <v>0.026773</v>
      </c>
      <c r="AG23" s="24" t="n">
        <v>0.026771</v>
      </c>
      <c r="AH23" s="24" t="n">
        <v>0.026772</v>
      </c>
      <c r="AI23" s="24" t="n">
        <v>0.026774</v>
      </c>
      <c r="AJ23" s="25">
        <f>IFERROR(subQ!AJ9/subQ!AJ5,"")</f>
        <v/>
      </c>
      <c r="AK23" s="24" t="n">
        <v>0.026771</v>
      </c>
      <c r="AL23" s="24" t="n">
        <v>0.026773</v>
      </c>
      <c r="AM23" s="24" t="n">
        <v>0.026771</v>
      </c>
      <c r="AN23" s="24" t="n">
        <v>0.026772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-135</v>
      </c>
      <c r="AD24" s="24" t="n">
        <v>-9.933332999999999</v>
      </c>
      <c r="AE24" s="25" t="n"/>
      <c r="AF24" s="24" t="n">
        <v>-0.601783</v>
      </c>
      <c r="AG24" s="24" t="n">
        <v>-0.658599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-54.98</v>
      </c>
      <c r="AD25" s="29" t="n">
        <v>-54.93</v>
      </c>
      <c r="AE25" s="30">
        <f>subQ!AE11</f>
        <v/>
      </c>
      <c r="AF25" s="29" t="n">
        <v>-54.9</v>
      </c>
      <c r="AG25" s="29" t="n">
        <v>-54.86</v>
      </c>
      <c r="AH25" s="29" t="n">
        <v>-54.99</v>
      </c>
      <c r="AI25" s="29" t="n">
        <v>-54.94</v>
      </c>
      <c r="AJ25" s="30">
        <f>subQ!AJ11</f>
        <v/>
      </c>
      <c r="AK25" s="29" t="n">
        <v>-54.91</v>
      </c>
      <c r="AL25" s="29" t="n">
        <v>-54.87</v>
      </c>
      <c r="AM25" s="29" t="n">
        <v>-55</v>
      </c>
      <c r="AN25" s="29" t="n">
        <v>-54.95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-54.98</v>
      </c>
      <c r="AD26" s="29" t="n">
        <v>-54.93</v>
      </c>
      <c r="AE26" s="30">
        <f>subQ!AE12</f>
        <v/>
      </c>
      <c r="AF26" s="29" t="n">
        <v>-54.9</v>
      </c>
      <c r="AG26" s="29" t="n">
        <v>-54.86</v>
      </c>
      <c r="AH26" s="29" t="n">
        <v>-54.99</v>
      </c>
      <c r="AI26" s="29" t="n">
        <v>-54.94</v>
      </c>
      <c r="AJ26" s="30">
        <f>subQ!AJ12</f>
        <v/>
      </c>
      <c r="AK26" s="29" t="n">
        <v>-54.91</v>
      </c>
      <c r="AL26" s="29" t="n">
        <v>-54.87</v>
      </c>
      <c r="AM26" s="29" t="n">
        <v>-55</v>
      </c>
      <c r="AN26" s="29" t="n">
        <v>-54.95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10.37</v>
      </c>
      <c r="AD28" s="29" t="n">
        <v>10.37</v>
      </c>
      <c r="AE28" s="30">
        <f>subQ!AE14</f>
        <v/>
      </c>
      <c r="AF28" s="29" t="n">
        <v>10.37</v>
      </c>
      <c r="AG28" s="29" t="n">
        <v>10.37</v>
      </c>
      <c r="AH28" s="29" t="n">
        <v>10.37</v>
      </c>
      <c r="AI28" s="29" t="n">
        <v>10.37</v>
      </c>
      <c r="AJ28" s="30">
        <f>subQ!AJ14</f>
        <v/>
      </c>
      <c r="AK28" s="29" t="n">
        <v>10.37</v>
      </c>
      <c r="AL28" s="29" t="n">
        <v>10.37</v>
      </c>
      <c r="AM28" s="29" t="n">
        <v>10.37</v>
      </c>
      <c r="AN28" s="29" t="n">
        <v>10.37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0.24</v>
      </c>
      <c r="AD29" s="24" t="n">
        <v>0.239865</v>
      </c>
      <c r="AE29" s="25">
        <f>IFERROR(subQ!AE16/subQ!AE15,"")</f>
        <v/>
      </c>
      <c r="AF29" s="24" t="n">
        <v>0.240893</v>
      </c>
      <c r="AG29" s="24" t="n">
        <v>0.240602</v>
      </c>
      <c r="AH29" s="24" t="n">
        <v>0.240402</v>
      </c>
      <c r="AI29" s="24" t="n">
        <v>0.240984</v>
      </c>
      <c r="AJ29" s="25">
        <f>IFERROR(subQ!AJ16/subQ!AJ15,"")</f>
        <v/>
      </c>
      <c r="AK29" s="24" t="n">
        <v>0.240506</v>
      </c>
      <c r="AL29" s="24" t="n">
        <v>0.240434</v>
      </c>
      <c r="AM29" s="24" t="n">
        <v>0.240036</v>
      </c>
      <c r="AN29" s="24" t="n">
        <v>0.2411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drv:중단사업이익</t>
        </is>
      </c>
      <c r="B31" s="2" t="inlineStr">
        <is>
          <t>yoy</t>
        </is>
      </c>
      <c r="C31" t="inlineStr">
        <is>
          <t>중단사업이익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31" t="n"/>
      <c r="AI31" s="31" t="n"/>
      <c r="AJ31" s="25" t="n"/>
      <c r="AK31" s="31" t="n"/>
      <c r="AL31" s="31" t="n"/>
      <c r="AM31" s="31" t="n"/>
      <c r="AN31" s="31" t="n"/>
      <c r="AO31" s="25" t="n"/>
    </row>
    <row r="32">
      <c r="A32" s="12" t="inlineStr">
        <is>
          <t>drv:감가상각비</t>
        </is>
      </c>
      <c r="B32" s="2" t="inlineStr">
        <is>
          <t>yoy</t>
        </is>
      </c>
      <c r="C32" t="inlineStr">
        <is>
          <t>감가상각비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-0.030954</v>
      </c>
      <c r="AD32" s="24" t="n">
        <v>-0.072685</v>
      </c>
      <c r="AE32" s="25" t="n"/>
      <c r="AF32" s="24" t="n">
        <v>0.18031</v>
      </c>
      <c r="AG32" s="24" t="n">
        <v>0.033031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drv:EBITDA</t>
        </is>
      </c>
      <c r="B33" s="2" t="inlineStr">
        <is>
          <t>yoy</t>
        </is>
      </c>
      <c r="C33" t="inlineStr">
        <is>
          <t>EBITDA YoY</t>
        </is>
      </c>
      <c r="E33" s="21" t="n"/>
      <c r="F33" s="22" t="n"/>
      <c r="G33" s="21" t="n"/>
      <c r="H33" s="21" t="n"/>
      <c r="I33" s="21" t="n"/>
      <c r="J33" s="21">
        <f>IFERROR(subQ!J21/subQ!E21-1,"")</f>
        <v/>
      </c>
      <c r="K33" s="22" t="n"/>
      <c r="L33" s="21">
        <f>IFERROR(subQ!L21/subQ!G21-1,"")</f>
        <v/>
      </c>
      <c r="M33" s="21">
        <f>IFERROR(subQ!M21/subQ!H21-1,"")</f>
        <v/>
      </c>
      <c r="N33" s="21">
        <f>IFERROR(subQ!N21/subQ!I21-1,"")</f>
        <v/>
      </c>
      <c r="O33" s="21">
        <f>IFERROR(subQ!O21/subQ!J21-1,"")</f>
        <v/>
      </c>
      <c r="P33" s="22" t="n"/>
      <c r="Q33" s="21">
        <f>IFERROR(subQ!Q21/subQ!L21-1,"")</f>
        <v/>
      </c>
      <c r="R33" s="21">
        <f>IFERROR(subQ!R21/subQ!M21-1,"")</f>
        <v/>
      </c>
      <c r="S33" s="21">
        <f>IFERROR(subQ!S21/subQ!N21-1,"")</f>
        <v/>
      </c>
      <c r="T33" s="21">
        <f>IFERROR(subQ!T21/subQ!O21-1,"")</f>
        <v/>
      </c>
      <c r="U33" s="22" t="n"/>
      <c r="V33" s="21">
        <f>IFERROR(subQ!V21/subQ!Q21-1,"")</f>
        <v/>
      </c>
      <c r="W33" s="21">
        <f>IFERROR(subQ!W21/subQ!R21-1,"")</f>
        <v/>
      </c>
      <c r="X33" s="21">
        <f>IFERROR(subQ!X21/subQ!S21-1,"")</f>
        <v/>
      </c>
      <c r="Y33" s="21">
        <f>IFERROR(subQ!Y21/subQ!T21-1,"")</f>
        <v/>
      </c>
      <c r="Z33" s="22" t="n"/>
      <c r="AA33" s="21">
        <f>IFERROR(subQ!AA21/subQ!V21-1,"")</f>
        <v/>
      </c>
      <c r="AB33" s="23">
        <f>IFERROR(subQ!AB21/subQ!W21-1,"")</f>
        <v/>
      </c>
      <c r="AC33" s="24" t="n">
        <v>0.312354</v>
      </c>
      <c r="AD33" s="24" t="n">
        <v>0.266083</v>
      </c>
      <c r="AE33" s="25" t="n"/>
      <c r="AF33" s="24" t="n">
        <v>-0.207713</v>
      </c>
      <c r="AG33" s="24" t="n">
        <v>-0.339988</v>
      </c>
      <c r="AH33" s="24" t="n">
        <v>0.0009389999999999999</v>
      </c>
      <c r="AI33" s="24" t="n">
        <v>0.0009120000000000001</v>
      </c>
      <c r="AJ33" s="25" t="n"/>
      <c r="AK33" s="24" t="n">
        <v>0.000901</v>
      </c>
      <c r="AL33" s="24" t="n">
        <v>0.001048</v>
      </c>
      <c r="AM33" s="24" t="n">
        <v>0.000469</v>
      </c>
      <c r="AN33" s="24" t="n">
        <v>0.000432</v>
      </c>
      <c r="AO33" s="25" t="n"/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-0.0072</v>
      </c>
      <c r="AD35" s="29" t="n">
        <v>0</v>
      </c>
      <c r="AE35" s="30" t="n"/>
      <c r="AF35" s="29" t="n">
        <v>0</v>
      </c>
      <c r="AG35" s="29" t="n">
        <v>33.99</v>
      </c>
      <c r="AH35" s="29" t="n">
        <v>0</v>
      </c>
      <c r="AI35" s="29" t="n">
        <v>0</v>
      </c>
      <c r="AJ35" s="30" t="n"/>
      <c r="AK35" s="29" t="n">
        <v>0</v>
      </c>
      <c r="AL35" s="29" t="n">
        <v>34</v>
      </c>
      <c r="AM35" s="29" t="n">
        <v>-0.01</v>
      </c>
      <c r="AN35" s="29" t="n">
        <v>0.01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IFERROR(subQ!E25+subQ!G18-subQ!G25,"")</f>
        <v/>
      </c>
      <c r="H36" s="26">
        <f>IFERROR(subQ!G25+subQ!H18-subQ!H25,"")</f>
        <v/>
      </c>
      <c r="I36" s="26">
        <f>IFERROR(subQ!H25+subQ!I18-subQ!I25,"")</f>
        <v/>
      </c>
      <c r="J36" s="26">
        <f>IFERROR(subQ!I25+subQ!J18-subQ!J25,"")</f>
        <v/>
      </c>
      <c r="K36" s="27" t="n"/>
      <c r="L36" s="26">
        <f>IFERROR(subQ!J25+subQ!L18-subQ!L25,"")</f>
        <v/>
      </c>
      <c r="M36" s="26">
        <f>IFERROR(subQ!L25+subQ!M18-subQ!M25,"")</f>
        <v/>
      </c>
      <c r="N36" s="26">
        <f>IFERROR(subQ!M25+subQ!N18-subQ!N25,"")</f>
        <v/>
      </c>
      <c r="O36" s="26">
        <f>IFERROR(subQ!N25+subQ!O18-subQ!O25,"")</f>
        <v/>
      </c>
      <c r="P36" s="27" t="n"/>
      <c r="Q36" s="26">
        <f>IFERROR(subQ!O25+subQ!Q18-subQ!Q25,"")</f>
        <v/>
      </c>
      <c r="R36" s="26">
        <f>IFERROR(subQ!Q25+subQ!R18-subQ!R25,"")</f>
        <v/>
      </c>
      <c r="S36" s="26">
        <f>IFERROR(subQ!R25+subQ!S18-subQ!S25,"")</f>
        <v/>
      </c>
      <c r="T36" s="26">
        <f>IFERROR(subQ!S25+subQ!T18-subQ!T25,"")</f>
        <v/>
      </c>
      <c r="U36" s="27" t="n"/>
      <c r="V36" s="26">
        <f>IFERROR(subQ!T25+subQ!V18-subQ!V25,"")</f>
        <v/>
      </c>
      <c r="W36" s="26">
        <f>IFERROR(subQ!V25+subQ!W18-subQ!W25,"")</f>
        <v/>
      </c>
      <c r="X36" s="26">
        <f>IFERROR(subQ!W25+subQ!X18-subQ!X25,"")</f>
        <v/>
      </c>
      <c r="Y36" s="26">
        <f>IFERROR(subQ!X25+subQ!Y18-subQ!Y25,"")</f>
        <v/>
      </c>
      <c r="Z36" s="27" t="n"/>
      <c r="AA36" s="26">
        <f>IFERROR(subQ!Y25+subQ!AA18-subQ!AA25,"")</f>
        <v/>
      </c>
      <c r="AB36" s="28">
        <f>IFERROR(subQ!AA25+subQ!AB18-subQ!AB25,"")</f>
        <v/>
      </c>
      <c r="AC36" s="29" t="n">
        <v>-0.0023</v>
      </c>
      <c r="AD36" s="29" t="n">
        <v>0</v>
      </c>
      <c r="AE36" s="30" t="n"/>
      <c r="AF36" s="29" t="n">
        <v>0</v>
      </c>
      <c r="AG36" s="29" t="n">
        <v>33.99</v>
      </c>
      <c r="AH36" s="29" t="n">
        <v>-0</v>
      </c>
      <c r="AI36" s="29" t="n">
        <v>0</v>
      </c>
      <c r="AJ36" s="30" t="n"/>
      <c r="AK36" s="29" t="n">
        <v>0</v>
      </c>
      <c r="AL36" s="29" t="n">
        <v>33.99</v>
      </c>
      <c r="AM36" s="29" t="n">
        <v>0</v>
      </c>
      <c r="AN36" s="29" t="n">
        <v>-0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-0.001791</v>
      </c>
      <c r="AD38" s="24" t="n">
        <v>-0.0009890000000000001</v>
      </c>
      <c r="AE38" s="25" t="n"/>
      <c r="AF38" s="24" t="n">
        <v>-0.001421</v>
      </c>
      <c r="AG38" s="24" t="n">
        <v>0.004597</v>
      </c>
      <c r="AH38" s="24" t="n">
        <v>-0.001823</v>
      </c>
      <c r="AI38" s="24" t="n">
        <v>-0.001017</v>
      </c>
      <c r="AJ38" s="25" t="n"/>
      <c r="AK38" s="24" t="n">
        <v>-0.001454</v>
      </c>
      <c r="AL38" s="24" t="n">
        <v>0.00456</v>
      </c>
      <c r="AM38" s="24" t="n">
        <v>-0.001838</v>
      </c>
      <c r="AN38" s="24" t="n">
        <v>-0.001033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0.004682</v>
      </c>
      <c r="AD39" s="24" t="n">
        <v>0.00257</v>
      </c>
      <c r="AE39" s="25" t="n"/>
      <c r="AF39" s="24" t="n">
        <v>0.00368</v>
      </c>
      <c r="AG39" s="24" t="n">
        <v>-0.011839</v>
      </c>
      <c r="AH39" s="24" t="n">
        <v>0.004773</v>
      </c>
      <c r="AI39" s="24" t="n">
        <v>0.002647</v>
      </c>
      <c r="AJ39" s="25" t="n"/>
      <c r="AK39" s="24" t="n">
        <v>0.003768</v>
      </c>
      <c r="AL39" s="24" t="n">
        <v>-0.011757</v>
      </c>
      <c r="AM39" s="24" t="n">
        <v>0.004816</v>
      </c>
      <c r="AN39" s="24" t="n">
        <v>0.002688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24" t="n">
        <v>0</v>
      </c>
      <c r="AE44" s="25" t="n"/>
      <c r="AF44" s="31" t="n"/>
      <c r="AG44" s="31" t="n"/>
      <c r="AH44" s="31" t="n"/>
      <c r="AI44" s="24" t="n">
        <v>0</v>
      </c>
      <c r="AJ44" s="25" t="n"/>
      <c r="AK44" s="31" t="n"/>
      <c r="AL44" s="31" t="n"/>
      <c r="AM44" s="31" t="n"/>
      <c r="AN44" s="24" t="n">
        <v>0</v>
      </c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24" t="n">
        <v>6.010187</v>
      </c>
      <c r="AJ45" s="25" t="n"/>
      <c r="AK45" s="24" t="n">
        <v>1.809979</v>
      </c>
      <c r="AL45" s="24" t="n">
        <v>-0.016579</v>
      </c>
      <c r="AM45" s="24" t="n">
        <v>-0.014482</v>
      </c>
      <c r="AN45" s="24" t="n">
        <v>-0.013805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0.058824</v>
      </c>
      <c r="AD46" s="24" t="n">
        <v>-0.234043</v>
      </c>
      <c r="AE46" s="25" t="n"/>
      <c r="AF46" s="24" t="n">
        <v>-0.186047</v>
      </c>
      <c r="AG46" s="24" t="n">
        <v>-0.027027</v>
      </c>
      <c r="AH46" s="24" t="n">
        <v>0</v>
      </c>
      <c r="AI46" s="24" t="n">
        <v>0</v>
      </c>
      <c r="AJ46" s="25" t="n"/>
      <c r="AK46" s="24" t="n">
        <v>0</v>
      </c>
      <c r="AL46" s="24" t="n">
        <v>0</v>
      </c>
      <c r="AM46" s="24" t="n">
        <v>0</v>
      </c>
      <c r="AN46" s="24" t="n">
        <v>0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0.026773</v>
      </c>
      <c r="AD48" s="24" t="n">
        <v>0.026771</v>
      </c>
      <c r="AE48" s="25">
        <f>IFERROR(subQ!AE39/subQ!AE38,"")</f>
        <v/>
      </c>
      <c r="AF48" s="24" t="n">
        <v>0.026773</v>
      </c>
      <c r="AG48" s="24" t="n">
        <v>0.026771</v>
      </c>
      <c r="AH48" s="24" t="n">
        <v>0.026772</v>
      </c>
      <c r="AI48" s="24" t="n">
        <v>0.026774</v>
      </c>
      <c r="AJ48" s="25">
        <f>IFERROR(subQ!AJ39/subQ!AJ38,"")</f>
        <v/>
      </c>
      <c r="AK48" s="24" t="n">
        <v>0.026771</v>
      </c>
      <c r="AL48" s="24" t="n">
        <v>0.026773</v>
      </c>
      <c r="AM48" s="24" t="n">
        <v>0.026771</v>
      </c>
      <c r="AN48" s="24" t="n">
        <v>0.026772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4740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PER 중위 4.2배가 캡 5~30 밖 — 턴어라운드 초기 TTM EPS 왜곡)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0.2404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0.134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/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4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4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4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4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4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4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4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4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4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4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4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4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4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4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4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4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4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4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4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4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4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4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4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4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4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4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4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4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4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4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4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4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4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4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4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4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4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4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4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4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4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4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4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4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4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4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4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4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4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4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4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4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4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4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4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4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4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4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4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4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4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4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4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4" t="n">
        <v>30105.88</v>
      </c>
      <c r="J18" s="18" t="n">
        <v>26407.08</v>
      </c>
      <c r="K18" s="34" t="n">
        <v>26407.08</v>
      </c>
      <c r="P18" s="9" t="n"/>
      <c r="T18" s="18" t="n">
        <v>26725.86</v>
      </c>
      <c r="U18" s="34" t="n">
        <v>26725.86</v>
      </c>
      <c r="V18" s="18" t="n">
        <v>29380.51</v>
      </c>
      <c r="W18" s="18" t="n">
        <v>29821.75</v>
      </c>
      <c r="Y18" s="18" t="n">
        <v>17811.52</v>
      </c>
      <c r="Z18" s="34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4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4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4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4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4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4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4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4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4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4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4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4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4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4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4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4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4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4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4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4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4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4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4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4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4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4" t="n">
        <v>286819.44</v>
      </c>
      <c r="G24" s="18" t="n">
        <v>278438.88</v>
      </c>
      <c r="H24" s="18" t="n">
        <v>366503.31</v>
      </c>
      <c r="I24" s="18" t="n">
        <v>403115.37</v>
      </c>
      <c r="J24" s="18" t="n">
        <v>390288.61</v>
      </c>
      <c r="K24" s="34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4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391077.77</v>
      </c>
      <c r="U24" s="34" t="n">
        <v>391077.77</v>
      </c>
      <c r="V24" s="18" t="n">
        <v>392816.44</v>
      </c>
      <c r="W24" s="18" t="n">
        <v>426221.11</v>
      </c>
      <c r="X24" s="18" t="n">
        <v>315836.81</v>
      </c>
      <c r="Y24" s="18" t="n">
        <v>304530.9</v>
      </c>
      <c r="Z24" s="34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4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4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4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4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4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4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4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4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4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4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4" t="n">
        <v>2131.97</v>
      </c>
      <c r="G27" s="18" t="n">
        <v>2295.95</v>
      </c>
      <c r="J27" s="18" t="n">
        <v>2010.33</v>
      </c>
      <c r="K27" s="34" t="n">
        <v>2010.33</v>
      </c>
      <c r="O27" s="18" t="n">
        <v>2070.85</v>
      </c>
      <c r="P27" s="34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4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4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4" t="n">
        <v>10569.52</v>
      </c>
      <c r="G28" s="18" t="n">
        <v>11175.41</v>
      </c>
      <c r="J28" s="18" t="n">
        <v>12888.58</v>
      </c>
      <c r="K28" s="34" t="n">
        <v>12888.58</v>
      </c>
      <c r="O28" s="18" t="n">
        <v>11259.76</v>
      </c>
      <c r="P28" s="34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4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4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4" t="n">
        <v>2131.97</v>
      </c>
      <c r="G29" s="18" t="n">
        <v>2295.95</v>
      </c>
      <c r="J29" s="18" t="n">
        <v>2010.33</v>
      </c>
      <c r="K29" s="34" t="n">
        <v>2010.33</v>
      </c>
      <c r="O29" s="18" t="n">
        <v>2070.85</v>
      </c>
      <c r="P29" s="34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4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4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4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4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4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4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4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4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4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4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4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5028.94</v>
      </c>
      <c r="Z31" s="34" t="n">
        <v>5028.94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4" t="n">
        <v>1475.59</v>
      </c>
      <c r="H32" s="18" t="n">
        <v>1716.84</v>
      </c>
      <c r="I32" s="18" t="n">
        <v>1716.91</v>
      </c>
      <c r="J32" s="18" t="n">
        <v>1870.28</v>
      </c>
      <c r="K32" s="34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4" t="n">
        <v>1743.85</v>
      </c>
      <c r="Q32" s="18" t="n">
        <v>1617.13</v>
      </c>
      <c r="T32" s="18" t="n">
        <v>1003.03</v>
      </c>
      <c r="U32" s="34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4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4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4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4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4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4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4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4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4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4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4" t="n">
        <v>8437.549999999999</v>
      </c>
      <c r="G35" s="18" t="n">
        <v>8879.459999999999</v>
      </c>
      <c r="J35" s="18" t="n">
        <v>10878.25</v>
      </c>
      <c r="K35" s="34" t="n">
        <v>10878.25</v>
      </c>
      <c r="O35" s="18" t="n">
        <v>9188.91</v>
      </c>
      <c r="P35" s="34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4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4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4" t="n">
        <v>8437.549999999999</v>
      </c>
      <c r="G36" s="18" t="n">
        <v>10548.94</v>
      </c>
      <c r="J36" s="18" t="n">
        <v>10878.25</v>
      </c>
      <c r="K36" s="34" t="n">
        <v>10878.25</v>
      </c>
      <c r="O36" s="18" t="n">
        <v>9188.91</v>
      </c>
      <c r="P36" s="34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4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4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4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4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4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4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4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4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4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4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4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4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4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4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4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4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4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4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4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4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4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4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4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4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4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4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4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4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4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4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4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4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4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4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4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4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4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4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4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4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4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4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4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4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4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4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4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4" t="n">
        <v>374867.25</v>
      </c>
      <c r="G46" s="18" t="n">
        <v>405051.75</v>
      </c>
      <c r="H46" s="18" t="n">
        <v>426676.63</v>
      </c>
      <c r="I46" s="18" t="n">
        <v>496751.85</v>
      </c>
      <c r="J46" s="18" t="n">
        <v>522603.34</v>
      </c>
      <c r="K46" s="34" t="n">
        <v>522603.34</v>
      </c>
      <c r="L46" s="18" t="n">
        <v>546853.9</v>
      </c>
      <c r="M46" s="18" t="n">
        <v>544785.52</v>
      </c>
      <c r="N46" s="18" t="n">
        <v>534886.58</v>
      </c>
      <c r="O46" s="18" t="n">
        <v>525321.33</v>
      </c>
      <c r="P46" s="34" t="n">
        <v>525321.33</v>
      </c>
      <c r="Q46" s="18" t="n">
        <v>523044.77</v>
      </c>
      <c r="R46" s="18" t="n">
        <v>562299.45</v>
      </c>
      <c r="S46" s="18" t="n">
        <v>533858.49</v>
      </c>
      <c r="T46" s="18" t="n">
        <v>502328.45</v>
      </c>
      <c r="U46" s="34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351228.45</v>
      </c>
      <c r="Z46" s="34" t="n">
        <v>351228.45</v>
      </c>
      <c r="AA46" s="18" t="n">
        <v>550361.38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4" t="n">
        <v>279054.91</v>
      </c>
      <c r="G47" s="18" t="n">
        <v>306635.04</v>
      </c>
      <c r="H47" s="18" t="n">
        <v>327130.53</v>
      </c>
      <c r="I47" s="18" t="n">
        <v>396254.26</v>
      </c>
      <c r="J47" s="18" t="n">
        <v>432463.05</v>
      </c>
      <c r="K47" s="34" t="n">
        <v>432463.05</v>
      </c>
      <c r="L47" s="18" t="n">
        <v>449588.13</v>
      </c>
      <c r="M47" s="18" t="n">
        <v>435047.65</v>
      </c>
      <c r="N47" s="18" t="n">
        <v>437116.65</v>
      </c>
      <c r="O47" s="18" t="n">
        <v>423205.85</v>
      </c>
      <c r="P47" s="34" t="n">
        <v>423205.85</v>
      </c>
      <c r="Q47" s="18" t="n">
        <v>415972.33</v>
      </c>
      <c r="R47" s="18" t="n">
        <v>483341.82</v>
      </c>
      <c r="S47" s="18" t="n">
        <v>442790.45</v>
      </c>
      <c r="T47" s="18" t="n">
        <v>414871.69</v>
      </c>
      <c r="U47" s="34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244007.13</v>
      </c>
      <c r="Z47" s="34" t="n">
        <v>244007.13</v>
      </c>
      <c r="AA47" s="18" t="n">
        <v>415388.35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4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4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4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4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4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4" t="n">
        <v>11833.32</v>
      </c>
      <c r="G49" s="18" t="n">
        <v>21533.32</v>
      </c>
      <c r="K49" s="9" t="n"/>
      <c r="O49" s="18" t="n">
        <v>15016.29</v>
      </c>
      <c r="P49" s="34" t="n">
        <v>15016.29</v>
      </c>
      <c r="U49" s="9" t="n"/>
      <c r="X49" s="18" t="n">
        <v>50099.02</v>
      </c>
      <c r="Y49" s="18" t="n">
        <v>41668.61</v>
      </c>
      <c r="Z49" s="34" t="n">
        <v>41668.61</v>
      </c>
      <c r="AA49" s="18" t="n">
        <v>36605.89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4" t="n">
        <v>30000</v>
      </c>
      <c r="G50" s="18" t="n">
        <v>50000</v>
      </c>
      <c r="H50" s="18" t="n">
        <v>20000</v>
      </c>
      <c r="I50" s="18" t="n">
        <v>20000</v>
      </c>
      <c r="J50" s="18" t="n">
        <v>60000</v>
      </c>
      <c r="K50" s="34" t="n">
        <v>60000</v>
      </c>
      <c r="L50" s="18" t="n">
        <v>60000</v>
      </c>
      <c r="M50" s="18" t="n">
        <v>60000</v>
      </c>
      <c r="N50" s="18" t="n">
        <v>60000</v>
      </c>
      <c r="O50" s="18" t="n">
        <v>60000</v>
      </c>
      <c r="P50" s="34" t="n">
        <v>60000</v>
      </c>
      <c r="Q50" s="18" t="n">
        <v>40000</v>
      </c>
      <c r="R50" s="18" t="n">
        <v>60000</v>
      </c>
      <c r="S50" s="18" t="n">
        <v>20000</v>
      </c>
      <c r="T50" s="18" t="n">
        <v>19967.26</v>
      </c>
      <c r="U50" s="34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H52" s="18" t="n">
        <v>366503.31</v>
      </c>
      <c r="I52" s="18" t="n">
        <v>403115.37</v>
      </c>
      <c r="J52" s="18" t="n">
        <v>390288.61</v>
      </c>
      <c r="K52" s="34" t="n">
        <v>390288.61</v>
      </c>
      <c r="L52" s="18" t="n">
        <v>410737.3</v>
      </c>
      <c r="M52" s="18" t="n">
        <v>406193.92</v>
      </c>
      <c r="N52" s="18" t="n">
        <v>394319.97</v>
      </c>
      <c r="P52" s="9" t="n"/>
      <c r="Q52" s="18" t="n">
        <v>421487.33</v>
      </c>
      <c r="R52" s="18" t="n">
        <v>400806.67</v>
      </c>
      <c r="S52" s="18" t="n">
        <v>416152.66</v>
      </c>
      <c r="T52" s="18" t="n">
        <v>391077.77</v>
      </c>
      <c r="U52" s="34" t="n">
        <v>391077.77</v>
      </c>
      <c r="V52" s="18" t="n">
        <v>392816.44</v>
      </c>
      <c r="W52" s="18" t="n">
        <v>426221.11</v>
      </c>
      <c r="Z52" s="9" t="n"/>
      <c r="AB52" s="19" t="n">
        <v>392878.52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확정급여부채</t>
        </is>
      </c>
      <c r="F53" s="9" t="n"/>
      <c r="I53" s="18" t="n">
        <v>2077.68</v>
      </c>
      <c r="K53" s="9" t="n"/>
      <c r="L53" s="18" t="n">
        <v>1769.4</v>
      </c>
      <c r="M53" s="18" t="n">
        <v>1230.82</v>
      </c>
      <c r="N53" s="18" t="n">
        <v>218.03</v>
      </c>
      <c r="P53" s="9" t="n"/>
      <c r="Q53" s="18" t="n">
        <v>68.93000000000001</v>
      </c>
      <c r="R53" s="18" t="n">
        <v>1092.02</v>
      </c>
      <c r="S53" s="18" t="n">
        <v>1549.62</v>
      </c>
      <c r="U53" s="9" t="n"/>
      <c r="X53" s="18" t="n">
        <v>1358.11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4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4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4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4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5028.94</v>
      </c>
      <c r="Z57" s="34" t="n">
        <v>5028.94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4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4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4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4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4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4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4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4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4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4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4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4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4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4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4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4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4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4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4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4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4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4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4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4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4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4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4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4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4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4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4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4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4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4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4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4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4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4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4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4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4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4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4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4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4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4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4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4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4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4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4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4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4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4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4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4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4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4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4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4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4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4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4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4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4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4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4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4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4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4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4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4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4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4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4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4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4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4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4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4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4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4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4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4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4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4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4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4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4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4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4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4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4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4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4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4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4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4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4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4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4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4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4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4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4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4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4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4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4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4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4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4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4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4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4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4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4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4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4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4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4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4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4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4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4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4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4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4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4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4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4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4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4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4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4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4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4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4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4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4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4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4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4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4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4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4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4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4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4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4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4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4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4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4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4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4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4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4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4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4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4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4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4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4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4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4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4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4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4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4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4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4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4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4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4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4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4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4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4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4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4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4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4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4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4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4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4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4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4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4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4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4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4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4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4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4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4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4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4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4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4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4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4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4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4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4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4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4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4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4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4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4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4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4" t="n">
        <v>18420.87</v>
      </c>
      <c r="J17" s="18" t="n">
        <v>12590.51</v>
      </c>
      <c r="K17" s="34" t="n">
        <v>12590.51</v>
      </c>
      <c r="N17" s="18" t="n">
        <v>11023.46</v>
      </c>
      <c r="O17" s="18" t="n">
        <v>9061.459999999999</v>
      </c>
      <c r="P17" s="34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4" t="n">
        <v>7930.14</v>
      </c>
      <c r="V17" s="18" t="n">
        <v>10933.92</v>
      </c>
      <c r="W17" s="18" t="n">
        <v>11160.92</v>
      </c>
      <c r="Y17" s="18" t="n">
        <v>12557.58</v>
      </c>
      <c r="Z17" s="34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4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4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4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4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4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4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4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4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4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4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4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4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4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4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4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4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4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4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4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4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4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4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4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4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4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4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4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4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4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4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4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4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4" t="n">
        <v>2866.99</v>
      </c>
      <c r="Q24" s="18" t="n">
        <v>3029.23</v>
      </c>
      <c r="R24" s="18" t="n">
        <v>775.16</v>
      </c>
      <c r="T24" s="18" t="n">
        <v>0</v>
      </c>
      <c r="U24" s="34" t="n">
        <v>0</v>
      </c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4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4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4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4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4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4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4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4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4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4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4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4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4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4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4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4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4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4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4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4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4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4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4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4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4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4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4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4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4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4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4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4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4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4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4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4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4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4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4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4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4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4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4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4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4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4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4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4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4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4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4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4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4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4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4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4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4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4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4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4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4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4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4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4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4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4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4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4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4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4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4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4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4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4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4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4" t="n">
        <v>1071.03</v>
      </c>
      <c r="T41" s="18" t="n">
        <v>905.54</v>
      </c>
      <c r="U41" s="34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4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4" t="n">
        <v>7959</v>
      </c>
      <c r="T42" s="18" t="n">
        <v>6244.93</v>
      </c>
      <c r="U42" s="34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4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4" t="n">
        <v>1071.03</v>
      </c>
      <c r="T43" s="18" t="n">
        <v>905.54</v>
      </c>
      <c r="U43" s="34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4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4" t="n">
        <v>6887.97</v>
      </c>
      <c r="T44" s="18" t="n">
        <v>5339.39</v>
      </c>
      <c r="U44" s="34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4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4" t="n">
        <v>6887.97</v>
      </c>
      <c r="T45" s="18" t="n">
        <v>5339.39</v>
      </c>
      <c r="U45" s="34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4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4" t="n">
        <v>868.26</v>
      </c>
      <c r="O46" s="18" t="n">
        <v>958.26</v>
      </c>
      <c r="P46" s="34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4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4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4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4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4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4" t="n">
        <v>184.52</v>
      </c>
      <c r="T49" s="18" t="n">
        <v>0</v>
      </c>
      <c r="U49" s="34" t="n">
        <v>0</v>
      </c>
      <c r="W49" s="18" t="n">
        <v>17729.08</v>
      </c>
      <c r="X49" s="18" t="n">
        <v>17729.08</v>
      </c>
      <c r="Y49" s="18" t="n">
        <v>17729.08</v>
      </c>
      <c r="Z49" s="34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4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4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4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4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4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4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4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4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4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4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4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4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4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4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4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4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4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4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4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4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4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4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4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4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4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4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4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4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4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4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4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4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4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4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4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4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4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4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4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4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4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4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4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4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4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4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4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4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4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4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4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4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4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4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4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4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4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4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4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4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4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4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4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4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4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4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4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4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4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4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4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4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4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4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4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4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4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4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4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4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4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4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4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4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4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4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4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4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4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4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4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4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4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4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4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4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4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4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4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4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4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4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4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4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4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4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4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4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4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4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4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4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4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4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4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4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4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4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4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4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4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4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4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4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4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4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4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4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4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4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4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4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4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4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4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0.025</v>
      </c>
      <c r="F10" s="34" t="n"/>
      <c r="G10" s="18" t="n">
        <v>0.0693</v>
      </c>
      <c r="H10" s="18" t="n">
        <v>0.0581</v>
      </c>
      <c r="I10" s="18" t="n">
        <v>0.0363</v>
      </c>
      <c r="J10" s="18" t="n">
        <v>0.027</v>
      </c>
      <c r="K10" s="34">
        <f>SUM(G10:J10)</f>
        <v/>
      </c>
      <c r="L10" s="18" t="n">
        <v>0.07480000000000001</v>
      </c>
      <c r="M10" s="18" t="n">
        <v>0.0852</v>
      </c>
      <c r="N10" s="18" t="n">
        <v>0.0897</v>
      </c>
      <c r="O10" s="18" t="n">
        <v>0.0617</v>
      </c>
      <c r="P10" s="34">
        <f>SUM(L10:O10)</f>
        <v/>
      </c>
      <c r="Q10" s="18" t="n">
        <v>0.06519999999999999</v>
      </c>
      <c r="R10" s="18" t="n">
        <v>0.0458</v>
      </c>
      <c r="S10" s="18" t="n">
        <v>0.0298</v>
      </c>
      <c r="T10" s="18" t="n">
        <v>0.0238</v>
      </c>
      <c r="U10" s="34">
        <f>SUM(Q10:T10)</f>
        <v/>
      </c>
      <c r="V10" s="18" t="n">
        <v>0.0357</v>
      </c>
      <c r="W10" s="18" t="n">
        <v>0.0191</v>
      </c>
      <c r="X10" s="18" t="n">
        <v>-0.0002</v>
      </c>
      <c r="Y10" s="18" t="n">
        <v>-0.003</v>
      </c>
      <c r="Z10" s="34">
        <f>SUM(V10:Y10)</f>
        <v/>
      </c>
      <c r="AA10" s="18" t="n">
        <v>0.0673</v>
      </c>
      <c r="AB10" s="19" t="n">
        <v>0.0785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4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5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5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중단사업이익(실적만)</t>
        </is>
      </c>
      <c r="E19" s="18" t="n"/>
      <c r="F19" s="34" t="n"/>
      <c r="G19" s="18" t="n"/>
      <c r="H19" s="18" t="n"/>
      <c r="I19" s="18" t="n"/>
      <c r="J19" s="18" t="n"/>
      <c r="K19" s="34">
        <f>SUM(G19:J19)</f>
        <v/>
      </c>
      <c r="L19" s="18" t="n"/>
      <c r="M19" s="18" t="n"/>
      <c r="N19" s="18" t="n"/>
      <c r="O19" s="18" t="n">
        <v>0.67</v>
      </c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>
        <v>0</v>
      </c>
      <c r="Z19" s="34">
        <f>SUM(V19:Y19)</f>
        <v/>
      </c>
      <c r="AA19" s="18" t="n"/>
      <c r="AB19" s="19" t="n"/>
      <c r="AC19" s="20" t="n"/>
      <c r="AD19" s="20" t="n"/>
      <c r="AE19" s="35">
        <f>SUM(AA19:AD19)</f>
        <v/>
      </c>
      <c r="AF19" s="20" t="n"/>
      <c r="AG19" s="20" t="n"/>
      <c r="AH19" s="20" t="n"/>
      <c r="AI19" s="20" t="n"/>
      <c r="AJ19" s="35">
        <f>SUM(AF19:AI19)</f>
        <v/>
      </c>
      <c r="AK19" s="20" t="n"/>
      <c r="AL19" s="20" t="n"/>
      <c r="AM19" s="20" t="n"/>
      <c r="AN19" s="20" t="n"/>
      <c r="AO19" s="35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4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4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4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4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4">
        <f>SUM(V21:Y21)</f>
        <v/>
      </c>
      <c r="AA21" s="18" t="n">
        <v>266.04</v>
      </c>
      <c r="AB21" s="19" t="n">
        <v>332.6</v>
      </c>
      <c r="AC21" s="20">
        <f>IFERROR(X21*(1+변수!AC33),"")</f>
        <v/>
      </c>
      <c r="AD21" s="20">
        <f>IFERROR(Y21*(1+변수!AD33),"")</f>
        <v/>
      </c>
      <c r="AE21" s="35">
        <f>SUM(AA21:AD21)</f>
        <v/>
      </c>
      <c r="AF21" s="20">
        <f>IFERROR(AA21*(1+변수!AF33),"")</f>
        <v/>
      </c>
      <c r="AG21" s="20">
        <f>IFERROR(AB21*(1+변수!AG33),"")</f>
        <v/>
      </c>
      <c r="AH21" s="20">
        <f>IFERROR(AC21*(1+변수!AH33),"")</f>
        <v/>
      </c>
      <c r="AI21" s="20">
        <f>IFERROR(AD21*(1+변수!AI33),"")</f>
        <v/>
      </c>
      <c r="AJ21" s="35">
        <f>SUM(AF21:AI21)</f>
        <v/>
      </c>
      <c r="AK21" s="20">
        <f>IFERROR(AF21*(1+변수!AK33),"")</f>
        <v/>
      </c>
      <c r="AL21" s="20">
        <f>IFERROR(AG21*(1+변수!AL33),"")</f>
        <v/>
      </c>
      <c r="AM21" s="20">
        <f>IFERROR(AH21*(1+변수!AM33),"")</f>
        <v/>
      </c>
      <c r="AN21" s="20">
        <f>IFERROR(AI21*(1+변수!AN33),"")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IFERROR(AB25+AC18-변수!AC36,"")</f>
        <v/>
      </c>
      <c r="AD25" s="20">
        <f>IFERROR(AC25+AD18-변수!AD36,"")</f>
        <v/>
      </c>
      <c r="AE25" s="35">
        <f>AD25</f>
        <v/>
      </c>
      <c r="AF25" s="20">
        <f>IFERROR(AD25+AF18-변수!AF36,"")</f>
        <v/>
      </c>
      <c r="AG25" s="20">
        <f>IFERROR(AF25+AG18-변수!AG36,"")</f>
        <v/>
      </c>
      <c r="AH25" s="20">
        <f>IFERROR(AG25+AH18-변수!AH36,"")</f>
        <v/>
      </c>
      <c r="AI25" s="20">
        <f>IFERROR(AH25+AI18-변수!AI36,"")</f>
        <v/>
      </c>
      <c r="AJ25" s="35">
        <f>AI25</f>
        <v/>
      </c>
      <c r="AK25" s="20">
        <f>IFERROR(AI25+AK18-변수!AK36,"")</f>
        <v/>
      </c>
      <c r="AL25" s="20">
        <f>IFERROR(AK25+AL18-변수!AL36,"")</f>
        <v/>
      </c>
      <c r="AM25" s="20">
        <f>IFERROR(AL25+AM18-변수!AM36,"")</f>
        <v/>
      </c>
      <c r="AN25" s="20">
        <f>IFERROR(AM25+AN18-변수!AN36,"")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-206.25</v>
      </c>
      <c r="F31" s="34" t="n"/>
      <c r="G31" s="18" t="n">
        <v>-73.8</v>
      </c>
      <c r="H31" s="18" t="n">
        <v>-330.36</v>
      </c>
      <c r="I31" s="18" t="n">
        <v>20.5</v>
      </c>
      <c r="J31" s="18" t="n">
        <v>114.97</v>
      </c>
      <c r="K31" s="34">
        <f>SUM(G31:J31)</f>
        <v/>
      </c>
      <c r="L31" s="18" t="n">
        <v>13.84</v>
      </c>
      <c r="M31" s="18" t="n">
        <v>130.02</v>
      </c>
      <c r="N31" s="18" t="n">
        <v>132.78</v>
      </c>
      <c r="O31" s="18" t="n">
        <v>217.18</v>
      </c>
      <c r="P31" s="34">
        <f>SUM(L31:O31)</f>
        <v/>
      </c>
      <c r="Q31" s="18" t="n">
        <v>34.85</v>
      </c>
      <c r="R31" s="18" t="n">
        <v>-154.81</v>
      </c>
      <c r="S31" s="18" t="n">
        <v>69.34</v>
      </c>
      <c r="T31" s="18" t="n">
        <v>180.73</v>
      </c>
      <c r="U31" s="34">
        <f>SUM(Q31:T31)</f>
        <v/>
      </c>
      <c r="V31" s="18" t="n">
        <v>92.11</v>
      </c>
      <c r="W31" s="18" t="n">
        <v>-152.28</v>
      </c>
      <c r="X31" s="18" t="n">
        <v>303.13</v>
      </c>
      <c r="Y31" s="18" t="n">
        <v>-24.21</v>
      </c>
      <c r="Z31" s="34">
        <f>SUM(V31:Y31)</f>
        <v/>
      </c>
      <c r="AA31" s="18" t="n">
        <v>-101.19</v>
      </c>
      <c r="AB31" s="19" t="n">
        <v>-174.84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26.872</v>
      </c>
      <c r="F32" s="27">
        <f>E32</f>
        <v/>
      </c>
      <c r="G32" s="26" t="n">
        <v>26.872</v>
      </c>
      <c r="H32" s="26" t="n">
        <v>26.872</v>
      </c>
      <c r="I32" s="26" t="n">
        <v>26.872</v>
      </c>
      <c r="J32" s="26" t="n">
        <v>26.872</v>
      </c>
      <c r="K32" s="27">
        <f>J32</f>
        <v/>
      </c>
      <c r="L32" s="26" t="n">
        <v>26.872</v>
      </c>
      <c r="M32" s="26" t="n">
        <v>26.872</v>
      </c>
      <c r="N32" s="26" t="n">
        <v>26.872</v>
      </c>
      <c r="O32" s="26" t="n">
        <v>26.872</v>
      </c>
      <c r="P32" s="27">
        <f>O32</f>
        <v/>
      </c>
      <c r="Q32" s="26" t="n">
        <v>26.872</v>
      </c>
      <c r="R32" s="26" t="n">
        <v>26.872</v>
      </c>
      <c r="S32" s="26" t="n">
        <v>26.872</v>
      </c>
      <c r="T32" s="26" t="n">
        <v>26.872</v>
      </c>
      <c r="U32" s="27">
        <f>T32</f>
        <v/>
      </c>
      <c r="V32" s="26" t="n">
        <v>26.872</v>
      </c>
      <c r="W32" s="26" t="n">
        <v>26.872</v>
      </c>
      <c r="X32" s="26" t="n">
        <v>26.872</v>
      </c>
      <c r="Y32" s="26" t="n">
        <v>28.329</v>
      </c>
      <c r="Z32" s="27">
        <f>Y32</f>
        <v/>
      </c>
      <c r="AA32" s="26" t="n">
        <v>28.329</v>
      </c>
      <c r="AB32" s="28" t="n">
        <v>28.329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4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4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4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4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4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5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5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4" t="n">
        <v>100</v>
      </c>
      <c r="G35" s="18" t="n"/>
      <c r="H35" s="18" t="n"/>
      <c r="I35" s="18" t="n"/>
      <c r="J35" s="18" t="n">
        <v>120</v>
      </c>
      <c r="K35" s="34">
        <f>SUM(G35:J35)</f>
        <v/>
      </c>
      <c r="L35" s="18" t="n"/>
      <c r="M35" s="18" t="n"/>
      <c r="N35" s="18" t="n"/>
      <c r="O35" s="18" t="n">
        <v>120</v>
      </c>
      <c r="P35" s="34">
        <f>SUM(L35:O35)</f>
        <v/>
      </c>
      <c r="Q35" s="18" t="n"/>
      <c r="R35" s="18" t="n"/>
      <c r="S35" s="18" t="n"/>
      <c r="T35" s="18" t="n">
        <v>120</v>
      </c>
      <c r="U35" s="34">
        <f>SUM(Q35:T35)</f>
        <v/>
      </c>
      <c r="V35" s="18" t="n"/>
      <c r="W35" s="18" t="n"/>
      <c r="X35" s="18" t="n"/>
      <c r="Y35" s="18" t="n">
        <v>120</v>
      </c>
      <c r="Z35" s="34">
        <f>SUM(V35:Y35)</f>
        <v/>
      </c>
      <c r="AA35" s="18" t="n"/>
      <c r="AB35" s="19" t="n"/>
      <c r="AC35" s="20" t="n"/>
      <c r="AD35" s="20">
        <f>IFERROR(Y35*(1+변수!AD44),"")</f>
        <v/>
      </c>
      <c r="AE35" s="35">
        <f>SUM(AA35:AD35)</f>
        <v/>
      </c>
      <c r="AF35" s="20" t="n"/>
      <c r="AG35" s="20" t="n"/>
      <c r="AH35" s="20" t="n"/>
      <c r="AI35" s="20">
        <f>IFERROR(AD35*(1+변수!AI44),"")</f>
        <v/>
      </c>
      <c r="AJ35" s="35">
        <f>SUM(AF35:AI35)</f>
        <v/>
      </c>
      <c r="AK35" s="20" t="n"/>
      <c r="AL35" s="20" t="n"/>
      <c r="AM35" s="20" t="n"/>
      <c r="AN35" s="20">
        <f>IFERROR(AI35*(1+변수!AN44),"")</f>
        <v/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>
        <v>3.1</v>
      </c>
      <c r="J36" s="18" t="n">
        <v>3.19</v>
      </c>
      <c r="K36" s="34">
        <f>SUM(G36:J36)</f>
        <v/>
      </c>
      <c r="L36" s="18" t="n">
        <v>3.2</v>
      </c>
      <c r="M36" s="18" t="n">
        <v>2.73</v>
      </c>
      <c r="N36" s="18" t="n">
        <v>5.59</v>
      </c>
      <c r="O36" s="18" t="n">
        <v>3.93</v>
      </c>
      <c r="P36" s="34">
        <f>SUM(L36:O36)</f>
        <v/>
      </c>
      <c r="Q36" s="18" t="n">
        <v>4.39</v>
      </c>
      <c r="R36" s="18" t="n">
        <v>5.1</v>
      </c>
      <c r="S36" s="18" t="n">
        <v>9.43</v>
      </c>
      <c r="T36" s="18" t="n">
        <v>20.68</v>
      </c>
      <c r="U36" s="34">
        <f>SUM(Q36:T36)</f>
        <v/>
      </c>
      <c r="V36" s="18" t="n"/>
      <c r="W36" s="18" t="n"/>
      <c r="X36" s="18" t="n"/>
      <c r="Y36" s="18" t="n"/>
      <c r="Z36" s="34">
        <f>SUM(V36:Y36)</f>
        <v/>
      </c>
      <c r="AA36" s="18" t="n"/>
      <c r="AB36" s="19" t="n"/>
      <c r="AC36" s="20" t="n"/>
      <c r="AD36" s="20" t="n">
        <v>5.89</v>
      </c>
      <c r="AE36" s="35">
        <f>SUM(AA36:AD36)</f>
        <v/>
      </c>
      <c r="AF36" s="20" t="n">
        <v>14.63</v>
      </c>
      <c r="AG36" s="20" t="n">
        <v>41.62</v>
      </c>
      <c r="AH36" s="20" t="n">
        <v>41.43</v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0.6899999999999999</v>
      </c>
      <c r="F37" s="34" t="n">
        <v>0.68</v>
      </c>
      <c r="G37" s="18" t="n">
        <v>0.72</v>
      </c>
      <c r="H37" s="18" t="n">
        <v>0.74</v>
      </c>
      <c r="I37" s="18" t="n">
        <v>0.49</v>
      </c>
      <c r="J37" s="18" t="n">
        <v>0.44</v>
      </c>
      <c r="K37" s="34">
        <f>SUM(G37:J37)</f>
        <v/>
      </c>
      <c r="L37" s="18" t="n">
        <v>0.43</v>
      </c>
      <c r="M37" s="18" t="n">
        <v>0.39</v>
      </c>
      <c r="N37" s="18" t="n">
        <v>0.43</v>
      </c>
      <c r="O37" s="18" t="n">
        <v>0.38</v>
      </c>
      <c r="P37" s="34">
        <f>SUM(L37:O37)</f>
        <v/>
      </c>
      <c r="Q37" s="18" t="n">
        <v>0.42</v>
      </c>
      <c r="R37" s="18" t="n">
        <v>0.36</v>
      </c>
      <c r="S37" s="18" t="n">
        <v>0.32</v>
      </c>
      <c r="T37" s="18" t="n">
        <v>0.29</v>
      </c>
      <c r="U37" s="34">
        <f>SUM(Q37:T37)</f>
        <v/>
      </c>
      <c r="V37" s="18" t="n">
        <v>0.28</v>
      </c>
      <c r="W37" s="18" t="n">
        <v>0.32</v>
      </c>
      <c r="X37" s="18" t="n">
        <v>0.34</v>
      </c>
      <c r="Y37" s="18" t="n">
        <v>0.47</v>
      </c>
      <c r="Z37" s="34">
        <f>SUM(V37:Y37)</f>
        <v/>
      </c>
      <c r="AA37" s="18" t="n">
        <v>0.43</v>
      </c>
      <c r="AB37" s="19" t="n">
        <v>0.37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1451.13</v>
      </c>
      <c r="F38" s="34" t="n"/>
      <c r="G38" s="18" t="n">
        <v>1735.05</v>
      </c>
      <c r="H38" s="18" t="n">
        <v>1697.44</v>
      </c>
      <c r="I38" s="18" t="n">
        <v>1776.49</v>
      </c>
      <c r="J38" s="18" t="n">
        <v>2080.35</v>
      </c>
      <c r="K38" s="34">
        <f>SUM(G38:J38)</f>
        <v/>
      </c>
      <c r="L38" s="18" t="n">
        <v>2105.98</v>
      </c>
      <c r="M38" s="18" t="n">
        <v>2143.09</v>
      </c>
      <c r="N38" s="18" t="n">
        <v>2110.36</v>
      </c>
      <c r="O38" s="18" t="n">
        <v>2209.49</v>
      </c>
      <c r="P38" s="34">
        <f>SUM(L38:O38)</f>
        <v/>
      </c>
      <c r="Q38" s="18" t="n">
        <v>2092.93</v>
      </c>
      <c r="R38" s="18" t="n">
        <v>1894.75</v>
      </c>
      <c r="S38" s="18" t="n">
        <v>1937.09</v>
      </c>
      <c r="T38" s="18" t="n">
        <v>2088.75</v>
      </c>
      <c r="U38" s="34">
        <f>SUM(Q38:T38)</f>
        <v/>
      </c>
      <c r="V38" s="18" t="n">
        <v>1978.71</v>
      </c>
      <c r="W38" s="18" t="n">
        <v>2118.21</v>
      </c>
      <c r="X38" s="18" t="n">
        <v>2052.74</v>
      </c>
      <c r="Y38" s="18" t="n">
        <v>1871.9</v>
      </c>
      <c r="Z38" s="34">
        <f>SUM(V38:Y38)</f>
        <v/>
      </c>
      <c r="AA38" s="18" t="n">
        <v>1966.68</v>
      </c>
      <c r="AB38" s="19" t="n">
        <v>2290.92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36.28</v>
      </c>
      <c r="F39" s="34" t="n"/>
      <c r="G39" s="18" t="n">
        <v>120.21</v>
      </c>
      <c r="H39" s="18" t="n">
        <v>98.58</v>
      </c>
      <c r="I39" s="18" t="n">
        <v>64.51000000000001</v>
      </c>
      <c r="J39" s="18" t="n">
        <v>56.09</v>
      </c>
      <c r="K39" s="34">
        <f>SUM(G39:J39)</f>
        <v/>
      </c>
      <c r="L39" s="18" t="n">
        <v>157.51</v>
      </c>
      <c r="M39" s="18" t="n">
        <v>182.62</v>
      </c>
      <c r="N39" s="18" t="n">
        <v>189.36</v>
      </c>
      <c r="O39" s="18" t="n">
        <v>136.32</v>
      </c>
      <c r="P39" s="34">
        <f>SUM(L39:O39)</f>
        <v/>
      </c>
      <c r="Q39" s="18" t="n">
        <v>136.42</v>
      </c>
      <c r="R39" s="18" t="n">
        <v>86.73</v>
      </c>
      <c r="S39" s="18" t="n">
        <v>57.65</v>
      </c>
      <c r="T39" s="18" t="n">
        <v>49.68</v>
      </c>
      <c r="U39" s="34">
        <f>SUM(Q39:T39)</f>
        <v/>
      </c>
      <c r="V39" s="18" t="n">
        <v>70.62</v>
      </c>
      <c r="W39" s="18" t="n">
        <v>40.39</v>
      </c>
      <c r="X39" s="18" t="n">
        <v>-0.39</v>
      </c>
      <c r="Y39" s="18" t="n">
        <v>-5.64</v>
      </c>
      <c r="Z39" s="34">
        <f>SUM(V39:Y39)</f>
        <v/>
      </c>
      <c r="AA39" s="18" t="n">
        <v>132.39</v>
      </c>
      <c r="AB39" s="19" t="n">
        <v>179.9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1">
        <f>IFERROR(AC18/AC5,"")</f>
        <v/>
      </c>
      <c r="AD42" s="31">
        <f>IFERROR(AD18/AD5,"")</f>
        <v/>
      </c>
      <c r="AE42" s="25">
        <f>IFERROR(AE18/AE5,"")</f>
        <v/>
      </c>
      <c r="AF42" s="31">
        <f>IFERROR(AF18/AF5,"")</f>
        <v/>
      </c>
      <c r="AG42" s="31">
        <f>IFERROR(AG18/AG5,"")</f>
        <v/>
      </c>
      <c r="AH42" s="31">
        <f>IFERROR(AH18/AH5,"")</f>
        <v/>
      </c>
      <c r="AI42" s="31">
        <f>IFERROR(AI18/AI5,"")</f>
        <v/>
      </c>
      <c r="AJ42" s="25">
        <f>IFERROR(AJ18/AJ5,"")</f>
        <v/>
      </c>
      <c r="AK42" s="31">
        <f>IFERROR(AK18/AK5,"")</f>
        <v/>
      </c>
      <c r="AL42" s="31">
        <f>IFERROR(AL18/AL5,"")</f>
        <v/>
      </c>
      <c r="AM42" s="31">
        <f>IFERROR(AM18/AM5,"")</f>
        <v/>
      </c>
      <c r="AN42" s="31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2">
        <f>IFERROR(W18/S18-1,"")</f>
        <v/>
      </c>
      <c r="X44" s="31">
        <f>IFERROR(X18/T18-1,"")</f>
        <v/>
      </c>
      <c r="Y44" s="31">
        <f>IFERROR(Y18/U18-1,"")</f>
        <v/>
      </c>
      <c r="Z44" s="31">
        <f>IFERROR(Z18/V18-1,"")</f>
        <v/>
      </c>
      <c r="AA44" s="31">
        <f>IFERROR(AA18/W18-1,"")</f>
        <v/>
      </c>
      <c r="AB44" s="31">
        <f>IFERROR(AB18/X18-1,"")</f>
        <v/>
      </c>
      <c r="AC44" s="31">
        <f>IFERROR(AC18/Y18-1,"")</f>
        <v/>
      </c>
      <c r="AD44" s="31">
        <f>IFERROR(AD18/Z18-1,"")</f>
        <v/>
      </c>
      <c r="AE44" s="31">
        <f>IFERROR(AE18/AA18-1,"")</f>
        <v/>
      </c>
      <c r="AF44" s="31">
        <f>IFERROR(AF18/AB18-1,"")</f>
        <v/>
      </c>
      <c r="AG44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2">
        <f>IFERROR(I18/H18-1,"")</f>
        <v/>
      </c>
      <c r="J44" s="31">
        <f>IFERROR(J18/I18-1,"")</f>
        <v/>
      </c>
      <c r="K44" s="31">
        <f>IFERROR(K18/J18-1,"")</f>
        <v/>
      </c>
      <c r="L44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113.9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41.62</v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0.0086</v>
      </c>
    </row>
    <row r="34">
      <c r="C34" s="2" t="inlineStr">
        <is>
          <t>fair_pbr</t>
        </is>
      </c>
      <c r="D34" t="n">
        <v>0.1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6.93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