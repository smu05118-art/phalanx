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120원 유지</t>
      </text>
    </comment>
    <comment ref="AI41" authorId="0" shapeId="0">
      <text>
        <t>모델값 역산(implied): 모델 v 그대로
직전 결산 DPS 120원 유지</t>
      </text>
    </comment>
    <comment ref="AN41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-310억 − (비영업손익 -317억 − 12분기 기준선 -36억) × (1 − 24.0%, 모델 세율(분기 유효세율이 0~35% 밖·세전 ≤ 0)) × 지배 비중 1.00(1 − 비지배 비중(8분기 실측)) = -96억 ÷ 유통주식수 — 일회성 여부·세효과는 주석 미확인(모델 추정); 보고 EPS -1,094.5원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4">
      <c r="A34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4603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$D$51</f>
        <v/>
      </c>
      <c r="AD26" s="26">
        <f>$D$51</f>
        <v/>
      </c>
      <c r="AE26" s="25">
        <f>IFERROR(subQ!AE16/subQ!AE15,"")</f>
        <v/>
      </c>
      <c r="AF26" s="26">
        <f>$D$51</f>
        <v/>
      </c>
      <c r="AG26" s="26">
        <f>$D$51</f>
        <v/>
      </c>
      <c r="AH26" s="26">
        <f>$D$51</f>
        <v/>
      </c>
      <c r="AI26" s="26">
        <f>$D$51</f>
        <v/>
      </c>
      <c r="AJ26" s="25">
        <f>IFERROR(subQ!AJ16/subQ!AJ15,"")</f>
        <v/>
      </c>
      <c r="AK26" s="26">
        <f>$D$51</f>
        <v/>
      </c>
      <c r="AL26" s="26">
        <f>$D$51</f>
        <v/>
      </c>
      <c r="AM26" s="26">
        <f>$D$51</f>
        <v/>
      </c>
      <c r="AN26" s="26">
        <f>$D$51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$D$53</f>
        <v/>
      </c>
      <c r="AD27" s="26">
        <f>$D$53</f>
        <v/>
      </c>
      <c r="AE27" s="25">
        <f>IFERROR(subQ!AE18/subQ!AE17,"")</f>
        <v/>
      </c>
      <c r="AF27" s="26">
        <f>$D$53</f>
        <v/>
      </c>
      <c r="AG27" s="26">
        <f>$D$53</f>
        <v/>
      </c>
      <c r="AH27" s="26">
        <f>$D$53</f>
        <v/>
      </c>
      <c r="AI27" s="26">
        <f>$D$53</f>
        <v/>
      </c>
      <c r="AJ27" s="25">
        <f>IFERROR(subQ!AJ18/subQ!AJ17,"")</f>
        <v/>
      </c>
      <c r="AK27" s="26">
        <f>$D$53</f>
        <v/>
      </c>
      <c r="AL27" s="26">
        <f>$D$53</f>
        <v/>
      </c>
      <c r="AM27" s="26">
        <f>$D$53</f>
        <v/>
      </c>
      <c r="AN27" s="26">
        <f>$D$53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IFERROR(subQ!J34/subQ!E34-1,"")</f>
        <v/>
      </c>
      <c r="K40" s="22" t="n"/>
      <c r="L40" s="21">
        <f>IFERROR(subQ!L34/subQ!G34-1,"")</f>
        <v/>
      </c>
      <c r="M40" s="21">
        <f>IFERROR(subQ!M34/subQ!H34-1,"")</f>
        <v/>
      </c>
      <c r="N40" s="21">
        <f>IFERROR(subQ!N34/subQ!I34-1,"")</f>
        <v/>
      </c>
      <c r="O40" s="21">
        <f>IFERROR(subQ!O34/subQ!J34-1,"")</f>
        <v/>
      </c>
      <c r="P40" s="22" t="n"/>
      <c r="Q40" s="21">
        <f>IFERROR(subQ!Q34/subQ!L34-1,"")</f>
        <v/>
      </c>
      <c r="R40" s="21">
        <f>IFERROR(subQ!R34/subQ!M34-1,"")</f>
        <v/>
      </c>
      <c r="S40" s="21">
        <f>IFERROR(subQ!S34/subQ!N34-1,"")</f>
        <v/>
      </c>
      <c r="T40" s="21">
        <f>IFERROR(subQ!T34/subQ!O34-1,"")</f>
        <v/>
      </c>
      <c r="U40" s="22" t="n"/>
      <c r="V40" s="21">
        <f>IFERROR(subQ!V34/subQ!Q34-1,"")</f>
        <v/>
      </c>
      <c r="W40" s="21">
        <f>IFERROR(subQ!W34/subQ!R34-1,"")</f>
        <v/>
      </c>
      <c r="X40" s="21">
        <f>IFERROR(subQ!X34/subQ!S34-1,"")</f>
        <v/>
      </c>
      <c r="Y40" s="21">
        <f>IFERROR(subQ!Y34/subQ!T34-1,"")</f>
        <v/>
      </c>
      <c r="Z40" s="22" t="n"/>
      <c r="AA40" s="21">
        <f>IFERROR(subQ!AA34/subQ!V34-1,"")</f>
        <v/>
      </c>
      <c r="AB40" s="23">
        <f>IFERROR(subQ!AB34/subQ!W34-1,"")</f>
        <v/>
      </c>
      <c r="AC40" s="24" t="n">
        <v>-1.144273504</v>
      </c>
      <c r="AD40" s="24" t="n">
        <v>-1.084490399</v>
      </c>
      <c r="AE40" s="25" t="n"/>
      <c r="AF40" s="24" t="n">
        <v>-0.9308563479999999</v>
      </c>
      <c r="AG40" s="24" t="n">
        <v>-0.775136399</v>
      </c>
      <c r="AH40" s="24" t="n">
        <v>-0.052132701</v>
      </c>
      <c r="AI40" s="24" t="n">
        <v>-0.08041958</v>
      </c>
      <c r="AJ40" s="25" t="n"/>
      <c r="AK40" s="24" t="n">
        <v>-0.063218391</v>
      </c>
      <c r="AL40" s="24" t="n">
        <v>-0.03812825</v>
      </c>
      <c r="AM40" s="24" t="n">
        <v>-0.0625</v>
      </c>
      <c r="AN40" s="24" t="n">
        <v>-0.095057034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120</v>
      </c>
      <c r="AE41" s="31">
        <f>subQ!AE36</f>
        <v/>
      </c>
      <c r="AF41" s="32" t="n"/>
      <c r="AG41" s="32" t="n"/>
      <c r="AH41" s="32" t="n"/>
      <c r="AI41" s="30" t="n">
        <v>120</v>
      </c>
      <c r="AJ41" s="31">
        <f>subQ!AJ36</f>
        <v/>
      </c>
      <c r="AK41" s="32" t="n"/>
      <c r="AL41" s="32" t="n"/>
      <c r="AM41" s="32" t="n"/>
      <c r="AN41" s="30" t="n">
        <v>120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4600</v>
      </c>
      <c r="E44" s="2" t="inlineStr">
        <is>
          <t>원 — 네이버 정규장 종가(aik 확정종가 대조 · aik 4,565원)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4.2배가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0.2403254333215423</v>
      </c>
      <c r="E51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0.1340181682325823</v>
      </c>
      <c r="E52" s="2" t="inlineStr">
        <is>
          <t>연결 — 판관비 = 매출액 × 판관비율(역산, 재현 오차 ≤ 0.05억 · 모델 assumptions 0.134)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0.02463660282730479</v>
      </c>
      <c r="E54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0.03995916337487803</v>
      </c>
      <c r="E55" s="2" t="inlineStr">
        <is>
          <t>연결 — 같은 수식의 부채 쪽(총차입금 행이 없으면 0)(역산, 재현 오차 ≤ 0.05억 · 모델 assumptions 0.04)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J27" s="18" t="n">
        <v>2010.33</v>
      </c>
      <c r="K27" s="37" t="n">
        <v>2010.33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J28" s="18" t="n">
        <v>12888.58</v>
      </c>
      <c r="K28" s="37" t="n">
        <v>12888.58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J29" s="18" t="n">
        <v>2010.33</v>
      </c>
      <c r="K29" s="37" t="n">
        <v>2010.33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J35" s="18" t="n">
        <v>10878.25</v>
      </c>
      <c r="K35" s="37" t="n">
        <v>10878.25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J36" s="18" t="n">
        <v>10878.25</v>
      </c>
      <c r="K36" s="37" t="n">
        <v>10878.25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426676.63</v>
      </c>
      <c r="I46" s="18" t="n">
        <v>496751.85</v>
      </c>
      <c r="J46" s="18" t="n">
        <v>522603.34</v>
      </c>
      <c r="K46" s="37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7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327130.53</v>
      </c>
      <c r="I47" s="18" t="n">
        <v>396254.26</v>
      </c>
      <c r="J47" s="18" t="n">
        <v>432463.05</v>
      </c>
      <c r="K47" s="37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7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7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7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7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U52" s="9" t="n"/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7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7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7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7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7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7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7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7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7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7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7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7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7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7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7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7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7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7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7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7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7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7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7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7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7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7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7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7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7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7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7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7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7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7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7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7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7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7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7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7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7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7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7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7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7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7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7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7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7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7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7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7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7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7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7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7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7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7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7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7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7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7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7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7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7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7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7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7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7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7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7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7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7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7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7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7" t="n">
        <v>1071.03</v>
      </c>
      <c r="T41" s="18" t="n">
        <v>905.54</v>
      </c>
      <c r="U41" s="37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7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7" t="n">
        <v>7959</v>
      </c>
      <c r="T42" s="18" t="n">
        <v>6244.93</v>
      </c>
      <c r="U42" s="37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7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7" t="n">
        <v>1071.03</v>
      </c>
      <c r="T43" s="18" t="n">
        <v>905.54</v>
      </c>
      <c r="U43" s="37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7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7" t="n">
        <v>6887.97</v>
      </c>
      <c r="T44" s="18" t="n">
        <v>5339.39</v>
      </c>
      <c r="U44" s="37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7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7" t="n">
        <v>6887.97</v>
      </c>
      <c r="T45" s="18" t="n">
        <v>5339.39</v>
      </c>
      <c r="U45" s="37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7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198.7</v>
      </c>
      <c r="F34" s="37" t="n"/>
      <c r="G34" s="18" t="n">
        <v>344.4</v>
      </c>
      <c r="H34" s="18" t="n">
        <v>215.2</v>
      </c>
      <c r="I34" s="18" t="n">
        <v>1435</v>
      </c>
      <c r="J34" s="18" t="n">
        <v>-99.90000000000001</v>
      </c>
      <c r="K34" s="37">
        <f>SUM(G34:J34)</f>
        <v/>
      </c>
      <c r="L34" s="18" t="n">
        <v>285.3</v>
      </c>
      <c r="M34" s="18" t="n">
        <v>430.4</v>
      </c>
      <c r="N34" s="18" t="n">
        <v>519.4</v>
      </c>
      <c r="O34" s="18" t="n">
        <v>193.3</v>
      </c>
      <c r="P34" s="37">
        <f>SUM(L34:O34)</f>
        <v/>
      </c>
      <c r="Q34" s="18" t="n">
        <v>233.6</v>
      </c>
      <c r="R34" s="18" t="n">
        <v>98.8</v>
      </c>
      <c r="S34" s="18" t="n">
        <v>-25.9</v>
      </c>
      <c r="T34" s="18" t="n">
        <v>-101.1</v>
      </c>
      <c r="U34" s="37">
        <f>SUM(Q34:T34)</f>
        <v/>
      </c>
      <c r="V34" s="18" t="n">
        <v>11.1</v>
      </c>
      <c r="W34" s="18" t="n">
        <v>-228.1</v>
      </c>
      <c r="X34" s="18" t="n">
        <v>-292.5</v>
      </c>
      <c r="Y34" s="20" t="n">
        <v>-338.5</v>
      </c>
      <c r="Z34" s="37">
        <f>SUM(V34:Y34)</f>
        <v/>
      </c>
      <c r="AA34" s="18" t="n">
        <v>503.3</v>
      </c>
      <c r="AB34" s="19" t="n">
        <v>256.6</v>
      </c>
      <c r="AC34" s="20">
        <f>IFERROR(X34*(1+변수!AC40),"")</f>
        <v/>
      </c>
      <c r="AD34" s="20">
        <f>IFERROR(Y34*(1+변수!AD40),"")</f>
        <v/>
      </c>
      <c r="AE34" s="38">
        <f>SUM(AA34:AD34)</f>
        <v/>
      </c>
      <c r="AF34" s="20">
        <f>IFERROR(AA34*(1+변수!AF40),"")</f>
        <v/>
      </c>
      <c r="AG34" s="20">
        <f>IFERROR(AB34*(1+변수!AG40),"")</f>
        <v/>
      </c>
      <c r="AH34" s="20">
        <f>IFERROR(AC34*(1+변수!AH40),"")</f>
        <v/>
      </c>
      <c r="AI34" s="20">
        <f>IFERROR(AD34*(1+변수!AI40),"")</f>
        <v/>
      </c>
      <c r="AJ34" s="38">
        <f>SUM(AF34:AI34)</f>
        <v/>
      </c>
      <c r="AK34" s="20">
        <f>IFERROR(AF34*(1+변수!AK40),"")</f>
        <v/>
      </c>
      <c r="AL34" s="20">
        <f>IFERROR(AG34*(1+변수!AL40),"")</f>
        <v/>
      </c>
      <c r="AM34" s="20">
        <f>IFERROR(AH34*(1+변수!AM40),"")</f>
        <v/>
      </c>
      <c r="AN34" s="20">
        <f>IFERROR(AI34*(1+변수!AN40),"")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28.17</v>
      </c>
    </row>
    <row r="32">
      <c r="C32" s="2" t="inlineStr">
        <is>
          <t>pbr_now</t>
        </is>
      </c>
      <c r="D32" t="n">
        <v>0.35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