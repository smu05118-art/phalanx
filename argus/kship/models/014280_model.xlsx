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BS연결!$C$5:$AO$104</definedName>
    <definedName name="BS별도H">BS별도!$C$1:$AO$1</definedName>
    <definedName name="BS별도">BS별도!$C$5:$AO$92</definedName>
    <definedName name="SUBQH">subQ!$A$1:$AO$1</definedName>
    <definedName name="subQ">subQ!$A$5:$AO$44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5" fontId="0" fillId="5" borderId="0" pivotButton="0" quotePrefix="0" xfId="0"/>
    <xf numFmtId="164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전년동기 × (1+0.7%) — g=최근 4분기 합 YoY 0.7% 클립(−30~+50%), 연차별 절반 감쇠(가정)</t>
      </text>
    </comment>
    <comment ref="AD21" authorId="0" shapeId="0">
      <text>
        <t>모델값 역산(implied): v / 전년동기 − 1
전년동기 × (1+0.7%) — g=최근 4분기 합 YoY 0.7% 클립(−30~+50%), 연차별 절반 감쇠(가정)</t>
      </text>
    </comment>
    <comment ref="AF21" authorId="0" shapeId="0">
      <text>
        <t>모델값 역산(implied): v / 전년동기 − 1
전년동기 × (1+0.7%) — g=최근 4분기 합 YoY 0.7% 클립(−30~+50%), 연차별 절반 감쇠(가정)</t>
      </text>
    </comment>
    <comment ref="AG21" authorId="0" shapeId="0">
      <text>
        <t>모델값 역산(implied): v / 전년동기 − 1
전년동기 × (1+0.7%) — g=최근 4분기 합 YoY 0.7% 클립(−30~+50%), 연차별 절반 감쇠(가정)</t>
      </text>
    </comment>
    <comment ref="AH21" authorId="0" shapeId="0">
      <text>
        <t>모델값 역산(implied): v / 전년동기 − 1
전년동기 × (1+0.4%) — g=최근 4분기 합 YoY 0.7% 클립(−30~+50%), 연차별 절반 감쇠(가정)</t>
      </text>
    </comment>
    <comment ref="AI21" authorId="0" shapeId="0">
      <text>
        <t>모델값 역산(implied): v / 전년동기 − 1
전년동기 × (1+0.4%) — g=최근 4분기 합 YoY 0.7% 클립(−30~+50%), 연차별 절반 감쇠(가정)</t>
      </text>
    </comment>
    <comment ref="AK21" authorId="0" shapeId="0">
      <text>
        <t>모델값 역산(implied): v / 전년동기 − 1
전년동기 × (1+0.4%) — g=최근 4분기 합 YoY 0.7% 클립(−30~+50%), 연차별 절반 감쇠(가정)</t>
      </text>
    </comment>
    <comment ref="AL21" authorId="0" shapeId="0">
      <text>
        <t>모델값 역산(implied): v / 전년동기 − 1
전년동기 × (1+0.4%) — g=최근 4분기 합 YoY 0.7% 클립(−30~+50%), 연차별 절반 감쇠(가정)</t>
      </text>
    </comment>
    <comment ref="AM21" authorId="0" shapeId="0">
      <text>
        <t>모델값 역산(implied): v / 전년동기 − 1
전년동기 × (1+0.2%) — g=최근 4분기 합 YoY 0.7% 클립(−30~+50%), 연차별 절반 감쇠(가정)</t>
      </text>
    </comment>
    <comment ref="AN21" authorId="0" shapeId="0">
      <text>
        <t>모델값 역산(implied): v / 전년동기 − 1
전년동기 × (1+0.2%) — g=최근 4분기 합 YoY 0.7% 클립(−30~+50%), 연차별 절반 감쇠(가정)</t>
      </text>
    </comment>
    <comment ref="AC22" authorId="0" shapeId="0">
      <text>
        <t>3절 스칼라 '판관비율' 참조 — 숫자로 덮어쓰면 이 분기만 바뀐다
매출액 × 판관비율 13.40%(최근 4분기 중위)</t>
      </text>
    </comment>
    <comment ref="AD22" authorId="0" shapeId="0">
      <text>
        <t>3절 스칼라 '판관비율' 참조 — 숫자로 덮어쓰면 이 분기만 바뀐다
매출액 × 판관비율 13.40%(최근 4분기 중위)</t>
      </text>
    </comment>
    <comment ref="AF22" authorId="0" shapeId="0">
      <text>
        <t>3절 스칼라 '판관비율' 참조 — 숫자로 덮어쓰면 이 분기만 바뀐다
매출액 × 판관비율 13.40%(최근 4분기 중위)</t>
      </text>
    </comment>
    <comment ref="AG22" authorId="0" shapeId="0">
      <text>
        <t>3절 스칼라 '판관비율' 참조 — 숫자로 덮어쓰면 이 분기만 바뀐다
매출액 × 판관비율 13.40%(최근 4분기 중위)</t>
      </text>
    </comment>
    <comment ref="AH22" authorId="0" shapeId="0">
      <text>
        <t>3절 스칼라 '판관비율' 참조 — 숫자로 덮어쓰면 이 분기만 바뀐다
매출액 × 판관비율 13.40%(최근 4분기 중위)</t>
      </text>
    </comment>
    <comment ref="AI22" authorId="0" shapeId="0">
      <text>
        <t>3절 스칼라 '판관비율' 참조 — 숫자로 덮어쓰면 이 분기만 바뀐다
매출액 × 판관비율 13.40%(최근 4분기 중위)</t>
      </text>
    </comment>
    <comment ref="AK22" authorId="0" shapeId="0">
      <text>
        <t>3절 스칼라 '판관비율' 참조 — 숫자로 덮어쓰면 이 분기만 바뀐다
매출액 × 판관비율 13.40%(최근 4분기 중위)</t>
      </text>
    </comment>
    <comment ref="AL22" authorId="0" shapeId="0">
      <text>
        <t>3절 스칼라 '판관비율' 참조 — 숫자로 덮어쓰면 이 분기만 바뀐다
매출액 × 판관비율 13.40%(최근 4분기 중위)</t>
      </text>
    </comment>
    <comment ref="AM22" authorId="0" shapeId="0">
      <text>
        <t>3절 스칼라 '판관비율' 참조 — 숫자로 덮어쓰면 이 분기만 바뀐다
매출액 × 판관비율 13.40%(최근 4분기 중위)</t>
      </text>
    </comment>
    <comment ref="AN22" authorId="0" shapeId="0">
      <text>
        <t>3절 스칼라 '판관비율' 참조 — 숫자로 덮어쓰면 이 분기만 바뀐다
매출액 × 판관비율 13.40%(최근 4분기 중위)</t>
      </text>
    </comment>
    <comment ref="AC23" authorId="0" shapeId="0">
      <text>
        <t>모델값 역산(implied): v / 매출액
매출액 × OPM(최근 8분기 OPM 중위 2.7% 유지(클립 −20~40%))</t>
      </text>
    </comment>
    <comment ref="AD23" authorId="0" shapeId="0">
      <text>
        <t>모델값 역산(implied): v / 매출액
매출액 × OPM(최근 8분기 OPM 중위 2.7% 유지(클립 −20~40%))</t>
      </text>
    </comment>
    <comment ref="AF23" authorId="0" shapeId="0">
      <text>
        <t>모델값 역산(implied): v / 매출액
매출액 × OPM(최근 8분기 OPM 중위 2.7% 유지(클립 −20~40%))</t>
      </text>
    </comment>
    <comment ref="AG23" authorId="0" shapeId="0">
      <text>
        <t>모델값 역산(implied): v / 매출액
매출액 × OPM(최근 8분기 OPM 중위 2.7% 유지(클립 −20~40%))</t>
      </text>
    </comment>
    <comment ref="AH23" authorId="0" shapeId="0">
      <text>
        <t>모델값 역산(implied): v / 매출액
매출액 × OPM(최근 8분기 OPM 중위 2.7% 유지(클립 −20~40%))</t>
      </text>
    </comment>
    <comment ref="AI23" authorId="0" shapeId="0">
      <text>
        <t>모델값 역산(implied): v / 매출액
매출액 × OPM(최근 8분기 OPM 중위 2.7% 유지(클립 −20~40%))</t>
      </text>
    </comment>
    <comment ref="AK23" authorId="0" shapeId="0">
      <text>
        <t>모델값 역산(implied): v / 매출액
매출액 × OPM(최근 8분기 OPM 중위 2.7% 유지(클립 −20~40%))</t>
      </text>
    </comment>
    <comment ref="AL23" authorId="0" shapeId="0">
      <text>
        <t>모델값 역산(implied): v / 매출액
매출액 × OPM(최근 8분기 OPM 중위 2.7% 유지(클립 −20~40%))</t>
      </text>
    </comment>
    <comment ref="AM23" authorId="0" shapeId="0">
      <text>
        <t>모델값 역산(implied): v / 매출액
매출액 × OPM(최근 8분기 OPM 중위 2.7% 유지(클립 −20~40%))</t>
      </text>
    </comment>
    <comment ref="AN23" authorId="0" shapeId="0">
      <text>
        <t>모델값 역산(implied): v / 매출액
매출액 × OPM(최근 8분기 OPM 중위 2.7% 유지(클립 −20~40%))</t>
      </text>
    </comment>
    <comment ref="AC24" authorId="0" shapeId="0">
      <text>
        <t>모델값 역산(implied): 모델 v 그대로
일회성 미가정 → 0</t>
      </text>
    </comment>
    <comment ref="AD24" authorId="0" shapeId="0">
      <text>
        <t>모델값 역산(implied): 모델 v 그대로
일회성 미가정 → 0</t>
      </text>
    </comment>
    <comment ref="AF24" authorId="0" shapeId="0">
      <text>
        <t>모델값 역산(implied): 모델 v 그대로
일회성 미가정 → 0</t>
      </text>
    </comment>
    <comment ref="AG24" authorId="0" shapeId="0">
      <text>
        <t>모델값 역산(implied): 모델 v 그대로
일회성 미가정 → 0</t>
      </text>
    </comment>
    <comment ref="AH24" authorId="0" shapeId="0">
      <text>
        <t>모델값 역산(implied): 모델 v 그대로
일회성 미가정 → 0</t>
      </text>
    </comment>
    <comment ref="AI24" authorId="0" shapeId="0">
      <text>
        <t>모델값 역산(implied): 모델 v 그대로
일회성 미가정 → 0</t>
      </text>
    </comment>
    <comment ref="AK24" authorId="0" shapeId="0">
      <text>
        <t>모델값 역산(implied): 모델 v 그대로
일회성 미가정 → 0</t>
      </text>
    </comment>
    <comment ref="AL24" authorId="0" shapeId="0">
      <text>
        <t>모델값 역산(implied): 모델 v 그대로
일회성 미가정 → 0</t>
      </text>
    </comment>
    <comment ref="AM24" authorId="0" shapeId="0">
      <text>
        <t>모델값 역산(implied): 모델 v 그대로
일회성 미가정 → 0</t>
      </text>
    </comment>
    <comment ref="AN24" authorId="0" shapeId="0">
      <text>
        <t>모델값 역산(implied): 모델 v 그대로
일회성 미가정 → 0</t>
      </text>
    </comment>
    <comment ref="AC25" authorId="0" shapeId="0">
      <text>
        <t>모델값 역산(implied): 모델 v 그대로
최근 4분기 중위</t>
      </text>
    </comment>
    <comment ref="AD25" authorId="0" shapeId="0">
      <text>
        <t>모델값 역산(implied): 모델 v 그대로
최근 4분기 중위</t>
      </text>
    </comment>
    <comment ref="AF25" authorId="0" shapeId="0">
      <text>
        <t>모델값 역산(implied): 모델 v 그대로
최근 4분기 중위</t>
      </text>
    </comment>
    <comment ref="AG25" authorId="0" shapeId="0">
      <text>
        <t>모델값 역산(implied): 모델 v 그대로
최근 4분기 중위</t>
      </text>
    </comment>
    <comment ref="AH25" authorId="0" shapeId="0">
      <text>
        <t>모델값 역산(implied): 모델 v 그대로
최근 4분기 중위</t>
      </text>
    </comment>
    <comment ref="AI25" authorId="0" shapeId="0">
      <text>
        <t>모델값 역산(implied): 모델 v 그대로
최근 4분기 중위</t>
      </text>
    </comment>
    <comment ref="AK25" authorId="0" shapeId="0">
      <text>
        <t>모델값 역산(implied): 모델 v 그대로
최근 4분기 중위</t>
      </text>
    </comment>
    <comment ref="AL25" authorId="0" shapeId="0">
      <text>
        <t>모델값 역산(implied): 모델 v 그대로
최근 4분기 중위</t>
      </text>
    </comment>
    <comment ref="AM25" authorId="0" shapeId="0">
      <text>
        <t>모델값 역산(implied): 모델 v 그대로
최근 4분기 중위</t>
      </text>
    </comment>
    <comment ref="AN25" authorId="0" shapeId="0">
      <text>
        <t>모델값 역산(implied): 모델 v 그대로
최근 4분기 중위</t>
      </text>
    </comment>
    <comment ref="AC26" authorId="0" shapeId="0">
      <text>
        <t>3절 스칼라 '세율' 참조 — 숫자로 덮어쓰면 이 분기만 바뀐다
max(세전, 0) × 세율 24.0%(최근 12분기 유효세율 28.1% 가 5~27% 밖 → 클립 대신 최근 8분기 중 세전 &gt; 0 인 5분기(2024Q3~2026Q2)의 법인세/세전 중위 24.0%)</t>
      </text>
    </comment>
    <comment ref="AD26" authorId="0" shapeId="0">
      <text>
        <t>3절 스칼라 '세율' 참조 — 숫자로 덮어쓰면 이 분기만 바뀐다
max(세전, 0) × 세율 24.0%(최근 12분기 유효세율 28.1% 가 5~27% 밖 → 클립 대신 최근 8분기 중 세전 &gt; 0 인 5분기(2024Q3~2026Q2)의 법인세/세전 중위 24.0%)</t>
      </text>
    </comment>
    <comment ref="AF26" authorId="0" shapeId="0">
      <text>
        <t>3절 스칼라 '세율' 참조 — 숫자로 덮어쓰면 이 분기만 바뀐다
max(세전, 0) × 세율 24.0%(최근 12분기 유효세율 28.1% 가 5~27% 밖 → 클립 대신 최근 8분기 중 세전 &gt; 0 인 5분기(2024Q3~2026Q2)의 법인세/세전 중위 24.0%)</t>
      </text>
    </comment>
    <comment ref="AG26" authorId="0" shapeId="0">
      <text>
        <t>3절 스칼라 '세율' 참조 — 숫자로 덮어쓰면 이 분기만 바뀐다
max(세전, 0) × 세율 24.0%(최근 12분기 유효세율 28.1% 가 5~27% 밖 → 클립 대신 최근 8분기 중 세전 &gt; 0 인 5분기(2024Q3~2026Q2)의 법인세/세전 중위 24.0%)</t>
      </text>
    </comment>
    <comment ref="AH26" authorId="0" shapeId="0">
      <text>
        <t>3절 스칼라 '세율' 참조 — 숫자로 덮어쓰면 이 분기만 바뀐다
max(세전, 0) × 세율 24.0%(최근 12분기 유효세율 28.1% 가 5~27% 밖 → 클립 대신 최근 8분기 중 세전 &gt; 0 인 5분기(2024Q3~2026Q2)의 법인세/세전 중위 24.0%)</t>
      </text>
    </comment>
    <comment ref="AI26" authorId="0" shapeId="0">
      <text>
        <t>3절 스칼라 '세율' 참조 — 숫자로 덮어쓰면 이 분기만 바뀐다
max(세전, 0) × 세율 24.0%(최근 12분기 유효세율 28.1% 가 5~27% 밖 → 클립 대신 최근 8분기 중 세전 &gt; 0 인 5분기(2024Q3~2026Q2)의 법인세/세전 중위 24.0%)</t>
      </text>
    </comment>
    <comment ref="AK26" authorId="0" shapeId="0">
      <text>
        <t>3절 스칼라 '세율' 참조 — 숫자로 덮어쓰면 이 분기만 바뀐다
max(세전, 0) × 세율 24.0%(최근 12분기 유효세율 28.1% 가 5~27% 밖 → 클립 대신 최근 8분기 중 세전 &gt; 0 인 5분기(2024Q3~2026Q2)의 법인세/세전 중위 24.0%)</t>
      </text>
    </comment>
    <comment ref="AL26" authorId="0" shapeId="0">
      <text>
        <t>3절 스칼라 '세율' 참조 — 숫자로 덮어쓰면 이 분기만 바뀐다
max(세전, 0) × 세율 24.0%(최근 12분기 유효세율 28.1% 가 5~27% 밖 → 클립 대신 최근 8분기 중 세전 &gt; 0 인 5분기(2024Q3~2026Q2)의 법인세/세전 중위 24.0%)</t>
      </text>
    </comment>
    <comment ref="AM26" authorId="0" shapeId="0">
      <text>
        <t>3절 스칼라 '세율' 참조 — 숫자로 덮어쓰면 이 분기만 바뀐다
max(세전, 0) × 세율 24.0%(최근 12분기 유효세율 28.1% 가 5~27% 밖 → 클립 대신 최근 8분기 중 세전 &gt; 0 인 5분기(2024Q3~2026Q2)의 법인세/세전 중위 24.0%)</t>
      </text>
    </comment>
    <comment ref="AN26" authorId="0" shapeId="0">
      <text>
        <t>3절 스칼라 '세율' 참조 — 숫자로 덮어쓰면 이 분기만 바뀐다
max(세전, 0) × 세율 24.0%(최근 12분기 유효세율 28.1% 가 5~27% 밖 → 클립 대신 최근 8분기 중 세전 &gt; 0 인 5분기(2024Q3~2026Q2)의 법인세/세전 중위 24.0%)</t>
      </text>
    </comment>
    <comment ref="AC27" authorId="0" shapeId="0">
      <text>
        <t>3절 스칼라 '지배주주비중' 참조 — 숫자로 덮어쓰면 이 분기만 바뀐다
당기순이익 × (1 − 비지배 비중 0.0%, 최근 8분기 실측)</t>
      </text>
    </comment>
    <comment ref="AD27" authorId="0" shapeId="0">
      <text>
        <t>3절 스칼라 '지배주주비중' 참조 — 숫자로 덮어쓰면 이 분기만 바뀐다
당기순이익 × (1 − 비지배 비중 0.0%, 최근 8분기 실측)</t>
      </text>
    </comment>
    <comment ref="AF27" authorId="0" shapeId="0">
      <text>
        <t>3절 스칼라 '지배주주비중' 참조 — 숫자로 덮어쓰면 이 분기만 바뀐다
당기순이익 × (1 − 비지배 비중 0.0%, 최근 8분기 실측)</t>
      </text>
    </comment>
    <comment ref="AG27" authorId="0" shapeId="0">
      <text>
        <t>3절 스칼라 '지배주주비중' 참조 — 숫자로 덮어쓰면 이 분기만 바뀐다
당기순이익 × (1 − 비지배 비중 0.0%, 최근 8분기 실측)</t>
      </text>
    </comment>
    <comment ref="AH27" authorId="0" shapeId="0">
      <text>
        <t>3절 스칼라 '지배주주비중' 참조 — 숫자로 덮어쓰면 이 분기만 바뀐다
당기순이익 × (1 − 비지배 비중 0.0%, 최근 8분기 실측)</t>
      </text>
    </comment>
    <comment ref="AI27" authorId="0" shapeId="0">
      <text>
        <t>3절 스칼라 '지배주주비중' 참조 — 숫자로 덮어쓰면 이 분기만 바뀐다
당기순이익 × (1 − 비지배 비중 0.0%, 최근 8분기 실측)</t>
      </text>
    </comment>
    <comment ref="AK27" authorId="0" shapeId="0">
      <text>
        <t>3절 스칼라 '지배주주비중' 참조 — 숫자로 덮어쓰면 이 분기만 바뀐다
당기순이익 × (1 − 비지배 비중 0.0%, 최근 8분기 실측)</t>
      </text>
    </comment>
    <comment ref="AL27" authorId="0" shapeId="0">
      <text>
        <t>3절 스칼라 '지배주주비중' 참조 — 숫자로 덮어쓰면 이 분기만 바뀐다
당기순이익 × (1 − 비지배 비중 0.0%, 최근 8분기 실측)</t>
      </text>
    </comment>
    <comment ref="AM27" authorId="0" shapeId="0">
      <text>
        <t>3절 스칼라 '지배주주비중' 참조 — 숫자로 덮어쓰면 이 분기만 바뀐다
당기순이익 × (1 − 비지배 비중 0.0%, 최근 8분기 실측)</t>
      </text>
    </comment>
    <comment ref="AN27" authorId="0" shapeId="0">
      <text>
        <t>3절 스칼라 '지배주주비중' 참조 — 숫자로 덮어쓰면 이 분기만 바뀐다
당기순이익 × (1 − 비지배 비중 0.0%, 최근 8분기 실측)</t>
      </text>
    </comment>
    <comment ref="AC29" authorId="0" shapeId="0">
      <text>
        <t>모델값 역산(implied): 모델 v 그대로
최근 4분기 감가상각비 중위 유지</t>
      </text>
    </comment>
    <comment ref="AD29" authorId="0" shapeId="0">
      <text>
        <t>모델값 역산(implied): 모델 v 그대로
최근 4분기 감가상각비 중위 유지</t>
      </text>
    </comment>
    <comment ref="AF29" authorId="0" shapeId="0">
      <text>
        <t>모델값 역산(implied): 모델 v 그대로
최근 4분기 감가상각비 중위 유지</t>
      </text>
    </comment>
    <comment ref="AG29" authorId="0" shapeId="0">
      <text>
        <t>모델값 역산(implied): 모델 v 그대로
최근 4분기 감가상각비 중위 유지</t>
      </text>
    </comment>
    <comment ref="AH29" authorId="0" shapeId="0">
      <text>
        <t>모델값 역산(implied): 모델 v 그대로
최근 4분기 감가상각비 중위 유지</t>
      </text>
    </comment>
    <comment ref="AI29" authorId="0" shapeId="0">
      <text>
        <t>모델값 역산(implied): 모델 v 그대로
최근 4분기 감가상각비 중위 유지</t>
      </text>
    </comment>
    <comment ref="AK29" authorId="0" shapeId="0">
      <text>
        <t>모델값 역산(implied): 모델 v 그대로
최근 4분기 감가상각비 중위 유지</t>
      </text>
    </comment>
    <comment ref="AL29" authorId="0" shapeId="0">
      <text>
        <t>모델값 역산(implied): 모델 v 그대로
최근 4분기 감가상각비 중위 유지</t>
      </text>
    </comment>
    <comment ref="AM29" authorId="0" shapeId="0">
      <text>
        <t>모델값 역산(implied): 모델 v 그대로
최근 4분기 감가상각비 중위 유지</t>
      </text>
    </comment>
    <comment ref="AN29" authorId="0" shapeId="0">
      <text>
        <t>모델값 역산(implied): 모델 v 그대로
최근 4분기 감가상각비 중위 유지</t>
      </text>
    </comment>
    <comment ref="AC30" authorId="0" shapeId="0">
      <text>
        <t>모델값 역산(implied): v / 전분기 − 1
마지막 실적 유지(가정)</t>
      </text>
    </comment>
    <comment ref="AD30" authorId="0" shapeId="0">
      <text>
        <t>모델값 역산(implied): v / 전분기 − 1
마지막 실적 유지(가정)</t>
      </text>
    </comment>
    <comment ref="AF30" authorId="0" shapeId="0">
      <text>
        <t>모델값 역산(implied): v / 전분기 − 1
마지막 실적 유지(가정)</t>
      </text>
    </comment>
    <comment ref="AG30" authorId="0" shapeId="0">
      <text>
        <t>모델값 역산(implied): v / 전분기 − 1
마지막 실적 유지(가정)</t>
      </text>
    </comment>
    <comment ref="AH30" authorId="0" shapeId="0">
      <text>
        <t>모델값 역산(implied): v / 전분기 − 1
마지막 실적 유지(가정)</t>
      </text>
    </comment>
    <comment ref="AI30" authorId="0" shapeId="0">
      <text>
        <t>모델값 역산(implied): v / 전분기 − 1
마지막 실적 유지(가정)</t>
      </text>
    </comment>
    <comment ref="AK30" authorId="0" shapeId="0">
      <text>
        <t>모델값 역산(implied): v / 전분기 − 1
마지막 실적 유지(가정)</t>
      </text>
    </comment>
    <comment ref="AL30" authorId="0" shapeId="0">
      <text>
        <t>모델값 역산(implied): v / 전분기 − 1
마지막 실적 유지(가정)</t>
      </text>
    </comment>
    <comment ref="AM30" authorId="0" shapeId="0">
      <text>
        <t>모델값 역산(implied): v / 전분기 − 1
마지막 실적 유지(가정)</t>
      </text>
    </comment>
    <comment ref="AN30" authorId="0" shapeId="0">
      <text>
        <t>모델값 역산(implied): v / 전분기 − 1
마지막 실적 유지(가정)</t>
      </text>
    </comment>
    <comment ref="AC31" authorId="0" shapeId="0">
      <text>
        <t>모델값 역산(implied): 전분기(시트값) + 당기순이익(시트 수식값) − v
전분기 + 당기순이익 − 배당(Q2 지급 가정)</t>
      </text>
    </comment>
    <comment ref="AD31" authorId="0" shapeId="0">
      <text>
        <t>모델값 역산(implied): 전분기(시트값) + 당기순이익(시트 수식값) − v
전분기 + 당기순이익 − 배당(Q2 지급 가정)</t>
      </text>
    </comment>
    <comment ref="AF31" authorId="0" shapeId="0">
      <text>
        <t>모델값 역산(implied): 전분기(시트값) + 당기순이익(시트 수식값) − v
전분기 + 당기순이익 − 배당(Q2 지급 가정)</t>
      </text>
    </comment>
    <comment ref="AG31" authorId="0" shapeId="0">
      <text>
        <t>모델값 역산(implied): 전분기(시트값) + 당기순이익(시트 수식값) − v
전분기 + 당기순이익 − 배당(Q2 지급 가정)</t>
      </text>
    </comment>
    <comment ref="AH31" authorId="0" shapeId="0">
      <text>
        <t>모델값 역산(implied): 전분기(시트값) + 당기순이익(시트 수식값) − v
전분기 + 당기순이익 − 배당(Q2 지급 가정)</t>
      </text>
    </comment>
    <comment ref="AI31" authorId="0" shapeId="0">
      <text>
        <t>모델값 역산(implied): 전분기(시트값) + 당기순이익(시트 수식값) − v
전분기 + 당기순이익 − 배당(Q2 지급 가정)</t>
      </text>
    </comment>
    <comment ref="AK31" authorId="0" shapeId="0">
      <text>
        <t>모델값 역산(implied): 전분기(시트값) + 당기순이익(시트 수식값) − v
전분기 + 당기순이익 − 배당(Q2 지급 가정)</t>
      </text>
    </comment>
    <comment ref="AL31" authorId="0" shapeId="0">
      <text>
        <t>모델값 역산(implied): 전분기(시트값) + 당기순이익(시트 수식값) − v
전분기 + 당기순이익 − 배당(Q2 지급 가정)</t>
      </text>
    </comment>
    <comment ref="AM31" authorId="0" shapeId="0">
      <text>
        <t>모델값 역산(implied): 전분기(시트값) + 당기순이익(시트 수식값) − v
전분기 + 당기순이익 − 배당(Q2 지급 가정)</t>
      </text>
    </comment>
    <comment ref="AN31" authorId="0" shapeId="0">
      <text>
        <t>모델값 역산(implied): 전분기(시트값) + 당기순이익(시트 수식값) − v
전분기 + 당기순이익 − 배당(Q2 지급 가정)</t>
      </text>
    </comment>
    <comment ref="AC32" authorId="0" shapeId="0">
      <text>
        <t>모델값 역산(implied): 전분기(시트값) + 지배주주순이익(시트 수식값) − v
전분기 + 지배주주순이익 − 배당</t>
      </text>
    </comment>
    <comment ref="AD32" authorId="0" shapeId="0">
      <text>
        <t>모델값 역산(implied): 전분기(시트값) + 지배주주순이익(시트 수식값) − v
전분기 + 지배주주순이익 − 배당</t>
      </text>
    </comment>
    <comment ref="AF32" authorId="0" shapeId="0">
      <text>
        <t>모델값 역산(implied): 전분기(시트값) + 지배주주순이익(시트 수식값) − v
전분기 + 지배주주순이익 − 배당</t>
      </text>
    </comment>
    <comment ref="AG32" authorId="0" shapeId="0">
      <text>
        <t>모델값 역산(implied): 전분기(시트값) + 지배주주순이익(시트 수식값) − v
전분기 + 지배주주순이익 − 배당</t>
      </text>
    </comment>
    <comment ref="AH32" authorId="0" shapeId="0">
      <text>
        <t>모델값 역산(implied): 전분기(시트값) + 지배주주순이익(시트 수식값) − v
전분기 + 지배주주순이익 − 배당</t>
      </text>
    </comment>
    <comment ref="AI32" authorId="0" shapeId="0">
      <text>
        <t>모델값 역산(implied): 전분기(시트값) + 지배주주순이익(시트 수식값) − v
전분기 + 지배주주순이익 − 배당</t>
      </text>
    </comment>
    <comment ref="AK32" authorId="0" shapeId="0">
      <text>
        <t>모델값 역산(implied): 전분기(시트값) + 지배주주순이익(시트 수식값) − v
전분기 + 지배주주순이익 − 배당</t>
      </text>
    </comment>
    <comment ref="AL32" authorId="0" shapeId="0">
      <text>
        <t>모델값 역산(implied): 전분기(시트값) + 지배주주순이익(시트 수식값) − v
전분기 + 지배주주순이익 − 배당</t>
      </text>
    </comment>
    <comment ref="AM32" authorId="0" shapeId="0">
      <text>
        <t>모델값 역산(implied): 전분기(시트값) + 지배주주순이익(시트 수식값) − v
전분기 + 지배주주순이익 − 배당</t>
      </text>
    </comment>
    <comment ref="AN32" authorId="0" shapeId="0">
      <text>
        <t>모델값 역산(implied): 전분기(시트값) + 지배주주순이익(시트 수식값) − v
전분기 + 지배주주순이익 − 배당</t>
      </text>
    </comment>
    <comment ref="AC33" authorId="0" shapeId="0">
      <text>
        <t>모델값 역산(implied): v / 전분기 − 1
마지막 실적 유지(가정)</t>
      </text>
    </comment>
    <comment ref="AD33" authorId="0" shapeId="0">
      <text>
        <t>모델값 역산(implied): v / 전분기 − 1
마지막 실적 유지(가정)</t>
      </text>
    </comment>
    <comment ref="AF33" authorId="0" shapeId="0">
      <text>
        <t>모델값 역산(implied): v / 전분기 − 1
마지막 실적 유지(가정)</t>
      </text>
    </comment>
    <comment ref="AG33" authorId="0" shapeId="0">
      <text>
        <t>모델값 역산(implied): v / 전분기 − 1
마지막 실적 유지(가정)</t>
      </text>
    </comment>
    <comment ref="AH33" authorId="0" shapeId="0">
      <text>
        <t>모델값 역산(implied): v / 전분기 − 1
마지막 실적 유지(가정)</t>
      </text>
    </comment>
    <comment ref="AI33" authorId="0" shapeId="0">
      <text>
        <t>모델값 역산(implied): v / 전분기 − 1
마지막 실적 유지(가정)</t>
      </text>
    </comment>
    <comment ref="AK33" authorId="0" shapeId="0">
      <text>
        <t>모델값 역산(implied): v / 전분기 − 1
마지막 실적 유지(가정)</t>
      </text>
    </comment>
    <comment ref="AL33" authorId="0" shapeId="0">
      <text>
        <t>모델값 역산(implied): v / 전분기 − 1
마지막 실적 유지(가정)</t>
      </text>
    </comment>
    <comment ref="AM33" authorId="0" shapeId="0">
      <text>
        <t>모델값 역산(implied): v / 전분기 − 1
마지막 실적 유지(가정)</t>
      </text>
    </comment>
    <comment ref="AN33" authorId="0" shapeId="0">
      <text>
        <t>모델값 역산(implied): v / 전분기 − 1
마지막 실적 유지(가정)</t>
      </text>
    </comment>
    <comment ref="AC34" authorId="0" shapeId="0">
      <text>
        <t>모델값 역산(implied): v / 전분기 − 1
전분기 − FCF 근사[순이익 + 감가상각비 158억 − CAPEX 202억(각 최근 4분기 중위) − 배당] (운전자본 불변·총차입금 유지 가정 → 변동은 전부 현금)</t>
      </text>
    </comment>
    <comment ref="AD34" authorId="0" shapeId="0">
      <text>
        <t>모델값 역산(implied): v / 전분기 − 1
전분기 − FCF 근사[순이익 + 감가상각비 158억 − CAPEX 202억(각 최근 4분기 중위) − 배당] (운전자본 불변·총차입금 유지 가정 → 변동은 전부 현금)</t>
      </text>
    </comment>
    <comment ref="AF34" authorId="0" shapeId="0">
      <text>
        <t>모델값 역산(implied): v / 전분기 − 1
전분기 − FCF 근사[순이익 + 감가상각비 158억 − CAPEX 202억(각 최근 4분기 중위) − 배당] (운전자본 불변·총차입금 유지 가정 → 변동은 전부 현금)</t>
      </text>
    </comment>
    <comment ref="AG34" authorId="0" shapeId="0">
      <text>
        <t>모델값 역산(implied): v / 전분기 − 1
전분기 − FCF 근사[순이익 + 감가상각비 158억 − CAPEX 202억(각 최근 4분기 중위) − 배당] (운전자본 불변·총차입금 유지 가정 → 변동은 전부 현금)</t>
      </text>
    </comment>
    <comment ref="AH34" authorId="0" shapeId="0">
      <text>
        <t>모델값 역산(implied): v / 전분기 − 1
전분기 − FCF 근사[순이익 + 감가상각비 158억 − CAPEX 202억(각 최근 4분기 중위) − 배당] (운전자본 불변·총차입금 유지 가정 → 변동은 전부 현금)</t>
      </text>
    </comment>
    <comment ref="AI34" authorId="0" shapeId="0">
      <text>
        <t>모델값 역산(implied): v / 전분기 − 1
전분기 − FCF 근사[순이익 + 감가상각비 158억 − CAPEX 202억(각 최근 4분기 중위) − 배당] (운전자본 불변·총차입금 유지 가정 → 변동은 전부 현금)</t>
      </text>
    </comment>
    <comment ref="AK34" authorId="0" shapeId="0">
      <text>
        <t>모델값 역산(implied): v / 전분기 − 1
전분기 − FCF 근사[순이익 + 감가상각비 158억 − CAPEX 202억(각 최근 4분기 중위) − 배당] (운전자본 불변·총차입금 유지 가정 → 변동은 전부 현금)</t>
      </text>
    </comment>
    <comment ref="AL34" authorId="0" shapeId="0">
      <text>
        <t>모델값 역산(implied): v / 전분기 − 1
전분기 − FCF 근사[순이익 + 감가상각비 158억 − CAPEX 202억(각 최근 4분기 중위) − 배당] (운전자본 불변·총차입금 유지 가정 → 변동은 전부 현금)</t>
      </text>
    </comment>
    <comment ref="AM34" authorId="0" shapeId="0">
      <text>
        <t>모델값 역산(implied): v / 전분기 − 1
전분기 − FCF 근사[순이익 + 감가상각비 158억 − CAPEX 202억(각 최근 4분기 중위) − 배당] (운전자본 불변·총차입금 유지 가정 → 변동은 전부 현금)</t>
      </text>
    </comment>
    <comment ref="AN34" authorId="0" shapeId="0">
      <text>
        <t>모델값 역산(implied): v / 전분기 − 1
전분기 − FCF 근사[순이익 + 감가상각비 158억 − CAPEX 202억(각 최근 4분기 중위) − 배당] (운전자본 불변·총차입금 유지 가정 → 변동은 전부 현금)</t>
      </text>
    </comment>
    <comment ref="AC35" authorId="0" shapeId="0">
      <text>
        <t>모델값 역산(implied): v / 전분기 − 1
전분기 + FCF 근사 — 순차입금 롤과 같은 가정</t>
      </text>
    </comment>
    <comment ref="AD35" authorId="0" shapeId="0">
      <text>
        <t>모델값 역산(implied): v / 전분기 − 1
전분기 + FCF 근사 — 순차입금 롤과 같은 가정</t>
      </text>
    </comment>
    <comment ref="AF35" authorId="0" shapeId="0">
      <text>
        <t>모델값 역산(implied): v / 전분기 − 1
전분기 + FCF 근사 — 순차입금 롤과 같은 가정</t>
      </text>
    </comment>
    <comment ref="AG35" authorId="0" shapeId="0">
      <text>
        <t>모델값 역산(implied): v / 전분기 − 1
전분기 + FCF 근사 — 순차입금 롤과 같은 가정</t>
      </text>
    </comment>
    <comment ref="AH35" authorId="0" shapeId="0">
      <text>
        <t>모델값 역산(implied): v / 전분기 − 1
전분기 + FCF 근사 — 순차입금 롤과 같은 가정</t>
      </text>
    </comment>
    <comment ref="AI35" authorId="0" shapeId="0">
      <text>
        <t>모델값 역산(implied): v / 전분기 − 1
전분기 + FCF 근사 — 순차입금 롤과 같은 가정</t>
      </text>
    </comment>
    <comment ref="AK35" authorId="0" shapeId="0">
      <text>
        <t>모델값 역산(implied): v / 전분기 − 1
전분기 + FCF 근사 — 순차입금 롤과 같은 가정</t>
      </text>
    </comment>
    <comment ref="AL35" authorId="0" shapeId="0">
      <text>
        <t>모델값 역산(implied): v / 전분기 − 1
전분기 + FCF 근사 — 순차입금 롤과 같은 가정</t>
      </text>
    </comment>
    <comment ref="AM35" authorId="0" shapeId="0">
      <text>
        <t>모델값 역산(implied): v / 전분기 − 1
전분기 + FCF 근사 — 순차입금 롤과 같은 가정</t>
      </text>
    </comment>
    <comment ref="AN35" authorId="0" shapeId="0">
      <text>
        <t>모델값 역산(implied): v / 전분기 − 1
전분기 + FCF 근사 — 순차입금 롤과 같은 가정</t>
      </text>
    </comment>
    <comment ref="AC37" authorId="0" shapeId="0">
      <text>
        <t>모델값 역산(implied): v / 전년동기 − 1
최근 4분기(2025Q3~2026Q2) CAPEX 중위 유지 — 순차입금 롤에 반영(FCF 근사)</t>
      </text>
    </comment>
    <comment ref="AD37" authorId="0" shapeId="0">
      <text>
        <t>모델값 역산(implied): v / 전년동기 − 1
최근 4분기(2025Q3~2026Q2) CAPEX 중위 유지 — 순차입금 롤에 반영(FCF 근사)</t>
      </text>
    </comment>
    <comment ref="AF37" authorId="0" shapeId="0">
      <text>
        <t>모델값 역산(implied): v / 전년동기 − 1
최근 4분기(2025Q3~2026Q2) CAPEX 중위 유지 — 순차입금 롤에 반영(FCF 근사)</t>
      </text>
    </comment>
    <comment ref="AG37" authorId="0" shapeId="0">
      <text>
        <t>모델값 역산(implied): v / 전년동기 − 1
최근 4분기(2025Q3~2026Q2) CAPEX 중위 유지 — 순차입금 롤에 반영(FCF 근사)</t>
      </text>
    </comment>
    <comment ref="AH37" authorId="0" shapeId="0">
      <text>
        <t>모델값 역산(implied): v / 전년동기 − 1
최근 4분기(2025Q3~2026Q2) CAPEX 중위 유지 — 순차입금 롤에 반영(FCF 근사)</t>
      </text>
    </comment>
    <comment ref="AI37" authorId="0" shapeId="0">
      <text>
        <t>모델값 역산(implied): v / 전년동기 − 1
최근 4분기(2025Q3~2026Q2) CAPEX 중위 유지 — 순차입금 롤에 반영(FCF 근사)</t>
      </text>
    </comment>
    <comment ref="AK37" authorId="0" shapeId="0">
      <text>
        <t>모델값 역산(implied): v / 전년동기 − 1
최근 4분기(2025Q3~2026Q2) CAPEX 중위 유지 — 순차입금 롤에 반영(FCF 근사)</t>
      </text>
    </comment>
    <comment ref="AL37" authorId="0" shapeId="0">
      <text>
        <t>모델값 역산(implied): v / 전년동기 − 1
최근 4분기(2025Q3~2026Q2) CAPEX 중위 유지 — 순차입금 롤에 반영(FCF 근사)</t>
      </text>
    </comment>
    <comment ref="AM37" authorId="0" shapeId="0">
      <text>
        <t>모델값 역산(implied): v / 전년동기 − 1
최근 4분기(2025Q3~2026Q2) CAPEX 중위 유지 — 순차입금 롤에 반영(FCF 근사)</t>
      </text>
    </comment>
    <comment ref="AN37" authorId="0" shapeId="0">
      <text>
        <t>모델값 역산(implied): v / 전년동기 − 1
최근 4분기(2025Q3~2026Q2) CAPEX 중위 유지 — 순차입금 롤에 반영(FCF 근사)</t>
      </text>
    </comment>
    <comment ref="AC39" authorId="0" shapeId="0">
      <text>
        <t>모델값 역산(implied): v / 전분기 − 1
유통주식수 유지 — fin.shares.common_outstanding(2026Q2)</t>
      </text>
    </comment>
    <comment ref="AD39" authorId="0" shapeId="0">
      <text>
        <t>모델값 역산(implied): v / 전분기 − 1
유통주식수 유지 — fin.shares.common_outstanding(2026Q2)</t>
      </text>
    </comment>
    <comment ref="AF39" authorId="0" shapeId="0">
      <text>
        <t>모델값 역산(implied): v / 전분기 − 1
유통주식수 유지 — fin.shares.common_outstanding(2026Q2)</t>
      </text>
    </comment>
    <comment ref="AG39" authorId="0" shapeId="0">
      <text>
        <t>모델값 역산(implied): v / 전분기 − 1
유통주식수 유지 — fin.shares.common_outstanding(2026Q2)</t>
      </text>
    </comment>
    <comment ref="AH39" authorId="0" shapeId="0">
      <text>
        <t>모델값 역산(implied): v / 전분기 − 1
유통주식수 유지 — fin.shares.common_outstanding(2026Q2)</t>
      </text>
    </comment>
    <comment ref="AI39" authorId="0" shapeId="0">
      <text>
        <t>모델값 역산(implied): v / 전분기 − 1
유통주식수 유지 — fin.shares.common_outstanding(2026Q2)</t>
      </text>
    </comment>
    <comment ref="AK39" authorId="0" shapeId="0">
      <text>
        <t>모델값 역산(implied): v / 전분기 − 1
유통주식수 유지 — fin.shares.common_outstanding(2026Q2)</t>
      </text>
    </comment>
    <comment ref="AL39" authorId="0" shapeId="0">
      <text>
        <t>모델값 역산(implied): v / 전분기 − 1
유통주식수 유지 — fin.shares.common_outstanding(2026Q2)</t>
      </text>
    </comment>
    <comment ref="AM39" authorId="0" shapeId="0">
      <text>
        <t>모델값 역산(implied): v / 전분기 − 1
유통주식수 유지 — fin.shares.common_outstanding(2026Q2)</t>
      </text>
    </comment>
    <comment ref="AN39" authorId="0" shapeId="0">
      <text>
        <t>모델값 역산(implied): v / 전분기 − 1
유통주식수 유지 — fin.shares.common_outstanding(2026Q2)</t>
      </text>
    </comment>
    <comment ref="AD40" authorId="0" shapeId="0">
      <text>
        <t>모델값 역산(implied): 모델 v 그대로
직전 결산 DPS 120원 유지</t>
      </text>
    </comment>
    <comment ref="AI40" authorId="0" shapeId="0">
      <text>
        <t>모델값 역산(implied): 모델 v 그대로
직전 결산 DPS 120원 유지</t>
      </text>
    </comment>
    <comment ref="AN40" authorId="0" shapeId="0">
      <text>
        <t>모델값 역산(implied): 모델 v 그대로
직전 결산 DPS 120원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전년동기 × (1+0.7%) — g=최근 4분기 합 YoY 0.7% 클립(−30~+50%), 연차별 절반 감쇠(가정)
[yoy]</t>
      </text>
    </comment>
    <comment ref="AD5" authorId="0" shapeId="0">
      <text>
        <t>추정: 전년동기 × (1+0.7%) — g=최근 4분기 합 YoY 0.7% 클립(−30~+50%), 연차별 절반 감쇠(가정)
[yoy]</t>
      </text>
    </comment>
    <comment ref="AF5" authorId="0" shapeId="0">
      <text>
        <t>추정: 전년동기 × (1+0.7%) — g=최근 4분기 합 YoY 0.7% 클립(−30~+50%), 연차별 절반 감쇠(가정)
[yoy]</t>
      </text>
    </comment>
    <comment ref="AG5" authorId="0" shapeId="0">
      <text>
        <t>추정: 전년동기 × (1+0.7%) — g=최근 4분기 합 YoY 0.7% 클립(−30~+50%), 연차별 절반 감쇠(가정)
[yoy]</t>
      </text>
    </comment>
    <comment ref="AH5" authorId="0" shapeId="0">
      <text>
        <t>추정: 전년동기 × (1+0.4%) — g=최근 4분기 합 YoY 0.7% 클립(−30~+50%), 연차별 절반 감쇠(가정)
[yoy]</t>
      </text>
    </comment>
    <comment ref="AI5" authorId="0" shapeId="0">
      <text>
        <t>추정: 전년동기 × (1+0.4%) — g=최근 4분기 합 YoY 0.7% 클립(−30~+50%), 연차별 절반 감쇠(가정)
[yoy]</t>
      </text>
    </comment>
    <comment ref="AK5" authorId="0" shapeId="0">
      <text>
        <t>추정: 전년동기 × (1+0.4%) — g=최근 4분기 합 YoY 0.7% 클립(−30~+50%), 연차별 절반 감쇠(가정)
[yoy]</t>
      </text>
    </comment>
    <comment ref="AL5" authorId="0" shapeId="0">
      <text>
        <t>추정: 전년동기 × (1+0.4%) — g=최근 4분기 합 YoY 0.7% 클립(−30~+50%), 연차별 절반 감쇠(가정)
[yoy]</t>
      </text>
    </comment>
    <comment ref="AM5" authorId="0" shapeId="0">
      <text>
        <t>추정: 전년동기 × (1+0.2%) — g=최근 4분기 합 YoY 0.7% 클립(−30~+50%), 연차별 절반 감쇠(가정)
[yoy]</t>
      </text>
    </comment>
    <comment ref="AN5" authorId="0" shapeId="0">
      <text>
        <t>추정: 전년동기 × (1+0.2%) — g=최근 4분기 합 YoY 0.7% 클립(−30~+50%), 연차별 절반 감쇠(가정)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13.40%(최근 4분기 중위)
[ratio]</t>
      </text>
    </comment>
    <comment ref="AD8" authorId="0" shapeId="0">
      <text>
        <t>추정: 매출액 × 판관비율 13.40%(최근 4분기 중위)
[ratio]</t>
      </text>
    </comment>
    <comment ref="AF8" authorId="0" shapeId="0">
      <text>
        <t>추정: 매출액 × 판관비율 13.40%(최근 4분기 중위)
[ratio]</t>
      </text>
    </comment>
    <comment ref="AG8" authorId="0" shapeId="0">
      <text>
        <t>추정: 매출액 × 판관비율 13.40%(최근 4분기 중위)
[ratio]</t>
      </text>
    </comment>
    <comment ref="AH8" authorId="0" shapeId="0">
      <text>
        <t>추정: 매출액 × 판관비율 13.40%(최근 4분기 중위)
[ratio]</t>
      </text>
    </comment>
    <comment ref="AI8" authorId="0" shapeId="0">
      <text>
        <t>추정: 매출액 × 판관비율 13.40%(최근 4분기 중위)
[ratio]</t>
      </text>
    </comment>
    <comment ref="AK8" authorId="0" shapeId="0">
      <text>
        <t>추정: 매출액 × 판관비율 13.40%(최근 4분기 중위)
[ratio]</t>
      </text>
    </comment>
    <comment ref="AL8" authorId="0" shapeId="0">
      <text>
        <t>추정: 매출액 × 판관비율 13.40%(최근 4분기 중위)
[ratio]</t>
      </text>
    </comment>
    <comment ref="AM8" authorId="0" shapeId="0">
      <text>
        <t>추정: 매출액 × 판관비율 13.40%(최근 4분기 중위)
[ratio]</t>
      </text>
    </comment>
    <comment ref="AN8" authorId="0" shapeId="0">
      <text>
        <t>추정: 매출액 × 판관비율 13.40%(최근 4분기 중위)
[ratio]</t>
      </text>
    </comment>
    <comment ref="AC9" authorId="0" shapeId="0">
      <text>
        <t>추정: 매출액 × OPM(최근 8분기 OPM 중위 2.7% 유지(클립 −20~40%))
[ratio]</t>
      </text>
    </comment>
    <comment ref="AD9" authorId="0" shapeId="0">
      <text>
        <t>추정: 매출액 × OPM(최근 8분기 OPM 중위 2.7% 유지(클립 −20~40%))
[ratio]</t>
      </text>
    </comment>
    <comment ref="AF9" authorId="0" shapeId="0">
      <text>
        <t>추정: 매출액 × OPM(최근 8분기 OPM 중위 2.7% 유지(클립 −20~40%))
[ratio]</t>
      </text>
    </comment>
    <comment ref="AG9" authorId="0" shapeId="0">
      <text>
        <t>추정: 매출액 × OPM(최근 8분기 OPM 중위 2.7% 유지(클립 −20~40%))
[ratio]</t>
      </text>
    </comment>
    <comment ref="AH9" authorId="0" shapeId="0">
      <text>
        <t>추정: 매출액 × OPM(최근 8분기 OPM 중위 2.7% 유지(클립 −20~40%))
[ratio]</t>
      </text>
    </comment>
    <comment ref="AI9" authorId="0" shapeId="0">
      <text>
        <t>추정: 매출액 × OPM(최근 8분기 OPM 중위 2.7% 유지(클립 −20~40%))
[ratio]</t>
      </text>
    </comment>
    <comment ref="AK9" authorId="0" shapeId="0">
      <text>
        <t>추정: 매출액 × OPM(최근 8분기 OPM 중위 2.7% 유지(클립 −20~40%))
[ratio]</t>
      </text>
    </comment>
    <comment ref="AL9" authorId="0" shapeId="0">
      <text>
        <t>추정: 매출액 × OPM(최근 8분기 OPM 중위 2.7% 유지(클립 −20~40%))
[ratio]</t>
      </text>
    </comment>
    <comment ref="AM9" authorId="0" shapeId="0">
      <text>
        <t>추정: 매출액 × OPM(최근 8분기 OPM 중위 2.7% 유지(클립 −20~40%))
[ratio]</t>
      </text>
    </comment>
    <comment ref="AN9" authorId="0" shapeId="0">
      <text>
        <t>추정: 매출액 × OPM(최근 8분기 OPM 중위 2.7% 유지(클립 −20~40%))
[ratio]</t>
      </text>
    </comment>
    <comment ref="AC10" authorId="0" shapeId="0">
      <text>
        <t>추정: 최근 8분기 OPM 중위 2.7% 유지(클립 −20~40%)
[divide]</t>
      </text>
    </comment>
    <comment ref="AD10" authorId="0" shapeId="0">
      <text>
        <t>추정: 최근 8분기 OPM 중위 2.7% 유지(클립 −20~40%)
[divide]</t>
      </text>
    </comment>
    <comment ref="AF10" authorId="0" shapeId="0">
      <text>
        <t>추정: 최근 8분기 OPM 중위 2.7% 유지(클립 −20~40%)
[divide]</t>
      </text>
    </comment>
    <comment ref="AG10" authorId="0" shapeId="0">
      <text>
        <t>추정: 최근 8분기 OPM 중위 2.7% 유지(클립 −20~40%)
[divide]</t>
      </text>
    </comment>
    <comment ref="AH10" authorId="0" shapeId="0">
      <text>
        <t>추정: 최근 8분기 OPM 중위 2.7% 유지(클립 −20~40%)
[divide]</t>
      </text>
    </comment>
    <comment ref="AI10" authorId="0" shapeId="0">
      <text>
        <t>추정: 최근 8분기 OPM 중위 2.7% 유지(클립 −20~40%)
[divide]</t>
      </text>
    </comment>
    <comment ref="AK10" authorId="0" shapeId="0">
      <text>
        <t>추정: 최근 8분기 OPM 중위 2.7% 유지(클립 −20~40%)
[divide]</t>
      </text>
    </comment>
    <comment ref="AL10" authorId="0" shapeId="0">
      <text>
        <t>추정: 최근 8분기 OPM 중위 2.7% 유지(클립 −20~40%)
[divide]</t>
      </text>
    </comment>
    <comment ref="AM10" authorId="0" shapeId="0">
      <text>
        <t>추정: 최근 8분기 OPM 중위 2.7% 유지(클립 −20~40%)
[divide]</t>
      </text>
    </comment>
    <comment ref="AN10" authorId="0" shapeId="0">
      <text>
        <t>추정: 최근 8분기 OPM 중위 2.7% 유지(클립 −20~40%)
[divide]</t>
      </text>
    </comment>
    <comment ref="AC11" authorId="0" shapeId="0">
      <text>
        <t>추정: 이자손익 + 외환손익 0 + 파생상품손익 0 + 기타금융손익 +0.00억(잔차 실측 0분기 &lt; 4 → 0) (항등식); 이자손익 = 이자발생자산 1743억 × 2.47%(CF 이자수취 ÷ 평균 이자발생자산(2025Q3~2026Q2; 주석 이자수익 0분기 &lt; 4)) − 총차입금 6080억 × 4.00%(CF 이자지급 ÷ 평균 총차입금(2025Q3~2026Q2; 주석 이자비용 0분기 &lt; 4)) (연율) ÷ 4; 환율 효과는 환관련손익 행 별도
[identity]</t>
      </text>
    </comment>
    <comment ref="AD11" authorId="0" shapeId="0">
      <text>
        <t>추정: 이자손익 + 외환손익 0 + 파생상품손익 0 + 기타금융손익 +0.00억(잔차 실측 0분기 &lt; 4 → 0) (항등식); 이자손익 = 이자발생자산 1711억 × 2.47%(CF 이자수취 ÷ 평균 이자발생자산(2025Q3~2026Q2; 주석 이자수익 0분기 &lt; 4)) − 총차입금 6080억 × 4.00%(CF 이자지급 ÷ 평균 총차입금(2025Q3~2026Q2; 주석 이자비용 0분기 &lt; 4)) (연율) ÷ 4; 환율 효과는 환관련손익 행 별도
[identity]</t>
      </text>
    </comment>
    <comment ref="AF11" authorId="0" shapeId="0">
      <text>
        <t>추정: 이자손익 + 외환손익 0 + 파생상품손익 0 + 기타금융손익 +0.00억(잔차 실측 0분기 &lt; 4 → 0) (항등식); 이자손익 = 이자발생자산 1675억 × 2.47%(CF 이자수취 ÷ 평균 이자발생자산(2025Q3~2026Q2; 주석 이자수익 0분기 &lt; 4)) − 총차입금 6080억 × 4.00%(CF 이자지급 ÷ 평균 총차입금(2025Q3~2026Q2; 주석 이자비용 0분기 &lt; 4)) (연율) ÷ 4; 환율 효과는 환관련손익 행 별도
[identity]</t>
      </text>
    </comment>
    <comment ref="AG11" authorId="0" shapeId="0">
      <text>
        <t>추정: 이자손익 + 외환손익 0 + 파생상품손익 0 + 기타금융손익 +0.00억(잔차 실측 0분기 &lt; 4 → 0) (항등식); 이자손익 = 이자발생자산 1640억 × 2.47%(CF 이자수취 ÷ 평균 이자발생자산(2025Q3~2026Q2; 주석 이자수익 0분기 &lt; 4)) − 총차입금 6080억 × 4.00%(CF 이자지급 ÷ 평균 총차입금(2025Q3~2026Q2; 주석 이자비용 0분기 &lt; 4)) (연율) ÷ 4; 환율 효과는 환관련손익 행 별도
[identity]</t>
      </text>
    </comment>
    <comment ref="AH11" authorId="0" shapeId="0">
      <text>
        <t>추정: 이자손익 + 외환손익 0 + 파생상품손익 0 + 기타금융손익 +0.00억(잔차 실측 0분기 &lt; 4 → 0) (항등식); 이자손익 = 이자발생자산 1579억 × 2.47%(CF 이자수취 ÷ 평균 이자발생자산(2025Q3~2026Q2; 주석 이자수익 0분기 &lt; 4)) − 총차입금 6080억 × 4.00%(CF 이자지급 ÷ 평균 총차입금(2025Q3~2026Q2; 주석 이자비용 0분기 &lt; 4)) (연율) ÷ 4; 환율 효과는 환관련손익 행 별도
[identity]</t>
      </text>
    </comment>
    <comment ref="AI11" authorId="0" shapeId="0">
      <text>
        <t>추정: 이자손익 + 외환손익 0 + 파생상품손익 0 + 기타금융손익 +0.00억(잔차 실측 0분기 &lt; 4 → 0) (항등식); 이자손익 = 이자발생자산 1546억 × 2.47%(CF 이자수취 ÷ 평균 이자발생자산(2025Q3~2026Q2; 주석 이자수익 0분기 &lt; 4)) − 총차입금 6080억 × 4.00%(CF 이자지급 ÷ 평균 총차입금(2025Q3~2026Q2; 주석 이자비용 0분기 &lt; 4)) (연율) ÷ 4; 환율 효과는 환관련손익 행 별도
[identity]</t>
      </text>
    </comment>
    <comment ref="AK11" authorId="0" shapeId="0">
      <text>
        <t>추정: 이자손익 + 외환손익 0 + 파생상품손익 0 + 기타금융손익 +0.00억(잔차 실측 0분기 &lt; 4 → 0) (항등식); 이자손익 = 이자발생자산 1509억 × 2.47%(CF 이자수취 ÷ 평균 이자발생자산(2025Q3~2026Q2; 주석 이자수익 0분기 &lt; 4)) − 총차입금 6080억 × 4.00%(CF 이자지급 ÷ 평균 총차입금(2025Q3~2026Q2; 주석 이자비용 0분기 &lt; 4)) (연율) ÷ 4; 환율 효과는 환관련손익 행 별도
[identity]</t>
      </text>
    </comment>
    <comment ref="AL11" authorId="0" shapeId="0">
      <text>
        <t>추정: 이자손익 + 외환손익 0 + 파생상품손익 0 + 기타금융손익 +0.00억(잔차 실측 0분기 &lt; 4 → 0) (항등식); 이자손익 = 이자발생자산 1474억 × 2.47%(CF 이자수취 ÷ 평균 이자발생자산(2025Q3~2026Q2; 주석 이자수익 0분기 &lt; 4)) − 총차입금 6080억 × 4.00%(CF 이자지급 ÷ 평균 총차입금(2025Q3~2026Q2; 주석 이자비용 0분기 &lt; 4)) (연율) ÷ 4; 환율 효과는 환관련손익 행 별도
[identity]</t>
      </text>
    </comment>
    <comment ref="AM11" authorId="0" shapeId="0">
      <text>
        <t>추정: 이자손익 + 외환손익 0 + 파생상품손익 0 + 기타금융손익 +0.00억(잔차 실측 0분기 &lt; 4 → 0) (항등식); 이자손익 = 이자발생자산 1412억 × 2.47%(CF 이자수취 ÷ 평균 이자발생자산(2025Q3~2026Q2; 주석 이자수익 0분기 &lt; 4)) − 총차입금 6080억 × 4.00%(CF 이자지급 ÷ 평균 총차입금(2025Q3~2026Q2; 주석 이자비용 0분기 &lt; 4)) (연율) ÷ 4; 환율 효과는 환관련손익 행 별도
[identity]</t>
      </text>
    </comment>
    <comment ref="AN11" authorId="0" shapeId="0">
      <text>
        <t>추정: 이자손익 + 외환손익 0 + 파생상품손익 0 + 기타금융손익 +0.00억(잔차 실측 0분기 &lt; 4 → 0) (항등식); 이자손익 = 이자발생자산 1378억 × 2.47%(CF 이자수취 ÷ 평균 이자발생자산(2025Q3~2026Q2; 주석 이자수익 0분기 &lt; 4)) − 총차입금 6080억 × 4.00%(CF 이자지급 ÷ 평균 총차입금(2025Q3~2026Q2; 주석 이자비용 0분기 &lt; 4)) (연율) ÷ 4; 환율 효과는 환관련손익 행 별도
[identity]</t>
      </text>
    </comment>
    <comment ref="AC12" authorId="0" shapeId="0">
      <text>
        <t>추정: 이자발생자산 1743억 × 2.47%(CF 이자수취 ÷ 평균 이자발생자산(2025Q3~2026Q2; 주석 이자수익 0분기 &lt; 4)) − 총차입금 6080억 × 4.00%(CF 이자지급 ÷ 평균 총차입금(2025Q3~2026Q2; 주석 이자비용 0분기 &lt; 4)) (연율) ÷ 4
[interest]</t>
      </text>
    </comment>
    <comment ref="AD12" authorId="0" shapeId="0">
      <text>
        <t>추정: 이자발생자산 1711억 × 2.47%(CF 이자수취 ÷ 평균 이자발생자산(2025Q3~2026Q2; 주석 이자수익 0분기 &lt; 4)) − 총차입금 6080억 × 4.00%(CF 이자지급 ÷ 평균 총차입금(2025Q3~2026Q2; 주석 이자비용 0분기 &lt; 4)) (연율) ÷ 4
[interest]</t>
      </text>
    </comment>
    <comment ref="AF12" authorId="0" shapeId="0">
      <text>
        <t>추정: 이자발생자산 1675억 × 2.47%(CF 이자수취 ÷ 평균 이자발생자산(2025Q3~2026Q2; 주석 이자수익 0분기 &lt; 4)) − 총차입금 6080억 × 4.00%(CF 이자지급 ÷ 평균 총차입금(2025Q3~2026Q2; 주석 이자비용 0분기 &lt; 4)) (연율) ÷ 4
[interest]</t>
      </text>
    </comment>
    <comment ref="AG12" authorId="0" shapeId="0">
      <text>
        <t>추정: 이자발생자산 1640억 × 2.47%(CF 이자수취 ÷ 평균 이자발생자산(2025Q3~2026Q2; 주석 이자수익 0분기 &lt; 4)) − 총차입금 6080억 × 4.00%(CF 이자지급 ÷ 평균 총차입금(2025Q3~2026Q2; 주석 이자비용 0분기 &lt; 4)) (연율) ÷ 4
[interest]</t>
      </text>
    </comment>
    <comment ref="AH12" authorId="0" shapeId="0">
      <text>
        <t>추정: 이자발생자산 1579억 × 2.47%(CF 이자수취 ÷ 평균 이자발생자산(2025Q3~2026Q2; 주석 이자수익 0분기 &lt; 4)) − 총차입금 6080억 × 4.00%(CF 이자지급 ÷ 평균 총차입금(2025Q3~2026Q2; 주석 이자비용 0분기 &lt; 4)) (연율) ÷ 4
[interest]</t>
      </text>
    </comment>
    <comment ref="AI12" authorId="0" shapeId="0">
      <text>
        <t>추정: 이자발생자산 1546억 × 2.47%(CF 이자수취 ÷ 평균 이자발생자산(2025Q3~2026Q2; 주석 이자수익 0분기 &lt; 4)) − 총차입금 6080억 × 4.00%(CF 이자지급 ÷ 평균 총차입금(2025Q3~2026Q2; 주석 이자비용 0분기 &lt; 4)) (연율) ÷ 4
[interest]</t>
      </text>
    </comment>
    <comment ref="AK12" authorId="0" shapeId="0">
      <text>
        <t>추정: 이자발생자산 1509억 × 2.47%(CF 이자수취 ÷ 평균 이자발생자산(2025Q3~2026Q2; 주석 이자수익 0분기 &lt; 4)) − 총차입금 6080억 × 4.00%(CF 이자지급 ÷ 평균 총차입금(2025Q3~2026Q2; 주석 이자비용 0분기 &lt; 4)) (연율) ÷ 4
[interest]</t>
      </text>
    </comment>
    <comment ref="AL12" authorId="0" shapeId="0">
      <text>
        <t>추정: 이자발생자산 1474억 × 2.47%(CF 이자수취 ÷ 평균 이자발생자산(2025Q3~2026Q2; 주석 이자수익 0분기 &lt; 4)) − 총차입금 6080억 × 4.00%(CF 이자지급 ÷ 평균 총차입금(2025Q3~2026Q2; 주석 이자비용 0분기 &lt; 4)) (연율) ÷ 4
[interest]</t>
      </text>
    </comment>
    <comment ref="AM12" authorId="0" shapeId="0">
      <text>
        <t>추정: 이자발생자산 1412억 × 2.47%(CF 이자수취 ÷ 평균 이자발생자산(2025Q3~2026Q2; 주석 이자수익 0분기 &lt; 4)) − 총차입금 6080억 × 4.00%(CF 이자지급 ÷ 평균 총차입금(2025Q3~2026Q2; 주석 이자비용 0분기 &lt; 4)) (연율) ÷ 4
[interest]</t>
      </text>
    </comment>
    <comment ref="AN12" authorId="0" shapeId="0">
      <text>
        <t>추정: 이자발생자산 1378억 × 2.47%(CF 이자수취 ÷ 평균 이자발생자산(2025Q3~2026Q2; 주석 이자수익 0분기 &lt; 4)) − 총차입금 6080억 × 4.00%(CF 이자지급 ÷ 평균 총차입금(2025Q3~2026Q2; 주석 이자비용 0분기 &lt; 4)) (연율) ÷ 4
[interest]</t>
      </text>
    </comment>
    <comment ref="AC13" authorId="0" shapeId="0">
      <text>
        <t>추정: 일회성 미가정 → 0
[abs]</t>
      </text>
    </comment>
    <comment ref="AD13" authorId="0" shapeId="0">
      <text>
        <t>추정: 일회성 미가정 → 0
[abs]</t>
      </text>
    </comment>
    <comment ref="AF13" authorId="0" shapeId="0">
      <text>
        <t>추정: 일회성 미가정 → 0
[abs]</t>
      </text>
    </comment>
    <comment ref="AG13" authorId="0" shapeId="0">
      <text>
        <t>추정: 일회성 미가정 → 0
[abs]</t>
      </text>
    </comment>
    <comment ref="AH13" authorId="0" shapeId="0">
      <text>
        <t>추정: 일회성 미가정 → 0
[abs]</t>
      </text>
    </comment>
    <comment ref="AI13" authorId="0" shapeId="0">
      <text>
        <t>추정: 일회성 미가정 → 0
[abs]</t>
      </text>
    </comment>
    <comment ref="AK13" authorId="0" shapeId="0">
      <text>
        <t>추정: 일회성 미가정 → 0
[abs]</t>
      </text>
    </comment>
    <comment ref="AL13" authorId="0" shapeId="0">
      <text>
        <t>추정: 일회성 미가정 → 0
[abs]</t>
      </text>
    </comment>
    <comment ref="AM13" authorId="0" shapeId="0">
      <text>
        <t>추정: 일회성 미가정 → 0
[abs]</t>
      </text>
    </comment>
    <comment ref="AN13" authorId="0" shapeId="0">
      <text>
        <t>추정: 일회성 미가정 → 0
[abs]</t>
      </text>
    </comment>
    <comment ref="AC14" authorId="0" shapeId="0">
      <text>
        <t>추정: 최근 4분기 중위
[abs]</t>
      </text>
    </comment>
    <comment ref="AD14" authorId="0" shapeId="0">
      <text>
        <t>추정: 최근 4분기 중위
[abs]</t>
      </text>
    </comment>
    <comment ref="AF14" authorId="0" shapeId="0">
      <text>
        <t>추정: 최근 4분기 중위
[abs]</t>
      </text>
    </comment>
    <comment ref="AG14" authorId="0" shapeId="0">
      <text>
        <t>추정: 최근 4분기 중위
[abs]</t>
      </text>
    </comment>
    <comment ref="AH14" authorId="0" shapeId="0">
      <text>
        <t>추정: 최근 4분기 중위
[abs]</t>
      </text>
    </comment>
    <comment ref="AI14" authorId="0" shapeId="0">
      <text>
        <t>추정: 최근 4분기 중위
[abs]</t>
      </text>
    </comment>
    <comment ref="AK14" authorId="0" shapeId="0">
      <text>
        <t>추정: 최근 4분기 중위
[abs]</t>
      </text>
    </comment>
    <comment ref="AL14" authorId="0" shapeId="0">
      <text>
        <t>추정: 최근 4분기 중위
[abs]</t>
      </text>
    </comment>
    <comment ref="AM14" authorId="0" shapeId="0">
      <text>
        <t>추정: 최근 4분기 중위
[abs]</t>
      </text>
    </comment>
    <comment ref="AN14" authorId="0" shapeId="0">
      <text>
        <t>추정: 최근 4분기 중위
[abs]</t>
      </text>
    </comment>
    <comment ref="AC15" authorId="0" shapeId="0">
      <text>
        <t>추정: 영업이익 + 금융손익 + 기타영업외 + 지분법 + 환관련(항등식)
[identity]</t>
      </text>
    </comment>
    <comment ref="AD15" authorId="0" shapeId="0">
      <text>
        <t>추정: 영업이익 + 금융손익 + 기타영업외 + 지분법 + 환관련(항등식)
[identity]</t>
      </text>
    </comment>
    <comment ref="AF15" authorId="0" shapeId="0">
      <text>
        <t>추정: 영업이익 + 금융손익 + 기타영업외 + 지분법 + 환관련(항등식)
[identity]</t>
      </text>
    </comment>
    <comment ref="AG15" authorId="0" shapeId="0">
      <text>
        <t>추정: 영업이익 + 금융손익 + 기타영업외 + 지분법 + 환관련(항등식)
[identity]</t>
      </text>
    </comment>
    <comment ref="AH15" authorId="0" shapeId="0">
      <text>
        <t>추정: 영업이익 + 금융손익 + 기타영업외 + 지분법 + 환관련(항등식)
[identity]</t>
      </text>
    </comment>
    <comment ref="AI15" authorId="0" shapeId="0">
      <text>
        <t>추정: 영업이익 + 금융손익 + 기타영업외 + 지분법 + 환관련(항등식)
[identity]</t>
      </text>
    </comment>
    <comment ref="AK15" authorId="0" shapeId="0">
      <text>
        <t>추정: 영업이익 + 금융손익 + 기타영업외 + 지분법 + 환관련(항등식)
[identity]</t>
      </text>
    </comment>
    <comment ref="AL15" authorId="0" shapeId="0">
      <text>
        <t>추정: 영업이익 + 금융손익 + 기타영업외 + 지분법 + 환관련(항등식)
[identity]</t>
      </text>
    </comment>
    <comment ref="AM15" authorId="0" shapeId="0">
      <text>
        <t>추정: 영업이익 + 금융손익 + 기타영업외 + 지분법 + 환관련(항등식)
[identity]</t>
      </text>
    </comment>
    <comment ref="AN15" authorId="0" shapeId="0">
      <text>
        <t>추정: 영업이익 + 금융손익 + 기타영업외 + 지분법 + 환관련(항등식)
[identity]</t>
      </text>
    </comment>
    <comment ref="AC16" authorId="0" shapeId="0">
      <text>
        <t>추정: max(세전, 0) × 세율 24.0%(최근 12분기 유효세율 28.1% 가 5~27% 밖 → 클립 대신 최근 8분기 중 세전 &gt; 0 인 5분기(2024Q3~2026Q2)의 법인세/세전 중위 24.0%)
[tax]</t>
      </text>
    </comment>
    <comment ref="AD16" authorId="0" shapeId="0">
      <text>
        <t>추정: max(세전, 0) × 세율 24.0%(최근 12분기 유효세율 28.1% 가 5~27% 밖 → 클립 대신 최근 8분기 중 세전 &gt; 0 인 5분기(2024Q3~2026Q2)의 법인세/세전 중위 24.0%)
[tax]</t>
      </text>
    </comment>
    <comment ref="AF16" authorId="0" shapeId="0">
      <text>
        <t>추정: max(세전, 0) × 세율 24.0%(최근 12분기 유효세율 28.1% 가 5~27% 밖 → 클립 대신 최근 8분기 중 세전 &gt; 0 인 5분기(2024Q3~2026Q2)의 법인세/세전 중위 24.0%)
[tax]</t>
      </text>
    </comment>
    <comment ref="AG16" authorId="0" shapeId="0">
      <text>
        <t>추정: max(세전, 0) × 세율 24.0%(최근 12분기 유효세율 28.1% 가 5~27% 밖 → 클립 대신 최근 8분기 중 세전 &gt; 0 인 5분기(2024Q3~2026Q2)의 법인세/세전 중위 24.0%)
[tax]</t>
      </text>
    </comment>
    <comment ref="AH16" authorId="0" shapeId="0">
      <text>
        <t>추정: max(세전, 0) × 세율 24.0%(최근 12분기 유효세율 28.1% 가 5~27% 밖 → 클립 대신 최근 8분기 중 세전 &gt; 0 인 5분기(2024Q3~2026Q2)의 법인세/세전 중위 24.0%)
[tax]</t>
      </text>
    </comment>
    <comment ref="AI16" authorId="0" shapeId="0">
      <text>
        <t>추정: max(세전, 0) × 세율 24.0%(최근 12분기 유효세율 28.1% 가 5~27% 밖 → 클립 대신 최근 8분기 중 세전 &gt; 0 인 5분기(2024Q3~2026Q2)의 법인세/세전 중위 24.0%)
[tax]</t>
      </text>
    </comment>
    <comment ref="AK16" authorId="0" shapeId="0">
      <text>
        <t>추정: max(세전, 0) × 세율 24.0%(최근 12분기 유효세율 28.1% 가 5~27% 밖 → 클립 대신 최근 8분기 중 세전 &gt; 0 인 5분기(2024Q3~2026Q2)의 법인세/세전 중위 24.0%)
[tax]</t>
      </text>
    </comment>
    <comment ref="AL16" authorId="0" shapeId="0">
      <text>
        <t>추정: max(세전, 0) × 세율 24.0%(최근 12분기 유효세율 28.1% 가 5~27% 밖 → 클립 대신 최근 8분기 중 세전 &gt; 0 인 5분기(2024Q3~2026Q2)의 법인세/세전 중위 24.0%)
[tax]</t>
      </text>
    </comment>
    <comment ref="AM16" authorId="0" shapeId="0">
      <text>
        <t>추정: max(세전, 0) × 세율 24.0%(최근 12분기 유효세율 28.1% 가 5~27% 밖 → 클립 대신 최근 8분기 중 세전 &gt; 0 인 5분기(2024Q3~2026Q2)의 법인세/세전 중위 24.0%)
[tax]</t>
      </text>
    </comment>
    <comment ref="AN16" authorId="0" shapeId="0">
      <text>
        <t>추정: max(세전, 0) × 세율 24.0%(최근 12분기 유효세율 28.1% 가 5~27% 밖 → 클립 대신 최근 8분기 중 세전 &gt; 0 인 5분기(2024Q3~2026Q2)의 법인세/세전 중위 24.0%)
[tax]</t>
      </text>
    </comment>
    <comment ref="AC17" authorId="0" shapeId="0">
      <text>
        <t>추정: 세전이익 − 법인세비용(항등식)
[identity]</t>
      </text>
    </comment>
    <comment ref="AD17" authorId="0" shapeId="0">
      <text>
        <t>추정: 세전이익 − 법인세비용(항등식)
[identity]</t>
      </text>
    </comment>
    <comment ref="AF17" authorId="0" shapeId="0">
      <text>
        <t>추정: 세전이익 − 법인세비용(항등식)
[identity]</t>
      </text>
    </comment>
    <comment ref="AG17" authorId="0" shapeId="0">
      <text>
        <t>추정: 세전이익 − 법인세비용(항등식)
[identity]</t>
      </text>
    </comment>
    <comment ref="AH17" authorId="0" shapeId="0">
      <text>
        <t>추정: 세전이익 − 법인세비용(항등식)
[identity]</t>
      </text>
    </comment>
    <comment ref="AI17" authorId="0" shapeId="0">
      <text>
        <t>추정: 세전이익 − 법인세비용(항등식)
[identity]</t>
      </text>
    </comment>
    <comment ref="AK17" authorId="0" shapeId="0">
      <text>
        <t>추정: 세전이익 − 법인세비용(항등식)
[identity]</t>
      </text>
    </comment>
    <comment ref="AL17" authorId="0" shapeId="0">
      <text>
        <t>추정: 세전이익 − 법인세비용(항등식)
[identity]</t>
      </text>
    </comment>
    <comment ref="AM17" authorId="0" shapeId="0">
      <text>
        <t>추정: 세전이익 − 법인세비용(항등식)
[identity]</t>
      </text>
    </comment>
    <comment ref="AN17" authorId="0" shapeId="0">
      <text>
        <t>추정: 세전이익 − 법인세비용(항등식)
[identity]</t>
      </text>
    </comment>
    <comment ref="AC18" authorId="0" shapeId="0">
      <text>
        <t>추정: 당기순이익 × (1 − 비지배 비중 0.0%, 최근 8분기 실측)
[ratio]</t>
      </text>
    </comment>
    <comment ref="AD18" authorId="0" shapeId="0">
      <text>
        <t>추정: 당기순이익 × (1 − 비지배 비중 0.0%, 최근 8분기 실측)
[ratio]</t>
      </text>
    </comment>
    <comment ref="AF18" authorId="0" shapeId="0">
      <text>
        <t>추정: 당기순이익 × (1 − 비지배 비중 0.0%, 최근 8분기 실측)
[ratio]</t>
      </text>
    </comment>
    <comment ref="AG18" authorId="0" shapeId="0">
      <text>
        <t>추정: 당기순이익 × (1 − 비지배 비중 0.0%, 최근 8분기 실측)
[ratio]</t>
      </text>
    </comment>
    <comment ref="AH18" authorId="0" shapeId="0">
      <text>
        <t>추정: 당기순이익 × (1 − 비지배 비중 0.0%, 최근 8분기 실측)
[ratio]</t>
      </text>
    </comment>
    <comment ref="AI18" authorId="0" shapeId="0">
      <text>
        <t>추정: 당기순이익 × (1 − 비지배 비중 0.0%, 최근 8분기 실측)
[ratio]</t>
      </text>
    </comment>
    <comment ref="AK18" authorId="0" shapeId="0">
      <text>
        <t>추정: 당기순이익 × (1 − 비지배 비중 0.0%, 최근 8분기 실측)
[ratio]</t>
      </text>
    </comment>
    <comment ref="AL18" authorId="0" shapeId="0">
      <text>
        <t>추정: 당기순이익 × (1 − 비지배 비중 0.0%, 최근 8분기 실측)
[ratio]</t>
      </text>
    </comment>
    <comment ref="AM18" authorId="0" shapeId="0">
      <text>
        <t>추정: 당기순이익 × (1 − 비지배 비중 0.0%, 최근 8분기 실측)
[ratio]</t>
      </text>
    </comment>
    <comment ref="AN18" authorId="0" shapeId="0">
      <text>
        <t>추정: 당기순이익 × (1 − 비지배 비중 0.0%, 최근 8분기 실측)
[ratio]</t>
      </text>
    </comment>
    <comment ref="AC20" authorId="0" shapeId="0">
      <text>
        <t>추정: 최근 4분기 감가상각비 중위 유지
[abs]</t>
      </text>
    </comment>
    <comment ref="AD20" authorId="0" shapeId="0">
      <text>
        <t>추정: 최근 4분기 감가상각비 중위 유지
[abs]</t>
      </text>
    </comment>
    <comment ref="AF20" authorId="0" shapeId="0">
      <text>
        <t>추정: 최근 4분기 감가상각비 중위 유지
[abs]</t>
      </text>
    </comment>
    <comment ref="AG20" authorId="0" shapeId="0">
      <text>
        <t>추정: 최근 4분기 감가상각비 중위 유지
[abs]</t>
      </text>
    </comment>
    <comment ref="AH20" authorId="0" shapeId="0">
      <text>
        <t>추정: 최근 4분기 감가상각비 중위 유지
[abs]</t>
      </text>
    </comment>
    <comment ref="AI20" authorId="0" shapeId="0">
      <text>
        <t>추정: 최근 4분기 감가상각비 중위 유지
[abs]</t>
      </text>
    </comment>
    <comment ref="AK20" authorId="0" shapeId="0">
      <text>
        <t>추정: 최근 4분기 감가상각비 중위 유지
[abs]</t>
      </text>
    </comment>
    <comment ref="AL20" authorId="0" shapeId="0">
      <text>
        <t>추정: 최근 4분기 감가상각비 중위 유지
[abs]</t>
      </text>
    </comment>
    <comment ref="AM20" authorId="0" shapeId="0">
      <text>
        <t>추정: 최근 4분기 감가상각비 중위 유지
[abs]</t>
      </text>
    </comment>
    <comment ref="AN20" authorId="0" shapeId="0">
      <text>
        <t>추정: 최근 4분기 감가상각비 중위 유지
[abs]</t>
      </text>
    </comment>
    <comment ref="E21" authorId="0" shapeId="0">
      <text>
        <t>실측(계정 매핑 없음(파생·부문·시세 행) — 모델값 직접) — 영업이익 + 감가상각비(CF)</t>
      </text>
    </comment>
    <comment ref="G21" authorId="0" shapeId="0">
      <text>
        <t>실측(계정 매핑 없음(파생·부문·시세 행) — 모델값 직접) — 영업이익 + 감가상각비(CF)</t>
      </text>
    </comment>
    <comment ref="H21" authorId="0" shapeId="0">
      <text>
        <t>실측(계정 매핑 없음(파생·부문·시세 행) — 모델값 직접) — 영업이익 + 감가상각비(CF)</t>
      </text>
    </comment>
    <comment ref="I21" authorId="0" shapeId="0">
      <text>
        <t>실측(계정 매핑 없음(파생·부문·시세 행) — 모델값 직접) — 영업이익 + 감가상각비(CF)</t>
      </text>
    </comment>
    <comment ref="J21" authorId="0" shapeId="0">
      <text>
        <t>실측(계정 매핑 없음(파생·부문·시세 행) — 모델값 직접) — 영업이익 + 감가상각비(CF)</t>
      </text>
    </comment>
    <comment ref="L21" authorId="0" shapeId="0">
      <text>
        <t>실측(계정 매핑 없음(파생·부문·시세 행) — 모델값 직접) — 영업이익 + 감가상각비(CF)</t>
      </text>
    </comment>
    <comment ref="M21" authorId="0" shapeId="0">
      <text>
        <t>실측(계정 매핑 없음(파생·부문·시세 행) — 모델값 직접) — 영업이익 + 감가상각비(CF)</t>
      </text>
    </comment>
    <comment ref="N21" authorId="0" shapeId="0">
      <text>
        <t>실측(계정 매핑 없음(파생·부문·시세 행) — 모델값 직접) — 영업이익 + 감가상각비(CF)</t>
      </text>
    </comment>
    <comment ref="O21" authorId="0" shapeId="0">
      <text>
        <t>실측(계정 매핑 없음(파생·부문·시세 행) — 모델값 직접) — 영업이익 + 감가상각비(CF)</t>
      </text>
    </comment>
    <comment ref="Q21" authorId="0" shapeId="0">
      <text>
        <t>실측(계정 매핑 없음(파생·부문·시세 행) — 모델값 직접) — 영업이익 + 감가상각비(CF)</t>
      </text>
    </comment>
    <comment ref="R21" authorId="0" shapeId="0">
      <text>
        <t>실측(계정 매핑 없음(파생·부문·시세 행) — 모델값 직접) — 영업이익 + 감가상각비(CF)</t>
      </text>
    </comment>
    <comment ref="S21" authorId="0" shapeId="0">
      <text>
        <t>실측(계정 매핑 없음(파생·부문·시세 행) — 모델값 직접) — 영업이익 + 감가상각비(CF)</t>
      </text>
    </comment>
    <comment ref="T21" authorId="0" shapeId="0">
      <text>
        <t>실측(계정 매핑 없음(파생·부문·시세 행) — 모델값 직접) — 영업이익 + 감가상각비(CF)</t>
      </text>
    </comment>
    <comment ref="V21" authorId="0" shapeId="0">
      <text>
        <t>실측(계정 매핑 없음(파생·부문·시세 행) — 모델값 직접) — 영업이익 + 감가상각비(CF)</t>
      </text>
    </comment>
    <comment ref="W21" authorId="0" shapeId="0">
      <text>
        <t>실측(계정 매핑 없음(파생·부문·시세 행) — 모델값 직접) — 영업이익 + 감가상각비(CF)</t>
      </text>
    </comment>
    <comment ref="X21" authorId="0" shapeId="0">
      <text>
        <t>실측(계정 매핑 없음(파생·부문·시세 행) — 모델값 직접) — 영업이익 + 감가상각비(CF)</t>
      </text>
    </comment>
    <comment ref="Y21" authorId="0" shapeId="0">
      <text>
        <t>실측(계정 매핑 없음(파생·부문·시세 행) — 모델값 직접) — 영업이익 + 감가상각비(CF)</t>
      </text>
    </comment>
    <comment ref="AA21" authorId="0" shapeId="0">
      <text>
        <t>실측(계정 매핑 없음(파생·부문·시세 행) — 모델값 직접) — 영업이익 + 감가상각비(CF)</t>
      </text>
    </comment>
    <comment ref="AB21" authorId="0" shapeId="0">
      <text>
        <t>실측(계정 매핑 없음(파생·부문·시세 행) — 모델값 직접) — 영업이익 + 감가상각비(CF)</t>
      </text>
    </comment>
    <comment ref="AC21" authorId="0" shapeId="0">
      <text>
        <t>추정: 영업이익 + 감가상각비
[identity]</t>
      </text>
    </comment>
    <comment ref="AD21" authorId="0" shapeId="0">
      <text>
        <t>추정: 영업이익 + 감가상각비
[identity]</t>
      </text>
    </comment>
    <comment ref="AF21" authorId="0" shapeId="0">
      <text>
        <t>추정: 영업이익 + 감가상각비
[identity]</t>
      </text>
    </comment>
    <comment ref="AG21" authorId="0" shapeId="0">
      <text>
        <t>추정: 영업이익 + 감가상각비
[identity]</t>
      </text>
    </comment>
    <comment ref="AH21" authorId="0" shapeId="0">
      <text>
        <t>추정: 영업이익 + 감가상각비
[identity]</t>
      </text>
    </comment>
    <comment ref="AI21" authorId="0" shapeId="0">
      <text>
        <t>추정: 영업이익 + 감가상각비
[identity]</t>
      </text>
    </comment>
    <comment ref="AK21" authorId="0" shapeId="0">
      <text>
        <t>추정: 영업이익 + 감가상각비
[identity]</t>
      </text>
    </comment>
    <comment ref="AL21" authorId="0" shapeId="0">
      <text>
        <t>추정: 영업이익 + 감가상각비
[identity]</t>
      </text>
    </comment>
    <comment ref="AM21" authorId="0" shapeId="0">
      <text>
        <t>추정: 영업이익 + 감가상각비
[identity]</t>
      </text>
    </comment>
    <comment ref="AN21" authorId="0" shapeId="0">
      <text>
        <t>추정: 영업이익 + 감가상각비
[identity]</t>
      </text>
    </comment>
    <comment ref="AC22" authorId="0" shapeId="0">
      <text>
        <t>추정: 부채총계 + 자본총계(항등식)
[identity]</t>
      </text>
    </comment>
    <comment ref="AD22" authorId="0" shapeId="0">
      <text>
        <t>추정: 부채총계 + 자본총계(항등식)
[identity]</t>
      </text>
    </comment>
    <comment ref="AF22" authorId="0" shapeId="0">
      <text>
        <t>추정: 부채총계 + 자본총계(항등식)
[identity]</t>
      </text>
    </comment>
    <comment ref="AG22" authorId="0" shapeId="0">
      <text>
        <t>추정: 부채총계 + 자본총계(항등식)
[identity]</t>
      </text>
    </comment>
    <comment ref="AH22" authorId="0" shapeId="0">
      <text>
        <t>추정: 부채총계 + 자본총계(항등식)
[identity]</t>
      </text>
    </comment>
    <comment ref="AI22" authorId="0" shapeId="0">
      <text>
        <t>추정: 부채총계 + 자본총계(항등식)
[identity]</t>
      </text>
    </comment>
    <comment ref="AK22" authorId="0" shapeId="0">
      <text>
        <t>추정: 부채총계 + 자본총계(항등식)
[identity]</t>
      </text>
    </comment>
    <comment ref="AL22" authorId="0" shapeId="0">
      <text>
        <t>추정: 부채총계 + 자본총계(항등식)
[identity]</t>
      </text>
    </comment>
    <comment ref="AM22" authorId="0" shapeId="0">
      <text>
        <t>추정: 부채총계 + 자본총계(항등식)
[identity]</t>
      </text>
    </comment>
    <comment ref="AN22" authorId="0" shapeId="0">
      <text>
        <t>추정: 부채총계 + 자본총계(항등식)
[identity]</t>
      </text>
    </comment>
    <comment ref="AC23" authorId="0" shapeId="0">
      <text>
        <t>추정: 마지막 실적 유지(가정)
[qoq]</t>
      </text>
    </comment>
    <comment ref="AD23" authorId="0" shapeId="0">
      <text>
        <t>추정: 마지막 실적 유지(가정)
[qoq]</t>
      </text>
    </comment>
    <comment ref="AF23" authorId="0" shapeId="0">
      <text>
        <t>추정: 마지막 실적 유지(가정)
[qoq]</t>
      </text>
    </comment>
    <comment ref="AG23" authorId="0" shapeId="0">
      <text>
        <t>추정: 마지막 실적 유지(가정)
[qoq]</t>
      </text>
    </comment>
    <comment ref="AH23" authorId="0" shapeId="0">
      <text>
        <t>추정: 마지막 실적 유지(가정)
[qoq]</t>
      </text>
    </comment>
    <comment ref="AI23" authorId="0" shapeId="0">
      <text>
        <t>추정: 마지막 실적 유지(가정)
[qoq]</t>
      </text>
    </comment>
    <comment ref="AK23" authorId="0" shapeId="0">
      <text>
        <t>추정: 마지막 실적 유지(가정)
[qoq]</t>
      </text>
    </comment>
    <comment ref="AL23" authorId="0" shapeId="0">
      <text>
        <t>추정: 마지막 실적 유지(가정)
[qoq]</t>
      </text>
    </comment>
    <comment ref="AM23" authorId="0" shapeId="0">
      <text>
        <t>추정: 마지막 실적 유지(가정)
[qoq]</t>
      </text>
    </comment>
    <comment ref="AN23" authorId="0" shapeId="0">
      <text>
        <t>추정: 마지막 실적 유지(가정)
[qoq]</t>
      </text>
    </comment>
    <comment ref="AC24" authorId="0" shapeId="0">
      <text>
        <t>추정: 전분기 + 당기순이익 − 배당(Q2 지급 가정)
[roll]</t>
      </text>
    </comment>
    <comment ref="AD24" authorId="0" shapeId="0">
      <text>
        <t>추정: 전분기 + 당기순이익 − 배당(Q2 지급 가정)
[roll]</t>
      </text>
    </comment>
    <comment ref="AF24" authorId="0" shapeId="0">
      <text>
        <t>추정: 전분기 + 당기순이익 − 배당(Q2 지급 가정)
[roll]</t>
      </text>
    </comment>
    <comment ref="AG24" authorId="0" shapeId="0">
      <text>
        <t>추정: 전분기 + 당기순이익 − 배당(Q2 지급 가정)
[roll]</t>
      </text>
    </comment>
    <comment ref="AH24" authorId="0" shapeId="0">
      <text>
        <t>추정: 전분기 + 당기순이익 − 배당(Q2 지급 가정)
[roll]</t>
      </text>
    </comment>
    <comment ref="AI24" authorId="0" shapeId="0">
      <text>
        <t>추정: 전분기 + 당기순이익 − 배당(Q2 지급 가정)
[roll]</t>
      </text>
    </comment>
    <comment ref="AK24" authorId="0" shapeId="0">
      <text>
        <t>추정: 전분기 + 당기순이익 − 배당(Q2 지급 가정)
[roll]</t>
      </text>
    </comment>
    <comment ref="AL24" authorId="0" shapeId="0">
      <text>
        <t>추정: 전분기 + 당기순이익 − 배당(Q2 지급 가정)
[roll]</t>
      </text>
    </comment>
    <comment ref="AM24" authorId="0" shapeId="0">
      <text>
        <t>추정: 전분기 + 당기순이익 − 배당(Q2 지급 가정)
[roll]</t>
      </text>
    </comment>
    <comment ref="AN24" authorId="0" shapeId="0">
      <text>
        <t>추정: 전분기 + 당기순이익 − 배당(Q2 지급 가정)
[roll]</t>
      </text>
    </comment>
    <comment ref="AC25" authorId="0" shapeId="0">
      <text>
        <t>추정: 전분기 + 지배주주순이익 − 배당
[roll]</t>
      </text>
    </comment>
    <comment ref="AD25" authorId="0" shapeId="0">
      <text>
        <t>추정: 전분기 + 지배주주순이익 − 배당
[roll]</t>
      </text>
    </comment>
    <comment ref="AF25" authorId="0" shapeId="0">
      <text>
        <t>추정: 전분기 + 지배주주순이익 − 배당
[roll]</t>
      </text>
    </comment>
    <comment ref="AG25" authorId="0" shapeId="0">
      <text>
        <t>추정: 전분기 + 지배주주순이익 − 배당
[roll]</t>
      </text>
    </comment>
    <comment ref="AH25" authorId="0" shapeId="0">
      <text>
        <t>추정: 전분기 + 지배주주순이익 − 배당
[roll]</t>
      </text>
    </comment>
    <comment ref="AI25" authorId="0" shapeId="0">
      <text>
        <t>추정: 전분기 + 지배주주순이익 − 배당
[roll]</t>
      </text>
    </comment>
    <comment ref="AK25" authorId="0" shapeId="0">
      <text>
        <t>추정: 전분기 + 지배주주순이익 − 배당
[roll]</t>
      </text>
    </comment>
    <comment ref="AL25" authorId="0" shapeId="0">
      <text>
        <t>추정: 전분기 + 지배주주순이익 − 배당
[roll]</t>
      </text>
    </comment>
    <comment ref="AM25" authorId="0" shapeId="0">
      <text>
        <t>추정: 전분기 + 지배주주순이익 − 배당
[roll]</t>
      </text>
    </comment>
    <comment ref="AN25" authorId="0" shapeId="0">
      <text>
        <t>추정: 전분기 + 지배주주순이익 − 배당
[roll]</t>
      </text>
    </comment>
    <comment ref="AC26" authorId="0" shapeId="0">
      <text>
        <t>추정: 마지막 실적 유지(가정)
[qoq]</t>
      </text>
    </comment>
    <comment ref="AD26" authorId="0" shapeId="0">
      <text>
        <t>추정: 마지막 실적 유지(가정)
[qoq]</t>
      </text>
    </comment>
    <comment ref="AF26" authorId="0" shapeId="0">
      <text>
        <t>추정: 마지막 실적 유지(가정)
[qoq]</t>
      </text>
    </comment>
    <comment ref="AG26" authorId="0" shapeId="0">
      <text>
        <t>추정: 마지막 실적 유지(가정)
[qoq]</t>
      </text>
    </comment>
    <comment ref="AH26" authorId="0" shapeId="0">
      <text>
        <t>추정: 마지막 실적 유지(가정)
[qoq]</t>
      </text>
    </comment>
    <comment ref="AI26" authorId="0" shapeId="0">
      <text>
        <t>추정: 마지막 실적 유지(가정)
[qoq]</t>
      </text>
    </comment>
    <comment ref="AK26" authorId="0" shapeId="0">
      <text>
        <t>추정: 마지막 실적 유지(가정)
[qoq]</t>
      </text>
    </comment>
    <comment ref="AL26" authorId="0" shapeId="0">
      <text>
        <t>추정: 마지막 실적 유지(가정)
[qoq]</t>
      </text>
    </comment>
    <comment ref="AM26" authorId="0" shapeId="0">
      <text>
        <t>추정: 마지막 실적 유지(가정)
[qoq]</t>
      </text>
    </comment>
    <comment ref="AN26" authorId="0" shapeId="0">
      <text>
        <t>추정: 마지막 실적 유지(가정)
[qoq]</t>
      </text>
    </comment>
    <comment ref="AC27" authorId="0" shapeId="0">
      <text>
        <t>추정: 전분기 − FCF 근사[순이익 + 감가상각비 158억 − CAPEX 202억(각 최근 4분기 중위) − 배당] (운전자본 불변·총차입금 유지 가정 → 변동은 전부 현금)
[qoq]</t>
      </text>
    </comment>
    <comment ref="AD27" authorId="0" shapeId="0">
      <text>
        <t>추정: 전분기 − FCF 근사[순이익 + 감가상각비 158억 − CAPEX 202억(각 최근 4분기 중위) − 배당] (운전자본 불변·총차입금 유지 가정 → 변동은 전부 현금)
[qoq]</t>
      </text>
    </comment>
    <comment ref="AF27" authorId="0" shapeId="0">
      <text>
        <t>추정: 전분기 − FCF 근사[순이익 + 감가상각비 158억 − CAPEX 202억(각 최근 4분기 중위) − 배당] (운전자본 불변·총차입금 유지 가정 → 변동은 전부 현금)
[qoq]</t>
      </text>
    </comment>
    <comment ref="AG27" authorId="0" shapeId="0">
      <text>
        <t>추정: 전분기 − FCF 근사[순이익 + 감가상각비 158억 − CAPEX 202억(각 최근 4분기 중위) − 배당] (운전자본 불변·총차입금 유지 가정 → 변동은 전부 현금)
[qoq]</t>
      </text>
    </comment>
    <comment ref="AH27" authorId="0" shapeId="0">
      <text>
        <t>추정: 전분기 − FCF 근사[순이익 + 감가상각비 158억 − CAPEX 202억(각 최근 4분기 중위) − 배당] (운전자본 불변·총차입금 유지 가정 → 변동은 전부 현금)
[qoq]</t>
      </text>
    </comment>
    <comment ref="AI27" authorId="0" shapeId="0">
      <text>
        <t>추정: 전분기 − FCF 근사[순이익 + 감가상각비 158억 − CAPEX 202억(각 최근 4분기 중위) − 배당] (운전자본 불변·총차입금 유지 가정 → 변동은 전부 현금)
[qoq]</t>
      </text>
    </comment>
    <comment ref="AK27" authorId="0" shapeId="0">
      <text>
        <t>추정: 전분기 − FCF 근사[순이익 + 감가상각비 158억 − CAPEX 202억(각 최근 4분기 중위) − 배당] (운전자본 불변·총차입금 유지 가정 → 변동은 전부 현금)
[qoq]</t>
      </text>
    </comment>
    <comment ref="AL27" authorId="0" shapeId="0">
      <text>
        <t>추정: 전분기 − FCF 근사[순이익 + 감가상각비 158억 − CAPEX 202억(각 최근 4분기 중위) − 배당] (운전자본 불변·총차입금 유지 가정 → 변동은 전부 현금)
[qoq]</t>
      </text>
    </comment>
    <comment ref="AM27" authorId="0" shapeId="0">
      <text>
        <t>추정: 전분기 − FCF 근사[순이익 + 감가상각비 158억 − CAPEX 202억(각 최근 4분기 중위) − 배당] (운전자본 불변·총차입금 유지 가정 → 변동은 전부 현금)
[qoq]</t>
      </text>
    </comment>
    <comment ref="AN27" authorId="0" shapeId="0">
      <text>
        <t>추정: 전분기 − FCF 근사[순이익 + 감가상각비 158억 − CAPEX 202억(각 최근 4분기 중위) − 배당] (운전자본 불변·총차입금 유지 가정 → 변동은 전부 현금)
[qoq]</t>
      </text>
    </comment>
    <comment ref="AC28" authorId="0" shapeId="0">
      <text>
        <t>추정: 전분기 + FCF 근사 — 순차입금 롤과 같은 가정
[qoq]</t>
      </text>
    </comment>
    <comment ref="AD28" authorId="0" shapeId="0">
      <text>
        <t>추정: 전분기 + FCF 근사 — 순차입금 롤과 같은 가정
[qoq]</t>
      </text>
    </comment>
    <comment ref="AF28" authorId="0" shapeId="0">
      <text>
        <t>추정: 전분기 + FCF 근사 — 순차입금 롤과 같은 가정
[qoq]</t>
      </text>
    </comment>
    <comment ref="AG28" authorId="0" shapeId="0">
      <text>
        <t>추정: 전분기 + FCF 근사 — 순차입금 롤과 같은 가정
[qoq]</t>
      </text>
    </comment>
    <comment ref="AH28" authorId="0" shapeId="0">
      <text>
        <t>추정: 전분기 + FCF 근사 — 순차입금 롤과 같은 가정
[qoq]</t>
      </text>
    </comment>
    <comment ref="AI28" authorId="0" shapeId="0">
      <text>
        <t>추정: 전분기 + FCF 근사 — 순차입금 롤과 같은 가정
[qoq]</t>
      </text>
    </comment>
    <comment ref="AK28" authorId="0" shapeId="0">
      <text>
        <t>추정: 전분기 + FCF 근사 — 순차입금 롤과 같은 가정
[qoq]</t>
      </text>
    </comment>
    <comment ref="AL28" authorId="0" shapeId="0">
      <text>
        <t>추정: 전분기 + FCF 근사 — 순차입금 롤과 같은 가정
[qoq]</t>
      </text>
    </comment>
    <comment ref="AM28" authorId="0" shapeId="0">
      <text>
        <t>추정: 전분기 + FCF 근사 — 순차입금 롤과 같은 가정
[qoq]</t>
      </text>
    </comment>
    <comment ref="AN28" authorId="0" shapeId="0">
      <text>
        <t>추정: 전분기 + FCF 근사 — 순차입금 롤과 같은 가정
[qoq]</t>
      </text>
    </comment>
    <comment ref="AC30" authorId="0" shapeId="0">
      <text>
        <t>추정: 최근 4분기(2025Q3~2026Q2) CAPEX 중위 유지 — 순차입금 롤에 반영(FCF 근사)
[yoy]</t>
      </text>
    </comment>
    <comment ref="AD30" authorId="0" shapeId="0">
      <text>
        <t>추정: 최근 4분기(2025Q3~2026Q2) CAPEX 중위 유지 — 순차입금 롤에 반영(FCF 근사)
[yoy]</t>
      </text>
    </comment>
    <comment ref="AF30" authorId="0" shapeId="0">
      <text>
        <t>추정: 최근 4분기(2025Q3~2026Q2) CAPEX 중위 유지 — 순차입금 롤에 반영(FCF 근사)
[yoy]</t>
      </text>
    </comment>
    <comment ref="AG30" authorId="0" shapeId="0">
      <text>
        <t>추정: 최근 4분기(2025Q3~2026Q2) CAPEX 중위 유지 — 순차입금 롤에 반영(FCF 근사)
[yoy]</t>
      </text>
    </comment>
    <comment ref="AH30" authorId="0" shapeId="0">
      <text>
        <t>추정: 최근 4분기(2025Q3~2026Q2) CAPEX 중위 유지 — 순차입금 롤에 반영(FCF 근사)
[yoy]</t>
      </text>
    </comment>
    <comment ref="AI30" authorId="0" shapeId="0">
      <text>
        <t>추정: 최근 4분기(2025Q3~2026Q2) CAPEX 중위 유지 — 순차입금 롤에 반영(FCF 근사)
[yoy]</t>
      </text>
    </comment>
    <comment ref="AK30" authorId="0" shapeId="0">
      <text>
        <t>추정: 최근 4분기(2025Q3~2026Q2) CAPEX 중위 유지 — 순차입금 롤에 반영(FCF 근사)
[yoy]</t>
      </text>
    </comment>
    <comment ref="AL30" authorId="0" shapeId="0">
      <text>
        <t>추정: 최근 4분기(2025Q3~2026Q2) CAPEX 중위 유지 — 순차입금 롤에 반영(FCF 근사)
[yoy]</t>
      </text>
    </comment>
    <comment ref="AM30" authorId="0" shapeId="0">
      <text>
        <t>추정: 최근 4분기(2025Q3~2026Q2) CAPEX 중위 유지 — 순차입금 롤에 반영(FCF 근사)
[yoy]</t>
      </text>
    </comment>
    <comment ref="AN30" authorId="0" shapeId="0">
      <text>
        <t>추정: 최근 4분기(2025Q3~2026Q2) CAPEX 중위 유지 — 순차입금 롤에 반영(FCF 근사)
[yoy]</t>
      </text>
    </comment>
    <comment ref="E32" authorId="0" shapeId="0">
      <text>
        <t>실측(계정 매핑 없음(파생·부문·시세 행) — 모델값 직접) — fin.shares.common_outstanding</t>
      </text>
    </comment>
    <comment ref="G32" authorId="0" shapeId="0">
      <text>
        <t>실측(계정 매핑 없음(파생·부문·시세 행) — 모델값 직접) — fin.shares.common_outstanding</t>
      </text>
    </comment>
    <comment ref="H32" authorId="0" shapeId="0">
      <text>
        <t>실측(계정 매핑 없음(파생·부문·시세 행) — 모델값 직접) — fin.shares.common_outstanding</t>
      </text>
    </comment>
    <comment ref="I32" authorId="0" shapeId="0">
      <text>
        <t>실측(계정 매핑 없음(파생·부문·시세 행) — 모델값 직접) — fin.shares.common_outstanding</t>
      </text>
    </comment>
    <comment ref="J32" authorId="0" shapeId="0">
      <text>
        <t>실측(계정 매핑 없음(파생·부문·시세 행) — 모델값 직접) — fin.shares.common_outstanding</t>
      </text>
    </comment>
    <comment ref="L32" authorId="0" shapeId="0">
      <text>
        <t>실측(계정 매핑 없음(파생·부문·시세 행) — 모델값 직접) — fin.shares.common_outstanding</t>
      </text>
    </comment>
    <comment ref="M32" authorId="0" shapeId="0">
      <text>
        <t>실측(계정 매핑 없음(파생·부문·시세 행) — 모델값 직접) — fin.shares.common_outstanding</t>
      </text>
    </comment>
    <comment ref="N32" authorId="0" shapeId="0">
      <text>
        <t>실측(계정 매핑 없음(파생·부문·시세 행) — 모델값 직접) — fin.shares.common_outstanding</t>
      </text>
    </comment>
    <comment ref="O32" authorId="0" shapeId="0">
      <text>
        <t>실측(계정 매핑 없음(파생·부문·시세 행) — 모델값 직접) — fin.shares.common_outstanding</t>
      </text>
    </comment>
    <comment ref="Q32" authorId="0" shapeId="0">
      <text>
        <t>실측(계정 매핑 없음(파생·부문·시세 행) — 모델값 직접) — fin.shares.common_outstanding</t>
      </text>
    </comment>
    <comment ref="R32" authorId="0" shapeId="0">
      <text>
        <t>실측(계정 매핑 없음(파생·부문·시세 행) — 모델값 직접) — fin.shares.common_outstanding</t>
      </text>
    </comment>
    <comment ref="S32" authorId="0" shapeId="0">
      <text>
        <t>실측(계정 매핑 없음(파생·부문·시세 행) — 모델값 직접) — fin.shares.common_outstanding</t>
      </text>
    </comment>
    <comment ref="T32" authorId="0" shapeId="0">
      <text>
        <t>실측(계정 매핑 없음(파생·부문·시세 행) — 모델값 직접) — fin.shares.common_outstanding</t>
      </text>
    </comment>
    <comment ref="V32" authorId="0" shapeId="0">
      <text>
        <t>실측(계정 매핑 없음(파생·부문·시세 행) — 모델값 직접) — fin.shares.common_outstanding</t>
      </text>
    </comment>
    <comment ref="W32" authorId="0" shapeId="0">
      <text>
        <t>실측(계정 매핑 없음(파생·부문·시세 행) — 모델값 직접) — fin.shares.common_outstanding</t>
      </text>
    </comment>
    <comment ref="X32" authorId="0" shapeId="0">
      <text>
        <t>실측(계정 매핑 없음(파생·부문·시세 행) — 모델값 직접) — fin.shares.common_outstanding</t>
      </text>
    </comment>
    <comment ref="Y32" authorId="0" shapeId="0">
      <text>
        <t>실측(계정 매핑 없음(파생·부문·시세 행) — 모델값 직접) — fin.shares.common_outstanding</t>
      </text>
    </comment>
    <comment ref="AA32" authorId="0" shapeId="0">
      <text>
        <t>실측(계정 매핑 없음(파생·부문·시세 행) — 모델값 직접) — fin.shares.common_outstanding</t>
      </text>
    </comment>
    <comment ref="AB32" authorId="0" shapeId="0">
      <text>
        <t>실측(계정 매핑 없음(파생·부문·시세 행) — 모델값 직접) — fin.shares.common_outstanding</t>
      </text>
    </comment>
    <comment ref="AC32" authorId="0" shapeId="0">
      <text>
        <t>추정: 유통주식수 유지 — fin.shares.common_outstanding(2026Q2)
[qoq]</t>
      </text>
    </comment>
    <comment ref="AD32" authorId="0" shapeId="0">
      <text>
        <t>추정: 유통주식수 유지 — fin.shares.common_outstanding(2026Q2)
[qoq]</t>
      </text>
    </comment>
    <comment ref="AF32" authorId="0" shapeId="0">
      <text>
        <t>추정: 유통주식수 유지 — fin.shares.common_outstanding(2026Q2)
[qoq]</t>
      </text>
    </comment>
    <comment ref="AG32" authorId="0" shapeId="0">
      <text>
        <t>추정: 유통주식수 유지 — fin.shares.common_outstanding(2026Q2)
[qoq]</t>
      </text>
    </comment>
    <comment ref="AH32" authorId="0" shapeId="0">
      <text>
        <t>추정: 유통주식수 유지 — fin.shares.common_outstanding(2026Q2)
[qoq]</t>
      </text>
    </comment>
    <comment ref="AI32" authorId="0" shapeId="0">
      <text>
        <t>추정: 유통주식수 유지 — fin.shares.common_outstanding(2026Q2)
[qoq]</t>
      </text>
    </comment>
    <comment ref="AK32" authorId="0" shapeId="0">
      <text>
        <t>추정: 유통주식수 유지 — fin.shares.common_outstanding(2026Q2)
[qoq]</t>
      </text>
    </comment>
    <comment ref="AL32" authorId="0" shapeId="0">
      <text>
        <t>추정: 유통주식수 유지 — fin.shares.common_outstanding(2026Q2)
[qoq]</t>
      </text>
    </comment>
    <comment ref="AM32" authorId="0" shapeId="0">
      <text>
        <t>추정: 유통주식수 유지 — fin.shares.common_outstanding(2026Q2)
[qoq]</t>
      </text>
    </comment>
    <comment ref="AN32" authorId="0" shapeId="0">
      <text>
        <t>추정: 유통주식수 유지 — fin.shares.common_outstanding(2026Q2)
[qoq]</t>
      </text>
    </comment>
    <comment ref="AC33" authorId="0" shapeId="0">
      <text>
        <t>추정: 지배주주순이익 ÷ 유통주식수
[per_share]</t>
      </text>
    </comment>
    <comment ref="AD33" authorId="0" shapeId="0">
      <text>
        <t>추정: 지배주주순이익 ÷ 유통주식수
[per_share]</t>
      </text>
    </comment>
    <comment ref="AF33" authorId="0" shapeId="0">
      <text>
        <t>추정: 지배주주순이익 ÷ 유통주식수
[per_share]</t>
      </text>
    </comment>
    <comment ref="AG33" authorId="0" shapeId="0">
      <text>
        <t>추정: 지배주주순이익 ÷ 유통주식수
[per_share]</t>
      </text>
    </comment>
    <comment ref="AH33" authorId="0" shapeId="0">
      <text>
        <t>추정: 지배주주순이익 ÷ 유통주식수
[per_share]</t>
      </text>
    </comment>
    <comment ref="AI33" authorId="0" shapeId="0">
      <text>
        <t>추정: 지배주주순이익 ÷ 유통주식수
[per_share]</t>
      </text>
    </comment>
    <comment ref="AK33" authorId="0" shapeId="0">
      <text>
        <t>추정: 지배주주순이익 ÷ 유통주식수
[per_share]</t>
      </text>
    </comment>
    <comment ref="AL33" authorId="0" shapeId="0">
      <text>
        <t>추정: 지배주주순이익 ÷ 유통주식수
[per_share]</t>
      </text>
    </comment>
    <comment ref="AM33" authorId="0" shapeId="0">
      <text>
        <t>추정: 지배주주순이익 ÷ 유통주식수
[per_share]</t>
      </text>
    </comment>
    <comment ref="AN33" authorId="0" shapeId="0">
      <text>
        <t>추정: 지배주주순이익 ÷ 유통주식수
[per_share]</t>
      </text>
    </comment>
    <comment ref="Y34" authorId="0" shapeId="0">
      <text>
        <t>조정EPS 산식(모델 추정, 일회성 여부·세효과 주석 미확인): 지배NI − 초과 비영업손익 -282억 × (1 − 세율 24.0% [모델 세율(분기 유효세율이 0~35% 밖·세전 ≤ 0)]) × 지배 비중 1.0000 [1 − 비지배 비중(8분기 실측)] = -96억 ÷ 유통주식수 · 초과 = 비영업손익 -317억 − 12분기 기준선 -36억 · 보고 EPS -1,094원(EPS 행 불변) · 상수 -214.18·1.0 는 모델 one_offs_detected 값(세전·법인세 셀을 바꿔도 재계산되지 않음)</t>
      </text>
    </comment>
    <comment ref="AC34" authorId="0" shapeId="0">
      <text>
        <t>추정: = EPS(추정 구간은 일회성 미가정)
[identity]</t>
      </text>
    </comment>
    <comment ref="AD34" authorId="0" shapeId="0">
      <text>
        <t>추정: = EPS(추정 구간은 일회성 미가정)
[identity]</t>
      </text>
    </comment>
    <comment ref="AF34" authorId="0" shapeId="0">
      <text>
        <t>추정: = EPS(추정 구간은 일회성 미가정)
[identity]</t>
      </text>
    </comment>
    <comment ref="AG34" authorId="0" shapeId="0">
      <text>
        <t>추정: = EPS(추정 구간은 일회성 미가정)
[identity]</t>
      </text>
    </comment>
    <comment ref="AH34" authorId="0" shapeId="0">
      <text>
        <t>추정: = EPS(추정 구간은 일회성 미가정)
[identity]</t>
      </text>
    </comment>
    <comment ref="AI34" authorId="0" shapeId="0">
      <text>
        <t>추정: = EPS(추정 구간은 일회성 미가정)
[identity]</t>
      </text>
    </comment>
    <comment ref="AK34" authorId="0" shapeId="0">
      <text>
        <t>추정: = EPS(추정 구간은 일회성 미가정)
[identity]</t>
      </text>
    </comment>
    <comment ref="AL34" authorId="0" shapeId="0">
      <text>
        <t>추정: = EPS(추정 구간은 일회성 미가정)
[identity]</t>
      </text>
    </comment>
    <comment ref="AM34" authorId="0" shapeId="0">
      <text>
        <t>추정: = EPS(추정 구간은 일회성 미가정)
[identity]</t>
      </text>
    </comment>
    <comment ref="AN34" authorId="0" shapeId="0">
      <text>
        <t>추정: = EPS(추정 구간은 일회성 미가정)
[identity]</t>
      </text>
    </comment>
    <comment ref="AC35" authorId="0" shapeId="0">
      <text>
        <t>추정: 지배주주지분 ÷ 유통주식수
[per_share]</t>
      </text>
    </comment>
    <comment ref="AD35" authorId="0" shapeId="0">
      <text>
        <t>추정: 지배주주지분 ÷ 유통주식수
[per_share]</t>
      </text>
    </comment>
    <comment ref="AF35" authorId="0" shapeId="0">
      <text>
        <t>추정: 지배주주지분 ÷ 유통주식수
[per_share]</t>
      </text>
    </comment>
    <comment ref="AG35" authorId="0" shapeId="0">
      <text>
        <t>추정: 지배주주지분 ÷ 유통주식수
[per_share]</t>
      </text>
    </comment>
    <comment ref="AH35" authorId="0" shapeId="0">
      <text>
        <t>추정: 지배주주지분 ÷ 유통주식수
[per_share]</t>
      </text>
    </comment>
    <comment ref="AI35" authorId="0" shapeId="0">
      <text>
        <t>추정: 지배주주지분 ÷ 유통주식수
[per_share]</t>
      </text>
    </comment>
    <comment ref="AK35" authorId="0" shapeId="0">
      <text>
        <t>추정: 지배주주지분 ÷ 유통주식수
[per_share]</t>
      </text>
    </comment>
    <comment ref="AL35" authorId="0" shapeId="0">
      <text>
        <t>추정: 지배주주지분 ÷ 유통주식수
[per_share]</t>
      </text>
    </comment>
    <comment ref="AM35" authorId="0" shapeId="0">
      <text>
        <t>추정: 지배주주지분 ÷ 유통주식수
[per_share]</t>
      </text>
    </comment>
    <comment ref="AN35" authorId="0" shapeId="0">
      <text>
        <t>추정: 지배주주지분 ÷ 유통주식수
[per_share]</t>
      </text>
    </comment>
    <comment ref="E36" authorId="0" shapeId="0">
      <text>
        <t>실측(계정 매핑 없음(파생·부문·시세 행) — 모델값 직접) — fin.dividend.dps_common(연간, Q4 에 표기)</t>
      </text>
    </comment>
    <comment ref="F36" authorId="0" shapeId="0">
      <text>
        <t>연간(actual) — 분기 미완 연도, 모델 a 값 직접</t>
      </text>
    </comment>
    <comment ref="J36" authorId="0" shapeId="0">
      <text>
        <t>실측(계정 매핑 없음(파생·부문·시세 행) — 모델값 직접) — fin.dividend.dps_common(연간, Q4 에 표기)</t>
      </text>
    </comment>
    <comment ref="O36" authorId="0" shapeId="0">
      <text>
        <t>실측(계정 매핑 없음(파생·부문·시세 행) — 모델값 직접) — fin.dividend.dps_common(연간, Q4 에 표기)</t>
      </text>
    </comment>
    <comment ref="T36" authorId="0" shapeId="0">
      <text>
        <t>실측(계정 매핑 없음(파생·부문·시세 행) — 모델값 직접) — fin.dividend.dps_common(연간, Q4 에 표기)</t>
      </text>
    </comment>
    <comment ref="Y36" authorId="0" shapeId="0">
      <text>
        <t>실측(계정 매핑 없음(파생·부문·시세 행) — 모델값 직접) — fin.dividend.dps_common(연간, Q4 에 표기)</t>
      </text>
    </comment>
    <comment ref="AD36" authorId="0" shapeId="0">
      <text>
        <t>추정: 직전 결산 DPS 120원 유지
[abs]</t>
      </text>
    </comment>
    <comment ref="AI36" authorId="0" shapeId="0">
      <text>
        <t>추정: 직전 결산 DPS 120원 유지
[abs]</t>
      </text>
    </comment>
    <comment ref="AN36" authorId="0" shapeId="0">
      <text>
        <t>추정: 직전 결산 DPS 120원 유지
[abs]</t>
      </text>
    </comment>
    <comment ref="AD37" authorId="0" shapeId="0">
      <text>
        <t>추정: 현재 종가 ÷ TTM EPS(추정 포함)
[valuation]</t>
      </text>
    </comment>
    <comment ref="AF37" authorId="0" shapeId="0">
      <text>
        <t>추정: 현재 종가 ÷ TTM EPS(추정 포함)
[valuation]</t>
      </text>
    </comment>
    <comment ref="AG37" authorId="0" shapeId="0">
      <text>
        <t>추정: 현재 종가 ÷ TTM EPS(추정 포함)
[valuation]</t>
      </text>
    </comment>
    <comment ref="AH37" authorId="0" shapeId="0">
      <text>
        <t>추정: 현재 종가 ÷ TTM EPS(추정 포함)
[valuation]</t>
      </text>
    </comment>
    <comment ref="AI37" authorId="0" shapeId="0">
      <text>
        <t>추정: 현재 종가 ÷ TTM EPS(추정 포함)
[valuation]</t>
      </text>
    </comment>
    <comment ref="AK37" authorId="0" shapeId="0">
      <text>
        <t>추정: 현재 종가 ÷ TTM EPS(추정 포함)
[valuation]</t>
      </text>
    </comment>
    <comment ref="AL37" authorId="0" shapeId="0">
      <text>
        <t>추정: 현재 종가 ÷ TTM EPS(추정 포함)
[valuation]</t>
      </text>
    </comment>
    <comment ref="AM37" authorId="0" shapeId="0">
      <text>
        <t>추정: 현재 종가 ÷ TTM EPS(추정 포함)
[valuation]</t>
      </text>
    </comment>
    <comment ref="AN37" authorId="0" shapeId="0">
      <text>
        <t>추정: 현재 종가 ÷ TTM EPS(추정 포함)
[valuation]</t>
      </text>
    </comment>
    <comment ref="AC38" authorId="0" shapeId="0">
      <text>
        <t>추정: 현재 종가 ÷ BPS(추정 포함)
[valuation]</t>
      </text>
    </comment>
    <comment ref="AD38" authorId="0" shapeId="0">
      <text>
        <t>추정: 현재 종가 ÷ BPS(추정 포함)
[valuation]</t>
      </text>
    </comment>
    <comment ref="AF38" authorId="0" shapeId="0">
      <text>
        <t>추정: 현재 종가 ÷ BPS(추정 포함)
[valuation]</t>
      </text>
    </comment>
    <comment ref="AG38" authorId="0" shapeId="0">
      <text>
        <t>추정: 현재 종가 ÷ BPS(추정 포함)
[valuation]</t>
      </text>
    </comment>
    <comment ref="AH38" authorId="0" shapeId="0">
      <text>
        <t>추정: 현재 종가 ÷ BPS(추정 포함)
[valuation]</t>
      </text>
    </comment>
    <comment ref="AI38" authorId="0" shapeId="0">
      <text>
        <t>추정: 현재 종가 ÷ BPS(추정 포함)
[valuation]</t>
      </text>
    </comment>
    <comment ref="AK38" authorId="0" shapeId="0">
      <text>
        <t>추정: 현재 종가 ÷ BPS(추정 포함)
[valuation]</t>
      </text>
    </comment>
    <comment ref="AL38" authorId="0" shapeId="0">
      <text>
        <t>추정: 현재 종가 ÷ BPS(추정 포함)
[valuation]</t>
      </text>
    </comment>
    <comment ref="AM38" authorId="0" shapeId="0">
      <text>
        <t>추정: 현재 종가 ÷ BPS(추정 포함)
[valuation]</t>
      </text>
    </comment>
    <comment ref="AN38" authorId="0" shapeId="0">
      <text>
        <t>추정: 현재 종가 ÷ BPS(추정 포함)
[valuation]</t>
      </text>
    </comment>
    <comment ref="E39" authorId="0" shapeId="0">
      <text>
        <t>실측(계정 매핑 없음(파생·부문·시세 행) — 모델값 직접) — = 매출액(부문 미분리)</t>
      </text>
    </comment>
    <comment ref="G39" authorId="0" shapeId="0">
      <text>
        <t>실측(계정 매핑 없음(파생·부문·시세 행) — 모델값 직접) — = 매출액(부문 미분리)</t>
      </text>
    </comment>
    <comment ref="H39" authorId="0" shapeId="0">
      <text>
        <t>실측(계정 매핑 없음(파생·부문·시세 행) — 모델값 직접) — = 매출액(부문 미분리)</t>
      </text>
    </comment>
    <comment ref="I39" authorId="0" shapeId="0">
      <text>
        <t>실측(계정 매핑 없음(파생·부문·시세 행) — 모델값 직접) — = 매출액(부문 미분리)</t>
      </text>
    </comment>
    <comment ref="J39" authorId="0" shapeId="0">
      <text>
        <t>실측(계정 매핑 없음(파생·부문·시세 행) — 모델값 직접) — = 매출액(부문 미분리)</t>
      </text>
    </comment>
    <comment ref="L39" authorId="0" shapeId="0">
      <text>
        <t>실측(계정 매핑 없음(파생·부문·시세 행) — 모델값 직접) — = 매출액(부문 미분리)</t>
      </text>
    </comment>
    <comment ref="M39" authorId="0" shapeId="0">
      <text>
        <t>실측(계정 매핑 없음(파생·부문·시세 행) — 모델값 직접) — = 매출액(부문 미분리)</t>
      </text>
    </comment>
    <comment ref="N39" authorId="0" shapeId="0">
      <text>
        <t>실측(계정 매핑 없음(파생·부문·시세 행) — 모델값 직접) — = 매출액(부문 미분리)</t>
      </text>
    </comment>
    <comment ref="O39" authorId="0" shapeId="0">
      <text>
        <t>실측(계정 매핑 없음(파생·부문·시세 행) — 모델값 직접) — = 매출액(부문 미분리)</t>
      </text>
    </comment>
    <comment ref="Q39" authorId="0" shapeId="0">
      <text>
        <t>실측(계정 매핑 없음(파생·부문·시세 행) — 모델값 직접) — = 매출액(부문 미분리)</t>
      </text>
    </comment>
    <comment ref="R39" authorId="0" shapeId="0">
      <text>
        <t>실측(계정 매핑 없음(파생·부문·시세 행) — 모델값 직접) — = 매출액(부문 미분리)</t>
      </text>
    </comment>
    <comment ref="S39" authorId="0" shapeId="0">
      <text>
        <t>실측(계정 매핑 없음(파생·부문·시세 행) — 모델값 직접) — = 매출액(부문 미분리)</t>
      </text>
    </comment>
    <comment ref="T39" authorId="0" shapeId="0">
      <text>
        <t>실측(계정 매핑 없음(파생·부문·시세 행) — 모델값 직접) — = 매출액(부문 미분리)</t>
      </text>
    </comment>
    <comment ref="V39" authorId="0" shapeId="0">
      <text>
        <t>실측(계정 매핑 없음(파생·부문·시세 행) — 모델값 직접) — = 매출액(부문 미분리)</t>
      </text>
    </comment>
    <comment ref="W39" authorId="0" shapeId="0">
      <text>
        <t>실측(계정 매핑 없음(파생·부문·시세 행) — 모델값 직접) — = 매출액(부문 미분리)</t>
      </text>
    </comment>
    <comment ref="X39" authorId="0" shapeId="0">
      <text>
        <t>실측(계정 매핑 없음(파생·부문·시세 행) — 모델값 직접) — = 매출액(부문 미분리)</t>
      </text>
    </comment>
    <comment ref="Y39" authorId="0" shapeId="0">
      <text>
        <t>실측(계정 매핑 없음(파생·부문·시세 행) — 모델값 직접) — = 매출액(부문 미분리)</t>
      </text>
    </comment>
    <comment ref="AA39" authorId="0" shapeId="0">
      <text>
        <t>실측(계정 매핑 없음(파생·부문·시세 행) — 모델값 직접) — = 매출액(부문 미분리)</t>
      </text>
    </comment>
    <comment ref="AB39" authorId="0" shapeId="0">
      <text>
        <t>실측(계정 매핑 없음(파생·부문·시세 행) — 모델값 직접) — = 매출액(부문 미분리)</t>
      </text>
    </comment>
    <comment ref="AC39" authorId="0" shapeId="0">
      <text>
        <t>추정: = 매출액 추정(부문 미분리)
[identity]</t>
      </text>
    </comment>
    <comment ref="AD39" authorId="0" shapeId="0">
      <text>
        <t>추정: = 매출액 추정(부문 미분리)
[identity]</t>
      </text>
    </comment>
    <comment ref="AF39" authorId="0" shapeId="0">
      <text>
        <t>추정: = 매출액 추정(부문 미분리)
[identity]</t>
      </text>
    </comment>
    <comment ref="AG39" authorId="0" shapeId="0">
      <text>
        <t>추정: = 매출액 추정(부문 미분리)
[identity]</t>
      </text>
    </comment>
    <comment ref="AH39" authorId="0" shapeId="0">
      <text>
        <t>추정: = 매출액 추정(부문 미분리)
[identity]</t>
      </text>
    </comment>
    <comment ref="AI39" authorId="0" shapeId="0">
      <text>
        <t>추정: = 매출액 추정(부문 미분리)
[identity]</t>
      </text>
    </comment>
    <comment ref="AK39" authorId="0" shapeId="0">
      <text>
        <t>추정: = 매출액 추정(부문 미분리)
[identity]</t>
      </text>
    </comment>
    <comment ref="AL39" authorId="0" shapeId="0">
      <text>
        <t>추정: = 매출액 추정(부문 미분리)
[identity]</t>
      </text>
    </comment>
    <comment ref="AM39" authorId="0" shapeId="0">
      <text>
        <t>추정: = 매출액 추정(부문 미분리)
[identity]</t>
      </text>
    </comment>
    <comment ref="AN39" authorId="0" shapeId="0">
      <text>
        <t>추정: = 매출액 추정(부문 미분리)
[identity]</t>
      </text>
    </comment>
    <comment ref="E40" authorId="0" shapeId="0">
      <text>
        <t>실측(계정 매핑 없음(파생·부문·시세 행) — 모델값 직접) — = 영업이익(부문 미분리)</t>
      </text>
    </comment>
    <comment ref="G40" authorId="0" shapeId="0">
      <text>
        <t>실측(계정 매핑 없음(파생·부문·시세 행) — 모델값 직접) — = 영업이익(부문 미분리)</t>
      </text>
    </comment>
    <comment ref="H40" authorId="0" shapeId="0">
      <text>
        <t>실측(계정 매핑 없음(파생·부문·시세 행) — 모델값 직접) — = 영업이익(부문 미분리)</t>
      </text>
    </comment>
    <comment ref="I40" authorId="0" shapeId="0">
      <text>
        <t>실측(계정 매핑 없음(파생·부문·시세 행) — 모델값 직접) — = 영업이익(부문 미분리)</t>
      </text>
    </comment>
    <comment ref="J40" authorId="0" shapeId="0">
      <text>
        <t>실측(계정 매핑 없음(파생·부문·시세 행) — 모델값 직접) — = 영업이익(부문 미분리)</t>
      </text>
    </comment>
    <comment ref="L40" authorId="0" shapeId="0">
      <text>
        <t>실측(계정 매핑 없음(파생·부문·시세 행) — 모델값 직접) — = 영업이익(부문 미분리)</t>
      </text>
    </comment>
    <comment ref="M40" authorId="0" shapeId="0">
      <text>
        <t>실측(계정 매핑 없음(파생·부문·시세 행) — 모델값 직접) — = 영업이익(부문 미분리)</t>
      </text>
    </comment>
    <comment ref="N40" authorId="0" shapeId="0">
      <text>
        <t>실측(계정 매핑 없음(파생·부문·시세 행) — 모델값 직접) — = 영업이익(부문 미분리)</t>
      </text>
    </comment>
    <comment ref="O40" authorId="0" shapeId="0">
      <text>
        <t>실측(계정 매핑 없음(파생·부문·시세 행) — 모델값 직접) — = 영업이익(부문 미분리)</t>
      </text>
    </comment>
    <comment ref="Q40" authorId="0" shapeId="0">
      <text>
        <t>실측(계정 매핑 없음(파생·부문·시세 행) — 모델값 직접) — = 영업이익(부문 미분리)</t>
      </text>
    </comment>
    <comment ref="R40" authorId="0" shapeId="0">
      <text>
        <t>실측(계정 매핑 없음(파생·부문·시세 행) — 모델값 직접) — = 영업이익(부문 미분리)</t>
      </text>
    </comment>
    <comment ref="S40" authorId="0" shapeId="0">
      <text>
        <t>실측(계정 매핑 없음(파생·부문·시세 행) — 모델값 직접) — = 영업이익(부문 미분리)</t>
      </text>
    </comment>
    <comment ref="T40" authorId="0" shapeId="0">
      <text>
        <t>실측(계정 매핑 없음(파생·부문·시세 행) — 모델값 직접) — = 영업이익(부문 미분리)</t>
      </text>
    </comment>
    <comment ref="V40" authorId="0" shapeId="0">
      <text>
        <t>실측(계정 매핑 없음(파생·부문·시세 행) — 모델값 직접) — = 영업이익(부문 미분리)</t>
      </text>
    </comment>
    <comment ref="W40" authorId="0" shapeId="0">
      <text>
        <t>실측(계정 매핑 없음(파생·부문·시세 행) — 모델값 직접) — = 영업이익(부문 미분리)</t>
      </text>
    </comment>
    <comment ref="X40" authorId="0" shapeId="0">
      <text>
        <t>실측(계정 매핑 없음(파생·부문·시세 행) — 모델값 직접) — = 영업이익(부문 미분리)</t>
      </text>
    </comment>
    <comment ref="Y40" authorId="0" shapeId="0">
      <text>
        <t>실측(계정 매핑 없음(파생·부문·시세 행) — 모델값 직접) — = 영업이익(부문 미분리)</t>
      </text>
    </comment>
    <comment ref="AA40" authorId="0" shapeId="0">
      <text>
        <t>실측(계정 매핑 없음(파생·부문·시세 행) — 모델값 직접) — = 영업이익(부문 미분리)</t>
      </text>
    </comment>
    <comment ref="AB40" authorId="0" shapeId="0">
      <text>
        <t>실측(계정 매핑 없음(파생·부문·시세 행) — 모델값 직접) — = 영업이익(부문 미분리)</t>
      </text>
    </comment>
    <comment ref="AC40" authorId="0" shapeId="0">
      <text>
        <t>추정: = 매출액 × OPM(부문 미분리)
[identity]</t>
      </text>
    </comment>
    <comment ref="AD40" authorId="0" shapeId="0">
      <text>
        <t>추정: = 매출액 × OPM(부문 미분리)
[identity]</t>
      </text>
    </comment>
    <comment ref="AF40" authorId="0" shapeId="0">
      <text>
        <t>추정: = 매출액 × OPM(부문 미분리)
[identity]</t>
      </text>
    </comment>
    <comment ref="AG40" authorId="0" shapeId="0">
      <text>
        <t>추정: = 매출액 × OPM(부문 미분리)
[identity]</t>
      </text>
    </comment>
    <comment ref="AH40" authorId="0" shapeId="0">
      <text>
        <t>추정: = 매출액 × OPM(부문 미분리)
[identity]</t>
      </text>
    </comment>
    <comment ref="AI40" authorId="0" shapeId="0">
      <text>
        <t>추정: = 매출액 × OPM(부문 미분리)
[identity]</t>
      </text>
    </comment>
    <comment ref="AK40" authorId="0" shapeId="0">
      <text>
        <t>추정: = 매출액 × OPM(부문 미분리)
[identity]</t>
      </text>
    </comment>
    <comment ref="AL40" authorId="0" shapeId="0">
      <text>
        <t>추정: = 매출액 × OPM(부문 미분리)
[identity]</t>
      </text>
    </comment>
    <comment ref="AM40" authorId="0" shapeId="0">
      <text>
        <t>추정: = 매출액 × OPM(부문 미분리)
[identity]</t>
      </text>
    </comment>
    <comment ref="AN40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금강공업(014280) 실적 모델 — ARGUS 한국조선</t>
        </is>
      </c>
    </row>
    <row r="2">
      <c r="A2" t="inlineStr">
        <is>
          <t>기준 분기 2026Q2 · 마지막 실적 2026Q2 · 생성 2026-10-26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수식, 조정EPS 는 EPS 참조(일회성 의심 분기만 산식 셀)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24.03% — 법인세 = MAX(세전,0) × 세율, 추정 전 분기 연결(Σ법인세/Σmax(세전,0) 역산, 재현 오차 ≤ 0.05억). 모델 가정 24.04% · 근거: 최근 12분기 유효세율 28.1% 가 5~27% 밖 → 클립 대신 최근 8분기 중 세전 &gt; 0 인 5분기(2024Q3~2026Q2)의 법인세/세전 중위 24.0%</t>
        </is>
      </c>
    </row>
    <row r="23">
      <c r="A23" t="inlineStr">
        <is>
          <t>· 판관비율 13.40%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2.46% / 부채 4.00% — 이자손익 = (전분기 이자발생자산 × 자산이자율 − 전분기 총차입금 × 부채이자율)/4, 최소자승 역산(모델 assumptions [0.0247, 0.04] 는 4자리 반올림이라 그대로 쓰면 ±1억 어긋남) · 출처: {"asset": "CF 이자수취 ÷ 평균 이자발생자산(2025Q3~2026Q2; 주석 이자수익 0분기 &lt; 4)", "debt": "CF 이자지급 ÷ 평균 총차입금(2025Q3~2026Q2; 주석 이자비용 0분기 &lt; 4)"}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조정EPS(일회성 의심 1분기: 2025Q4 보고 -1,094→조정 -338원) — 의심 분기 = 지배NI − (비영업손익 − 12분기 기준선) × (1 − 세율) × 지배 비중 ÷ 유통주식수(subQ 수식+메모, 세후 초과·지배 비중은 모델 상수), 다른 분기 = EPS. 보고 EPS 행·TP 12M fwd EPS(추정 분기만) 는 불변. 일회성 여부·세효과는 주석 미확인(모델 추정)</t>
        </is>
      </c>
    </row>
    <row r="28">
      <c r="A28" t="inlineStr">
        <is>
          <t>· 연결된 가정: 세율, 판관비율, 지배주주비중, 이자율 · 연결 안 된 가정(모델값·분기별 역산 그대로): 없음</t>
        </is>
      </c>
    </row>
    <row r="29">
      <c r="A29" t="inlineStr">
        <is>
          <t>· 밸류에이션 — PER 밴드 10.0/15.0/20.0배(sector_default(레퍼런스 TP_PE PB 예시 10/15/20배; 과거 PER 중위 4.2배가 캡 5~30 밖 — 턴어라운드 초기 TTM EPS 왜곡)) · COE 9.0% · 12M fwd EPS 가중 0.5(가정). 모델 산출값 구간이며 추천이 아니다</t>
        </is>
      </c>
    </row>
    <row r="30">
      <c r="A30" t="inlineStr"/>
    </row>
    <row r="31">
      <c r="A31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2">
      <c r="A32" t="inlineStr">
        <is>
          <t>재현: cd argus/kship/tools &amp;&amp; python3 kship_model_xlsx.py --model assets/models/014280.json --verify   (모델 json 부터: kship_model.py --build --all --xlsx · xlsx 58사 일괄: kship_model_xlsx.py --all --verify)</t>
        </is>
      </c>
    </row>
    <row r="33">
      <c r="A33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4">
      <c r="A34" t="inlineStr">
        <is>
          <t>한계: 모델 quality.warnings — 매출 드라이버 폴백(고객 조선사 연결 없음(suppliers.json)): 전년동기 × (1+g) 추세 / 일회성 의심 2025Q4: 비영업손익 -317억(영업이익 -6억의 56배, 12분기 중위 37억·기준선 -36억) → 지배NI -310억·보고 EPS·FY2025 합계·TTM PER 에 그대로 포함 — 처분이익 등 일회성 여부는 주석 확인 전까지 미확정(12M fwd EPS 에는 미포함) · 조정EPS -338.5원(보고 -1,094.5원; 초과 비영업손익 -282억 × (1 − 세율 24.0%) × 지배 비중 1.00 = -214억 차감 — 추정, 조정EPS 행)</t>
        </is>
      </c>
    </row>
    <row r="35">
      <c r="A35" t="inlineStr">
        <is>
          <t>백테스트: {"freeze": "2025Q2", "horizon": 4, "revenue_wape_pct": 7.1, "op_wape_pct": 99.1, "n": 4, "note": "단일 회사 4분기 — 통계 아님", "driver_at_freeze": "trend_seasonal", "selection_oos_at_freeze": null,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1894.0, "rev_act": 2052.74, "op_pred": 77.15, "op_act": -0.39}, {"q": "2025Q4", "rev_pred": 2042.29, "rev_act": 1871.9, "op_pred": 83.19, "op_act": -5.64}, {"q": "2026Q1", "rev_pred": 1934.7, "rev_act": 1966.68, "op_pred": 78.8, "op_act": 132.39}, {"q": "2026Q2", "rev_pred": 2071.1, "rev_act": 2290.92, "op_pred": 84.36, "op_act": 179.9}]}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1337.49</v>
      </c>
      <c r="AE6" s="17" t="n">
        <v>1451.19</v>
      </c>
      <c r="AF6" s="16" t="n">
        <v>1324.45</v>
      </c>
      <c r="AG6" s="16" t="n">
        <v>1324.45</v>
      </c>
      <c r="AH6" s="16" t="n">
        <v>1324.45</v>
      </c>
      <c r="AI6" s="16" t="n">
        <v>1324.45</v>
      </c>
      <c r="AJ6" s="11" t="n"/>
      <c r="AK6" s="16" t="n">
        <v>1324.45</v>
      </c>
      <c r="AL6" s="16" t="n">
        <v>1324.45</v>
      </c>
      <c r="AM6" s="16" t="n">
        <v>1324.45</v>
      </c>
      <c r="AN6" s="16" t="n">
        <v>1324.45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1324.45</v>
      </c>
      <c r="AE7" s="17" t="n">
        <v>1324.45</v>
      </c>
      <c r="AF7" s="16" t="n">
        <v>1324.45</v>
      </c>
      <c r="AG7" s="16" t="n">
        <v>1324.45</v>
      </c>
      <c r="AH7" s="16" t="n">
        <v>1324.45</v>
      </c>
      <c r="AI7" s="16" t="n">
        <v>1324.45</v>
      </c>
      <c r="AJ7" s="11" t="n"/>
      <c r="AK7" s="16" t="n">
        <v>1324.45</v>
      </c>
      <c r="AL7" s="16" t="n">
        <v>1324.45</v>
      </c>
      <c r="AM7" s="16" t="n">
        <v>1324.45</v>
      </c>
      <c r="AN7" s="16" t="n">
        <v>1324.45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846.51</v>
      </c>
      <c r="AE8" s="17" t="n">
        <v>915.5700000000001</v>
      </c>
      <c r="AF8" s="16" t="n">
        <v>844.67</v>
      </c>
      <c r="AG8" s="16" t="n">
        <v>844.67</v>
      </c>
      <c r="AH8" s="16" t="n">
        <v>844.67</v>
      </c>
      <c r="AI8" s="16" t="n">
        <v>844.67</v>
      </c>
      <c r="AJ8" s="11" t="n"/>
      <c r="AK8" s="16" t="n">
        <v>844.67</v>
      </c>
      <c r="AL8" s="16" t="n">
        <v>844.67</v>
      </c>
      <c r="AM8" s="16" t="n">
        <v>844.67</v>
      </c>
      <c r="AN8" s="16" t="n">
        <v>844.67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844.67</v>
      </c>
      <c r="AE9" s="17" t="n">
        <v>844.67</v>
      </c>
      <c r="AF9" s="16" t="n">
        <v>844.67</v>
      </c>
      <c r="AG9" s="16" t="n">
        <v>844.67</v>
      </c>
      <c r="AH9" s="16" t="n">
        <v>844.67</v>
      </c>
      <c r="AI9" s="16" t="n">
        <v>844.67</v>
      </c>
      <c r="AJ9" s="11" t="n"/>
      <c r="AK9" s="16" t="n">
        <v>844.67</v>
      </c>
      <c r="AL9" s="16" t="n">
        <v>844.67</v>
      </c>
      <c r="AM9" s="16" t="n">
        <v>844.67</v>
      </c>
      <c r="AN9" s="16" t="n">
        <v>844.67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1500.06</v>
      </c>
      <c r="AE10" s="17" t="n">
        <v>1680.5</v>
      </c>
      <c r="AF10" s="16" t="n">
        <v>1482.45</v>
      </c>
      <c r="AG10" s="16" t="n">
        <v>1482.45</v>
      </c>
      <c r="AH10" s="16" t="n">
        <v>1482.45</v>
      </c>
      <c r="AI10" s="16" t="n">
        <v>1482.45</v>
      </c>
      <c r="AJ10" s="11" t="n"/>
      <c r="AK10" s="16" t="n">
        <v>1482.45</v>
      </c>
      <c r="AL10" s="16" t="n">
        <v>1482.45</v>
      </c>
      <c r="AM10" s="16" t="n">
        <v>1482.45</v>
      </c>
      <c r="AN10" s="16" t="n">
        <v>1482.45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1482.45</v>
      </c>
      <c r="AE11" s="17" t="n">
        <v>1482.45</v>
      </c>
      <c r="AF11" s="16" t="n">
        <v>1482.45</v>
      </c>
      <c r="AG11" s="16" t="n">
        <v>1482.45</v>
      </c>
      <c r="AH11" s="16" t="n">
        <v>1482.45</v>
      </c>
      <c r="AI11" s="16" t="n">
        <v>1482.45</v>
      </c>
      <c r="AJ11" s="11" t="n"/>
      <c r="AK11" s="16" t="n">
        <v>1482.45</v>
      </c>
      <c r="AL11" s="16" t="n">
        <v>1482.45</v>
      </c>
      <c r="AM11" s="16" t="n">
        <v>1482.45</v>
      </c>
      <c r="AN11" s="16" t="n">
        <v>1482.45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199.88</v>
      </c>
      <c r="AE12" s="17" t="n">
        <v>213.06</v>
      </c>
      <c r="AF12" s="16" t="n">
        <v>198.56</v>
      </c>
      <c r="AG12" s="16" t="n">
        <v>198.56</v>
      </c>
      <c r="AH12" s="16" t="n">
        <v>198.56</v>
      </c>
      <c r="AI12" s="16" t="n">
        <v>198.56</v>
      </c>
      <c r="AJ12" s="11" t="n"/>
      <c r="AK12" s="16" t="n">
        <v>198.56</v>
      </c>
      <c r="AL12" s="16" t="n">
        <v>198.56</v>
      </c>
      <c r="AM12" s="16" t="n">
        <v>198.56</v>
      </c>
      <c r="AN12" s="16" t="n">
        <v>198.56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198.56</v>
      </c>
      <c r="AE13" s="17" t="n">
        <v>198.56</v>
      </c>
      <c r="AF13" s="16" t="n">
        <v>198.56</v>
      </c>
      <c r="AG13" s="16" t="n">
        <v>198.56</v>
      </c>
      <c r="AH13" s="16" t="n">
        <v>198.56</v>
      </c>
      <c r="AI13" s="16" t="n">
        <v>198.56</v>
      </c>
      <c r="AJ13" s="11" t="n"/>
      <c r="AK13" s="16" t="n">
        <v>198.56</v>
      </c>
      <c r="AL13" s="16" t="n">
        <v>198.56</v>
      </c>
      <c r="AM13" s="16" t="n">
        <v>198.56</v>
      </c>
      <c r="AN13" s="16" t="n">
        <v>198.56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7820</v>
      </c>
      <c r="F15" s="9" t="n"/>
      <c r="G15" s="18" t="n">
        <v>9730</v>
      </c>
      <c r="H15" s="18" t="n">
        <v>6980</v>
      </c>
      <c r="I15" s="18" t="n">
        <v>5170</v>
      </c>
      <c r="J15" s="18" t="n">
        <v>6190</v>
      </c>
      <c r="K15" s="9" t="n"/>
      <c r="L15" s="18" t="n">
        <v>5370</v>
      </c>
      <c r="M15" s="18" t="n">
        <v>7310</v>
      </c>
      <c r="N15" s="18" t="n">
        <v>5590</v>
      </c>
      <c r="O15" s="18" t="n">
        <v>5680</v>
      </c>
      <c r="P15" s="9" t="n"/>
      <c r="Q15" s="18" t="n">
        <v>5680</v>
      </c>
      <c r="R15" s="18" t="n">
        <v>4970</v>
      </c>
      <c r="S15" s="18" t="n">
        <v>4330</v>
      </c>
      <c r="T15" s="18" t="n">
        <v>3900</v>
      </c>
      <c r="U15" s="9" t="n"/>
      <c r="V15" s="18" t="n">
        <v>4300</v>
      </c>
      <c r="W15" s="18" t="n">
        <v>4590</v>
      </c>
      <c r="X15" s="18" t="n">
        <v>4770</v>
      </c>
      <c r="Y15" s="18" t="n">
        <v>6060</v>
      </c>
      <c r="Z15" s="9" t="n"/>
      <c r="AA15" s="18" t="n">
        <v>4720</v>
      </c>
      <c r="AB15" s="19" t="n">
        <v>4080</v>
      </c>
      <c r="AC15" s="20" t="n">
        <v>4850</v>
      </c>
      <c r="AD15" s="20" t="n">
        <v>4015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8360</v>
      </c>
      <c r="F16" s="9" t="n"/>
      <c r="G16" s="18" t="n">
        <v>10200</v>
      </c>
      <c r="H16" s="18" t="n">
        <v>10800</v>
      </c>
      <c r="I16" s="18" t="n">
        <v>8000</v>
      </c>
      <c r="J16" s="18" t="n">
        <v>8440</v>
      </c>
      <c r="K16" s="9" t="n"/>
      <c r="L16" s="18" t="n">
        <v>6600</v>
      </c>
      <c r="M16" s="18" t="n">
        <v>8230</v>
      </c>
      <c r="N16" s="18" t="n">
        <v>7930</v>
      </c>
      <c r="O16" s="18" t="n">
        <v>6120</v>
      </c>
      <c r="P16" s="9" t="n"/>
      <c r="Q16" s="18" t="n">
        <v>6540</v>
      </c>
      <c r="R16" s="18" t="n">
        <v>5730</v>
      </c>
      <c r="S16" s="18" t="n">
        <v>5270</v>
      </c>
      <c r="T16" s="18" t="n">
        <v>5150</v>
      </c>
      <c r="U16" s="9" t="n"/>
      <c r="V16" s="18" t="n">
        <v>5640</v>
      </c>
      <c r="W16" s="18" t="n">
        <v>5120</v>
      </c>
      <c r="X16" s="18" t="n">
        <v>6280</v>
      </c>
      <c r="Y16" s="18" t="n">
        <v>8470</v>
      </c>
      <c r="Z16" s="9" t="n"/>
      <c r="AA16" s="18" t="n">
        <v>6730</v>
      </c>
      <c r="AB16" s="19" t="n">
        <v>6590</v>
      </c>
      <c r="AC16" s="20" t="n">
        <v>5450</v>
      </c>
      <c r="AD16" s="20" t="n">
        <v>5040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7500</v>
      </c>
      <c r="F17" s="9" t="n"/>
      <c r="G17" s="18" t="n">
        <v>7520</v>
      </c>
      <c r="H17" s="18" t="n">
        <v>6480</v>
      </c>
      <c r="I17" s="18" t="n">
        <v>4995</v>
      </c>
      <c r="J17" s="18" t="n">
        <v>4795</v>
      </c>
      <c r="K17" s="9" t="n"/>
      <c r="L17" s="18" t="n">
        <v>4990</v>
      </c>
      <c r="M17" s="18" t="n">
        <v>4990</v>
      </c>
      <c r="N17" s="18" t="n">
        <v>5410</v>
      </c>
      <c r="O17" s="18" t="n">
        <v>5220</v>
      </c>
      <c r="P17" s="9" t="n"/>
      <c r="Q17" s="18" t="n">
        <v>5560</v>
      </c>
      <c r="R17" s="18" t="n">
        <v>4945</v>
      </c>
      <c r="S17" s="18" t="n">
        <v>3985</v>
      </c>
      <c r="T17" s="18" t="n">
        <v>3800</v>
      </c>
      <c r="U17" s="9" t="n"/>
      <c r="V17" s="18" t="n">
        <v>3860</v>
      </c>
      <c r="W17" s="18" t="n">
        <v>3910</v>
      </c>
      <c r="X17" s="18" t="n">
        <v>4080</v>
      </c>
      <c r="Y17" s="18" t="n">
        <v>4640</v>
      </c>
      <c r="Z17" s="9" t="n"/>
      <c r="AA17" s="18" t="n">
        <v>4630</v>
      </c>
      <c r="AB17" s="19" t="n">
        <v>3700</v>
      </c>
      <c r="AC17" s="20" t="n">
        <v>3420</v>
      </c>
      <c r="AD17" s="20" t="n">
        <v>3940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7937.3</v>
      </c>
      <c r="F18" s="9" t="n"/>
      <c r="G18" s="18" t="n">
        <v>8495.299999999999</v>
      </c>
      <c r="H18" s="18" t="n">
        <v>8934.700000000001</v>
      </c>
      <c r="I18" s="18" t="n">
        <v>6809.2</v>
      </c>
      <c r="J18" s="18" t="n">
        <v>6044.1</v>
      </c>
      <c r="K18" s="9" t="n"/>
      <c r="L18" s="18" t="n">
        <v>5873.9</v>
      </c>
      <c r="M18" s="18" t="n">
        <v>5608.7</v>
      </c>
      <c r="N18" s="18" t="n">
        <v>6340.2</v>
      </c>
      <c r="O18" s="18" t="n">
        <v>5610</v>
      </c>
      <c r="P18" s="9" t="n"/>
      <c r="Q18" s="18" t="n">
        <v>6043.4</v>
      </c>
      <c r="R18" s="18" t="n">
        <v>5328.6</v>
      </c>
      <c r="S18" s="18" t="n">
        <v>4714.3</v>
      </c>
      <c r="T18" s="18" t="n">
        <v>4248.3</v>
      </c>
      <c r="U18" s="9" t="n"/>
      <c r="V18" s="18" t="n">
        <v>4115.6</v>
      </c>
      <c r="W18" s="18" t="n">
        <v>4586.2</v>
      </c>
      <c r="X18" s="18" t="n">
        <v>4743.5</v>
      </c>
      <c r="Y18" s="18" t="n">
        <v>6017.2</v>
      </c>
      <c r="Z18" s="9" t="n"/>
      <c r="AA18" s="18" t="n">
        <v>5625.4</v>
      </c>
      <c r="AB18" s="19" t="n">
        <v>4864.8</v>
      </c>
      <c r="AC18" s="20" t="n">
        <v>4234.7</v>
      </c>
      <c r="AD18" s="20" t="n">
        <v>4361.2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0.007322264</v>
      </c>
      <c r="AD21" s="24" t="n">
        <v>0.007324486</v>
      </c>
      <c r="AE21" s="25" t="n"/>
      <c r="AF21" s="24" t="n">
        <v>0.007323828</v>
      </c>
      <c r="AG21" s="24" t="n">
        <v>0.007323205</v>
      </c>
      <c r="AH21" s="24" t="n">
        <v>0.003660949</v>
      </c>
      <c r="AI21" s="24" t="n">
        <v>0.003659293</v>
      </c>
      <c r="AJ21" s="25" t="n"/>
      <c r="AK21" s="24" t="n">
        <v>0.00365962</v>
      </c>
      <c r="AL21" s="24" t="n">
        <v>0.003661654</v>
      </c>
      <c r="AM21" s="24" t="n">
        <v>0.001831025</v>
      </c>
      <c r="AN21" s="24" t="n">
        <v>0.001833544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$D$51</f>
        <v/>
      </c>
      <c r="AD22" s="26">
        <f>$D$51</f>
        <v/>
      </c>
      <c r="AE22" s="25">
        <f>IFERROR(subQ!AE8/subQ!AE5,"")</f>
        <v/>
      </c>
      <c r="AF22" s="26">
        <f>$D$51</f>
        <v/>
      </c>
      <c r="AG22" s="26">
        <f>$D$51</f>
        <v/>
      </c>
      <c r="AH22" s="26">
        <f>$D$51</f>
        <v/>
      </c>
      <c r="AI22" s="26">
        <f>$D$51</f>
        <v/>
      </c>
      <c r="AJ22" s="25">
        <f>IFERROR(subQ!AJ8/subQ!AJ5,"")</f>
        <v/>
      </c>
      <c r="AK22" s="26">
        <f>$D$51</f>
        <v/>
      </c>
      <c r="AL22" s="26">
        <f>$D$51</f>
        <v/>
      </c>
      <c r="AM22" s="26">
        <f>$D$51</f>
        <v/>
      </c>
      <c r="AN22" s="26">
        <f>$D$51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0.026772804</v>
      </c>
      <c r="AD23" s="24" t="n">
        <v>0.026771177</v>
      </c>
      <c r="AE23" s="25">
        <f>IFERROR(subQ!AE9/subQ!AE5,"")</f>
        <v/>
      </c>
      <c r="AF23" s="24" t="n">
        <v>0.026773275</v>
      </c>
      <c r="AG23" s="24" t="n">
        <v>0.026771244</v>
      </c>
      <c r="AH23" s="24" t="n">
        <v>0.026771517</v>
      </c>
      <c r="AI23" s="24" t="n">
        <v>0.026773967</v>
      </c>
      <c r="AJ23" s="25">
        <f>IFERROR(subQ!AJ9/subQ!AJ5,"")</f>
        <v/>
      </c>
      <c r="AK23" s="24" t="n">
        <v>0.02677121</v>
      </c>
      <c r="AL23" s="24" t="n">
        <v>0.026772877</v>
      </c>
      <c r="AM23" s="24" t="n">
        <v>0.026770684</v>
      </c>
      <c r="AN23" s="24" t="n">
        <v>0.026772434</v>
      </c>
      <c r="AO23" s="25">
        <f>IFERROR(subQ!AO9/subQ!AO5,"")</f>
        <v/>
      </c>
    </row>
    <row r="24">
      <c r="A24" s="12" t="inlineStr">
        <is>
          <t>drv:기타영업외손익</t>
        </is>
      </c>
      <c r="B24" s="2" t="inlineStr">
        <is>
          <t>abs</t>
        </is>
      </c>
      <c r="C24" t="inlineStr">
        <is>
          <t>기타영업외손익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drv:지분법손익</t>
        </is>
      </c>
      <c r="B25" s="2" t="inlineStr">
        <is>
          <t>abs</t>
        </is>
      </c>
      <c r="C25" t="inlineStr">
        <is>
          <t>지분법손익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10.37</v>
      </c>
      <c r="AD25" s="30" t="n">
        <v>10.37</v>
      </c>
      <c r="AE25" s="31">
        <f>subQ!AE14</f>
        <v/>
      </c>
      <c r="AF25" s="30" t="n">
        <v>10.37</v>
      </c>
      <c r="AG25" s="30" t="n">
        <v>10.37</v>
      </c>
      <c r="AH25" s="30" t="n">
        <v>10.37</v>
      </c>
      <c r="AI25" s="30" t="n">
        <v>10.37</v>
      </c>
      <c r="AJ25" s="31">
        <f>subQ!AJ14</f>
        <v/>
      </c>
      <c r="AK25" s="30" t="n">
        <v>10.37</v>
      </c>
      <c r="AL25" s="30" t="n">
        <v>10.37</v>
      </c>
      <c r="AM25" s="30" t="n">
        <v>10.37</v>
      </c>
      <c r="AN25" s="30" t="n">
        <v>10.37</v>
      </c>
      <c r="AO25" s="31">
        <f>subQ!AO14</f>
        <v/>
      </c>
    </row>
    <row r="26">
      <c r="A26" s="12" t="inlineStr">
        <is>
          <t>drv:법인세비용</t>
        </is>
      </c>
      <c r="B26" s="2" t="inlineStr">
        <is>
          <t>tax</t>
        </is>
      </c>
      <c r="C26" t="inlineStr">
        <is>
          <t>법인세율(/세전) — 법인세 = MAX(세전,0) × 세율</t>
        </is>
      </c>
      <c r="E26" s="21">
        <f>IFERROR(subQ!E16/subQ!E15,"")</f>
        <v/>
      </c>
      <c r="F26" s="22">
        <f>IFERROR(subQ!F16/subQ!F15,"")</f>
        <v/>
      </c>
      <c r="G26" s="21">
        <f>IFERROR(subQ!G16/subQ!G15,"")</f>
        <v/>
      </c>
      <c r="H26" s="21">
        <f>IFERROR(subQ!H16/subQ!H15,"")</f>
        <v/>
      </c>
      <c r="I26" s="21">
        <f>IFERROR(subQ!I16/subQ!I15,"")</f>
        <v/>
      </c>
      <c r="J26" s="21">
        <f>IFERROR(subQ!J16/subQ!J15,"")</f>
        <v/>
      </c>
      <c r="K26" s="22">
        <f>IFERROR(subQ!K16/subQ!K15,"")</f>
        <v/>
      </c>
      <c r="L26" s="21">
        <f>IFERROR(subQ!L16/subQ!L15,"")</f>
        <v/>
      </c>
      <c r="M26" s="21">
        <f>IFERROR(subQ!M16/subQ!M15,"")</f>
        <v/>
      </c>
      <c r="N26" s="21">
        <f>IFERROR(subQ!N16/subQ!N15,"")</f>
        <v/>
      </c>
      <c r="O26" s="21">
        <f>IFERROR(subQ!O16/subQ!O15,"")</f>
        <v/>
      </c>
      <c r="P26" s="22">
        <f>IFERROR(subQ!P16/subQ!P15,"")</f>
        <v/>
      </c>
      <c r="Q26" s="21">
        <f>IFERROR(subQ!Q16/subQ!Q15,"")</f>
        <v/>
      </c>
      <c r="R26" s="21">
        <f>IFERROR(subQ!R16/subQ!R15,"")</f>
        <v/>
      </c>
      <c r="S26" s="21">
        <f>IFERROR(subQ!S16/subQ!S15,"")</f>
        <v/>
      </c>
      <c r="T26" s="21">
        <f>IFERROR(subQ!T16/subQ!T15,"")</f>
        <v/>
      </c>
      <c r="U26" s="22">
        <f>IFERROR(subQ!U16/subQ!U15,"")</f>
        <v/>
      </c>
      <c r="V26" s="21">
        <f>IFERROR(subQ!V16/subQ!V15,"")</f>
        <v/>
      </c>
      <c r="W26" s="21">
        <f>IFERROR(subQ!W16/subQ!W15,"")</f>
        <v/>
      </c>
      <c r="X26" s="21">
        <f>IFERROR(subQ!X16/subQ!X15,"")</f>
        <v/>
      </c>
      <c r="Y26" s="21">
        <f>IFERROR(subQ!Y16/subQ!Y15,"")</f>
        <v/>
      </c>
      <c r="Z26" s="22">
        <f>IFERROR(subQ!Z16/subQ!Z15,"")</f>
        <v/>
      </c>
      <c r="AA26" s="21">
        <f>IFERROR(subQ!AA16/subQ!AA15,"")</f>
        <v/>
      </c>
      <c r="AB26" s="23">
        <f>IFERROR(subQ!AB16/subQ!AB15,"")</f>
        <v/>
      </c>
      <c r="AC26" s="26">
        <f>$D$50</f>
        <v/>
      </c>
      <c r="AD26" s="26">
        <f>$D$50</f>
        <v/>
      </c>
      <c r="AE26" s="25">
        <f>IFERROR(subQ!AE16/subQ!AE15,"")</f>
        <v/>
      </c>
      <c r="AF26" s="26">
        <f>$D$50</f>
        <v/>
      </c>
      <c r="AG26" s="26">
        <f>$D$50</f>
        <v/>
      </c>
      <c r="AH26" s="26">
        <f>$D$50</f>
        <v/>
      </c>
      <c r="AI26" s="26">
        <f>$D$50</f>
        <v/>
      </c>
      <c r="AJ26" s="25">
        <f>IFERROR(subQ!AJ16/subQ!AJ15,"")</f>
        <v/>
      </c>
      <c r="AK26" s="26">
        <f>$D$50</f>
        <v/>
      </c>
      <c r="AL26" s="26">
        <f>$D$50</f>
        <v/>
      </c>
      <c r="AM26" s="26">
        <f>$D$50</f>
        <v/>
      </c>
      <c r="AN26" s="26">
        <f>$D$50</f>
        <v/>
      </c>
      <c r="AO26" s="25">
        <f>IFERROR(subQ!AO16/subQ!AO15,"")</f>
        <v/>
      </c>
    </row>
    <row r="27">
      <c r="A27" s="12" t="inlineStr">
        <is>
          <t>drv:지배주주순이익</t>
        </is>
      </c>
      <c r="B27" s="2" t="inlineStr">
        <is>
          <t>ratio</t>
        </is>
      </c>
      <c r="C27" t="inlineStr">
        <is>
          <t>지배주주 비중(/당기순이익)</t>
        </is>
      </c>
      <c r="E27" s="21">
        <f>IFERROR(subQ!E18/subQ!E17,"")</f>
        <v/>
      </c>
      <c r="F27" s="22">
        <f>IFERROR(subQ!F18/subQ!F17,"")</f>
        <v/>
      </c>
      <c r="G27" s="21">
        <f>IFERROR(subQ!G18/subQ!G17,"")</f>
        <v/>
      </c>
      <c r="H27" s="21">
        <f>IFERROR(subQ!H18/subQ!H17,"")</f>
        <v/>
      </c>
      <c r="I27" s="21">
        <f>IFERROR(subQ!I18/subQ!I17,"")</f>
        <v/>
      </c>
      <c r="J27" s="21">
        <f>IFERROR(subQ!J18/subQ!J17,"")</f>
        <v/>
      </c>
      <c r="K27" s="22">
        <f>IFERROR(subQ!K18/subQ!K17,"")</f>
        <v/>
      </c>
      <c r="L27" s="21">
        <f>IFERROR(subQ!L18/subQ!L17,"")</f>
        <v/>
      </c>
      <c r="M27" s="21">
        <f>IFERROR(subQ!M18/subQ!M17,"")</f>
        <v/>
      </c>
      <c r="N27" s="21">
        <f>IFERROR(subQ!N18/subQ!N17,"")</f>
        <v/>
      </c>
      <c r="O27" s="21">
        <f>IFERROR(subQ!O18/subQ!O17,"")</f>
        <v/>
      </c>
      <c r="P27" s="22">
        <f>IFERROR(subQ!P18/subQ!P17,"")</f>
        <v/>
      </c>
      <c r="Q27" s="21">
        <f>IFERROR(subQ!Q18/subQ!Q17,"")</f>
        <v/>
      </c>
      <c r="R27" s="21">
        <f>IFERROR(subQ!R18/subQ!R17,"")</f>
        <v/>
      </c>
      <c r="S27" s="21">
        <f>IFERROR(subQ!S18/subQ!S17,"")</f>
        <v/>
      </c>
      <c r="T27" s="21">
        <f>IFERROR(subQ!T18/subQ!T17,"")</f>
        <v/>
      </c>
      <c r="U27" s="22">
        <f>IFERROR(subQ!U18/subQ!U17,"")</f>
        <v/>
      </c>
      <c r="V27" s="21">
        <f>IFERROR(subQ!V18/subQ!V17,"")</f>
        <v/>
      </c>
      <c r="W27" s="21">
        <f>IFERROR(subQ!W18/subQ!W17,"")</f>
        <v/>
      </c>
      <c r="X27" s="21">
        <f>IFERROR(subQ!X18/subQ!X17,"")</f>
        <v/>
      </c>
      <c r="Y27" s="21">
        <f>IFERROR(subQ!Y18/subQ!Y17,"")</f>
        <v/>
      </c>
      <c r="Z27" s="22">
        <f>IFERROR(subQ!Z18/subQ!Z17,"")</f>
        <v/>
      </c>
      <c r="AA27" s="21">
        <f>IFERROR(subQ!AA18/subQ!AA17,"")</f>
        <v/>
      </c>
      <c r="AB27" s="23">
        <f>IFERROR(subQ!AB18/subQ!AB17,"")</f>
        <v/>
      </c>
      <c r="AC27" s="26">
        <f>$D$52</f>
        <v/>
      </c>
      <c r="AD27" s="26">
        <f>$D$52</f>
        <v/>
      </c>
      <c r="AE27" s="25">
        <f>IFERROR(subQ!AE18/subQ!AE17,"")</f>
        <v/>
      </c>
      <c r="AF27" s="26">
        <f>$D$52</f>
        <v/>
      </c>
      <c r="AG27" s="26">
        <f>$D$52</f>
        <v/>
      </c>
      <c r="AH27" s="26">
        <f>$D$52</f>
        <v/>
      </c>
      <c r="AI27" s="26">
        <f>$D$52</f>
        <v/>
      </c>
      <c r="AJ27" s="25">
        <f>IFERROR(subQ!AJ18/subQ!AJ17,"")</f>
        <v/>
      </c>
      <c r="AK27" s="26">
        <f>$D$52</f>
        <v/>
      </c>
      <c r="AL27" s="26">
        <f>$D$52</f>
        <v/>
      </c>
      <c r="AM27" s="26">
        <f>$D$52</f>
        <v/>
      </c>
      <c r="AN27" s="26">
        <f>$D$52</f>
        <v/>
      </c>
      <c r="AO27" s="25">
        <f>IFERROR(subQ!AO18/subQ!AO17,"")</f>
        <v/>
      </c>
    </row>
    <row r="28">
      <c r="A28" s="12" t="inlineStr">
        <is>
          <t>drv:중단사업이익</t>
        </is>
      </c>
      <c r="B28" s="2" t="inlineStr">
        <is>
          <t>abs</t>
        </is>
      </c>
      <c r="C28" t="inlineStr">
        <is>
          <t>중단사업이익 (가정, 억원)</t>
        </is>
      </c>
      <c r="E28" s="27">
        <f>subQ!E19</f>
        <v/>
      </c>
      <c r="F28" s="28">
        <f>subQ!F19</f>
        <v/>
      </c>
      <c r="G28" s="27">
        <f>subQ!G19</f>
        <v/>
      </c>
      <c r="H28" s="27">
        <f>subQ!H19</f>
        <v/>
      </c>
      <c r="I28" s="27">
        <f>subQ!I19</f>
        <v/>
      </c>
      <c r="J28" s="27">
        <f>subQ!J19</f>
        <v/>
      </c>
      <c r="K28" s="28">
        <f>subQ!K19</f>
        <v/>
      </c>
      <c r="L28" s="27">
        <f>subQ!L19</f>
        <v/>
      </c>
      <c r="M28" s="27">
        <f>subQ!M19</f>
        <v/>
      </c>
      <c r="N28" s="27">
        <f>subQ!N19</f>
        <v/>
      </c>
      <c r="O28" s="27">
        <f>subQ!O19</f>
        <v/>
      </c>
      <c r="P28" s="28">
        <f>subQ!P19</f>
        <v/>
      </c>
      <c r="Q28" s="27">
        <f>subQ!Q19</f>
        <v/>
      </c>
      <c r="R28" s="27">
        <f>subQ!R19</f>
        <v/>
      </c>
      <c r="S28" s="27">
        <f>subQ!S19</f>
        <v/>
      </c>
      <c r="T28" s="27">
        <f>subQ!T19</f>
        <v/>
      </c>
      <c r="U28" s="28">
        <f>subQ!U19</f>
        <v/>
      </c>
      <c r="V28" s="27">
        <f>subQ!V19</f>
        <v/>
      </c>
      <c r="W28" s="27">
        <f>subQ!W19</f>
        <v/>
      </c>
      <c r="X28" s="27">
        <f>subQ!X19</f>
        <v/>
      </c>
      <c r="Y28" s="27">
        <f>subQ!Y19</f>
        <v/>
      </c>
      <c r="Z28" s="28">
        <f>subQ!Z19</f>
        <v/>
      </c>
      <c r="AA28" s="27">
        <f>subQ!AA19</f>
        <v/>
      </c>
      <c r="AB28" s="29">
        <f>subQ!AB19</f>
        <v/>
      </c>
      <c r="AC28" s="32" t="n"/>
      <c r="AD28" s="32" t="n"/>
      <c r="AE28" s="31">
        <f>subQ!AE19</f>
        <v/>
      </c>
      <c r="AF28" s="32" t="n"/>
      <c r="AG28" s="32" t="n"/>
      <c r="AH28" s="32" t="n"/>
      <c r="AI28" s="32" t="n"/>
      <c r="AJ28" s="31">
        <f>subQ!AJ19</f>
        <v/>
      </c>
      <c r="AK28" s="32" t="n"/>
      <c r="AL28" s="32" t="n"/>
      <c r="AM28" s="32" t="n"/>
      <c r="AN28" s="32" t="n"/>
      <c r="AO28" s="31">
        <f>subQ!AO19</f>
        <v/>
      </c>
    </row>
    <row r="29">
      <c r="A29" s="12" t="inlineStr">
        <is>
          <t>drv:감가상각비</t>
        </is>
      </c>
      <c r="B29" s="2" t="inlineStr">
        <is>
          <t>abs</t>
        </is>
      </c>
      <c r="C29" t="inlineStr">
        <is>
          <t>감가상각비 (가정, 억원)</t>
        </is>
      </c>
      <c r="E29" s="27">
        <f>subQ!E20</f>
        <v/>
      </c>
      <c r="F29" s="28">
        <f>subQ!F20</f>
        <v/>
      </c>
      <c r="G29" s="27">
        <f>subQ!G20</f>
        <v/>
      </c>
      <c r="H29" s="27">
        <f>subQ!H20</f>
        <v/>
      </c>
      <c r="I29" s="27">
        <f>subQ!I20</f>
        <v/>
      </c>
      <c r="J29" s="27">
        <f>subQ!J20</f>
        <v/>
      </c>
      <c r="K29" s="28">
        <f>subQ!K20</f>
        <v/>
      </c>
      <c r="L29" s="27">
        <f>subQ!L20</f>
        <v/>
      </c>
      <c r="M29" s="27">
        <f>subQ!M20</f>
        <v/>
      </c>
      <c r="N29" s="27">
        <f>subQ!N20</f>
        <v/>
      </c>
      <c r="O29" s="27">
        <f>subQ!O20</f>
        <v/>
      </c>
      <c r="P29" s="28">
        <f>subQ!P20</f>
        <v/>
      </c>
      <c r="Q29" s="27">
        <f>subQ!Q20</f>
        <v/>
      </c>
      <c r="R29" s="27">
        <f>subQ!R20</f>
        <v/>
      </c>
      <c r="S29" s="27">
        <f>subQ!S20</f>
        <v/>
      </c>
      <c r="T29" s="27">
        <f>subQ!T20</f>
        <v/>
      </c>
      <c r="U29" s="28">
        <f>subQ!U20</f>
        <v/>
      </c>
      <c r="V29" s="27">
        <f>subQ!V20</f>
        <v/>
      </c>
      <c r="W29" s="27">
        <f>subQ!W20</f>
        <v/>
      </c>
      <c r="X29" s="27">
        <f>subQ!X20</f>
        <v/>
      </c>
      <c r="Y29" s="27">
        <f>subQ!Y20</f>
        <v/>
      </c>
      <c r="Z29" s="28">
        <f>subQ!Z20</f>
        <v/>
      </c>
      <c r="AA29" s="27">
        <f>subQ!AA20</f>
        <v/>
      </c>
      <c r="AB29" s="29">
        <f>subQ!AB20</f>
        <v/>
      </c>
      <c r="AC29" s="30" t="n">
        <v>157.74</v>
      </c>
      <c r="AD29" s="30" t="n">
        <v>157.74</v>
      </c>
      <c r="AE29" s="31">
        <f>subQ!AE20</f>
        <v/>
      </c>
      <c r="AF29" s="30" t="n">
        <v>157.74</v>
      </c>
      <c r="AG29" s="30" t="n">
        <v>157.74</v>
      </c>
      <c r="AH29" s="30" t="n">
        <v>157.74</v>
      </c>
      <c r="AI29" s="30" t="n">
        <v>157.74</v>
      </c>
      <c r="AJ29" s="31">
        <f>subQ!AJ20</f>
        <v/>
      </c>
      <c r="AK29" s="30" t="n">
        <v>157.74</v>
      </c>
      <c r="AL29" s="30" t="n">
        <v>157.74</v>
      </c>
      <c r="AM29" s="30" t="n">
        <v>157.74</v>
      </c>
      <c r="AN29" s="30" t="n">
        <v>157.74</v>
      </c>
      <c r="AO29" s="31">
        <f>subQ!AO20</f>
        <v/>
      </c>
    </row>
    <row r="30">
      <c r="A30" s="12" t="inlineStr">
        <is>
          <t>drv:부채총계</t>
        </is>
      </c>
      <c r="B30" s="2" t="inlineStr">
        <is>
          <t>qoq</t>
        </is>
      </c>
      <c r="C30" t="inlineStr">
        <is>
          <t>부채총계 QoQ</t>
        </is>
      </c>
      <c r="E30" s="21" t="n"/>
      <c r="F30" s="22" t="n"/>
      <c r="G30" s="21">
        <f>IFERROR(subQ!G23/subQ!E23-1,"")</f>
        <v/>
      </c>
      <c r="H30" s="21">
        <f>IFERROR(subQ!H23/subQ!G23-1,"")</f>
        <v/>
      </c>
      <c r="I30" s="21">
        <f>IFERROR(subQ!I23/subQ!H23-1,"")</f>
        <v/>
      </c>
      <c r="J30" s="21">
        <f>IFERROR(subQ!J23/subQ!I23-1,"")</f>
        <v/>
      </c>
      <c r="K30" s="22" t="n"/>
      <c r="L30" s="21">
        <f>IFERROR(subQ!L23/subQ!J23-1,"")</f>
        <v/>
      </c>
      <c r="M30" s="21">
        <f>IFERROR(subQ!M23/subQ!L23-1,"")</f>
        <v/>
      </c>
      <c r="N30" s="21">
        <f>IFERROR(subQ!N23/subQ!M23-1,"")</f>
        <v/>
      </c>
      <c r="O30" s="21">
        <f>IFERROR(subQ!O23/subQ!N23-1,"")</f>
        <v/>
      </c>
      <c r="P30" s="22" t="n"/>
      <c r="Q30" s="21">
        <f>IFERROR(subQ!Q23/subQ!O23-1,"")</f>
        <v/>
      </c>
      <c r="R30" s="21">
        <f>IFERROR(subQ!R23/subQ!Q23-1,"")</f>
        <v/>
      </c>
      <c r="S30" s="21">
        <f>IFERROR(subQ!S23/subQ!R23-1,"")</f>
        <v/>
      </c>
      <c r="T30" s="21">
        <f>IFERROR(subQ!T23/subQ!S23-1,"")</f>
        <v/>
      </c>
      <c r="U30" s="22" t="n"/>
      <c r="V30" s="21">
        <f>IFERROR(subQ!V23/subQ!T23-1,"")</f>
        <v/>
      </c>
      <c r="W30" s="21">
        <f>IFERROR(subQ!W23/subQ!V23-1,"")</f>
        <v/>
      </c>
      <c r="X30" s="21">
        <f>IFERROR(subQ!X23/subQ!W23-1,"")</f>
        <v/>
      </c>
      <c r="Y30" s="21">
        <f>IFERROR(subQ!Y23/subQ!X23-1,"")</f>
        <v/>
      </c>
      <c r="Z30" s="22" t="n"/>
      <c r="AA30" s="21">
        <f>IFERROR(subQ!AA23/subQ!Y23-1,"")</f>
        <v/>
      </c>
      <c r="AB30" s="23">
        <f>IFERROR(subQ!AB23/subQ!AA23-1,"")</f>
        <v/>
      </c>
      <c r="AC30" s="24" t="n">
        <v>-3.7e-07</v>
      </c>
      <c r="AD30" s="24" t="n">
        <v>0</v>
      </c>
      <c r="AE30" s="25" t="n"/>
      <c r="AF30" s="24" t="n">
        <v>0</v>
      </c>
      <c r="AG30" s="24" t="n">
        <v>0</v>
      </c>
      <c r="AH30" s="24" t="n">
        <v>0</v>
      </c>
      <c r="AI30" s="24" t="n">
        <v>0</v>
      </c>
      <c r="AJ30" s="25" t="n"/>
      <c r="AK30" s="24" t="n">
        <v>0</v>
      </c>
      <c r="AL30" s="24" t="n">
        <v>0</v>
      </c>
      <c r="AM30" s="24" t="n">
        <v>0</v>
      </c>
      <c r="AN30" s="24" t="n">
        <v>0</v>
      </c>
      <c r="AO30" s="25" t="n"/>
    </row>
    <row r="31">
      <c r="A31" s="12" t="inlineStr">
        <is>
          <t>drv:자본총계</t>
        </is>
      </c>
      <c r="B31" s="2" t="inlineStr">
        <is>
          <t>roll</t>
        </is>
      </c>
      <c r="C31" t="inlineStr">
        <is>
          <t>자본총계 기타변동(배당 등, 억원)</t>
        </is>
      </c>
      <c r="E31" s="27" t="n"/>
      <c r="F31" s="28" t="n"/>
      <c r="G31" s="27">
        <f>IFERROR(subQ!E24+subQ!G17-subQ!G24,"")</f>
        <v/>
      </c>
      <c r="H31" s="27">
        <f>IFERROR(subQ!G24+subQ!H17-subQ!H24,"")</f>
        <v/>
      </c>
      <c r="I31" s="27">
        <f>IFERROR(subQ!H24+subQ!I17-subQ!I24,"")</f>
        <v/>
      </c>
      <c r="J31" s="27">
        <f>IFERROR(subQ!I24+subQ!J17-subQ!J24,"")</f>
        <v/>
      </c>
      <c r="K31" s="28" t="n"/>
      <c r="L31" s="27">
        <f>IFERROR(subQ!J24+subQ!L17-subQ!L24,"")</f>
        <v/>
      </c>
      <c r="M31" s="27">
        <f>IFERROR(subQ!L24+subQ!M17-subQ!M24,"")</f>
        <v/>
      </c>
      <c r="N31" s="27">
        <f>IFERROR(subQ!M24+subQ!N17-subQ!N24,"")</f>
        <v/>
      </c>
      <c r="O31" s="27">
        <f>IFERROR(subQ!N24+subQ!O17-subQ!O24,"")</f>
        <v/>
      </c>
      <c r="P31" s="28" t="n"/>
      <c r="Q31" s="27">
        <f>IFERROR(subQ!O24+subQ!Q17-subQ!Q24,"")</f>
        <v/>
      </c>
      <c r="R31" s="27">
        <f>IFERROR(subQ!Q24+subQ!R17-subQ!R24,"")</f>
        <v/>
      </c>
      <c r="S31" s="27">
        <f>IFERROR(subQ!R24+subQ!S17-subQ!S24,"")</f>
        <v/>
      </c>
      <c r="T31" s="27">
        <f>IFERROR(subQ!S24+subQ!T17-subQ!T24,"")</f>
        <v/>
      </c>
      <c r="U31" s="28" t="n"/>
      <c r="V31" s="27">
        <f>IFERROR(subQ!T24+subQ!V17-subQ!V24,"")</f>
        <v/>
      </c>
      <c r="W31" s="27">
        <f>IFERROR(subQ!V24+subQ!W17-subQ!W24,"")</f>
        <v/>
      </c>
      <c r="X31" s="27">
        <f>IFERROR(subQ!W24+subQ!X17-subQ!X24,"")</f>
        <v/>
      </c>
      <c r="Y31" s="27">
        <f>IFERROR(subQ!X24+subQ!Y17-subQ!Y24,"")</f>
        <v/>
      </c>
      <c r="Z31" s="28" t="n"/>
      <c r="AA31" s="27">
        <f>IFERROR(subQ!Y24+subQ!AA17-subQ!AA24,"")</f>
        <v/>
      </c>
      <c r="AB31" s="29">
        <f>IFERROR(subQ!AA24+subQ!AB17-subQ!AB24,"")</f>
        <v/>
      </c>
      <c r="AC31" s="30" t="n">
        <v>-0.003270729</v>
      </c>
      <c r="AD31" s="30" t="n">
        <v>-0.003910465</v>
      </c>
      <c r="AE31" s="31" t="n"/>
      <c r="AF31" s="30" t="n">
        <v>0.002227486</v>
      </c>
      <c r="AG31" s="30" t="n">
        <v>34.001435681</v>
      </c>
      <c r="AH31" s="30" t="n">
        <v>-0.002805422</v>
      </c>
      <c r="AI31" s="30" t="n">
        <v>-0.001083468</v>
      </c>
      <c r="AJ31" s="31" t="n"/>
      <c r="AK31" s="30" t="n">
        <v>0.002059293</v>
      </c>
      <c r="AL31" s="30" t="n">
        <v>33.9987527</v>
      </c>
      <c r="AM31" s="30" t="n">
        <v>-0.007099827</v>
      </c>
      <c r="AN31" s="30" t="n">
        <v>0.003702807</v>
      </c>
      <c r="AO31" s="31" t="n"/>
    </row>
    <row r="32">
      <c r="A32" s="12" t="inlineStr">
        <is>
          <t>drv:지배주주지분</t>
        </is>
      </c>
      <c r="B32" s="2" t="inlineStr">
        <is>
          <t>roll</t>
        </is>
      </c>
      <c r="C32" t="inlineStr">
        <is>
          <t>지배주주지분 기타변동(배당 등, 억원)</t>
        </is>
      </c>
      <c r="E32" s="27" t="n"/>
      <c r="F32" s="28" t="n"/>
      <c r="G32" s="27">
        <f>IFERROR(subQ!E25+subQ!G18-subQ!G25,"")</f>
        <v/>
      </c>
      <c r="H32" s="27">
        <f>IFERROR(subQ!G25+subQ!H18-subQ!H25,"")</f>
        <v/>
      </c>
      <c r="I32" s="27">
        <f>IFERROR(subQ!H25+subQ!I18-subQ!I25,"")</f>
        <v/>
      </c>
      <c r="J32" s="27">
        <f>IFERROR(subQ!I25+subQ!J18-subQ!J25,"")</f>
        <v/>
      </c>
      <c r="K32" s="28" t="n"/>
      <c r="L32" s="27">
        <f>IFERROR(subQ!J25+subQ!L18-subQ!L25,"")</f>
        <v/>
      </c>
      <c r="M32" s="27">
        <f>IFERROR(subQ!L25+subQ!M18-subQ!M25,"")</f>
        <v/>
      </c>
      <c r="N32" s="27">
        <f>IFERROR(subQ!M25+subQ!N18-subQ!N25,"")</f>
        <v/>
      </c>
      <c r="O32" s="27">
        <f>IFERROR(subQ!N25+subQ!O18-subQ!O25,"")</f>
        <v/>
      </c>
      <c r="P32" s="28" t="n"/>
      <c r="Q32" s="27">
        <f>IFERROR(subQ!O25+subQ!Q18-subQ!Q25,"")</f>
        <v/>
      </c>
      <c r="R32" s="27">
        <f>IFERROR(subQ!Q25+subQ!R18-subQ!R25,"")</f>
        <v/>
      </c>
      <c r="S32" s="27">
        <f>IFERROR(subQ!R25+subQ!S18-subQ!S25,"")</f>
        <v/>
      </c>
      <c r="T32" s="27">
        <f>IFERROR(subQ!S25+subQ!T18-subQ!T25,"")</f>
        <v/>
      </c>
      <c r="U32" s="28" t="n"/>
      <c r="V32" s="27">
        <f>IFERROR(subQ!T25+subQ!V18-subQ!V25,"")</f>
        <v/>
      </c>
      <c r="W32" s="27">
        <f>IFERROR(subQ!V25+subQ!W18-subQ!W25,"")</f>
        <v/>
      </c>
      <c r="X32" s="27">
        <f>IFERROR(subQ!W25+subQ!X18-subQ!X25,"")</f>
        <v/>
      </c>
      <c r="Y32" s="27">
        <f>IFERROR(subQ!X25+subQ!Y18-subQ!Y25,"")</f>
        <v/>
      </c>
      <c r="Z32" s="28" t="n"/>
      <c r="AA32" s="27">
        <f>IFERROR(subQ!Y25+subQ!AA18-subQ!AA25,"")</f>
        <v/>
      </c>
      <c r="AB32" s="29">
        <f>IFERROR(subQ!AA25+subQ!AB18-subQ!AB25,"")</f>
        <v/>
      </c>
      <c r="AC32" s="30" t="n">
        <v>0.001629271</v>
      </c>
      <c r="AD32" s="30" t="n">
        <v>-0.003910465</v>
      </c>
      <c r="AE32" s="31" t="n"/>
      <c r="AF32" s="30" t="n">
        <v>0.002227486</v>
      </c>
      <c r="AG32" s="30" t="n">
        <v>33.991435681</v>
      </c>
      <c r="AH32" s="30" t="n">
        <v>-0.002805422</v>
      </c>
      <c r="AI32" s="30" t="n">
        <v>0.008916532</v>
      </c>
      <c r="AJ32" s="31" t="n"/>
      <c r="AK32" s="30" t="n">
        <v>-0.007940707</v>
      </c>
      <c r="AL32" s="30" t="n">
        <v>33.9987527</v>
      </c>
      <c r="AM32" s="30" t="n">
        <v>0.002900173</v>
      </c>
      <c r="AN32" s="30" t="n">
        <v>-0.006297193</v>
      </c>
      <c r="AO32" s="31" t="n"/>
    </row>
    <row r="33">
      <c r="A33" s="12" t="inlineStr">
        <is>
          <t>drv:총차입금</t>
        </is>
      </c>
      <c r="B33" s="2" t="inlineStr">
        <is>
          <t>qoq</t>
        </is>
      </c>
      <c r="C33" t="inlineStr">
        <is>
          <t>총차입금 QoQ</t>
        </is>
      </c>
      <c r="E33" s="21" t="n"/>
      <c r="F33" s="22" t="n"/>
      <c r="G33" s="21">
        <f>IFERROR(subQ!G26/subQ!E26-1,"")</f>
        <v/>
      </c>
      <c r="H33" s="21">
        <f>IFERROR(subQ!H26/subQ!G26-1,"")</f>
        <v/>
      </c>
      <c r="I33" s="21">
        <f>IFERROR(subQ!I26/subQ!H26-1,"")</f>
        <v/>
      </c>
      <c r="J33" s="21">
        <f>IFERROR(subQ!J26/subQ!I26-1,"")</f>
        <v/>
      </c>
      <c r="K33" s="22" t="n"/>
      <c r="L33" s="21">
        <f>IFERROR(subQ!L26/subQ!J26-1,"")</f>
        <v/>
      </c>
      <c r="M33" s="21">
        <f>IFERROR(subQ!M26/subQ!L26-1,"")</f>
        <v/>
      </c>
      <c r="N33" s="21">
        <f>IFERROR(subQ!N26/subQ!M26-1,"")</f>
        <v/>
      </c>
      <c r="O33" s="21">
        <f>IFERROR(subQ!O26/subQ!N26-1,"")</f>
        <v/>
      </c>
      <c r="P33" s="22" t="n"/>
      <c r="Q33" s="21">
        <f>IFERROR(subQ!Q26/subQ!O26-1,"")</f>
        <v/>
      </c>
      <c r="R33" s="21">
        <f>IFERROR(subQ!R26/subQ!Q26-1,"")</f>
        <v/>
      </c>
      <c r="S33" s="21">
        <f>IFERROR(subQ!S26/subQ!R26-1,"")</f>
        <v/>
      </c>
      <c r="T33" s="21">
        <f>IFERROR(subQ!T26/subQ!S26-1,"")</f>
        <v/>
      </c>
      <c r="U33" s="22" t="n"/>
      <c r="V33" s="21">
        <f>IFERROR(subQ!V26/subQ!T26-1,"")</f>
        <v/>
      </c>
      <c r="W33" s="21">
        <f>IFERROR(subQ!W26/subQ!V26-1,"")</f>
        <v/>
      </c>
      <c r="X33" s="21">
        <f>IFERROR(subQ!X26/subQ!W26-1,"")</f>
        <v/>
      </c>
      <c r="Y33" s="21">
        <f>IFERROR(subQ!Y26/subQ!X26-1,"")</f>
        <v/>
      </c>
      <c r="Z33" s="22" t="n"/>
      <c r="AA33" s="21">
        <f>IFERROR(subQ!AA26/subQ!Y26-1,"")</f>
        <v/>
      </c>
      <c r="AB33" s="23">
        <f>IFERROR(subQ!AB26/subQ!AA26-1,"")</f>
        <v/>
      </c>
      <c r="AC33" s="24" t="n">
        <v>2.8e-07</v>
      </c>
      <c r="AD33" s="24" t="n">
        <v>0</v>
      </c>
      <c r="AE33" s="25" t="n"/>
      <c r="AF33" s="24" t="n">
        <v>0</v>
      </c>
      <c r="AG33" s="24" t="n">
        <v>0</v>
      </c>
      <c r="AH33" s="24" t="n">
        <v>0</v>
      </c>
      <c r="AI33" s="24" t="n">
        <v>0</v>
      </c>
      <c r="AJ33" s="25" t="n"/>
      <c r="AK33" s="24" t="n">
        <v>0</v>
      </c>
      <c r="AL33" s="24" t="n">
        <v>0</v>
      </c>
      <c r="AM33" s="24" t="n">
        <v>0</v>
      </c>
      <c r="AN33" s="24" t="n">
        <v>0</v>
      </c>
      <c r="AO33" s="25" t="n"/>
    </row>
    <row r="34">
      <c r="A34" s="12" t="inlineStr">
        <is>
          <t>drv:순차입금</t>
        </is>
      </c>
      <c r="B34" s="2" t="inlineStr">
        <is>
          <t>qoq</t>
        </is>
      </c>
      <c r="C34" t="inlineStr">
        <is>
          <t>순차입금 QoQ</t>
        </is>
      </c>
      <c r="E34" s="21" t="n"/>
      <c r="F34" s="22" t="n"/>
      <c r="G34" s="21">
        <f>IFERROR(subQ!G27/subQ!E27-1,"")</f>
        <v/>
      </c>
      <c r="H34" s="21">
        <f>IFERROR(subQ!H27/subQ!G27-1,"")</f>
        <v/>
      </c>
      <c r="I34" s="21">
        <f>IFERROR(subQ!I27/subQ!H27-1,"")</f>
        <v/>
      </c>
      <c r="J34" s="21">
        <f>IFERROR(subQ!J27/subQ!I27-1,"")</f>
        <v/>
      </c>
      <c r="K34" s="22" t="n"/>
      <c r="L34" s="21">
        <f>IFERROR(subQ!L27/subQ!J27-1,"")</f>
        <v/>
      </c>
      <c r="M34" s="21">
        <f>IFERROR(subQ!M27/subQ!L27-1,"")</f>
        <v/>
      </c>
      <c r="N34" s="21">
        <f>IFERROR(subQ!N27/subQ!M27-1,"")</f>
        <v/>
      </c>
      <c r="O34" s="21">
        <f>IFERROR(subQ!O27/subQ!N27-1,"")</f>
        <v/>
      </c>
      <c r="P34" s="22" t="n"/>
      <c r="Q34" s="21">
        <f>IFERROR(subQ!Q27/subQ!O27-1,"")</f>
        <v/>
      </c>
      <c r="R34" s="21">
        <f>IFERROR(subQ!R27/subQ!Q27-1,"")</f>
        <v/>
      </c>
      <c r="S34" s="21">
        <f>IFERROR(subQ!S27/subQ!R27-1,"")</f>
        <v/>
      </c>
      <c r="T34" s="21">
        <f>IFERROR(subQ!T27/subQ!S27-1,"")</f>
        <v/>
      </c>
      <c r="U34" s="22" t="n"/>
      <c r="V34" s="21">
        <f>IFERROR(subQ!V27/subQ!T27-1,"")</f>
        <v/>
      </c>
      <c r="W34" s="21">
        <f>IFERROR(subQ!W27/subQ!V27-1,"")</f>
        <v/>
      </c>
      <c r="X34" s="21">
        <f>IFERROR(subQ!X27/subQ!W27-1,"")</f>
        <v/>
      </c>
      <c r="Y34" s="21">
        <f>IFERROR(subQ!Y27/subQ!X27-1,"")</f>
        <v/>
      </c>
      <c r="Z34" s="22" t="n"/>
      <c r="AA34" s="21">
        <f>IFERROR(subQ!AA27/subQ!Y27-1,"")</f>
        <v/>
      </c>
      <c r="AB34" s="23">
        <f>IFERROR(subQ!AB27/subQ!AA27-1,"")</f>
        <v/>
      </c>
      <c r="AC34" s="24" t="n">
        <v>0.007063276</v>
      </c>
      <c r="AD34" s="24" t="n">
        <v>0.007852913</v>
      </c>
      <c r="AE34" s="25" t="n"/>
      <c r="AF34" s="24" t="n">
        <v>0.007409057</v>
      </c>
      <c r="AG34" s="24" t="n">
        <v>0.013258393</v>
      </c>
      <c r="AH34" s="24" t="n">
        <v>0.006946989</v>
      </c>
      <c r="AI34" s="24" t="n">
        <v>0.00771517</v>
      </c>
      <c r="AJ34" s="25" t="n"/>
      <c r="AK34" s="24" t="n">
        <v>0.007282481</v>
      </c>
      <c r="AL34" s="24" t="n">
        <v>0.012928319</v>
      </c>
      <c r="AM34" s="24" t="n">
        <v>0.006855242</v>
      </c>
      <c r="AN34" s="24" t="n">
        <v>0.007594875</v>
      </c>
      <c r="AO34" s="25" t="n"/>
    </row>
    <row r="35">
      <c r="A35" s="12" t="inlineStr">
        <is>
          <t>drv:이자발생자산</t>
        </is>
      </c>
      <c r="B35" s="2" t="inlineStr">
        <is>
          <t>qoq</t>
        </is>
      </c>
      <c r="C35" t="inlineStr">
        <is>
          <t>이자발생자산 QoQ</t>
        </is>
      </c>
      <c r="E35" s="21" t="n"/>
      <c r="F35" s="22" t="n"/>
      <c r="G35" s="21">
        <f>IFERROR(subQ!G28/subQ!E28-1,"")</f>
        <v/>
      </c>
      <c r="H35" s="21">
        <f>IFERROR(subQ!H28/subQ!G28-1,"")</f>
        <v/>
      </c>
      <c r="I35" s="21">
        <f>IFERROR(subQ!I28/subQ!H28-1,"")</f>
        <v/>
      </c>
      <c r="J35" s="21">
        <f>IFERROR(subQ!J28/subQ!I28-1,"")</f>
        <v/>
      </c>
      <c r="K35" s="22" t="n"/>
      <c r="L35" s="21">
        <f>IFERROR(subQ!L28/subQ!J28-1,"")</f>
        <v/>
      </c>
      <c r="M35" s="21">
        <f>IFERROR(subQ!M28/subQ!L28-1,"")</f>
        <v/>
      </c>
      <c r="N35" s="21">
        <f>IFERROR(subQ!N28/subQ!M28-1,"")</f>
        <v/>
      </c>
      <c r="O35" s="21">
        <f>IFERROR(subQ!O28/subQ!N28-1,"")</f>
        <v/>
      </c>
      <c r="P35" s="22" t="n"/>
      <c r="Q35" s="21">
        <f>IFERROR(subQ!Q28/subQ!O28-1,"")</f>
        <v/>
      </c>
      <c r="R35" s="21">
        <f>IFERROR(subQ!R28/subQ!Q28-1,"")</f>
        <v/>
      </c>
      <c r="S35" s="21">
        <f>IFERROR(subQ!S28/subQ!R28-1,"")</f>
        <v/>
      </c>
      <c r="T35" s="21">
        <f>IFERROR(subQ!T28/subQ!S28-1,"")</f>
        <v/>
      </c>
      <c r="U35" s="22" t="n"/>
      <c r="V35" s="21">
        <f>IFERROR(subQ!V28/subQ!T28-1,"")</f>
        <v/>
      </c>
      <c r="W35" s="21">
        <f>IFERROR(subQ!W28/subQ!V28-1,"")</f>
        <v/>
      </c>
      <c r="X35" s="21">
        <f>IFERROR(subQ!X28/subQ!W28-1,"")</f>
        <v/>
      </c>
      <c r="Y35" s="21">
        <f>IFERROR(subQ!Y28/subQ!X28-1,"")</f>
        <v/>
      </c>
      <c r="Z35" s="22" t="n"/>
      <c r="AA35" s="21">
        <f>IFERROR(subQ!AA28/subQ!Y28-1,"")</f>
        <v/>
      </c>
      <c r="AB35" s="23">
        <f>IFERROR(subQ!AB28/subQ!AA28-1,"")</f>
        <v/>
      </c>
      <c r="AC35" s="24" t="n">
        <v>-0.018469417</v>
      </c>
      <c r="AD35" s="24" t="n">
        <v>-0.021067769</v>
      </c>
      <c r="AE35" s="25" t="n"/>
      <c r="AF35" s="24" t="n">
        <v>-0.020464222</v>
      </c>
      <c r="AG35" s="24" t="n">
        <v>-0.037662464</v>
      </c>
      <c r="AH35" s="24" t="n">
        <v>-0.020778168</v>
      </c>
      <c r="AI35" s="24" t="n">
        <v>-0.023729121</v>
      </c>
      <c r="AJ35" s="25" t="n"/>
      <c r="AK35" s="24" t="n">
        <v>-0.02311974</v>
      </c>
      <c r="AL35" s="24" t="n">
        <v>-0.042320972</v>
      </c>
      <c r="AM35" s="24" t="n">
        <v>-0.02373532</v>
      </c>
      <c r="AN35" s="24" t="n">
        <v>-0.027120169</v>
      </c>
      <c r="AO35" s="25" t="n"/>
    </row>
    <row r="36">
      <c r="A36" s="12" t="inlineStr">
        <is>
          <t>drv:현금및현금성자산</t>
        </is>
      </c>
      <c r="B36" s="2" t="inlineStr">
        <is>
          <t>qoq</t>
        </is>
      </c>
      <c r="C36" t="inlineStr">
        <is>
          <t>현금및현금성자산 QoQ</t>
        </is>
      </c>
      <c r="E36" s="21" t="n"/>
      <c r="F36" s="22" t="n"/>
      <c r="G36" s="21">
        <f>IFERROR(subQ!G29/subQ!E29-1,"")</f>
        <v/>
      </c>
      <c r="H36" s="21">
        <f>IFERROR(subQ!H29/subQ!G29-1,"")</f>
        <v/>
      </c>
      <c r="I36" s="21">
        <f>IFERROR(subQ!I29/subQ!H29-1,"")</f>
        <v/>
      </c>
      <c r="J36" s="21">
        <f>IFERROR(subQ!J29/subQ!I29-1,"")</f>
        <v/>
      </c>
      <c r="K36" s="22" t="n"/>
      <c r="L36" s="21">
        <f>IFERROR(subQ!L29/subQ!J29-1,"")</f>
        <v/>
      </c>
      <c r="M36" s="21">
        <f>IFERROR(subQ!M29/subQ!L29-1,"")</f>
        <v/>
      </c>
      <c r="N36" s="21">
        <f>IFERROR(subQ!N29/subQ!M29-1,"")</f>
        <v/>
      </c>
      <c r="O36" s="21">
        <f>IFERROR(subQ!O29/subQ!N29-1,"")</f>
        <v/>
      </c>
      <c r="P36" s="22" t="n"/>
      <c r="Q36" s="21">
        <f>IFERROR(subQ!Q29/subQ!O29-1,"")</f>
        <v/>
      </c>
      <c r="R36" s="21">
        <f>IFERROR(subQ!R29/subQ!Q29-1,"")</f>
        <v/>
      </c>
      <c r="S36" s="21">
        <f>IFERROR(subQ!S29/subQ!R29-1,"")</f>
        <v/>
      </c>
      <c r="T36" s="21">
        <f>IFERROR(subQ!T29/subQ!S29-1,"")</f>
        <v/>
      </c>
      <c r="U36" s="22" t="n"/>
      <c r="V36" s="21">
        <f>IFERROR(subQ!V29/subQ!T29-1,"")</f>
        <v/>
      </c>
      <c r="W36" s="21">
        <f>IFERROR(subQ!W29/subQ!V29-1,"")</f>
        <v/>
      </c>
      <c r="X36" s="21">
        <f>IFERROR(subQ!X29/subQ!W29-1,"")</f>
        <v/>
      </c>
      <c r="Y36" s="21">
        <f>IFERROR(subQ!Y29/subQ!X29-1,"")</f>
        <v/>
      </c>
      <c r="Z36" s="22" t="n"/>
      <c r="AA36" s="21">
        <f>IFERROR(subQ!AA29/subQ!Y29-1,"")</f>
        <v/>
      </c>
      <c r="AB36" s="23">
        <f>IFERROR(subQ!AB29/subQ!AA29-1,"")</f>
        <v/>
      </c>
      <c r="AC36" s="33" t="n"/>
      <c r="AD36" s="33" t="n"/>
      <c r="AE36" s="25" t="n"/>
      <c r="AF36" s="33" t="n"/>
      <c r="AG36" s="33" t="n"/>
      <c r="AH36" s="33" t="n"/>
      <c r="AI36" s="33" t="n"/>
      <c r="AJ36" s="25" t="n"/>
      <c r="AK36" s="33" t="n"/>
      <c r="AL36" s="33" t="n"/>
      <c r="AM36" s="33" t="n"/>
      <c r="AN36" s="33" t="n"/>
      <c r="AO36" s="25" t="n"/>
    </row>
    <row r="37">
      <c r="A37" s="12" t="inlineStr">
        <is>
          <t>drv:CAPEX</t>
        </is>
      </c>
      <c r="B37" s="2" t="inlineStr">
        <is>
          <t>yoy</t>
        </is>
      </c>
      <c r="C37" t="inlineStr">
        <is>
          <t>CAPEX YoY</t>
        </is>
      </c>
      <c r="E37" s="21" t="n"/>
      <c r="F37" s="22" t="n"/>
      <c r="G37" s="21" t="n"/>
      <c r="H37" s="21" t="n"/>
      <c r="I37" s="21" t="n"/>
      <c r="J37" s="21">
        <f>IFERROR(subQ!J30/subQ!E30-1,"")</f>
        <v/>
      </c>
      <c r="K37" s="22" t="n"/>
      <c r="L37" s="21">
        <f>IFERROR(subQ!L30/subQ!G30-1,"")</f>
        <v/>
      </c>
      <c r="M37" s="21">
        <f>IFERROR(subQ!M30/subQ!H30-1,"")</f>
        <v/>
      </c>
      <c r="N37" s="21">
        <f>IFERROR(subQ!N30/subQ!I30-1,"")</f>
        <v/>
      </c>
      <c r="O37" s="21">
        <f>IFERROR(subQ!O30/subQ!J30-1,"")</f>
        <v/>
      </c>
      <c r="P37" s="22" t="n"/>
      <c r="Q37" s="21">
        <f>IFERROR(subQ!Q30/subQ!L30-1,"")</f>
        <v/>
      </c>
      <c r="R37" s="21">
        <f>IFERROR(subQ!R30/subQ!M30-1,"")</f>
        <v/>
      </c>
      <c r="S37" s="21">
        <f>IFERROR(subQ!S30/subQ!N30-1,"")</f>
        <v/>
      </c>
      <c r="T37" s="21">
        <f>IFERROR(subQ!T30/subQ!O30-1,"")</f>
        <v/>
      </c>
      <c r="U37" s="22" t="n"/>
      <c r="V37" s="21">
        <f>IFERROR(subQ!V30/subQ!Q30-1,"")</f>
        <v/>
      </c>
      <c r="W37" s="21">
        <f>IFERROR(subQ!W30/subQ!R30-1,"")</f>
        <v/>
      </c>
      <c r="X37" s="21">
        <f>IFERROR(subQ!X30/subQ!S30-1,"")</f>
        <v/>
      </c>
      <c r="Y37" s="21">
        <f>IFERROR(subQ!Y30/subQ!T30-1,"")</f>
        <v/>
      </c>
      <c r="Z37" s="22" t="n"/>
      <c r="AA37" s="21">
        <f>IFERROR(subQ!AA30/subQ!V30-1,"")</f>
        <v/>
      </c>
      <c r="AB37" s="23">
        <f>IFERROR(subQ!AB30/subQ!W30-1,"")</f>
        <v/>
      </c>
      <c r="AC37" s="24" t="n">
        <v>0.186438387</v>
      </c>
      <c r="AD37" s="24" t="n">
        <v>-0.152565497</v>
      </c>
      <c r="AE37" s="25" t="n"/>
      <c r="AF37" s="24" t="n">
        <v>1.221652389</v>
      </c>
      <c r="AG37" s="24" t="n">
        <v>-0.135784975</v>
      </c>
      <c r="AH37" s="24" t="n">
        <v>0</v>
      </c>
      <c r="AI37" s="24" t="n">
        <v>0</v>
      </c>
      <c r="AJ37" s="25" t="n"/>
      <c r="AK37" s="24" t="n">
        <v>0</v>
      </c>
      <c r="AL37" s="24" t="n">
        <v>0</v>
      </c>
      <c r="AM37" s="24" t="n">
        <v>0</v>
      </c>
      <c r="AN37" s="24" t="n">
        <v>0</v>
      </c>
      <c r="AO37" s="25" t="n"/>
    </row>
    <row r="38">
      <c r="A38" s="12" t="inlineStr">
        <is>
          <t>drv:영업활동현금흐름</t>
        </is>
      </c>
      <c r="B38" s="2" t="inlineStr">
        <is>
          <t>yoy</t>
        </is>
      </c>
      <c r="C38" t="inlineStr">
        <is>
          <t>영업활동현금흐름 YoY</t>
        </is>
      </c>
      <c r="E38" s="21" t="n"/>
      <c r="F38" s="22" t="n"/>
      <c r="G38" s="21" t="n"/>
      <c r="H38" s="21" t="n"/>
      <c r="I38" s="21" t="n"/>
      <c r="J38" s="21">
        <f>IFERROR(subQ!J31/subQ!E31-1,"")</f>
        <v/>
      </c>
      <c r="K38" s="22" t="n"/>
      <c r="L38" s="21">
        <f>IFERROR(subQ!L31/subQ!G31-1,"")</f>
        <v/>
      </c>
      <c r="M38" s="21">
        <f>IFERROR(subQ!M31/subQ!H31-1,"")</f>
        <v/>
      </c>
      <c r="N38" s="21">
        <f>IFERROR(subQ!N31/subQ!I31-1,"")</f>
        <v/>
      </c>
      <c r="O38" s="21">
        <f>IFERROR(subQ!O31/subQ!J31-1,"")</f>
        <v/>
      </c>
      <c r="P38" s="22" t="n"/>
      <c r="Q38" s="21">
        <f>IFERROR(subQ!Q31/subQ!L31-1,"")</f>
        <v/>
      </c>
      <c r="R38" s="21">
        <f>IFERROR(subQ!R31/subQ!M31-1,"")</f>
        <v/>
      </c>
      <c r="S38" s="21">
        <f>IFERROR(subQ!S31/subQ!N31-1,"")</f>
        <v/>
      </c>
      <c r="T38" s="21">
        <f>IFERROR(subQ!T31/subQ!O31-1,"")</f>
        <v/>
      </c>
      <c r="U38" s="22" t="n"/>
      <c r="V38" s="21">
        <f>IFERROR(subQ!V31/subQ!Q31-1,"")</f>
        <v/>
      </c>
      <c r="W38" s="21">
        <f>IFERROR(subQ!W31/subQ!R31-1,"")</f>
        <v/>
      </c>
      <c r="X38" s="21">
        <f>IFERROR(subQ!X31/subQ!S31-1,"")</f>
        <v/>
      </c>
      <c r="Y38" s="21">
        <f>IFERROR(subQ!Y31/subQ!T31-1,"")</f>
        <v/>
      </c>
      <c r="Z38" s="22" t="n"/>
      <c r="AA38" s="21">
        <f>IFERROR(subQ!AA31/subQ!V31-1,"")</f>
        <v/>
      </c>
      <c r="AB38" s="23">
        <f>IFERROR(subQ!AB31/subQ!W31-1,"")</f>
        <v/>
      </c>
      <c r="AC38" s="33" t="n"/>
      <c r="AD38" s="33" t="n"/>
      <c r="AE38" s="25" t="n"/>
      <c r="AF38" s="33" t="n"/>
      <c r="AG38" s="33" t="n"/>
      <c r="AH38" s="33" t="n"/>
      <c r="AI38" s="33" t="n"/>
      <c r="AJ38" s="25" t="n"/>
      <c r="AK38" s="33" t="n"/>
      <c r="AL38" s="33" t="n"/>
      <c r="AM38" s="33" t="n"/>
      <c r="AN38" s="33" t="n"/>
      <c r="AO38" s="25" t="n"/>
    </row>
    <row r="39">
      <c r="A39" s="12" t="inlineStr">
        <is>
          <t>drv:주식수</t>
        </is>
      </c>
      <c r="B39" s="2" t="inlineStr">
        <is>
          <t>qoq</t>
        </is>
      </c>
      <c r="C39" t="inlineStr">
        <is>
          <t>주식수 QoQ</t>
        </is>
      </c>
      <c r="E39" s="21" t="n"/>
      <c r="F39" s="22" t="n"/>
      <c r="G39" s="21">
        <f>IFERROR(subQ!G32/subQ!E32-1,"")</f>
        <v/>
      </c>
      <c r="H39" s="21">
        <f>IFERROR(subQ!H32/subQ!G32-1,"")</f>
        <v/>
      </c>
      <c r="I39" s="21">
        <f>IFERROR(subQ!I32/subQ!H32-1,"")</f>
        <v/>
      </c>
      <c r="J39" s="21">
        <f>IFERROR(subQ!J32/subQ!I32-1,"")</f>
        <v/>
      </c>
      <c r="K39" s="22" t="n"/>
      <c r="L39" s="21">
        <f>IFERROR(subQ!L32/subQ!J32-1,"")</f>
        <v/>
      </c>
      <c r="M39" s="21">
        <f>IFERROR(subQ!M32/subQ!L32-1,"")</f>
        <v/>
      </c>
      <c r="N39" s="21">
        <f>IFERROR(subQ!N32/subQ!M32-1,"")</f>
        <v/>
      </c>
      <c r="O39" s="21">
        <f>IFERROR(subQ!O32/subQ!N32-1,"")</f>
        <v/>
      </c>
      <c r="P39" s="22" t="n"/>
      <c r="Q39" s="21">
        <f>IFERROR(subQ!Q32/subQ!O32-1,"")</f>
        <v/>
      </c>
      <c r="R39" s="21">
        <f>IFERROR(subQ!R32/subQ!Q32-1,"")</f>
        <v/>
      </c>
      <c r="S39" s="21">
        <f>IFERROR(subQ!S32/subQ!R32-1,"")</f>
        <v/>
      </c>
      <c r="T39" s="21">
        <f>IFERROR(subQ!T32/subQ!S32-1,"")</f>
        <v/>
      </c>
      <c r="U39" s="22" t="n"/>
      <c r="V39" s="21">
        <f>IFERROR(subQ!V32/subQ!T32-1,"")</f>
        <v/>
      </c>
      <c r="W39" s="21">
        <f>IFERROR(subQ!W32/subQ!V32-1,"")</f>
        <v/>
      </c>
      <c r="X39" s="21">
        <f>IFERROR(subQ!X32/subQ!W32-1,"")</f>
        <v/>
      </c>
      <c r="Y39" s="21">
        <f>IFERROR(subQ!Y32/subQ!X32-1,"")</f>
        <v/>
      </c>
      <c r="Z39" s="22" t="n"/>
      <c r="AA39" s="21">
        <f>IFERROR(subQ!AA32/subQ!Y32-1,"")</f>
        <v/>
      </c>
      <c r="AB39" s="23">
        <f>IFERROR(subQ!AB32/subQ!AA32-1,"")</f>
        <v/>
      </c>
      <c r="AC39" s="24" t="n">
        <v>0</v>
      </c>
      <c r="AD39" s="24" t="n">
        <v>0</v>
      </c>
      <c r="AE39" s="25" t="n"/>
      <c r="AF39" s="24" t="n">
        <v>0</v>
      </c>
      <c r="AG39" s="24" t="n">
        <v>0</v>
      </c>
      <c r="AH39" s="24" t="n">
        <v>0</v>
      </c>
      <c r="AI39" s="24" t="n">
        <v>0</v>
      </c>
      <c r="AJ39" s="25" t="n"/>
      <c r="AK39" s="24" t="n">
        <v>0</v>
      </c>
      <c r="AL39" s="24" t="n">
        <v>0</v>
      </c>
      <c r="AM39" s="24" t="n">
        <v>0</v>
      </c>
      <c r="AN39" s="24" t="n">
        <v>0</v>
      </c>
      <c r="AO39" s="25" t="n"/>
    </row>
    <row r="40">
      <c r="A40" s="12" t="inlineStr">
        <is>
          <t>drv:DPS</t>
        </is>
      </c>
      <c r="B40" s="2" t="inlineStr">
        <is>
          <t>abs</t>
        </is>
      </c>
      <c r="C40" t="inlineStr">
        <is>
          <t>DPS (가정, 원)</t>
        </is>
      </c>
      <c r="E40" s="27">
        <f>subQ!E36</f>
        <v/>
      </c>
      <c r="F40" s="28">
        <f>subQ!F36</f>
        <v/>
      </c>
      <c r="G40" s="27">
        <f>subQ!G36</f>
        <v/>
      </c>
      <c r="H40" s="27">
        <f>subQ!H36</f>
        <v/>
      </c>
      <c r="I40" s="27">
        <f>subQ!I36</f>
        <v/>
      </c>
      <c r="J40" s="27">
        <f>subQ!J36</f>
        <v/>
      </c>
      <c r="K40" s="28">
        <f>subQ!K36</f>
        <v/>
      </c>
      <c r="L40" s="27">
        <f>subQ!L36</f>
        <v/>
      </c>
      <c r="M40" s="27">
        <f>subQ!M36</f>
        <v/>
      </c>
      <c r="N40" s="27">
        <f>subQ!N36</f>
        <v/>
      </c>
      <c r="O40" s="27">
        <f>subQ!O36</f>
        <v/>
      </c>
      <c r="P40" s="28">
        <f>subQ!P36</f>
        <v/>
      </c>
      <c r="Q40" s="27">
        <f>subQ!Q36</f>
        <v/>
      </c>
      <c r="R40" s="27">
        <f>subQ!R36</f>
        <v/>
      </c>
      <c r="S40" s="27">
        <f>subQ!S36</f>
        <v/>
      </c>
      <c r="T40" s="27">
        <f>subQ!T36</f>
        <v/>
      </c>
      <c r="U40" s="28">
        <f>subQ!U36</f>
        <v/>
      </c>
      <c r="V40" s="27">
        <f>subQ!V36</f>
        <v/>
      </c>
      <c r="W40" s="27">
        <f>subQ!W36</f>
        <v/>
      </c>
      <c r="X40" s="27">
        <f>subQ!X36</f>
        <v/>
      </c>
      <c r="Y40" s="27">
        <f>subQ!Y36</f>
        <v/>
      </c>
      <c r="Z40" s="28">
        <f>subQ!Z36</f>
        <v/>
      </c>
      <c r="AA40" s="27">
        <f>subQ!AA36</f>
        <v/>
      </c>
      <c r="AB40" s="29">
        <f>subQ!AB36</f>
        <v/>
      </c>
      <c r="AC40" s="32" t="n"/>
      <c r="AD40" s="30" t="n">
        <v>120</v>
      </c>
      <c r="AE40" s="31">
        <f>subQ!AE36</f>
        <v/>
      </c>
      <c r="AF40" s="32" t="n"/>
      <c r="AG40" s="32" t="n"/>
      <c r="AH40" s="32" t="n"/>
      <c r="AI40" s="30" t="n">
        <v>120</v>
      </c>
      <c r="AJ40" s="31">
        <f>subQ!AJ36</f>
        <v/>
      </c>
      <c r="AK40" s="32" t="n"/>
      <c r="AL40" s="32" t="n"/>
      <c r="AM40" s="32" t="n"/>
      <c r="AN40" s="30" t="n">
        <v>120</v>
      </c>
      <c r="AO40" s="31">
        <f>subQ!AO36</f>
        <v/>
      </c>
    </row>
    <row r="41"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B42" s="1" t="inlineStr">
        <is>
          <t>3. 밸류에이션·스칼라</t>
        </is>
      </c>
      <c r="C42" s="2" t="inlineStr">
        <is>
          <t>노란 셀 = 가정. '연결' 표시는 추정 전 분기 수식이 이 셀을 참조한다는 뜻</t>
        </is>
      </c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s="12" t="inlineStr">
        <is>
          <t>sc:종가</t>
        </is>
      </c>
      <c r="C43" t="inlineStr">
        <is>
          <t>종가</t>
        </is>
      </c>
      <c r="D43" s="34" t="n">
        <v>4015</v>
      </c>
      <c r="E43" s="2" t="inlineStr">
        <is>
          <t>원 — 네이버 정규장 종가(aik 확정종가 대조 · aik 4,220원)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sc:기준일</t>
        </is>
      </c>
      <c r="C44" t="inlineStr">
        <is>
          <t>기준일</t>
        </is>
      </c>
      <c r="D44" s="35" t="inlineStr">
        <is>
          <t>20261026</t>
        </is>
      </c>
      <c r="E44" s="2" t="inlineStr">
        <is>
          <t>종가 기준일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sc:COE</t>
        </is>
      </c>
      <c r="C45" t="inlineStr">
        <is>
          <t>COE</t>
        </is>
      </c>
      <c r="D45" s="24" t="n">
        <v>0.09</v>
      </c>
      <c r="E45" s="2" t="inlineStr">
        <is>
          <t>자기자본비용(가정) — TP 적정 PBR = ROE/COE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sc:PER_lo</t>
        </is>
      </c>
      <c r="C46" t="inlineStr">
        <is>
          <t>PER_lo</t>
        </is>
      </c>
      <c r="D46" s="30" t="n">
        <v>10</v>
      </c>
      <c r="E46" s="2" t="inlineStr">
        <is>
          <t>PER 밴드 하단(배) — sector_default(레퍼런스 TP_PE PB 예시 10/15/20배; 과거 PER 중위 4.2배가 캡 5~30 밖 — 턴어라운드 초기 TTM EPS 왜곡)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sc:PER_mid</t>
        </is>
      </c>
      <c r="C47" t="inlineStr">
        <is>
          <t>PER_mid</t>
        </is>
      </c>
      <c r="D47" s="30" t="n">
        <v>15</v>
      </c>
      <c r="E47" s="2" t="inlineStr">
        <is>
          <t>PER 밴드 중단(배)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sc:PER_hi</t>
        </is>
      </c>
      <c r="C48" t="inlineStr">
        <is>
          <t>PER_hi</t>
        </is>
      </c>
      <c r="D48" s="30" t="n">
        <v>20</v>
      </c>
      <c r="E48" s="2" t="inlineStr">
        <is>
          <t>PER 밴드 상단(배)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sc:EPS_Y1가중</t>
        </is>
      </c>
      <c r="C49" t="inlineStr">
        <is>
          <t>EPS_Y1가중</t>
        </is>
      </c>
      <c r="D49" s="24" t="n">
        <v>0.5</v>
      </c>
      <c r="E49" s="2" t="inlineStr">
        <is>
          <t>12M fwd EPS = FY(last_actual연도)E × w + FY+1E × (1−w) — 기준 분기 2Q 이면 0.5(가정)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sc:세율</t>
        </is>
      </c>
      <c r="C50" t="inlineStr">
        <is>
          <t>세율</t>
        </is>
      </c>
      <c r="D50" s="36" t="n">
        <v>0.2403254333215423</v>
      </c>
      <c r="E50" s="2" t="inlineStr">
        <is>
          <t>연결 — 법인세 = MAX(세전,0) × 세율(역산, 재현 오차 ≤ 0.05억 · 모델 assumptions 0.2404) · 최근 12분기 유효세율 28.1% 가 5~27% 밖 → 클립 대신 최근 8분기 중 세전 &gt; 0 인 5분기(2024Q3~2026Q2)의 법인세/세전 중위 24.0%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sc:판관비율</t>
        </is>
      </c>
      <c r="C51" t="inlineStr">
        <is>
          <t>판관비율</t>
        </is>
      </c>
      <c r="D51" s="36" t="n">
        <v>0.1340181682325823</v>
      </c>
      <c r="E51" s="2" t="inlineStr">
        <is>
          <t>연결 — 판관비 = 매출액 × 판관비율(역산, 재현 오차 ≤ 0.05억 · 모델 assumptions 0.134)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sc:지배주주비중</t>
        </is>
      </c>
      <c r="C52" t="inlineStr">
        <is>
          <t>지배주주비중</t>
        </is>
      </c>
      <c r="D52" s="36" t="n">
        <v>1</v>
      </c>
      <c r="E52" s="2" t="inlineStr">
        <is>
          <t>연결 — 지배주주순이익 = 당기순이익 × 비중(역산, 재현 오차 ≤ 0.05억)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sc:이자율_자산</t>
        </is>
      </c>
      <c r="C53" t="inlineStr">
        <is>
          <t>이자율_자산</t>
        </is>
      </c>
      <c r="D53" s="36" t="n">
        <v>0.02463660282730479</v>
      </c>
      <c r="E53" s="2" t="inlineStr">
        <is>
          <t>연결 — 이자손익 = (전분기 이자발생자산 × 자산이자율 − 전분기 총차입금 × 부채이자율)/4(역산, 재현 오차 ≤ 0.05억 · 모델 assumptions 0.0247)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sc:이자율_부채</t>
        </is>
      </c>
      <c r="C54" t="inlineStr">
        <is>
          <t>이자율_부채</t>
        </is>
      </c>
      <c r="D54" s="36" t="n">
        <v>0.03995916337487803</v>
      </c>
      <c r="E54" s="2" t="inlineStr">
        <is>
          <t>연결 — 같은 수식의 부채 쪽(총차입금 행이 없으면 0)(역산, 재현 오차 ≤ 0.05억 · 모델 assumptions 0.04)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sc:배당성향</t>
        </is>
      </c>
      <c r="C55" t="inlineStr">
        <is>
          <t>배당성향</t>
        </is>
      </c>
      <c r="D55" s="24" t="n"/>
      <c r="E55" s="2" t="inlineStr">
        <is>
          <t>배당성향(참고 — 모델은 직전 DPS 유지·Q2 지급 가정)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sc:외화순노출_백만$</t>
        </is>
      </c>
      <c r="C56" t="inlineStr">
        <is>
          <t>외화순노출_백만$</t>
        </is>
      </c>
      <c r="D56" s="30" t="n"/>
      <c r="E56" s="2" t="inlineStr">
        <is>
          <t>외화 순노출 × Δ기말환율 (외화 시트 방식) — 외화 순노출 미공시(face) → 0 + 표기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sc:헤지비율</t>
        </is>
      </c>
      <c r="C57" t="inlineStr">
        <is>
          <t>헤지비율</t>
        </is>
      </c>
      <c r="D57" s="24" t="n"/>
      <c r="E57" s="2" t="inlineStr">
        <is>
          <t>sls 없음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s="12" t="inlineStr">
        <is>
          <t>sc:헤지환율_약정</t>
        </is>
      </c>
      <c r="C58" t="inlineStr">
        <is>
          <t>헤지환율_약정</t>
        </is>
      </c>
      <c r="D58" s="16" t="n"/>
      <c r="E58" s="2" t="inlineStr">
        <is>
          <t>sls 없음</t>
        </is>
      </c>
      <c r="F58" s="9" t="n"/>
      <c r="K58" s="9" t="n"/>
      <c r="P58" s="9" t="n"/>
      <c r="U58" s="9" t="n"/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금강공업(연)</t>
        </is>
      </c>
      <c r="C3" s="2" t="inlineStr">
        <is>
          <t>UPDATE: 26-10-26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355324.57</v>
      </c>
      <c r="F5" s="37" t="n">
        <v>355324.57</v>
      </c>
      <c r="G5" s="18" t="n">
        <v>364344.68</v>
      </c>
      <c r="H5" s="18" t="n">
        <v>401523.23</v>
      </c>
      <c r="I5" s="18" t="n">
        <v>449359.38</v>
      </c>
      <c r="J5" s="18" t="n">
        <v>443511.16</v>
      </c>
      <c r="K5" s="37" t="n">
        <v>443511.16</v>
      </c>
      <c r="L5" s="18" t="n">
        <v>450494.2</v>
      </c>
      <c r="M5" s="18" t="n">
        <v>473426.88</v>
      </c>
      <c r="N5" s="18" t="n">
        <v>466982.73</v>
      </c>
      <c r="O5" s="18" t="n">
        <v>455179.4</v>
      </c>
      <c r="P5" s="37" t="n">
        <v>455179.4</v>
      </c>
      <c r="Q5" s="18" t="n">
        <v>468915.29</v>
      </c>
      <c r="R5" s="18" t="n">
        <v>469530.85</v>
      </c>
      <c r="S5" s="18" t="n">
        <v>461818.41</v>
      </c>
      <c r="T5" s="18" t="n">
        <v>453123.57</v>
      </c>
      <c r="U5" s="37" t="n">
        <v>453123.57</v>
      </c>
      <c r="V5" s="18" t="n">
        <v>469424.27</v>
      </c>
      <c r="W5" s="18" t="n">
        <v>509681.05</v>
      </c>
      <c r="X5" s="18" t="n">
        <v>507015.82</v>
      </c>
      <c r="Y5" s="18" t="n">
        <v>461072.94</v>
      </c>
      <c r="Z5" s="37" t="n">
        <v>461072.94</v>
      </c>
      <c r="AA5" s="18" t="n">
        <v>491973.77</v>
      </c>
      <c r="AB5" s="19" t="n">
        <v>528803.02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95812.34</v>
      </c>
      <c r="F6" s="37" t="n">
        <v>95812.34</v>
      </c>
      <c r="G6" s="18" t="n">
        <v>98416.71000000001</v>
      </c>
      <c r="H6" s="18" t="n">
        <v>99546.10000000001</v>
      </c>
      <c r="I6" s="18" t="n">
        <v>100497.59</v>
      </c>
      <c r="J6" s="18" t="n">
        <v>90140.28999999999</v>
      </c>
      <c r="K6" s="37" t="n">
        <v>90140.28999999999</v>
      </c>
      <c r="L6" s="18" t="n">
        <v>97265.77</v>
      </c>
      <c r="M6" s="18" t="n">
        <v>109737.87</v>
      </c>
      <c r="N6" s="18" t="n">
        <v>97769.92999999999</v>
      </c>
      <c r="O6" s="18" t="n">
        <v>102115.48</v>
      </c>
      <c r="P6" s="37" t="n">
        <v>102115.48</v>
      </c>
      <c r="Q6" s="18" t="n">
        <v>107072.44</v>
      </c>
      <c r="R6" s="18" t="n">
        <v>78957.63</v>
      </c>
      <c r="S6" s="18" t="n">
        <v>91068.03999999999</v>
      </c>
      <c r="T6" s="18" t="n">
        <v>87456.75999999999</v>
      </c>
      <c r="U6" s="37" t="n">
        <v>87456.75999999999</v>
      </c>
      <c r="V6" s="18" t="n">
        <v>121129.8</v>
      </c>
      <c r="W6" s="18" t="n">
        <v>114887.68</v>
      </c>
      <c r="X6" s="18" t="n">
        <v>136169.92</v>
      </c>
      <c r="Y6" s="18" t="n">
        <v>107221.32</v>
      </c>
      <c r="Z6" s="37" t="n">
        <v>107221.32</v>
      </c>
      <c r="AA6" s="18" t="n">
        <v>134973.03</v>
      </c>
      <c r="AB6" s="19" t="n">
        <v>152322.7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매출채권및기타채권</t>
        </is>
      </c>
      <c r="E7" s="18" t="n">
        <v>116584.12</v>
      </c>
      <c r="F7" s="37" t="n">
        <v>116584.12</v>
      </c>
      <c r="G7" s="18" t="n">
        <v>128662.14</v>
      </c>
      <c r="H7" s="18" t="n">
        <v>121899.93</v>
      </c>
      <c r="I7" s="18" t="n">
        <v>136679.1</v>
      </c>
      <c r="J7" s="18" t="n">
        <v>132121.79</v>
      </c>
      <c r="K7" s="37" t="n">
        <v>132121.79</v>
      </c>
      <c r="L7" s="18" t="n">
        <v>143238.06</v>
      </c>
      <c r="M7" s="18" t="n">
        <v>146995.96</v>
      </c>
      <c r="N7" s="18" t="n">
        <v>143414.21</v>
      </c>
      <c r="O7" s="18" t="n">
        <v>142179.68</v>
      </c>
      <c r="P7" s="37" t="n">
        <v>142179.68</v>
      </c>
      <c r="Q7" s="18" t="n">
        <v>149710.13</v>
      </c>
      <c r="R7" s="18" t="n">
        <v>154090.61</v>
      </c>
      <c r="S7" s="18" t="n">
        <v>142551.94</v>
      </c>
      <c r="T7" s="18" t="n">
        <v>161581.55</v>
      </c>
      <c r="U7" s="37" t="n">
        <v>161581.55</v>
      </c>
      <c r="V7" s="18" t="n">
        <v>159856.55</v>
      </c>
      <c r="W7" s="18" t="n">
        <v>181839.38</v>
      </c>
      <c r="X7" s="18" t="n">
        <v>154329.02</v>
      </c>
      <c r="Y7" s="18" t="n">
        <v>139018.71</v>
      </c>
      <c r="Z7" s="37" t="n">
        <v>139018.71</v>
      </c>
      <c r="AA7" s="18" t="n">
        <v>143411.89</v>
      </c>
      <c r="AB7" s="19" t="n">
        <v>151946.29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재고자산</t>
        </is>
      </c>
      <c r="E8" s="18" t="n">
        <v>126845.81</v>
      </c>
      <c r="F8" s="37" t="n">
        <v>126845.81</v>
      </c>
      <c r="G8" s="18" t="n">
        <v>119602.29</v>
      </c>
      <c r="H8" s="18" t="n">
        <v>160295.17</v>
      </c>
      <c r="I8" s="18" t="n">
        <v>189091.75</v>
      </c>
      <c r="J8" s="18" t="n">
        <v>189876.69</v>
      </c>
      <c r="K8" s="37" t="n">
        <v>189876.69</v>
      </c>
      <c r="L8" s="18" t="n">
        <v>178476.11</v>
      </c>
      <c r="M8" s="18" t="n">
        <v>196207.83</v>
      </c>
      <c r="N8" s="18" t="n">
        <v>202528.38</v>
      </c>
      <c r="O8" s="18" t="n">
        <v>186757.6</v>
      </c>
      <c r="P8" s="37" t="n">
        <v>186757.6</v>
      </c>
      <c r="Q8" s="18" t="n">
        <v>188271.57</v>
      </c>
      <c r="R8" s="18" t="n">
        <v>191234.32</v>
      </c>
      <c r="S8" s="18" t="n">
        <v>186077.54</v>
      </c>
      <c r="T8" s="18" t="n">
        <v>165316.92</v>
      </c>
      <c r="U8" s="37" t="n">
        <v>165316.92</v>
      </c>
      <c r="V8" s="18" t="n">
        <v>168424.43</v>
      </c>
      <c r="W8" s="18" t="n">
        <v>178822.42</v>
      </c>
      <c r="X8" s="18" t="n">
        <v>180596.85</v>
      </c>
      <c r="Y8" s="18" t="n">
        <v>176610.81</v>
      </c>
      <c r="Z8" s="37" t="n">
        <v>176610.81</v>
      </c>
      <c r="AA8" s="18" t="n">
        <v>193133.4</v>
      </c>
      <c r="AB8" s="19" t="n">
        <v>204973.52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기타유동자산</t>
        </is>
      </c>
      <c r="E9" s="18" t="n">
        <v>4318.65</v>
      </c>
      <c r="F9" s="37" t="n">
        <v>4318.65</v>
      </c>
      <c r="G9" s="18" t="n">
        <v>5047.3</v>
      </c>
      <c r="H9" s="18" t="n">
        <v>4257.5</v>
      </c>
      <c r="I9" s="18" t="n">
        <v>4470.48</v>
      </c>
      <c r="J9" s="18" t="n">
        <v>3655.29</v>
      </c>
      <c r="K9" s="37" t="n">
        <v>3655.29</v>
      </c>
      <c r="L9" s="18" t="n">
        <v>6028.95</v>
      </c>
      <c r="M9" s="18" t="n">
        <v>4689.67</v>
      </c>
      <c r="N9" s="18" t="n">
        <v>6347.48</v>
      </c>
      <c r="O9" s="18" t="n">
        <v>4648.13</v>
      </c>
      <c r="P9" s="37" t="n">
        <v>4648.13</v>
      </c>
      <c r="Q9" s="18" t="n">
        <v>5341.25</v>
      </c>
      <c r="R9" s="18" t="n">
        <v>6868.74</v>
      </c>
      <c r="S9" s="18" t="n">
        <v>7249.52</v>
      </c>
      <c r="T9" s="18" t="n">
        <v>5919.34</v>
      </c>
      <c r="U9" s="37" t="n">
        <v>5919.34</v>
      </c>
      <c r="V9" s="18" t="n">
        <v>6963.42</v>
      </c>
      <c r="W9" s="18" t="n">
        <v>8749.540000000001</v>
      </c>
      <c r="X9" s="18" t="n">
        <v>9994.040000000001</v>
      </c>
      <c r="Y9" s="18" t="n">
        <v>10347.11</v>
      </c>
      <c r="Z9" s="37" t="n">
        <v>10347.11</v>
      </c>
      <c r="AA9" s="18" t="n">
        <v>11284.78</v>
      </c>
      <c r="AB9" s="19" t="n">
        <v>8946.280000000001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당기법인세자산(선급법인세)</t>
        </is>
      </c>
      <c r="E10" s="18" t="n">
        <v>2028.59</v>
      </c>
      <c r="F10" s="37" t="n">
        <v>2028.59</v>
      </c>
      <c r="G10" s="18" t="n">
        <v>2279.65</v>
      </c>
      <c r="H10" s="18" t="n">
        <v>2165.94</v>
      </c>
      <c r="I10" s="18" t="n">
        <v>2659.41</v>
      </c>
      <c r="J10" s="18" t="n">
        <v>2170.41</v>
      </c>
      <c r="K10" s="37" t="n">
        <v>2170.41</v>
      </c>
      <c r="L10" s="18" t="n">
        <v>2323.05</v>
      </c>
      <c r="M10" s="18" t="n">
        <v>2300.81</v>
      </c>
      <c r="N10" s="18" t="n">
        <v>2561.42</v>
      </c>
      <c r="O10" s="18" t="n">
        <v>2457.48</v>
      </c>
      <c r="P10" s="37" t="n">
        <v>2457.48</v>
      </c>
      <c r="Q10" s="18" t="n">
        <v>1531.49</v>
      </c>
      <c r="R10" s="18" t="n">
        <v>1488.84</v>
      </c>
      <c r="S10" s="18" t="n">
        <v>2159.25</v>
      </c>
      <c r="T10" s="18" t="n">
        <v>2773.7</v>
      </c>
      <c r="U10" s="37" t="n">
        <v>2773.7</v>
      </c>
      <c r="V10" s="18" t="n">
        <v>1726.53</v>
      </c>
      <c r="W10" s="18" t="n">
        <v>1552.2</v>
      </c>
      <c r="X10" s="18" t="n">
        <v>1679.11</v>
      </c>
      <c r="Y10" s="18" t="n">
        <v>1875.33</v>
      </c>
      <c r="Z10" s="37" t="n">
        <v>1875.33</v>
      </c>
      <c r="AA10" s="18" t="n">
        <v>662.37</v>
      </c>
      <c r="AB10" s="19" t="n">
        <v>328.12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비유동자산</t>
        </is>
      </c>
      <c r="E11" s="18" t="n">
        <v>513334.18</v>
      </c>
      <c r="F11" s="37" t="n">
        <v>513334.18</v>
      </c>
      <c r="G11" s="18" t="n">
        <v>530372.8</v>
      </c>
      <c r="H11" s="18" t="n">
        <v>542969.35</v>
      </c>
      <c r="I11" s="18" t="n">
        <v>666721.39</v>
      </c>
      <c r="J11" s="18" t="n">
        <v>651290.64</v>
      </c>
      <c r="K11" s="37" t="n">
        <v>651290.64</v>
      </c>
      <c r="L11" s="18" t="n">
        <v>662261.62</v>
      </c>
      <c r="M11" s="18" t="n">
        <v>670731.41</v>
      </c>
      <c r="N11" s="18" t="n">
        <v>671464.62</v>
      </c>
      <c r="O11" s="18" t="n">
        <v>675288.3100000001</v>
      </c>
      <c r="P11" s="37" t="n">
        <v>675288.3100000001</v>
      </c>
      <c r="Q11" s="18" t="n">
        <v>679565.66</v>
      </c>
      <c r="R11" s="18" t="n">
        <v>689860.88</v>
      </c>
      <c r="S11" s="18" t="n">
        <v>705225.4300000001</v>
      </c>
      <c r="T11" s="18" t="n">
        <v>708775.6800000001</v>
      </c>
      <c r="U11" s="37" t="n">
        <v>708775.6800000001</v>
      </c>
      <c r="V11" s="18" t="n">
        <v>720090.89</v>
      </c>
      <c r="W11" s="18" t="n">
        <v>697203.21</v>
      </c>
      <c r="X11" s="18" t="n">
        <v>712713.6899999999</v>
      </c>
      <c r="Y11" s="18" t="n">
        <v>726918.64</v>
      </c>
      <c r="Z11" s="37" t="n">
        <v>726918.64</v>
      </c>
      <c r="AA11" s="18" t="n">
        <v>751863.0600000001</v>
      </c>
      <c r="AB11" s="19" t="n">
        <v>786511.55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유형자산</t>
        </is>
      </c>
      <c r="E12" s="18" t="n">
        <v>421857.81</v>
      </c>
      <c r="F12" s="37" t="n">
        <v>421857.81</v>
      </c>
      <c r="G12" s="18" t="n">
        <v>432432.42</v>
      </c>
      <c r="H12" s="18" t="n">
        <v>442043.01</v>
      </c>
      <c r="I12" s="18" t="n">
        <v>568288.15</v>
      </c>
      <c r="J12" s="18" t="n">
        <v>559968.6800000001</v>
      </c>
      <c r="K12" s="37" t="n">
        <v>559968.6800000001</v>
      </c>
      <c r="L12" s="18" t="n">
        <v>568275.74</v>
      </c>
      <c r="M12" s="18" t="n">
        <v>577159.88</v>
      </c>
      <c r="N12" s="18" t="n">
        <v>576276.88</v>
      </c>
      <c r="O12" s="18" t="n">
        <v>557986.09</v>
      </c>
      <c r="P12" s="37" t="n">
        <v>557986.09</v>
      </c>
      <c r="Q12" s="18" t="n">
        <v>569249.12</v>
      </c>
      <c r="R12" s="18" t="n">
        <v>577502.9399999999</v>
      </c>
      <c r="S12" s="18" t="n">
        <v>557638.1899999999</v>
      </c>
      <c r="T12" s="18" t="n">
        <v>560881.99</v>
      </c>
      <c r="U12" s="37" t="n">
        <v>560881.99</v>
      </c>
      <c r="V12" s="18" t="n">
        <v>565978.92</v>
      </c>
      <c r="W12" s="18" t="n">
        <v>561531.97</v>
      </c>
      <c r="X12" s="18" t="n">
        <v>572807.53</v>
      </c>
      <c r="Y12" s="18" t="n">
        <v>580014.8</v>
      </c>
      <c r="Z12" s="37" t="n">
        <v>580014.8</v>
      </c>
      <c r="AA12" s="18" t="n">
        <v>608547.39</v>
      </c>
      <c r="AB12" s="19" t="n">
        <v>639688.3100000001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무형자산</t>
        </is>
      </c>
      <c r="E13" s="18" t="n">
        <v>8904.190000000001</v>
      </c>
      <c r="F13" s="37" t="n">
        <v>8904.190000000001</v>
      </c>
      <c r="G13" s="18" t="n">
        <v>8689.870000000001</v>
      </c>
      <c r="H13" s="18" t="n">
        <v>8662.35</v>
      </c>
      <c r="I13" s="18" t="n">
        <v>8641.139999999999</v>
      </c>
      <c r="J13" s="18" t="n">
        <v>9002.32</v>
      </c>
      <c r="K13" s="37" t="n">
        <v>9002.32</v>
      </c>
      <c r="L13" s="18" t="n">
        <v>9044.540000000001</v>
      </c>
      <c r="M13" s="18" t="n">
        <v>8034.59</v>
      </c>
      <c r="N13" s="18" t="n">
        <v>8098.3</v>
      </c>
      <c r="O13" s="18" t="n">
        <v>8097.81</v>
      </c>
      <c r="P13" s="37" t="n">
        <v>8097.81</v>
      </c>
      <c r="Q13" s="18" t="n">
        <v>7911.34</v>
      </c>
      <c r="R13" s="18" t="n">
        <v>8407.57</v>
      </c>
      <c r="S13" s="18" t="n">
        <v>8513.16</v>
      </c>
      <c r="T13" s="18" t="n">
        <v>8484.65</v>
      </c>
      <c r="U13" s="37" t="n">
        <v>8484.65</v>
      </c>
      <c r="V13" s="18" t="n">
        <v>9186.83</v>
      </c>
      <c r="W13" s="18" t="n">
        <v>9163.15</v>
      </c>
      <c r="X13" s="18" t="n">
        <v>11167.36</v>
      </c>
      <c r="Y13" s="18" t="n">
        <v>11145.66</v>
      </c>
      <c r="Z13" s="37" t="n">
        <v>11145.66</v>
      </c>
      <c r="AA13" s="18" t="n">
        <v>15263.86</v>
      </c>
      <c r="AB13" s="19" t="n">
        <v>14873.04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투자부동산</t>
        </is>
      </c>
      <c r="E14" s="18" t="n">
        <v>15342.8</v>
      </c>
      <c r="F14" s="37" t="n">
        <v>15342.8</v>
      </c>
      <c r="G14" s="18" t="n">
        <v>16524.27</v>
      </c>
      <c r="H14" s="18" t="n">
        <v>16516.17</v>
      </c>
      <c r="I14" s="18" t="n">
        <v>16563.44</v>
      </c>
      <c r="J14" s="18" t="n">
        <v>17639.57</v>
      </c>
      <c r="K14" s="37" t="n">
        <v>17639.57</v>
      </c>
      <c r="L14" s="18" t="n">
        <v>21026.12</v>
      </c>
      <c r="M14" s="18" t="n">
        <v>20926.2</v>
      </c>
      <c r="N14" s="18" t="n">
        <v>20911.45</v>
      </c>
      <c r="O14" s="18" t="n">
        <v>39545.56</v>
      </c>
      <c r="P14" s="37" t="n">
        <v>39545.56</v>
      </c>
      <c r="Q14" s="18" t="n">
        <v>36299.16</v>
      </c>
      <c r="R14" s="18" t="n">
        <v>36661.48</v>
      </c>
      <c r="S14" s="18" t="n">
        <v>71432.72</v>
      </c>
      <c r="T14" s="18" t="n">
        <v>72426.69</v>
      </c>
      <c r="U14" s="37" t="n">
        <v>72426.69</v>
      </c>
      <c r="V14" s="18" t="n">
        <v>72376.42999999999</v>
      </c>
      <c r="W14" s="18" t="n">
        <v>54056.45</v>
      </c>
      <c r="X14" s="18" t="n">
        <v>53946.85</v>
      </c>
      <c r="Y14" s="18" t="n">
        <v>55366.08</v>
      </c>
      <c r="Z14" s="37" t="n">
        <v>55366.08</v>
      </c>
      <c r="AA14" s="18" t="n">
        <v>55272.84</v>
      </c>
      <c r="AB14" s="19" t="n">
        <v>55129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종속기업및관계기업투자</t>
        </is>
      </c>
      <c r="E15" s="18" t="n">
        <v>19283.43</v>
      </c>
      <c r="F15" s="37" t="n">
        <v>19283.43</v>
      </c>
      <c r="G15" s="18" t="n">
        <v>19947.6</v>
      </c>
      <c r="H15" s="18" t="n">
        <v>21008.37</v>
      </c>
      <c r="I15" s="18" t="n">
        <v>21621.51</v>
      </c>
      <c r="J15" s="18" t="n">
        <v>20160.96</v>
      </c>
      <c r="K15" s="37" t="n">
        <v>20160.96</v>
      </c>
      <c r="L15" s="18" t="n">
        <v>19596.58</v>
      </c>
      <c r="M15" s="18" t="n">
        <v>19545.38</v>
      </c>
      <c r="N15" s="18" t="n">
        <v>19539.27</v>
      </c>
      <c r="O15" s="18" t="n">
        <v>19719.57</v>
      </c>
      <c r="P15" s="37" t="n">
        <v>19719.57</v>
      </c>
      <c r="Q15" s="18" t="n">
        <v>18979.21</v>
      </c>
      <c r="R15" s="18" t="n">
        <v>19698.05</v>
      </c>
      <c r="S15" s="18" t="n">
        <v>19617.06</v>
      </c>
      <c r="U15" s="9" t="n"/>
      <c r="X15" s="18" t="n">
        <v>26630.6</v>
      </c>
      <c r="Z15" s="9" t="n"/>
      <c r="AA15" s="18" t="n">
        <v>29386.82</v>
      </c>
      <c r="AB15" s="19" t="n">
        <v>31662.4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투자자산</t>
        </is>
      </c>
      <c r="E16" s="18" t="n">
        <v>29496.17</v>
      </c>
      <c r="F16" s="37" t="n">
        <v>29496.17</v>
      </c>
      <c r="G16" s="18" t="n">
        <v>30808.03</v>
      </c>
      <c r="H16" s="18" t="n">
        <v>30528.69</v>
      </c>
      <c r="I16" s="18" t="n">
        <v>30887.06</v>
      </c>
      <c r="J16" s="18" t="n">
        <v>29660.05</v>
      </c>
      <c r="K16" s="37" t="n">
        <v>29660.05</v>
      </c>
      <c r="L16" s="18" t="n">
        <v>29462.58</v>
      </c>
      <c r="M16" s="18" t="n">
        <v>29416.43</v>
      </c>
      <c r="N16" s="18" t="n">
        <v>30158.33</v>
      </c>
      <c r="O16" s="18" t="n">
        <v>32002.99</v>
      </c>
      <c r="P16" s="37" t="n">
        <v>32002.99</v>
      </c>
      <c r="Q16" s="18" t="n">
        <v>30925.71</v>
      </c>
      <c r="R16" s="18" t="n">
        <v>31533.26</v>
      </c>
      <c r="S16" s="18" t="n">
        <v>29714.77</v>
      </c>
      <c r="T16" s="18" t="n">
        <v>9563.469999999999</v>
      </c>
      <c r="U16" s="37" t="n">
        <v>9563.469999999999</v>
      </c>
      <c r="V16" s="18" t="n">
        <v>9714.85</v>
      </c>
      <c r="W16" s="18" t="n">
        <v>10278.84</v>
      </c>
      <c r="X16" s="18" t="n">
        <v>39320.84</v>
      </c>
      <c r="Y16" s="18" t="n">
        <v>25154.29</v>
      </c>
      <c r="Z16" s="37" t="n">
        <v>25154.29</v>
      </c>
      <c r="AA16" s="18" t="n">
        <v>51715.98</v>
      </c>
      <c r="AB16" s="19" t="n">
        <v>53625.66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장기금융자산</t>
        </is>
      </c>
      <c r="E17" s="18" t="n">
        <v>10212.74</v>
      </c>
      <c r="F17" s="37" t="n">
        <v>10212.74</v>
      </c>
      <c r="G17" s="18" t="n">
        <v>10860.43</v>
      </c>
      <c r="H17" s="18" t="n">
        <v>9520.32</v>
      </c>
      <c r="I17" s="18" t="n">
        <v>9265.549999999999</v>
      </c>
      <c r="J17" s="18" t="n">
        <v>9499.09</v>
      </c>
      <c r="K17" s="37" t="n">
        <v>9499.09</v>
      </c>
      <c r="L17" s="18" t="n">
        <v>9866</v>
      </c>
      <c r="M17" s="18" t="n">
        <v>9871.049999999999</v>
      </c>
      <c r="N17" s="18" t="n">
        <v>10619.06</v>
      </c>
      <c r="O17" s="18" t="n">
        <v>12283.42</v>
      </c>
      <c r="P17" s="37" t="n">
        <v>12283.42</v>
      </c>
      <c r="Q17" s="18" t="n">
        <v>11946.5</v>
      </c>
      <c r="R17" s="18" t="n">
        <v>11835.21</v>
      </c>
      <c r="S17" s="18" t="n">
        <v>10097.71</v>
      </c>
      <c r="T17" s="18" t="n">
        <v>9563.469999999999</v>
      </c>
      <c r="U17" s="37" t="n">
        <v>9563.469999999999</v>
      </c>
      <c r="V17" s="18" t="n">
        <v>9714.85</v>
      </c>
      <c r="W17" s="18" t="n">
        <v>10278.84</v>
      </c>
      <c r="X17" s="18" t="n">
        <v>12690.24</v>
      </c>
      <c r="Y17" s="18" t="n">
        <v>25154.29</v>
      </c>
      <c r="Z17" s="37" t="n">
        <v>25154.29</v>
      </c>
      <c r="AA17" s="18" t="n">
        <v>22329.16</v>
      </c>
      <c r="AB17" s="19" t="n">
        <v>21963.26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장기매출채권및기타채권</t>
        </is>
      </c>
      <c r="E18" s="18" t="n">
        <v>30105.88</v>
      </c>
      <c r="F18" s="37" t="n">
        <v>30105.88</v>
      </c>
      <c r="J18" s="18" t="n">
        <v>26407.08</v>
      </c>
      <c r="K18" s="37" t="n">
        <v>26407.08</v>
      </c>
      <c r="P18" s="9" t="n"/>
      <c r="T18" s="18" t="n">
        <v>26725.86</v>
      </c>
      <c r="U18" s="37" t="n">
        <v>26725.86</v>
      </c>
      <c r="V18" s="18" t="n">
        <v>29380.51</v>
      </c>
      <c r="W18" s="18" t="n">
        <v>29821.75</v>
      </c>
      <c r="Y18" s="18" t="n">
        <v>17811.52</v>
      </c>
      <c r="Z18" s="37" t="n">
        <v>17811.52</v>
      </c>
      <c r="AB18" s="5" t="n"/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기타비유동자산</t>
        </is>
      </c>
      <c r="E19" s="18" t="n">
        <v>5539.22</v>
      </c>
      <c r="F19" s="37" t="n">
        <v>5539.22</v>
      </c>
      <c r="G19" s="18" t="n">
        <v>5315.94</v>
      </c>
      <c r="H19" s="18" t="n">
        <v>4535.88</v>
      </c>
      <c r="I19" s="18" t="n">
        <v>4188.09</v>
      </c>
      <c r="J19" s="18" t="n">
        <v>5568.06</v>
      </c>
      <c r="K19" s="37" t="n">
        <v>5568.06</v>
      </c>
      <c r="L19" s="18" t="n">
        <v>3723.05</v>
      </c>
      <c r="M19" s="18" t="n">
        <v>3717.04</v>
      </c>
      <c r="N19" s="18" t="n">
        <v>3619.77</v>
      </c>
      <c r="O19" s="18" t="n">
        <v>6741.64</v>
      </c>
      <c r="P19" s="37" t="n">
        <v>6741.64</v>
      </c>
      <c r="Q19" s="18" t="n">
        <v>3575.48</v>
      </c>
      <c r="R19" s="18" t="n">
        <v>3531.64</v>
      </c>
      <c r="S19" s="18" t="n">
        <v>3402.68</v>
      </c>
      <c r="T19" s="18" t="n">
        <v>3640.13</v>
      </c>
      <c r="U19" s="37" t="n">
        <v>3640.13</v>
      </c>
      <c r="V19" s="18" t="n">
        <v>3550.97</v>
      </c>
      <c r="W19" s="18" t="n">
        <v>3170.39</v>
      </c>
      <c r="X19" s="18" t="n">
        <v>3338.75</v>
      </c>
      <c r="Y19" s="18" t="n">
        <v>3605.94</v>
      </c>
      <c r="Z19" s="37" t="n">
        <v>3605.94</v>
      </c>
      <c r="AA19" s="18" t="n">
        <v>4516.77</v>
      </c>
      <c r="AB19" s="19" t="n">
        <v>7665.34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이연법인세자산</t>
        </is>
      </c>
      <c r="E20" s="18" t="n">
        <v>1992.21</v>
      </c>
      <c r="F20" s="37" t="n">
        <v>1992.21</v>
      </c>
      <c r="G20" s="18" t="n">
        <v>2083.67</v>
      </c>
      <c r="H20" s="18" t="n">
        <v>2001.29</v>
      </c>
      <c r="I20" s="18" t="n">
        <v>2282.61</v>
      </c>
      <c r="J20" s="18" t="n">
        <v>2780.22</v>
      </c>
      <c r="K20" s="37" t="n">
        <v>2780.22</v>
      </c>
      <c r="L20" s="18" t="n">
        <v>2963.13</v>
      </c>
      <c r="M20" s="18" t="n">
        <v>3091.88</v>
      </c>
      <c r="N20" s="18" t="n">
        <v>2825.83</v>
      </c>
      <c r="O20" s="18" t="n">
        <v>2877.72</v>
      </c>
      <c r="P20" s="37" t="n">
        <v>2877.72</v>
      </c>
      <c r="Q20" s="18" t="n">
        <v>3015.76</v>
      </c>
      <c r="R20" s="18" t="n">
        <v>2727.3</v>
      </c>
      <c r="S20" s="18" t="n">
        <v>2829.31</v>
      </c>
      <c r="T20" s="18" t="n">
        <v>3113.73</v>
      </c>
      <c r="U20" s="37" t="n">
        <v>3113.73</v>
      </c>
      <c r="V20" s="18" t="n">
        <v>2690.64</v>
      </c>
      <c r="W20" s="18" t="n">
        <v>2259.12</v>
      </c>
      <c r="X20" s="18" t="n">
        <v>1855.97</v>
      </c>
      <c r="Y20" s="18" t="n">
        <v>686.79</v>
      </c>
      <c r="Z20" s="37" t="n">
        <v>686.79</v>
      </c>
      <c r="AA20" s="18" t="n">
        <v>658.35</v>
      </c>
      <c r="AB20" s="19" t="n">
        <v>655.42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자산총계</t>
        </is>
      </c>
      <c r="E21" s="18" t="n">
        <v>868658.75</v>
      </c>
      <c r="F21" s="37" t="n">
        <v>868658.75</v>
      </c>
      <c r="G21" s="18" t="n">
        <v>894717.47</v>
      </c>
      <c r="H21" s="18" t="n">
        <v>944492.58</v>
      </c>
      <c r="I21" s="18" t="n">
        <v>1116080.77</v>
      </c>
      <c r="J21" s="18" t="n">
        <v>1094801.8</v>
      </c>
      <c r="K21" s="37" t="n">
        <v>1094801.8</v>
      </c>
      <c r="L21" s="18" t="n">
        <v>1112755.81</v>
      </c>
      <c r="M21" s="18" t="n">
        <v>1144158.28</v>
      </c>
      <c r="N21" s="18" t="n">
        <v>1138447.36</v>
      </c>
      <c r="O21" s="18" t="n">
        <v>1130467.71</v>
      </c>
      <c r="P21" s="37" t="n">
        <v>1130467.71</v>
      </c>
      <c r="Q21" s="18" t="n">
        <v>1148480.96</v>
      </c>
      <c r="R21" s="18" t="n">
        <v>1159391.73</v>
      </c>
      <c r="S21" s="18" t="n">
        <v>1167043.85</v>
      </c>
      <c r="T21" s="18" t="n">
        <v>1161899.25</v>
      </c>
      <c r="U21" s="37" t="n">
        <v>1161899.25</v>
      </c>
      <c r="V21" s="18" t="n">
        <v>1189515.16</v>
      </c>
      <c r="W21" s="18" t="n">
        <v>1206884.26</v>
      </c>
      <c r="X21" s="18" t="n">
        <v>1219729.5</v>
      </c>
      <c r="Y21" s="18" t="n">
        <v>1187991.58</v>
      </c>
      <c r="Z21" s="37" t="n">
        <v>1187991.58</v>
      </c>
      <c r="AA21" s="18" t="n">
        <v>1243836.83</v>
      </c>
      <c r="AB21" s="19" t="n">
        <v>1315314.58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유동부채</t>
        </is>
      </c>
      <c r="E22" s="18" t="n">
        <v>405262.57</v>
      </c>
      <c r="F22" s="37" t="n">
        <v>405262.57</v>
      </c>
      <c r="G22" s="18" t="n">
        <v>413517.96</v>
      </c>
      <c r="H22" s="18" t="n">
        <v>469980.87</v>
      </c>
      <c r="I22" s="18" t="n">
        <v>535220.67</v>
      </c>
      <c r="J22" s="18" t="n">
        <v>523650.51</v>
      </c>
      <c r="K22" s="37" t="n">
        <v>523650.51</v>
      </c>
      <c r="L22" s="18" t="n">
        <v>531881.92</v>
      </c>
      <c r="M22" s="18" t="n">
        <v>551277.5699999999</v>
      </c>
      <c r="N22" s="18" t="n">
        <v>539718.5</v>
      </c>
      <c r="O22" s="18" t="n">
        <v>529800.87</v>
      </c>
      <c r="P22" s="37" t="n">
        <v>529800.87</v>
      </c>
      <c r="Q22" s="18" t="n">
        <v>565836.39</v>
      </c>
      <c r="R22" s="18" t="n">
        <v>524887.4</v>
      </c>
      <c r="S22" s="18" t="n">
        <v>533069.79</v>
      </c>
      <c r="T22" s="18" t="n">
        <v>512506.28</v>
      </c>
      <c r="U22" s="37" t="n">
        <v>512506.28</v>
      </c>
      <c r="V22" s="18" t="n">
        <v>514526.13</v>
      </c>
      <c r="W22" s="18" t="n">
        <v>560079</v>
      </c>
      <c r="X22" s="18" t="n">
        <v>504626.65</v>
      </c>
      <c r="Y22" s="18" t="n">
        <v>481770.63</v>
      </c>
      <c r="Z22" s="37" t="n">
        <v>481770.63</v>
      </c>
      <c r="AA22" s="18" t="n">
        <v>510531.7</v>
      </c>
      <c r="AB22" s="19" t="n">
        <v>526544.64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매입채무및기타채무</t>
        </is>
      </c>
      <c r="E23" s="18" t="n">
        <v>72400.52</v>
      </c>
      <c r="F23" s="37" t="n">
        <v>72400.52</v>
      </c>
      <c r="G23" s="18" t="n">
        <v>80966.17</v>
      </c>
      <c r="H23" s="18" t="n">
        <v>69928.17</v>
      </c>
      <c r="I23" s="18" t="n">
        <v>93629.64</v>
      </c>
      <c r="J23" s="18" t="n">
        <v>92300.42</v>
      </c>
      <c r="K23" s="37" t="n">
        <v>92300.42</v>
      </c>
      <c r="L23" s="18" t="n">
        <v>83547.49000000001</v>
      </c>
      <c r="M23" s="18" t="n">
        <v>95266.64</v>
      </c>
      <c r="N23" s="18" t="n">
        <v>86621</v>
      </c>
      <c r="O23" s="18" t="n">
        <v>97968.59</v>
      </c>
      <c r="P23" s="37" t="n">
        <v>97968.59</v>
      </c>
      <c r="Q23" s="18" t="n">
        <v>98981.67</v>
      </c>
      <c r="R23" s="18" t="n">
        <v>75941.28</v>
      </c>
      <c r="S23" s="18" t="n">
        <v>77568.12</v>
      </c>
      <c r="T23" s="18" t="n">
        <v>82297.53</v>
      </c>
      <c r="U23" s="37" t="n">
        <v>82297.53</v>
      </c>
      <c r="V23" s="18" t="n">
        <v>82750.33</v>
      </c>
      <c r="W23" s="18" t="n">
        <v>79150.88</v>
      </c>
      <c r="X23" s="18" t="n">
        <v>78834.72</v>
      </c>
      <c r="Y23" s="18" t="n">
        <v>75981.81</v>
      </c>
      <c r="Z23" s="37" t="n">
        <v>75981.81</v>
      </c>
      <c r="AA23" s="18" t="n">
        <v>88284.23</v>
      </c>
      <c r="AB23" s="19" t="n">
        <v>78372.94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단기차입금</t>
        </is>
      </c>
      <c r="E24" s="18" t="n">
        <v>286819.44</v>
      </c>
      <c r="F24" s="37" t="n">
        <v>286819.44</v>
      </c>
      <c r="G24" s="18" t="n">
        <v>278438.88</v>
      </c>
      <c r="H24" s="18" t="n">
        <v>325283.63</v>
      </c>
      <c r="I24" s="18" t="n">
        <v>367192.63</v>
      </c>
      <c r="J24" s="18" t="n">
        <v>390288.61</v>
      </c>
      <c r="K24" s="37" t="n">
        <v>390288.61</v>
      </c>
      <c r="L24" s="18" t="n">
        <v>410737.3</v>
      </c>
      <c r="M24" s="18" t="n">
        <v>406193.92</v>
      </c>
      <c r="N24" s="18" t="n">
        <v>394319.97</v>
      </c>
      <c r="O24" s="18" t="n">
        <v>368173.96</v>
      </c>
      <c r="P24" s="37" t="n">
        <v>368173.96</v>
      </c>
      <c r="Q24" s="18" t="n">
        <v>421487.33</v>
      </c>
      <c r="R24" s="18" t="n">
        <v>400806.67</v>
      </c>
      <c r="S24" s="18" t="n">
        <v>416152.66</v>
      </c>
      <c r="T24" s="18" t="n">
        <v>318960.27</v>
      </c>
      <c r="U24" s="37" t="n">
        <v>318960.27</v>
      </c>
      <c r="V24" s="18" t="n">
        <v>331423.72</v>
      </c>
      <c r="W24" s="18" t="n">
        <v>344850.02</v>
      </c>
      <c r="X24" s="18" t="n">
        <v>315836.81</v>
      </c>
      <c r="Y24" s="18" t="n">
        <v>304530.9</v>
      </c>
      <c r="Z24" s="37" t="n">
        <v>304530.9</v>
      </c>
      <c r="AA24" s="18" t="n">
        <v>331099.6</v>
      </c>
      <c r="AB24" s="19" t="n">
        <v>392878.52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기타유동부채</t>
        </is>
      </c>
      <c r="E25" s="18" t="n">
        <v>27910.06</v>
      </c>
      <c r="F25" s="37" t="n">
        <v>27910.06</v>
      </c>
      <c r="G25" s="18" t="n">
        <v>24353.47</v>
      </c>
      <c r="H25" s="18" t="n">
        <v>24648.4</v>
      </c>
      <c r="I25" s="18" t="n">
        <v>28339.34</v>
      </c>
      <c r="J25" s="18" t="n">
        <v>28995.82</v>
      </c>
      <c r="K25" s="37" t="n">
        <v>28995.82</v>
      </c>
      <c r="L25" s="18" t="n">
        <v>28035.25</v>
      </c>
      <c r="M25" s="18" t="n">
        <v>42788.28</v>
      </c>
      <c r="N25" s="18" t="n">
        <v>50414.24</v>
      </c>
      <c r="O25" s="18" t="n">
        <v>41993.2</v>
      </c>
      <c r="P25" s="37" t="n">
        <v>41993.2</v>
      </c>
      <c r="Q25" s="18" t="n">
        <v>38538.89</v>
      </c>
      <c r="R25" s="18" t="n">
        <v>44457.64</v>
      </c>
      <c r="S25" s="18" t="n">
        <v>36102.92</v>
      </c>
      <c r="T25" s="18" t="n">
        <v>35183.47</v>
      </c>
      <c r="U25" s="37" t="n">
        <v>35183.47</v>
      </c>
      <c r="V25" s="18" t="n">
        <v>34717.63</v>
      </c>
      <c r="W25" s="18" t="n">
        <v>50101.16</v>
      </c>
      <c r="X25" s="18" t="n">
        <v>55714.48</v>
      </c>
      <c r="Y25" s="18" t="n">
        <v>54589.97</v>
      </c>
      <c r="Z25" s="37" t="n">
        <v>54589.97</v>
      </c>
      <c r="AA25" s="18" t="n">
        <v>49711.36</v>
      </c>
      <c r="AB25" s="19" t="n">
        <v>50328.79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당기법인세부채(미지급법인세)</t>
        </is>
      </c>
      <c r="E26" s="18" t="n">
        <v>3786.62</v>
      </c>
      <c r="F26" s="37" t="n">
        <v>3786.62</v>
      </c>
      <c r="G26" s="18" t="n">
        <v>5537.07</v>
      </c>
      <c r="H26" s="18" t="n">
        <v>5742.62</v>
      </c>
      <c r="I26" s="18" t="n">
        <v>7035.13</v>
      </c>
      <c r="J26" s="18" t="n">
        <v>9037.209999999999</v>
      </c>
      <c r="K26" s="37" t="n">
        <v>9037.209999999999</v>
      </c>
      <c r="L26" s="18" t="n">
        <v>6005.04</v>
      </c>
      <c r="M26" s="18" t="n">
        <v>4117.92</v>
      </c>
      <c r="N26" s="18" t="n">
        <v>5694.06</v>
      </c>
      <c r="O26" s="18" t="n">
        <v>4087.7</v>
      </c>
      <c r="P26" s="37" t="n">
        <v>4087.7</v>
      </c>
      <c r="Q26" s="18" t="n">
        <v>4549.18</v>
      </c>
      <c r="R26" s="18" t="n">
        <v>1379.86</v>
      </c>
      <c r="S26" s="18" t="n">
        <v>1048.77</v>
      </c>
      <c r="T26" s="18" t="n">
        <v>1444.45</v>
      </c>
      <c r="U26" s="37" t="n">
        <v>1444.45</v>
      </c>
      <c r="V26" s="18" t="n">
        <v>1526.37</v>
      </c>
      <c r="W26" s="18" t="n">
        <v>1572.58</v>
      </c>
      <c r="X26" s="18" t="n">
        <v>1548.36</v>
      </c>
      <c r="Y26" s="18" t="n">
        <v>2604.49</v>
      </c>
      <c r="Z26" s="37" t="n">
        <v>2604.49</v>
      </c>
      <c r="AA26" s="18" t="n">
        <v>2162.81</v>
      </c>
      <c r="AB26" s="19" t="n">
        <v>2290.91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유동리스부채</t>
        </is>
      </c>
      <c r="E27" s="18" t="n">
        <v>2131.97</v>
      </c>
      <c r="F27" s="37" t="n">
        <v>2131.97</v>
      </c>
      <c r="G27" s="18" t="n">
        <v>2295.95</v>
      </c>
      <c r="H27" s="18" t="n">
        <v>2262.4</v>
      </c>
      <c r="I27" s="18" t="n">
        <v>2228.94</v>
      </c>
      <c r="J27" s="18" t="n">
        <v>2010.33</v>
      </c>
      <c r="K27" s="37" t="n">
        <v>2010.33</v>
      </c>
      <c r="L27" s="18" t="n">
        <v>2180.86</v>
      </c>
      <c r="M27" s="18" t="n">
        <v>2126.1</v>
      </c>
      <c r="N27" s="18" t="n">
        <v>1939.13</v>
      </c>
      <c r="O27" s="18" t="n">
        <v>2070.85</v>
      </c>
      <c r="P27" s="37" t="n">
        <v>2070.85</v>
      </c>
      <c r="Q27" s="18" t="n">
        <v>2063.58</v>
      </c>
      <c r="R27" s="18" t="n">
        <v>2013.65</v>
      </c>
      <c r="S27" s="18" t="n">
        <v>1959.8</v>
      </c>
      <c r="T27" s="18" t="n">
        <v>2203.98</v>
      </c>
      <c r="U27" s="37" t="n">
        <v>2203.98</v>
      </c>
      <c r="V27" s="18" t="n">
        <v>2318.32</v>
      </c>
      <c r="W27" s="18" t="n">
        <v>2519.21</v>
      </c>
      <c r="X27" s="18" t="n">
        <v>2198.56</v>
      </c>
      <c r="Y27" s="18" t="n">
        <v>1981.23</v>
      </c>
      <c r="Z27" s="37" t="n">
        <v>1981.23</v>
      </c>
      <c r="AA27" s="18" t="n">
        <v>2013.6</v>
      </c>
      <c r="AB27" s="19" t="n">
        <v>2009.39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리스부채</t>
        </is>
      </c>
      <c r="E28" s="18" t="n">
        <v>10569.52</v>
      </c>
      <c r="F28" s="37" t="n">
        <v>10569.52</v>
      </c>
      <c r="G28" s="18" t="n">
        <v>11175.41</v>
      </c>
      <c r="H28" s="18" t="n">
        <v>13485.52</v>
      </c>
      <c r="I28" s="18" t="n">
        <v>13381.93</v>
      </c>
      <c r="J28" s="18" t="n">
        <v>12888.58</v>
      </c>
      <c r="K28" s="37" t="n">
        <v>12888.58</v>
      </c>
      <c r="L28" s="18" t="n">
        <v>12766.09</v>
      </c>
      <c r="M28" s="18" t="n">
        <v>12346.06</v>
      </c>
      <c r="N28" s="18" t="n">
        <v>11743.01</v>
      </c>
      <c r="O28" s="18" t="n">
        <v>11259.76</v>
      </c>
      <c r="P28" s="37" t="n">
        <v>11259.76</v>
      </c>
      <c r="Q28" s="18" t="n">
        <v>10844.55</v>
      </c>
      <c r="R28" s="18" t="n">
        <v>10146.38</v>
      </c>
      <c r="S28" s="18" t="n">
        <v>10294.72</v>
      </c>
      <c r="T28" s="18" t="n">
        <v>10119.11</v>
      </c>
      <c r="U28" s="37" t="n">
        <v>10119.11</v>
      </c>
      <c r="V28" s="18" t="n">
        <v>10005.1</v>
      </c>
      <c r="W28" s="18" t="n">
        <v>9531.700000000001</v>
      </c>
      <c r="X28" s="18" t="n">
        <v>9026.07</v>
      </c>
      <c r="Y28" s="18" t="n">
        <v>8484.4</v>
      </c>
      <c r="Z28" s="37" t="n">
        <v>8484.4</v>
      </c>
      <c r="AA28" s="18" t="n">
        <v>8609.92</v>
      </c>
      <c r="AB28" s="19" t="n">
        <v>8757.82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단기금융부채</t>
        </is>
      </c>
      <c r="E29" s="18" t="n">
        <v>2131.97</v>
      </c>
      <c r="F29" s="37" t="n">
        <v>2131.97</v>
      </c>
      <c r="G29" s="18" t="n">
        <v>2295.95</v>
      </c>
      <c r="H29" s="18" t="n">
        <v>2262.4</v>
      </c>
      <c r="I29" s="18" t="n">
        <v>2228.94</v>
      </c>
      <c r="J29" s="18" t="n">
        <v>2010.33</v>
      </c>
      <c r="K29" s="37" t="n">
        <v>2010.33</v>
      </c>
      <c r="L29" s="18" t="n">
        <v>2180.86</v>
      </c>
      <c r="M29" s="18" t="n">
        <v>2126.1</v>
      </c>
      <c r="N29" s="18" t="n">
        <v>1939.13</v>
      </c>
      <c r="O29" s="18" t="n">
        <v>2070.85</v>
      </c>
      <c r="P29" s="37" t="n">
        <v>2070.85</v>
      </c>
      <c r="Q29" s="18" t="n">
        <v>2063.58</v>
      </c>
      <c r="R29" s="18" t="n">
        <v>2013.65</v>
      </c>
      <c r="S29" s="18" t="n">
        <v>1959.8</v>
      </c>
      <c r="T29" s="18" t="n">
        <v>2203.98</v>
      </c>
      <c r="U29" s="37" t="n">
        <v>2203.98</v>
      </c>
      <c r="V29" s="18" t="n">
        <v>2318.32</v>
      </c>
      <c r="W29" s="18" t="n">
        <v>2519.21</v>
      </c>
      <c r="X29" s="18" t="n">
        <v>2198.56</v>
      </c>
      <c r="Y29" s="18" t="n">
        <v>1981.23</v>
      </c>
      <c r="Z29" s="37" t="n">
        <v>1981.23</v>
      </c>
      <c r="AA29" s="18" t="n">
        <v>2013.6</v>
      </c>
      <c r="AB29" s="19" t="n">
        <v>2009.39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비유동부채</t>
        </is>
      </c>
      <c r="E30" s="18" t="n">
        <v>76725.39</v>
      </c>
      <c r="F30" s="37" t="n">
        <v>76725.39</v>
      </c>
      <c r="G30" s="18" t="n">
        <v>86683.28999999999</v>
      </c>
      <c r="H30" s="18" t="n">
        <v>73796.94</v>
      </c>
      <c r="I30" s="18" t="n">
        <v>128845.13</v>
      </c>
      <c r="J30" s="18" t="n">
        <v>122936.98</v>
      </c>
      <c r="K30" s="37" t="n">
        <v>122936.98</v>
      </c>
      <c r="L30" s="18" t="n">
        <v>128635.34</v>
      </c>
      <c r="M30" s="18" t="n">
        <v>128009.2</v>
      </c>
      <c r="N30" s="18" t="n">
        <v>125814.39</v>
      </c>
      <c r="O30" s="18" t="n">
        <v>123172.89</v>
      </c>
      <c r="P30" s="37" t="n">
        <v>123172.89</v>
      </c>
      <c r="Q30" s="18" t="n">
        <v>102439.6</v>
      </c>
      <c r="R30" s="18" t="n">
        <v>142039.24</v>
      </c>
      <c r="S30" s="18" t="n">
        <v>137422.15</v>
      </c>
      <c r="T30" s="18" t="n">
        <v>150054.62</v>
      </c>
      <c r="U30" s="37" t="n">
        <v>150054.62</v>
      </c>
      <c r="V30" s="18" t="n">
        <v>168756.12</v>
      </c>
      <c r="W30" s="18" t="n">
        <v>147832.18</v>
      </c>
      <c r="X30" s="18" t="n">
        <v>210418.44</v>
      </c>
      <c r="Y30" s="18" t="n">
        <v>208069.42</v>
      </c>
      <c r="Z30" s="37" t="n">
        <v>208069.42</v>
      </c>
      <c r="AA30" s="18" t="n">
        <v>220536.48</v>
      </c>
      <c r="AB30" s="19" t="n">
        <v>256221.65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장기차입금</t>
        </is>
      </c>
      <c r="E31" s="18" t="n">
        <v>46214.49</v>
      </c>
      <c r="F31" s="37" t="n">
        <v>46214.49</v>
      </c>
      <c r="G31" s="18" t="n">
        <v>55079.55</v>
      </c>
      <c r="H31" s="18" t="n">
        <v>40173.32</v>
      </c>
      <c r="I31" s="18" t="n">
        <v>73636.48</v>
      </c>
      <c r="J31" s="18" t="n">
        <v>72314.73</v>
      </c>
      <c r="K31" s="37" t="n">
        <v>72314.73</v>
      </c>
      <c r="L31" s="18" t="n">
        <v>76116.60000000001</v>
      </c>
      <c r="M31" s="18" t="n">
        <v>78591.60000000001</v>
      </c>
      <c r="N31" s="18" t="n">
        <v>80566.61</v>
      </c>
      <c r="O31" s="18" t="n">
        <v>82131.08</v>
      </c>
      <c r="P31" s="37" t="n">
        <v>82131.08</v>
      </c>
      <c r="Q31" s="18" t="n">
        <v>61557.44</v>
      </c>
      <c r="R31" s="18" t="n">
        <v>101492.78</v>
      </c>
      <c r="S31" s="18" t="n">
        <v>97705.83</v>
      </c>
      <c r="T31" s="18" t="n">
        <v>91283.42</v>
      </c>
      <c r="U31" s="37" t="n">
        <v>91283.42</v>
      </c>
      <c r="V31" s="18" t="n">
        <v>127659.57</v>
      </c>
      <c r="W31" s="18" t="n">
        <v>106939</v>
      </c>
      <c r="X31" s="18" t="n">
        <v>171166.66</v>
      </c>
      <c r="Y31" s="18" t="n">
        <v>172591.76</v>
      </c>
      <c r="Z31" s="37" t="n">
        <v>172591.76</v>
      </c>
      <c r="AA31" s="18" t="n">
        <v>182655.89</v>
      </c>
      <c r="AB31" s="19" t="n">
        <v>215163.31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장기매입채무및기타채무</t>
        </is>
      </c>
      <c r="E32" s="18" t="n">
        <v>1475.59</v>
      </c>
      <c r="F32" s="37" t="n">
        <v>1475.59</v>
      </c>
      <c r="H32" s="18" t="n">
        <v>1716.84</v>
      </c>
      <c r="I32" s="18" t="n">
        <v>1716.91</v>
      </c>
      <c r="J32" s="18" t="n">
        <v>1870.28</v>
      </c>
      <c r="K32" s="37" t="n">
        <v>1870.28</v>
      </c>
      <c r="L32" s="18" t="n">
        <v>2017.65</v>
      </c>
      <c r="M32" s="18" t="n">
        <v>1942.82</v>
      </c>
      <c r="N32" s="18" t="n">
        <v>1974.54</v>
      </c>
      <c r="O32" s="18" t="n">
        <v>1743.85</v>
      </c>
      <c r="P32" s="37" t="n">
        <v>1743.85</v>
      </c>
      <c r="Q32" s="18" t="n">
        <v>1617.13</v>
      </c>
      <c r="T32" s="18" t="n">
        <v>1003.03</v>
      </c>
      <c r="U32" s="37" t="n">
        <v>1003.03</v>
      </c>
      <c r="V32" s="18" t="n">
        <v>1071.82</v>
      </c>
      <c r="W32" s="18" t="n">
        <v>1184.44</v>
      </c>
      <c r="Z32" s="9" t="n"/>
      <c r="AB32" s="5" t="n"/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이연법인세부채</t>
        </is>
      </c>
      <c r="E33" s="18" t="n">
        <v>18730.14</v>
      </c>
      <c r="F33" s="37" t="n">
        <v>18730.14</v>
      </c>
      <c r="G33" s="18" t="n">
        <v>19315.92</v>
      </c>
      <c r="H33" s="18" t="n">
        <v>19107.62</v>
      </c>
      <c r="I33" s="18" t="n">
        <v>38750.86</v>
      </c>
      <c r="J33" s="18" t="n">
        <v>36177.81</v>
      </c>
      <c r="K33" s="37" t="n">
        <v>36177.81</v>
      </c>
      <c r="L33" s="18" t="n">
        <v>36618.6</v>
      </c>
      <c r="M33" s="18" t="n">
        <v>34566.21</v>
      </c>
      <c r="N33" s="18" t="n">
        <v>31806.04</v>
      </c>
      <c r="O33" s="18" t="n">
        <v>28450.91</v>
      </c>
      <c r="P33" s="37" t="n">
        <v>28450.91</v>
      </c>
      <c r="Q33" s="18" t="n">
        <v>28663.09</v>
      </c>
      <c r="R33" s="18" t="n">
        <v>27897.25</v>
      </c>
      <c r="S33" s="18" t="n">
        <v>26863.34</v>
      </c>
      <c r="T33" s="18" t="n">
        <v>28048.24</v>
      </c>
      <c r="U33" s="37" t="n">
        <v>28048.24</v>
      </c>
      <c r="V33" s="18" t="n">
        <v>28681.25</v>
      </c>
      <c r="W33" s="18" t="n">
        <v>27721.24</v>
      </c>
      <c r="X33" s="18" t="n">
        <v>28159.86</v>
      </c>
      <c r="Y33" s="18" t="n">
        <v>26252.87</v>
      </c>
      <c r="Z33" s="37" t="n">
        <v>26252.87</v>
      </c>
      <c r="AA33" s="18" t="n">
        <v>28691.21</v>
      </c>
      <c r="AB33" s="19" t="n">
        <v>31720.8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장기충당부채</t>
        </is>
      </c>
      <c r="E34" s="18" t="n">
        <v>1194.7</v>
      </c>
      <c r="F34" s="37" t="n">
        <v>1194.7</v>
      </c>
      <c r="G34" s="18" t="n">
        <v>1140.91</v>
      </c>
      <c r="H34" s="18" t="n">
        <v>1093.04</v>
      </c>
      <c r="I34" s="18" t="n">
        <v>1066.47</v>
      </c>
      <c r="J34" s="18" t="n">
        <v>1280.86</v>
      </c>
      <c r="K34" s="37" t="n">
        <v>1280.86</v>
      </c>
      <c r="L34" s="18" t="n">
        <v>1365.25</v>
      </c>
      <c r="M34" s="18" t="n">
        <v>1457.78</v>
      </c>
      <c r="N34" s="18" t="n">
        <v>1445.29</v>
      </c>
      <c r="O34" s="18" t="n">
        <v>1658.13</v>
      </c>
      <c r="P34" s="37" t="n">
        <v>1658.13</v>
      </c>
      <c r="Q34" s="18" t="n">
        <v>1752.04</v>
      </c>
      <c r="R34" s="18" t="n">
        <v>1821.61</v>
      </c>
      <c r="S34" s="18" t="n">
        <v>1846.1</v>
      </c>
      <c r="T34" s="18" t="n">
        <v>1837.54</v>
      </c>
      <c r="U34" s="37" t="n">
        <v>1837.54</v>
      </c>
      <c r="V34" s="18" t="n">
        <v>1776.03</v>
      </c>
      <c r="W34" s="18" t="n">
        <v>1789.66</v>
      </c>
      <c r="X34" s="18" t="n">
        <v>1753.93</v>
      </c>
      <c r="Y34" s="18" t="n">
        <v>1538.96</v>
      </c>
      <c r="Z34" s="37" t="n">
        <v>1538.96</v>
      </c>
      <c r="AA34" s="18" t="n">
        <v>1421.22</v>
      </c>
      <c r="AB34" s="19" t="n">
        <v>1409.59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비유동리스부채</t>
        </is>
      </c>
      <c r="E35" s="18" t="n">
        <v>8437.549999999999</v>
      </c>
      <c r="F35" s="37" t="n">
        <v>8437.549999999999</v>
      </c>
      <c r="G35" s="18" t="n">
        <v>8879.459999999999</v>
      </c>
      <c r="H35" s="18" t="n">
        <v>11223.12</v>
      </c>
      <c r="I35" s="18" t="n">
        <v>11152.99</v>
      </c>
      <c r="J35" s="18" t="n">
        <v>10878.25</v>
      </c>
      <c r="K35" s="37" t="n">
        <v>10878.25</v>
      </c>
      <c r="L35" s="18" t="n">
        <v>10585.23</v>
      </c>
      <c r="M35" s="18" t="n">
        <v>10219.96</v>
      </c>
      <c r="N35" s="18" t="n">
        <v>9803.879999999999</v>
      </c>
      <c r="O35" s="18" t="n">
        <v>9188.91</v>
      </c>
      <c r="P35" s="37" t="n">
        <v>9188.91</v>
      </c>
      <c r="Q35" s="18" t="n">
        <v>8780.969999999999</v>
      </c>
      <c r="R35" s="18" t="n">
        <v>8132.73</v>
      </c>
      <c r="S35" s="18" t="n">
        <v>8334.92</v>
      </c>
      <c r="T35" s="18" t="n">
        <v>7915.13</v>
      </c>
      <c r="U35" s="37" t="n">
        <v>7915.13</v>
      </c>
      <c r="V35" s="18" t="n">
        <v>7686.78</v>
      </c>
      <c r="W35" s="18" t="n">
        <v>7012.49</v>
      </c>
      <c r="X35" s="18" t="n">
        <v>6827.51</v>
      </c>
      <c r="Y35" s="18" t="n">
        <v>6503.17</v>
      </c>
      <c r="Z35" s="37" t="n">
        <v>6503.17</v>
      </c>
      <c r="AA35" s="18" t="n">
        <v>6596.32</v>
      </c>
      <c r="AB35" s="19" t="n">
        <v>6748.43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장기금융부채</t>
        </is>
      </c>
      <c r="E36" s="18" t="n">
        <v>8437.549999999999</v>
      </c>
      <c r="F36" s="37" t="n">
        <v>8437.549999999999</v>
      </c>
      <c r="G36" s="18" t="n">
        <v>10548.94</v>
      </c>
      <c r="H36" s="18" t="n">
        <v>11223.12</v>
      </c>
      <c r="I36" s="18" t="n">
        <v>11152.99</v>
      </c>
      <c r="J36" s="18" t="n">
        <v>10878.25</v>
      </c>
      <c r="K36" s="37" t="n">
        <v>10878.25</v>
      </c>
      <c r="L36" s="18" t="n">
        <v>10585.23</v>
      </c>
      <c r="M36" s="18" t="n">
        <v>10219.96</v>
      </c>
      <c r="N36" s="18" t="n">
        <v>9803.879999999999</v>
      </c>
      <c r="O36" s="18" t="n">
        <v>9188.91</v>
      </c>
      <c r="P36" s="37" t="n">
        <v>9188.91</v>
      </c>
      <c r="Q36" s="18" t="n">
        <v>8780.969999999999</v>
      </c>
      <c r="R36" s="18" t="n">
        <v>8132.73</v>
      </c>
      <c r="S36" s="18" t="n">
        <v>8334.92</v>
      </c>
      <c r="T36" s="18" t="n">
        <v>7915.13</v>
      </c>
      <c r="U36" s="37" t="n">
        <v>7915.13</v>
      </c>
      <c r="V36" s="18" t="n">
        <v>7686.78</v>
      </c>
      <c r="W36" s="18" t="n">
        <v>7012.49</v>
      </c>
      <c r="X36" s="18" t="n">
        <v>6827.51</v>
      </c>
      <c r="Y36" s="18" t="n">
        <v>6503.17</v>
      </c>
      <c r="Z36" s="37" t="n">
        <v>6503.17</v>
      </c>
      <c r="AA36" s="18" t="n">
        <v>6596.32</v>
      </c>
      <c r="AB36" s="19" t="n">
        <v>6748.43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부채총계</t>
        </is>
      </c>
      <c r="E37" s="18" t="n">
        <v>481987.96</v>
      </c>
      <c r="F37" s="37" t="n">
        <v>481987.96</v>
      </c>
      <c r="G37" s="18" t="n">
        <v>500201.25</v>
      </c>
      <c r="H37" s="18" t="n">
        <v>543777.8</v>
      </c>
      <c r="I37" s="18" t="n">
        <v>664065.8</v>
      </c>
      <c r="J37" s="18" t="n">
        <v>646587.48</v>
      </c>
      <c r="K37" s="37" t="n">
        <v>646587.48</v>
      </c>
      <c r="L37" s="18" t="n">
        <v>660517.26</v>
      </c>
      <c r="M37" s="18" t="n">
        <v>679286.76</v>
      </c>
      <c r="N37" s="18" t="n">
        <v>665532.89</v>
      </c>
      <c r="O37" s="18" t="n">
        <v>652973.75</v>
      </c>
      <c r="P37" s="37" t="n">
        <v>652973.75</v>
      </c>
      <c r="Q37" s="18" t="n">
        <v>668275.99</v>
      </c>
      <c r="R37" s="18" t="n">
        <v>666926.64</v>
      </c>
      <c r="S37" s="18" t="n">
        <v>670491.9399999999</v>
      </c>
      <c r="T37" s="18" t="n">
        <v>662560.9</v>
      </c>
      <c r="U37" s="37" t="n">
        <v>662560.9</v>
      </c>
      <c r="V37" s="18" t="n">
        <v>683282.25</v>
      </c>
      <c r="W37" s="18" t="n">
        <v>707911.17</v>
      </c>
      <c r="X37" s="18" t="n">
        <v>715045.1</v>
      </c>
      <c r="Y37" s="18" t="n">
        <v>689840.04</v>
      </c>
      <c r="Z37" s="37" t="n">
        <v>689840.04</v>
      </c>
      <c r="AA37" s="18" t="n">
        <v>731068.1899999999</v>
      </c>
      <c r="AB37" s="19" t="n">
        <v>782766.29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지배주주지분</t>
        </is>
      </c>
      <c r="E38" s="18" t="n">
        <v>310567.99</v>
      </c>
      <c r="F38" s="37" t="n">
        <v>310567.99</v>
      </c>
      <c r="G38" s="18" t="n">
        <v>318287.19</v>
      </c>
      <c r="H38" s="18" t="n">
        <v>324686.41</v>
      </c>
      <c r="I38" s="18" t="n">
        <v>372143.2</v>
      </c>
      <c r="J38" s="18" t="n">
        <v>367103.96</v>
      </c>
      <c r="K38" s="37" t="n">
        <v>367103.96</v>
      </c>
      <c r="L38" s="18" t="n">
        <v>371032.61</v>
      </c>
      <c r="M38" s="18" t="n">
        <v>382410.85</v>
      </c>
      <c r="N38" s="18" t="n">
        <v>392089.67</v>
      </c>
      <c r="O38" s="18" t="n">
        <v>393555.16</v>
      </c>
      <c r="P38" s="37" t="n">
        <v>393555.16</v>
      </c>
      <c r="Q38" s="18" t="n">
        <v>388983.67</v>
      </c>
      <c r="R38" s="18" t="n">
        <v>396499.27</v>
      </c>
      <c r="S38" s="18" t="n">
        <v>397339.04</v>
      </c>
      <c r="T38" s="18" t="n">
        <v>396522.12</v>
      </c>
      <c r="U38" s="37" t="n">
        <v>396522.12</v>
      </c>
      <c r="V38" s="18" t="n">
        <v>389534.89</v>
      </c>
      <c r="W38" s="18" t="n">
        <v>379639.62</v>
      </c>
      <c r="X38" s="18" t="n">
        <v>374876.44</v>
      </c>
      <c r="Y38" s="18" t="n">
        <v>359968.05</v>
      </c>
      <c r="Z38" s="37" t="n">
        <v>359968.05</v>
      </c>
      <c r="AA38" s="18" t="n">
        <v>371954</v>
      </c>
      <c r="AB38" s="19" t="n">
        <v>376768.77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자본금</t>
        </is>
      </c>
      <c r="E39" s="18" t="n">
        <v>63101.14</v>
      </c>
      <c r="F39" s="37" t="n">
        <v>63101.14</v>
      </c>
      <c r="G39" s="18" t="n">
        <v>63101.14</v>
      </c>
      <c r="H39" s="18" t="n">
        <v>63101.14</v>
      </c>
      <c r="I39" s="18" t="n">
        <v>63101.14</v>
      </c>
      <c r="J39" s="18" t="n">
        <v>63101.14</v>
      </c>
      <c r="K39" s="37" t="n">
        <v>63101.14</v>
      </c>
      <c r="L39" s="18" t="n">
        <v>63101.14</v>
      </c>
      <c r="M39" s="18" t="n">
        <v>63101.14</v>
      </c>
      <c r="N39" s="18" t="n">
        <v>63101.14</v>
      </c>
      <c r="O39" s="18" t="n">
        <v>63101.14</v>
      </c>
      <c r="P39" s="37" t="n">
        <v>63101.14</v>
      </c>
      <c r="Q39" s="18" t="n">
        <v>63101.14</v>
      </c>
      <c r="R39" s="18" t="n">
        <v>63101.14</v>
      </c>
      <c r="S39" s="18" t="n">
        <v>63101.14</v>
      </c>
      <c r="T39" s="18" t="n">
        <v>93020.37</v>
      </c>
      <c r="U39" s="37" t="n">
        <v>93020.37</v>
      </c>
      <c r="V39" s="18" t="n">
        <v>93020.37</v>
      </c>
      <c r="W39" s="18" t="n">
        <v>93020.37</v>
      </c>
      <c r="X39" s="18" t="n">
        <v>93020.37</v>
      </c>
      <c r="Y39" s="18" t="n">
        <v>93020.37</v>
      </c>
      <c r="Z39" s="37" t="n">
        <v>93020.37</v>
      </c>
      <c r="AA39" s="18" t="n">
        <v>93020.37</v>
      </c>
      <c r="AB39" s="19" t="n">
        <v>93020.37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자본잉여금</t>
        </is>
      </c>
      <c r="E40" s="18" t="n">
        <v>1069.8</v>
      </c>
      <c r="F40" s="37" t="n">
        <v>1069.8</v>
      </c>
      <c r="G40" s="18" t="n">
        <v>1069.8</v>
      </c>
      <c r="H40" s="18" t="n">
        <v>1173.36</v>
      </c>
      <c r="I40" s="18" t="n">
        <v>7132.85</v>
      </c>
      <c r="J40" s="18" t="n">
        <v>7971.36</v>
      </c>
      <c r="K40" s="37" t="n">
        <v>7971.36</v>
      </c>
      <c r="L40" s="18" t="n">
        <v>7971.36</v>
      </c>
      <c r="M40" s="18" t="n">
        <v>7971.36</v>
      </c>
      <c r="N40" s="18" t="n">
        <v>1772.95</v>
      </c>
      <c r="O40" s="18" t="n">
        <v>1772.95</v>
      </c>
      <c r="P40" s="37" t="n">
        <v>1772.95</v>
      </c>
      <c r="Q40" s="18" t="n">
        <v>-3518.65</v>
      </c>
      <c r="R40" s="18" t="n">
        <v>2158.03</v>
      </c>
      <c r="S40" s="18" t="n">
        <v>2158.03</v>
      </c>
      <c r="T40" s="18" t="n">
        <v>35339.94</v>
      </c>
      <c r="U40" s="37" t="n">
        <v>35339.94</v>
      </c>
      <c r="V40" s="18" t="n">
        <v>31031.25</v>
      </c>
      <c r="W40" s="18" t="n">
        <v>31030.83</v>
      </c>
      <c r="X40" s="18" t="n">
        <v>31024.43</v>
      </c>
      <c r="Y40" s="18" t="n">
        <v>43348.05</v>
      </c>
      <c r="Z40" s="37" t="n">
        <v>43348.05</v>
      </c>
      <c r="AA40" s="18" t="n">
        <v>42248.59</v>
      </c>
      <c r="AB40" s="19" t="n">
        <v>40978.84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기타자본</t>
        </is>
      </c>
      <c r="E41" s="18" t="n">
        <v>-1474.69</v>
      </c>
      <c r="F41" s="37" t="n">
        <v>-1474.69</v>
      </c>
      <c r="G41" s="18" t="n">
        <v>-448.57</v>
      </c>
      <c r="H41" s="18" t="n">
        <v>-680.36</v>
      </c>
      <c r="I41" s="18" t="n">
        <v>2499.44</v>
      </c>
      <c r="J41" s="18" t="n">
        <v>-910.39</v>
      </c>
      <c r="K41" s="37" t="n">
        <v>-910.39</v>
      </c>
      <c r="L41" s="18" t="n">
        <v>337.04</v>
      </c>
      <c r="M41" s="18" t="n">
        <v>-381.81</v>
      </c>
      <c r="N41" s="18" t="n">
        <v>353.88</v>
      </c>
      <c r="O41" s="18" t="n">
        <v>-719.03</v>
      </c>
      <c r="P41" s="37" t="n">
        <v>-719.03</v>
      </c>
      <c r="Q41" s="18" t="n">
        <v>-493.3</v>
      </c>
      <c r="R41" s="18" t="n">
        <v>-146.84</v>
      </c>
      <c r="S41" s="18" t="n">
        <v>1705.47</v>
      </c>
      <c r="T41" s="18" t="n">
        <v>3610.64</v>
      </c>
      <c r="U41" s="37" t="n">
        <v>3610.64</v>
      </c>
      <c r="V41" s="18" t="n">
        <v>3834.48</v>
      </c>
      <c r="W41" s="18" t="n">
        <v>1136.68</v>
      </c>
      <c r="X41" s="18" t="n">
        <v>2677.52</v>
      </c>
      <c r="Y41" s="18" t="n">
        <v>5716.35</v>
      </c>
      <c r="Z41" s="37" t="n">
        <v>5716.35</v>
      </c>
      <c r="AA41" s="18" t="n">
        <v>8384.530000000001</v>
      </c>
      <c r="AB41" s="19" t="n">
        <v>7019.59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이익잉여금</t>
        </is>
      </c>
      <c r="E42" s="18" t="n">
        <v>247871.74</v>
      </c>
      <c r="F42" s="37" t="n">
        <v>247871.74</v>
      </c>
      <c r="G42" s="18" t="n">
        <v>254564.82</v>
      </c>
      <c r="H42" s="18" t="n">
        <v>261092.27</v>
      </c>
      <c r="I42" s="18" t="n">
        <v>299409.77</v>
      </c>
      <c r="J42" s="18" t="n">
        <v>296941.85</v>
      </c>
      <c r="K42" s="37" t="n">
        <v>296941.85</v>
      </c>
      <c r="L42" s="18" t="n">
        <v>299623.07</v>
      </c>
      <c r="M42" s="18" t="n">
        <v>311720.16</v>
      </c>
      <c r="N42" s="18" t="n">
        <v>326861.69</v>
      </c>
      <c r="O42" s="18" t="n">
        <v>329400.1</v>
      </c>
      <c r="P42" s="37" t="n">
        <v>329400.1</v>
      </c>
      <c r="Q42" s="18" t="n">
        <v>329894.47</v>
      </c>
      <c r="R42" s="18" t="n">
        <v>331386.94</v>
      </c>
      <c r="S42" s="18" t="n">
        <v>330374.4</v>
      </c>
      <c r="T42" s="18" t="n">
        <v>327652.3</v>
      </c>
      <c r="U42" s="37" t="n">
        <v>327652.3</v>
      </c>
      <c r="V42" s="18" t="n">
        <v>324749.92</v>
      </c>
      <c r="W42" s="18" t="n">
        <v>317552.88</v>
      </c>
      <c r="X42" s="18" t="n">
        <v>311255.26</v>
      </c>
      <c r="Y42" s="18" t="n">
        <v>280984.42</v>
      </c>
      <c r="Z42" s="37" t="n">
        <v>280984.42</v>
      </c>
      <c r="AA42" s="18" t="n">
        <v>291401.64</v>
      </c>
      <c r="AB42" s="19" t="n">
        <v>298851.11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비지배주주지분</t>
        </is>
      </c>
      <c r="E43" s="18" t="n">
        <v>76102.8</v>
      </c>
      <c r="F43" s="37" t="n">
        <v>76102.8</v>
      </c>
      <c r="G43" s="18" t="n">
        <v>76229.03</v>
      </c>
      <c r="H43" s="18" t="n">
        <v>76028.36</v>
      </c>
      <c r="I43" s="18" t="n">
        <v>79871.77</v>
      </c>
      <c r="J43" s="18" t="n">
        <v>81110.35000000001</v>
      </c>
      <c r="K43" s="37" t="n">
        <v>81110.35000000001</v>
      </c>
      <c r="L43" s="18" t="n">
        <v>81205.94</v>
      </c>
      <c r="M43" s="18" t="n">
        <v>82460.67999999999</v>
      </c>
      <c r="N43" s="18" t="n">
        <v>80824.8</v>
      </c>
      <c r="O43" s="18" t="n">
        <v>83938.78999999999</v>
      </c>
      <c r="P43" s="37" t="n">
        <v>83938.78999999999</v>
      </c>
      <c r="Q43" s="18" t="n">
        <v>91221.3</v>
      </c>
      <c r="R43" s="18" t="n">
        <v>95965.81</v>
      </c>
      <c r="S43" s="18" t="n">
        <v>99212.86</v>
      </c>
      <c r="T43" s="18" t="n">
        <v>102816.23</v>
      </c>
      <c r="U43" s="37" t="n">
        <v>102816.23</v>
      </c>
      <c r="V43" s="18" t="n">
        <v>116698.02</v>
      </c>
      <c r="W43" s="18" t="n">
        <v>119333.47</v>
      </c>
      <c r="X43" s="18" t="n">
        <v>129807.97</v>
      </c>
      <c r="Y43" s="18" t="n">
        <v>138183.49</v>
      </c>
      <c r="Z43" s="37" t="n">
        <v>138183.49</v>
      </c>
      <c r="AA43" s="18" t="n">
        <v>140814.65</v>
      </c>
      <c r="AB43" s="19" t="n">
        <v>155779.52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자본총계</t>
        </is>
      </c>
      <c r="E44" s="18" t="n">
        <v>386670.79</v>
      </c>
      <c r="F44" s="37" t="n">
        <v>386670.79</v>
      </c>
      <c r="G44" s="18" t="n">
        <v>394516.22</v>
      </c>
      <c r="H44" s="18" t="n">
        <v>400714.77</v>
      </c>
      <c r="I44" s="18" t="n">
        <v>452014.97</v>
      </c>
      <c r="J44" s="18" t="n">
        <v>448214.31</v>
      </c>
      <c r="K44" s="37" t="n">
        <v>448214.31</v>
      </c>
      <c r="L44" s="18" t="n">
        <v>452238.55</v>
      </c>
      <c r="M44" s="18" t="n">
        <v>464871.52</v>
      </c>
      <c r="N44" s="18" t="n">
        <v>472914.47</v>
      </c>
      <c r="O44" s="18" t="n">
        <v>477493.96</v>
      </c>
      <c r="P44" s="37" t="n">
        <v>477493.96</v>
      </c>
      <c r="Q44" s="18" t="n">
        <v>480204.96</v>
      </c>
      <c r="R44" s="18" t="n">
        <v>492465.09</v>
      </c>
      <c r="S44" s="18" t="n">
        <v>496551.91</v>
      </c>
      <c r="T44" s="18" t="n">
        <v>499338.34</v>
      </c>
      <c r="U44" s="37" t="n">
        <v>499338.34</v>
      </c>
      <c r="V44" s="18" t="n">
        <v>506232.91</v>
      </c>
      <c r="W44" s="18" t="n">
        <v>498973.09</v>
      </c>
      <c r="X44" s="18" t="n">
        <v>504684.41</v>
      </c>
      <c r="Y44" s="18" t="n">
        <v>498151.54</v>
      </c>
      <c r="Z44" s="37" t="n">
        <v>498151.54</v>
      </c>
      <c r="AA44" s="18" t="n">
        <v>512768.65</v>
      </c>
      <c r="AB44" s="19" t="n">
        <v>532548.28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부채와자본총계</t>
        </is>
      </c>
      <c r="E45" s="18" t="n">
        <v>868658.75</v>
      </c>
      <c r="F45" s="37" t="n">
        <v>868658.75</v>
      </c>
      <c r="G45" s="18" t="n">
        <v>894717.47</v>
      </c>
      <c r="H45" s="18" t="n">
        <v>944492.58</v>
      </c>
      <c r="I45" s="18" t="n">
        <v>1116080.77</v>
      </c>
      <c r="J45" s="18" t="n">
        <v>1094801.8</v>
      </c>
      <c r="K45" s="37" t="n">
        <v>1094801.8</v>
      </c>
      <c r="L45" s="18" t="n">
        <v>1112755.81</v>
      </c>
      <c r="M45" s="18" t="n">
        <v>1144158.28</v>
      </c>
      <c r="N45" s="18" t="n">
        <v>1138447.36</v>
      </c>
      <c r="O45" s="18" t="n">
        <v>1130467.71</v>
      </c>
      <c r="P45" s="37" t="n">
        <v>1130467.71</v>
      </c>
      <c r="Q45" s="18" t="n">
        <v>1148480.96</v>
      </c>
      <c r="R45" s="18" t="n">
        <v>1159391.73</v>
      </c>
      <c r="S45" s="18" t="n">
        <v>1167043.85</v>
      </c>
      <c r="T45" s="18" t="n">
        <v>1161899.25</v>
      </c>
      <c r="U45" s="37" t="n">
        <v>1161899.25</v>
      </c>
      <c r="V45" s="18" t="n">
        <v>1189515.16</v>
      </c>
      <c r="W45" s="18" t="n">
        <v>1206884.26</v>
      </c>
      <c r="X45" s="18" t="n">
        <v>1219729.5</v>
      </c>
      <c r="Y45" s="18" t="n">
        <v>1187991.58</v>
      </c>
      <c r="Z45" s="37" t="n">
        <v>1187991.58</v>
      </c>
      <c r="AA45" s="18" t="n">
        <v>1243836.83</v>
      </c>
      <c r="AB45" s="19" t="n">
        <v>1315314.58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총차입금</t>
        </is>
      </c>
      <c r="E46" s="18" t="n">
        <v>374867.25</v>
      </c>
      <c r="F46" s="37" t="n">
        <v>374867.25</v>
      </c>
      <c r="G46" s="18" t="n">
        <v>405444.86</v>
      </c>
      <c r="H46" s="18" t="n">
        <v>406676.63</v>
      </c>
      <c r="I46" s="18" t="n">
        <v>476751.85</v>
      </c>
      <c r="J46" s="18" t="n">
        <v>462603.34</v>
      </c>
      <c r="K46" s="37" t="n">
        <v>462603.34</v>
      </c>
      <c r="L46" s="18" t="n">
        <v>486853.9</v>
      </c>
      <c r="M46" s="18" t="n">
        <v>484785.52</v>
      </c>
      <c r="N46" s="18" t="n">
        <v>474886.58</v>
      </c>
      <c r="O46" s="18" t="n">
        <v>525321.33</v>
      </c>
      <c r="P46" s="37" t="n">
        <v>525321.33</v>
      </c>
      <c r="Q46" s="18" t="n">
        <v>483044.77</v>
      </c>
      <c r="R46" s="18" t="n">
        <v>502299.45</v>
      </c>
      <c r="S46" s="18" t="n">
        <v>513858.49</v>
      </c>
      <c r="T46" s="18" t="n">
        <v>502328.45</v>
      </c>
      <c r="U46" s="37" t="n">
        <v>502328.45</v>
      </c>
      <c r="V46" s="18" t="n">
        <v>560406.33</v>
      </c>
      <c r="W46" s="18" t="n">
        <v>573096.8</v>
      </c>
      <c r="X46" s="18" t="n">
        <v>537102.49</v>
      </c>
      <c r="Y46" s="18" t="n">
        <v>518791.27</v>
      </c>
      <c r="Z46" s="37" t="n">
        <v>518791.27</v>
      </c>
      <c r="AA46" s="18" t="n">
        <v>550421.25</v>
      </c>
      <c r="AB46" s="19" t="n">
        <v>608041.83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순차입금</t>
        </is>
      </c>
      <c r="E47" s="18" t="n">
        <v>279054.91</v>
      </c>
      <c r="F47" s="37" t="n">
        <v>279054.91</v>
      </c>
      <c r="G47" s="18" t="n">
        <v>307028.15</v>
      </c>
      <c r="H47" s="18" t="n">
        <v>307130.53</v>
      </c>
      <c r="I47" s="18" t="n">
        <v>376254.26</v>
      </c>
      <c r="J47" s="18" t="n">
        <v>372463.05</v>
      </c>
      <c r="K47" s="37" t="n">
        <v>372463.05</v>
      </c>
      <c r="L47" s="18" t="n">
        <v>389588.13</v>
      </c>
      <c r="M47" s="18" t="n">
        <v>375047.65</v>
      </c>
      <c r="N47" s="18" t="n">
        <v>377116.65</v>
      </c>
      <c r="O47" s="18" t="n">
        <v>423205.85</v>
      </c>
      <c r="P47" s="37" t="n">
        <v>423205.85</v>
      </c>
      <c r="Q47" s="18" t="n">
        <v>375972.33</v>
      </c>
      <c r="R47" s="18" t="n">
        <v>423341.82</v>
      </c>
      <c r="S47" s="18" t="n">
        <v>422790.45</v>
      </c>
      <c r="T47" s="18" t="n">
        <v>414871.69</v>
      </c>
      <c r="U47" s="37" t="n">
        <v>414871.69</v>
      </c>
      <c r="V47" s="18" t="n">
        <v>439276.53</v>
      </c>
      <c r="W47" s="18" t="n">
        <v>458209.12</v>
      </c>
      <c r="X47" s="18" t="n">
        <v>400932.57</v>
      </c>
      <c r="Y47" s="18" t="n">
        <v>411569.95</v>
      </c>
      <c r="Z47" s="37" t="n">
        <v>411569.95</v>
      </c>
      <c r="AA47" s="18" t="n">
        <v>415448.22</v>
      </c>
      <c r="AB47" s="19" t="n">
        <v>455719.13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이자발생자산</t>
        </is>
      </c>
      <c r="E48" s="18" t="n">
        <v>106025.08</v>
      </c>
      <c r="F48" s="37" t="n">
        <v>106025.08</v>
      </c>
      <c r="G48" s="18" t="n">
        <v>109277.14</v>
      </c>
      <c r="H48" s="18" t="n">
        <v>109066.42</v>
      </c>
      <c r="I48" s="18" t="n">
        <v>109763.14</v>
      </c>
      <c r="J48" s="18" t="n">
        <v>99639.38</v>
      </c>
      <c r="K48" s="37" t="n">
        <v>99639.38</v>
      </c>
      <c r="L48" s="18" t="n">
        <v>107131.77</v>
      </c>
      <c r="M48" s="18" t="n">
        <v>119608.92</v>
      </c>
      <c r="N48" s="18" t="n">
        <v>108388.99</v>
      </c>
      <c r="O48" s="18" t="n">
        <v>114398.9</v>
      </c>
      <c r="P48" s="37" t="n">
        <v>114398.9</v>
      </c>
      <c r="Q48" s="18" t="n">
        <v>119018.94</v>
      </c>
      <c r="R48" s="18" t="n">
        <v>90792.84</v>
      </c>
      <c r="S48" s="18" t="n">
        <v>101165.75</v>
      </c>
      <c r="T48" s="18" t="n">
        <v>97020.23</v>
      </c>
      <c r="U48" s="37" t="n">
        <v>97020.23</v>
      </c>
      <c r="V48" s="18" t="n">
        <v>130844.65</v>
      </c>
      <c r="W48" s="18" t="n">
        <v>125166.52</v>
      </c>
      <c r="X48" s="18" t="n">
        <v>148860.16</v>
      </c>
      <c r="Y48" s="18" t="n">
        <v>132375.61</v>
      </c>
      <c r="Z48" s="37" t="n">
        <v>132375.61</v>
      </c>
      <c r="AA48" s="18" t="n">
        <v>157302.19</v>
      </c>
      <c r="AB48" s="19" t="n">
        <v>174285.96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유동성장기부채</t>
        </is>
      </c>
      <c r="E49" s="18" t="n">
        <v>11833.32</v>
      </c>
      <c r="F49" s="37" t="n">
        <v>11833.32</v>
      </c>
      <c r="G49" s="18" t="n">
        <v>21926.43</v>
      </c>
      <c r="H49" s="18" t="n">
        <v>41219.68</v>
      </c>
      <c r="I49" s="18" t="n">
        <v>35922.74</v>
      </c>
      <c r="K49" s="9" t="n"/>
      <c r="O49" s="18" t="n">
        <v>15016.29</v>
      </c>
      <c r="P49" s="37" t="n">
        <v>15016.29</v>
      </c>
      <c r="T49" s="18" t="n">
        <v>72117.5</v>
      </c>
      <c r="U49" s="37" t="n">
        <v>72117.5</v>
      </c>
      <c r="V49" s="18" t="n">
        <v>61392.72</v>
      </c>
      <c r="W49" s="18" t="n">
        <v>81371.09</v>
      </c>
      <c r="X49" s="18" t="n">
        <v>50099.02</v>
      </c>
      <c r="Y49" s="18" t="n">
        <v>41668.61</v>
      </c>
      <c r="Z49" s="37" t="n">
        <v>41668.61</v>
      </c>
      <c r="AA49" s="18" t="n">
        <v>36665.76</v>
      </c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사채</t>
        </is>
      </c>
      <c r="E50" s="18" t="n">
        <v>30000</v>
      </c>
      <c r="F50" s="37" t="n">
        <v>30000</v>
      </c>
      <c r="G50" s="18" t="n">
        <v>50000</v>
      </c>
      <c r="K50" s="9" t="n"/>
      <c r="O50" s="18" t="n">
        <v>60000</v>
      </c>
      <c r="P50" s="37" t="n">
        <v>60000</v>
      </c>
      <c r="T50" s="18" t="n">
        <v>19967.26</v>
      </c>
      <c r="U50" s="37" t="n">
        <v>19967.26</v>
      </c>
      <c r="V50" s="18" t="n">
        <v>39930.32</v>
      </c>
      <c r="W50" s="18" t="n">
        <v>39936.69</v>
      </c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기타비유동금융부채</t>
        </is>
      </c>
      <c r="F51" s="9" t="n"/>
      <c r="G51" s="18" t="n">
        <v>1669.48</v>
      </c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확정급여부채</t>
        </is>
      </c>
      <c r="F52" s="9" t="n"/>
      <c r="I52" s="18" t="n">
        <v>2077.68</v>
      </c>
      <c r="K52" s="9" t="n"/>
      <c r="L52" s="18" t="n">
        <v>1769.4</v>
      </c>
      <c r="M52" s="18" t="n">
        <v>1230.82</v>
      </c>
      <c r="N52" s="18" t="n">
        <v>218.03</v>
      </c>
      <c r="P52" s="9" t="n"/>
      <c r="Q52" s="18" t="n">
        <v>68.93000000000001</v>
      </c>
      <c r="R52" s="18" t="n">
        <v>1092.02</v>
      </c>
      <c r="S52" s="18" t="n">
        <v>1549.62</v>
      </c>
      <c r="U52" s="9" t="n"/>
      <c r="X52" s="18" t="n">
        <v>1358.11</v>
      </c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단기금융부채(face)</t>
        </is>
      </c>
      <c r="F53" s="9" t="n"/>
      <c r="J53" s="18" t="n">
        <v>390288.61</v>
      </c>
      <c r="K53" s="37" t="n">
        <v>390288.61</v>
      </c>
      <c r="L53" s="18" t="n">
        <v>410737.3</v>
      </c>
      <c r="M53" s="18" t="n">
        <v>406193.92</v>
      </c>
      <c r="N53" s="18" t="n">
        <v>394319.97</v>
      </c>
      <c r="P53" s="9" t="n"/>
      <c r="Q53" s="18" t="n">
        <v>421487.33</v>
      </c>
      <c r="R53" s="18" t="n">
        <v>400806.67</v>
      </c>
      <c r="S53" s="18" t="n">
        <v>416152.66</v>
      </c>
      <c r="U53" s="9" t="n"/>
      <c r="Z53" s="9" t="n"/>
      <c r="AB53" s="19" t="n">
        <v>392878.52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단기충당부채</t>
        </is>
      </c>
      <c r="F54" s="9" t="n"/>
      <c r="J54" s="18" t="n">
        <v>42.12</v>
      </c>
      <c r="K54" s="37" t="n">
        <v>42.12</v>
      </c>
      <c r="L54" s="18" t="n">
        <v>44.53</v>
      </c>
      <c r="M54" s="18" t="n">
        <v>46.44</v>
      </c>
      <c r="N54" s="18" t="n">
        <v>46.91</v>
      </c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매각예정비유동자산및처분자산</t>
        </is>
      </c>
      <c r="F55" s="9" t="n"/>
      <c r="K55" s="9" t="n"/>
      <c r="O55" s="18" t="n">
        <v>2254.93</v>
      </c>
      <c r="P55" s="37" t="n">
        <v>2254.93</v>
      </c>
      <c r="Q55" s="18" t="n">
        <v>93.59</v>
      </c>
      <c r="U55" s="9" t="n"/>
      <c r="W55" s="18" t="n">
        <v>17729.08</v>
      </c>
      <c r="X55" s="18" t="n">
        <v>17729.08</v>
      </c>
      <c r="Y55" s="18" t="n">
        <v>17729.08</v>
      </c>
      <c r="Z55" s="37" t="n">
        <v>17729.08</v>
      </c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기타비유동부채</t>
        </is>
      </c>
      <c r="F56" s="9" t="n"/>
      <c r="K56" s="9" t="n"/>
      <c r="P56" s="9" t="n"/>
      <c r="R56" s="18" t="n">
        <v>1602.86</v>
      </c>
      <c r="S56" s="18" t="n">
        <v>1122.35</v>
      </c>
      <c r="U56" s="9" t="n"/>
      <c r="X56" s="18" t="n">
        <v>1152.38</v>
      </c>
      <c r="Y56" s="18" t="n">
        <v>1182.65</v>
      </c>
      <c r="Z56" s="37" t="n">
        <v>1182.65</v>
      </c>
      <c r="AA56" s="18" t="n">
        <v>1171.84</v>
      </c>
      <c r="AB56" s="19" t="n">
        <v>1179.52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장기금융부채(face)</t>
        </is>
      </c>
      <c r="F57" s="9" t="n"/>
      <c r="K57" s="9" t="n"/>
      <c r="P57" s="9" t="n"/>
      <c r="U57" s="9" t="n"/>
      <c r="X57" s="18" t="n">
        <v>4641.34</v>
      </c>
      <c r="Y57" s="18" t="n">
        <v>172591.76</v>
      </c>
      <c r="Z57" s="37" t="n">
        <v>172591.76</v>
      </c>
      <c r="AA57" s="18" t="n">
        <v>5349.24</v>
      </c>
      <c r="AB57" s="19" t="n">
        <v>11170.58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매출액(수익)</t>
        </is>
      </c>
      <c r="E58" s="18" t="n">
        <v>145112.78</v>
      </c>
      <c r="F58" s="9" t="n"/>
      <c r="G58" s="18" t="n">
        <v>173504.74</v>
      </c>
      <c r="H58" s="18" t="n">
        <v>169743.96</v>
      </c>
      <c r="I58" s="18" t="n">
        <v>177648.71</v>
      </c>
      <c r="J58" s="18" t="n">
        <v>208034.6</v>
      </c>
      <c r="K58" s="37" t="n">
        <v>728932.01</v>
      </c>
      <c r="L58" s="18" t="n">
        <v>210598.27</v>
      </c>
      <c r="M58" s="18" t="n">
        <v>214308.71</v>
      </c>
      <c r="N58" s="18" t="n">
        <v>211036.44</v>
      </c>
      <c r="O58" s="18" t="n">
        <v>220949.28</v>
      </c>
      <c r="P58" s="37" t="n">
        <v>856892.7</v>
      </c>
      <c r="Q58" s="18" t="n">
        <v>209293.48</v>
      </c>
      <c r="R58" s="18" t="n">
        <v>189474.93</v>
      </c>
      <c r="S58" s="18" t="n">
        <v>193709.01</v>
      </c>
      <c r="T58" s="18" t="n">
        <v>208874.59</v>
      </c>
      <c r="U58" s="37" t="n">
        <v>801352.01</v>
      </c>
      <c r="V58" s="18" t="n">
        <v>197870.76</v>
      </c>
      <c r="W58" s="18" t="n">
        <v>211821.39</v>
      </c>
      <c r="X58" s="18" t="n">
        <v>205273.93</v>
      </c>
      <c r="Y58" s="18" t="n">
        <v>187189.93</v>
      </c>
      <c r="Z58" s="37" t="n">
        <v>802156.01</v>
      </c>
      <c r="AA58" s="18" t="n">
        <v>196667.64</v>
      </c>
      <c r="AB58" s="19" t="n">
        <v>229092.31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매출원가</t>
        </is>
      </c>
      <c r="E59" s="18" t="n">
        <v>121131.79</v>
      </c>
      <c r="F59" s="9" t="n"/>
      <c r="G59" s="18" t="n">
        <v>146525.21</v>
      </c>
      <c r="H59" s="18" t="n">
        <v>141725.6</v>
      </c>
      <c r="I59" s="18" t="n">
        <v>150135.15</v>
      </c>
      <c r="J59" s="18" t="n">
        <v>180200.25</v>
      </c>
      <c r="K59" s="37" t="n">
        <v>618586.21</v>
      </c>
      <c r="L59" s="18" t="n">
        <v>174858.2</v>
      </c>
      <c r="M59" s="18" t="n">
        <v>173686.92</v>
      </c>
      <c r="N59" s="18" t="n">
        <v>169138.32</v>
      </c>
      <c r="O59" s="18" t="n">
        <v>181141.91</v>
      </c>
      <c r="P59" s="37" t="n">
        <v>698825.35</v>
      </c>
      <c r="Q59" s="18" t="n">
        <v>173763.71</v>
      </c>
      <c r="R59" s="18" t="n">
        <v>158776.44</v>
      </c>
      <c r="S59" s="18" t="n">
        <v>162033.55</v>
      </c>
      <c r="T59" s="18" t="n">
        <v>180023.28</v>
      </c>
      <c r="U59" s="37" t="n">
        <v>674596.98</v>
      </c>
      <c r="V59" s="18" t="n">
        <v>165223.43</v>
      </c>
      <c r="W59" s="18" t="n">
        <v>179705.97</v>
      </c>
      <c r="X59" s="18" t="n">
        <v>173319.08</v>
      </c>
      <c r="Y59" s="18" t="n">
        <v>161691.22</v>
      </c>
      <c r="Z59" s="37" t="n">
        <v>679939.7</v>
      </c>
      <c r="AA59" s="18" t="n">
        <v>158096.34</v>
      </c>
      <c r="AB59" s="19" t="n">
        <v>182845.31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매출총이익</t>
        </is>
      </c>
      <c r="E60" s="18" t="n">
        <v>23980.99</v>
      </c>
      <c r="F60" s="9" t="n"/>
      <c r="G60" s="18" t="n">
        <v>26979.53</v>
      </c>
      <c r="H60" s="18" t="n">
        <v>28018.36</v>
      </c>
      <c r="I60" s="18" t="n">
        <v>27513.56</v>
      </c>
      <c r="J60" s="18" t="n">
        <v>27834.34</v>
      </c>
      <c r="K60" s="37" t="n">
        <v>110345.79</v>
      </c>
      <c r="L60" s="18" t="n">
        <v>35740.07</v>
      </c>
      <c r="M60" s="18" t="n">
        <v>40621.79</v>
      </c>
      <c r="N60" s="18" t="n">
        <v>41898.12</v>
      </c>
      <c r="O60" s="18" t="n">
        <v>39807.37</v>
      </c>
      <c r="P60" s="37" t="n">
        <v>158067.35</v>
      </c>
      <c r="Q60" s="18" t="n">
        <v>35529.77</v>
      </c>
      <c r="R60" s="18" t="n">
        <v>30698.49</v>
      </c>
      <c r="S60" s="18" t="n">
        <v>31675.47</v>
      </c>
      <c r="T60" s="18" t="n">
        <v>28851.31</v>
      </c>
      <c r="U60" s="37" t="n">
        <v>126755.04</v>
      </c>
      <c r="V60" s="18" t="n">
        <v>32647.33</v>
      </c>
      <c r="W60" s="18" t="n">
        <v>32115.42</v>
      </c>
      <c r="X60" s="18" t="n">
        <v>31954.86</v>
      </c>
      <c r="Y60" s="18" t="n">
        <v>25498.71</v>
      </c>
      <c r="Z60" s="37" t="n">
        <v>122216.32</v>
      </c>
      <c r="AA60" s="18" t="n">
        <v>38571.3</v>
      </c>
      <c r="AB60" s="19" t="n">
        <v>46247.01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판관비</t>
        </is>
      </c>
      <c r="E61" s="18" t="n">
        <v>20353.34</v>
      </c>
      <c r="F61" s="9" t="n"/>
      <c r="G61" s="18" t="n">
        <v>14958.49</v>
      </c>
      <c r="H61" s="18" t="n">
        <v>18160.71</v>
      </c>
      <c r="I61" s="18" t="n">
        <v>21062.07</v>
      </c>
      <c r="J61" s="18" t="n">
        <v>22225.06</v>
      </c>
      <c r="K61" s="37" t="n">
        <v>76406.33</v>
      </c>
      <c r="L61" s="18" t="n">
        <v>19988.67</v>
      </c>
      <c r="M61" s="18" t="n">
        <v>22359.31</v>
      </c>
      <c r="N61" s="18" t="n">
        <v>22962.35</v>
      </c>
      <c r="O61" s="18" t="n">
        <v>26174.94</v>
      </c>
      <c r="P61" s="37" t="n">
        <v>91485.27</v>
      </c>
      <c r="Q61" s="18" t="n">
        <v>21887.39</v>
      </c>
      <c r="R61" s="18" t="n">
        <v>22025.67</v>
      </c>
      <c r="S61" s="18" t="n">
        <v>25910.01</v>
      </c>
      <c r="T61" s="18" t="n">
        <v>23883.76</v>
      </c>
      <c r="U61" s="37" t="n">
        <v>93706.83</v>
      </c>
      <c r="V61" s="18" t="n">
        <v>25585.14</v>
      </c>
      <c r="W61" s="18" t="n">
        <v>28076.88</v>
      </c>
      <c r="X61" s="18" t="n">
        <v>31994.23</v>
      </c>
      <c r="Y61" s="18" t="n">
        <v>26062.67</v>
      </c>
      <c r="Z61" s="37" t="n">
        <v>111718.92</v>
      </c>
      <c r="AA61" s="18" t="n">
        <v>25332.05</v>
      </c>
      <c r="AB61" s="19" t="n">
        <v>28256.8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영업이익</t>
        </is>
      </c>
      <c r="E62" s="18" t="n">
        <v>3627.65</v>
      </c>
      <c r="F62" s="9" t="n"/>
      <c r="G62" s="18" t="n">
        <v>12021.04</v>
      </c>
      <c r="H62" s="18" t="n">
        <v>9857.65</v>
      </c>
      <c r="I62" s="18" t="n">
        <v>6451.49</v>
      </c>
      <c r="J62" s="18" t="n">
        <v>5609.28</v>
      </c>
      <c r="K62" s="37" t="n">
        <v>33939.46</v>
      </c>
      <c r="L62" s="18" t="n">
        <v>15751.4</v>
      </c>
      <c r="M62" s="18" t="n">
        <v>18262.48</v>
      </c>
      <c r="N62" s="18" t="n">
        <v>18935.77</v>
      </c>
      <c r="O62" s="18" t="n">
        <v>13632.43</v>
      </c>
      <c r="P62" s="37" t="n">
        <v>66582.08</v>
      </c>
      <c r="Q62" s="18" t="n">
        <v>13642.38</v>
      </c>
      <c r="R62" s="18" t="n">
        <v>8672.82</v>
      </c>
      <c r="S62" s="18" t="n">
        <v>5765.46</v>
      </c>
      <c r="T62" s="18" t="n">
        <v>4967.55</v>
      </c>
      <c r="U62" s="37" t="n">
        <v>33048.21</v>
      </c>
      <c r="V62" s="18" t="n">
        <v>7062.19</v>
      </c>
      <c r="W62" s="18" t="n">
        <v>4038.54</v>
      </c>
      <c r="X62" s="18" t="n">
        <v>-39.37</v>
      </c>
      <c r="Y62" s="18" t="n">
        <v>-563.96</v>
      </c>
      <c r="Z62" s="37" t="n">
        <v>10497.4</v>
      </c>
      <c r="AA62" s="18" t="n">
        <v>13239.25</v>
      </c>
      <c r="AB62" s="19" t="n">
        <v>17990.21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금융수익</t>
        </is>
      </c>
      <c r="E63" s="18" t="n">
        <v>583.74</v>
      </c>
      <c r="F63" s="9" t="n"/>
      <c r="G63" s="18" t="n">
        <v>593.9400000000001</v>
      </c>
      <c r="H63" s="18" t="n">
        <v>478.79</v>
      </c>
      <c r="I63" s="18" t="n">
        <v>620.9400000000001</v>
      </c>
      <c r="J63" s="18" t="n">
        <v>963.04</v>
      </c>
      <c r="K63" s="37" t="n">
        <v>2656.71</v>
      </c>
      <c r="L63" s="18" t="n">
        <v>852.84</v>
      </c>
      <c r="M63" s="18" t="n">
        <v>828.47</v>
      </c>
      <c r="N63" s="18" t="n">
        <v>811.14</v>
      </c>
      <c r="O63" s="18" t="n">
        <v>644.24</v>
      </c>
      <c r="P63" s="37" t="n">
        <v>3136.69</v>
      </c>
      <c r="Q63" s="18" t="n">
        <v>967.14</v>
      </c>
      <c r="R63" s="18" t="n">
        <v>860.02</v>
      </c>
      <c r="S63" s="18" t="n">
        <v>960.74</v>
      </c>
      <c r="T63" s="18" t="n">
        <v>1218.14</v>
      </c>
      <c r="U63" s="37" t="n">
        <v>4006.04</v>
      </c>
      <c r="V63" s="18" t="n">
        <v>846.0599999999999</v>
      </c>
      <c r="W63" s="18" t="n">
        <v>821.52</v>
      </c>
      <c r="X63" s="18" t="n">
        <v>895.45</v>
      </c>
      <c r="Y63" s="18" t="n">
        <v>724.97</v>
      </c>
      <c r="Z63" s="37" t="n">
        <v>3288</v>
      </c>
      <c r="AA63" s="18" t="n">
        <v>644.12</v>
      </c>
      <c r="AB63" s="19" t="n">
        <v>655.04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금융비용</t>
        </is>
      </c>
      <c r="E64" s="18" t="n">
        <v>2234.36</v>
      </c>
      <c r="F64" s="9" t="n"/>
      <c r="G64" s="18" t="n">
        <v>2491.96</v>
      </c>
      <c r="H64" s="18" t="n">
        <v>3085.01</v>
      </c>
      <c r="I64" s="18" t="n">
        <v>3734.54</v>
      </c>
      <c r="J64" s="18" t="n">
        <v>5407.79</v>
      </c>
      <c r="K64" s="37" t="n">
        <v>14719.3</v>
      </c>
      <c r="L64" s="18" t="n">
        <v>6001.9</v>
      </c>
      <c r="M64" s="18" t="n">
        <v>5991.99</v>
      </c>
      <c r="N64" s="18" t="n">
        <v>6040.18</v>
      </c>
      <c r="O64" s="18" t="n">
        <v>6209.19</v>
      </c>
      <c r="P64" s="37" t="n">
        <v>24243.26</v>
      </c>
      <c r="Q64" s="18" t="n">
        <v>6493.93</v>
      </c>
      <c r="R64" s="18" t="n">
        <v>6189.24</v>
      </c>
      <c r="S64" s="18" t="n">
        <v>6274.54</v>
      </c>
      <c r="T64" s="18" t="n">
        <v>6593.13</v>
      </c>
      <c r="U64" s="37" t="n">
        <v>25550.84</v>
      </c>
      <c r="V64" s="18" t="n">
        <v>5857.41</v>
      </c>
      <c r="W64" s="18" t="n">
        <v>5605.04</v>
      </c>
      <c r="X64" s="18" t="n">
        <v>6009.09</v>
      </c>
      <c r="Y64" s="18" t="n">
        <v>5003.02</v>
      </c>
      <c r="Z64" s="37" t="n">
        <v>22474.56</v>
      </c>
      <c r="AA64" s="18" t="n">
        <v>5693.75</v>
      </c>
      <c r="AB64" s="19" t="n">
        <v>6151.99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종속기업,공동지배기업및관계기업관련손익</t>
        </is>
      </c>
      <c r="E65" s="18" t="n">
        <v>-658.85</v>
      </c>
      <c r="F65" s="9" t="n"/>
      <c r="G65" s="18" t="n">
        <v>664.17</v>
      </c>
      <c r="H65" s="18" t="n">
        <v>1060.77</v>
      </c>
      <c r="I65" s="18" t="n">
        <v>-220.18</v>
      </c>
      <c r="J65" s="18" t="n">
        <v>-1019.43</v>
      </c>
      <c r="K65" s="37" t="n">
        <v>485.33</v>
      </c>
      <c r="L65" s="18" t="n">
        <v>-564.39</v>
      </c>
      <c r="M65" s="18" t="n">
        <v>-191.99</v>
      </c>
      <c r="N65" s="18" t="n">
        <v>-989.23</v>
      </c>
      <c r="O65" s="18" t="n">
        <v>617.24</v>
      </c>
      <c r="P65" s="37" t="n">
        <v>-1128.37</v>
      </c>
      <c r="Q65" s="18" t="n">
        <v>187.59</v>
      </c>
      <c r="R65" s="18" t="n">
        <v>627.13</v>
      </c>
      <c r="S65" s="18" t="n">
        <v>173.46</v>
      </c>
      <c r="T65" s="18" t="n">
        <v>749.88</v>
      </c>
      <c r="U65" s="37" t="n">
        <v>1738.06</v>
      </c>
      <c r="V65" s="18" t="n">
        <v>-76.47</v>
      </c>
      <c r="W65" s="18" t="n">
        <v>182.32</v>
      </c>
      <c r="X65" s="18" t="n">
        <v>-130.94</v>
      </c>
      <c r="Y65" s="18" t="n">
        <v>1039.84</v>
      </c>
      <c r="Z65" s="37" t="n">
        <v>1014.75</v>
      </c>
      <c r="AA65" s="18" t="n">
        <v>1034.14</v>
      </c>
      <c r="AB65" s="19" t="n">
        <v>2204.96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지분법관련손익</t>
        </is>
      </c>
      <c r="E66" s="18" t="n">
        <v>-658.85</v>
      </c>
      <c r="F66" s="9" t="n"/>
      <c r="G66" s="18" t="n">
        <v>664.17</v>
      </c>
      <c r="H66" s="18" t="n">
        <v>1060.77</v>
      </c>
      <c r="I66" s="18" t="n">
        <v>-220.18</v>
      </c>
      <c r="J66" s="18" t="n">
        <v>-1019.43</v>
      </c>
      <c r="K66" s="37" t="n">
        <v>485.33</v>
      </c>
      <c r="L66" s="18" t="n">
        <v>-564.39</v>
      </c>
      <c r="M66" s="18" t="n">
        <v>-191.99</v>
      </c>
      <c r="N66" s="18" t="n">
        <v>-989.23</v>
      </c>
      <c r="O66" s="18" t="n">
        <v>617.24</v>
      </c>
      <c r="P66" s="37" t="n">
        <v>-1128.37</v>
      </c>
      <c r="Q66" s="18" t="n">
        <v>187.59</v>
      </c>
      <c r="R66" s="18" t="n">
        <v>627.13</v>
      </c>
      <c r="S66" s="18" t="n">
        <v>173.46</v>
      </c>
      <c r="T66" s="18" t="n">
        <v>749.88</v>
      </c>
      <c r="U66" s="37" t="n">
        <v>1738.06</v>
      </c>
      <c r="V66" s="18" t="n">
        <v>-76.47</v>
      </c>
      <c r="W66" s="18" t="n">
        <v>182.32</v>
      </c>
      <c r="X66" s="18" t="n">
        <v>-130.94</v>
      </c>
      <c r="Y66" s="18" t="n">
        <v>1039.84</v>
      </c>
      <c r="Z66" s="37" t="n">
        <v>1014.75</v>
      </c>
      <c r="AA66" s="18" t="n">
        <v>1034.14</v>
      </c>
      <c r="AB66" s="19" t="n">
        <v>2204.96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기타영업외수익</t>
        </is>
      </c>
      <c r="E67" s="18" t="n">
        <v>2847.17</v>
      </c>
      <c r="F67" s="9" t="n"/>
      <c r="G67" s="18" t="n">
        <v>4021.64</v>
      </c>
      <c r="H67" s="18" t="n">
        <v>4351.69</v>
      </c>
      <c r="I67" s="18" t="n">
        <v>43474.57</v>
      </c>
      <c r="J67" s="18" t="n">
        <v>-868.59</v>
      </c>
      <c r="K67" s="37" t="n">
        <v>50979.31</v>
      </c>
      <c r="L67" s="18" t="n">
        <v>4108.38</v>
      </c>
      <c r="M67" s="18" t="n">
        <v>3558.89</v>
      </c>
      <c r="N67" s="18" t="n">
        <v>6242.47</v>
      </c>
      <c r="O67" s="18" t="n">
        <v>2279.38</v>
      </c>
      <c r="P67" s="37" t="n">
        <v>16189.12</v>
      </c>
      <c r="Q67" s="18" t="n">
        <v>3679.77</v>
      </c>
      <c r="R67" s="18" t="n">
        <v>5128.54</v>
      </c>
      <c r="S67" s="18" t="n">
        <v>4565.72</v>
      </c>
      <c r="T67" s="18" t="n">
        <v>5410.03</v>
      </c>
      <c r="U67" s="37" t="n">
        <v>18784.06</v>
      </c>
      <c r="V67" s="18" t="n">
        <v>2899.22</v>
      </c>
      <c r="W67" s="18" t="n">
        <v>4778.35</v>
      </c>
      <c r="X67" s="18" t="n">
        <v>3874.19</v>
      </c>
      <c r="Y67" s="18" t="n">
        <v>2460.32</v>
      </c>
      <c r="Z67" s="37" t="n">
        <v>14012.08</v>
      </c>
      <c r="AA67" s="18" t="n">
        <v>15505.54</v>
      </c>
      <c r="AB67" s="19" t="n">
        <v>3377.59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기타영업외비용</t>
        </is>
      </c>
      <c r="E68" s="18" t="n">
        <v>351.52</v>
      </c>
      <c r="F68" s="9" t="n"/>
      <c r="G68" s="18" t="n">
        <v>1409.1</v>
      </c>
      <c r="H68" s="18" t="n">
        <v>4483.01</v>
      </c>
      <c r="I68" s="18" t="n">
        <v>5008.1</v>
      </c>
      <c r="J68" s="18" t="n">
        <v>2104.4</v>
      </c>
      <c r="K68" s="37" t="n">
        <v>13004.61</v>
      </c>
      <c r="L68" s="18" t="n">
        <v>3754.11</v>
      </c>
      <c r="M68" s="18" t="n">
        <v>2659.65</v>
      </c>
      <c r="N68" s="18" t="n">
        <v>2778.08</v>
      </c>
      <c r="O68" s="18" t="n">
        <v>5037.27</v>
      </c>
      <c r="P68" s="37" t="n">
        <v>14229.11</v>
      </c>
      <c r="Q68" s="18" t="n">
        <v>2312.02</v>
      </c>
      <c r="R68" s="18" t="n">
        <v>2982.9</v>
      </c>
      <c r="S68" s="18" t="n">
        <v>1808.59</v>
      </c>
      <c r="T68" s="18" t="n">
        <v>3870.59</v>
      </c>
      <c r="U68" s="37" t="n">
        <v>10974.1</v>
      </c>
      <c r="V68" s="18" t="n">
        <v>1475.36</v>
      </c>
      <c r="W68" s="18" t="n">
        <v>6434.43</v>
      </c>
      <c r="X68" s="18" t="n">
        <v>2860.15</v>
      </c>
      <c r="Y68" s="18" t="n">
        <v>30970.3</v>
      </c>
      <c r="Z68" s="37" t="n">
        <v>41740.24</v>
      </c>
      <c r="AA68" s="18" t="n">
        <v>3648.36</v>
      </c>
      <c r="AB68" s="19" t="n">
        <v>3635.51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법인세비용</t>
        </is>
      </c>
      <c r="E69" s="18" t="n">
        <v>-701.76</v>
      </c>
      <c r="F69" s="9" t="n"/>
      <c r="G69" s="18" t="n">
        <v>3501.11</v>
      </c>
      <c r="H69" s="18" t="n">
        <v>2466.36</v>
      </c>
      <c r="I69" s="18" t="n">
        <v>3451.28</v>
      </c>
      <c r="J69" s="18" t="n">
        <v>-2461.66</v>
      </c>
      <c r="K69" s="37" t="n">
        <v>6957.09</v>
      </c>
      <c r="L69" s="18" t="n">
        <v>1851.41</v>
      </c>
      <c r="M69" s="18" t="n">
        <v>1126.39</v>
      </c>
      <c r="N69" s="18" t="n">
        <v>1195.67</v>
      </c>
      <c r="O69" s="18" t="n">
        <v>-2587.03</v>
      </c>
      <c r="P69" s="37" t="n">
        <v>1586.44</v>
      </c>
      <c r="Q69" s="18" t="n">
        <v>1368.94</v>
      </c>
      <c r="R69" s="18" t="n">
        <v>878.89</v>
      </c>
      <c r="S69" s="18" t="n">
        <v>714.4299999999999</v>
      </c>
      <c r="T69" s="18" t="n">
        <v>1244.92</v>
      </c>
      <c r="U69" s="37" t="n">
        <v>4207.18</v>
      </c>
      <c r="V69" s="18" t="n">
        <v>1048.55</v>
      </c>
      <c r="W69" s="18" t="n">
        <v>1047.06</v>
      </c>
      <c r="X69" s="18" t="n">
        <v>1335.56</v>
      </c>
      <c r="Y69" s="18" t="n">
        <v>-1480.2</v>
      </c>
      <c r="Z69" s="37" t="n">
        <v>1950.97</v>
      </c>
      <c r="AA69" s="18" t="n">
        <v>3929.29</v>
      </c>
      <c r="AB69" s="19" t="n">
        <v>3472.04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당기순이익</t>
        </is>
      </c>
      <c r="E70" s="18" t="n">
        <v>4515.59</v>
      </c>
      <c r="F70" s="9" t="n"/>
      <c r="G70" s="18" t="n">
        <v>9898.620000000001</v>
      </c>
      <c r="H70" s="18" t="n">
        <v>5714.52</v>
      </c>
      <c r="I70" s="18" t="n">
        <v>38132.9</v>
      </c>
      <c r="J70" s="18" t="n">
        <v>-366.24</v>
      </c>
      <c r="K70" s="37" t="n">
        <v>53379.8</v>
      </c>
      <c r="L70" s="18" t="n">
        <v>8540.82</v>
      </c>
      <c r="M70" s="18" t="n">
        <v>12679.81</v>
      </c>
      <c r="N70" s="18" t="n">
        <v>14986.22</v>
      </c>
      <c r="O70" s="18" t="n">
        <v>8581.23</v>
      </c>
      <c r="P70" s="37" t="n">
        <v>44788.08</v>
      </c>
      <c r="Q70" s="18" t="n">
        <v>8302</v>
      </c>
      <c r="R70" s="18" t="n">
        <v>5237.46</v>
      </c>
      <c r="S70" s="18" t="n">
        <v>2667.82</v>
      </c>
      <c r="T70" s="18" t="n">
        <v>636.96</v>
      </c>
      <c r="U70" s="37" t="n">
        <v>16844.24</v>
      </c>
      <c r="V70" s="18" t="n">
        <v>2349.68</v>
      </c>
      <c r="W70" s="18" t="n">
        <v>-3265.8</v>
      </c>
      <c r="X70" s="18" t="n">
        <v>-5605.46</v>
      </c>
      <c r="Y70" s="18" t="n">
        <v>-30831.96</v>
      </c>
      <c r="Z70" s="37" t="n">
        <v>-37353.54</v>
      </c>
      <c r="AA70" s="18" t="n">
        <v>17151.64</v>
      </c>
      <c r="AB70" s="19" t="n">
        <v>10968.27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총포괄손익</t>
        </is>
      </c>
      <c r="E71" s="18" t="n">
        <v>4742.56</v>
      </c>
      <c r="F71" s="9" t="n"/>
      <c r="G71" s="18" t="n">
        <v>11111.57</v>
      </c>
      <c r="H71" s="18" t="n">
        <v>6198.55</v>
      </c>
      <c r="I71" s="18" t="n">
        <v>40573.89</v>
      </c>
      <c r="J71" s="18" t="n">
        <v>-4191.56</v>
      </c>
      <c r="K71" s="37" t="n">
        <v>53692.45</v>
      </c>
      <c r="L71" s="18" t="n">
        <v>7640.84</v>
      </c>
      <c r="M71" s="18" t="n">
        <v>12638.68</v>
      </c>
      <c r="N71" s="18" t="n">
        <v>7983.02</v>
      </c>
      <c r="O71" s="18" t="n">
        <v>13606.09</v>
      </c>
      <c r="P71" s="37" t="n">
        <v>41868.63</v>
      </c>
      <c r="Q71" s="18" t="n">
        <v>7911.45</v>
      </c>
      <c r="R71" s="18" t="n">
        <v>4679.44</v>
      </c>
      <c r="S71" s="18" t="n">
        <v>4086.82</v>
      </c>
      <c r="T71" s="18" t="n">
        <v>2786.43</v>
      </c>
      <c r="U71" s="37" t="n">
        <v>19464.14</v>
      </c>
      <c r="V71" s="18" t="n">
        <v>2392.14</v>
      </c>
      <c r="W71" s="18" t="n">
        <v>-7259.2</v>
      </c>
      <c r="X71" s="18" t="n">
        <v>-2088.62</v>
      </c>
      <c r="Y71" s="18" t="n">
        <v>-26904.79</v>
      </c>
      <c r="Z71" s="37" t="n">
        <v>-33860.47</v>
      </c>
      <c r="AA71" s="18" t="n">
        <v>19040.34</v>
      </c>
      <c r="AB71" s="19" t="n">
        <v>9857.91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(지배주주지분)당기순이익</t>
        </is>
      </c>
      <c r="E72" s="18" t="n">
        <v>5338.3</v>
      </c>
      <c r="F72" s="9" t="n"/>
      <c r="G72" s="18" t="n">
        <v>9254.309999999999</v>
      </c>
      <c r="H72" s="18" t="n">
        <v>5781.86</v>
      </c>
      <c r="I72" s="18" t="n">
        <v>38562.81</v>
      </c>
      <c r="J72" s="18" t="n">
        <v>-2685.02</v>
      </c>
      <c r="K72" s="37" t="n">
        <v>50913.96</v>
      </c>
      <c r="L72" s="18" t="n">
        <v>7666.83</v>
      </c>
      <c r="M72" s="18" t="n">
        <v>11566.18</v>
      </c>
      <c r="N72" s="18" t="n">
        <v>13957.73</v>
      </c>
      <c r="O72" s="18" t="n">
        <v>5193.65</v>
      </c>
      <c r="P72" s="37" t="n">
        <v>38384.39</v>
      </c>
      <c r="Q72" s="18" t="n">
        <v>6278.52</v>
      </c>
      <c r="R72" s="18" t="n">
        <v>2654.16</v>
      </c>
      <c r="S72" s="18" t="n">
        <v>-696.28</v>
      </c>
      <c r="T72" s="18" t="n">
        <v>-2717.98</v>
      </c>
      <c r="U72" s="37" t="n">
        <v>5518.42</v>
      </c>
      <c r="V72" s="18" t="n">
        <v>299.3</v>
      </c>
      <c r="W72" s="18" t="n">
        <v>-6130.34</v>
      </c>
      <c r="X72" s="18" t="n">
        <v>-7859.74</v>
      </c>
      <c r="Y72" s="18" t="n">
        <v>-31006.47</v>
      </c>
      <c r="Z72" s="37" t="n">
        <v>-44697.25</v>
      </c>
      <c r="AA72" s="18" t="n">
        <v>14256.8</v>
      </c>
      <c r="AB72" s="19" t="n">
        <v>7270.04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(비지배주주지분)당기순이익</t>
        </is>
      </c>
      <c r="E73" s="18" t="n">
        <v>-822.71</v>
      </c>
      <c r="F73" s="9" t="n"/>
      <c r="G73" s="18" t="n">
        <v>644.3099999999999</v>
      </c>
      <c r="H73" s="18" t="n">
        <v>-67.34</v>
      </c>
      <c r="I73" s="18" t="n">
        <v>-429.91</v>
      </c>
      <c r="J73" s="18" t="n">
        <v>2318.78</v>
      </c>
      <c r="K73" s="37" t="n">
        <v>2465.84</v>
      </c>
      <c r="L73" s="18" t="n">
        <v>873.99</v>
      </c>
      <c r="M73" s="18" t="n">
        <v>1113.63</v>
      </c>
      <c r="N73" s="18" t="n">
        <v>1028.49</v>
      </c>
      <c r="O73" s="18" t="n">
        <v>3387.58</v>
      </c>
      <c r="P73" s="37" t="n">
        <v>6403.69</v>
      </c>
      <c r="Q73" s="18" t="n">
        <v>2023.48</v>
      </c>
      <c r="R73" s="18" t="n">
        <v>2583.3</v>
      </c>
      <c r="S73" s="18" t="n">
        <v>3364.09</v>
      </c>
      <c r="T73" s="18" t="n">
        <v>3354.94</v>
      </c>
      <c r="U73" s="37" t="n">
        <v>11325.81</v>
      </c>
      <c r="V73" s="18" t="n">
        <v>2050.38</v>
      </c>
      <c r="W73" s="18" t="n">
        <v>2864.54</v>
      </c>
      <c r="X73" s="18" t="n">
        <v>2254.28</v>
      </c>
      <c r="Y73" s="18" t="n">
        <v>174.51</v>
      </c>
      <c r="Z73" s="37" t="n">
        <v>7343.71</v>
      </c>
      <c r="AA73" s="18" t="n">
        <v>2894.84</v>
      </c>
      <c r="AB73" s="19" t="n">
        <v>3698.22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금융손익</t>
        </is>
      </c>
      <c r="E74" s="18" t="n">
        <v>-1650.62</v>
      </c>
      <c r="F74" s="9" t="n"/>
      <c r="G74" s="18" t="n">
        <v>-1898.02</v>
      </c>
      <c r="H74" s="18" t="n">
        <v>-2606.22</v>
      </c>
      <c r="I74" s="18" t="n">
        <v>-3113.6</v>
      </c>
      <c r="J74" s="18" t="n">
        <v>-4444.75</v>
      </c>
      <c r="K74" s="37" t="n">
        <v>-12062.59</v>
      </c>
      <c r="L74" s="18" t="n">
        <v>-5149.06</v>
      </c>
      <c r="M74" s="18" t="n">
        <v>-5163.52</v>
      </c>
      <c r="N74" s="18" t="n">
        <v>-5229.04</v>
      </c>
      <c r="O74" s="18" t="n">
        <v>-5564.95</v>
      </c>
      <c r="P74" s="37" t="n">
        <v>-21106.57</v>
      </c>
      <c r="Q74" s="18" t="n">
        <v>-5526.79</v>
      </c>
      <c r="R74" s="18" t="n">
        <v>-5329.22</v>
      </c>
      <c r="S74" s="18" t="n">
        <v>-5313.8</v>
      </c>
      <c r="T74" s="18" t="n">
        <v>-5374.99</v>
      </c>
      <c r="U74" s="37" t="n">
        <v>-21544.8</v>
      </c>
      <c r="V74" s="18" t="n">
        <v>-5011.35</v>
      </c>
      <c r="W74" s="18" t="n">
        <v>-4783.52</v>
      </c>
      <c r="X74" s="18" t="n">
        <v>-5113.64</v>
      </c>
      <c r="Y74" s="18" t="n">
        <v>-4278.05</v>
      </c>
      <c r="Z74" s="37" t="n">
        <v>-19186.56</v>
      </c>
      <c r="AA74" s="18" t="n">
        <v>-5049.63</v>
      </c>
      <c r="AB74" s="19" t="n">
        <v>-5496.95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기타영업외손익</t>
        </is>
      </c>
      <c r="E75" s="18" t="n">
        <v>2495.65</v>
      </c>
      <c r="F75" s="9" t="n"/>
      <c r="G75" s="18" t="n">
        <v>2612.54</v>
      </c>
      <c r="H75" s="18" t="n">
        <v>-131.32</v>
      </c>
      <c r="I75" s="18" t="n">
        <v>38466.47</v>
      </c>
      <c r="J75" s="18" t="n">
        <v>-2972.99</v>
      </c>
      <c r="K75" s="37" t="n">
        <v>37974.7</v>
      </c>
      <c r="L75" s="18" t="n">
        <v>354.27</v>
      </c>
      <c r="M75" s="18" t="n">
        <v>899.24</v>
      </c>
      <c r="N75" s="18" t="n">
        <v>3464.39</v>
      </c>
      <c r="O75" s="18" t="n">
        <v>-2757.89</v>
      </c>
      <c r="P75" s="37" t="n">
        <v>1960.01</v>
      </c>
      <c r="Q75" s="18" t="n">
        <v>1367.75</v>
      </c>
      <c r="R75" s="18" t="n">
        <v>2145.64</v>
      </c>
      <c r="S75" s="18" t="n">
        <v>2757.13</v>
      </c>
      <c r="T75" s="18" t="n">
        <v>1539.44</v>
      </c>
      <c r="U75" s="37" t="n">
        <v>7809.96</v>
      </c>
      <c r="V75" s="18" t="n">
        <v>1423.86</v>
      </c>
      <c r="W75" s="18" t="n">
        <v>-1656.08</v>
      </c>
      <c r="X75" s="18" t="n">
        <v>1014.04</v>
      </c>
      <c r="Y75" s="18" t="n">
        <v>-28509.98</v>
      </c>
      <c r="Z75" s="37" t="n">
        <v>-27728.16</v>
      </c>
      <c r="AA75" s="18" t="n">
        <v>11857.18</v>
      </c>
      <c r="AB75" s="19" t="n">
        <v>-257.92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계속사업이익</t>
        </is>
      </c>
      <c r="E76" s="18" t="n">
        <v>4515.59</v>
      </c>
      <c r="F76" s="9" t="n"/>
      <c r="G76" s="18" t="n">
        <v>9898.620000000001</v>
      </c>
      <c r="H76" s="18" t="n">
        <v>5714.52</v>
      </c>
      <c r="I76" s="18" t="n">
        <v>38132.9</v>
      </c>
      <c r="J76" s="18" t="n">
        <v>-366.24</v>
      </c>
      <c r="K76" s="37" t="n">
        <v>53379.8</v>
      </c>
      <c r="L76" s="18" t="n">
        <v>8540.82</v>
      </c>
      <c r="M76" s="18" t="n">
        <v>12679.81</v>
      </c>
      <c r="N76" s="18" t="n">
        <v>14986.22</v>
      </c>
      <c r="O76" s="18" t="n">
        <v>8513.870000000001</v>
      </c>
      <c r="P76" s="37" t="n">
        <v>44720.72</v>
      </c>
      <c r="Q76" s="18" t="n">
        <v>8302</v>
      </c>
      <c r="R76" s="18" t="n">
        <v>5237.46</v>
      </c>
      <c r="S76" s="18" t="n">
        <v>2667.82</v>
      </c>
      <c r="T76" s="18" t="n">
        <v>636.96</v>
      </c>
      <c r="U76" s="37" t="n">
        <v>16844.24</v>
      </c>
      <c r="V76" s="18" t="n">
        <v>2349.68</v>
      </c>
      <c r="W76" s="18" t="n">
        <v>-3265.8</v>
      </c>
      <c r="X76" s="18" t="n">
        <v>-5605.46</v>
      </c>
      <c r="Y76" s="18" t="n">
        <v>-30831.96</v>
      </c>
      <c r="Z76" s="37" t="n">
        <v>-37353.54</v>
      </c>
      <c r="AA76" s="18" t="n">
        <v>17151.64</v>
      </c>
      <c r="AB76" s="19" t="n">
        <v>10968.27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법인세비용차감전계속사업이익</t>
        </is>
      </c>
      <c r="F77" s="9" t="n"/>
      <c r="G77" s="18" t="n">
        <v>13399.73</v>
      </c>
      <c r="H77" s="18" t="n">
        <v>8180.87</v>
      </c>
      <c r="I77" s="18" t="n">
        <v>41584.18</v>
      </c>
      <c r="K77" s="9" t="n"/>
      <c r="L77" s="18" t="n">
        <v>10392.22</v>
      </c>
      <c r="M77" s="18" t="n">
        <v>13806.2</v>
      </c>
      <c r="N77" s="18" t="n">
        <v>16181.89</v>
      </c>
      <c r="O77" s="18" t="n">
        <v>5926.84</v>
      </c>
      <c r="P77" s="37" t="n">
        <v>46307.15</v>
      </c>
      <c r="Q77" s="18" t="n">
        <v>9670.93</v>
      </c>
      <c r="R77" s="18" t="n">
        <v>6116.35</v>
      </c>
      <c r="S77" s="18" t="n">
        <v>3382.25</v>
      </c>
      <c r="T77" s="18" t="n">
        <v>1881.88</v>
      </c>
      <c r="U77" s="37" t="n">
        <v>21051.41</v>
      </c>
      <c r="V77" s="18" t="n">
        <v>3398.23</v>
      </c>
      <c r="W77" s="18" t="n">
        <v>-2218.74</v>
      </c>
      <c r="X77" s="18" t="n">
        <v>-4269.9</v>
      </c>
      <c r="Y77" s="18" t="n">
        <v>-32312.16</v>
      </c>
      <c r="Z77" s="37" t="n">
        <v>-35402.57</v>
      </c>
      <c r="AA77" s="18" t="n">
        <v>21080.93</v>
      </c>
      <c r="AB77" s="19" t="n">
        <v>14440.3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중단사업이익</t>
        </is>
      </c>
      <c r="F78" s="9" t="n"/>
      <c r="K78" s="9" t="n"/>
      <c r="O78" s="18" t="n">
        <v>67.36</v>
      </c>
      <c r="P78" s="9" t="n"/>
      <c r="U78" s="9" t="n"/>
      <c r="Y78" s="18" t="n">
        <v>0</v>
      </c>
      <c r="Z78" s="9" t="n"/>
      <c r="AB78" s="5" t="n"/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영업활동으로인한현금흐름</t>
        </is>
      </c>
      <c r="E79" s="18" t="n">
        <v>-20624.88</v>
      </c>
      <c r="F79" s="9" t="n"/>
      <c r="G79" s="18" t="n">
        <v>-7379.67</v>
      </c>
      <c r="H79" s="18" t="n">
        <v>-33035.8</v>
      </c>
      <c r="I79" s="18" t="n">
        <v>2049.71</v>
      </c>
      <c r="J79" s="18" t="n">
        <v>11497.41</v>
      </c>
      <c r="K79" s="37" t="n">
        <v>-26868.35</v>
      </c>
      <c r="L79" s="18" t="n">
        <v>1383.86</v>
      </c>
      <c r="M79" s="18" t="n">
        <v>13002.49</v>
      </c>
      <c r="N79" s="18" t="n">
        <v>13278.22</v>
      </c>
      <c r="O79" s="18" t="n">
        <v>21717.6</v>
      </c>
      <c r="P79" s="37" t="n">
        <v>49382.17</v>
      </c>
      <c r="Q79" s="18" t="n">
        <v>3484.62</v>
      </c>
      <c r="R79" s="18" t="n">
        <v>-15481.3</v>
      </c>
      <c r="S79" s="18" t="n">
        <v>6934.24</v>
      </c>
      <c r="T79" s="18" t="n">
        <v>18073.4</v>
      </c>
      <c r="U79" s="37" t="n">
        <v>13010.96</v>
      </c>
      <c r="V79" s="18" t="n">
        <v>9210.51</v>
      </c>
      <c r="W79" s="18" t="n">
        <v>-15227.96</v>
      </c>
      <c r="X79" s="18" t="n">
        <v>30312.97</v>
      </c>
      <c r="Y79" s="18" t="n">
        <v>-2420.88</v>
      </c>
      <c r="Z79" s="37" t="n">
        <v>21874.64</v>
      </c>
      <c r="AA79" s="18" t="n">
        <v>-10118.94</v>
      </c>
      <c r="AB79" s="19" t="n">
        <v>-17484.33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감가상각비</t>
        </is>
      </c>
      <c r="E80" s="18" t="n">
        <v>14495.29</v>
      </c>
      <c r="F80" s="9" t="n"/>
      <c r="G80" s="18" t="n">
        <v>15479.15</v>
      </c>
      <c r="H80" s="18" t="n">
        <v>16425.79</v>
      </c>
      <c r="I80" s="18" t="n">
        <v>16372.54</v>
      </c>
      <c r="J80" s="18" t="n">
        <v>16722.01</v>
      </c>
      <c r="K80" s="37" t="n">
        <v>64999.49</v>
      </c>
      <c r="L80" s="18" t="n">
        <v>15424.78</v>
      </c>
      <c r="M80" s="18" t="n">
        <v>15827.99</v>
      </c>
      <c r="N80" s="18" t="n">
        <v>16210.36</v>
      </c>
      <c r="O80" s="18" t="n">
        <v>13396.35</v>
      </c>
      <c r="P80" s="37" t="n">
        <v>60859.48</v>
      </c>
      <c r="Q80" s="18" t="n">
        <v>14827.91</v>
      </c>
      <c r="R80" s="18" t="n">
        <v>15431.94</v>
      </c>
      <c r="S80" s="18" t="n">
        <v>15858.73</v>
      </c>
      <c r="T80" s="18" t="n">
        <v>15563.15</v>
      </c>
      <c r="U80" s="37" t="n">
        <v>61681.73</v>
      </c>
      <c r="V80" s="18" t="n">
        <v>16407.89</v>
      </c>
      <c r="W80" s="18" t="n">
        <v>16427.79</v>
      </c>
      <c r="X80" s="18" t="n">
        <v>16277.86</v>
      </c>
      <c r="Y80" s="18" t="n">
        <v>17010.4</v>
      </c>
      <c r="Z80" s="37" t="n">
        <v>66123.94</v>
      </c>
      <c r="AA80" s="18" t="n">
        <v>13364.28</v>
      </c>
      <c r="AB80" s="19" t="n">
        <v>15269.63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무형자산상각비</t>
        </is>
      </c>
      <c r="E81" s="18" t="n">
        <v>28.4</v>
      </c>
      <c r="F81" s="9" t="n"/>
      <c r="G81" s="18" t="n">
        <v>28.27</v>
      </c>
      <c r="H81" s="18" t="n">
        <v>28.54</v>
      </c>
      <c r="I81" s="18" t="n">
        <v>28.41</v>
      </c>
      <c r="J81" s="18" t="n">
        <v>15.41</v>
      </c>
      <c r="K81" s="37" t="n">
        <v>100.63</v>
      </c>
      <c r="L81" s="18" t="n">
        <v>12.49</v>
      </c>
      <c r="M81" s="18" t="n">
        <v>12.54</v>
      </c>
      <c r="N81" s="18" t="n">
        <v>12.5</v>
      </c>
      <c r="O81" s="18" t="n">
        <v>13.02</v>
      </c>
      <c r="P81" s="37" t="n">
        <v>50.55</v>
      </c>
      <c r="Q81" s="18" t="n">
        <v>14.09</v>
      </c>
      <c r="R81" s="18" t="n">
        <v>14.81</v>
      </c>
      <c r="S81" s="18" t="n">
        <v>20.19</v>
      </c>
      <c r="T81" s="18" t="n">
        <v>20.95</v>
      </c>
      <c r="U81" s="37" t="n">
        <v>70.04000000000001</v>
      </c>
      <c r="V81" s="18" t="n">
        <v>20.95</v>
      </c>
      <c r="W81" s="18" t="n">
        <v>20.94</v>
      </c>
      <c r="X81" s="18" t="n">
        <v>20.95</v>
      </c>
      <c r="Y81" s="18" t="n">
        <v>35.11</v>
      </c>
      <c r="Z81" s="37" t="n">
        <v>97.95</v>
      </c>
      <c r="AA81" s="18" t="n">
        <v>42.29</v>
      </c>
      <c r="AB81" s="19" t="n">
        <v>43.05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배당금수취(CF)</t>
        </is>
      </c>
      <c r="E82" s="18" t="n">
        <v>21.5</v>
      </c>
      <c r="F82" s="9" t="n"/>
      <c r="G82" s="18" t="n">
        <v>0.18</v>
      </c>
      <c r="H82" s="18" t="n">
        <v>112.38</v>
      </c>
      <c r="I82" s="18" t="n">
        <v>129.21</v>
      </c>
      <c r="J82" s="18" t="n">
        <v>2175.58</v>
      </c>
      <c r="K82" s="37" t="n">
        <v>2417.35</v>
      </c>
      <c r="L82" s="18" t="n">
        <v>0.16</v>
      </c>
      <c r="M82" s="18" t="n">
        <v>540.3</v>
      </c>
      <c r="N82" s="18" t="n">
        <v>-283.43</v>
      </c>
      <c r="O82" s="18" t="n">
        <v>53.16</v>
      </c>
      <c r="P82" s="37" t="n">
        <v>310.19</v>
      </c>
      <c r="Q82" s="18" t="n">
        <v>0.19</v>
      </c>
      <c r="R82" s="18" t="n">
        <v>846.92</v>
      </c>
      <c r="S82" s="18" t="n">
        <v>-477.12</v>
      </c>
      <c r="T82" s="18" t="n">
        <v>-370.01</v>
      </c>
      <c r="U82" s="37" t="n">
        <v>-0.02</v>
      </c>
      <c r="V82" s="18" t="n">
        <v>-397.5</v>
      </c>
      <c r="W82" s="18" t="n">
        <v>1545.81</v>
      </c>
      <c r="X82" s="18" t="n">
        <v>16.61</v>
      </c>
      <c r="Y82" s="18" t="n">
        <v>16.6</v>
      </c>
      <c r="Z82" s="37" t="n">
        <v>1181.52</v>
      </c>
      <c r="AA82" s="18" t="n">
        <v>20.51</v>
      </c>
      <c r="AB82" s="19" t="n">
        <v>1632.47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이자수취(CF)</t>
        </is>
      </c>
      <c r="E83" s="18" t="n">
        <v>-170.52</v>
      </c>
      <c r="F83" s="9" t="n"/>
      <c r="G83" s="18" t="n">
        <v>1180.26</v>
      </c>
      <c r="H83" s="18" t="n">
        <v>591.88</v>
      </c>
      <c r="I83" s="18" t="n">
        <v>908.28</v>
      </c>
      <c r="J83" s="18" t="n">
        <v>-1187.94</v>
      </c>
      <c r="K83" s="37" t="n">
        <v>1492.48</v>
      </c>
      <c r="L83" s="18" t="n">
        <v>988.63</v>
      </c>
      <c r="M83" s="18" t="n">
        <v>1167.17</v>
      </c>
      <c r="N83" s="18" t="n">
        <v>1151.29</v>
      </c>
      <c r="O83" s="18" t="n">
        <v>878</v>
      </c>
      <c r="P83" s="37" t="n">
        <v>4185.09</v>
      </c>
      <c r="Q83" s="18" t="n">
        <v>1135.39</v>
      </c>
      <c r="R83" s="18" t="n">
        <v>1110.14</v>
      </c>
      <c r="S83" s="18" t="n">
        <v>983.41</v>
      </c>
      <c r="T83" s="18" t="n">
        <v>1681.41</v>
      </c>
      <c r="U83" s="37" t="n">
        <v>4910.35</v>
      </c>
      <c r="V83" s="18" t="n">
        <v>1596.3</v>
      </c>
      <c r="W83" s="18" t="n">
        <v>889.49</v>
      </c>
      <c r="X83" s="18" t="n">
        <v>934.15</v>
      </c>
      <c r="Y83" s="18" t="n">
        <v>811.88</v>
      </c>
      <c r="Z83" s="37" t="n">
        <v>4231.82</v>
      </c>
      <c r="AA83" s="18" t="n">
        <v>1241.53</v>
      </c>
      <c r="AB83" s="19" t="n">
        <v>790.5700000000001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이자지급(CF)</t>
        </is>
      </c>
      <c r="E84" s="18" t="n">
        <v>-2706.52</v>
      </c>
      <c r="F84" s="9" t="n"/>
      <c r="G84" s="18" t="n">
        <v>-2456.93</v>
      </c>
      <c r="H84" s="18" t="n">
        <v>-3125.35</v>
      </c>
      <c r="I84" s="18" t="n">
        <v>-4331.48</v>
      </c>
      <c r="J84" s="18" t="n">
        <v>-5331.08</v>
      </c>
      <c r="K84" s="37" t="n">
        <v>-15244.84</v>
      </c>
      <c r="L84" s="18" t="n">
        <v>-6294.85</v>
      </c>
      <c r="M84" s="18" t="n">
        <v>-5774.76</v>
      </c>
      <c r="N84" s="18" t="n">
        <v>-6636.97</v>
      </c>
      <c r="O84" s="18" t="n">
        <v>-7087.19</v>
      </c>
      <c r="P84" s="37" t="n">
        <v>-25793.77</v>
      </c>
      <c r="Q84" s="18" t="n">
        <v>-6331.7</v>
      </c>
      <c r="R84" s="18" t="n">
        <v>-5839.16</v>
      </c>
      <c r="S84" s="18" t="n">
        <v>-7109.59</v>
      </c>
      <c r="T84" s="18" t="n">
        <v>-7244.36</v>
      </c>
      <c r="U84" s="37" t="n">
        <v>-26524.81</v>
      </c>
      <c r="V84" s="18" t="n">
        <v>-5955.43</v>
      </c>
      <c r="W84" s="18" t="n">
        <v>-5846.5</v>
      </c>
      <c r="X84" s="18" t="n">
        <v>-5439.81</v>
      </c>
      <c r="Y84" s="18" t="n">
        <v>-5679.15</v>
      </c>
      <c r="Z84" s="37" t="n">
        <v>-22920.89</v>
      </c>
      <c r="AA84" s="18" t="n">
        <v>-5267.61</v>
      </c>
      <c r="AB84" s="19" t="n">
        <v>-5737.47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법인세납부(CF)</t>
        </is>
      </c>
      <c r="E85" s="18" t="n">
        <v>-5.08</v>
      </c>
      <c r="F85" s="9" t="n"/>
      <c r="G85" s="18" t="n">
        <v>-1774</v>
      </c>
      <c r="H85" s="18" t="n">
        <v>-2083.06</v>
      </c>
      <c r="I85" s="18" t="n">
        <v>-2484.41</v>
      </c>
      <c r="J85" s="18" t="n">
        <v>19.62</v>
      </c>
      <c r="K85" s="37" t="n">
        <v>-6321.85</v>
      </c>
      <c r="L85" s="18" t="n">
        <v>-4170.89</v>
      </c>
      <c r="M85" s="18" t="n">
        <v>-5216.84</v>
      </c>
      <c r="N85" s="18" t="n">
        <v>-2572.92</v>
      </c>
      <c r="O85" s="18" t="n">
        <v>-2063.45</v>
      </c>
      <c r="P85" s="37" t="n">
        <v>-14024.1</v>
      </c>
      <c r="Q85" s="18" t="n">
        <v>617.73</v>
      </c>
      <c r="R85" s="18" t="n">
        <v>-4097.32</v>
      </c>
      <c r="S85" s="18" t="n">
        <v>-2359.15</v>
      </c>
      <c r="T85" s="18" t="n">
        <v>-597.52</v>
      </c>
      <c r="U85" s="37" t="n">
        <v>-6436.26</v>
      </c>
      <c r="V85" s="18" t="n">
        <v>-1055.65</v>
      </c>
      <c r="W85" s="18" t="n">
        <v>43.01</v>
      </c>
      <c r="X85" s="18" t="n">
        <v>-1222.23</v>
      </c>
      <c r="Y85" s="18" t="n">
        <v>-160.42</v>
      </c>
      <c r="Z85" s="37" t="n">
        <v>-2395.29</v>
      </c>
      <c r="AA85" s="18" t="n">
        <v>213.98</v>
      </c>
      <c r="AB85" s="19" t="n">
        <v>-451.13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투자활동으로인한현금흐름</t>
        </is>
      </c>
      <c r="E86" s="18" t="n">
        <v>4701.92</v>
      </c>
      <c r="F86" s="9" t="n"/>
      <c r="G86" s="18" t="n">
        <v>482.05</v>
      </c>
      <c r="H86" s="18" t="n">
        <v>-12669.27</v>
      </c>
      <c r="I86" s="18" t="n">
        <v>-15206.98</v>
      </c>
      <c r="J86" s="18" t="n">
        <v>-9643.940000000001</v>
      </c>
      <c r="K86" s="37" t="n">
        <v>-37038.14</v>
      </c>
      <c r="L86" s="18" t="n">
        <v>-17981.98</v>
      </c>
      <c r="M86" s="18" t="n">
        <v>7722.79</v>
      </c>
      <c r="N86" s="18" t="n">
        <v>-6577</v>
      </c>
      <c r="O86" s="18" t="n">
        <v>-7936.75</v>
      </c>
      <c r="P86" s="37" t="n">
        <v>-24772.94</v>
      </c>
      <c r="Q86" s="18" t="n">
        <v>-11713.94</v>
      </c>
      <c r="R86" s="18" t="n">
        <v>-28109.91</v>
      </c>
      <c r="S86" s="18" t="n">
        <v>-5774.27</v>
      </c>
      <c r="T86" s="18" t="n">
        <v>-16618.16</v>
      </c>
      <c r="U86" s="37" t="n">
        <v>-62216.28</v>
      </c>
      <c r="V86" s="18" t="n">
        <v>6737.52</v>
      </c>
      <c r="W86" s="18" t="n">
        <v>836.91</v>
      </c>
      <c r="X86" s="18" t="n">
        <v>-17927.76</v>
      </c>
      <c r="Y86" s="18" t="n">
        <v>-3644.66</v>
      </c>
      <c r="Z86" s="37" t="n">
        <v>-13997.99</v>
      </c>
      <c r="AA86" s="18" t="n">
        <v>7788.16</v>
      </c>
      <c r="AB86" s="19" t="n">
        <v>-22416.2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유형자산의감소</t>
        </is>
      </c>
      <c r="E87" s="18" t="n">
        <v>12248.7</v>
      </c>
      <c r="F87" s="9" t="n"/>
      <c r="G87" s="18" t="n">
        <v>8071.61</v>
      </c>
      <c r="H87" s="18" t="n">
        <v>140.98</v>
      </c>
      <c r="I87" s="18" t="n">
        <v>661.6900000000001</v>
      </c>
      <c r="J87" s="18" t="n">
        <v>545.78</v>
      </c>
      <c r="K87" s="37" t="n">
        <v>9420.059999999999</v>
      </c>
      <c r="L87" s="18" t="n">
        <v>486.86</v>
      </c>
      <c r="M87" s="18" t="n">
        <v>2879.49</v>
      </c>
      <c r="N87" s="18" t="n">
        <v>7986.41</v>
      </c>
      <c r="O87" s="18" t="n">
        <v>4169.68</v>
      </c>
      <c r="P87" s="37" t="n">
        <v>15522.44</v>
      </c>
      <c r="Q87" s="18" t="n">
        <v>6253.88</v>
      </c>
      <c r="R87" s="18" t="n">
        <v>6080.11</v>
      </c>
      <c r="S87" s="18" t="n">
        <v>1275.13</v>
      </c>
      <c r="T87" s="18" t="n">
        <v>2709.72</v>
      </c>
      <c r="U87" s="37" t="n">
        <v>16318.84</v>
      </c>
      <c r="V87" s="18" t="n">
        <v>1780.21</v>
      </c>
      <c r="W87" s="18" t="n">
        <v>1309.44</v>
      </c>
      <c r="X87" s="18" t="n">
        <v>427.2</v>
      </c>
      <c r="Y87" s="18" t="n">
        <v>922.0599999999999</v>
      </c>
      <c r="Z87" s="37" t="n">
        <v>4438.91</v>
      </c>
      <c r="AA87" s="18" t="n">
        <v>1090.43</v>
      </c>
      <c r="AB87" s="19" t="n">
        <v>2019.29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무형자산의감소</t>
        </is>
      </c>
      <c r="E88" s="18" t="n">
        <v>0</v>
      </c>
      <c r="F88" s="9" t="n"/>
      <c r="G88" s="18" t="n">
        <v>273.64</v>
      </c>
      <c r="H88" s="18" t="n">
        <v>0</v>
      </c>
      <c r="I88" s="18" t="n">
        <v>0</v>
      </c>
      <c r="J88" s="18" t="n">
        <v>0</v>
      </c>
      <c r="K88" s="37" t="n">
        <v>273.64</v>
      </c>
      <c r="L88" s="18" t="n">
        <v>0</v>
      </c>
      <c r="M88" s="18" t="n">
        <v>1004.18</v>
      </c>
      <c r="N88" s="18" t="n">
        <v>22.23</v>
      </c>
      <c r="O88" s="18" t="n">
        <v>43.1</v>
      </c>
      <c r="P88" s="37" t="n">
        <v>1069.51</v>
      </c>
      <c r="Q88" s="18" t="n">
        <v>170</v>
      </c>
      <c r="R88" s="18" t="n">
        <v>0</v>
      </c>
      <c r="S88" s="18" t="n">
        <v>0</v>
      </c>
      <c r="T88" s="18" t="n">
        <v>0</v>
      </c>
      <c r="U88" s="37" t="n">
        <v>170</v>
      </c>
      <c r="V88" s="18" t="n">
        <v>0</v>
      </c>
      <c r="Y88" s="18" t="n">
        <v>116.64</v>
      </c>
      <c r="Z88" s="9" t="n"/>
      <c r="AB88" s="5" t="n"/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유형자산의증가</t>
        </is>
      </c>
      <c r="E89" s="18" t="n">
        <v>4983.76</v>
      </c>
      <c r="F89" s="9" t="n"/>
      <c r="G89" s="18" t="n">
        <v>3149.21</v>
      </c>
      <c r="H89" s="18" t="n">
        <v>9066.98</v>
      </c>
      <c r="I89" s="18" t="n">
        <v>3844.09</v>
      </c>
      <c r="J89" s="18" t="n">
        <v>6721.06</v>
      </c>
      <c r="K89" s="37" t="n">
        <v>22781.34</v>
      </c>
      <c r="L89" s="18" t="n">
        <v>16976.63</v>
      </c>
      <c r="M89" s="18" t="n">
        <v>6908.99</v>
      </c>
      <c r="N89" s="18" t="n">
        <v>12597.33</v>
      </c>
      <c r="O89" s="18" t="n">
        <v>10726.14</v>
      </c>
      <c r="P89" s="37" t="n">
        <v>47209.09</v>
      </c>
      <c r="Q89" s="18" t="n">
        <v>21851.08</v>
      </c>
      <c r="R89" s="18" t="n">
        <v>19693.08</v>
      </c>
      <c r="S89" s="18" t="n">
        <v>3350.66</v>
      </c>
      <c r="T89" s="18" t="n">
        <v>10459.73</v>
      </c>
      <c r="U89" s="37" t="n">
        <v>55354.55</v>
      </c>
      <c r="V89" s="18" t="n">
        <v>3917.71</v>
      </c>
      <c r="W89" s="18" t="n">
        <v>2885.65</v>
      </c>
      <c r="X89" s="18" t="n">
        <v>14972.97</v>
      </c>
      <c r="Y89" s="18" t="n">
        <v>23681.47</v>
      </c>
      <c r="Z89" s="37" t="n">
        <v>45457.8</v>
      </c>
      <c r="AA89" s="18" t="n">
        <v>9083.35</v>
      </c>
      <c r="AB89" s="19" t="n">
        <v>23346.77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CAPEX</t>
        </is>
      </c>
      <c r="E90" s="18" t="n">
        <v>4983.76</v>
      </c>
      <c r="F90" s="9" t="n"/>
      <c r="G90" s="18" t="n">
        <v>3149.21</v>
      </c>
      <c r="H90" s="18" t="n">
        <v>9066.98</v>
      </c>
      <c r="I90" s="18" t="n">
        <v>3844.09</v>
      </c>
      <c r="J90" s="18" t="n">
        <v>7102.18</v>
      </c>
      <c r="K90" s="37" t="n">
        <v>23162.46</v>
      </c>
      <c r="L90" s="18" t="n">
        <v>16979.82</v>
      </c>
      <c r="M90" s="18" t="n">
        <v>6918.5</v>
      </c>
      <c r="N90" s="18" t="n">
        <v>12694.92</v>
      </c>
      <c r="O90" s="18" t="n">
        <v>10738.45</v>
      </c>
      <c r="P90" s="37" t="n">
        <v>47331.69</v>
      </c>
      <c r="Q90" s="18" t="n">
        <v>21851.08</v>
      </c>
      <c r="R90" s="18" t="n">
        <v>20148</v>
      </c>
      <c r="S90" s="18" t="n">
        <v>3469.03</v>
      </c>
      <c r="T90" s="18" t="n">
        <v>10459.73</v>
      </c>
      <c r="U90" s="37" t="n">
        <v>55927.84</v>
      </c>
      <c r="V90" s="18" t="n">
        <v>4126.38</v>
      </c>
      <c r="W90" s="18" t="n">
        <v>2886.26</v>
      </c>
      <c r="X90" s="18" t="n">
        <v>17014.79</v>
      </c>
      <c r="Y90" s="18" t="n">
        <v>23821.31</v>
      </c>
      <c r="Z90" s="37" t="n">
        <v>47848.74</v>
      </c>
      <c r="AA90" s="18" t="n">
        <v>9086.48</v>
      </c>
      <c r="AB90" s="19" t="n">
        <v>23358.77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무형자산의증가</t>
        </is>
      </c>
      <c r="E91" s="18" t="n">
        <v>0</v>
      </c>
      <c r="F91" s="9" t="n"/>
      <c r="K91" s="9" t="n"/>
      <c r="L91" s="18" t="n">
        <v>3.19</v>
      </c>
      <c r="M91" s="18" t="n">
        <v>9.51</v>
      </c>
      <c r="N91" s="18" t="n">
        <v>97.59</v>
      </c>
      <c r="O91" s="18" t="n">
        <v>12.31</v>
      </c>
      <c r="P91" s="37" t="n">
        <v>122.6</v>
      </c>
      <c r="S91" s="18" t="n">
        <v>118.37</v>
      </c>
      <c r="T91" s="18" t="n">
        <v>0</v>
      </c>
      <c r="U91" s="9" t="n"/>
      <c r="V91" s="18" t="n">
        <v>208.67</v>
      </c>
      <c r="W91" s="18" t="n">
        <v>0.61</v>
      </c>
      <c r="X91" s="18" t="n">
        <v>2041.82</v>
      </c>
      <c r="Y91" s="18" t="n">
        <v>139.84</v>
      </c>
      <c r="Z91" s="37" t="n">
        <v>2390.94</v>
      </c>
      <c r="AA91" s="18" t="n">
        <v>3.13</v>
      </c>
      <c r="AB91" s="19" t="n">
        <v>12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재무활동으로인한현금흐름</t>
        </is>
      </c>
      <c r="E92" s="18" t="n">
        <v>4381</v>
      </c>
      <c r="F92" s="9" t="n"/>
      <c r="G92" s="18" t="n">
        <v>9352.77</v>
      </c>
      <c r="H92" s="18" t="n">
        <v>46655.07</v>
      </c>
      <c r="I92" s="18" t="n">
        <v>12779.84</v>
      </c>
      <c r="J92" s="18" t="n">
        <v>-10136.73</v>
      </c>
      <c r="K92" s="37" t="n">
        <v>58650.95</v>
      </c>
      <c r="L92" s="18" t="n">
        <v>23407.2</v>
      </c>
      <c r="M92" s="18" t="n">
        <v>-7900.73</v>
      </c>
      <c r="N92" s="18" t="n">
        <v>-18759.99</v>
      </c>
      <c r="O92" s="18" t="n">
        <v>-9383.82</v>
      </c>
      <c r="P92" s="37" t="n">
        <v>-12637.34</v>
      </c>
      <c r="Q92" s="18" t="n">
        <v>13153.77</v>
      </c>
      <c r="R92" s="18" t="n">
        <v>14907.28</v>
      </c>
      <c r="S92" s="18" t="n">
        <v>12428.21</v>
      </c>
      <c r="T92" s="18" t="n">
        <v>-5890.72</v>
      </c>
      <c r="U92" s="37" t="n">
        <v>34598.54</v>
      </c>
      <c r="V92" s="18" t="n">
        <v>17655.32</v>
      </c>
      <c r="W92" s="18" t="n">
        <v>9232.77</v>
      </c>
      <c r="X92" s="18" t="n">
        <v>8317.83</v>
      </c>
      <c r="Y92" s="18" t="n">
        <v>-22223.67</v>
      </c>
      <c r="Z92" s="37" t="n">
        <v>12982.25</v>
      </c>
      <c r="AA92" s="18" t="n">
        <v>28131.23</v>
      </c>
      <c r="AB92" s="19" t="n">
        <v>57908.53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단기차입금의증가</t>
        </is>
      </c>
      <c r="E93" s="18" t="n">
        <v>124596.77</v>
      </c>
      <c r="F93" s="9" t="n"/>
      <c r="G93" s="18" t="n">
        <v>138614.8</v>
      </c>
      <c r="H93" s="18" t="n">
        <v>227822.67</v>
      </c>
      <c r="I93" s="18" t="n">
        <v>136905.35</v>
      </c>
      <c r="J93" s="18" t="n">
        <v>140795.39</v>
      </c>
      <c r="K93" s="37" t="n">
        <v>644138.21</v>
      </c>
      <c r="L93" s="18" t="n">
        <v>170139.75</v>
      </c>
      <c r="M93" s="18" t="n">
        <v>240067.1</v>
      </c>
      <c r="N93" s="18" t="n">
        <v>167713.67</v>
      </c>
      <c r="O93" s="18" t="n">
        <v>124789.76</v>
      </c>
      <c r="P93" s="37" t="n">
        <v>702710.28</v>
      </c>
      <c r="Q93" s="18" t="n">
        <v>151771.12</v>
      </c>
      <c r="R93" s="18" t="n">
        <v>213536.21</v>
      </c>
      <c r="S93" s="18" t="n">
        <v>200639.42</v>
      </c>
      <c r="U93" s="9" t="n"/>
      <c r="V93" s="18" t="n">
        <v>67623.7</v>
      </c>
      <c r="W93" s="18" t="n">
        <v>110643.17</v>
      </c>
      <c r="X93" s="18" t="n">
        <v>99302.92999999999</v>
      </c>
      <c r="Y93" s="18" t="n">
        <v>109206.44</v>
      </c>
      <c r="Z93" s="37" t="n">
        <v>386776.24</v>
      </c>
      <c r="AA93" s="18" t="n">
        <v>81669.59</v>
      </c>
      <c r="AB93" s="19" t="n">
        <v>100539.7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장기차입금의증가</t>
        </is>
      </c>
      <c r="E94" s="18" t="n">
        <v>2999.58</v>
      </c>
      <c r="F94" s="9" t="n"/>
      <c r="I94" s="18" t="n">
        <v>4540</v>
      </c>
      <c r="J94" s="18" t="n">
        <v>585</v>
      </c>
      <c r="K94" s="9" t="n"/>
      <c r="L94" s="18" t="n">
        <v>4300</v>
      </c>
      <c r="M94" s="18" t="n">
        <v>4164.68</v>
      </c>
      <c r="N94" s="18" t="n">
        <v>5597.32</v>
      </c>
      <c r="O94" s="18" t="n">
        <v>2000</v>
      </c>
      <c r="P94" s="37" t="n">
        <v>16062</v>
      </c>
      <c r="Q94" s="18" t="n">
        <v>5000</v>
      </c>
      <c r="R94" s="18" t="n">
        <v>23572.71</v>
      </c>
      <c r="S94" s="18" t="n">
        <v>40000</v>
      </c>
      <c r="T94" s="18" t="n">
        <v>15239.29</v>
      </c>
      <c r="U94" s="37" t="n">
        <v>83812</v>
      </c>
      <c r="X94" s="18" t="n">
        <v>24000</v>
      </c>
      <c r="Z94" s="9" t="n"/>
      <c r="AA94" s="18" t="n">
        <v>10000</v>
      </c>
      <c r="AB94" s="19" t="n">
        <v>14885.52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단기차입금의감소</t>
        </is>
      </c>
      <c r="E95" s="18" t="n">
        <v>120848.17</v>
      </c>
      <c r="F95" s="9" t="n"/>
      <c r="G95" s="18" t="n">
        <v>147210.54</v>
      </c>
      <c r="H95" s="18" t="n">
        <v>181976.92</v>
      </c>
      <c r="I95" s="18" t="n">
        <v>155953.53</v>
      </c>
      <c r="J95" s="18" t="n">
        <v>151366.37</v>
      </c>
      <c r="K95" s="37" t="n">
        <v>636507.36</v>
      </c>
      <c r="L95" s="18" t="n">
        <v>149300.18</v>
      </c>
      <c r="M95" s="18" t="n">
        <v>223279.24</v>
      </c>
      <c r="N95" s="18" t="n">
        <v>181959.62</v>
      </c>
      <c r="O95" s="18" t="n">
        <v>124399.67</v>
      </c>
      <c r="P95" s="37" t="n">
        <v>678938.71</v>
      </c>
      <c r="Q95" s="18" t="n">
        <v>136080.81</v>
      </c>
      <c r="R95" s="18" t="n">
        <v>226390.66</v>
      </c>
      <c r="S95" s="18" t="n">
        <v>216283.86</v>
      </c>
      <c r="U95" s="9" t="n"/>
      <c r="V95" s="18" t="n">
        <v>71737.78999999999</v>
      </c>
      <c r="W95" s="18" t="n">
        <v>105808.59</v>
      </c>
      <c r="X95" s="18" t="n">
        <v>117050.51</v>
      </c>
      <c r="Y95" s="18" t="n">
        <v>86848.09</v>
      </c>
      <c r="Z95" s="37" t="n">
        <v>381444.98</v>
      </c>
      <c r="AA95" s="18" t="n">
        <v>74095.72</v>
      </c>
      <c r="AB95" s="19" t="n">
        <v>101218.34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유동성장기부채의감소</t>
        </is>
      </c>
      <c r="E96" s="18" t="n">
        <v>1799.99</v>
      </c>
      <c r="F96" s="9" t="n"/>
      <c r="G96" s="18" t="n">
        <v>1383.33</v>
      </c>
      <c r="H96" s="18" t="n">
        <v>1383.33</v>
      </c>
      <c r="I96" s="18" t="n">
        <v>1383.33</v>
      </c>
      <c r="J96" s="18" t="n">
        <v>7083.33</v>
      </c>
      <c r="K96" s="37" t="n">
        <v>11233.32</v>
      </c>
      <c r="L96" s="18" t="n">
        <v>1083.33</v>
      </c>
      <c r="M96" s="18" t="n">
        <v>23202.48</v>
      </c>
      <c r="N96" s="18" t="n">
        <v>500</v>
      </c>
      <c r="O96" s="18" t="n">
        <v>11083.33</v>
      </c>
      <c r="P96" s="37" t="n">
        <v>35869.14</v>
      </c>
      <c r="Q96" s="18" t="n">
        <v>500</v>
      </c>
      <c r="R96" s="18" t="n">
        <v>11837</v>
      </c>
      <c r="S96" s="18" t="n">
        <v>1640</v>
      </c>
      <c r="T96" s="18" t="n">
        <v>481.03</v>
      </c>
      <c r="U96" s="37" t="n">
        <v>14458.03</v>
      </c>
      <c r="V96" s="18" t="n">
        <v>1597.72</v>
      </c>
      <c r="W96" s="18" t="n">
        <v>23687.01</v>
      </c>
      <c r="X96" s="18" t="n">
        <v>31647.72</v>
      </c>
      <c r="Z96" s="9" t="n"/>
      <c r="AB96" s="5" t="n"/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리스부채의상환</t>
        </is>
      </c>
      <c r="E97" s="18" t="n">
        <v>694.28</v>
      </c>
      <c r="F97" s="9" t="n"/>
      <c r="G97" s="18" t="n">
        <v>627.9299999999999</v>
      </c>
      <c r="H97" s="18" t="n">
        <v>678.22</v>
      </c>
      <c r="I97" s="18" t="n">
        <v>655.11</v>
      </c>
      <c r="J97" s="18" t="n">
        <v>628.4</v>
      </c>
      <c r="K97" s="37" t="n">
        <v>2589.66</v>
      </c>
      <c r="L97" s="18" t="n">
        <v>649.04</v>
      </c>
      <c r="M97" s="18" t="n">
        <v>632.77</v>
      </c>
      <c r="N97" s="18" t="n">
        <v>744.84</v>
      </c>
      <c r="O97" s="18" t="n">
        <v>690.5700000000001</v>
      </c>
      <c r="P97" s="37" t="n">
        <v>2717.22</v>
      </c>
      <c r="Q97" s="18" t="n">
        <v>762.1</v>
      </c>
      <c r="R97" s="18" t="n">
        <v>764.84</v>
      </c>
      <c r="S97" s="18" t="n">
        <v>781.38</v>
      </c>
      <c r="T97" s="18" t="n">
        <v>815.3</v>
      </c>
      <c r="U97" s="37" t="n">
        <v>3123.62</v>
      </c>
      <c r="V97" s="18" t="n">
        <v>868.63</v>
      </c>
      <c r="W97" s="18" t="n">
        <v>805.65</v>
      </c>
      <c r="X97" s="18" t="n">
        <v>924.59</v>
      </c>
      <c r="Y97" s="18" t="n">
        <v>884.26</v>
      </c>
      <c r="Z97" s="37" t="n">
        <v>3483.13</v>
      </c>
      <c r="AA97" s="18" t="n">
        <v>864.97</v>
      </c>
      <c r="AB97" s="19" t="n">
        <v>638.41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배당금지급</t>
        </is>
      </c>
      <c r="E98" s="18" t="n">
        <v>0</v>
      </c>
      <c r="F98" s="9" t="n"/>
      <c r="I98" s="18" t="n">
        <v>0</v>
      </c>
      <c r="J98" s="18" t="n">
        <v>0</v>
      </c>
      <c r="K98" s="9" t="n"/>
      <c r="O98" s="18" t="n">
        <v>0</v>
      </c>
      <c r="P98" s="9" t="n"/>
      <c r="T98" s="18" t="n">
        <v>0</v>
      </c>
      <c r="U98" s="9" t="n"/>
      <c r="X98" s="18" t="n">
        <v>0</v>
      </c>
      <c r="Y98" s="18" t="n">
        <v>0</v>
      </c>
      <c r="Z98" s="9" t="n"/>
      <c r="AB98" s="5" t="n"/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사채의증가</t>
        </is>
      </c>
      <c r="F99" s="9" t="n"/>
      <c r="G99" s="18" t="n">
        <v>19959.78</v>
      </c>
      <c r="H99" s="18" t="n">
        <v>0</v>
      </c>
      <c r="I99" s="18" t="n">
        <v>30000</v>
      </c>
      <c r="J99" s="18" t="n">
        <v>9979.879999999999</v>
      </c>
      <c r="K99" s="37" t="n">
        <v>59939.66</v>
      </c>
      <c r="L99" s="18" t="n">
        <v>0</v>
      </c>
      <c r="M99" s="18" t="n">
        <v>0</v>
      </c>
      <c r="N99" s="18" t="n">
        <v>0</v>
      </c>
      <c r="P99" s="9" t="n"/>
      <c r="S99" s="18" t="n">
        <v>0</v>
      </c>
      <c r="T99" s="18" t="n">
        <v>0</v>
      </c>
      <c r="U99" s="9" t="n"/>
      <c r="V99" s="18" t="n">
        <v>19959.78</v>
      </c>
      <c r="W99" s="18" t="n">
        <v>0</v>
      </c>
      <c r="X99" s="18" t="n">
        <v>30000</v>
      </c>
      <c r="Y99" s="18" t="n">
        <v>0</v>
      </c>
      <c r="Z99" s="37" t="n">
        <v>49959.78</v>
      </c>
      <c r="AB99" s="5" t="n"/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현금및현금성자산의증감</t>
        </is>
      </c>
      <c r="F100" s="9" t="n"/>
      <c r="I100" s="18" t="n">
        <v>-377.44</v>
      </c>
      <c r="K100" s="9" t="n"/>
      <c r="N100" s="18" t="n">
        <v>-12058.78</v>
      </c>
      <c r="O100" s="18" t="n">
        <v>6240.14</v>
      </c>
      <c r="P100" s="9" t="n"/>
      <c r="Q100" s="18" t="n">
        <v>4924.45</v>
      </c>
      <c r="R100" s="18" t="n">
        <v>-28683.93</v>
      </c>
      <c r="S100" s="18" t="n">
        <v>13588.18</v>
      </c>
      <c r="T100" s="18" t="n">
        <v>-4435.49</v>
      </c>
      <c r="U100" s="37" t="n">
        <v>-14606.79</v>
      </c>
      <c r="V100" s="18" t="n">
        <v>33603.35</v>
      </c>
      <c r="W100" s="18" t="n">
        <v>-5158.28</v>
      </c>
      <c r="X100" s="18" t="n">
        <v>20703.04</v>
      </c>
      <c r="Y100" s="18" t="n">
        <v>-28289.21</v>
      </c>
      <c r="Z100" s="37" t="n">
        <v>20858.9</v>
      </c>
      <c r="AA100" s="18" t="n">
        <v>25800.45</v>
      </c>
      <c r="AB100" s="19" t="n">
        <v>18007.99</v>
      </c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장기차입금의감소</t>
        </is>
      </c>
      <c r="F101" s="9" t="n"/>
      <c r="K101" s="9" t="n"/>
      <c r="N101" s="18" t="n">
        <v>147</v>
      </c>
      <c r="O101" s="18" t="n">
        <v>0</v>
      </c>
      <c r="P101" s="9" t="n"/>
      <c r="Q101" s="18" t="n">
        <v>3000</v>
      </c>
      <c r="R101" s="18" t="n">
        <v>0</v>
      </c>
      <c r="S101" s="18" t="n">
        <v>0</v>
      </c>
      <c r="T101" s="18" t="n">
        <v>200</v>
      </c>
      <c r="U101" s="37" t="n">
        <v>3200</v>
      </c>
      <c r="V101" s="18" t="n">
        <v>0</v>
      </c>
      <c r="Z101" s="9" t="n"/>
      <c r="AB101" s="5" t="n"/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기말현금및현금성자산</t>
        </is>
      </c>
      <c r="F102" s="9" t="n"/>
      <c r="K102" s="9" t="n"/>
      <c r="N102" s="18" t="n">
        <v>-11967.94</v>
      </c>
      <c r="O102" s="18" t="n">
        <v>4345.55</v>
      </c>
      <c r="P102" s="9" t="n"/>
      <c r="Q102" s="18" t="n">
        <v>107072.44</v>
      </c>
      <c r="R102" s="18" t="n">
        <v>-28114.81</v>
      </c>
      <c r="S102" s="18" t="n">
        <v>12110.41</v>
      </c>
      <c r="T102" s="18" t="n">
        <v>-3611.28</v>
      </c>
      <c r="U102" s="37" t="n">
        <v>87456.75999999999</v>
      </c>
      <c r="V102" s="18" t="n">
        <v>121129.8</v>
      </c>
      <c r="W102" s="18" t="n">
        <v>-6242.12</v>
      </c>
      <c r="X102" s="18" t="n">
        <v>21282.24</v>
      </c>
      <c r="Y102" s="18" t="n">
        <v>-28948.6</v>
      </c>
      <c r="Z102" s="37" t="n">
        <v>107221.32</v>
      </c>
      <c r="AA102" s="18" t="n">
        <v>134973.03</v>
      </c>
      <c r="AB102" s="19" t="n">
        <v>17349.67</v>
      </c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  <row r="103">
      <c r="A103" t="n">
        <v>1</v>
      </c>
      <c r="C103" t="inlineStr">
        <is>
          <t>사채의감소</t>
        </is>
      </c>
      <c r="F103" s="9" t="n"/>
      <c r="K103" s="9" t="n"/>
      <c r="P103" s="9" t="n"/>
      <c r="T103" s="18" t="n">
        <v>0</v>
      </c>
      <c r="U103" s="9" t="n"/>
      <c r="V103" s="18" t="n">
        <v>20000</v>
      </c>
      <c r="Z103" s="9" t="n"/>
      <c r="AB103" s="5" t="n"/>
      <c r="AC103" s="10" t="n"/>
      <c r="AD103" s="10" t="n"/>
      <c r="AE103" s="11" t="n"/>
      <c r="AF103" s="10" t="n"/>
      <c r="AG103" s="10" t="n"/>
      <c r="AH103" s="10" t="n"/>
      <c r="AI103" s="10" t="n"/>
      <c r="AJ103" s="11" t="n"/>
      <c r="AK103" s="10" t="n"/>
      <c r="AL103" s="10" t="n"/>
      <c r="AM103" s="10" t="n"/>
      <c r="AN103" s="10" t="n"/>
      <c r="AO103" s="11" t="n"/>
    </row>
    <row r="104">
      <c r="A104" t="n">
        <v>1</v>
      </c>
      <c r="C104" t="inlineStr">
        <is>
          <t>차입금의감소</t>
        </is>
      </c>
      <c r="F104" s="9" t="n"/>
      <c r="K104" s="9" t="n"/>
      <c r="P104" s="9" t="n"/>
      <c r="U104" s="9" t="n"/>
      <c r="Z104" s="9" t="n"/>
      <c r="AA104" s="18" t="n">
        <v>5738.37</v>
      </c>
      <c r="AB104" s="5" t="n"/>
      <c r="AC104" s="10" t="n"/>
      <c r="AD104" s="10" t="n"/>
      <c r="AE104" s="11" t="n"/>
      <c r="AF104" s="10" t="n"/>
      <c r="AG104" s="10" t="n"/>
      <c r="AH104" s="10" t="n"/>
      <c r="AI104" s="10" t="n"/>
      <c r="AJ104" s="11" t="n"/>
      <c r="AK104" s="10" t="n"/>
      <c r="AL104" s="10" t="n"/>
      <c r="AM104" s="10" t="n"/>
      <c r="AN104" s="10" t="n"/>
      <c r="AO104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금강공업(별)</t>
        </is>
      </c>
      <c r="C3" s="2" t="inlineStr">
        <is>
          <t>UPDATE: 26-10-26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209804.88</v>
      </c>
      <c r="F5" s="37" t="n">
        <v>209804.88</v>
      </c>
      <c r="G5" s="18" t="n">
        <v>215678.53</v>
      </c>
      <c r="H5" s="18" t="n">
        <v>224761.49</v>
      </c>
      <c r="I5" s="18" t="n">
        <v>241616.91</v>
      </c>
      <c r="J5" s="18" t="n">
        <v>245761.04</v>
      </c>
      <c r="K5" s="37" t="n">
        <v>245761.04</v>
      </c>
      <c r="L5" s="18" t="n">
        <v>258121.09</v>
      </c>
      <c r="M5" s="18" t="n">
        <v>249644.28</v>
      </c>
      <c r="N5" s="18" t="n">
        <v>255305.18</v>
      </c>
      <c r="O5" s="18" t="n">
        <v>240073.91</v>
      </c>
      <c r="P5" s="37" t="n">
        <v>240073.91</v>
      </c>
      <c r="Q5" s="18" t="n">
        <v>235792.78</v>
      </c>
      <c r="R5" s="18" t="n">
        <v>234155.8</v>
      </c>
      <c r="S5" s="18" t="n">
        <v>219303.76</v>
      </c>
      <c r="T5" s="18" t="n">
        <v>212980.97</v>
      </c>
      <c r="U5" s="37" t="n">
        <v>212980.97</v>
      </c>
      <c r="V5" s="18" t="n">
        <v>227391.71</v>
      </c>
      <c r="W5" s="18" t="n">
        <v>257422.85</v>
      </c>
      <c r="X5" s="18" t="n">
        <v>242310.98</v>
      </c>
      <c r="Y5" s="18" t="n">
        <v>221265.79</v>
      </c>
      <c r="Z5" s="37" t="n">
        <v>221265.79</v>
      </c>
      <c r="AA5" s="18" t="n">
        <v>229562.6</v>
      </c>
      <c r="AB5" s="19" t="n">
        <v>229613.23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56211.33</v>
      </c>
      <c r="F6" s="37" t="n">
        <v>56211.33</v>
      </c>
      <c r="G6" s="18" t="n">
        <v>63068.22</v>
      </c>
      <c r="H6" s="18" t="n">
        <v>62557.03</v>
      </c>
      <c r="I6" s="18" t="n">
        <v>56924.15</v>
      </c>
      <c r="J6" s="18" t="n">
        <v>55482.4</v>
      </c>
      <c r="K6" s="37" t="n">
        <v>55482.4</v>
      </c>
      <c r="L6" s="18" t="n">
        <v>64060.89</v>
      </c>
      <c r="M6" s="18" t="n">
        <v>65878.19</v>
      </c>
      <c r="N6" s="18" t="n">
        <v>67317.25999999999</v>
      </c>
      <c r="O6" s="18" t="n">
        <v>65114.07</v>
      </c>
      <c r="P6" s="37" t="n">
        <v>65114.07</v>
      </c>
      <c r="Q6" s="18" t="n">
        <v>60951.95</v>
      </c>
      <c r="R6" s="18" t="n">
        <v>35699.06</v>
      </c>
      <c r="S6" s="18" t="n">
        <v>42500.15</v>
      </c>
      <c r="T6" s="18" t="n">
        <v>33620.07</v>
      </c>
      <c r="U6" s="37" t="n">
        <v>33620.07</v>
      </c>
      <c r="V6" s="18" t="n">
        <v>62478.35</v>
      </c>
      <c r="W6" s="18" t="n">
        <v>59097.04</v>
      </c>
      <c r="X6" s="18" t="n">
        <v>58387.56</v>
      </c>
      <c r="Y6" s="18" t="n">
        <v>40936.31</v>
      </c>
      <c r="Z6" s="37" t="n">
        <v>40936.31</v>
      </c>
      <c r="AA6" s="18" t="n">
        <v>50895.72</v>
      </c>
      <c r="AB6" s="19" t="n">
        <v>45502.92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매출채권및기타채권</t>
        </is>
      </c>
      <c r="E7" s="18" t="n">
        <v>71051.36</v>
      </c>
      <c r="F7" s="37" t="n">
        <v>71051.36</v>
      </c>
      <c r="G7" s="18" t="n">
        <v>79382.2</v>
      </c>
      <c r="H7" s="18" t="n">
        <v>69682.08</v>
      </c>
      <c r="I7" s="18" t="n">
        <v>84677.8</v>
      </c>
      <c r="J7" s="18" t="n">
        <v>74994.59</v>
      </c>
      <c r="K7" s="37" t="n">
        <v>74994.59</v>
      </c>
      <c r="L7" s="18" t="n">
        <v>82500.21000000001</v>
      </c>
      <c r="M7" s="18" t="n">
        <v>84019.33</v>
      </c>
      <c r="N7" s="18" t="n">
        <v>82443.28</v>
      </c>
      <c r="O7" s="18" t="n">
        <v>73396.25</v>
      </c>
      <c r="P7" s="37" t="n">
        <v>73396.25</v>
      </c>
      <c r="Q7" s="18" t="n">
        <v>76068.99000000001</v>
      </c>
      <c r="R7" s="18" t="n">
        <v>78023.41</v>
      </c>
      <c r="S7" s="18" t="n">
        <v>72561.45</v>
      </c>
      <c r="T7" s="18" t="n">
        <v>84044.5</v>
      </c>
      <c r="U7" s="37" t="n">
        <v>84044.5</v>
      </c>
      <c r="V7" s="18" t="n">
        <v>88622.19</v>
      </c>
      <c r="W7" s="18" t="n">
        <v>105606.95</v>
      </c>
      <c r="X7" s="18" t="n">
        <v>91253.55</v>
      </c>
      <c r="Y7" s="18" t="n">
        <v>85068.99000000001</v>
      </c>
      <c r="Z7" s="37" t="n">
        <v>85068.99000000001</v>
      </c>
      <c r="AA7" s="18" t="n">
        <v>95848.02</v>
      </c>
      <c r="AB7" s="19" t="n">
        <v>97010.21000000001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재고자산</t>
        </is>
      </c>
      <c r="E8" s="18" t="n">
        <v>80588.22</v>
      </c>
      <c r="F8" s="37" t="n">
        <v>80588.22</v>
      </c>
      <c r="G8" s="18" t="n">
        <v>70907.32000000001</v>
      </c>
      <c r="H8" s="18" t="n">
        <v>89762.14999999999</v>
      </c>
      <c r="I8" s="18" t="n">
        <v>97390.50999999999</v>
      </c>
      <c r="J8" s="18" t="n">
        <v>102324.65</v>
      </c>
      <c r="K8" s="37" t="n">
        <v>102324.65</v>
      </c>
      <c r="L8" s="18" t="n">
        <v>96626.5</v>
      </c>
      <c r="M8" s="18" t="n">
        <v>96980.85000000001</v>
      </c>
      <c r="N8" s="18" t="n">
        <v>102160.01</v>
      </c>
      <c r="O8" s="18" t="n">
        <v>98639.75999999999</v>
      </c>
      <c r="P8" s="37" t="n">
        <v>98639.75999999999</v>
      </c>
      <c r="Q8" s="18" t="n">
        <v>91494.71000000001</v>
      </c>
      <c r="R8" s="18" t="n">
        <v>92500.39999999999</v>
      </c>
      <c r="S8" s="18" t="n">
        <v>80782.31</v>
      </c>
      <c r="T8" s="18" t="n">
        <v>72328.67</v>
      </c>
      <c r="U8" s="37" t="n">
        <v>72328.67</v>
      </c>
      <c r="V8" s="18" t="n">
        <v>74642.28999999999</v>
      </c>
      <c r="W8" s="18" t="n">
        <v>72485.39</v>
      </c>
      <c r="X8" s="18" t="n">
        <v>71923.61</v>
      </c>
      <c r="Y8" s="18" t="n">
        <v>72945.22</v>
      </c>
      <c r="Z8" s="37" t="n">
        <v>72945.22</v>
      </c>
      <c r="AA8" s="18" t="n">
        <v>74058.06</v>
      </c>
      <c r="AB8" s="19" t="n">
        <v>79671.95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기타유동자산</t>
        </is>
      </c>
      <c r="E9" s="18" t="n">
        <v>1859.83</v>
      </c>
      <c r="F9" s="37" t="n">
        <v>1859.83</v>
      </c>
      <c r="G9" s="18" t="n">
        <v>2184.43</v>
      </c>
      <c r="H9" s="18" t="n">
        <v>2674.5</v>
      </c>
      <c r="I9" s="18" t="n">
        <v>2581.61</v>
      </c>
      <c r="J9" s="18" t="n">
        <v>2690.45</v>
      </c>
      <c r="K9" s="37" t="n">
        <v>2690.45</v>
      </c>
      <c r="L9" s="18" t="n">
        <v>4804.86</v>
      </c>
      <c r="M9" s="18" t="n">
        <v>2675.12</v>
      </c>
      <c r="N9" s="18" t="n">
        <v>3302.72</v>
      </c>
      <c r="O9" s="18" t="n">
        <v>2680.36</v>
      </c>
      <c r="P9" s="37" t="n">
        <v>2680.36</v>
      </c>
      <c r="Q9" s="18" t="n">
        <v>2168.45</v>
      </c>
      <c r="R9" s="18" t="n">
        <v>2845.12</v>
      </c>
      <c r="S9" s="18" t="n">
        <v>2728.3</v>
      </c>
      <c r="T9" s="18" t="n">
        <v>1780.97</v>
      </c>
      <c r="U9" s="37" t="n">
        <v>1780.97</v>
      </c>
      <c r="V9" s="18" t="n">
        <v>1479.11</v>
      </c>
      <c r="W9" s="18" t="n">
        <v>1728.94</v>
      </c>
      <c r="X9" s="18" t="n">
        <v>2668.58</v>
      </c>
      <c r="Y9" s="18" t="n">
        <v>4203.56</v>
      </c>
      <c r="Z9" s="37" t="n">
        <v>4203.56</v>
      </c>
      <c r="AA9" s="18" t="n">
        <v>8252.030000000001</v>
      </c>
      <c r="AB9" s="19" t="n">
        <v>7239.77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비유동자산</t>
        </is>
      </c>
      <c r="E10" s="18" t="n">
        <v>375938.79</v>
      </c>
      <c r="F10" s="37" t="n">
        <v>375938.79</v>
      </c>
      <c r="G10" s="18" t="n">
        <v>389084.43</v>
      </c>
      <c r="H10" s="18" t="n">
        <v>391450.92</v>
      </c>
      <c r="I10" s="18" t="n">
        <v>400681.81</v>
      </c>
      <c r="J10" s="18" t="n">
        <v>405052.28</v>
      </c>
      <c r="K10" s="37" t="n">
        <v>405052.28</v>
      </c>
      <c r="L10" s="18" t="n">
        <v>415104.05</v>
      </c>
      <c r="M10" s="18" t="n">
        <v>423923.12</v>
      </c>
      <c r="N10" s="18" t="n">
        <v>425979.99</v>
      </c>
      <c r="O10" s="18" t="n">
        <v>427836.99</v>
      </c>
      <c r="P10" s="37" t="n">
        <v>427836.99</v>
      </c>
      <c r="Q10" s="18" t="n">
        <v>426795.35</v>
      </c>
      <c r="R10" s="18" t="n">
        <v>425554.37</v>
      </c>
      <c r="S10" s="18" t="n">
        <v>435035.78</v>
      </c>
      <c r="T10" s="18" t="n">
        <v>421179.7</v>
      </c>
      <c r="U10" s="37" t="n">
        <v>421179.7</v>
      </c>
      <c r="V10" s="18" t="n">
        <v>417168.43</v>
      </c>
      <c r="W10" s="18" t="n">
        <v>393786.91</v>
      </c>
      <c r="X10" s="18" t="n">
        <v>401727.3</v>
      </c>
      <c r="Y10" s="18" t="n">
        <v>403158.61</v>
      </c>
      <c r="Z10" s="37" t="n">
        <v>403158.61</v>
      </c>
      <c r="AA10" s="18" t="n">
        <v>407470.17</v>
      </c>
      <c r="AB10" s="19" t="n">
        <v>427437.85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유형자산</t>
        </is>
      </c>
      <c r="E11" s="18" t="n">
        <v>287539.8</v>
      </c>
      <c r="F11" s="37" t="n">
        <v>287539.8</v>
      </c>
      <c r="G11" s="18" t="n">
        <v>298478.59</v>
      </c>
      <c r="H11" s="18" t="n">
        <v>301386.04</v>
      </c>
      <c r="I11" s="18" t="n">
        <v>293651.66</v>
      </c>
      <c r="J11" s="18" t="n">
        <v>291985.25</v>
      </c>
      <c r="K11" s="37" t="n">
        <v>291985.25</v>
      </c>
      <c r="L11" s="18" t="n">
        <v>296473.66</v>
      </c>
      <c r="M11" s="18" t="n">
        <v>305655.06</v>
      </c>
      <c r="N11" s="18" t="n">
        <v>302494.24</v>
      </c>
      <c r="O11" s="18" t="n">
        <v>302714</v>
      </c>
      <c r="P11" s="37" t="n">
        <v>302714</v>
      </c>
      <c r="Q11" s="18" t="n">
        <v>301399.87</v>
      </c>
      <c r="R11" s="18" t="n">
        <v>301639.11</v>
      </c>
      <c r="S11" s="18" t="n">
        <v>274533.63</v>
      </c>
      <c r="T11" s="18" t="n">
        <v>270613.11</v>
      </c>
      <c r="U11" s="37" t="n">
        <v>270613.11</v>
      </c>
      <c r="V11" s="18" t="n">
        <v>262070.53</v>
      </c>
      <c r="W11" s="18" t="n">
        <v>257806.17</v>
      </c>
      <c r="X11" s="18" t="n">
        <v>263163.56</v>
      </c>
      <c r="Y11" s="18" t="n">
        <v>237870.35</v>
      </c>
      <c r="Z11" s="37" t="n">
        <v>237870.35</v>
      </c>
      <c r="AA11" s="18" t="n">
        <v>246856.51</v>
      </c>
      <c r="AB11" s="19" t="n">
        <v>266179.05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무형자산</t>
        </is>
      </c>
      <c r="E12" s="18" t="n">
        <v>6286.68</v>
      </c>
      <c r="F12" s="37" t="n">
        <v>6286.68</v>
      </c>
      <c r="G12" s="18" t="n">
        <v>6278.78</v>
      </c>
      <c r="H12" s="18" t="n">
        <v>6270.88</v>
      </c>
      <c r="I12" s="18" t="n">
        <v>6262.99</v>
      </c>
      <c r="J12" s="18" t="n">
        <v>6255.09</v>
      </c>
      <c r="K12" s="37" t="n">
        <v>6255.09</v>
      </c>
      <c r="L12" s="18" t="n">
        <v>6294.89</v>
      </c>
      <c r="M12" s="18" t="n">
        <v>5291.22</v>
      </c>
      <c r="N12" s="18" t="n">
        <v>5356.35</v>
      </c>
      <c r="O12" s="18" t="n">
        <v>5392.37</v>
      </c>
      <c r="P12" s="37" t="n">
        <v>5392.37</v>
      </c>
      <c r="Q12" s="18" t="n">
        <v>5207.31</v>
      </c>
      <c r="R12" s="18" t="n">
        <v>5259.44</v>
      </c>
      <c r="S12" s="18" t="n">
        <v>5252.74</v>
      </c>
      <c r="T12" s="18" t="n">
        <v>5238.88</v>
      </c>
      <c r="U12" s="37" t="n">
        <v>5238.88</v>
      </c>
      <c r="V12" s="18" t="n">
        <v>5225.02</v>
      </c>
      <c r="W12" s="18" t="n">
        <v>5211.16</v>
      </c>
      <c r="X12" s="18" t="n">
        <v>5176.94</v>
      </c>
      <c r="Y12" s="18" t="n">
        <v>5125.47</v>
      </c>
      <c r="Z12" s="37" t="n">
        <v>5125.47</v>
      </c>
      <c r="AA12" s="18" t="n">
        <v>5124.12</v>
      </c>
      <c r="AB12" s="19" t="n">
        <v>5109.8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투자부동산</t>
        </is>
      </c>
      <c r="E13" s="18" t="n">
        <v>4457.39</v>
      </c>
      <c r="F13" s="37" t="n">
        <v>4457.39</v>
      </c>
      <c r="G13" s="18" t="n">
        <v>5196.9</v>
      </c>
      <c r="H13" s="18" t="n">
        <v>5189.5</v>
      </c>
      <c r="I13" s="18" t="n">
        <v>5182.1</v>
      </c>
      <c r="J13" s="18" t="n">
        <v>5040.37</v>
      </c>
      <c r="K13" s="37" t="n">
        <v>5040.37</v>
      </c>
      <c r="L13" s="18" t="n">
        <v>8261.9</v>
      </c>
      <c r="M13" s="18" t="n">
        <v>8251.85</v>
      </c>
      <c r="N13" s="18" t="n">
        <v>8241.809999999999</v>
      </c>
      <c r="O13" s="18" t="n">
        <v>8231.77</v>
      </c>
      <c r="P13" s="37" t="n">
        <v>8231.77</v>
      </c>
      <c r="Q13" s="18" t="n">
        <v>5005.86</v>
      </c>
      <c r="R13" s="18" t="n">
        <v>4998.96</v>
      </c>
      <c r="S13" s="18" t="n">
        <v>38883.16</v>
      </c>
      <c r="T13" s="18" t="n">
        <v>39841.93</v>
      </c>
      <c r="U13" s="37" t="n">
        <v>39841.93</v>
      </c>
      <c r="V13" s="18" t="n">
        <v>39821.77</v>
      </c>
      <c r="W13" s="18" t="n">
        <v>21995.46</v>
      </c>
      <c r="X13" s="18" t="n">
        <v>21877.13</v>
      </c>
      <c r="Y13" s="18" t="n">
        <v>22452.16</v>
      </c>
      <c r="Z13" s="37" t="n">
        <v>22452.16</v>
      </c>
      <c r="AA13" s="18" t="n">
        <v>22333.83</v>
      </c>
      <c r="AB13" s="19" t="n">
        <v>22215.49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종속기업및관계기업투자</t>
        </is>
      </c>
      <c r="E14" s="18" t="n">
        <v>49728.36</v>
      </c>
      <c r="F14" s="37" t="n">
        <v>49728.36</v>
      </c>
      <c r="G14" s="18" t="n">
        <v>49728.36</v>
      </c>
      <c r="H14" s="18" t="n">
        <v>49728.36</v>
      </c>
      <c r="I14" s="18" t="n">
        <v>59955.64</v>
      </c>
      <c r="J14" s="18" t="n">
        <v>64958.85</v>
      </c>
      <c r="K14" s="37" t="n">
        <v>64958.85</v>
      </c>
      <c r="L14" s="18" t="n">
        <v>64958.85</v>
      </c>
      <c r="M14" s="18" t="n">
        <v>64958.85</v>
      </c>
      <c r="N14" s="18" t="n">
        <v>79987.37</v>
      </c>
      <c r="O14" s="18" t="n">
        <v>79991.03</v>
      </c>
      <c r="P14" s="37" t="n">
        <v>79991.03</v>
      </c>
      <c r="Q14" s="18" t="n">
        <v>85694.32000000001</v>
      </c>
      <c r="R14" s="18" t="n">
        <v>84699.47</v>
      </c>
      <c r="S14" s="18" t="n">
        <v>84699.47</v>
      </c>
      <c r="T14" s="18" t="n">
        <v>84699.47</v>
      </c>
      <c r="U14" s="37" t="n">
        <v>84699.47</v>
      </c>
      <c r="V14" s="18" t="n">
        <v>87978.14</v>
      </c>
      <c r="W14" s="18" t="n">
        <v>87978.14</v>
      </c>
      <c r="X14" s="18" t="n">
        <v>87978.14</v>
      </c>
      <c r="Y14" s="18" t="n">
        <v>97976.33</v>
      </c>
      <c r="Z14" s="37" t="n">
        <v>97976.33</v>
      </c>
      <c r="AA14" s="18" t="n">
        <v>98476.33</v>
      </c>
      <c r="AB14" s="19" t="n">
        <v>98476.33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투자자산</t>
        </is>
      </c>
      <c r="E15" s="18" t="n">
        <v>57841.34</v>
      </c>
      <c r="F15" s="37" t="n">
        <v>57841.34</v>
      </c>
      <c r="G15" s="18" t="n">
        <v>58566.77</v>
      </c>
      <c r="H15" s="18" t="n">
        <v>57365.29</v>
      </c>
      <c r="I15" s="18" t="n">
        <v>81950.28</v>
      </c>
      <c r="J15" s="18" t="n">
        <v>87327.19</v>
      </c>
      <c r="K15" s="37" t="n">
        <v>87327.19</v>
      </c>
      <c r="L15" s="18" t="n">
        <v>87607.64999999999</v>
      </c>
      <c r="M15" s="18" t="n">
        <v>87747.11</v>
      </c>
      <c r="N15" s="18" t="n">
        <v>97531.61</v>
      </c>
      <c r="O15" s="18" t="n">
        <v>98980.50999999999</v>
      </c>
      <c r="P15" s="37" t="n">
        <v>98980.50999999999</v>
      </c>
      <c r="Q15" s="18" t="n">
        <v>104199.5</v>
      </c>
      <c r="R15" s="18" t="n">
        <v>103019.28</v>
      </c>
      <c r="S15" s="18" t="n">
        <v>103214.28</v>
      </c>
      <c r="T15" s="18" t="n">
        <v>92633.31</v>
      </c>
      <c r="U15" s="37" t="n">
        <v>92633.31</v>
      </c>
      <c r="V15" s="18" t="n">
        <v>96046.91</v>
      </c>
      <c r="W15" s="18" t="n">
        <v>96587.83</v>
      </c>
      <c r="X15" s="18" t="n">
        <v>98967.00999999999</v>
      </c>
      <c r="Y15" s="18" t="n">
        <v>97976.33</v>
      </c>
      <c r="Z15" s="37" t="n">
        <v>97976.33</v>
      </c>
      <c r="AA15" s="18" t="n">
        <v>118213.02</v>
      </c>
      <c r="AB15" s="19" t="n">
        <v>117733.89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장기금융자산</t>
        </is>
      </c>
      <c r="E16" s="18" t="n">
        <v>8112.98</v>
      </c>
      <c r="F16" s="37" t="n">
        <v>8112.98</v>
      </c>
      <c r="G16" s="18" t="n">
        <v>8838.41</v>
      </c>
      <c r="H16" s="18" t="n">
        <v>7636.93</v>
      </c>
      <c r="I16" s="18" t="n">
        <v>21994.64</v>
      </c>
      <c r="J16" s="18" t="n">
        <v>22368.34</v>
      </c>
      <c r="K16" s="37" t="n">
        <v>22368.34</v>
      </c>
      <c r="L16" s="18" t="n">
        <v>22648.8</v>
      </c>
      <c r="M16" s="18" t="n">
        <v>22788.26</v>
      </c>
      <c r="N16" s="18" t="n">
        <v>17544.24</v>
      </c>
      <c r="O16" s="18" t="n">
        <v>18989.48</v>
      </c>
      <c r="P16" s="37" t="n">
        <v>18989.48</v>
      </c>
      <c r="Q16" s="18" t="n">
        <v>18505.18</v>
      </c>
      <c r="R16" s="18" t="n">
        <v>18319.81</v>
      </c>
      <c r="S16" s="18" t="n">
        <v>18514.81</v>
      </c>
      <c r="T16" s="18" t="n">
        <v>7933.84</v>
      </c>
      <c r="U16" s="37" t="n">
        <v>7933.84</v>
      </c>
      <c r="V16" s="18" t="n">
        <v>8068.77</v>
      </c>
      <c r="W16" s="18" t="n">
        <v>8609.690000000001</v>
      </c>
      <c r="X16" s="18" t="n">
        <v>10988.87</v>
      </c>
      <c r="Z16" s="9" t="n"/>
      <c r="AA16" s="18" t="n">
        <v>19736.69</v>
      </c>
      <c r="AB16" s="19" t="n">
        <v>19257.56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장기매출채권및기타채권</t>
        </is>
      </c>
      <c r="E17" s="18" t="n">
        <v>18420.87</v>
      </c>
      <c r="F17" s="37" t="n">
        <v>18420.87</v>
      </c>
      <c r="J17" s="18" t="n">
        <v>12590.51</v>
      </c>
      <c r="K17" s="37" t="n">
        <v>12590.51</v>
      </c>
      <c r="N17" s="18" t="n">
        <v>11023.46</v>
      </c>
      <c r="O17" s="18" t="n">
        <v>9061.459999999999</v>
      </c>
      <c r="P17" s="37" t="n">
        <v>9061.459999999999</v>
      </c>
      <c r="Q17" s="18" t="n">
        <v>8896.459999999999</v>
      </c>
      <c r="R17" s="18" t="n">
        <v>9111.459999999999</v>
      </c>
      <c r="S17" s="18" t="n">
        <v>11571.68</v>
      </c>
      <c r="T17" s="18" t="n">
        <v>7930.14</v>
      </c>
      <c r="U17" s="37" t="n">
        <v>7930.14</v>
      </c>
      <c r="V17" s="18" t="n">
        <v>10933.92</v>
      </c>
      <c r="W17" s="18" t="n">
        <v>11160.92</v>
      </c>
      <c r="Y17" s="18" t="n">
        <v>12557.58</v>
      </c>
      <c r="Z17" s="37" t="n">
        <v>12557.58</v>
      </c>
      <c r="AB17" s="5" t="n"/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자산총계</t>
        </is>
      </c>
      <c r="E18" s="18" t="n">
        <v>585743.67</v>
      </c>
      <c r="F18" s="37" t="n">
        <v>585743.67</v>
      </c>
      <c r="G18" s="18" t="n">
        <v>604762.97</v>
      </c>
      <c r="H18" s="18" t="n">
        <v>616212.41</v>
      </c>
      <c r="I18" s="18" t="n">
        <v>642298.72</v>
      </c>
      <c r="J18" s="18" t="n">
        <v>650813.3199999999</v>
      </c>
      <c r="K18" s="37" t="n">
        <v>650813.3199999999</v>
      </c>
      <c r="L18" s="18" t="n">
        <v>673225.14</v>
      </c>
      <c r="M18" s="18" t="n">
        <v>673567.4</v>
      </c>
      <c r="N18" s="18" t="n">
        <v>681285.17</v>
      </c>
      <c r="O18" s="18" t="n">
        <v>667910.9</v>
      </c>
      <c r="P18" s="37" t="n">
        <v>667910.9</v>
      </c>
      <c r="Q18" s="18" t="n">
        <v>662588.12</v>
      </c>
      <c r="R18" s="18" t="n">
        <v>659710.17</v>
      </c>
      <c r="S18" s="18" t="n">
        <v>654339.55</v>
      </c>
      <c r="T18" s="18" t="n">
        <v>634160.67</v>
      </c>
      <c r="U18" s="37" t="n">
        <v>634160.67</v>
      </c>
      <c r="V18" s="18" t="n">
        <v>644560.14</v>
      </c>
      <c r="W18" s="18" t="n">
        <v>651209.76</v>
      </c>
      <c r="X18" s="18" t="n">
        <v>644038.27</v>
      </c>
      <c r="Y18" s="18" t="n">
        <v>624424.39</v>
      </c>
      <c r="Z18" s="37" t="n">
        <v>624424.39</v>
      </c>
      <c r="AA18" s="18" t="n">
        <v>637032.77</v>
      </c>
      <c r="AB18" s="19" t="n">
        <v>657051.08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유동부채</t>
        </is>
      </c>
      <c r="E19" s="18" t="n">
        <v>251120.2</v>
      </c>
      <c r="F19" s="37" t="n">
        <v>251120.2</v>
      </c>
      <c r="G19" s="18" t="n">
        <v>250479.75</v>
      </c>
      <c r="H19" s="18" t="n">
        <v>273211.41</v>
      </c>
      <c r="I19" s="18" t="n">
        <v>256792.41</v>
      </c>
      <c r="J19" s="18" t="n">
        <v>272536.84</v>
      </c>
      <c r="K19" s="37" t="n">
        <v>272536.84</v>
      </c>
      <c r="L19" s="18" t="n">
        <v>288907.37</v>
      </c>
      <c r="M19" s="18" t="n">
        <v>280743.04</v>
      </c>
      <c r="N19" s="18" t="n">
        <v>278123.45</v>
      </c>
      <c r="O19" s="18" t="n">
        <v>270344.62</v>
      </c>
      <c r="P19" s="37" t="n">
        <v>270344.62</v>
      </c>
      <c r="Q19" s="18" t="n">
        <v>289148.2</v>
      </c>
      <c r="R19" s="18" t="n">
        <v>255963.78</v>
      </c>
      <c r="S19" s="18" t="n">
        <v>259920</v>
      </c>
      <c r="T19" s="18" t="n">
        <v>241410.79</v>
      </c>
      <c r="U19" s="37" t="n">
        <v>241410.79</v>
      </c>
      <c r="V19" s="18" t="n">
        <v>237169.31</v>
      </c>
      <c r="W19" s="18" t="n">
        <v>265352.67</v>
      </c>
      <c r="X19" s="18" t="n">
        <v>231448.49</v>
      </c>
      <c r="Y19" s="18" t="n">
        <v>225633.33</v>
      </c>
      <c r="Z19" s="37" t="n">
        <v>225633.33</v>
      </c>
      <c r="AA19" s="18" t="n">
        <v>228237.1</v>
      </c>
      <c r="AB19" s="19" t="n">
        <v>238542.16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매입채무및기타채무</t>
        </is>
      </c>
      <c r="E20" s="18" t="n">
        <v>45755.8</v>
      </c>
      <c r="F20" s="37" t="n">
        <v>45755.8</v>
      </c>
      <c r="G20" s="18" t="n">
        <v>46994.27</v>
      </c>
      <c r="H20" s="18" t="n">
        <v>43989.62</v>
      </c>
      <c r="I20" s="18" t="n">
        <v>42192.48</v>
      </c>
      <c r="J20" s="18" t="n">
        <v>48879.89</v>
      </c>
      <c r="K20" s="37" t="n">
        <v>48879.89</v>
      </c>
      <c r="L20" s="18" t="n">
        <v>48014.59</v>
      </c>
      <c r="M20" s="18" t="n">
        <v>51967.66</v>
      </c>
      <c r="N20" s="18" t="n">
        <v>43883.99</v>
      </c>
      <c r="O20" s="18" t="n">
        <v>49255.25</v>
      </c>
      <c r="P20" s="37" t="n">
        <v>49255.25</v>
      </c>
      <c r="Q20" s="18" t="n">
        <v>43473.81</v>
      </c>
      <c r="R20" s="18" t="n">
        <v>37727.75</v>
      </c>
      <c r="S20" s="18" t="n">
        <v>34473.1</v>
      </c>
      <c r="T20" s="18" t="n">
        <v>36936.36</v>
      </c>
      <c r="U20" s="37" t="n">
        <v>36936.36</v>
      </c>
      <c r="V20" s="18" t="n">
        <v>40598.54</v>
      </c>
      <c r="W20" s="18" t="n">
        <v>38631.93</v>
      </c>
      <c r="X20" s="18" t="n">
        <v>36595.06</v>
      </c>
      <c r="Y20" s="18" t="n">
        <v>35328.19</v>
      </c>
      <c r="Z20" s="37" t="n">
        <v>35328.19</v>
      </c>
      <c r="AA20" s="18" t="n">
        <v>40135.9</v>
      </c>
      <c r="AB20" s="19" t="n">
        <v>39054.88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단기차입금</t>
        </is>
      </c>
      <c r="E21" s="18" t="n">
        <v>186541.72</v>
      </c>
      <c r="F21" s="37" t="n">
        <v>186541.72</v>
      </c>
      <c r="G21" s="18" t="n">
        <v>183406.9</v>
      </c>
      <c r="H21" s="18" t="n">
        <v>209688.93</v>
      </c>
      <c r="I21" s="18" t="n">
        <v>195582.02</v>
      </c>
      <c r="J21" s="18" t="n">
        <v>201942.54</v>
      </c>
      <c r="K21" s="37" t="n">
        <v>201942.54</v>
      </c>
      <c r="L21" s="18" t="n">
        <v>219652.69</v>
      </c>
      <c r="M21" s="18" t="n">
        <v>202627.24</v>
      </c>
      <c r="N21" s="18" t="n">
        <v>201585.73</v>
      </c>
      <c r="O21" s="18" t="n">
        <v>197800.36</v>
      </c>
      <c r="P21" s="37" t="n">
        <v>197800.36</v>
      </c>
      <c r="Q21" s="18" t="n">
        <v>224297.37</v>
      </c>
      <c r="R21" s="18" t="n">
        <v>196802.4</v>
      </c>
      <c r="S21" s="18" t="n">
        <v>210373.39</v>
      </c>
      <c r="T21" s="18" t="n">
        <v>193318.2</v>
      </c>
      <c r="U21" s="37" t="n">
        <v>193318.2</v>
      </c>
      <c r="V21" s="18" t="n">
        <v>183555.52</v>
      </c>
      <c r="W21" s="18" t="n">
        <v>201257.65</v>
      </c>
      <c r="X21" s="18" t="n">
        <v>164524.23</v>
      </c>
      <c r="Y21" s="18" t="n">
        <v>166598.57</v>
      </c>
      <c r="Z21" s="37" t="n">
        <v>166598.57</v>
      </c>
      <c r="AA21" s="18" t="n">
        <v>166093.77</v>
      </c>
      <c r="AB21" s="19" t="n">
        <v>178567.68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단기금융부채(face)</t>
        </is>
      </c>
      <c r="E22" s="18" t="n">
        <v>186541.72</v>
      </c>
      <c r="F22" s="37" t="n">
        <v>186541.72</v>
      </c>
      <c r="G22" s="18" t="n">
        <v>183406.9</v>
      </c>
      <c r="H22" s="18" t="n">
        <v>209688.93</v>
      </c>
      <c r="I22" s="18" t="n">
        <v>195582.02</v>
      </c>
      <c r="J22" s="18" t="n">
        <v>201942.54</v>
      </c>
      <c r="K22" s="37" t="n">
        <v>201942.54</v>
      </c>
      <c r="L22" s="18" t="n">
        <v>219652.69</v>
      </c>
      <c r="M22" s="18" t="n">
        <v>202627.24</v>
      </c>
      <c r="N22" s="18" t="n">
        <v>201585.73</v>
      </c>
      <c r="O22" s="18" t="n">
        <v>197800.36</v>
      </c>
      <c r="P22" s="37" t="n">
        <v>197800.36</v>
      </c>
      <c r="Q22" s="18" t="n">
        <v>224297.37</v>
      </c>
      <c r="R22" s="18" t="n">
        <v>196802.4</v>
      </c>
      <c r="S22" s="18" t="n">
        <v>210373.39</v>
      </c>
      <c r="T22" s="18" t="n">
        <v>193318.2</v>
      </c>
      <c r="U22" s="37" t="n">
        <v>193318.2</v>
      </c>
      <c r="V22" s="18" t="n">
        <v>183555.52</v>
      </c>
      <c r="W22" s="18" t="n">
        <v>201257.65</v>
      </c>
      <c r="X22" s="18" t="n">
        <v>164524.23</v>
      </c>
      <c r="Y22" s="18" t="n">
        <v>166598.57</v>
      </c>
      <c r="Z22" s="37" t="n">
        <v>166598.57</v>
      </c>
      <c r="AA22" s="18" t="n">
        <v>166093.77</v>
      </c>
      <c r="AB22" s="19" t="n">
        <v>178567.68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기타유동부채</t>
        </is>
      </c>
      <c r="E23" s="18" t="n">
        <v>14228.54</v>
      </c>
      <c r="F23" s="37" t="n">
        <v>14228.54</v>
      </c>
      <c r="G23" s="18" t="n">
        <v>13490.4</v>
      </c>
      <c r="H23" s="18" t="n">
        <v>13096.15</v>
      </c>
      <c r="I23" s="18" t="n">
        <v>11333.51</v>
      </c>
      <c r="J23" s="18" t="n">
        <v>12340.31</v>
      </c>
      <c r="K23" s="37" t="n">
        <v>12340.31</v>
      </c>
      <c r="L23" s="18" t="n">
        <v>14492.16</v>
      </c>
      <c r="M23" s="18" t="n">
        <v>21400.4</v>
      </c>
      <c r="N23" s="18" t="n">
        <v>26297.08</v>
      </c>
      <c r="O23" s="18" t="n">
        <v>19350.99</v>
      </c>
      <c r="P23" s="37" t="n">
        <v>19350.99</v>
      </c>
      <c r="Q23" s="18" t="n">
        <v>17136.23</v>
      </c>
      <c r="R23" s="18" t="n">
        <v>19508.88</v>
      </c>
      <c r="S23" s="18" t="n">
        <v>14056.02</v>
      </c>
      <c r="T23" s="18" t="n">
        <v>10250.68</v>
      </c>
      <c r="U23" s="37" t="n">
        <v>10250.68</v>
      </c>
      <c r="V23" s="18" t="n">
        <v>12080.39</v>
      </c>
      <c r="W23" s="18" t="n">
        <v>24246.83</v>
      </c>
      <c r="X23" s="18" t="n">
        <v>29308.22</v>
      </c>
      <c r="Y23" s="18" t="n">
        <v>22908.39</v>
      </c>
      <c r="Z23" s="37" t="n">
        <v>22908.39</v>
      </c>
      <c r="AA23" s="18" t="n">
        <v>21120.19</v>
      </c>
      <c r="AB23" s="19" t="n">
        <v>19826.69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당기법인세부채(미지급법인세)</t>
        </is>
      </c>
      <c r="E24" s="18" t="n">
        <v>3605.79</v>
      </c>
      <c r="F24" s="37" t="n">
        <v>3605.79</v>
      </c>
      <c r="G24" s="18" t="n">
        <v>5456.55</v>
      </c>
      <c r="H24" s="18" t="n">
        <v>5295.69</v>
      </c>
      <c r="I24" s="18" t="n">
        <v>6509.69</v>
      </c>
      <c r="J24" s="18" t="n">
        <v>8317.870000000001</v>
      </c>
      <c r="K24" s="37" t="n">
        <v>8317.870000000001</v>
      </c>
      <c r="L24" s="18" t="n">
        <v>5565.28</v>
      </c>
      <c r="M24" s="18" t="n">
        <v>3630.1</v>
      </c>
      <c r="N24" s="18" t="n">
        <v>5240.05</v>
      </c>
      <c r="O24" s="18" t="n">
        <v>2866.99</v>
      </c>
      <c r="P24" s="37" t="n">
        <v>2866.99</v>
      </c>
      <c r="Q24" s="18" t="n">
        <v>3029.23</v>
      </c>
      <c r="R24" s="18" t="n">
        <v>775.16</v>
      </c>
      <c r="T24" s="18" t="n">
        <v>0</v>
      </c>
      <c r="U24" s="37" t="n">
        <v>0</v>
      </c>
      <c r="Y24" s="18" t="n">
        <v>0</v>
      </c>
      <c r="Z24" s="37" t="n">
        <v>0</v>
      </c>
      <c r="AB24" s="5" t="n"/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유동리스부채</t>
        </is>
      </c>
      <c r="E25" s="18" t="n">
        <v>988.35</v>
      </c>
      <c r="F25" s="37" t="n">
        <v>988.35</v>
      </c>
      <c r="G25" s="18" t="n">
        <v>1131.63</v>
      </c>
      <c r="H25" s="18" t="n">
        <v>1141.03</v>
      </c>
      <c r="I25" s="18" t="n">
        <v>1174.71</v>
      </c>
      <c r="J25" s="18" t="n">
        <v>1056.23</v>
      </c>
      <c r="K25" s="37" t="n">
        <v>1056.23</v>
      </c>
      <c r="L25" s="18" t="n">
        <v>1182.66</v>
      </c>
      <c r="M25" s="18" t="n">
        <v>1117.63</v>
      </c>
      <c r="N25" s="18" t="n">
        <v>1116.6</v>
      </c>
      <c r="O25" s="18" t="n">
        <v>1071.03</v>
      </c>
      <c r="P25" s="37" t="n">
        <v>1071.03</v>
      </c>
      <c r="Q25" s="18" t="n">
        <v>1211.56</v>
      </c>
      <c r="R25" s="18" t="n">
        <v>1149.59</v>
      </c>
      <c r="S25" s="18" t="n">
        <v>1017.49</v>
      </c>
      <c r="T25" s="18" t="n">
        <v>905.54</v>
      </c>
      <c r="U25" s="37" t="n">
        <v>905.54</v>
      </c>
      <c r="V25" s="18" t="n">
        <v>934.85</v>
      </c>
      <c r="W25" s="18" t="n">
        <v>1216.26</v>
      </c>
      <c r="X25" s="18" t="n">
        <v>1020.99</v>
      </c>
      <c r="Y25" s="18" t="n">
        <v>798.17</v>
      </c>
      <c r="Z25" s="37" t="n">
        <v>798.17</v>
      </c>
      <c r="AA25" s="18" t="n">
        <v>887.24</v>
      </c>
      <c r="AB25" s="19" t="n">
        <v>1092.91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리스부채</t>
        </is>
      </c>
      <c r="E26" s="18" t="n">
        <v>6639.93</v>
      </c>
      <c r="F26" s="37" t="n">
        <v>6639.93</v>
      </c>
      <c r="G26" s="18" t="n">
        <v>7421.46</v>
      </c>
      <c r="H26" s="18" t="n">
        <v>8726.639999999999</v>
      </c>
      <c r="I26" s="18" t="n">
        <v>8835.65</v>
      </c>
      <c r="J26" s="18" t="n">
        <v>8560.65</v>
      </c>
      <c r="K26" s="37" t="n">
        <v>8560.65</v>
      </c>
      <c r="L26" s="18" t="n">
        <v>8548.42</v>
      </c>
      <c r="M26" s="18" t="n">
        <v>8241.09</v>
      </c>
      <c r="N26" s="18" t="n">
        <v>8252.530000000001</v>
      </c>
      <c r="O26" s="18" t="n">
        <v>7959</v>
      </c>
      <c r="P26" s="37" t="n">
        <v>7959</v>
      </c>
      <c r="Q26" s="18" t="n">
        <v>7810.63</v>
      </c>
      <c r="R26" s="18" t="n">
        <v>6762.82</v>
      </c>
      <c r="S26" s="18" t="n">
        <v>6483.86</v>
      </c>
      <c r="T26" s="18" t="n">
        <v>6244.93</v>
      </c>
      <c r="U26" s="37" t="n">
        <v>6244.93</v>
      </c>
      <c r="V26" s="18" t="n">
        <v>6098.61</v>
      </c>
      <c r="W26" s="18" t="n">
        <v>6077.98</v>
      </c>
      <c r="X26" s="18" t="n">
        <v>5739.46</v>
      </c>
      <c r="Y26" s="18" t="n">
        <v>5389.7</v>
      </c>
      <c r="Z26" s="37" t="n">
        <v>5389.7</v>
      </c>
      <c r="AA26" s="18" t="n">
        <v>5353.17</v>
      </c>
      <c r="AB26" s="19" t="n">
        <v>5441.83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단기금융부채</t>
        </is>
      </c>
      <c r="E27" s="18" t="n">
        <v>988.35</v>
      </c>
      <c r="F27" s="37" t="n">
        <v>988.35</v>
      </c>
      <c r="G27" s="18" t="n">
        <v>1131.63</v>
      </c>
      <c r="H27" s="18" t="n">
        <v>1141.03</v>
      </c>
      <c r="I27" s="18" t="n">
        <v>1174.71</v>
      </c>
      <c r="J27" s="18" t="n">
        <v>1056.23</v>
      </c>
      <c r="K27" s="37" t="n">
        <v>1056.23</v>
      </c>
      <c r="L27" s="18" t="n">
        <v>1182.66</v>
      </c>
      <c r="M27" s="18" t="n">
        <v>1117.63</v>
      </c>
      <c r="N27" s="18" t="n">
        <v>1116.6</v>
      </c>
      <c r="O27" s="18" t="n">
        <v>1071.03</v>
      </c>
      <c r="P27" s="37" t="n">
        <v>1071.03</v>
      </c>
      <c r="Q27" s="18" t="n">
        <v>1211.56</v>
      </c>
      <c r="R27" s="18" t="n">
        <v>1149.59</v>
      </c>
      <c r="S27" s="18" t="n">
        <v>1017.49</v>
      </c>
      <c r="T27" s="18" t="n">
        <v>905.54</v>
      </c>
      <c r="U27" s="37" t="n">
        <v>905.54</v>
      </c>
      <c r="V27" s="18" t="n">
        <v>934.85</v>
      </c>
      <c r="W27" s="18" t="n">
        <v>1216.26</v>
      </c>
      <c r="X27" s="18" t="n">
        <v>1020.99</v>
      </c>
      <c r="Y27" s="18" t="n">
        <v>798.17</v>
      </c>
      <c r="Z27" s="37" t="n">
        <v>798.17</v>
      </c>
      <c r="AA27" s="18" t="n">
        <v>887.24</v>
      </c>
      <c r="AB27" s="19" t="n">
        <v>1092.91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비유동부채</t>
        </is>
      </c>
      <c r="E28" s="18" t="n">
        <v>52668.28</v>
      </c>
      <c r="F28" s="37" t="n">
        <v>52668.28</v>
      </c>
      <c r="G28" s="18" t="n">
        <v>63079.03</v>
      </c>
      <c r="H28" s="18" t="n">
        <v>44536.3</v>
      </c>
      <c r="I28" s="18" t="n">
        <v>75143.5</v>
      </c>
      <c r="J28" s="18" t="n">
        <v>71627.11</v>
      </c>
      <c r="K28" s="37" t="n">
        <v>71627.11</v>
      </c>
      <c r="L28" s="18" t="n">
        <v>75112.85000000001</v>
      </c>
      <c r="M28" s="18" t="n">
        <v>74744.61</v>
      </c>
      <c r="N28" s="18" t="n">
        <v>74470.47</v>
      </c>
      <c r="O28" s="18" t="n">
        <v>73357.35000000001</v>
      </c>
      <c r="P28" s="37" t="n">
        <v>73357.35000000001</v>
      </c>
      <c r="Q28" s="18" t="n">
        <v>50693.98</v>
      </c>
      <c r="R28" s="18" t="n">
        <v>79440.13</v>
      </c>
      <c r="S28" s="18" t="n">
        <v>78921.66</v>
      </c>
      <c r="T28" s="18" t="n">
        <v>80086.42</v>
      </c>
      <c r="U28" s="37" t="n">
        <v>80086.42</v>
      </c>
      <c r="V28" s="18" t="n">
        <v>99313.64</v>
      </c>
      <c r="W28" s="18" t="n">
        <v>88416.49000000001</v>
      </c>
      <c r="X28" s="18" t="n">
        <v>122692.89</v>
      </c>
      <c r="Y28" s="18" t="n">
        <v>120262.57</v>
      </c>
      <c r="Z28" s="37" t="n">
        <v>120262.57</v>
      </c>
      <c r="AA28" s="18" t="n">
        <v>122082.92</v>
      </c>
      <c r="AB28" s="19" t="n">
        <v>131905.04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장기차입금</t>
        </is>
      </c>
      <c r="E29" s="18" t="n">
        <v>42842.13</v>
      </c>
      <c r="F29" s="37" t="n">
        <v>42842.13</v>
      </c>
      <c r="G29" s="18" t="n">
        <v>52879.93</v>
      </c>
      <c r="H29" s="18" t="n">
        <v>32854.42</v>
      </c>
      <c r="I29" s="18" t="n">
        <v>62827.74</v>
      </c>
      <c r="J29" s="18" t="n">
        <v>59952.73</v>
      </c>
      <c r="K29" s="37" t="n">
        <v>59952.73</v>
      </c>
      <c r="L29" s="18" t="n">
        <v>63902.86</v>
      </c>
      <c r="M29" s="18" t="n">
        <v>62960.6</v>
      </c>
      <c r="N29" s="18" t="n">
        <v>63915.87</v>
      </c>
      <c r="O29" s="18" t="n">
        <v>62970.37</v>
      </c>
      <c r="P29" s="37" t="n">
        <v>62970.37</v>
      </c>
      <c r="Q29" s="18" t="n">
        <v>39988.45</v>
      </c>
      <c r="R29" s="18" t="n">
        <v>69951.06</v>
      </c>
      <c r="S29" s="18" t="n">
        <v>69964.09</v>
      </c>
      <c r="T29" s="18" t="n">
        <v>69967.25999999999</v>
      </c>
      <c r="U29" s="37" t="n">
        <v>69967.25999999999</v>
      </c>
      <c r="V29" s="18" t="n">
        <v>89930.32000000001</v>
      </c>
      <c r="W29" s="18" t="n">
        <v>79936.69</v>
      </c>
      <c r="X29" s="18" t="n">
        <v>113943.2</v>
      </c>
      <c r="Y29" s="18" t="n">
        <v>113949.77</v>
      </c>
      <c r="Z29" s="37" t="n">
        <v>113949.77</v>
      </c>
      <c r="AA29" s="18" t="n">
        <v>113956.26</v>
      </c>
      <c r="AB29" s="19" t="n">
        <v>122975.88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장기금융부채(face)</t>
        </is>
      </c>
      <c r="E30" s="18" t="n">
        <v>877.63</v>
      </c>
      <c r="F30" s="37" t="n">
        <v>877.63</v>
      </c>
      <c r="G30" s="18" t="n">
        <v>953.64</v>
      </c>
      <c r="H30" s="18" t="n">
        <v>901.4299999999999</v>
      </c>
      <c r="I30" s="18" t="n">
        <v>868.26</v>
      </c>
      <c r="K30" s="9" t="n"/>
      <c r="L30" s="18" t="n">
        <v>948.26</v>
      </c>
      <c r="N30" s="18" t="n">
        <v>949.26</v>
      </c>
      <c r="P30" s="9" t="n"/>
      <c r="U30" s="9" t="n"/>
      <c r="Z30" s="9" t="n"/>
      <c r="AB30" s="5" t="n"/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이연법인세부채</t>
        </is>
      </c>
      <c r="E31" s="18" t="n">
        <v>3037.01</v>
      </c>
      <c r="F31" s="37" t="n">
        <v>3037.01</v>
      </c>
      <c r="G31" s="18" t="n">
        <v>2828.8</v>
      </c>
      <c r="H31" s="18" t="n">
        <v>3065.13</v>
      </c>
      <c r="I31" s="18" t="n">
        <v>3654.28</v>
      </c>
      <c r="J31" s="18" t="n">
        <v>2126.99</v>
      </c>
      <c r="K31" s="37" t="n">
        <v>2126.99</v>
      </c>
      <c r="L31" s="18" t="n">
        <v>2595.5</v>
      </c>
      <c r="M31" s="18" t="n">
        <v>2340.99</v>
      </c>
      <c r="N31" s="18" t="n">
        <v>2110.44</v>
      </c>
      <c r="O31" s="18" t="n">
        <v>1046.56</v>
      </c>
      <c r="P31" s="37" t="n">
        <v>1046.56</v>
      </c>
      <c r="Q31" s="18" t="n">
        <v>1544.24</v>
      </c>
      <c r="R31" s="18" t="n">
        <v>1278.97</v>
      </c>
      <c r="S31" s="18" t="n">
        <v>1352.07</v>
      </c>
      <c r="T31" s="18" t="n">
        <v>2692.49</v>
      </c>
      <c r="U31" s="37" t="n">
        <v>2692.49</v>
      </c>
      <c r="V31" s="18" t="n">
        <v>2100.8</v>
      </c>
      <c r="W31" s="18" t="n">
        <v>1520.69</v>
      </c>
      <c r="X31" s="18" t="n">
        <v>1996.33</v>
      </c>
      <c r="Z31" s="9" t="n"/>
      <c r="AA31" s="18" t="n">
        <v>1995.07</v>
      </c>
      <c r="AB31" s="19" t="n">
        <v>2976.09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장기충당부채</t>
        </is>
      </c>
      <c r="E32" s="18" t="n">
        <v>1137.56</v>
      </c>
      <c r="F32" s="37" t="n">
        <v>1137.56</v>
      </c>
      <c r="G32" s="18" t="n">
        <v>1080.48</v>
      </c>
      <c r="H32" s="18" t="n">
        <v>1031.15</v>
      </c>
      <c r="I32" s="18" t="n">
        <v>1000.55</v>
      </c>
      <c r="J32" s="18" t="n">
        <v>1174.71</v>
      </c>
      <c r="K32" s="37" t="n">
        <v>1174.71</v>
      </c>
      <c r="L32" s="18" t="n">
        <v>1248.72</v>
      </c>
      <c r="M32" s="18" t="n">
        <v>1330.03</v>
      </c>
      <c r="N32" s="18" t="n">
        <v>1308.23</v>
      </c>
      <c r="O32" s="18" t="n">
        <v>1494.19</v>
      </c>
      <c r="P32" s="37" t="n">
        <v>1494.19</v>
      </c>
      <c r="Q32" s="18" t="n">
        <v>1578.3</v>
      </c>
      <c r="R32" s="18" t="n">
        <v>1635.6</v>
      </c>
      <c r="S32" s="18" t="n">
        <v>1655.25</v>
      </c>
      <c r="T32" s="18" t="n">
        <v>1562.97</v>
      </c>
      <c r="U32" s="37" t="n">
        <v>1562.97</v>
      </c>
      <c r="V32" s="18" t="n">
        <v>1570.39</v>
      </c>
      <c r="W32" s="18" t="n">
        <v>1585.33</v>
      </c>
      <c r="X32" s="18" t="n">
        <v>1547.83</v>
      </c>
      <c r="Y32" s="18" t="n">
        <v>1278.33</v>
      </c>
      <c r="Z32" s="37" t="n">
        <v>1278.33</v>
      </c>
      <c r="AA32" s="18" t="n">
        <v>1222.71</v>
      </c>
      <c r="AB32" s="19" t="n">
        <v>1203.41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비유동리스부채</t>
        </is>
      </c>
      <c r="E33" s="18" t="n">
        <v>5651.58</v>
      </c>
      <c r="F33" s="37" t="n">
        <v>5651.58</v>
      </c>
      <c r="G33" s="18" t="n">
        <v>6289.83</v>
      </c>
      <c r="H33" s="18" t="n">
        <v>7585.61</v>
      </c>
      <c r="I33" s="18" t="n">
        <v>7660.94</v>
      </c>
      <c r="J33" s="18" t="n">
        <v>7504.42</v>
      </c>
      <c r="K33" s="37" t="n">
        <v>7504.42</v>
      </c>
      <c r="L33" s="18" t="n">
        <v>7365.76</v>
      </c>
      <c r="M33" s="18" t="n">
        <v>7123.46</v>
      </c>
      <c r="N33" s="18" t="n">
        <v>7135.93</v>
      </c>
      <c r="O33" s="18" t="n">
        <v>6887.97</v>
      </c>
      <c r="P33" s="37" t="n">
        <v>6887.97</v>
      </c>
      <c r="Q33" s="18" t="n">
        <v>6599.07</v>
      </c>
      <c r="R33" s="18" t="n">
        <v>5613.23</v>
      </c>
      <c r="S33" s="18" t="n">
        <v>5466.37</v>
      </c>
      <c r="T33" s="18" t="n">
        <v>5339.39</v>
      </c>
      <c r="U33" s="37" t="n">
        <v>5339.39</v>
      </c>
      <c r="V33" s="18" t="n">
        <v>5163.76</v>
      </c>
      <c r="W33" s="18" t="n">
        <v>4861.72</v>
      </c>
      <c r="X33" s="18" t="n">
        <v>4718.47</v>
      </c>
      <c r="Y33" s="18" t="n">
        <v>4591.53</v>
      </c>
      <c r="Z33" s="37" t="n">
        <v>4591.53</v>
      </c>
      <c r="AA33" s="18" t="n">
        <v>4465.93</v>
      </c>
      <c r="AB33" s="19" t="n">
        <v>4348.92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장기금융부채</t>
        </is>
      </c>
      <c r="E34" s="18" t="n">
        <v>5651.58</v>
      </c>
      <c r="F34" s="37" t="n">
        <v>5651.58</v>
      </c>
      <c r="G34" s="18" t="n">
        <v>6289.83</v>
      </c>
      <c r="H34" s="18" t="n">
        <v>7585.61</v>
      </c>
      <c r="I34" s="18" t="n">
        <v>7660.94</v>
      </c>
      <c r="J34" s="18" t="n">
        <v>7504.42</v>
      </c>
      <c r="K34" s="37" t="n">
        <v>7504.42</v>
      </c>
      <c r="L34" s="18" t="n">
        <v>7365.76</v>
      </c>
      <c r="M34" s="18" t="n">
        <v>7123.46</v>
      </c>
      <c r="N34" s="18" t="n">
        <v>7135.93</v>
      </c>
      <c r="O34" s="18" t="n">
        <v>6887.97</v>
      </c>
      <c r="P34" s="37" t="n">
        <v>6887.97</v>
      </c>
      <c r="Q34" s="18" t="n">
        <v>6599.07</v>
      </c>
      <c r="R34" s="18" t="n">
        <v>5613.23</v>
      </c>
      <c r="S34" s="18" t="n">
        <v>5466.37</v>
      </c>
      <c r="T34" s="18" t="n">
        <v>5339.39</v>
      </c>
      <c r="U34" s="37" t="n">
        <v>5339.39</v>
      </c>
      <c r="V34" s="18" t="n">
        <v>5163.76</v>
      </c>
      <c r="W34" s="18" t="n">
        <v>4861.72</v>
      </c>
      <c r="X34" s="18" t="n">
        <v>4718.47</v>
      </c>
      <c r="Y34" s="18" t="n">
        <v>4591.53</v>
      </c>
      <c r="Z34" s="37" t="n">
        <v>4591.53</v>
      </c>
      <c r="AA34" s="18" t="n">
        <v>4465.93</v>
      </c>
      <c r="AB34" s="19" t="n">
        <v>4348.92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부채총계</t>
        </is>
      </c>
      <c r="E35" s="18" t="n">
        <v>303788.48</v>
      </c>
      <c r="F35" s="37" t="n">
        <v>303788.48</v>
      </c>
      <c r="G35" s="18" t="n">
        <v>313558.78</v>
      </c>
      <c r="H35" s="18" t="n">
        <v>317747.71</v>
      </c>
      <c r="I35" s="18" t="n">
        <v>331935.91</v>
      </c>
      <c r="J35" s="18" t="n">
        <v>344163.96</v>
      </c>
      <c r="K35" s="37" t="n">
        <v>344163.96</v>
      </c>
      <c r="L35" s="18" t="n">
        <v>364020.22</v>
      </c>
      <c r="M35" s="18" t="n">
        <v>355487.65</v>
      </c>
      <c r="N35" s="18" t="n">
        <v>352593.92</v>
      </c>
      <c r="O35" s="18" t="n">
        <v>343701.96</v>
      </c>
      <c r="P35" s="37" t="n">
        <v>343701.96</v>
      </c>
      <c r="Q35" s="18" t="n">
        <v>339842.18</v>
      </c>
      <c r="R35" s="18" t="n">
        <v>335403.91</v>
      </c>
      <c r="S35" s="18" t="n">
        <v>338841.66</v>
      </c>
      <c r="T35" s="18" t="n">
        <v>321497.21</v>
      </c>
      <c r="U35" s="37" t="n">
        <v>321497.21</v>
      </c>
      <c r="V35" s="18" t="n">
        <v>336482.95</v>
      </c>
      <c r="W35" s="18" t="n">
        <v>353769.17</v>
      </c>
      <c r="X35" s="18" t="n">
        <v>354141.37</v>
      </c>
      <c r="Y35" s="18" t="n">
        <v>345895.89</v>
      </c>
      <c r="Z35" s="37" t="n">
        <v>345895.89</v>
      </c>
      <c r="AA35" s="18" t="n">
        <v>350320.01</v>
      </c>
      <c r="AB35" s="19" t="n">
        <v>370447.2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자본금</t>
        </is>
      </c>
      <c r="E36" s="18" t="n">
        <v>93020.37</v>
      </c>
      <c r="F36" s="37" t="n">
        <v>93020.37</v>
      </c>
      <c r="G36" s="18" t="n">
        <v>93020.37</v>
      </c>
      <c r="H36" s="18" t="n">
        <v>93020.37</v>
      </c>
      <c r="I36" s="18" t="n">
        <v>93020.37</v>
      </c>
      <c r="J36" s="18" t="n">
        <v>93020.37</v>
      </c>
      <c r="K36" s="37" t="n">
        <v>93020.37</v>
      </c>
      <c r="L36" s="18" t="n">
        <v>93020.37</v>
      </c>
      <c r="M36" s="18" t="n">
        <v>93020.37</v>
      </c>
      <c r="N36" s="18" t="n">
        <v>93020.37</v>
      </c>
      <c r="O36" s="18" t="n">
        <v>93020.37</v>
      </c>
      <c r="P36" s="37" t="n">
        <v>93020.37</v>
      </c>
      <c r="Q36" s="18" t="n">
        <v>93020.37</v>
      </c>
      <c r="R36" s="18" t="n">
        <v>93020.37</v>
      </c>
      <c r="S36" s="18" t="n">
        <v>93020.37</v>
      </c>
      <c r="T36" s="18" t="n">
        <v>93020.37</v>
      </c>
      <c r="U36" s="37" t="n">
        <v>93020.37</v>
      </c>
      <c r="V36" s="18" t="n">
        <v>93020.37</v>
      </c>
      <c r="W36" s="18" t="n">
        <v>93020.37</v>
      </c>
      <c r="X36" s="18" t="n">
        <v>93020.37</v>
      </c>
      <c r="Y36" s="18" t="n">
        <v>93020.37</v>
      </c>
      <c r="Z36" s="37" t="n">
        <v>93020.37</v>
      </c>
      <c r="AA36" s="18" t="n">
        <v>93020.37</v>
      </c>
      <c r="AB36" s="19" t="n">
        <v>93020.37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자본잉여금</t>
        </is>
      </c>
      <c r="E37" s="18" t="n">
        <v>49143.43</v>
      </c>
      <c r="F37" s="37" t="n">
        <v>49143.43</v>
      </c>
      <c r="G37" s="18" t="n">
        <v>49143.43</v>
      </c>
      <c r="H37" s="18" t="n">
        <v>49143.43</v>
      </c>
      <c r="I37" s="18" t="n">
        <v>49143.43</v>
      </c>
      <c r="J37" s="18" t="n">
        <v>49143.43</v>
      </c>
      <c r="K37" s="37" t="n">
        <v>49143.43</v>
      </c>
      <c r="L37" s="18" t="n">
        <v>49143.43</v>
      </c>
      <c r="M37" s="18" t="n">
        <v>49143.43</v>
      </c>
      <c r="N37" s="18" t="n">
        <v>49143.43</v>
      </c>
      <c r="O37" s="18" t="n">
        <v>49143.43</v>
      </c>
      <c r="P37" s="37" t="n">
        <v>49143.43</v>
      </c>
      <c r="Q37" s="18" t="n">
        <v>49143.43</v>
      </c>
      <c r="R37" s="18" t="n">
        <v>49143.43</v>
      </c>
      <c r="S37" s="18" t="n">
        <v>49143.43</v>
      </c>
      <c r="T37" s="18" t="n">
        <v>49143.43</v>
      </c>
      <c r="U37" s="37" t="n">
        <v>49143.43</v>
      </c>
      <c r="V37" s="18" t="n">
        <v>49143.43</v>
      </c>
      <c r="W37" s="18" t="n">
        <v>49143.43</v>
      </c>
      <c r="X37" s="18" t="n">
        <v>49143.43</v>
      </c>
      <c r="Y37" s="18" t="n">
        <v>59499.36</v>
      </c>
      <c r="Z37" s="37" t="n">
        <v>59499.36</v>
      </c>
      <c r="AA37" s="18" t="n">
        <v>59499.36</v>
      </c>
      <c r="AB37" s="19" t="n">
        <v>59499.36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기타자본</t>
        </is>
      </c>
      <c r="E38" s="18" t="n">
        <v>246.37</v>
      </c>
      <c r="F38" s="37" t="n">
        <v>246.37</v>
      </c>
      <c r="G38" s="18" t="n">
        <v>795.37</v>
      </c>
      <c r="H38" s="18" t="n">
        <v>57.9</v>
      </c>
      <c r="I38" s="18" t="n">
        <v>-94.38</v>
      </c>
      <c r="J38" s="18" t="n">
        <v>163.38</v>
      </c>
      <c r="K38" s="37" t="n">
        <v>163.38</v>
      </c>
      <c r="L38" s="18" t="n">
        <v>332.33</v>
      </c>
      <c r="M38" s="18" t="n">
        <v>390.46</v>
      </c>
      <c r="N38" s="18" t="n">
        <v>767.29</v>
      </c>
      <c r="O38" s="18" t="n">
        <v>846.62</v>
      </c>
      <c r="P38" s="37" t="n">
        <v>846.62</v>
      </c>
      <c r="Q38" s="18" t="n">
        <v>344.84</v>
      </c>
      <c r="R38" s="18" t="n">
        <v>132.31</v>
      </c>
      <c r="S38" s="18" t="n">
        <v>-31.92</v>
      </c>
      <c r="T38" s="18" t="n">
        <v>-526.34</v>
      </c>
      <c r="U38" s="37" t="n">
        <v>-526.34</v>
      </c>
      <c r="V38" s="18" t="n">
        <v>-471.5</v>
      </c>
      <c r="W38" s="18" t="n">
        <v>-164.58</v>
      </c>
      <c r="X38" s="18" t="n">
        <v>-180.87</v>
      </c>
      <c r="Y38" s="18" t="n">
        <v>243.01</v>
      </c>
      <c r="Z38" s="37" t="n">
        <v>243.01</v>
      </c>
      <c r="AA38" s="18" t="n">
        <v>-1050.22</v>
      </c>
      <c r="AB38" s="19" t="n">
        <v>-3166.14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이익잉여금</t>
        </is>
      </c>
      <c r="E39" s="18" t="n">
        <v>202646.16</v>
      </c>
      <c r="F39" s="37" t="n">
        <v>202646.16</v>
      </c>
      <c r="G39" s="18" t="n">
        <v>211346.15</v>
      </c>
      <c r="H39" s="18" t="n">
        <v>219344.14</v>
      </c>
      <c r="I39" s="18" t="n">
        <v>231394.54</v>
      </c>
      <c r="J39" s="18" t="n">
        <v>227423.32</v>
      </c>
      <c r="K39" s="37" t="n">
        <v>227423.32</v>
      </c>
      <c r="L39" s="18" t="n">
        <v>229809.92</v>
      </c>
      <c r="M39" s="18" t="n">
        <v>238626.62</v>
      </c>
      <c r="N39" s="18" t="n">
        <v>248861.3</v>
      </c>
      <c r="O39" s="18" t="n">
        <v>244299.66</v>
      </c>
      <c r="P39" s="37" t="n">
        <v>244299.66</v>
      </c>
      <c r="Q39" s="18" t="n">
        <v>243338.44</v>
      </c>
      <c r="R39" s="18" t="n">
        <v>245111.29</v>
      </c>
      <c r="S39" s="18" t="n">
        <v>236467.14</v>
      </c>
      <c r="T39" s="18" t="n">
        <v>234127.14</v>
      </c>
      <c r="U39" s="37" t="n">
        <v>234127.14</v>
      </c>
      <c r="V39" s="18" t="n">
        <v>229486.02</v>
      </c>
      <c r="W39" s="18" t="n">
        <v>218542.51</v>
      </c>
      <c r="X39" s="18" t="n">
        <v>211015.11</v>
      </c>
      <c r="Y39" s="18" t="n">
        <v>188866.9</v>
      </c>
      <c r="Z39" s="37" t="n">
        <v>188866.9</v>
      </c>
      <c r="AA39" s="18" t="n">
        <v>198344.38</v>
      </c>
      <c r="AB39" s="19" t="n">
        <v>200351.43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자본총계</t>
        </is>
      </c>
      <c r="E40" s="18" t="n">
        <v>281955.19</v>
      </c>
      <c r="F40" s="37" t="n">
        <v>281955.19</v>
      </c>
      <c r="G40" s="18" t="n">
        <v>291204.18</v>
      </c>
      <c r="H40" s="18" t="n">
        <v>298464.7</v>
      </c>
      <c r="I40" s="18" t="n">
        <v>310362.82</v>
      </c>
      <c r="J40" s="18" t="n">
        <v>306649.36</v>
      </c>
      <c r="K40" s="37" t="n">
        <v>306649.36</v>
      </c>
      <c r="L40" s="18" t="n">
        <v>309204.92</v>
      </c>
      <c r="M40" s="18" t="n">
        <v>318079.75</v>
      </c>
      <c r="N40" s="18" t="n">
        <v>328691.25</v>
      </c>
      <c r="O40" s="18" t="n">
        <v>324208.94</v>
      </c>
      <c r="P40" s="37" t="n">
        <v>324208.94</v>
      </c>
      <c r="Q40" s="18" t="n">
        <v>322745.94</v>
      </c>
      <c r="R40" s="18" t="n">
        <v>324306.26</v>
      </c>
      <c r="S40" s="18" t="n">
        <v>315497.89</v>
      </c>
      <c r="T40" s="18" t="n">
        <v>312663.46</v>
      </c>
      <c r="U40" s="37" t="n">
        <v>312663.46</v>
      </c>
      <c r="V40" s="18" t="n">
        <v>308077.19</v>
      </c>
      <c r="W40" s="18" t="n">
        <v>297440.59</v>
      </c>
      <c r="X40" s="18" t="n">
        <v>289896.9</v>
      </c>
      <c r="Y40" s="18" t="n">
        <v>278528.5</v>
      </c>
      <c r="Z40" s="37" t="n">
        <v>278528.5</v>
      </c>
      <c r="AA40" s="18" t="n">
        <v>286712.75</v>
      </c>
      <c r="AB40" s="19" t="n">
        <v>286603.88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부채와자본총계</t>
        </is>
      </c>
      <c r="E41" s="18" t="n">
        <v>585743.67</v>
      </c>
      <c r="F41" s="37" t="n">
        <v>585743.67</v>
      </c>
      <c r="G41" s="18" t="n">
        <v>604762.97</v>
      </c>
      <c r="H41" s="18" t="n">
        <v>616212.41</v>
      </c>
      <c r="I41" s="18" t="n">
        <v>642298.72</v>
      </c>
      <c r="J41" s="18" t="n">
        <v>650813.3199999999</v>
      </c>
      <c r="K41" s="37" t="n">
        <v>650813.3199999999</v>
      </c>
      <c r="L41" s="18" t="n">
        <v>673225.14</v>
      </c>
      <c r="M41" s="18" t="n">
        <v>673567.4</v>
      </c>
      <c r="N41" s="18" t="n">
        <v>681285.17</v>
      </c>
      <c r="O41" s="18" t="n">
        <v>667910.9</v>
      </c>
      <c r="P41" s="37" t="n">
        <v>667910.9</v>
      </c>
      <c r="Q41" s="18" t="n">
        <v>662588.12</v>
      </c>
      <c r="R41" s="18" t="n">
        <v>659710.17</v>
      </c>
      <c r="S41" s="18" t="n">
        <v>654339.55</v>
      </c>
      <c r="T41" s="18" t="n">
        <v>634160.67</v>
      </c>
      <c r="U41" s="37" t="n">
        <v>634160.67</v>
      </c>
      <c r="V41" s="18" t="n">
        <v>644560.14</v>
      </c>
      <c r="W41" s="18" t="n">
        <v>651209.76</v>
      </c>
      <c r="X41" s="18" t="n">
        <v>644038.27</v>
      </c>
      <c r="Y41" s="18" t="n">
        <v>624424.39</v>
      </c>
      <c r="Z41" s="37" t="n">
        <v>624424.39</v>
      </c>
      <c r="AA41" s="18" t="n">
        <v>637032.77</v>
      </c>
      <c r="AB41" s="19" t="n">
        <v>657051.08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지배주주지분</t>
        </is>
      </c>
      <c r="E42" s="18" t="n">
        <v>281955.19</v>
      </c>
      <c r="F42" s="37" t="n">
        <v>281955.19</v>
      </c>
      <c r="G42" s="18" t="n">
        <v>291204.18</v>
      </c>
      <c r="H42" s="18" t="n">
        <v>298464.7</v>
      </c>
      <c r="I42" s="18" t="n">
        <v>310362.82</v>
      </c>
      <c r="J42" s="18" t="n">
        <v>306649.36</v>
      </c>
      <c r="K42" s="37" t="n">
        <v>306649.36</v>
      </c>
      <c r="L42" s="18" t="n">
        <v>309204.92</v>
      </c>
      <c r="M42" s="18" t="n">
        <v>318079.75</v>
      </c>
      <c r="N42" s="18" t="n">
        <v>328691.25</v>
      </c>
      <c r="O42" s="18" t="n">
        <v>324208.94</v>
      </c>
      <c r="P42" s="37" t="n">
        <v>324208.94</v>
      </c>
      <c r="Q42" s="18" t="n">
        <v>322745.94</v>
      </c>
      <c r="R42" s="18" t="n">
        <v>324306.26</v>
      </c>
      <c r="S42" s="18" t="n">
        <v>315497.89</v>
      </c>
      <c r="T42" s="18" t="n">
        <v>312663.46</v>
      </c>
      <c r="U42" s="37" t="n">
        <v>312663.46</v>
      </c>
      <c r="V42" s="18" t="n">
        <v>308077.19</v>
      </c>
      <c r="W42" s="18" t="n">
        <v>297440.59</v>
      </c>
      <c r="X42" s="18" t="n">
        <v>289896.9</v>
      </c>
      <c r="Y42" s="18" t="n">
        <v>278528.5</v>
      </c>
      <c r="Z42" s="37" t="n">
        <v>278528.5</v>
      </c>
      <c r="AA42" s="18" t="n">
        <v>286712.75</v>
      </c>
      <c r="AB42" s="19" t="n">
        <v>286603.88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총차입금</t>
        </is>
      </c>
      <c r="E43" s="18" t="n">
        <v>229383.85</v>
      </c>
      <c r="F43" s="37" t="n">
        <v>229383.85</v>
      </c>
      <c r="G43" s="18" t="n">
        <v>236286.83</v>
      </c>
      <c r="H43" s="18" t="n">
        <v>242543.35</v>
      </c>
      <c r="I43" s="18" t="n">
        <v>258409.76</v>
      </c>
      <c r="J43" s="18" t="n">
        <v>261895.27</v>
      </c>
      <c r="K43" s="37" t="n">
        <v>261895.27</v>
      </c>
      <c r="L43" s="18" t="n">
        <v>283555.55</v>
      </c>
      <c r="M43" s="18" t="n">
        <v>265587.84</v>
      </c>
      <c r="N43" s="18" t="n">
        <v>265501.6</v>
      </c>
      <c r="O43" s="18" t="n">
        <v>260770.73</v>
      </c>
      <c r="P43" s="37" t="n">
        <v>260770.73</v>
      </c>
      <c r="Q43" s="18" t="n">
        <v>264285.82</v>
      </c>
      <c r="R43" s="18" t="n">
        <v>266753.46</v>
      </c>
      <c r="S43" s="18" t="n">
        <v>280337.48</v>
      </c>
      <c r="T43" s="18" t="n">
        <v>263285.46</v>
      </c>
      <c r="U43" s="37" t="n">
        <v>263285.46</v>
      </c>
      <c r="V43" s="18" t="n">
        <v>273485.84</v>
      </c>
      <c r="W43" s="18" t="n">
        <v>281194.34</v>
      </c>
      <c r="X43" s="18" t="n">
        <v>278467.43</v>
      </c>
      <c r="Y43" s="18" t="n">
        <v>280548.34</v>
      </c>
      <c r="Z43" s="37" t="n">
        <v>280548.34</v>
      </c>
      <c r="AA43" s="18" t="n">
        <v>280050.03</v>
      </c>
      <c r="AB43" s="19" t="n">
        <v>301543.56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순차입금</t>
        </is>
      </c>
      <c r="E44" s="18" t="n">
        <v>173172.52</v>
      </c>
      <c r="F44" s="37" t="n">
        <v>173172.52</v>
      </c>
      <c r="G44" s="18" t="n">
        <v>173218.61</v>
      </c>
      <c r="H44" s="18" t="n">
        <v>179986.32</v>
      </c>
      <c r="I44" s="18" t="n">
        <v>201485.61</v>
      </c>
      <c r="J44" s="18" t="n">
        <v>206412.87</v>
      </c>
      <c r="K44" s="37" t="n">
        <v>206412.87</v>
      </c>
      <c r="L44" s="18" t="n">
        <v>219494.66</v>
      </c>
      <c r="M44" s="18" t="n">
        <v>199709.65</v>
      </c>
      <c r="N44" s="18" t="n">
        <v>198184.34</v>
      </c>
      <c r="O44" s="18" t="n">
        <v>195656.66</v>
      </c>
      <c r="P44" s="37" t="n">
        <v>195656.66</v>
      </c>
      <c r="Q44" s="18" t="n">
        <v>203333.87</v>
      </c>
      <c r="R44" s="18" t="n">
        <v>231054.4</v>
      </c>
      <c r="S44" s="18" t="n">
        <v>237837.33</v>
      </c>
      <c r="T44" s="18" t="n">
        <v>229665.39</v>
      </c>
      <c r="U44" s="37" t="n">
        <v>229665.39</v>
      </c>
      <c r="V44" s="18" t="n">
        <v>211007.49</v>
      </c>
      <c r="W44" s="18" t="n">
        <v>222097.3</v>
      </c>
      <c r="X44" s="18" t="n">
        <v>220079.87</v>
      </c>
      <c r="Y44" s="18" t="n">
        <v>239612.03</v>
      </c>
      <c r="Z44" s="37" t="n">
        <v>239612.03</v>
      </c>
      <c r="AA44" s="18" t="n">
        <v>229154.31</v>
      </c>
      <c r="AB44" s="19" t="n">
        <v>256040.64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이자발생자산</t>
        </is>
      </c>
      <c r="E45" s="18" t="n">
        <v>64324.31</v>
      </c>
      <c r="F45" s="37" t="n">
        <v>64324.31</v>
      </c>
      <c r="G45" s="18" t="n">
        <v>71906.63</v>
      </c>
      <c r="H45" s="18" t="n">
        <v>70193.96000000001</v>
      </c>
      <c r="I45" s="18" t="n">
        <v>78918.78999999999</v>
      </c>
      <c r="J45" s="18" t="n">
        <v>77850.74000000001</v>
      </c>
      <c r="K45" s="37" t="n">
        <v>77850.74000000001</v>
      </c>
      <c r="L45" s="18" t="n">
        <v>86709.69</v>
      </c>
      <c r="M45" s="18" t="n">
        <v>88666.45</v>
      </c>
      <c r="N45" s="18" t="n">
        <v>84861.5</v>
      </c>
      <c r="O45" s="18" t="n">
        <v>84103.55</v>
      </c>
      <c r="P45" s="37" t="n">
        <v>84103.55</v>
      </c>
      <c r="Q45" s="18" t="n">
        <v>79457.13</v>
      </c>
      <c r="R45" s="18" t="n">
        <v>54018.87</v>
      </c>
      <c r="S45" s="18" t="n">
        <v>61014.96</v>
      </c>
      <c r="T45" s="18" t="n">
        <v>41553.91</v>
      </c>
      <c r="U45" s="37" t="n">
        <v>41553.91</v>
      </c>
      <c r="V45" s="18" t="n">
        <v>70547.12</v>
      </c>
      <c r="W45" s="18" t="n">
        <v>67706.73</v>
      </c>
      <c r="X45" s="18" t="n">
        <v>69376.42999999999</v>
      </c>
      <c r="Y45" s="18" t="n">
        <v>40936.31</v>
      </c>
      <c r="Z45" s="37" t="n">
        <v>40936.31</v>
      </c>
      <c r="AA45" s="18" t="n">
        <v>70632.41</v>
      </c>
      <c r="AB45" s="19" t="n">
        <v>64760.48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기타비유동부채</t>
        </is>
      </c>
      <c r="F46" s="9" t="n"/>
      <c r="J46" s="18" t="n">
        <v>868.26</v>
      </c>
      <c r="K46" s="37" t="n">
        <v>868.26</v>
      </c>
      <c r="O46" s="18" t="n">
        <v>958.26</v>
      </c>
      <c r="P46" s="37" t="n">
        <v>958.26</v>
      </c>
      <c r="Q46" s="18" t="n">
        <v>983.92</v>
      </c>
      <c r="R46" s="18" t="n">
        <v>961.28</v>
      </c>
      <c r="S46" s="18" t="n">
        <v>483.89</v>
      </c>
      <c r="T46" s="18" t="n">
        <v>524.3099999999999</v>
      </c>
      <c r="U46" s="37" t="n">
        <v>524.3099999999999</v>
      </c>
      <c r="V46" s="18" t="n">
        <v>548.37</v>
      </c>
      <c r="W46" s="18" t="n">
        <v>512.0700000000001</v>
      </c>
      <c r="X46" s="18" t="n">
        <v>487.07</v>
      </c>
      <c r="Y46" s="18" t="n">
        <v>442.95</v>
      </c>
      <c r="Z46" s="37" t="n">
        <v>442.95</v>
      </c>
      <c r="AA46" s="18" t="n">
        <v>442.95</v>
      </c>
      <c r="AB46" s="19" t="n">
        <v>400.73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기타비유동자산</t>
        </is>
      </c>
      <c r="F47" s="9" t="n"/>
      <c r="K47" s="9" t="n"/>
      <c r="M47" s="18" t="n">
        <v>736.61</v>
      </c>
      <c r="N47" s="18" t="n">
        <v>1332.53</v>
      </c>
      <c r="O47" s="18" t="n">
        <v>3456.88</v>
      </c>
      <c r="P47" s="37" t="n">
        <v>3456.88</v>
      </c>
      <c r="Q47" s="18" t="n">
        <v>2086.35</v>
      </c>
      <c r="R47" s="18" t="n">
        <v>1526.11</v>
      </c>
      <c r="S47" s="18" t="n">
        <v>1580.29</v>
      </c>
      <c r="T47" s="18" t="n">
        <v>4922.33</v>
      </c>
      <c r="U47" s="37" t="n">
        <v>4922.33</v>
      </c>
      <c r="V47" s="18" t="n">
        <v>3070.29</v>
      </c>
      <c r="W47" s="18" t="n">
        <v>1025.38</v>
      </c>
      <c r="X47" s="18" t="n">
        <v>1386.52</v>
      </c>
      <c r="Y47" s="18" t="n">
        <v>4569.26</v>
      </c>
      <c r="Z47" s="37" t="n">
        <v>4569.26</v>
      </c>
      <c r="AA47" s="18" t="n">
        <v>2872.35</v>
      </c>
      <c r="AB47" s="19" t="n">
        <v>4179.54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장기매입채무및기타채무</t>
        </is>
      </c>
      <c r="F48" s="9" t="n"/>
      <c r="K48" s="9" t="n"/>
      <c r="M48" s="18" t="n">
        <v>989.54</v>
      </c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매각예정비유동자산및처분자산</t>
        </is>
      </c>
      <c r="F49" s="9" t="n"/>
      <c r="K49" s="9" t="n"/>
      <c r="O49" s="18" t="n">
        <v>184.52</v>
      </c>
      <c r="P49" s="37" t="n">
        <v>184.52</v>
      </c>
      <c r="T49" s="18" t="n">
        <v>0</v>
      </c>
      <c r="U49" s="37" t="n">
        <v>0</v>
      </c>
      <c r="W49" s="18" t="n">
        <v>17729.08</v>
      </c>
      <c r="X49" s="18" t="n">
        <v>17729.08</v>
      </c>
      <c r="Y49" s="18" t="n">
        <v>17729.08</v>
      </c>
      <c r="Z49" s="37" t="n">
        <v>17729.08</v>
      </c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당기법인세자산(선급법인세)</t>
        </is>
      </c>
      <c r="F50" s="9" t="n"/>
      <c r="K50" s="9" t="n"/>
      <c r="P50" s="9" t="n"/>
      <c r="S50" s="18" t="n">
        <v>593.73</v>
      </c>
      <c r="T50" s="18" t="n">
        <v>1124.42</v>
      </c>
      <c r="U50" s="37" t="n">
        <v>1124.42</v>
      </c>
      <c r="V50" s="18" t="n">
        <v>147.58</v>
      </c>
      <c r="W50" s="18" t="n">
        <v>222.46</v>
      </c>
      <c r="X50" s="18" t="n">
        <v>299.35</v>
      </c>
      <c r="Y50" s="18" t="n">
        <v>355.57</v>
      </c>
      <c r="Z50" s="37" t="n">
        <v>355.57</v>
      </c>
      <c r="AA50" s="18" t="n">
        <v>481.7</v>
      </c>
      <c r="AB50" s="19" t="n">
        <v>188.39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매출액(수익)</t>
        </is>
      </c>
      <c r="E51" s="18" t="n">
        <v>71375.53999999999</v>
      </c>
      <c r="F51" s="9" t="n"/>
      <c r="G51" s="18" t="n">
        <v>94478.50999999999</v>
      </c>
      <c r="H51" s="18" t="n">
        <v>85677.78</v>
      </c>
      <c r="I51" s="18" t="n">
        <v>87208.91</v>
      </c>
      <c r="J51" s="18" t="n">
        <v>89482.39999999999</v>
      </c>
      <c r="K51" s="37" t="n">
        <v>356847.6</v>
      </c>
      <c r="L51" s="18" t="n">
        <v>93272.53999999999</v>
      </c>
      <c r="M51" s="18" t="n">
        <v>90851.52</v>
      </c>
      <c r="N51" s="18" t="n">
        <v>85283.41</v>
      </c>
      <c r="O51" s="18" t="n">
        <v>91926.00999999999</v>
      </c>
      <c r="P51" s="37" t="n">
        <v>361333.48</v>
      </c>
      <c r="Q51" s="18" t="n">
        <v>84154.61</v>
      </c>
      <c r="R51" s="18" t="n">
        <v>69208.47</v>
      </c>
      <c r="S51" s="18" t="n">
        <v>68390.24000000001</v>
      </c>
      <c r="T51" s="18" t="n">
        <v>72177.94</v>
      </c>
      <c r="U51" s="37" t="n">
        <v>293931.26</v>
      </c>
      <c r="V51" s="18" t="n">
        <v>76105.42999999999</v>
      </c>
      <c r="W51" s="18" t="n">
        <v>78756.57000000001</v>
      </c>
      <c r="X51" s="18" t="n">
        <v>72964.88</v>
      </c>
      <c r="Y51" s="18" t="n">
        <v>62285.75</v>
      </c>
      <c r="Z51" s="37" t="n">
        <v>290112.63</v>
      </c>
      <c r="AA51" s="18" t="n">
        <v>74561.94</v>
      </c>
      <c r="AB51" s="19" t="n">
        <v>80495.62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매출원가</t>
        </is>
      </c>
      <c r="E52" s="18" t="n">
        <v>58589.02</v>
      </c>
      <c r="F52" s="9" t="n"/>
      <c r="G52" s="18" t="n">
        <v>76061.05</v>
      </c>
      <c r="H52" s="18" t="n">
        <v>68602.09</v>
      </c>
      <c r="I52" s="18" t="n">
        <v>70090.73</v>
      </c>
      <c r="J52" s="18" t="n">
        <v>74524.64999999999</v>
      </c>
      <c r="K52" s="37" t="n">
        <v>289278.52</v>
      </c>
      <c r="L52" s="18" t="n">
        <v>74003.7</v>
      </c>
      <c r="M52" s="18" t="n">
        <v>67185.45</v>
      </c>
      <c r="N52" s="18" t="n">
        <v>63791.71</v>
      </c>
      <c r="O52" s="18" t="n">
        <v>74739.73</v>
      </c>
      <c r="P52" s="37" t="n">
        <v>279720.59</v>
      </c>
      <c r="Q52" s="18" t="n">
        <v>71051.96000000001</v>
      </c>
      <c r="R52" s="18" t="n">
        <v>62004.67</v>
      </c>
      <c r="S52" s="18" t="n">
        <v>61176.67</v>
      </c>
      <c r="T52" s="18" t="n">
        <v>67216.7</v>
      </c>
      <c r="U52" s="37" t="n">
        <v>261450</v>
      </c>
      <c r="V52" s="18" t="n">
        <v>66025.74000000001</v>
      </c>
      <c r="W52" s="18" t="n">
        <v>69334.57000000001</v>
      </c>
      <c r="X52" s="18" t="n">
        <v>65593.10000000001</v>
      </c>
      <c r="Y52" s="18" t="n">
        <v>60649.1</v>
      </c>
      <c r="Z52" s="37" t="n">
        <v>261602.51</v>
      </c>
      <c r="AA52" s="18" t="n">
        <v>59425.33</v>
      </c>
      <c r="AB52" s="19" t="n">
        <v>63454.21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매출총이익</t>
        </is>
      </c>
      <c r="E53" s="18" t="n">
        <v>12786.52</v>
      </c>
      <c r="F53" s="9" t="n"/>
      <c r="G53" s="18" t="n">
        <v>18417.46</v>
      </c>
      <c r="H53" s="18" t="n">
        <v>17075.69</v>
      </c>
      <c r="I53" s="18" t="n">
        <v>17118.18</v>
      </c>
      <c r="J53" s="18" t="n">
        <v>14957.76</v>
      </c>
      <c r="K53" s="37" t="n">
        <v>67569.09</v>
      </c>
      <c r="L53" s="18" t="n">
        <v>19268.84</v>
      </c>
      <c r="M53" s="18" t="n">
        <v>23666.08</v>
      </c>
      <c r="N53" s="18" t="n">
        <v>21491.7</v>
      </c>
      <c r="O53" s="18" t="n">
        <v>17186.27</v>
      </c>
      <c r="P53" s="37" t="n">
        <v>81612.89</v>
      </c>
      <c r="Q53" s="18" t="n">
        <v>13102.65</v>
      </c>
      <c r="R53" s="18" t="n">
        <v>7203.8</v>
      </c>
      <c r="S53" s="18" t="n">
        <v>7213.56</v>
      </c>
      <c r="T53" s="18" t="n">
        <v>4961.25</v>
      </c>
      <c r="U53" s="37" t="n">
        <v>32481.26</v>
      </c>
      <c r="V53" s="18" t="n">
        <v>10079.69</v>
      </c>
      <c r="W53" s="18" t="n">
        <v>9422.01</v>
      </c>
      <c r="X53" s="18" t="n">
        <v>7371.78</v>
      </c>
      <c r="Y53" s="18" t="n">
        <v>1636.65</v>
      </c>
      <c r="Z53" s="37" t="n">
        <v>28510.13</v>
      </c>
      <c r="AA53" s="18" t="n">
        <v>15136.61</v>
      </c>
      <c r="AB53" s="19" t="n">
        <v>17041.41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판관비</t>
        </is>
      </c>
      <c r="E54" s="18" t="n">
        <v>6491.68</v>
      </c>
      <c r="F54" s="9" t="n"/>
      <c r="G54" s="18" t="n">
        <v>5787.62</v>
      </c>
      <c r="H54" s="18" t="n">
        <v>8110.38</v>
      </c>
      <c r="I54" s="18" t="n">
        <v>11231.68</v>
      </c>
      <c r="J54" s="18" t="n">
        <v>12671.39</v>
      </c>
      <c r="K54" s="37" t="n">
        <v>37801.07</v>
      </c>
      <c r="L54" s="18" t="n">
        <v>10065.13</v>
      </c>
      <c r="M54" s="18" t="n">
        <v>9619.879999999999</v>
      </c>
      <c r="N54" s="18" t="n">
        <v>10541.62</v>
      </c>
      <c r="O54" s="18" t="n">
        <v>16534.21</v>
      </c>
      <c r="P54" s="37" t="n">
        <v>46760.84</v>
      </c>
      <c r="Q54" s="18" t="n">
        <v>9374.120000000001</v>
      </c>
      <c r="R54" s="18" t="n">
        <v>8958.780000000001</v>
      </c>
      <c r="S54" s="18" t="n">
        <v>11277.81</v>
      </c>
      <c r="T54" s="18" t="n">
        <v>7225.27</v>
      </c>
      <c r="U54" s="37" t="n">
        <v>36835.98</v>
      </c>
      <c r="V54" s="18" t="n">
        <v>11879.22</v>
      </c>
      <c r="W54" s="18" t="n">
        <v>13906.23</v>
      </c>
      <c r="X54" s="18" t="n">
        <v>15164.35</v>
      </c>
      <c r="Y54" s="18" t="n">
        <v>10465.79</v>
      </c>
      <c r="Z54" s="37" t="n">
        <v>51415.59</v>
      </c>
      <c r="AA54" s="18" t="n">
        <v>10363.15</v>
      </c>
      <c r="AB54" s="19" t="n">
        <v>12106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영업이익</t>
        </is>
      </c>
      <c r="E55" s="18" t="n">
        <v>6294.84</v>
      </c>
      <c r="F55" s="9" t="n"/>
      <c r="G55" s="18" t="n">
        <v>12629.84</v>
      </c>
      <c r="H55" s="18" t="n">
        <v>8965.309999999999</v>
      </c>
      <c r="I55" s="18" t="n">
        <v>5886.5</v>
      </c>
      <c r="J55" s="18" t="n">
        <v>2286.37</v>
      </c>
      <c r="K55" s="37" t="n">
        <v>29768.02</v>
      </c>
      <c r="L55" s="18" t="n">
        <v>9203.709999999999</v>
      </c>
      <c r="M55" s="18" t="n">
        <v>14046.2</v>
      </c>
      <c r="N55" s="18" t="n">
        <v>10950.08</v>
      </c>
      <c r="O55" s="18" t="n">
        <v>652.0599999999999</v>
      </c>
      <c r="P55" s="37" t="n">
        <v>34852.05</v>
      </c>
      <c r="Q55" s="18" t="n">
        <v>3728.53</v>
      </c>
      <c r="R55" s="18" t="n">
        <v>-1754.98</v>
      </c>
      <c r="S55" s="18" t="n">
        <v>-4064.25</v>
      </c>
      <c r="T55" s="18" t="n">
        <v>-2264.02</v>
      </c>
      <c r="U55" s="37" t="n">
        <v>-4354.72</v>
      </c>
      <c r="V55" s="18" t="n">
        <v>-1799.53</v>
      </c>
      <c r="W55" s="18" t="n">
        <v>-4484.22</v>
      </c>
      <c r="X55" s="18" t="n">
        <v>-7792.57</v>
      </c>
      <c r="Y55" s="18" t="n">
        <v>-8829.139999999999</v>
      </c>
      <c r="Z55" s="37" t="n">
        <v>-22905.46</v>
      </c>
      <c r="AA55" s="18" t="n">
        <v>4773.46</v>
      </c>
      <c r="AB55" s="19" t="n">
        <v>4935.41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금융수익</t>
        </is>
      </c>
      <c r="E56" s="18" t="n">
        <v>1157.06</v>
      </c>
      <c r="F56" s="9" t="n"/>
      <c r="G56" s="18" t="n">
        <v>498.87</v>
      </c>
      <c r="H56" s="18" t="n">
        <v>534.35</v>
      </c>
      <c r="I56" s="18" t="n">
        <v>661.91</v>
      </c>
      <c r="J56" s="18" t="n">
        <v>895.99</v>
      </c>
      <c r="K56" s="37" t="n">
        <v>2591.12</v>
      </c>
      <c r="L56" s="18" t="n">
        <v>900.23</v>
      </c>
      <c r="M56" s="18" t="n">
        <v>828.49</v>
      </c>
      <c r="N56" s="18" t="n">
        <v>832.86</v>
      </c>
      <c r="O56" s="18" t="n">
        <v>694.73</v>
      </c>
      <c r="P56" s="37" t="n">
        <v>3256.31</v>
      </c>
      <c r="Q56" s="18" t="n">
        <v>743.5700000000001</v>
      </c>
      <c r="R56" s="18" t="n">
        <v>570.75</v>
      </c>
      <c r="S56" s="18" t="n">
        <v>656.99</v>
      </c>
      <c r="T56" s="18" t="n">
        <v>801.2</v>
      </c>
      <c r="U56" s="37" t="n">
        <v>2772.51</v>
      </c>
      <c r="V56" s="18" t="n">
        <v>448.97</v>
      </c>
      <c r="W56" s="18" t="n">
        <v>383.11</v>
      </c>
      <c r="X56" s="18" t="n">
        <v>417.54</v>
      </c>
      <c r="Y56" s="18" t="n">
        <v>757.6</v>
      </c>
      <c r="Z56" s="37" t="n">
        <v>2007.22</v>
      </c>
      <c r="AA56" s="18" t="n">
        <v>371.71</v>
      </c>
      <c r="AB56" s="19" t="n">
        <v>270.81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금융비용</t>
        </is>
      </c>
      <c r="E57" s="18" t="n">
        <v>1361.76</v>
      </c>
      <c r="F57" s="9" t="n"/>
      <c r="G57" s="18" t="n">
        <v>1724.38</v>
      </c>
      <c r="H57" s="18" t="n">
        <v>2064.26</v>
      </c>
      <c r="I57" s="18" t="n">
        <v>2401.51</v>
      </c>
      <c r="J57" s="18" t="n">
        <v>2887.92</v>
      </c>
      <c r="K57" s="37" t="n">
        <v>9078.07</v>
      </c>
      <c r="L57" s="18" t="n">
        <v>3212.4</v>
      </c>
      <c r="M57" s="18" t="n">
        <v>3380.75</v>
      </c>
      <c r="N57" s="18" t="n">
        <v>3083.4</v>
      </c>
      <c r="O57" s="18" t="n">
        <v>3435.41</v>
      </c>
      <c r="P57" s="37" t="n">
        <v>13111.96</v>
      </c>
      <c r="Q57" s="18" t="n">
        <v>3471.44</v>
      </c>
      <c r="R57" s="18" t="n">
        <v>3107.62</v>
      </c>
      <c r="S57" s="18" t="n">
        <v>3324.38</v>
      </c>
      <c r="T57" s="18" t="n">
        <v>3365.41</v>
      </c>
      <c r="U57" s="37" t="n">
        <v>13268.85</v>
      </c>
      <c r="V57" s="18" t="n">
        <v>3004.64</v>
      </c>
      <c r="W57" s="18" t="n">
        <v>2933.74</v>
      </c>
      <c r="X57" s="18" t="n">
        <v>2888.14</v>
      </c>
      <c r="Y57" s="18" t="n">
        <v>2776.69</v>
      </c>
      <c r="Z57" s="37" t="n">
        <v>11603.21</v>
      </c>
      <c r="AA57" s="18" t="n">
        <v>2873.49</v>
      </c>
      <c r="AB57" s="19" t="n">
        <v>2981.97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기타영업외수익</t>
        </is>
      </c>
      <c r="E58" s="18" t="n">
        <v>1537.35</v>
      </c>
      <c r="F58" s="9" t="n"/>
      <c r="G58" s="18" t="n">
        <v>3322.99</v>
      </c>
      <c r="H58" s="18" t="n">
        <v>3067.6</v>
      </c>
      <c r="I58" s="18" t="n">
        <v>13133.17</v>
      </c>
      <c r="J58" s="18" t="n">
        <v>-4222.13</v>
      </c>
      <c r="K58" s="37" t="n">
        <v>15301.63</v>
      </c>
      <c r="L58" s="18" t="n">
        <v>2362.4</v>
      </c>
      <c r="M58" s="18" t="n">
        <v>943.66</v>
      </c>
      <c r="N58" s="18" t="n">
        <v>3896.88</v>
      </c>
      <c r="O58" s="18" t="n">
        <v>-667.89</v>
      </c>
      <c r="P58" s="37" t="n">
        <v>6535.05</v>
      </c>
      <c r="Q58" s="18" t="n">
        <v>2691.5</v>
      </c>
      <c r="R58" s="18" t="n">
        <v>7821.93</v>
      </c>
      <c r="S58" s="18" t="n">
        <v>750.96</v>
      </c>
      <c r="T58" s="18" t="n">
        <v>3731.44</v>
      </c>
      <c r="U58" s="37" t="n">
        <v>14995.83</v>
      </c>
      <c r="V58" s="18" t="n">
        <v>2307.4</v>
      </c>
      <c r="W58" s="18" t="n">
        <v>1494.99</v>
      </c>
      <c r="X58" s="18" t="n">
        <v>3449.28</v>
      </c>
      <c r="Y58" s="18" t="n">
        <v>10003.85</v>
      </c>
      <c r="Z58" s="37" t="n">
        <v>17255.52</v>
      </c>
      <c r="AA58" s="18" t="n">
        <v>13607.05</v>
      </c>
      <c r="AB58" s="19" t="n">
        <v>1783.42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기타영업외비용</t>
        </is>
      </c>
      <c r="E59" s="18" t="n">
        <v>5684.96</v>
      </c>
      <c r="F59" s="9" t="n"/>
      <c r="G59" s="18" t="n">
        <v>574.21</v>
      </c>
      <c r="H59" s="18" t="n">
        <v>954.92</v>
      </c>
      <c r="I59" s="18" t="n">
        <v>1544.94</v>
      </c>
      <c r="J59" s="18" t="n">
        <v>6.11</v>
      </c>
      <c r="K59" s="37" t="n">
        <v>3080.18</v>
      </c>
      <c r="L59" s="18" t="n">
        <v>923.29</v>
      </c>
      <c r="M59" s="18" t="n">
        <v>1171.61</v>
      </c>
      <c r="N59" s="18" t="n">
        <v>624.84</v>
      </c>
      <c r="O59" s="18" t="n">
        <v>1559.06</v>
      </c>
      <c r="P59" s="37" t="n">
        <v>4278.8</v>
      </c>
      <c r="Q59" s="18" t="n">
        <v>340.31</v>
      </c>
      <c r="R59" s="18" t="n">
        <v>843.52</v>
      </c>
      <c r="S59" s="18" t="n">
        <v>1905.79</v>
      </c>
      <c r="T59" s="18" t="n">
        <v>159.85</v>
      </c>
      <c r="U59" s="37" t="n">
        <v>3249.47</v>
      </c>
      <c r="V59" s="18" t="n">
        <v>624.86</v>
      </c>
      <c r="W59" s="18" t="n">
        <v>4806.26</v>
      </c>
      <c r="X59" s="18" t="n">
        <v>1338.52</v>
      </c>
      <c r="Y59" s="18" t="n">
        <v>24396.95</v>
      </c>
      <c r="Z59" s="37" t="n">
        <v>31166.59</v>
      </c>
      <c r="AA59" s="18" t="n">
        <v>582.13</v>
      </c>
      <c r="AB59" s="19" t="n">
        <v>849.98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법인세비용</t>
        </is>
      </c>
      <c r="E60" s="18" t="n">
        <v>1301.64</v>
      </c>
      <c r="F60" s="9" t="n"/>
      <c r="G60" s="18" t="n">
        <v>2893.43</v>
      </c>
      <c r="H60" s="18" t="n">
        <v>2333.45</v>
      </c>
      <c r="I60" s="18" t="n">
        <v>3714.67</v>
      </c>
      <c r="J60" s="18" t="n">
        <v>19.05</v>
      </c>
      <c r="K60" s="37" t="n">
        <v>8960.6</v>
      </c>
      <c r="L60" s="18" t="n">
        <v>1588.48</v>
      </c>
      <c r="M60" s="18" t="n">
        <v>2673.26</v>
      </c>
      <c r="N60" s="18" t="n">
        <v>2739.6</v>
      </c>
      <c r="O60" s="18" t="n">
        <v>-1421.33</v>
      </c>
      <c r="P60" s="37" t="n">
        <v>5580.01</v>
      </c>
      <c r="Q60" s="18" t="n">
        <v>846.89</v>
      </c>
      <c r="R60" s="18" t="n">
        <v>596.63</v>
      </c>
      <c r="S60" s="18" t="n">
        <v>527.1</v>
      </c>
      <c r="T60" s="18" t="n">
        <v>1313.14</v>
      </c>
      <c r="U60" s="37" t="n">
        <v>3283.76</v>
      </c>
      <c r="V60" s="18" t="n">
        <v>-756.66</v>
      </c>
      <c r="W60" s="18" t="n">
        <v>-399.54</v>
      </c>
      <c r="X60" s="18" t="n">
        <v>249.01</v>
      </c>
      <c r="Y60" s="18" t="n">
        <v>-2401.86</v>
      </c>
      <c r="Z60" s="37" t="n">
        <v>-3309.05</v>
      </c>
      <c r="AA60" s="18" t="n">
        <v>2415.73</v>
      </c>
      <c r="AB60" s="19" t="n">
        <v>1332.75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당기순이익</t>
        </is>
      </c>
      <c r="E61" s="18" t="n">
        <v>640.9</v>
      </c>
      <c r="F61" s="9" t="n"/>
      <c r="G61" s="18" t="n">
        <v>11259.68</v>
      </c>
      <c r="H61" s="18" t="n">
        <v>7214.62</v>
      </c>
      <c r="I61" s="18" t="n">
        <v>12020.45</v>
      </c>
      <c r="J61" s="18" t="n">
        <v>-3952.85</v>
      </c>
      <c r="K61" s="37" t="n">
        <v>26541.9</v>
      </c>
      <c r="L61" s="18" t="n">
        <v>6742.18</v>
      </c>
      <c r="M61" s="18" t="n">
        <v>8592.75</v>
      </c>
      <c r="N61" s="18" t="n">
        <v>9231.99</v>
      </c>
      <c r="O61" s="18" t="n">
        <v>-2894.22</v>
      </c>
      <c r="P61" s="37" t="n">
        <v>21672.7</v>
      </c>
      <c r="Q61" s="18" t="n">
        <v>2504.96</v>
      </c>
      <c r="R61" s="18" t="n">
        <v>2089.93</v>
      </c>
      <c r="S61" s="18" t="n">
        <v>-8413.559999999999</v>
      </c>
      <c r="T61" s="18" t="n">
        <v>-2569.8</v>
      </c>
      <c r="U61" s="37" t="n">
        <v>-6388.47</v>
      </c>
      <c r="V61" s="18" t="n">
        <v>-1916</v>
      </c>
      <c r="W61" s="18" t="n">
        <v>-9946.58</v>
      </c>
      <c r="X61" s="18" t="n">
        <v>-8401.41</v>
      </c>
      <c r="Y61" s="18" t="n">
        <v>-22839.46</v>
      </c>
      <c r="Z61" s="37" t="n">
        <v>-43103.45</v>
      </c>
      <c r="AA61" s="18" t="n">
        <v>12880.87</v>
      </c>
      <c r="AB61" s="19" t="n">
        <v>1824.95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총포괄손익</t>
        </is>
      </c>
      <c r="E62" s="18" t="n">
        <v>143.39</v>
      </c>
      <c r="F62" s="9" t="n"/>
      <c r="G62" s="18" t="n">
        <v>12001.01</v>
      </c>
      <c r="H62" s="18" t="n">
        <v>7260.52</v>
      </c>
      <c r="I62" s="18" t="n">
        <v>11898.12</v>
      </c>
      <c r="J62" s="18" t="n">
        <v>-3713.45</v>
      </c>
      <c r="K62" s="37" t="n">
        <v>27446.2</v>
      </c>
      <c r="L62" s="18" t="n">
        <v>5856.8</v>
      </c>
      <c r="M62" s="18" t="n">
        <v>8874.83</v>
      </c>
      <c r="N62" s="18" t="n">
        <v>10611.49</v>
      </c>
      <c r="O62" s="18" t="n">
        <v>-4482.31</v>
      </c>
      <c r="P62" s="37" t="n">
        <v>20860.81</v>
      </c>
      <c r="Q62" s="18" t="n">
        <v>1838.25</v>
      </c>
      <c r="R62" s="18" t="n">
        <v>1560.32</v>
      </c>
      <c r="S62" s="18" t="n">
        <v>-8808.370000000001</v>
      </c>
      <c r="T62" s="18" t="n">
        <v>-2834.43</v>
      </c>
      <c r="U62" s="37" t="n">
        <v>-8244.23</v>
      </c>
      <c r="V62" s="18" t="n">
        <v>-1285.03</v>
      </c>
      <c r="W62" s="18" t="n">
        <v>-10636.6</v>
      </c>
      <c r="X62" s="18" t="n">
        <v>-7543.7</v>
      </c>
      <c r="Y62" s="18" t="n">
        <v>-21724.32</v>
      </c>
      <c r="Z62" s="37" t="n">
        <v>-41189.65</v>
      </c>
      <c r="AA62" s="18" t="n">
        <v>11660.37</v>
      </c>
      <c r="AB62" s="19" t="n">
        <v>-108.87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금융손익</t>
        </is>
      </c>
      <c r="E63" s="18" t="n">
        <v>-204.7</v>
      </c>
      <c r="F63" s="9" t="n"/>
      <c r="G63" s="18" t="n">
        <v>-1225.51</v>
      </c>
      <c r="H63" s="18" t="n">
        <v>-1529.91</v>
      </c>
      <c r="I63" s="18" t="n">
        <v>-1739.6</v>
      </c>
      <c r="J63" s="18" t="n">
        <v>-1991.93</v>
      </c>
      <c r="K63" s="37" t="n">
        <v>-6486.95</v>
      </c>
      <c r="L63" s="18" t="n">
        <v>-2312.17</v>
      </c>
      <c r="M63" s="18" t="n">
        <v>-2552.26</v>
      </c>
      <c r="N63" s="18" t="n">
        <v>-2250.54</v>
      </c>
      <c r="O63" s="18" t="n">
        <v>-2740.68</v>
      </c>
      <c r="P63" s="37" t="n">
        <v>-9855.65</v>
      </c>
      <c r="Q63" s="18" t="n">
        <v>-2727.87</v>
      </c>
      <c r="R63" s="18" t="n">
        <v>-2536.87</v>
      </c>
      <c r="S63" s="18" t="n">
        <v>-2667.39</v>
      </c>
      <c r="T63" s="18" t="n">
        <v>-2564.21</v>
      </c>
      <c r="U63" s="37" t="n">
        <v>-10496.34</v>
      </c>
      <c r="V63" s="18" t="n">
        <v>-2555.67</v>
      </c>
      <c r="W63" s="18" t="n">
        <v>-2550.63</v>
      </c>
      <c r="X63" s="18" t="n">
        <v>-2470.6</v>
      </c>
      <c r="Y63" s="18" t="n">
        <v>-2019.09</v>
      </c>
      <c r="Z63" s="37" t="n">
        <v>-9595.99</v>
      </c>
      <c r="AA63" s="18" t="n">
        <v>-2501.78</v>
      </c>
      <c r="AB63" s="19" t="n">
        <v>-2711.16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기타영업외손익</t>
        </is>
      </c>
      <c r="E64" s="18" t="n">
        <v>-4147.61</v>
      </c>
      <c r="F64" s="9" t="n"/>
      <c r="G64" s="18" t="n">
        <v>2748.78</v>
      </c>
      <c r="H64" s="18" t="n">
        <v>2112.68</v>
      </c>
      <c r="I64" s="18" t="n">
        <v>11588.23</v>
      </c>
      <c r="J64" s="18" t="n">
        <v>-4228.24</v>
      </c>
      <c r="K64" s="37" t="n">
        <v>12221.45</v>
      </c>
      <c r="L64" s="18" t="n">
        <v>1439.11</v>
      </c>
      <c r="M64" s="18" t="n">
        <v>-227.95</v>
      </c>
      <c r="N64" s="18" t="n">
        <v>3272.04</v>
      </c>
      <c r="O64" s="18" t="n">
        <v>-2226.95</v>
      </c>
      <c r="P64" s="37" t="n">
        <v>2256.25</v>
      </c>
      <c r="Q64" s="18" t="n">
        <v>2351.19</v>
      </c>
      <c r="R64" s="18" t="n">
        <v>6978.41</v>
      </c>
      <c r="S64" s="18" t="n">
        <v>-1154.83</v>
      </c>
      <c r="T64" s="18" t="n">
        <v>3571.59</v>
      </c>
      <c r="U64" s="37" t="n">
        <v>11746.36</v>
      </c>
      <c r="V64" s="18" t="n">
        <v>1682.54</v>
      </c>
      <c r="W64" s="18" t="n">
        <v>-3311.27</v>
      </c>
      <c r="X64" s="18" t="n">
        <v>2110.76</v>
      </c>
      <c r="Y64" s="18" t="n">
        <v>-14393.1</v>
      </c>
      <c r="Z64" s="37" t="n">
        <v>-13911.07</v>
      </c>
      <c r="AA64" s="18" t="n">
        <v>13024.92</v>
      </c>
      <c r="AB64" s="19" t="n">
        <v>933.4400000000001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(지배주주지분)당기순이익</t>
        </is>
      </c>
      <c r="E65" s="18" t="n">
        <v>640.9</v>
      </c>
      <c r="F65" s="9" t="n"/>
      <c r="G65" s="18" t="n">
        <v>11259.68</v>
      </c>
      <c r="H65" s="18" t="n">
        <v>7214.62</v>
      </c>
      <c r="I65" s="18" t="n">
        <v>12020.45</v>
      </c>
      <c r="J65" s="18" t="n">
        <v>-3952.85</v>
      </c>
      <c r="K65" s="37" t="n">
        <v>26541.9</v>
      </c>
      <c r="L65" s="18" t="n">
        <v>6742.18</v>
      </c>
      <c r="M65" s="18" t="n">
        <v>8592.75</v>
      </c>
      <c r="N65" s="18" t="n">
        <v>9231.99</v>
      </c>
      <c r="O65" s="18" t="n">
        <v>-2894.22</v>
      </c>
      <c r="P65" s="37" t="n">
        <v>21672.7</v>
      </c>
      <c r="Q65" s="18" t="n">
        <v>2504.96</v>
      </c>
      <c r="R65" s="18" t="n">
        <v>2089.93</v>
      </c>
      <c r="S65" s="18" t="n">
        <v>-8413.559999999999</v>
      </c>
      <c r="T65" s="18" t="n">
        <v>-2569.8</v>
      </c>
      <c r="U65" s="37" t="n">
        <v>-6388.47</v>
      </c>
      <c r="V65" s="18" t="n">
        <v>-1916</v>
      </c>
      <c r="W65" s="18" t="n">
        <v>-9946.58</v>
      </c>
      <c r="X65" s="18" t="n">
        <v>-8401.41</v>
      </c>
      <c r="Y65" s="18" t="n">
        <v>-22839.46</v>
      </c>
      <c r="Z65" s="37" t="n">
        <v>-43103.45</v>
      </c>
      <c r="AA65" s="18" t="n">
        <v>12880.87</v>
      </c>
      <c r="AB65" s="19" t="n">
        <v>1824.95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계속사업이익</t>
        </is>
      </c>
      <c r="E66" s="18" t="n">
        <v>640.9</v>
      </c>
      <c r="F66" s="9" t="n"/>
      <c r="G66" s="18" t="n">
        <v>11259.68</v>
      </c>
      <c r="H66" s="18" t="n">
        <v>7214.62</v>
      </c>
      <c r="I66" s="18" t="n">
        <v>12020.45</v>
      </c>
      <c r="J66" s="18" t="n">
        <v>-3952.85</v>
      </c>
      <c r="K66" s="37" t="n">
        <v>26541.9</v>
      </c>
      <c r="L66" s="18" t="n">
        <v>6742.18</v>
      </c>
      <c r="M66" s="18" t="n">
        <v>8592.75</v>
      </c>
      <c r="N66" s="18" t="n">
        <v>9231.99</v>
      </c>
      <c r="O66" s="18" t="n">
        <v>-2894.22</v>
      </c>
      <c r="P66" s="37" t="n">
        <v>21672.7</v>
      </c>
      <c r="Q66" s="18" t="n">
        <v>2504.96</v>
      </c>
      <c r="R66" s="18" t="n">
        <v>2089.93</v>
      </c>
      <c r="S66" s="18" t="n">
        <v>-8413.559999999999</v>
      </c>
      <c r="T66" s="18" t="n">
        <v>-2569.8</v>
      </c>
      <c r="U66" s="37" t="n">
        <v>-6388.47</v>
      </c>
      <c r="V66" s="18" t="n">
        <v>-1916</v>
      </c>
      <c r="W66" s="18" t="n">
        <v>-9946.58</v>
      </c>
      <c r="X66" s="18" t="n">
        <v>-8401.41</v>
      </c>
      <c r="Y66" s="18" t="n">
        <v>-22839.46</v>
      </c>
      <c r="Z66" s="37" t="n">
        <v>-43103.45</v>
      </c>
      <c r="AA66" s="18" t="n">
        <v>12880.87</v>
      </c>
      <c r="AB66" s="19" t="n">
        <v>1824.95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법인세비용차감전계속사업이익</t>
        </is>
      </c>
      <c r="F67" s="9" t="n"/>
      <c r="G67" s="18" t="n">
        <v>14153.11</v>
      </c>
      <c r="H67" s="18" t="n">
        <v>9548.07</v>
      </c>
      <c r="I67" s="18" t="n">
        <v>15735.13</v>
      </c>
      <c r="K67" s="9" t="n"/>
      <c r="L67" s="18" t="n">
        <v>8330.66</v>
      </c>
      <c r="M67" s="18" t="n">
        <v>11266</v>
      </c>
      <c r="N67" s="18" t="n">
        <v>11971.59</v>
      </c>
      <c r="O67" s="18" t="n">
        <v>-4315.55</v>
      </c>
      <c r="P67" s="37" t="n">
        <v>27252.7</v>
      </c>
      <c r="Q67" s="18" t="n">
        <v>3351.85</v>
      </c>
      <c r="R67" s="18" t="n">
        <v>2686.56</v>
      </c>
      <c r="S67" s="18" t="n">
        <v>-7886.46</v>
      </c>
      <c r="T67" s="18" t="n">
        <v>-1256.65</v>
      </c>
      <c r="U67" s="37" t="n">
        <v>-3104.7</v>
      </c>
      <c r="V67" s="18" t="n">
        <v>-2672.66</v>
      </c>
      <c r="W67" s="18" t="n">
        <v>-10346.11</v>
      </c>
      <c r="X67" s="18" t="n">
        <v>-8152.4</v>
      </c>
      <c r="Y67" s="18" t="n">
        <v>-25241.34</v>
      </c>
      <c r="Z67" s="37" t="n">
        <v>-46412.51</v>
      </c>
      <c r="AA67" s="18" t="n">
        <v>15296.6</v>
      </c>
      <c r="AB67" s="19" t="n">
        <v>3157.69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영업활동으로인한현금흐름</t>
        </is>
      </c>
      <c r="E68" s="18" t="n">
        <v>-19143</v>
      </c>
      <c r="F68" s="9" t="n"/>
      <c r="G68" s="18" t="n">
        <v>-4795.2</v>
      </c>
      <c r="H68" s="18" t="n">
        <v>-970.17</v>
      </c>
      <c r="I68" s="18" t="n">
        <v>-6465.36</v>
      </c>
      <c r="J68" s="18" t="n">
        <v>17418.98</v>
      </c>
      <c r="K68" s="37" t="n">
        <v>5188.25</v>
      </c>
      <c r="L68" s="18" t="n">
        <v>2459.28</v>
      </c>
      <c r="M68" s="18" t="n">
        <v>15224.35</v>
      </c>
      <c r="N68" s="18" t="n">
        <v>14668.16</v>
      </c>
      <c r="O68" s="18" t="n">
        <v>9076.190000000001</v>
      </c>
      <c r="P68" s="37" t="n">
        <v>41427.98</v>
      </c>
      <c r="Q68" s="18" t="n">
        <v>4510.45</v>
      </c>
      <c r="R68" s="18" t="n">
        <v>-342.06</v>
      </c>
      <c r="S68" s="18" t="n">
        <v>-1319.76</v>
      </c>
      <c r="T68" s="18" t="n">
        <v>3718.33</v>
      </c>
      <c r="U68" s="37" t="n">
        <v>6566.96</v>
      </c>
      <c r="V68" s="18" t="n">
        <v>1371.72</v>
      </c>
      <c r="W68" s="18" t="n">
        <v>-4916.63</v>
      </c>
      <c r="X68" s="18" t="n">
        <v>11777.95</v>
      </c>
      <c r="Y68" s="18" t="n">
        <v>-16165.59</v>
      </c>
      <c r="Z68" s="37" t="n">
        <v>-7932.55</v>
      </c>
      <c r="AA68" s="18" t="n">
        <v>-8481.17</v>
      </c>
      <c r="AB68" s="19" t="n">
        <v>-5345.57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감가상각비</t>
        </is>
      </c>
      <c r="E69" s="18" t="n">
        <v>10375.87</v>
      </c>
      <c r="F69" s="9" t="n"/>
      <c r="G69" s="18" t="n">
        <v>11828.28</v>
      </c>
      <c r="H69" s="18" t="n">
        <v>12741.97</v>
      </c>
      <c r="I69" s="18" t="n">
        <v>12590.42</v>
      </c>
      <c r="J69" s="18" t="n">
        <v>12106.39</v>
      </c>
      <c r="K69" s="37" t="n">
        <v>49267.06</v>
      </c>
      <c r="L69" s="18" t="n">
        <v>11576.32</v>
      </c>
      <c r="M69" s="18" t="n">
        <v>12147.78</v>
      </c>
      <c r="N69" s="18" t="n">
        <v>12252.53</v>
      </c>
      <c r="O69" s="18" t="n">
        <v>11796.06</v>
      </c>
      <c r="P69" s="37" t="n">
        <v>47772.69</v>
      </c>
      <c r="Q69" s="18" t="n">
        <v>11084.59</v>
      </c>
      <c r="R69" s="18" t="n">
        <v>10748.19</v>
      </c>
      <c r="S69" s="18" t="n">
        <v>10889.33</v>
      </c>
      <c r="T69" s="18" t="n">
        <v>10293.71</v>
      </c>
      <c r="U69" s="37" t="n">
        <v>43015.82</v>
      </c>
      <c r="V69" s="18" t="n">
        <v>10238.88</v>
      </c>
      <c r="W69" s="18" t="n">
        <v>9769.639999999999</v>
      </c>
      <c r="X69" s="18" t="n">
        <v>9425.950000000001</v>
      </c>
      <c r="Y69" s="18" t="n">
        <v>9132.200000000001</v>
      </c>
      <c r="Z69" s="37" t="n">
        <v>38566.67</v>
      </c>
      <c r="AA69" s="18" t="n">
        <v>4938.64</v>
      </c>
      <c r="AB69" s="19" t="n">
        <v>5770.15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배당금수취(CF)</t>
        </is>
      </c>
      <c r="E70" s="18" t="n">
        <v>21.5</v>
      </c>
      <c r="F70" s="9" t="n"/>
      <c r="I70" s="18" t="n">
        <v>17.2</v>
      </c>
      <c r="J70" s="18" t="n">
        <v>8.6</v>
      </c>
      <c r="K70" s="9" t="n"/>
      <c r="N70" s="18" t="n">
        <v>12.03</v>
      </c>
      <c r="O70" s="18" t="n">
        <v>10.75</v>
      </c>
      <c r="P70" s="9" t="n"/>
      <c r="S70" s="18" t="n">
        <v>16.91</v>
      </c>
      <c r="T70" s="18" t="n">
        <v>-713.23</v>
      </c>
      <c r="U70" s="9" t="n"/>
      <c r="V70" s="18" t="n">
        <v>-768.26</v>
      </c>
      <c r="W70" s="18" t="n">
        <v>1629.17</v>
      </c>
      <c r="X70" s="18" t="n">
        <v>16.6</v>
      </c>
      <c r="Y70" s="18" t="n">
        <v>16.61</v>
      </c>
      <c r="Z70" s="37" t="n">
        <v>894.12</v>
      </c>
      <c r="AB70" s="5" t="n"/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이자수취(CF)</t>
        </is>
      </c>
      <c r="E71" s="18" t="n">
        <v>195.94</v>
      </c>
      <c r="F71" s="9" t="n"/>
      <c r="G71" s="18" t="n">
        <v>574.72</v>
      </c>
      <c r="H71" s="18" t="n">
        <v>82.01000000000001</v>
      </c>
      <c r="I71" s="18" t="n">
        <v>288.42</v>
      </c>
      <c r="J71" s="18" t="n">
        <v>354.95</v>
      </c>
      <c r="K71" s="37" t="n">
        <v>1300.1</v>
      </c>
      <c r="L71" s="18" t="n">
        <v>456.52</v>
      </c>
      <c r="M71" s="18" t="n">
        <v>564.08</v>
      </c>
      <c r="N71" s="18" t="n">
        <v>584.08</v>
      </c>
      <c r="O71" s="18" t="n">
        <v>382.89</v>
      </c>
      <c r="P71" s="37" t="n">
        <v>1987.57</v>
      </c>
      <c r="Q71" s="18" t="n">
        <v>732.39</v>
      </c>
      <c r="R71" s="18" t="n">
        <v>419.86</v>
      </c>
      <c r="S71" s="18" t="n">
        <v>454.17</v>
      </c>
      <c r="T71" s="18" t="n">
        <v>1108.44</v>
      </c>
      <c r="U71" s="37" t="n">
        <v>2714.86</v>
      </c>
      <c r="V71" s="18" t="n">
        <v>1111.06</v>
      </c>
      <c r="W71" s="18" t="n">
        <v>385.57</v>
      </c>
      <c r="X71" s="18" t="n">
        <v>412.04</v>
      </c>
      <c r="Y71" s="18" t="n">
        <v>293.07</v>
      </c>
      <c r="Z71" s="37" t="n">
        <v>2201.74</v>
      </c>
      <c r="AA71" s="18" t="n">
        <v>856.4299999999999</v>
      </c>
      <c r="AB71" s="19" t="n">
        <v>278.28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이자지급(CF)</t>
        </is>
      </c>
      <c r="E72" s="18" t="n">
        <v>-1245.31</v>
      </c>
      <c r="F72" s="9" t="n"/>
      <c r="G72" s="18" t="n">
        <v>-1607.17</v>
      </c>
      <c r="H72" s="18" t="n">
        <v>-2071.37</v>
      </c>
      <c r="I72" s="18" t="n">
        <v>-2703.54</v>
      </c>
      <c r="J72" s="18" t="n">
        <v>-2775.93</v>
      </c>
      <c r="K72" s="37" t="n">
        <v>-9158.01</v>
      </c>
      <c r="L72" s="18" t="n">
        <v>-3328.18</v>
      </c>
      <c r="M72" s="18" t="n">
        <v>-2940.29</v>
      </c>
      <c r="N72" s="18" t="n">
        <v>-3478.54</v>
      </c>
      <c r="O72" s="18" t="n">
        <v>-3889.34</v>
      </c>
      <c r="P72" s="37" t="n">
        <v>-13636.35</v>
      </c>
      <c r="Q72" s="18" t="n">
        <v>-3275.92</v>
      </c>
      <c r="R72" s="18" t="n">
        <v>-2721.18</v>
      </c>
      <c r="S72" s="18" t="n">
        <v>-3827.31</v>
      </c>
      <c r="T72" s="18" t="n">
        <v>-3180.58</v>
      </c>
      <c r="U72" s="37" t="n">
        <v>-13004.99</v>
      </c>
      <c r="V72" s="18" t="n">
        <v>-3025.46</v>
      </c>
      <c r="W72" s="18" t="n">
        <v>-3052.16</v>
      </c>
      <c r="X72" s="18" t="n">
        <v>-2752.48</v>
      </c>
      <c r="Y72" s="18" t="n">
        <v>-2807.88</v>
      </c>
      <c r="Z72" s="37" t="n">
        <v>-11637.98</v>
      </c>
      <c r="AA72" s="18" t="n">
        <v>-2804.18</v>
      </c>
      <c r="AB72" s="19" t="n">
        <v>-2961.27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법인세납부(CF)</t>
        </is>
      </c>
      <c r="E73" s="18" t="n">
        <v>-13.73</v>
      </c>
      <c r="F73" s="9" t="n"/>
      <c r="G73" s="18" t="n">
        <v>-1459.96</v>
      </c>
      <c r="H73" s="18" t="n">
        <v>-2115.58</v>
      </c>
      <c r="I73" s="18" t="n">
        <v>-1877.02</v>
      </c>
      <c r="J73" s="18" t="n">
        <v>194.33</v>
      </c>
      <c r="K73" s="37" t="n">
        <v>-5258.23</v>
      </c>
      <c r="L73" s="18" t="n">
        <v>-3724.71</v>
      </c>
      <c r="M73" s="18" t="n">
        <v>-4741.04</v>
      </c>
      <c r="N73" s="18" t="n">
        <v>-1774.59</v>
      </c>
      <c r="O73" s="18" t="n">
        <v>-1742.54</v>
      </c>
      <c r="P73" s="37" t="n">
        <v>-11982.88</v>
      </c>
      <c r="Q73" s="18" t="n">
        <v>-10.81</v>
      </c>
      <c r="R73" s="18" t="n">
        <v>-2976.05</v>
      </c>
      <c r="S73" s="18" t="n">
        <v>-1718.55</v>
      </c>
      <c r="T73" s="18" t="n">
        <v>-433.5</v>
      </c>
      <c r="U73" s="37" t="n">
        <v>-5138.91</v>
      </c>
      <c r="V73" s="18" t="n">
        <v>-149.32</v>
      </c>
      <c r="W73" s="18" t="n">
        <v>1051.28</v>
      </c>
      <c r="X73" s="18" t="n">
        <v>-76.89</v>
      </c>
      <c r="Y73" s="18" t="n">
        <v>154.2</v>
      </c>
      <c r="Z73" s="37" t="n">
        <v>979.27</v>
      </c>
      <c r="AA73" s="18" t="n">
        <v>-139.02</v>
      </c>
      <c r="AB73" s="19" t="n">
        <v>487.03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투자활동으로인한현금흐름</t>
        </is>
      </c>
      <c r="E74" s="18" t="n">
        <v>-3115.89</v>
      </c>
      <c r="F74" s="9" t="n"/>
      <c r="G74" s="18" t="n">
        <v>5032.14</v>
      </c>
      <c r="H74" s="18" t="n">
        <v>-2830.97</v>
      </c>
      <c r="I74" s="18" t="n">
        <v>-15301.12</v>
      </c>
      <c r="J74" s="18" t="n">
        <v>-21806.02</v>
      </c>
      <c r="K74" s="37" t="n">
        <v>-34905.97</v>
      </c>
      <c r="L74" s="18" t="n">
        <v>-14445.88</v>
      </c>
      <c r="M74" s="18" t="n">
        <v>7527.66</v>
      </c>
      <c r="N74" s="18" t="n">
        <v>-11907</v>
      </c>
      <c r="O74" s="18" t="n">
        <v>-7049.81</v>
      </c>
      <c r="P74" s="37" t="n">
        <v>-25875.03</v>
      </c>
      <c r="Q74" s="18" t="n">
        <v>-11848.24</v>
      </c>
      <c r="R74" s="18" t="n">
        <v>-23664.19</v>
      </c>
      <c r="S74" s="18" t="n">
        <v>-5048.3</v>
      </c>
      <c r="T74" s="18" t="n">
        <v>4798.47</v>
      </c>
      <c r="U74" s="37" t="n">
        <v>-35762.26</v>
      </c>
      <c r="V74" s="18" t="n">
        <v>17688.44</v>
      </c>
      <c r="W74" s="18" t="n">
        <v>-2283.61</v>
      </c>
      <c r="X74" s="18" t="n">
        <v>-9546.92</v>
      </c>
      <c r="Y74" s="18" t="n">
        <v>-2939.49</v>
      </c>
      <c r="Z74" s="37" t="n">
        <v>2918.42</v>
      </c>
      <c r="AA74" s="18" t="n">
        <v>19402.28</v>
      </c>
      <c r="AB74" s="19" t="n">
        <v>-17496.38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유형자산의감소</t>
        </is>
      </c>
      <c r="E75" s="18" t="n">
        <v>7.53</v>
      </c>
      <c r="F75" s="9" t="n"/>
      <c r="G75" s="18" t="n">
        <v>6199.04</v>
      </c>
      <c r="H75" s="18" t="n">
        <v>7.45</v>
      </c>
      <c r="I75" s="18" t="n">
        <v>253.14</v>
      </c>
      <c r="J75" s="18" t="n">
        <v>73.76000000000001</v>
      </c>
      <c r="K75" s="37" t="n">
        <v>6533.39</v>
      </c>
      <c r="L75" s="18" t="n">
        <v>66.3</v>
      </c>
      <c r="M75" s="18" t="n">
        <v>58.49</v>
      </c>
      <c r="N75" s="18" t="n">
        <v>4283.59</v>
      </c>
      <c r="O75" s="18" t="n">
        <v>151.91</v>
      </c>
      <c r="P75" s="37" t="n">
        <v>4560.29</v>
      </c>
      <c r="Q75" s="18" t="n">
        <v>5487.71</v>
      </c>
      <c r="R75" s="18" t="n">
        <v>2478.16</v>
      </c>
      <c r="S75" s="18" t="n">
        <v>443.49</v>
      </c>
      <c r="T75" s="18" t="n">
        <v>314.8</v>
      </c>
      <c r="U75" s="37" t="n">
        <v>8724.16</v>
      </c>
      <c r="V75" s="18" t="n">
        <v>163.35</v>
      </c>
      <c r="W75" s="18" t="n">
        <v>29.64</v>
      </c>
      <c r="X75" s="18" t="n">
        <v>3.5</v>
      </c>
      <c r="Y75" s="18" t="n">
        <v>86.19</v>
      </c>
      <c r="Z75" s="37" t="n">
        <v>282.68</v>
      </c>
      <c r="AA75" s="18" t="n">
        <v>32.89</v>
      </c>
      <c r="AB75" s="19" t="n">
        <v>0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무형자산의감소</t>
        </is>
      </c>
      <c r="E76" s="18" t="n">
        <v>0</v>
      </c>
      <c r="F76" s="9" t="n"/>
      <c r="G76" s="18" t="n">
        <v>30</v>
      </c>
      <c r="H76" s="18" t="n">
        <v>0</v>
      </c>
      <c r="I76" s="18" t="n">
        <v>0</v>
      </c>
      <c r="J76" s="18" t="n">
        <v>0</v>
      </c>
      <c r="K76" s="37" t="n">
        <v>30</v>
      </c>
      <c r="L76" s="18" t="n">
        <v>0</v>
      </c>
      <c r="M76" s="18" t="n">
        <v>1004.18</v>
      </c>
      <c r="N76" s="18" t="n">
        <v>25.74</v>
      </c>
      <c r="P76" s="9" t="n"/>
      <c r="Q76" s="18" t="n">
        <v>170</v>
      </c>
      <c r="R76" s="18" t="n">
        <v>0</v>
      </c>
      <c r="S76" s="18" t="n">
        <v>0</v>
      </c>
      <c r="T76" s="18" t="n">
        <v>0</v>
      </c>
      <c r="U76" s="37" t="n">
        <v>170</v>
      </c>
      <c r="V76" s="18" t="n">
        <v>0</v>
      </c>
      <c r="Y76" s="18" t="n">
        <v>26.73</v>
      </c>
      <c r="Z76" s="9" t="n"/>
      <c r="AB76" s="5" t="n"/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유형자산의증가</t>
        </is>
      </c>
      <c r="E77" s="18" t="n">
        <v>3394.5</v>
      </c>
      <c r="F77" s="9" t="n"/>
      <c r="G77" s="18" t="n">
        <v>712.46</v>
      </c>
      <c r="H77" s="18" t="n">
        <v>3653.07</v>
      </c>
      <c r="I77" s="18" t="n">
        <v>1238.27</v>
      </c>
      <c r="J77" s="18" t="n">
        <v>4047.16</v>
      </c>
      <c r="K77" s="37" t="n">
        <v>9650.959999999999</v>
      </c>
      <c r="L77" s="18" t="n">
        <v>11567.3</v>
      </c>
      <c r="M77" s="18" t="n">
        <v>3427.69</v>
      </c>
      <c r="N77" s="18" t="n">
        <v>3904.04</v>
      </c>
      <c r="O77" s="18" t="n">
        <v>7914.21</v>
      </c>
      <c r="P77" s="37" t="n">
        <v>26813.24</v>
      </c>
      <c r="Q77" s="18" t="n">
        <v>10391.44</v>
      </c>
      <c r="R77" s="18" t="n">
        <v>13214.34</v>
      </c>
      <c r="T77" s="18" t="n">
        <v>3960.55</v>
      </c>
      <c r="U77" s="9" t="n"/>
      <c r="V77" s="18" t="n">
        <v>1587.7</v>
      </c>
      <c r="W77" s="18" t="n">
        <v>859.4400000000001</v>
      </c>
      <c r="X77" s="18" t="n">
        <v>9526.139999999999</v>
      </c>
      <c r="Y77" s="18" t="n">
        <v>873.98</v>
      </c>
      <c r="Z77" s="37" t="n">
        <v>12847.26</v>
      </c>
      <c r="AA77" s="18" t="n">
        <v>3228.9</v>
      </c>
      <c r="AB77" s="19" t="n">
        <v>15086.39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CAPEX</t>
        </is>
      </c>
      <c r="E78" s="18" t="n">
        <v>3394.5</v>
      </c>
      <c r="F78" s="9" t="n"/>
      <c r="G78" s="18" t="n">
        <v>712.46</v>
      </c>
      <c r="H78" s="18" t="n">
        <v>3653.07</v>
      </c>
      <c r="I78" s="18" t="n">
        <v>1238.27</v>
      </c>
      <c r="J78" s="18" t="n">
        <v>4047.16</v>
      </c>
      <c r="K78" s="37" t="n">
        <v>9650.959999999999</v>
      </c>
      <c r="L78" s="18" t="n">
        <v>11567.3</v>
      </c>
      <c r="M78" s="18" t="n">
        <v>3437.2</v>
      </c>
      <c r="N78" s="18" t="n">
        <v>4005.14</v>
      </c>
      <c r="O78" s="18" t="n">
        <v>7910.7</v>
      </c>
      <c r="P78" s="37" t="n">
        <v>26920.34</v>
      </c>
      <c r="Q78" s="18" t="n">
        <v>10391.44</v>
      </c>
      <c r="R78" s="18" t="n">
        <v>13225.26</v>
      </c>
      <c r="S78" s="18" t="n">
        <v>6.99</v>
      </c>
      <c r="T78" s="18" t="n">
        <v>3960.55</v>
      </c>
      <c r="U78" s="37" t="n">
        <v>27584.24</v>
      </c>
      <c r="V78" s="18" t="n">
        <v>1587.7</v>
      </c>
      <c r="W78" s="18" t="n">
        <v>859.4400000000001</v>
      </c>
      <c r="X78" s="18" t="n">
        <v>9526.530000000001</v>
      </c>
      <c r="Y78" s="18" t="n">
        <v>873.98</v>
      </c>
      <c r="Z78" s="37" t="n">
        <v>12847.65</v>
      </c>
      <c r="AA78" s="18" t="n">
        <v>3228.9</v>
      </c>
      <c r="AB78" s="19" t="n">
        <v>15086.39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재무활동으로인한현금흐름</t>
        </is>
      </c>
      <c r="E79" s="18" t="n">
        <v>9730.26</v>
      </c>
      <c r="F79" s="9" t="n"/>
      <c r="G79" s="18" t="n">
        <v>6545.75</v>
      </c>
      <c r="H79" s="18" t="n">
        <v>3246.74</v>
      </c>
      <c r="I79" s="18" t="n">
        <v>15580.6</v>
      </c>
      <c r="J79" s="18" t="n">
        <v>4022.59</v>
      </c>
      <c r="K79" s="37" t="n">
        <v>29395.68</v>
      </c>
      <c r="L79" s="18" t="n">
        <v>20391.76</v>
      </c>
      <c r="M79" s="18" t="n">
        <v>-20761.37</v>
      </c>
      <c r="N79" s="18" t="n">
        <v>-1354.17</v>
      </c>
      <c r="O79" s="18" t="n">
        <v>-4092.27</v>
      </c>
      <c r="P79" s="37" t="n">
        <v>-5816.05</v>
      </c>
      <c r="Q79" s="18" t="n">
        <v>3144.55</v>
      </c>
      <c r="R79" s="18" t="n">
        <v>-1216.16</v>
      </c>
      <c r="S79" s="18" t="n">
        <v>13188.97</v>
      </c>
      <c r="T79" s="18" t="n">
        <v>-17450.68</v>
      </c>
      <c r="U79" s="37" t="n">
        <v>-2333.32</v>
      </c>
      <c r="V79" s="18" t="n">
        <v>9802.15</v>
      </c>
      <c r="W79" s="18" t="n">
        <v>3986.99</v>
      </c>
      <c r="X79" s="18" t="n">
        <v>-3133.96</v>
      </c>
      <c r="Y79" s="18" t="n">
        <v>1675.47</v>
      </c>
      <c r="Z79" s="37" t="n">
        <v>12330.65</v>
      </c>
      <c r="AA79" s="18" t="n">
        <v>-962.3200000000001</v>
      </c>
      <c r="AB79" s="19" t="n">
        <v>17441.31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단기차입금의증가</t>
        </is>
      </c>
      <c r="E80" s="18" t="n">
        <v>75303.89999999999</v>
      </c>
      <c r="F80" s="9" t="n"/>
      <c r="G80" s="18" t="n">
        <v>93687.55</v>
      </c>
      <c r="H80" s="18" t="n">
        <v>122384.16</v>
      </c>
      <c r="I80" s="18" t="n">
        <v>68547.64999999999</v>
      </c>
      <c r="J80" s="18" t="n">
        <v>75004.81</v>
      </c>
      <c r="K80" s="37" t="n">
        <v>359624.17</v>
      </c>
      <c r="L80" s="18" t="n">
        <v>97443.39999999999</v>
      </c>
      <c r="M80" s="18" t="n">
        <v>173329.26</v>
      </c>
      <c r="N80" s="18" t="n">
        <v>99594.14</v>
      </c>
      <c r="O80" s="18" t="n">
        <v>71492.09</v>
      </c>
      <c r="P80" s="37" t="n">
        <v>441858.89</v>
      </c>
      <c r="Q80" s="18" t="n">
        <v>88995.00999999999</v>
      </c>
      <c r="R80" s="18" t="n">
        <v>126323.93</v>
      </c>
      <c r="S80" s="18" t="n">
        <v>136395.91</v>
      </c>
      <c r="T80" s="18" t="n">
        <v>83564.08</v>
      </c>
      <c r="U80" s="37" t="n">
        <v>435278.93</v>
      </c>
      <c r="V80" s="18" t="n">
        <v>67623.7</v>
      </c>
      <c r="W80" s="18" t="n">
        <v>97476.34</v>
      </c>
      <c r="X80" s="18" t="n">
        <v>91479.69</v>
      </c>
      <c r="Y80" s="18" t="n">
        <v>106812</v>
      </c>
      <c r="Z80" s="37" t="n">
        <v>363391.73</v>
      </c>
      <c r="AA80" s="18" t="n">
        <v>73099.75</v>
      </c>
      <c r="AB80" s="19" t="n">
        <v>93441.24000000001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단기차입금의감소</t>
        </is>
      </c>
      <c r="E81" s="18" t="n">
        <v>68243.71000000001</v>
      </c>
      <c r="F81" s="9" t="n"/>
      <c r="G81" s="18" t="n">
        <v>106822.37</v>
      </c>
      <c r="H81" s="18" t="n">
        <v>116088.48</v>
      </c>
      <c r="I81" s="18" t="n">
        <v>82657.63</v>
      </c>
      <c r="J81" s="18" t="n">
        <v>74639.64999999999</v>
      </c>
      <c r="K81" s="37" t="n">
        <v>380208.13</v>
      </c>
      <c r="L81" s="18" t="n">
        <v>79735.25999999999</v>
      </c>
      <c r="M81" s="18" t="n">
        <v>168362.93</v>
      </c>
      <c r="N81" s="18" t="n">
        <v>100637.28</v>
      </c>
      <c r="O81" s="18" t="n">
        <v>65280.82</v>
      </c>
      <c r="P81" s="37" t="n">
        <v>414016.29</v>
      </c>
      <c r="Q81" s="18" t="n">
        <v>82483.78</v>
      </c>
      <c r="R81" s="18" t="n">
        <v>153824.06</v>
      </c>
      <c r="S81" s="18" t="n">
        <v>152830.1</v>
      </c>
      <c r="T81" s="18" t="n">
        <v>86542.63</v>
      </c>
      <c r="U81" s="37" t="n">
        <v>475680.57</v>
      </c>
      <c r="V81" s="18" t="n">
        <v>65499.41</v>
      </c>
      <c r="W81" s="18" t="n">
        <v>95166.97</v>
      </c>
      <c r="X81" s="18" t="n">
        <v>98430.50999999999</v>
      </c>
      <c r="Y81" s="18" t="n">
        <v>95609.41</v>
      </c>
      <c r="Z81" s="37" t="n">
        <v>354706.3</v>
      </c>
      <c r="AA81" s="18" t="n">
        <v>73745.72</v>
      </c>
      <c r="AB81" s="19" t="n">
        <v>97523.22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유동성장기부채의감소</t>
        </is>
      </c>
      <c r="E82" s="18" t="n">
        <v>0</v>
      </c>
      <c r="F82" s="9" t="n"/>
      <c r="K82" s="9" t="n"/>
      <c r="N82" s="18" t="n">
        <v>0</v>
      </c>
      <c r="O82" s="18" t="n">
        <v>10000</v>
      </c>
      <c r="P82" s="9" t="n"/>
      <c r="S82" s="18" t="n">
        <v>0</v>
      </c>
      <c r="T82" s="18" t="n">
        <v>0</v>
      </c>
      <c r="U82" s="9" t="n"/>
      <c r="X82" s="18" t="n">
        <v>31000</v>
      </c>
      <c r="Y82" s="18" t="n">
        <v>10000</v>
      </c>
      <c r="Z82" s="9" t="n"/>
      <c r="AB82" s="5" t="n"/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배당금지급</t>
        </is>
      </c>
      <c r="E83" s="18" t="n">
        <v>0</v>
      </c>
      <c r="F83" s="9" t="n"/>
      <c r="I83" s="18" t="n">
        <v>0</v>
      </c>
      <c r="J83" s="18" t="n">
        <v>0</v>
      </c>
      <c r="K83" s="9" t="n"/>
      <c r="N83" s="18" t="n">
        <v>0</v>
      </c>
      <c r="O83" s="18" t="n">
        <v>0</v>
      </c>
      <c r="P83" s="9" t="n"/>
      <c r="S83" s="18" t="n">
        <v>0</v>
      </c>
      <c r="T83" s="18" t="n">
        <v>0</v>
      </c>
      <c r="U83" s="9" t="n"/>
      <c r="X83" s="18" t="n">
        <v>0</v>
      </c>
      <c r="Y83" s="18" t="n">
        <v>0</v>
      </c>
      <c r="Z83" s="9" t="n"/>
      <c r="AB83" s="5" t="n"/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리스부채의상환</t>
        </is>
      </c>
      <c r="E84" s="18" t="n">
        <v>329.94</v>
      </c>
      <c r="F84" s="9" t="n"/>
      <c r="G84" s="18" t="n">
        <v>279.21</v>
      </c>
      <c r="H84" s="18" t="n">
        <v>296.94</v>
      </c>
      <c r="I84" s="18" t="n">
        <v>309.42</v>
      </c>
      <c r="J84" s="18" t="n">
        <v>322.45</v>
      </c>
      <c r="K84" s="37" t="n">
        <v>1208.02</v>
      </c>
      <c r="L84" s="18" t="n">
        <v>316.37</v>
      </c>
      <c r="M84" s="18" t="n">
        <v>307.34</v>
      </c>
      <c r="N84" s="18" t="n">
        <v>311.02</v>
      </c>
      <c r="O84" s="18" t="n">
        <v>303.54</v>
      </c>
      <c r="P84" s="37" t="n">
        <v>1238.27</v>
      </c>
      <c r="Q84" s="18" t="n">
        <v>366.68</v>
      </c>
      <c r="R84" s="18" t="n">
        <v>374.67</v>
      </c>
      <c r="S84" s="18" t="n">
        <v>376.84</v>
      </c>
      <c r="T84" s="18" t="n">
        <v>392.65</v>
      </c>
      <c r="U84" s="37" t="n">
        <v>1510.84</v>
      </c>
      <c r="V84" s="18" t="n">
        <v>393.91</v>
      </c>
      <c r="W84" s="18" t="n">
        <v>413.91</v>
      </c>
      <c r="X84" s="18" t="n">
        <v>400.54</v>
      </c>
      <c r="Y84" s="18" t="n">
        <v>398.89</v>
      </c>
      <c r="Z84" s="37" t="n">
        <v>1607.25</v>
      </c>
      <c r="AA84" s="18" t="n">
        <v>397.65</v>
      </c>
      <c r="AB84" s="19" t="n">
        <v>397.65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무형자산상각비</t>
        </is>
      </c>
      <c r="F85" s="9" t="n"/>
      <c r="G85" s="18" t="n">
        <v>7.9</v>
      </c>
      <c r="H85" s="18" t="n">
        <v>7.9</v>
      </c>
      <c r="I85" s="18" t="n">
        <v>7.9</v>
      </c>
      <c r="J85" s="18" t="n">
        <v>7.9</v>
      </c>
      <c r="K85" s="37" t="n">
        <v>31.6</v>
      </c>
      <c r="L85" s="18" t="n">
        <v>9.67</v>
      </c>
      <c r="M85" s="18" t="n">
        <v>9.66</v>
      </c>
      <c r="N85" s="18" t="n">
        <v>9.67</v>
      </c>
      <c r="O85" s="18" t="n">
        <v>10.21</v>
      </c>
      <c r="P85" s="37" t="n">
        <v>39.21</v>
      </c>
      <c r="Q85" s="18" t="n">
        <v>11.32</v>
      </c>
      <c r="R85" s="18" t="n">
        <v>12.08</v>
      </c>
      <c r="S85" s="18" t="n">
        <v>13.69</v>
      </c>
      <c r="T85" s="18" t="n">
        <v>13.86</v>
      </c>
      <c r="U85" s="37" t="n">
        <v>50.95</v>
      </c>
      <c r="V85" s="18" t="n">
        <v>13.86</v>
      </c>
      <c r="W85" s="18" t="n">
        <v>13.86</v>
      </c>
      <c r="X85" s="18" t="n">
        <v>13.86</v>
      </c>
      <c r="Y85" s="18" t="n">
        <v>13.88</v>
      </c>
      <c r="Z85" s="37" t="n">
        <v>55.46</v>
      </c>
      <c r="AA85" s="18" t="n">
        <v>14.02</v>
      </c>
      <c r="AB85" s="19" t="n">
        <v>14.33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사채의증가</t>
        </is>
      </c>
      <c r="F86" s="9" t="n"/>
      <c r="G86" s="18" t="n">
        <v>19959.78</v>
      </c>
      <c r="H86" s="18" t="n">
        <v>0</v>
      </c>
      <c r="I86" s="18" t="n">
        <v>30000</v>
      </c>
      <c r="J86" s="18" t="n">
        <v>9979.879999999999</v>
      </c>
      <c r="K86" s="37" t="n">
        <v>59939.66</v>
      </c>
      <c r="L86" s="18" t="n">
        <v>0</v>
      </c>
      <c r="M86" s="18" t="n">
        <v>0</v>
      </c>
      <c r="N86" s="18" t="n">
        <v>0</v>
      </c>
      <c r="P86" s="9" t="n"/>
      <c r="S86" s="18" t="n">
        <v>0</v>
      </c>
      <c r="T86" s="18" t="n">
        <v>0</v>
      </c>
      <c r="U86" s="9" t="n"/>
      <c r="V86" s="18" t="n">
        <v>19959.78</v>
      </c>
      <c r="W86" s="18" t="n">
        <v>0</v>
      </c>
      <c r="X86" s="18" t="n">
        <v>30000</v>
      </c>
      <c r="Y86" s="18" t="n">
        <v>0</v>
      </c>
      <c r="Z86" s="37" t="n">
        <v>49959.78</v>
      </c>
      <c r="AB86" s="5" t="n"/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현금및현금성자산의증감</t>
        </is>
      </c>
      <c r="F87" s="9" t="n"/>
      <c r="I87" s="18" t="n">
        <v>-6185.89</v>
      </c>
      <c r="K87" s="9" t="n"/>
      <c r="N87" s="18" t="n">
        <v>1407</v>
      </c>
      <c r="O87" s="18" t="n">
        <v>-2065.88</v>
      </c>
      <c r="P87" s="9" t="n"/>
      <c r="Q87" s="18" t="n">
        <v>-4193.23</v>
      </c>
      <c r="R87" s="18" t="n">
        <v>-25222.42</v>
      </c>
      <c r="S87" s="18" t="n">
        <v>6820.92</v>
      </c>
      <c r="T87" s="18" t="n">
        <v>-8933.9</v>
      </c>
      <c r="U87" s="37" t="n">
        <v>-31528.63</v>
      </c>
      <c r="V87" s="18" t="n">
        <v>28862.32</v>
      </c>
      <c r="W87" s="18" t="n">
        <v>-3213.26</v>
      </c>
      <c r="X87" s="18" t="n">
        <v>-902.9299999999999</v>
      </c>
      <c r="Y87" s="18" t="n">
        <v>-17429.61</v>
      </c>
      <c r="Z87" s="37" t="n">
        <v>7316.52</v>
      </c>
      <c r="AA87" s="18" t="n">
        <v>9958.790000000001</v>
      </c>
      <c r="AB87" s="19" t="n">
        <v>-5400.64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장기차입금의증가</t>
        </is>
      </c>
      <c r="F88" s="9" t="n"/>
      <c r="K88" s="9" t="n"/>
      <c r="L88" s="18" t="n">
        <v>3000</v>
      </c>
      <c r="M88" s="18" t="n">
        <v>0</v>
      </c>
      <c r="N88" s="18" t="n">
        <v>0</v>
      </c>
      <c r="O88" s="18" t="n">
        <v>0</v>
      </c>
      <c r="P88" s="37" t="n">
        <v>3000</v>
      </c>
      <c r="S88" s="18" t="n">
        <v>40000</v>
      </c>
      <c r="T88" s="18" t="n">
        <v>0</v>
      </c>
      <c r="U88" s="9" t="n"/>
      <c r="Y88" s="18" t="n">
        <v>0</v>
      </c>
      <c r="Z88" s="9" t="n"/>
      <c r="AB88" s="5" t="n"/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무형자산의증가</t>
        </is>
      </c>
      <c r="F89" s="9" t="n"/>
      <c r="K89" s="9" t="n"/>
      <c r="N89" s="18" t="n">
        <v>101.1</v>
      </c>
      <c r="P89" s="9" t="n"/>
      <c r="S89" s="18" t="n">
        <v>6.99</v>
      </c>
      <c r="T89" s="18" t="n">
        <v>0</v>
      </c>
      <c r="U89" s="9" t="n"/>
      <c r="Y89" s="18" t="n">
        <v>0</v>
      </c>
      <c r="Z89" s="9" t="n"/>
      <c r="AB89" s="5" t="n"/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기말현금및현금성자산</t>
        </is>
      </c>
      <c r="F90" s="9" t="n"/>
      <c r="K90" s="9" t="n"/>
      <c r="N90" s="18" t="n">
        <v>1439.07</v>
      </c>
      <c r="O90" s="18" t="n">
        <v>-2203.19</v>
      </c>
      <c r="P90" s="9" t="n"/>
      <c r="Q90" s="18" t="n">
        <v>60951.95</v>
      </c>
      <c r="R90" s="18" t="n">
        <v>-25252.89</v>
      </c>
      <c r="S90" s="18" t="n">
        <v>6801.09</v>
      </c>
      <c r="T90" s="18" t="n">
        <v>-8880.08</v>
      </c>
      <c r="U90" s="37" t="n">
        <v>33620.07</v>
      </c>
      <c r="V90" s="18" t="n">
        <v>62478.35</v>
      </c>
      <c r="W90" s="18" t="n">
        <v>-3381.31</v>
      </c>
      <c r="X90" s="18" t="n">
        <v>-709.48</v>
      </c>
      <c r="Y90" s="18" t="n">
        <v>-17451.25</v>
      </c>
      <c r="Z90" s="37" t="n">
        <v>40936.31</v>
      </c>
      <c r="AA90" s="18" t="n">
        <v>50895.72</v>
      </c>
      <c r="AB90" s="19" t="n">
        <v>-5392.8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장기차입금의감소</t>
        </is>
      </c>
      <c r="F91" s="9" t="n"/>
      <c r="K91" s="9" t="n"/>
      <c r="P91" s="9" t="n"/>
      <c r="Q91" s="18" t="n">
        <v>3000</v>
      </c>
      <c r="R91" s="18" t="n">
        <v>0</v>
      </c>
      <c r="S91" s="18" t="n">
        <v>0</v>
      </c>
      <c r="T91" s="18" t="n">
        <v>0</v>
      </c>
      <c r="U91" s="37" t="n">
        <v>3000</v>
      </c>
      <c r="V91" s="18" t="n">
        <v>0</v>
      </c>
      <c r="Z91" s="9" t="n"/>
      <c r="AB91" s="5" t="n"/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사채의감소</t>
        </is>
      </c>
      <c r="F92" s="9" t="n"/>
      <c r="K92" s="9" t="n"/>
      <c r="P92" s="9" t="n"/>
      <c r="T92" s="18" t="n">
        <v>0</v>
      </c>
      <c r="U92" s="9" t="n"/>
      <c r="V92" s="18" t="n">
        <v>20000</v>
      </c>
      <c r="Z92" s="9" t="n"/>
      <c r="AB92" s="5" t="n"/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3">
        <f>IFERROR(AC9/AC5,"")</f>
        <v/>
      </c>
      <c r="AD10" s="33">
        <f>IFERROR(AD9/AD5,"")</f>
        <v/>
      </c>
      <c r="AE10" s="25">
        <f>IFERROR(AE9/AE5,"")</f>
        <v/>
      </c>
      <c r="AF10" s="33">
        <f>IFERROR(AF9/AF5,"")</f>
        <v/>
      </c>
      <c r="AG10" s="33">
        <f>IFERROR(AG9/AG5,"")</f>
        <v/>
      </c>
      <c r="AH10" s="33">
        <f>IFERROR(AH9/AH5,"")</f>
        <v/>
      </c>
      <c r="AI10" s="33">
        <f>IFERROR(AI9/AI5,"")</f>
        <v/>
      </c>
      <c r="AJ10" s="25">
        <f>IFERROR(AJ9/AJ5,"")</f>
        <v/>
      </c>
      <c r="AK10" s="33">
        <f>IFERROR(AK9/AK5,"")</f>
        <v/>
      </c>
      <c r="AL10" s="33">
        <f>IFERROR(AL9/AL5,"")</f>
        <v/>
      </c>
      <c r="AM10" s="33">
        <f>IFERROR(AM9/AM5,"")</f>
        <v/>
      </c>
      <c r="AN10" s="33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IFERROR(AC12,"")</f>
        <v/>
      </c>
      <c r="AD11" s="20">
        <f>IFERROR(AD12,"")</f>
        <v/>
      </c>
      <c r="AE11" s="38">
        <f>SUM(AA11:AD11)</f>
        <v/>
      </c>
      <c r="AF11" s="20">
        <f>IFERROR(AF12,"")</f>
        <v/>
      </c>
      <c r="AG11" s="20">
        <f>IFERROR(AG12,"")</f>
        <v/>
      </c>
      <c r="AH11" s="20">
        <f>IFERROR(AH12,"")</f>
        <v/>
      </c>
      <c r="AI11" s="20">
        <f>IFERROR(AI12,"")</f>
        <v/>
      </c>
      <c r="AJ11" s="38">
        <f>SUM(AF11:AI11)</f>
        <v/>
      </c>
      <c r="AK11" s="20">
        <f>IFERROR(AK12,"")</f>
        <v/>
      </c>
      <c r="AL11" s="20">
        <f>IFERROR(AL12,"")</f>
        <v/>
      </c>
      <c r="AM11" s="20">
        <f>IFERROR(AM12,"")</f>
        <v/>
      </c>
      <c r="AN11" s="20">
        <f>IFERROR(AN12,"")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 t="n"/>
      <c r="H12" s="18" t="n"/>
      <c r="I12" s="18" t="n"/>
      <c r="J12" s="18" t="n"/>
      <c r="K12" s="37">
        <f>SUM(G12:J12)</f>
        <v/>
      </c>
      <c r="L12" s="18" t="n"/>
      <c r="M12" s="18" t="n"/>
      <c r="N12" s="18" t="n"/>
      <c r="O12" s="18" t="n"/>
      <c r="P12" s="37">
        <f>SUM(L12:O12)</f>
        <v/>
      </c>
      <c r="Q12" s="18" t="n"/>
      <c r="R12" s="18" t="n"/>
      <c r="S12" s="18" t="n"/>
      <c r="T12" s="18" t="n"/>
      <c r="U12" s="37">
        <f>SUM(Q12:T12)</f>
        <v/>
      </c>
      <c r="V12" s="18" t="n"/>
      <c r="W12" s="18" t="n"/>
      <c r="X12" s="18" t="n"/>
      <c r="Y12" s="18" t="n"/>
      <c r="Z12" s="37">
        <f>SUM(V12:Y12)</f>
        <v/>
      </c>
      <c r="AA12" s="18" t="n"/>
      <c r="AB12" s="19" t="n"/>
      <c r="AC12" s="20">
        <f>IFERROR((AB28*변수!$D$53-AB26*변수!$D$54)/4,"")</f>
        <v/>
      </c>
      <c r="AD12" s="20">
        <f>IFERROR((AC28*변수!$D$53-AC26*변수!$D$54)/4,"")</f>
        <v/>
      </c>
      <c r="AE12" s="38">
        <f>SUM(AA12:AD12)</f>
        <v/>
      </c>
      <c r="AF12" s="20">
        <f>IFERROR((AD28*변수!$D$53-AD26*변수!$D$54)/4,"")</f>
        <v/>
      </c>
      <c r="AG12" s="20">
        <f>IFERROR((AF28*변수!$D$53-AF26*변수!$D$54)/4,"")</f>
        <v/>
      </c>
      <c r="AH12" s="20">
        <f>IFERROR((AG28*변수!$D$53-AG26*변수!$D$54)/4,"")</f>
        <v/>
      </c>
      <c r="AI12" s="20">
        <f>IFERROR((AH28*변수!$D$53-AH26*변수!$D$54)/4,"")</f>
        <v/>
      </c>
      <c r="AJ12" s="38">
        <f>SUM(AF12:AI12)</f>
        <v/>
      </c>
      <c r="AK12" s="20">
        <f>IFERROR((AI28*변수!$D$53-AI26*변수!$D$54)/4,"")</f>
        <v/>
      </c>
      <c r="AL12" s="20">
        <f>IFERROR((AK28*변수!$D$53-AK26*변수!$D$54)/4,"")</f>
        <v/>
      </c>
      <c r="AM12" s="20">
        <f>IFERROR((AL28*변수!$D$53-AL26*변수!$D$54)/4,"")</f>
        <v/>
      </c>
      <c r="AN12" s="20">
        <f>IFERROR((AM28*변수!$D$53-AM26*변수!$D$54)/4,"")</f>
        <v/>
      </c>
      <c r="AO12" s="38">
        <f>SUM(AK12:AN12)</f>
        <v/>
      </c>
    </row>
    <row r="13">
      <c r="A13" s="12" t="inlineStr">
        <is>
          <t>기타영업외손익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기타영업외손익</t>
        </is>
      </c>
      <c r="E13" s="18">
        <f>IFERROR(VLOOKUP($D13,BS연결,MATCH(E$1,BS연결H,0),0)/100,"")</f>
        <v/>
      </c>
      <c r="F13" s="37" t="n"/>
      <c r="G13" s="18">
        <f>IFERROR(VLOOKUP($D13,BS연결,MATCH(G$1,BS연결H,0),0)/100,"")</f>
        <v/>
      </c>
      <c r="H13" s="18">
        <f>IFERROR(VLOOKUP($D13,BS연결,MATCH(H$1,BS연결H,0),0)/100,"")</f>
        <v/>
      </c>
      <c r="I13" s="18">
        <f>IFERROR(VLOOKUP($D13,BS연결,MATCH(I$1,BS연결H,0),0)/100,"")</f>
        <v/>
      </c>
      <c r="J13" s="18">
        <f>IFERROR(VLOOKUP($D13,BS연결,MATCH(J$1,BS연결H,0),0)/100,"")</f>
        <v/>
      </c>
      <c r="K13" s="37">
        <f>IFERROR(VLOOKUP($D13,BS연결,MATCH(K$1,BS연결H,0),0)/100,"")</f>
        <v/>
      </c>
      <c r="L13" s="18">
        <f>IFERROR(VLOOKUP($D13,BS연결,MATCH(L$1,BS연결H,0),0)/100,"")</f>
        <v/>
      </c>
      <c r="M13" s="18">
        <f>IFERROR(VLOOKUP($D13,BS연결,MATCH(M$1,BS연결H,0),0)/100,"")</f>
        <v/>
      </c>
      <c r="N13" s="18">
        <f>IFERROR(VLOOKUP($D13,BS연결,MATCH(N$1,BS연결H,0),0)/100,"")</f>
        <v/>
      </c>
      <c r="O13" s="18">
        <f>IFERROR(VLOOKUP($D13,BS연결,MATCH(O$1,BS연결H,0),0)/100,"")</f>
        <v/>
      </c>
      <c r="P13" s="37">
        <f>IFERROR(VLOOKUP($D13,BS연결,MATCH(P$1,BS연결H,0),0)/100,"")</f>
        <v/>
      </c>
      <c r="Q13" s="18">
        <f>IFERROR(VLOOKUP($D13,BS연결,MATCH(Q$1,BS연결H,0),0)/100,"")</f>
        <v/>
      </c>
      <c r="R13" s="18">
        <f>IFERROR(VLOOKUP($D13,BS연결,MATCH(R$1,BS연결H,0),0)/100,"")</f>
        <v/>
      </c>
      <c r="S13" s="18">
        <f>IFERROR(VLOOKUP($D13,BS연결,MATCH(S$1,BS연결H,0),0)/100,"")</f>
        <v/>
      </c>
      <c r="T13" s="18">
        <f>IFERROR(VLOOKUP($D13,BS연결,MATCH(T$1,BS연결H,0),0)/100,"")</f>
        <v/>
      </c>
      <c r="U13" s="37">
        <f>IFERROR(VLOOKUP($D13,BS연결,MATCH(U$1,BS연결H,0),0)/100,"")</f>
        <v/>
      </c>
      <c r="V13" s="18">
        <f>IFERROR(VLOOKUP($D13,BS연결,MATCH(V$1,BS연결H,0),0)/100,"")</f>
        <v/>
      </c>
      <c r="W13" s="18">
        <f>IFERROR(VLOOKUP($D13,BS연결,MATCH(W$1,BS연결H,0),0)/100,"")</f>
        <v/>
      </c>
      <c r="X13" s="18">
        <f>IFERROR(VLOOKUP($D13,BS연결,MATCH(X$1,BS연결H,0),0)/100,"")</f>
        <v/>
      </c>
      <c r="Y13" s="18">
        <f>IFERROR(VLOOKUP($D13,BS연결,MATCH(Y$1,BS연결H,0),0)/100,"")</f>
        <v/>
      </c>
      <c r="Z13" s="37">
        <f>IFERROR(VLOOKUP($D13,BS연결,MATCH(Z$1,BS연결H,0),0)/100,"")</f>
        <v/>
      </c>
      <c r="AA13" s="18">
        <f>IFERROR(VLOOKUP($D13,BS연결,MATCH(AA$1,BS연결H,0),0)/100,"")</f>
        <v/>
      </c>
      <c r="AB13" s="19">
        <f>IFERROR(VLOOKUP($D13,BS연결,MATCH(AB$1,BS연결H,0),0)/100,"")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지분법손익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종속기업,공동지배기업및관계기업관련손익</t>
        </is>
      </c>
      <c r="E14" s="18">
        <f>IFERROR(VLOOKUP($D14,BS연결,MATCH(E$1,BS연결H,0),0)/100,"")</f>
        <v/>
      </c>
      <c r="F14" s="37" t="n"/>
      <c r="G14" s="18">
        <f>IFERROR(VLOOKUP($D14,BS연결,MATCH(G$1,BS연결H,0),0)/100,"")</f>
        <v/>
      </c>
      <c r="H14" s="18">
        <f>IFERROR(VLOOKUP($D14,BS연결,MATCH(H$1,BS연결H,0),0)/100,"")</f>
        <v/>
      </c>
      <c r="I14" s="18">
        <f>IFERROR(VLOOKUP($D14,BS연결,MATCH(I$1,BS연결H,0),0)/100,"")</f>
        <v/>
      </c>
      <c r="J14" s="18">
        <f>IFERROR(VLOOKUP($D14,BS연결,MATCH(J$1,BS연결H,0),0)/100,"")</f>
        <v/>
      </c>
      <c r="K14" s="37">
        <f>IFERROR(VLOOKUP($D14,BS연결,MATCH(K$1,BS연결H,0),0)/100,"")</f>
        <v/>
      </c>
      <c r="L14" s="18">
        <f>IFERROR(VLOOKUP($D14,BS연결,MATCH(L$1,BS연결H,0),0)/100,"")</f>
        <v/>
      </c>
      <c r="M14" s="18">
        <f>IFERROR(VLOOKUP($D14,BS연결,MATCH(M$1,BS연결H,0),0)/100,"")</f>
        <v/>
      </c>
      <c r="N14" s="18">
        <f>IFERROR(VLOOKUP($D14,BS연결,MATCH(N$1,BS연결H,0),0)/100,"")</f>
        <v/>
      </c>
      <c r="O14" s="18">
        <f>IFERROR(VLOOKUP($D14,BS연결,MATCH(O$1,BS연결H,0),0)/100,"")</f>
        <v/>
      </c>
      <c r="P14" s="37">
        <f>IFERROR(VLOOKUP($D14,BS연결,MATCH(P$1,BS연결H,0),0)/100,"")</f>
        <v/>
      </c>
      <c r="Q14" s="18">
        <f>IFERROR(VLOOKUP($D14,BS연결,MATCH(Q$1,BS연결H,0),0)/100,"")</f>
        <v/>
      </c>
      <c r="R14" s="18">
        <f>IFERROR(VLOOKUP($D14,BS연결,MATCH(R$1,BS연결H,0),0)/100,"")</f>
        <v/>
      </c>
      <c r="S14" s="18">
        <f>IFERROR(VLOOKUP($D14,BS연결,MATCH(S$1,BS연결H,0),0)/100,"")</f>
        <v/>
      </c>
      <c r="T14" s="18">
        <f>IFERROR(VLOOKUP($D14,BS연결,MATCH(T$1,BS연결H,0),0)/100,"")</f>
        <v/>
      </c>
      <c r="U14" s="37">
        <f>IFERROR(VLOOKUP($D14,BS연결,MATCH(U$1,BS연결H,0),0)/100,"")</f>
        <v/>
      </c>
      <c r="V14" s="18">
        <f>IFERROR(VLOOKUP($D14,BS연결,MATCH(V$1,BS연결H,0),0)/100,"")</f>
        <v/>
      </c>
      <c r="W14" s="18">
        <f>IFERROR(VLOOKUP($D14,BS연결,MATCH(W$1,BS연결H,0),0)/100,"")</f>
        <v/>
      </c>
      <c r="X14" s="18">
        <f>IFERROR(VLOOKUP($D14,BS연결,MATCH(X$1,BS연결H,0),0)/100,"")</f>
        <v/>
      </c>
      <c r="Y14" s="18">
        <f>IFERROR(VLOOKUP($D14,BS연결,MATCH(Y$1,BS연결H,0),0)/100,"")</f>
        <v/>
      </c>
      <c r="Z14" s="37">
        <f>IFERROR(VLOOKUP($D14,BS연결,MATCH(Z$1,BS연결H,0),0)/100,"")</f>
        <v/>
      </c>
      <c r="AA14" s="18">
        <f>IFERROR(VLOOKUP($D14,BS연결,MATCH(AA$1,BS연결H,0),0)/100,"")</f>
        <v/>
      </c>
      <c r="AB14" s="19">
        <f>IFERROR(VLOOKUP($D14,BS연결,MATCH(AB$1,BS연결H,0),0)/100,"")</f>
        <v/>
      </c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세전이익</t>
        </is>
      </c>
      <c r="B15" t="inlineStr">
        <is>
          <t>손익</t>
        </is>
      </c>
      <c r="C15" t="inlineStr">
        <is>
          <t>억원</t>
        </is>
      </c>
      <c r="D15" t="inlineStr">
        <is>
          <t>법인세비용차감전계속사업이익</t>
        </is>
      </c>
      <c r="E15" s="18" t="n"/>
      <c r="F15" s="37" t="n"/>
      <c r="G15" s="18">
        <f>IFERROR(VLOOKUP($D15,BS연결,MATCH(G$1,BS연결H,0),0)/100,"")</f>
        <v/>
      </c>
      <c r="H15" s="18">
        <f>IFERROR(VLOOKUP($D15,BS연결,MATCH(H$1,BS연결H,0),0)/100,"")</f>
        <v/>
      </c>
      <c r="I15" s="18">
        <f>IFERROR(VLOOKUP($D15,BS연결,MATCH(I$1,BS연결H,0),0)/100,"")</f>
        <v/>
      </c>
      <c r="J15" s="18" t="n"/>
      <c r="K15" s="37">
        <f>SUM(G15:J15)</f>
        <v/>
      </c>
      <c r="L15" s="18">
        <f>IFERROR(VLOOKUP($D15,BS연결,MATCH(L$1,BS연결H,0),0)/100,"")</f>
        <v/>
      </c>
      <c r="M15" s="18">
        <f>IFERROR(VLOOKUP($D15,BS연결,MATCH(M$1,BS연결H,0),0)/100,"")</f>
        <v/>
      </c>
      <c r="N15" s="18">
        <f>IFERROR(VLOOKUP($D15,BS연결,MATCH(N$1,BS연결H,0),0)/100,"")</f>
        <v/>
      </c>
      <c r="O15" s="18">
        <f>IFERROR(VLOOKUP($D15,BS연결,MATCH(O$1,BS연결H,0),0)/100,"")</f>
        <v/>
      </c>
      <c r="P15" s="37">
        <f>IFERROR(VLOOKUP($D15,BS연결,MATCH(P$1,BS연결H,0),0)/100,"")</f>
        <v/>
      </c>
      <c r="Q15" s="18">
        <f>IFERROR(VLOOKUP($D15,BS연결,MATCH(Q$1,BS연결H,0),0)/100,"")</f>
        <v/>
      </c>
      <c r="R15" s="18">
        <f>IFERROR(VLOOKUP($D15,BS연결,MATCH(R$1,BS연결H,0),0)/100,"")</f>
        <v/>
      </c>
      <c r="S15" s="18">
        <f>IFERROR(VLOOKUP($D15,BS연결,MATCH(S$1,BS연결H,0),0)/100,"")</f>
        <v/>
      </c>
      <c r="T15" s="18">
        <f>IFERROR(VLOOKUP($D15,BS연결,MATCH(T$1,BS연결H,0),0)/100,"")</f>
        <v/>
      </c>
      <c r="U15" s="37">
        <f>IFERROR(VLOOKUP($D15,BS연결,MATCH(U$1,BS연결H,0),0)/100,"")</f>
        <v/>
      </c>
      <c r="V15" s="18">
        <f>IFERROR(VLOOKUP($D15,BS연결,MATCH(V$1,BS연결H,0),0)/100,"")</f>
        <v/>
      </c>
      <c r="W15" s="18">
        <f>IFERROR(VLOOKUP($D15,BS연결,MATCH(W$1,BS연결H,0),0)/100,"")</f>
        <v/>
      </c>
      <c r="X15" s="18">
        <f>IFERROR(VLOOKUP($D15,BS연결,MATCH(X$1,BS연결H,0),0)/100,"")</f>
        <v/>
      </c>
      <c r="Y15" s="18">
        <f>IFERROR(VLOOKUP($D15,BS연결,MATCH(Y$1,BS연결H,0),0)/100,"")</f>
        <v/>
      </c>
      <c r="Z15" s="37">
        <f>IFERROR(VLOOKUP($D15,BS연결,MATCH(Z$1,BS연결H,0),0)/100,"")</f>
        <v/>
      </c>
      <c r="AA15" s="18">
        <f>IFERROR(VLOOKUP($D15,BS연결,MATCH(AA$1,BS연결H,0),0)/100,"")</f>
        <v/>
      </c>
      <c r="AB15" s="19">
        <f>IFERROR(VLOOKUP($D15,BS연결,MATCH(AB$1,BS연결H,0),0)/100,"")</f>
        <v/>
      </c>
      <c r="AC15" s="20">
        <f>IFERROR(AC9+AC11+AC13+AC14,"")</f>
        <v/>
      </c>
      <c r="AD15" s="20">
        <f>IFERROR(AD9+AD11+AD13+AD14,"")</f>
        <v/>
      </c>
      <c r="AE15" s="38">
        <f>SUM(AA15:AD15)</f>
        <v/>
      </c>
      <c r="AF15" s="20">
        <f>IFERROR(AF9+AF11+AF13+AF14,"")</f>
        <v/>
      </c>
      <c r="AG15" s="20">
        <f>IFERROR(AG9+AG11+AG13+AG14,"")</f>
        <v/>
      </c>
      <c r="AH15" s="20">
        <f>IFERROR(AH9+AH11+AH13+AH14,"")</f>
        <v/>
      </c>
      <c r="AI15" s="20">
        <f>IFERROR(AI9+AI11+AI13+AI14,"")</f>
        <v/>
      </c>
      <c r="AJ15" s="38">
        <f>SUM(AF15:AI15)</f>
        <v/>
      </c>
      <c r="AK15" s="20">
        <f>IFERROR(AK9+AK11+AK13+AK14,"")</f>
        <v/>
      </c>
      <c r="AL15" s="20">
        <f>IFERROR(AL9+AL11+AL13+AL14,"")</f>
        <v/>
      </c>
      <c r="AM15" s="20">
        <f>IFERROR(AM9+AM11+AM13+AM14,"")</f>
        <v/>
      </c>
      <c r="AN15" s="20">
        <f>IFERROR(AN9+AN11+AN13+AN14,"")</f>
        <v/>
      </c>
      <c r="AO15" s="38">
        <f>SUM(AK15:AN15)</f>
        <v/>
      </c>
    </row>
    <row r="16">
      <c r="A16" s="12" t="inlineStr">
        <is>
          <t>법인세비용</t>
        </is>
      </c>
      <c r="B16" t="inlineStr">
        <is>
          <t>손익</t>
        </is>
      </c>
      <c r="C16" t="inlineStr">
        <is>
          <t>억원</t>
        </is>
      </c>
      <c r="D16" t="inlineStr">
        <is>
          <t>법인세비용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IFERROR(MAX(AC15,0)*변수!AC26,"")</f>
        <v/>
      </c>
      <c r="AD16" s="20">
        <f>IFERROR(MAX(AD15,0)*변수!AD26,"")</f>
        <v/>
      </c>
      <c r="AE16" s="38">
        <f>SUM(AA16:AD16)</f>
        <v/>
      </c>
      <c r="AF16" s="20">
        <f>IFERROR(MAX(AF15,0)*변수!AF26,"")</f>
        <v/>
      </c>
      <c r="AG16" s="20">
        <f>IFERROR(MAX(AG15,0)*변수!AG26,"")</f>
        <v/>
      </c>
      <c r="AH16" s="20">
        <f>IFERROR(MAX(AH15,0)*변수!AH26,"")</f>
        <v/>
      </c>
      <c r="AI16" s="20">
        <f>IFERROR(MAX(AI15,0)*변수!AI26,"")</f>
        <v/>
      </c>
      <c r="AJ16" s="38">
        <f>SUM(AF16:AI16)</f>
        <v/>
      </c>
      <c r="AK16" s="20">
        <f>IFERROR(MAX(AK15,0)*변수!AK26,"")</f>
        <v/>
      </c>
      <c r="AL16" s="20">
        <f>IFERROR(MAX(AL15,0)*변수!AL26,"")</f>
        <v/>
      </c>
      <c r="AM16" s="20">
        <f>IFERROR(MAX(AM15,0)*변수!AM26,"")</f>
        <v/>
      </c>
      <c r="AN16" s="20">
        <f>IFERROR(MAX(AN15,0)*변수!AN26,"")</f>
        <v/>
      </c>
      <c r="AO16" s="38">
        <f>SUM(AK16:AN16)</f>
        <v/>
      </c>
    </row>
    <row r="17">
      <c r="A17" s="12" t="inlineStr">
        <is>
          <t>당기순이익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당기순이익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SUM(G17:J17)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IFERROR(VLOOKUP($D17,BS연결,MATCH(P$1,BS연결H,0),0)/100,"")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IFERROR(VLOOKUP($D17,BS연결,MATCH(U$1,BS연결H,0),0)/100,"")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IFERROR(VLOOKUP($D17,BS연결,MATCH(Z$1,BS연결H,0),0)/100,"")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IFERROR(AC15-AC16,"")</f>
        <v/>
      </c>
      <c r="AD17" s="20">
        <f>IFERROR(AD15-AD16,"")</f>
        <v/>
      </c>
      <c r="AE17" s="38">
        <f>SUM(AA17:AD17)</f>
        <v/>
      </c>
      <c r="AF17" s="20">
        <f>IFERROR(AF15-AF16,"")</f>
        <v/>
      </c>
      <c r="AG17" s="20">
        <f>IFERROR(AG15-AG16,"")</f>
        <v/>
      </c>
      <c r="AH17" s="20">
        <f>IFERROR(AH15-AH16,"")</f>
        <v/>
      </c>
      <c r="AI17" s="20">
        <f>IFERROR(AI15-AI16,"")</f>
        <v/>
      </c>
      <c r="AJ17" s="38">
        <f>SUM(AF17:AI17)</f>
        <v/>
      </c>
      <c r="AK17" s="20">
        <f>IFERROR(AK15-AK16,"")</f>
        <v/>
      </c>
      <c r="AL17" s="20">
        <f>IFERROR(AL15-AL16,"")</f>
        <v/>
      </c>
      <c r="AM17" s="20">
        <f>IFERROR(AM15-AM16,"")</f>
        <v/>
      </c>
      <c r="AN17" s="20">
        <f>IFERROR(AN15-AN16,"")</f>
        <v/>
      </c>
      <c r="AO17" s="38">
        <f>SUM(AK17:AN17)</f>
        <v/>
      </c>
    </row>
    <row r="18">
      <c r="A18" s="12" t="inlineStr">
        <is>
          <t>지배주주순이익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(지배주주지분)당기순이익</t>
        </is>
      </c>
      <c r="E18" s="18">
        <f>IFERROR(VLOOKUP($D18,BS연결,MATCH(E$1,BS연결H,0),0)/100,"")</f>
        <v/>
      </c>
      <c r="F18" s="37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IFERROR(AC17*변수!AC27,"")</f>
        <v/>
      </c>
      <c r="AD18" s="20">
        <f>IFERROR(AD17*변수!AD27,"")</f>
        <v/>
      </c>
      <c r="AE18" s="38">
        <f>SUM(AA18:AD18)</f>
        <v/>
      </c>
      <c r="AF18" s="20">
        <f>IFERROR(AF17*변수!AF27,"")</f>
        <v/>
      </c>
      <c r="AG18" s="20">
        <f>IFERROR(AG17*변수!AG27,"")</f>
        <v/>
      </c>
      <c r="AH18" s="20">
        <f>IFERROR(AH17*변수!AH27,"")</f>
        <v/>
      </c>
      <c r="AI18" s="20">
        <f>IFERROR(AI17*변수!AI27,"")</f>
        <v/>
      </c>
      <c r="AJ18" s="38">
        <f>SUM(AF18:AI18)</f>
        <v/>
      </c>
      <c r="AK18" s="20">
        <f>IFERROR(AK17*변수!AK27,"")</f>
        <v/>
      </c>
      <c r="AL18" s="20">
        <f>IFERROR(AL17*변수!AL27,"")</f>
        <v/>
      </c>
      <c r="AM18" s="20">
        <f>IFERROR(AM17*변수!AM27,"")</f>
        <v/>
      </c>
      <c r="AN18" s="20">
        <f>IFERROR(AN17*변수!AN27,"")</f>
        <v/>
      </c>
      <c r="AO18" s="38">
        <f>SUM(AK18:AN18)</f>
        <v/>
      </c>
    </row>
    <row r="19">
      <c r="A19" s="12" t="inlineStr">
        <is>
          <t>중단사업이익</t>
        </is>
      </c>
      <c r="B19" t="inlineStr">
        <is>
          <t>손익</t>
        </is>
      </c>
      <c r="C19" t="inlineStr">
        <is>
          <t>억원</t>
        </is>
      </c>
      <c r="D19" t="inlineStr">
        <is>
          <t>중단사업이익</t>
        </is>
      </c>
      <c r="E19" s="18" t="n"/>
      <c r="F19" s="37" t="n"/>
      <c r="G19" s="18" t="n"/>
      <c r="H19" s="18" t="n"/>
      <c r="I19" s="18" t="n"/>
      <c r="J19" s="18" t="n"/>
      <c r="K19" s="37">
        <f>SUM(G19:J19)</f>
        <v/>
      </c>
      <c r="L19" s="18" t="n"/>
      <c r="M19" s="18" t="n"/>
      <c r="N19" s="18" t="n"/>
      <c r="O19" s="18">
        <f>IFERROR(VLOOKUP($D19,BS연결,MATCH(O$1,BS연결H,0),0)/100,"")</f>
        <v/>
      </c>
      <c r="P19" s="37">
        <f>SUM(L19:O19)</f>
        <v/>
      </c>
      <c r="Q19" s="18" t="n"/>
      <c r="R19" s="18" t="n"/>
      <c r="S19" s="18" t="n"/>
      <c r="T19" s="18" t="n"/>
      <c r="U19" s="37">
        <f>SUM(Q19:T19)</f>
        <v/>
      </c>
      <c r="V19" s="18" t="n"/>
      <c r="W19" s="18" t="n"/>
      <c r="X19" s="18" t="n"/>
      <c r="Y19" s="18">
        <f>IFERROR(VLOOKUP($D19,BS연결,MATCH(Y$1,BS연결H,0),0)/100,"")</f>
        <v/>
      </c>
      <c r="Z19" s="37">
        <f>SUM(V19:Y19)</f>
        <v/>
      </c>
      <c r="AA19" s="18" t="n"/>
      <c r="AB19" s="19" t="n"/>
      <c r="AC19" s="20" t="n"/>
      <c r="AD19" s="20" t="n"/>
      <c r="AE19" s="38">
        <f>SUM(AA19:AD19)</f>
        <v/>
      </c>
      <c r="AF19" s="20" t="n"/>
      <c r="AG19" s="20" t="n"/>
      <c r="AH19" s="20" t="n"/>
      <c r="AI19" s="20" t="n"/>
      <c r="AJ19" s="38">
        <f>SUM(AF19:AI19)</f>
        <v/>
      </c>
      <c r="AK19" s="20" t="n"/>
      <c r="AL19" s="20" t="n"/>
      <c r="AM19" s="20" t="n"/>
      <c r="AN19" s="20" t="n"/>
      <c r="AO19" s="38">
        <f>SUM(AK19:AN19)</f>
        <v/>
      </c>
    </row>
    <row r="20">
      <c r="A20" s="12" t="inlineStr">
        <is>
          <t>감가상각비</t>
        </is>
      </c>
      <c r="B20" t="inlineStr">
        <is>
          <t>손익</t>
        </is>
      </c>
      <c r="C20" t="inlineStr">
        <is>
          <t>억원</t>
        </is>
      </c>
      <c r="D20" t="inlineStr">
        <is>
          <t>감가상각비</t>
        </is>
      </c>
      <c r="E20" s="18">
        <f>IFERROR(VLOOKUP($D20,BS연결,MATCH(E$1,BS연결H,0),0)/100,"")</f>
        <v/>
      </c>
      <c r="F20" s="37" t="n"/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IFERROR(VLOOKUP($D20,BS연결,MATCH(P$1,BS연결H,0),0)/100,"")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IFERROR(VLOOKUP($D20,BS연결,MATCH(U$1,BS연결H,0),0)/100,"")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변수!AC29</f>
        <v/>
      </c>
      <c r="AD20" s="20">
        <f>변수!AD29</f>
        <v/>
      </c>
      <c r="AE20" s="38">
        <f>SUM(AA20:AD20)</f>
        <v/>
      </c>
      <c r="AF20" s="20">
        <f>변수!AF29</f>
        <v/>
      </c>
      <c r="AG20" s="20">
        <f>변수!AG29</f>
        <v/>
      </c>
      <c r="AH20" s="20">
        <f>변수!AH29</f>
        <v/>
      </c>
      <c r="AI20" s="20">
        <f>변수!AI29</f>
        <v/>
      </c>
      <c r="AJ20" s="38">
        <f>SUM(AF20:AI20)</f>
        <v/>
      </c>
      <c r="AK20" s="20">
        <f>변수!AK29</f>
        <v/>
      </c>
      <c r="AL20" s="20">
        <f>변수!AL29</f>
        <v/>
      </c>
      <c r="AM20" s="20">
        <f>변수!AM29</f>
        <v/>
      </c>
      <c r="AN20" s="20">
        <f>변수!AN29</f>
        <v/>
      </c>
      <c r="AO20" s="38">
        <f>SUM(AK20:AN20)</f>
        <v/>
      </c>
    </row>
    <row r="21">
      <c r="A21" s="12" t="inlineStr">
        <is>
          <t>EBITDA</t>
        </is>
      </c>
      <c r="B21" t="inlineStr">
        <is>
          <t>손익</t>
        </is>
      </c>
      <c r="C21" t="inlineStr">
        <is>
          <t>억원</t>
        </is>
      </c>
      <c r="D21" t="inlineStr">
        <is>
          <t>EBITDA</t>
        </is>
      </c>
      <c r="E21" s="18" t="n">
        <v>181.23</v>
      </c>
      <c r="F21" s="37" t="n"/>
      <c r="G21" s="18" t="n">
        <v>275</v>
      </c>
      <c r="H21" s="18" t="n">
        <v>262.83</v>
      </c>
      <c r="I21" s="18" t="n">
        <v>228.24</v>
      </c>
      <c r="J21" s="18" t="n">
        <v>223.31</v>
      </c>
      <c r="K21" s="37">
        <f>SUM(G21:J21)</f>
        <v/>
      </c>
      <c r="L21" s="18" t="n">
        <v>311.76</v>
      </c>
      <c r="M21" s="18" t="n">
        <v>340.9</v>
      </c>
      <c r="N21" s="18" t="n">
        <v>351.46</v>
      </c>
      <c r="O21" s="18" t="n">
        <v>270.29</v>
      </c>
      <c r="P21" s="37">
        <f>SUM(L21:O21)</f>
        <v/>
      </c>
      <c r="Q21" s="18" t="n">
        <v>284.7</v>
      </c>
      <c r="R21" s="18" t="n">
        <v>241.05</v>
      </c>
      <c r="S21" s="18" t="n">
        <v>216.24</v>
      </c>
      <c r="T21" s="18" t="n">
        <v>205.31</v>
      </c>
      <c r="U21" s="37">
        <f>SUM(Q21:T21)</f>
        <v/>
      </c>
      <c r="V21" s="18" t="n">
        <v>234.7</v>
      </c>
      <c r="W21" s="18" t="n">
        <v>204.66</v>
      </c>
      <c r="X21" s="18" t="n">
        <v>162.38</v>
      </c>
      <c r="Y21" s="18" t="n">
        <v>164.46</v>
      </c>
      <c r="Z21" s="37">
        <f>SUM(V21:Y21)</f>
        <v/>
      </c>
      <c r="AA21" s="18" t="n">
        <v>266.04</v>
      </c>
      <c r="AB21" s="19" t="n">
        <v>332.6</v>
      </c>
      <c r="AC21" s="20">
        <f>IFERROR(AC9+AC20,"")</f>
        <v/>
      </c>
      <c r="AD21" s="20">
        <f>IFERROR(AD9+AD20,"")</f>
        <v/>
      </c>
      <c r="AE21" s="38">
        <f>SUM(AA21:AD21)</f>
        <v/>
      </c>
      <c r="AF21" s="20">
        <f>IFERROR(AF9+AF20,"")</f>
        <v/>
      </c>
      <c r="AG21" s="20">
        <f>IFERROR(AG9+AG20,"")</f>
        <v/>
      </c>
      <c r="AH21" s="20">
        <f>IFERROR(AH9+AH20,"")</f>
        <v/>
      </c>
      <c r="AI21" s="20">
        <f>IFERROR(AI9+AI20,"")</f>
        <v/>
      </c>
      <c r="AJ21" s="38">
        <f>SUM(AF21:AI21)</f>
        <v/>
      </c>
      <c r="AK21" s="20">
        <f>IFERROR(AK9+AK20,"")</f>
        <v/>
      </c>
      <c r="AL21" s="20">
        <f>IFERROR(AL9+AL20,"")</f>
        <v/>
      </c>
      <c r="AM21" s="20">
        <f>IFERROR(AM9+AM20,"")</f>
        <v/>
      </c>
      <c r="AN21" s="20">
        <f>IFERROR(AN9+AN20,"")</f>
        <v/>
      </c>
      <c r="AO21" s="38">
        <f>SUM(AK21:AN21)</f>
        <v/>
      </c>
    </row>
    <row r="22">
      <c r="A22" s="12" t="inlineStr">
        <is>
          <t>자산총계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자산총계</t>
        </is>
      </c>
      <c r="E22" s="18">
        <f>IFERROR(VLOOKUP($D22,BS연결,MATCH(E$1,BS연결H,0),0)/100,"")</f>
        <v/>
      </c>
      <c r="F22" s="37">
        <f>IFERROR(VLOOKUP($D22,BS연결,MATCH(F$1,BS연결H,0),0)/100,"")</f>
        <v/>
      </c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>
        <f>IFERROR(VLOOKUP($D22,BS연결,MATCH(L$1,BS연결H,0),0)/100,"")</f>
        <v/>
      </c>
      <c r="M22" s="18">
        <f>IFERROR(VLOOKUP($D22,BS연결,MATCH(M$1,BS연결H,0),0)/100,"")</f>
        <v/>
      </c>
      <c r="N22" s="18">
        <f>IFERROR(VLOOKUP($D22,BS연결,MATCH(N$1,BS연결H,0),0)/100,"")</f>
        <v/>
      </c>
      <c r="O22" s="18">
        <f>IFERROR(VLOOKUP($D22,BS연결,MATCH(O$1,BS연결H,0),0)/100,"")</f>
        <v/>
      </c>
      <c r="P22" s="37">
        <f>IFERROR(VLOOKUP($D22,BS연결,MATCH(P$1,BS연결H,0),0)/100,"")</f>
        <v/>
      </c>
      <c r="Q22" s="18">
        <f>IFERROR(VLOOKUP($D22,BS연결,MATCH(Q$1,BS연결H,0),0)/100,"")</f>
        <v/>
      </c>
      <c r="R22" s="18">
        <f>IFERROR(VLOOKUP($D22,BS연결,MATCH(R$1,BS연결H,0),0)/100,"")</f>
        <v/>
      </c>
      <c r="S22" s="18">
        <f>IFERROR(VLOOKUP($D22,BS연결,MATCH(S$1,BS연결H,0),0)/100,"")</f>
        <v/>
      </c>
      <c r="T22" s="18">
        <f>IFERROR(VLOOKUP($D22,BS연결,MATCH(T$1,BS연결H,0),0)/100,"")</f>
        <v/>
      </c>
      <c r="U22" s="37">
        <f>IFERROR(VLOOKUP($D22,BS연결,MATCH(U$1,BS연결H,0),0)/100,"")</f>
        <v/>
      </c>
      <c r="V22" s="18">
        <f>IFERROR(VLOOKUP($D22,BS연결,MATCH(V$1,BS연결H,0),0)/100,"")</f>
        <v/>
      </c>
      <c r="W22" s="18">
        <f>IFERROR(VLOOKUP($D22,BS연결,MATCH(W$1,BS연결H,0),0)/100,"")</f>
        <v/>
      </c>
      <c r="X22" s="18">
        <f>IFERROR(VLOOKUP($D22,BS연결,MATCH(X$1,BS연결H,0),0)/100,"")</f>
        <v/>
      </c>
      <c r="Y22" s="18">
        <f>IFERROR(VLOOKUP($D22,BS연결,MATCH(Y$1,BS연결H,0),0)/100,"")</f>
        <v/>
      </c>
      <c r="Z22" s="37">
        <f>IFERROR(VLOOKUP($D22,BS연결,MATCH(Z$1,BS연결H,0),0)/100,"")</f>
        <v/>
      </c>
      <c r="AA22" s="18">
        <f>IFERROR(VLOOKUP($D22,BS연결,MATCH(AA$1,BS연결H,0),0)/100,"")</f>
        <v/>
      </c>
      <c r="AB22" s="19">
        <f>IFERROR(VLOOKUP($D22,BS연결,MATCH(AB$1,BS연결H,0),0)/100,"")</f>
        <v/>
      </c>
      <c r="AC22" s="20">
        <f>IFERROR(AC23+AC24,"")</f>
        <v/>
      </c>
      <c r="AD22" s="20">
        <f>IFERROR(AD23+AD24,"")</f>
        <v/>
      </c>
      <c r="AE22" s="38">
        <f>AD22</f>
        <v/>
      </c>
      <c r="AF22" s="20">
        <f>IFERROR(AF23+AF24,"")</f>
        <v/>
      </c>
      <c r="AG22" s="20">
        <f>IFERROR(AG23+AG24,"")</f>
        <v/>
      </c>
      <c r="AH22" s="20">
        <f>IFERROR(AH23+AH24,"")</f>
        <v/>
      </c>
      <c r="AI22" s="20">
        <f>IFERROR(AI23+AI24,"")</f>
        <v/>
      </c>
      <c r="AJ22" s="38">
        <f>AI22</f>
        <v/>
      </c>
      <c r="AK22" s="20">
        <f>IFERROR(AK23+AK24,"")</f>
        <v/>
      </c>
      <c r="AL22" s="20">
        <f>IFERROR(AL23+AL24,"")</f>
        <v/>
      </c>
      <c r="AM22" s="20">
        <f>IFERROR(AM23+AM24,"")</f>
        <v/>
      </c>
      <c r="AN22" s="20">
        <f>IFERROR(AN23+AN24,"")</f>
        <v/>
      </c>
      <c r="AO22" s="38">
        <f>AN22</f>
        <v/>
      </c>
    </row>
    <row r="23">
      <c r="A23" s="12" t="inlineStr">
        <is>
          <t>부채총계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부채총계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IFERROR(AB23*(1+변수!AC30),"")</f>
        <v/>
      </c>
      <c r="AD23" s="20">
        <f>IFERROR(AC23*(1+변수!AD30),"")</f>
        <v/>
      </c>
      <c r="AE23" s="38">
        <f>AD23</f>
        <v/>
      </c>
      <c r="AF23" s="20">
        <f>IFERROR(AD23*(1+변수!AF30),"")</f>
        <v/>
      </c>
      <c r="AG23" s="20">
        <f>IFERROR(AF23*(1+변수!AG30),"")</f>
        <v/>
      </c>
      <c r="AH23" s="20">
        <f>IFERROR(AG23*(1+변수!AH30),"")</f>
        <v/>
      </c>
      <c r="AI23" s="20">
        <f>IFERROR(AH23*(1+변수!AI30),"")</f>
        <v/>
      </c>
      <c r="AJ23" s="38">
        <f>AI23</f>
        <v/>
      </c>
      <c r="AK23" s="20">
        <f>IFERROR(AI23*(1+변수!AK30),"")</f>
        <v/>
      </c>
      <c r="AL23" s="20">
        <f>IFERROR(AK23*(1+변수!AL30),"")</f>
        <v/>
      </c>
      <c r="AM23" s="20">
        <f>IFERROR(AL23*(1+변수!AM30),"")</f>
        <v/>
      </c>
      <c r="AN23" s="20">
        <f>IFERROR(AM23*(1+변수!AN30),"")</f>
        <v/>
      </c>
      <c r="AO23" s="38">
        <f>AN23</f>
        <v/>
      </c>
    </row>
    <row r="24">
      <c r="A24" s="12" t="inlineStr">
        <is>
          <t>자본총계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자본총계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IFERROR(AB24+AC17-변수!AC31,"")</f>
        <v/>
      </c>
      <c r="AD24" s="20">
        <f>IFERROR(AC24+AD17-변수!AD31,"")</f>
        <v/>
      </c>
      <c r="AE24" s="38">
        <f>AD24</f>
        <v/>
      </c>
      <c r="AF24" s="20">
        <f>IFERROR(AD24+AF17-변수!AF31,"")</f>
        <v/>
      </c>
      <c r="AG24" s="20">
        <f>IFERROR(AF24+AG17-변수!AG31,"")</f>
        <v/>
      </c>
      <c r="AH24" s="20">
        <f>IFERROR(AG24+AH17-변수!AH31,"")</f>
        <v/>
      </c>
      <c r="AI24" s="20">
        <f>IFERROR(AH24+AI17-변수!AI31,"")</f>
        <v/>
      </c>
      <c r="AJ24" s="38">
        <f>AI24</f>
        <v/>
      </c>
      <c r="AK24" s="20">
        <f>IFERROR(AI24+AK17-변수!AK31,"")</f>
        <v/>
      </c>
      <c r="AL24" s="20">
        <f>IFERROR(AK24+AL17-변수!AL31,"")</f>
        <v/>
      </c>
      <c r="AM24" s="20">
        <f>IFERROR(AL24+AM17-변수!AM31,"")</f>
        <v/>
      </c>
      <c r="AN24" s="20">
        <f>IFERROR(AM24+AN17-변수!AN31,"")</f>
        <v/>
      </c>
      <c r="AO24" s="38">
        <f>AN24</f>
        <v/>
      </c>
    </row>
    <row r="25">
      <c r="A25" s="12" t="inlineStr">
        <is>
          <t>지배주주지분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지배주주지분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>
        <f>IFERROR(AB25+AC18-변수!AC32,"")</f>
        <v/>
      </c>
      <c r="AD25" s="20">
        <f>IFERROR(AC25+AD18-변수!AD32,"")</f>
        <v/>
      </c>
      <c r="AE25" s="38">
        <f>AD25</f>
        <v/>
      </c>
      <c r="AF25" s="20">
        <f>IFERROR(AD25+AF18-변수!AF32,"")</f>
        <v/>
      </c>
      <c r="AG25" s="20">
        <f>IFERROR(AF25+AG18-변수!AG32,"")</f>
        <v/>
      </c>
      <c r="AH25" s="20">
        <f>IFERROR(AG25+AH18-변수!AH32,"")</f>
        <v/>
      </c>
      <c r="AI25" s="20">
        <f>IFERROR(AH25+AI18-변수!AI32,"")</f>
        <v/>
      </c>
      <c r="AJ25" s="38">
        <f>AI25</f>
        <v/>
      </c>
      <c r="AK25" s="20">
        <f>IFERROR(AI25+AK18-변수!AK32,"")</f>
        <v/>
      </c>
      <c r="AL25" s="20">
        <f>IFERROR(AK25+AL18-변수!AL32,"")</f>
        <v/>
      </c>
      <c r="AM25" s="20">
        <f>IFERROR(AL25+AM18-변수!AM32,"")</f>
        <v/>
      </c>
      <c r="AN25" s="20">
        <f>IFERROR(AM25+AN18-변수!AN32,"")</f>
        <v/>
      </c>
      <c r="AO25" s="38">
        <f>AN25</f>
        <v/>
      </c>
    </row>
    <row r="26">
      <c r="A26" s="12" t="inlineStr">
        <is>
          <t>총차입금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총차입금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7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>
        <f>IFERROR(AB26*(1+변수!AC33),"")</f>
        <v/>
      </c>
      <c r="AD26" s="20">
        <f>IFERROR(AC26*(1+변수!AD33),"")</f>
        <v/>
      </c>
      <c r="AE26" s="38">
        <f>AD26</f>
        <v/>
      </c>
      <c r="AF26" s="20">
        <f>IFERROR(AD26*(1+변수!AF33),"")</f>
        <v/>
      </c>
      <c r="AG26" s="20">
        <f>IFERROR(AF26*(1+변수!AG33),"")</f>
        <v/>
      </c>
      <c r="AH26" s="20">
        <f>IFERROR(AG26*(1+변수!AH33),"")</f>
        <v/>
      </c>
      <c r="AI26" s="20">
        <f>IFERROR(AH26*(1+변수!AI33),"")</f>
        <v/>
      </c>
      <c r="AJ26" s="38">
        <f>AI26</f>
        <v/>
      </c>
      <c r="AK26" s="20">
        <f>IFERROR(AI26*(1+변수!AK33),"")</f>
        <v/>
      </c>
      <c r="AL26" s="20">
        <f>IFERROR(AK26*(1+변수!AL33),"")</f>
        <v/>
      </c>
      <c r="AM26" s="20">
        <f>IFERROR(AL26*(1+변수!AM33),"")</f>
        <v/>
      </c>
      <c r="AN26" s="20">
        <f>IFERROR(AM26*(1+변수!AN33),"")</f>
        <v/>
      </c>
      <c r="AO26" s="38">
        <f>AN26</f>
        <v/>
      </c>
    </row>
    <row r="27">
      <c r="A27" s="12" t="inlineStr">
        <is>
          <t>순차입금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순차입금</t>
        </is>
      </c>
      <c r="E27" s="18">
        <f>IFERROR(VLOOKUP($D27,BS연결,MATCH(E$1,BS연결H,0),0)/100,"")</f>
        <v/>
      </c>
      <c r="F27" s="37">
        <f>IFERROR(VLOOKUP($D27,BS연결,MATCH(F$1,BS연결H,0),0)/100,"")</f>
        <v/>
      </c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>
        <f>IFERROR(AB27*(1+변수!AC34),"")</f>
        <v/>
      </c>
      <c r="AD27" s="20">
        <f>IFERROR(AC27*(1+변수!AD34),"")</f>
        <v/>
      </c>
      <c r="AE27" s="38">
        <f>AD27</f>
        <v/>
      </c>
      <c r="AF27" s="20">
        <f>IFERROR(AD27*(1+변수!AF34),"")</f>
        <v/>
      </c>
      <c r="AG27" s="20">
        <f>IFERROR(AF27*(1+변수!AG34),"")</f>
        <v/>
      </c>
      <c r="AH27" s="20">
        <f>IFERROR(AG27*(1+변수!AH34),"")</f>
        <v/>
      </c>
      <c r="AI27" s="20">
        <f>IFERROR(AH27*(1+변수!AI34),"")</f>
        <v/>
      </c>
      <c r="AJ27" s="38">
        <f>AI27</f>
        <v/>
      </c>
      <c r="AK27" s="20">
        <f>IFERROR(AI27*(1+변수!AK34),"")</f>
        <v/>
      </c>
      <c r="AL27" s="20">
        <f>IFERROR(AK27*(1+변수!AL34),"")</f>
        <v/>
      </c>
      <c r="AM27" s="20">
        <f>IFERROR(AL27*(1+변수!AM34),"")</f>
        <v/>
      </c>
      <c r="AN27" s="20">
        <f>IFERROR(AM27*(1+변수!AN34),"")</f>
        <v/>
      </c>
      <c r="AO27" s="38">
        <f>AN27</f>
        <v/>
      </c>
    </row>
    <row r="28">
      <c r="A28" s="12" t="inlineStr">
        <is>
          <t>이자발생자산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이자발생자산</t>
        </is>
      </c>
      <c r="E28" s="18">
        <f>IFERROR(VLOOKUP($D28,BS연결,MATCH(E$1,BS연결H,0),0)/100,"")</f>
        <v/>
      </c>
      <c r="F28" s="37">
        <f>IFERROR(VLOOKUP($D28,BS연결,MATCH(F$1,BS연결H,0),0)/100,"")</f>
        <v/>
      </c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7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7">
        <f>IFERROR(VLOOKUP($D28,BS연결,MATCH(P$1,BS연결H,0),0)/100,"")</f>
        <v/>
      </c>
      <c r="Q28" s="18">
        <f>IFERROR(VLOOKUP($D28,BS연결,MATCH(Q$1,BS연결H,0),0)/100,"")</f>
        <v/>
      </c>
      <c r="R28" s="18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37">
        <f>IFERROR(VLOOKUP($D28,BS연결,MATCH(U$1,BS연결H,0),0)/100,"")</f>
        <v/>
      </c>
      <c r="V28" s="18">
        <f>IFERROR(VLOOKUP($D28,BS연결,MATCH(V$1,BS연결H,0),0)/100,"")</f>
        <v/>
      </c>
      <c r="W28" s="18">
        <f>IFERROR(VLOOKUP($D28,BS연결,MATCH(W$1,BS연결H,0),0)/100,"")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7">
        <f>IFERROR(VLOOKUP($D28,BS연결,MATCH(Z$1,BS연결H,0),0)/100,"")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>
        <f>IFERROR(AB28*(1+변수!AC35),"")</f>
        <v/>
      </c>
      <c r="AD28" s="20">
        <f>IFERROR(AC28*(1+변수!AD35),"")</f>
        <v/>
      </c>
      <c r="AE28" s="38">
        <f>AD28</f>
        <v/>
      </c>
      <c r="AF28" s="20">
        <f>IFERROR(AD28*(1+변수!AF35),"")</f>
        <v/>
      </c>
      <c r="AG28" s="20">
        <f>IFERROR(AF28*(1+변수!AG35),"")</f>
        <v/>
      </c>
      <c r="AH28" s="20">
        <f>IFERROR(AG28*(1+변수!AH35),"")</f>
        <v/>
      </c>
      <c r="AI28" s="20">
        <f>IFERROR(AH28*(1+변수!AI35),"")</f>
        <v/>
      </c>
      <c r="AJ28" s="38">
        <f>AI28</f>
        <v/>
      </c>
      <c r="AK28" s="20">
        <f>IFERROR(AI28*(1+변수!AK35),"")</f>
        <v/>
      </c>
      <c r="AL28" s="20">
        <f>IFERROR(AK28*(1+변수!AL35),"")</f>
        <v/>
      </c>
      <c r="AM28" s="20">
        <f>IFERROR(AL28*(1+변수!AM35),"")</f>
        <v/>
      </c>
      <c r="AN28" s="20">
        <f>IFERROR(AM28*(1+변수!AN35),"")</f>
        <v/>
      </c>
      <c r="AO28" s="38">
        <f>AN28</f>
        <v/>
      </c>
    </row>
    <row r="29">
      <c r="A29" s="12" t="inlineStr">
        <is>
          <t>현금및현금성자산</t>
        </is>
      </c>
      <c r="B29" t="inlineStr">
        <is>
          <t>재무상태</t>
        </is>
      </c>
      <c r="C29" t="inlineStr">
        <is>
          <t>억원</t>
        </is>
      </c>
      <c r="D29" t="inlineStr">
        <is>
          <t>현금및현금성자산</t>
        </is>
      </c>
      <c r="E29" s="18">
        <f>IFERROR(VLOOKUP($D29,BS연결,MATCH(E$1,BS연결H,0),0)/100,"")</f>
        <v/>
      </c>
      <c r="F29" s="37">
        <f>IFERROR(VLOOKUP($D29,BS연결,MATCH(F$1,BS연결H,0),0)/100,"")</f>
        <v/>
      </c>
      <c r="G29" s="18">
        <f>IFERROR(VLOOKUP($D29,BS연결,MATCH(G$1,BS연결H,0),0)/100,"")</f>
        <v/>
      </c>
      <c r="H29" s="18">
        <f>IFERROR(VLOOKUP($D29,BS연결,MATCH(H$1,BS연결H,0),0)/100,"")</f>
        <v/>
      </c>
      <c r="I29" s="18">
        <f>IFERROR(VLOOKUP($D29,BS연결,MATCH(I$1,BS연결H,0),0)/100,"")</f>
        <v/>
      </c>
      <c r="J29" s="18">
        <f>IFERROR(VLOOKUP($D29,BS연결,MATCH(J$1,BS연결H,0),0)/100,"")</f>
        <v/>
      </c>
      <c r="K29" s="37">
        <f>IFERROR(VLOOKUP($D29,BS연결,MATCH(K$1,BS연결H,0),0)/100,"")</f>
        <v/>
      </c>
      <c r="L29" s="18">
        <f>IFERROR(VLOOKUP($D29,BS연결,MATCH(L$1,BS연결H,0),0)/100,"")</f>
        <v/>
      </c>
      <c r="M29" s="18">
        <f>IFERROR(VLOOKUP($D29,BS연결,MATCH(M$1,BS연결H,0),0)/100,"")</f>
        <v/>
      </c>
      <c r="N29" s="18">
        <f>IFERROR(VLOOKUP($D29,BS연결,MATCH(N$1,BS연결H,0),0)/100,"")</f>
        <v/>
      </c>
      <c r="O29" s="18">
        <f>IFERROR(VLOOKUP($D29,BS연결,MATCH(O$1,BS연결H,0),0)/100,"")</f>
        <v/>
      </c>
      <c r="P29" s="37">
        <f>IFERROR(VLOOKUP($D29,BS연결,MATCH(P$1,BS연결H,0),0)/100,"")</f>
        <v/>
      </c>
      <c r="Q29" s="18">
        <f>IFERROR(VLOOKUP($D29,BS연결,MATCH(Q$1,BS연결H,0),0)/100,"")</f>
        <v/>
      </c>
      <c r="R29" s="18">
        <f>IFERROR(VLOOKUP($D29,BS연결,MATCH(R$1,BS연결H,0),0)/100,"")</f>
        <v/>
      </c>
      <c r="S29" s="18">
        <f>IFERROR(VLOOKUP($D29,BS연결,MATCH(S$1,BS연결H,0),0)/100,"")</f>
        <v/>
      </c>
      <c r="T29" s="18">
        <f>IFERROR(VLOOKUP($D29,BS연결,MATCH(T$1,BS연결H,0),0)/100,"")</f>
        <v/>
      </c>
      <c r="U29" s="37">
        <f>IFERROR(VLOOKUP($D29,BS연결,MATCH(U$1,BS연결H,0),0)/100,"")</f>
        <v/>
      </c>
      <c r="V29" s="18">
        <f>IFERROR(VLOOKUP($D29,BS연결,MATCH(V$1,BS연결H,0),0)/100,"")</f>
        <v/>
      </c>
      <c r="W29" s="18">
        <f>IFERROR(VLOOKUP($D29,BS연결,MATCH(W$1,BS연결H,0),0)/100,"")</f>
        <v/>
      </c>
      <c r="X29" s="18">
        <f>IFERROR(VLOOKUP($D29,BS연결,MATCH(X$1,BS연결H,0),0)/100,"")</f>
        <v/>
      </c>
      <c r="Y29" s="18">
        <f>IFERROR(VLOOKUP($D29,BS연결,MATCH(Y$1,BS연결H,0),0)/100,"")</f>
        <v/>
      </c>
      <c r="Z29" s="37">
        <f>IFERROR(VLOOKUP($D29,BS연결,MATCH(Z$1,BS연결H,0),0)/100,"")</f>
        <v/>
      </c>
      <c r="AA29" s="18">
        <f>IFERROR(VLOOKUP($D29,BS연결,MATCH(AA$1,BS연결H,0),0)/100,"")</f>
        <v/>
      </c>
      <c r="AB29" s="19">
        <f>IFERROR(VLOOKUP($D29,BS연결,MATCH(AB$1,BS연결H,0),0)/100,"")</f>
        <v/>
      </c>
      <c r="AC29" s="20" t="n"/>
      <c r="AD29" s="20" t="n"/>
      <c r="AE29" s="38">
        <f>AD29</f>
        <v/>
      </c>
      <c r="AF29" s="20" t="n"/>
      <c r="AG29" s="20" t="n"/>
      <c r="AH29" s="20" t="n"/>
      <c r="AI29" s="20" t="n"/>
      <c r="AJ29" s="38">
        <f>AI29</f>
        <v/>
      </c>
      <c r="AK29" s="20" t="n"/>
      <c r="AL29" s="20" t="n"/>
      <c r="AM29" s="20" t="n"/>
      <c r="AN29" s="20" t="n"/>
      <c r="AO29" s="38">
        <f>AN29</f>
        <v/>
      </c>
    </row>
    <row r="30">
      <c r="A30" s="12" t="inlineStr">
        <is>
          <t>CAPEX</t>
        </is>
      </c>
      <c r="B30" t="inlineStr">
        <is>
          <t>현금흐름</t>
        </is>
      </c>
      <c r="C30" t="inlineStr">
        <is>
          <t>억원</t>
        </is>
      </c>
      <c r="D30" t="inlineStr">
        <is>
          <t>CAPEX</t>
        </is>
      </c>
      <c r="E30" s="18">
        <f>IFERROR(VLOOKUP($D30,BS연결,MATCH(E$1,BS연결H,0),0)/100,"")</f>
        <v/>
      </c>
      <c r="F30" s="37" t="n"/>
      <c r="G30" s="18">
        <f>IFERROR(VLOOKUP($D30,BS연결,MATCH(G$1,BS연결H,0),0)/100,"")</f>
        <v/>
      </c>
      <c r="H30" s="18">
        <f>IFERROR(VLOOKUP($D30,BS연결,MATCH(H$1,BS연결H,0),0)/100,"")</f>
        <v/>
      </c>
      <c r="I30" s="18">
        <f>IFERROR(VLOOKUP($D30,BS연결,MATCH(I$1,BS연결H,0),0)/100,"")</f>
        <v/>
      </c>
      <c r="J30" s="18">
        <f>IFERROR(VLOOKUP($D30,BS연결,MATCH(J$1,BS연결H,0),0)/100,"")</f>
        <v/>
      </c>
      <c r="K30" s="37">
        <f>IFERROR(VLOOKUP($D30,BS연결,MATCH(K$1,BS연결H,0),0)/100,"")</f>
        <v/>
      </c>
      <c r="L30" s="18">
        <f>IFERROR(VLOOKUP($D30,BS연결,MATCH(L$1,BS연결H,0),0)/100,"")</f>
        <v/>
      </c>
      <c r="M30" s="18">
        <f>IFERROR(VLOOKUP($D30,BS연결,MATCH(M$1,BS연결H,0),0)/100,"")</f>
        <v/>
      </c>
      <c r="N30" s="18">
        <f>IFERROR(VLOOKUP($D30,BS연결,MATCH(N$1,BS연결H,0),0)/100,"")</f>
        <v/>
      </c>
      <c r="O30" s="18">
        <f>IFERROR(VLOOKUP($D30,BS연결,MATCH(O$1,BS연결H,0),0)/100,"")</f>
        <v/>
      </c>
      <c r="P30" s="37">
        <f>IFERROR(VLOOKUP($D30,BS연결,MATCH(P$1,BS연결H,0),0)/100,"")</f>
        <v/>
      </c>
      <c r="Q30" s="18">
        <f>IFERROR(VLOOKUP($D30,BS연결,MATCH(Q$1,BS연결H,0),0)/100,"")</f>
        <v/>
      </c>
      <c r="R30" s="18">
        <f>IFERROR(VLOOKUP($D30,BS연결,MATCH(R$1,BS연결H,0),0)/100,"")</f>
        <v/>
      </c>
      <c r="S30" s="18">
        <f>IFERROR(VLOOKUP($D30,BS연결,MATCH(S$1,BS연결H,0),0)/100,"")</f>
        <v/>
      </c>
      <c r="T30" s="18">
        <f>IFERROR(VLOOKUP($D30,BS연결,MATCH(T$1,BS연결H,0),0)/100,"")</f>
        <v/>
      </c>
      <c r="U30" s="37">
        <f>IFERROR(VLOOKUP($D30,BS연결,MATCH(U$1,BS연결H,0),0)/100,"")</f>
        <v/>
      </c>
      <c r="V30" s="18">
        <f>IFERROR(VLOOKUP($D30,BS연결,MATCH(V$1,BS연결H,0),0)/100,"")</f>
        <v/>
      </c>
      <c r="W30" s="18">
        <f>IFERROR(VLOOKUP($D30,BS연결,MATCH(W$1,BS연결H,0),0)/100,"")</f>
        <v/>
      </c>
      <c r="X30" s="18">
        <f>IFERROR(VLOOKUP($D30,BS연결,MATCH(X$1,BS연결H,0),0)/100,"")</f>
        <v/>
      </c>
      <c r="Y30" s="18">
        <f>IFERROR(VLOOKUP($D30,BS연결,MATCH(Y$1,BS연결H,0),0)/100,"")</f>
        <v/>
      </c>
      <c r="Z30" s="37">
        <f>IFERROR(VLOOKUP($D30,BS연결,MATCH(Z$1,BS연결H,0),0)/100,"")</f>
        <v/>
      </c>
      <c r="AA30" s="18">
        <f>IFERROR(VLOOKUP($D30,BS연결,MATCH(AA$1,BS연결H,0),0)/100,"")</f>
        <v/>
      </c>
      <c r="AB30" s="19">
        <f>IFERROR(VLOOKUP($D30,BS연결,MATCH(AB$1,BS연결H,0),0)/100,"")</f>
        <v/>
      </c>
      <c r="AC30" s="20">
        <f>IFERROR(X30*(1+변수!AC37),"")</f>
        <v/>
      </c>
      <c r="AD30" s="20">
        <f>IFERROR(Y30*(1+변수!AD37),"")</f>
        <v/>
      </c>
      <c r="AE30" s="38">
        <f>SUM(AA30:AD30)</f>
        <v/>
      </c>
      <c r="AF30" s="20">
        <f>IFERROR(AA30*(1+변수!AF37),"")</f>
        <v/>
      </c>
      <c r="AG30" s="20">
        <f>IFERROR(AB30*(1+변수!AG37),"")</f>
        <v/>
      </c>
      <c r="AH30" s="20">
        <f>IFERROR(AC30*(1+변수!AH37),"")</f>
        <v/>
      </c>
      <c r="AI30" s="20">
        <f>IFERROR(AD30*(1+변수!AI37),"")</f>
        <v/>
      </c>
      <c r="AJ30" s="38">
        <f>SUM(AF30:AI30)</f>
        <v/>
      </c>
      <c r="AK30" s="20">
        <f>IFERROR(AF30*(1+변수!AK37),"")</f>
        <v/>
      </c>
      <c r="AL30" s="20">
        <f>IFERROR(AG30*(1+변수!AL37),"")</f>
        <v/>
      </c>
      <c r="AM30" s="20">
        <f>IFERROR(AH30*(1+변수!AM37),"")</f>
        <v/>
      </c>
      <c r="AN30" s="20">
        <f>IFERROR(AI30*(1+변수!AN37),"")</f>
        <v/>
      </c>
      <c r="AO30" s="38">
        <f>SUM(AK30:AN30)</f>
        <v/>
      </c>
    </row>
    <row r="31">
      <c r="A31" s="12" t="inlineStr">
        <is>
          <t>영업활동현금흐름</t>
        </is>
      </c>
      <c r="B31" t="inlineStr">
        <is>
          <t>현금흐름</t>
        </is>
      </c>
      <c r="C31" t="inlineStr">
        <is>
          <t>억원</t>
        </is>
      </c>
      <c r="D31" t="inlineStr">
        <is>
          <t>영업활동으로인한현금흐름</t>
        </is>
      </c>
      <c r="E31" s="18">
        <f>IFERROR(VLOOKUP($D31,BS연결,MATCH(E$1,BS연결H,0),0)/100,"")</f>
        <v/>
      </c>
      <c r="F31" s="37" t="n"/>
      <c r="G31" s="18">
        <f>IFERROR(VLOOKUP($D31,BS연결,MATCH(G$1,BS연결H,0),0)/100,"")</f>
        <v/>
      </c>
      <c r="H31" s="18">
        <f>IFERROR(VLOOKUP($D31,BS연결,MATCH(H$1,BS연결H,0),0)/100,"")</f>
        <v/>
      </c>
      <c r="I31" s="18">
        <f>IFERROR(VLOOKUP($D31,BS연결,MATCH(I$1,BS연결H,0),0)/100,"")</f>
        <v/>
      </c>
      <c r="J31" s="18">
        <f>IFERROR(VLOOKUP($D31,BS연결,MATCH(J$1,BS연결H,0),0)/100,"")</f>
        <v/>
      </c>
      <c r="K31" s="37">
        <f>IFERROR(VLOOKUP($D31,BS연결,MATCH(K$1,BS연결H,0),0)/100,"")</f>
        <v/>
      </c>
      <c r="L31" s="18">
        <f>IFERROR(VLOOKUP($D31,BS연결,MATCH(L$1,BS연결H,0),0)/100,"")</f>
        <v/>
      </c>
      <c r="M31" s="18">
        <f>IFERROR(VLOOKUP($D31,BS연결,MATCH(M$1,BS연결H,0),0)/100,"")</f>
        <v/>
      </c>
      <c r="N31" s="18">
        <f>IFERROR(VLOOKUP($D31,BS연결,MATCH(N$1,BS연결H,0),0)/100,"")</f>
        <v/>
      </c>
      <c r="O31" s="18">
        <f>IFERROR(VLOOKUP($D31,BS연결,MATCH(O$1,BS연결H,0),0)/100,"")</f>
        <v/>
      </c>
      <c r="P31" s="37">
        <f>IFERROR(VLOOKUP($D31,BS연결,MATCH(P$1,BS연결H,0),0)/100,"")</f>
        <v/>
      </c>
      <c r="Q31" s="18">
        <f>IFERROR(VLOOKUP($D31,BS연결,MATCH(Q$1,BS연결H,0),0)/100,"")</f>
        <v/>
      </c>
      <c r="R31" s="18">
        <f>IFERROR(VLOOKUP($D31,BS연결,MATCH(R$1,BS연결H,0),0)/100,"")</f>
        <v/>
      </c>
      <c r="S31" s="18">
        <f>IFERROR(VLOOKUP($D31,BS연결,MATCH(S$1,BS연결H,0),0)/100,"")</f>
        <v/>
      </c>
      <c r="T31" s="18">
        <f>IFERROR(VLOOKUP($D31,BS연결,MATCH(T$1,BS연결H,0),0)/100,"")</f>
        <v/>
      </c>
      <c r="U31" s="37">
        <f>IFERROR(VLOOKUP($D31,BS연결,MATCH(U$1,BS연결H,0),0)/100,"")</f>
        <v/>
      </c>
      <c r="V31" s="18">
        <f>IFERROR(VLOOKUP($D31,BS연결,MATCH(V$1,BS연결H,0),0)/100,"")</f>
        <v/>
      </c>
      <c r="W31" s="18">
        <f>IFERROR(VLOOKUP($D31,BS연결,MATCH(W$1,BS연결H,0),0)/100,"")</f>
        <v/>
      </c>
      <c r="X31" s="18">
        <f>IFERROR(VLOOKUP($D31,BS연결,MATCH(X$1,BS연결H,0),0)/100,"")</f>
        <v/>
      </c>
      <c r="Y31" s="18">
        <f>IFERROR(VLOOKUP($D31,BS연결,MATCH(Y$1,BS연결H,0),0)/100,"")</f>
        <v/>
      </c>
      <c r="Z31" s="37">
        <f>IFERROR(VLOOKUP($D31,BS연결,MATCH(Z$1,BS연결H,0),0)/100,"")</f>
        <v/>
      </c>
      <c r="AA31" s="18">
        <f>IFERROR(VLOOKUP($D31,BS연결,MATCH(AA$1,BS연결H,0),0)/100,"")</f>
        <v/>
      </c>
      <c r="AB31" s="19">
        <f>IFERROR(VLOOKUP($D31,BS연결,MATCH(AB$1,BS연결H,0),0)/100,"")</f>
        <v/>
      </c>
      <c r="AC31" s="20" t="n"/>
      <c r="AD31" s="20" t="n"/>
      <c r="AE31" s="38">
        <f>SUM(AA31:AD31)</f>
        <v/>
      </c>
      <c r="AF31" s="20" t="n"/>
      <c r="AG31" s="20" t="n"/>
      <c r="AH31" s="20" t="n"/>
      <c r="AI31" s="20" t="n"/>
      <c r="AJ31" s="38">
        <f>SUM(AF31:AI31)</f>
        <v/>
      </c>
      <c r="AK31" s="20" t="n"/>
      <c r="AL31" s="20" t="n"/>
      <c r="AM31" s="20" t="n"/>
      <c r="AN31" s="20" t="n"/>
      <c r="AO31" s="38">
        <f>SUM(AK31:AN31)</f>
        <v/>
      </c>
    </row>
    <row r="32">
      <c r="A32" s="12" t="inlineStr">
        <is>
          <t>주식수</t>
        </is>
      </c>
      <c r="B32" t="inlineStr">
        <is>
          <t>주당</t>
        </is>
      </c>
      <c r="C32" t="inlineStr">
        <is>
          <t>백만주</t>
        </is>
      </c>
      <c r="D32" t="inlineStr">
        <is>
          <t>유통주식수</t>
        </is>
      </c>
      <c r="E32" s="27" t="n">
        <v>26.872</v>
      </c>
      <c r="F32" s="28">
        <f>E32</f>
        <v/>
      </c>
      <c r="G32" s="27" t="n">
        <v>26.872</v>
      </c>
      <c r="H32" s="27" t="n">
        <v>26.872</v>
      </c>
      <c r="I32" s="27" t="n">
        <v>26.872</v>
      </c>
      <c r="J32" s="27" t="n">
        <v>26.872</v>
      </c>
      <c r="K32" s="28">
        <f>J32</f>
        <v/>
      </c>
      <c r="L32" s="27" t="n">
        <v>26.872</v>
      </c>
      <c r="M32" s="27" t="n">
        <v>26.872</v>
      </c>
      <c r="N32" s="27" t="n">
        <v>26.872</v>
      </c>
      <c r="O32" s="27" t="n">
        <v>26.872</v>
      </c>
      <c r="P32" s="28">
        <f>O32</f>
        <v/>
      </c>
      <c r="Q32" s="27" t="n">
        <v>26.872</v>
      </c>
      <c r="R32" s="27" t="n">
        <v>26.872</v>
      </c>
      <c r="S32" s="27" t="n">
        <v>26.872</v>
      </c>
      <c r="T32" s="27" t="n">
        <v>26.872</v>
      </c>
      <c r="U32" s="28">
        <f>T32</f>
        <v/>
      </c>
      <c r="V32" s="27" t="n">
        <v>26.872</v>
      </c>
      <c r="W32" s="27" t="n">
        <v>26.872</v>
      </c>
      <c r="X32" s="27" t="n">
        <v>26.872</v>
      </c>
      <c r="Y32" s="27" t="n">
        <v>28.329</v>
      </c>
      <c r="Z32" s="28">
        <f>Y32</f>
        <v/>
      </c>
      <c r="AA32" s="27" t="n">
        <v>28.329</v>
      </c>
      <c r="AB32" s="29" t="n">
        <v>28.329</v>
      </c>
      <c r="AC32" s="32">
        <f>IFERROR(AB32*(1+변수!AC39),"")</f>
        <v/>
      </c>
      <c r="AD32" s="32">
        <f>IFERROR(AC32*(1+변수!AD39),"")</f>
        <v/>
      </c>
      <c r="AE32" s="31">
        <f>AD32</f>
        <v/>
      </c>
      <c r="AF32" s="32">
        <f>IFERROR(AD32*(1+변수!AF39),"")</f>
        <v/>
      </c>
      <c r="AG32" s="32">
        <f>IFERROR(AF32*(1+변수!AG39),"")</f>
        <v/>
      </c>
      <c r="AH32" s="32">
        <f>IFERROR(AG32*(1+변수!AH39),"")</f>
        <v/>
      </c>
      <c r="AI32" s="32">
        <f>IFERROR(AH32*(1+변수!AI39),"")</f>
        <v/>
      </c>
      <c r="AJ32" s="31">
        <f>AI32</f>
        <v/>
      </c>
      <c r="AK32" s="32">
        <f>IFERROR(AI32*(1+변수!AK39),"")</f>
        <v/>
      </c>
      <c r="AL32" s="32">
        <f>IFERROR(AK32*(1+변수!AL39),"")</f>
        <v/>
      </c>
      <c r="AM32" s="32">
        <f>IFERROR(AL32*(1+변수!AM39),"")</f>
        <v/>
      </c>
      <c r="AN32" s="32">
        <f>IFERROR(AM32*(1+변수!AN39),"")</f>
        <v/>
      </c>
      <c r="AO32" s="31">
        <f>AN32</f>
        <v/>
      </c>
    </row>
    <row r="33">
      <c r="A33" s="12" t="inlineStr">
        <is>
          <t>EPS</t>
        </is>
      </c>
      <c r="B33" t="inlineStr">
        <is>
          <t>주당</t>
        </is>
      </c>
      <c r="C33" t="inlineStr">
        <is>
          <t>원</t>
        </is>
      </c>
      <c r="D33" t="inlineStr">
        <is>
          <t>EPS</t>
        </is>
      </c>
      <c r="E33" s="18">
        <f>IFERROR(E18*100/E32,"")</f>
        <v/>
      </c>
      <c r="F33" s="37" t="n"/>
      <c r="G33" s="18">
        <f>IFERROR(G18*100/G32,"")</f>
        <v/>
      </c>
      <c r="H33" s="18">
        <f>IFERROR(H18*100/H32,"")</f>
        <v/>
      </c>
      <c r="I33" s="18">
        <f>IFERROR(I18*100/I32,"")</f>
        <v/>
      </c>
      <c r="J33" s="18">
        <f>IFERROR(J18*100/J32,"")</f>
        <v/>
      </c>
      <c r="K33" s="37">
        <f>SUM(G33:J33)</f>
        <v/>
      </c>
      <c r="L33" s="18">
        <f>IFERROR(L18*100/L32,"")</f>
        <v/>
      </c>
      <c r="M33" s="18">
        <f>IFERROR(M18*100/M32,"")</f>
        <v/>
      </c>
      <c r="N33" s="18">
        <f>IFERROR(N18*100/N32,"")</f>
        <v/>
      </c>
      <c r="O33" s="18">
        <f>IFERROR(O18*100/O32,"")</f>
        <v/>
      </c>
      <c r="P33" s="37">
        <f>SUM(L33:O33)</f>
        <v/>
      </c>
      <c r="Q33" s="18">
        <f>IFERROR(Q18*100/Q32,"")</f>
        <v/>
      </c>
      <c r="R33" s="18">
        <f>IFERROR(R18*100/R32,"")</f>
        <v/>
      </c>
      <c r="S33" s="18">
        <f>IFERROR(S18*100/S32,"")</f>
        <v/>
      </c>
      <c r="T33" s="18">
        <f>IFERROR(T18*100/T32,"")</f>
        <v/>
      </c>
      <c r="U33" s="37">
        <f>SUM(Q33:T33)</f>
        <v/>
      </c>
      <c r="V33" s="18">
        <f>IFERROR(V18*100/V32,"")</f>
        <v/>
      </c>
      <c r="W33" s="18">
        <f>IFERROR(W18*100/W32,"")</f>
        <v/>
      </c>
      <c r="X33" s="18">
        <f>IFERROR(X18*100/X32,"")</f>
        <v/>
      </c>
      <c r="Y33" s="18">
        <f>IFERROR(Y18*100/Y32,"")</f>
        <v/>
      </c>
      <c r="Z33" s="37">
        <f>SUM(V33:Y33)</f>
        <v/>
      </c>
      <c r="AA33" s="18">
        <f>IFERROR(AA18*100/AA32,"")</f>
        <v/>
      </c>
      <c r="AB33" s="19">
        <f>IFERROR(AB18*100/AB32,"")</f>
        <v/>
      </c>
      <c r="AC33" s="20">
        <f>IFERROR(AC18*100/AC32,"")</f>
        <v/>
      </c>
      <c r="AD33" s="20">
        <f>IFERROR(AD18*100/AD32,"")</f>
        <v/>
      </c>
      <c r="AE33" s="38">
        <f>SUM(AA33:AD33)</f>
        <v/>
      </c>
      <c r="AF33" s="20">
        <f>IFERROR(AF18*100/AF32,"")</f>
        <v/>
      </c>
      <c r="AG33" s="20">
        <f>IFERROR(AG18*100/AG32,"")</f>
        <v/>
      </c>
      <c r="AH33" s="20">
        <f>IFERROR(AH18*100/AH32,"")</f>
        <v/>
      </c>
      <c r="AI33" s="20">
        <f>IFERROR(AI18*100/AI32,"")</f>
        <v/>
      </c>
      <c r="AJ33" s="38">
        <f>SUM(AF33:AI33)</f>
        <v/>
      </c>
      <c r="AK33" s="20">
        <f>IFERROR(AK18*100/AK32,"")</f>
        <v/>
      </c>
      <c r="AL33" s="20">
        <f>IFERROR(AL18*100/AL32,"")</f>
        <v/>
      </c>
      <c r="AM33" s="20">
        <f>IFERROR(AM18*100/AM32,"")</f>
        <v/>
      </c>
      <c r="AN33" s="20">
        <f>IFERROR(AN18*100/AN32,"")</f>
        <v/>
      </c>
      <c r="AO33" s="38">
        <f>SUM(AK33:AN33)</f>
        <v/>
      </c>
    </row>
    <row r="34">
      <c r="A34" s="12" t="inlineStr">
        <is>
          <t>조정EPS</t>
        </is>
      </c>
      <c r="B34" t="inlineStr">
        <is>
          <t>주당</t>
        </is>
      </c>
      <c r="C34" t="inlineStr">
        <is>
          <t>원</t>
        </is>
      </c>
      <c r="D34" t="inlineStr">
        <is>
          <t>조정 EPS(일회성 의심 분기의 초과 비영업손익 세후 차감 — 모델 추정)</t>
        </is>
      </c>
      <c r="E34" s="18">
        <f>IFERROR(E33,"")</f>
        <v/>
      </c>
      <c r="F34" s="37" t="n"/>
      <c r="G34" s="18">
        <f>IFERROR(G33,"")</f>
        <v/>
      </c>
      <c r="H34" s="18">
        <f>IFERROR(H33,"")</f>
        <v/>
      </c>
      <c r="I34" s="18">
        <f>IFERROR(I33,"")</f>
        <v/>
      </c>
      <c r="J34" s="18">
        <f>IFERROR(J33,"")</f>
        <v/>
      </c>
      <c r="K34" s="37">
        <f>SUM(G34:J34)</f>
        <v/>
      </c>
      <c r="L34" s="18">
        <f>IFERROR(L33,"")</f>
        <v/>
      </c>
      <c r="M34" s="18">
        <f>IFERROR(M33,"")</f>
        <v/>
      </c>
      <c r="N34" s="18">
        <f>IFERROR(N33,"")</f>
        <v/>
      </c>
      <c r="O34" s="18">
        <f>IFERROR(O33,"")</f>
        <v/>
      </c>
      <c r="P34" s="37">
        <f>SUM(L34:O34)</f>
        <v/>
      </c>
      <c r="Q34" s="18">
        <f>IFERROR(Q33,"")</f>
        <v/>
      </c>
      <c r="R34" s="18">
        <f>IFERROR(R33,"")</f>
        <v/>
      </c>
      <c r="S34" s="18">
        <f>IFERROR(S33,"")</f>
        <v/>
      </c>
      <c r="T34" s="18">
        <f>IFERROR(T33,"")</f>
        <v/>
      </c>
      <c r="U34" s="37">
        <f>SUM(Q34:T34)</f>
        <v/>
      </c>
      <c r="V34" s="18">
        <f>IFERROR(V33,"")</f>
        <v/>
      </c>
      <c r="W34" s="18">
        <f>IFERROR(W33,"")</f>
        <v/>
      </c>
      <c r="X34" s="18">
        <f>IFERROR(X33,"")</f>
        <v/>
      </c>
      <c r="Y34" s="20">
        <f>IFERROR((Y18-(-214.18)*(1.0))*100/Y32,"")</f>
        <v/>
      </c>
      <c r="Z34" s="37">
        <f>SUM(V34:Y34)</f>
        <v/>
      </c>
      <c r="AA34" s="18">
        <f>IFERROR(AA33,"")</f>
        <v/>
      </c>
      <c r="AB34" s="19">
        <f>IFERROR(AB33,"")</f>
        <v/>
      </c>
      <c r="AC34" s="20">
        <f>IFERROR(AC33,"")</f>
        <v/>
      </c>
      <c r="AD34" s="20">
        <f>IFERROR(AD33,"")</f>
        <v/>
      </c>
      <c r="AE34" s="38">
        <f>SUM(AA34:AD34)</f>
        <v/>
      </c>
      <c r="AF34" s="20">
        <f>IFERROR(AF33,"")</f>
        <v/>
      </c>
      <c r="AG34" s="20">
        <f>IFERROR(AG33,"")</f>
        <v/>
      </c>
      <c r="AH34" s="20">
        <f>IFERROR(AH33,"")</f>
        <v/>
      </c>
      <c r="AI34" s="20">
        <f>IFERROR(AI33,"")</f>
        <v/>
      </c>
      <c r="AJ34" s="38">
        <f>SUM(AF34:AI34)</f>
        <v/>
      </c>
      <c r="AK34" s="20">
        <f>IFERROR(AK33,"")</f>
        <v/>
      </c>
      <c r="AL34" s="20">
        <f>IFERROR(AL33,"")</f>
        <v/>
      </c>
      <c r="AM34" s="20">
        <f>IFERROR(AM33,"")</f>
        <v/>
      </c>
      <c r="AN34" s="20">
        <f>IFERROR(AN33,"")</f>
        <v/>
      </c>
      <c r="AO34" s="38">
        <f>SUM(AK34:AN34)</f>
        <v/>
      </c>
    </row>
    <row r="35">
      <c r="A35" s="12" t="inlineStr">
        <is>
          <t>BPS</t>
        </is>
      </c>
      <c r="B35" t="inlineStr">
        <is>
          <t>주당</t>
        </is>
      </c>
      <c r="C35" t="inlineStr">
        <is>
          <t>원</t>
        </is>
      </c>
      <c r="D35" t="inlineStr">
        <is>
          <t>BPS</t>
        </is>
      </c>
      <c r="E35" s="18">
        <f>IFERROR(E25*100/E32,"")</f>
        <v/>
      </c>
      <c r="F35" s="37">
        <f>E35</f>
        <v/>
      </c>
      <c r="G35" s="18">
        <f>IFERROR(G25*100/G32,"")</f>
        <v/>
      </c>
      <c r="H35" s="18">
        <f>IFERROR(H25*100/H32,"")</f>
        <v/>
      </c>
      <c r="I35" s="18">
        <f>IFERROR(I25*100/I32,"")</f>
        <v/>
      </c>
      <c r="J35" s="18">
        <f>IFERROR(J25*100/J32,"")</f>
        <v/>
      </c>
      <c r="K35" s="37">
        <f>J35</f>
        <v/>
      </c>
      <c r="L35" s="18">
        <f>IFERROR(L25*100/L32,"")</f>
        <v/>
      </c>
      <c r="M35" s="18">
        <f>IFERROR(M25*100/M32,"")</f>
        <v/>
      </c>
      <c r="N35" s="18">
        <f>IFERROR(N25*100/N32,"")</f>
        <v/>
      </c>
      <c r="O35" s="18">
        <f>IFERROR(O25*100/O32,"")</f>
        <v/>
      </c>
      <c r="P35" s="37">
        <f>O35</f>
        <v/>
      </c>
      <c r="Q35" s="18">
        <f>IFERROR(Q25*100/Q32,"")</f>
        <v/>
      </c>
      <c r="R35" s="18">
        <f>IFERROR(R25*100/R32,"")</f>
        <v/>
      </c>
      <c r="S35" s="18">
        <f>IFERROR(S25*100/S32,"")</f>
        <v/>
      </c>
      <c r="T35" s="18">
        <f>IFERROR(T25*100/T32,"")</f>
        <v/>
      </c>
      <c r="U35" s="37">
        <f>T35</f>
        <v/>
      </c>
      <c r="V35" s="18">
        <f>IFERROR(V25*100/V32,"")</f>
        <v/>
      </c>
      <c r="W35" s="18">
        <f>IFERROR(W25*100/W32,"")</f>
        <v/>
      </c>
      <c r="X35" s="18">
        <f>IFERROR(X25*100/X32,"")</f>
        <v/>
      </c>
      <c r="Y35" s="18">
        <f>IFERROR(Y25*100/Y32,"")</f>
        <v/>
      </c>
      <c r="Z35" s="37">
        <f>Y35</f>
        <v/>
      </c>
      <c r="AA35" s="18">
        <f>IFERROR(AA25*100/AA32,"")</f>
        <v/>
      </c>
      <c r="AB35" s="19">
        <f>IFERROR(AB25*100/AB32,"")</f>
        <v/>
      </c>
      <c r="AC35" s="20">
        <f>IFERROR(AC25*100/AC32,"")</f>
        <v/>
      </c>
      <c r="AD35" s="20">
        <f>IFERROR(AD25*100/AD32,"")</f>
        <v/>
      </c>
      <c r="AE35" s="38">
        <f>AD35</f>
        <v/>
      </c>
      <c r="AF35" s="20">
        <f>IFERROR(AF25*100/AF32,"")</f>
        <v/>
      </c>
      <c r="AG35" s="20">
        <f>IFERROR(AG25*100/AG32,"")</f>
        <v/>
      </c>
      <c r="AH35" s="20">
        <f>IFERROR(AH25*100/AH32,"")</f>
        <v/>
      </c>
      <c r="AI35" s="20">
        <f>IFERROR(AI25*100/AI32,"")</f>
        <v/>
      </c>
      <c r="AJ35" s="38">
        <f>AI35</f>
        <v/>
      </c>
      <c r="AK35" s="20">
        <f>IFERROR(AK25*100/AK32,"")</f>
        <v/>
      </c>
      <c r="AL35" s="20">
        <f>IFERROR(AL25*100/AL32,"")</f>
        <v/>
      </c>
      <c r="AM35" s="20">
        <f>IFERROR(AM25*100/AM32,"")</f>
        <v/>
      </c>
      <c r="AN35" s="20">
        <f>IFERROR(AN25*100/AN32,"")</f>
        <v/>
      </c>
      <c r="AO35" s="38">
        <f>AN35</f>
        <v/>
      </c>
    </row>
    <row r="36">
      <c r="A36" s="12" t="inlineStr">
        <is>
          <t>DPS</t>
        </is>
      </c>
      <c r="B36" t="inlineStr">
        <is>
          <t>주당</t>
        </is>
      </c>
      <c r="C36" t="inlineStr">
        <is>
          <t>원</t>
        </is>
      </c>
      <c r="D36" t="inlineStr">
        <is>
          <t>DPS(보통주)</t>
        </is>
      </c>
      <c r="E36" s="18" t="n">
        <v>100</v>
      </c>
      <c r="F36" s="37" t="n">
        <v>100</v>
      </c>
      <c r="G36" s="18" t="n"/>
      <c r="H36" s="18" t="n"/>
      <c r="I36" s="18" t="n"/>
      <c r="J36" s="18" t="n">
        <v>120</v>
      </c>
      <c r="K36" s="37">
        <f>SUM(G36:J36)</f>
        <v/>
      </c>
      <c r="L36" s="18" t="n"/>
      <c r="M36" s="18" t="n"/>
      <c r="N36" s="18" t="n"/>
      <c r="O36" s="18" t="n">
        <v>120</v>
      </c>
      <c r="P36" s="37">
        <f>SUM(L36:O36)</f>
        <v/>
      </c>
      <c r="Q36" s="18" t="n"/>
      <c r="R36" s="18" t="n"/>
      <c r="S36" s="18" t="n"/>
      <c r="T36" s="18" t="n">
        <v>120</v>
      </c>
      <c r="U36" s="37">
        <f>SUM(Q36:T36)</f>
        <v/>
      </c>
      <c r="V36" s="18" t="n"/>
      <c r="W36" s="18" t="n"/>
      <c r="X36" s="18" t="n"/>
      <c r="Y36" s="18" t="n">
        <v>120</v>
      </c>
      <c r="Z36" s="37">
        <f>SUM(V36:Y36)</f>
        <v/>
      </c>
      <c r="AA36" s="18" t="n"/>
      <c r="AB36" s="19" t="n"/>
      <c r="AC36" s="20" t="n"/>
      <c r="AD36" s="20">
        <f>변수!AD40</f>
        <v/>
      </c>
      <c r="AE36" s="38">
        <f>SUM(AA36:AD36)</f>
        <v/>
      </c>
      <c r="AF36" s="20" t="n"/>
      <c r="AG36" s="20" t="n"/>
      <c r="AH36" s="20" t="n"/>
      <c r="AI36" s="20">
        <f>변수!AI40</f>
        <v/>
      </c>
      <c r="AJ36" s="38">
        <f>SUM(AF36:AI36)</f>
        <v/>
      </c>
      <c r="AK36" s="20" t="n"/>
      <c r="AL36" s="20" t="n"/>
      <c r="AM36" s="20" t="n"/>
      <c r="AN36" s="20">
        <f>변수!AN40</f>
        <v/>
      </c>
      <c r="AO36" s="38">
        <f>SUM(AK36:AN36)</f>
        <v/>
      </c>
    </row>
    <row r="37">
      <c r="A37" s="12" t="inlineStr">
        <is>
          <t>PER</t>
        </is>
      </c>
      <c r="B37" t="inlineStr">
        <is>
          <t>주당</t>
        </is>
      </c>
      <c r="C37" t="inlineStr">
        <is>
          <t>배</t>
        </is>
      </c>
      <c r="D37" t="inlineStr">
        <is>
          <t>PER</t>
        </is>
      </c>
      <c r="E37" s="13" t="n"/>
      <c r="F37" s="14">
        <f>E37</f>
        <v/>
      </c>
      <c r="G37" s="13" t="n"/>
      <c r="H37" s="13" t="n"/>
      <c r="I37" s="13">
        <f>IFERROR(변수!I18/(E33+G33+H33+I33),"")</f>
        <v/>
      </c>
      <c r="J37" s="13">
        <f>IFERROR(변수!J18/(G33+H33+I33+J33),"")</f>
        <v/>
      </c>
      <c r="K37" s="14">
        <f>J37</f>
        <v/>
      </c>
      <c r="L37" s="13">
        <f>IFERROR(변수!L18/(H33+I33+J33+L33),"")</f>
        <v/>
      </c>
      <c r="M37" s="13">
        <f>IFERROR(변수!M18/(I33+J33+L33+M33),"")</f>
        <v/>
      </c>
      <c r="N37" s="13">
        <f>IFERROR(변수!N18/(J33+L33+M33+N33),"")</f>
        <v/>
      </c>
      <c r="O37" s="13">
        <f>IFERROR(변수!O18/(L33+M33+N33+O33),"")</f>
        <v/>
      </c>
      <c r="P37" s="14">
        <f>O37</f>
        <v/>
      </c>
      <c r="Q37" s="13">
        <f>IFERROR(변수!Q18/(M33+N33+O33+Q33),"")</f>
        <v/>
      </c>
      <c r="R37" s="13">
        <f>IFERROR(변수!R18/(N33+O33+Q33+R33),"")</f>
        <v/>
      </c>
      <c r="S37" s="13">
        <f>IFERROR(변수!S18/(O33+Q33+R33+S33),"")</f>
        <v/>
      </c>
      <c r="T37" s="13">
        <f>IFERROR(변수!T18/(Q33+R33+S33+T33),"")</f>
        <v/>
      </c>
      <c r="U37" s="14">
        <f>T37</f>
        <v/>
      </c>
      <c r="V37" s="13" t="n"/>
      <c r="W37" s="13" t="n"/>
      <c r="X37" s="13" t="n"/>
      <c r="Y37" s="13" t="n"/>
      <c r="Z37" s="14">
        <f>Y37</f>
        <v/>
      </c>
      <c r="AA37" s="13" t="n"/>
      <c r="AB37" s="15" t="n"/>
      <c r="AC37" s="39" t="n"/>
      <c r="AD37" s="39">
        <f>IFERROR(변수!$D$43/(AA33+AB33+AC33+AD33),"")</f>
        <v/>
      </c>
      <c r="AE37" s="40">
        <f>AD37</f>
        <v/>
      </c>
      <c r="AF37" s="39">
        <f>IFERROR(변수!$D$43/(AB33+AC33+AD33+AF33),"")</f>
        <v/>
      </c>
      <c r="AG37" s="39">
        <f>IFERROR(변수!$D$43/(AC33+AD33+AF33+AG33),"")</f>
        <v/>
      </c>
      <c r="AH37" s="39">
        <f>IFERROR(변수!$D$43/(AD33+AF33+AG33+AH33),"")</f>
        <v/>
      </c>
      <c r="AI37" s="39">
        <f>IFERROR(변수!$D$43/(AF33+AG33+AH33+AI33),"")</f>
        <v/>
      </c>
      <c r="AJ37" s="40">
        <f>AI37</f>
        <v/>
      </c>
      <c r="AK37" s="39">
        <f>IFERROR(변수!$D$43/(AG33+AH33+AI33+AK33),"")</f>
        <v/>
      </c>
      <c r="AL37" s="39">
        <f>IFERROR(변수!$D$43/(AH33+AI33+AK33+AL33),"")</f>
        <v/>
      </c>
      <c r="AM37" s="39">
        <f>IFERROR(변수!$D$43/(AI33+AK33+AL33+AM33),"")</f>
        <v/>
      </c>
      <c r="AN37" s="39">
        <f>IFERROR(변수!$D$43/(AK33+AL33+AM33+AN33),"")</f>
        <v/>
      </c>
      <c r="AO37" s="40">
        <f>AN37</f>
        <v/>
      </c>
    </row>
    <row r="38">
      <c r="A38" s="12" t="inlineStr">
        <is>
          <t>PBR</t>
        </is>
      </c>
      <c r="B38" t="inlineStr">
        <is>
          <t>주당</t>
        </is>
      </c>
      <c r="C38" t="inlineStr">
        <is>
          <t>배</t>
        </is>
      </c>
      <c r="D38" t="inlineStr">
        <is>
          <t>PBR</t>
        </is>
      </c>
      <c r="E38" s="13">
        <f>IFERROR(변수!E18/E35,"")</f>
        <v/>
      </c>
      <c r="F38" s="14">
        <f>E38</f>
        <v/>
      </c>
      <c r="G38" s="13">
        <f>IFERROR(변수!G18/G35,"")</f>
        <v/>
      </c>
      <c r="H38" s="13">
        <f>IFERROR(변수!H18/H35,"")</f>
        <v/>
      </c>
      <c r="I38" s="13">
        <f>IFERROR(변수!I18/I35,"")</f>
        <v/>
      </c>
      <c r="J38" s="13">
        <f>IFERROR(변수!J18/J35,"")</f>
        <v/>
      </c>
      <c r="K38" s="14">
        <f>J38</f>
        <v/>
      </c>
      <c r="L38" s="13">
        <f>IFERROR(변수!L18/L35,"")</f>
        <v/>
      </c>
      <c r="M38" s="13">
        <f>IFERROR(변수!M18/M35,"")</f>
        <v/>
      </c>
      <c r="N38" s="13">
        <f>IFERROR(변수!N18/N35,"")</f>
        <v/>
      </c>
      <c r="O38" s="13">
        <f>IFERROR(변수!O18/O35,"")</f>
        <v/>
      </c>
      <c r="P38" s="14">
        <f>O38</f>
        <v/>
      </c>
      <c r="Q38" s="13">
        <f>IFERROR(변수!Q18/Q35,"")</f>
        <v/>
      </c>
      <c r="R38" s="13">
        <f>IFERROR(변수!R18/R35,"")</f>
        <v/>
      </c>
      <c r="S38" s="13">
        <f>IFERROR(변수!S18/S35,"")</f>
        <v/>
      </c>
      <c r="T38" s="13">
        <f>IFERROR(변수!T18/T35,"")</f>
        <v/>
      </c>
      <c r="U38" s="14">
        <f>T38</f>
        <v/>
      </c>
      <c r="V38" s="13">
        <f>IFERROR(변수!V18/V35,"")</f>
        <v/>
      </c>
      <c r="W38" s="13">
        <f>IFERROR(변수!W18/W35,"")</f>
        <v/>
      </c>
      <c r="X38" s="13">
        <f>IFERROR(변수!X18/X35,"")</f>
        <v/>
      </c>
      <c r="Y38" s="13">
        <f>IFERROR(변수!Y18/Y35,"")</f>
        <v/>
      </c>
      <c r="Z38" s="14">
        <f>Y38</f>
        <v/>
      </c>
      <c r="AA38" s="13">
        <f>IFERROR(변수!AA18/AA35,"")</f>
        <v/>
      </c>
      <c r="AB38" s="15">
        <f>IFERROR(변수!AB18/AB35,"")</f>
        <v/>
      </c>
      <c r="AC38" s="39">
        <f>IFERROR(변수!$D$43/AC35,"")</f>
        <v/>
      </c>
      <c r="AD38" s="39">
        <f>IFERROR(변수!$D$43/AD35,"")</f>
        <v/>
      </c>
      <c r="AE38" s="40">
        <f>AD38</f>
        <v/>
      </c>
      <c r="AF38" s="39">
        <f>IFERROR(변수!$D$43/AF35,"")</f>
        <v/>
      </c>
      <c r="AG38" s="39">
        <f>IFERROR(변수!$D$43/AG35,"")</f>
        <v/>
      </c>
      <c r="AH38" s="39">
        <f>IFERROR(변수!$D$43/AH35,"")</f>
        <v/>
      </c>
      <c r="AI38" s="39">
        <f>IFERROR(변수!$D$43/AI35,"")</f>
        <v/>
      </c>
      <c r="AJ38" s="40">
        <f>AI38</f>
        <v/>
      </c>
      <c r="AK38" s="39">
        <f>IFERROR(변수!$D$43/AK35,"")</f>
        <v/>
      </c>
      <c r="AL38" s="39">
        <f>IFERROR(변수!$D$43/AL35,"")</f>
        <v/>
      </c>
      <c r="AM38" s="39">
        <f>IFERROR(변수!$D$43/AM35,"")</f>
        <v/>
      </c>
      <c r="AN38" s="39">
        <f>IFERROR(변수!$D$43/AN35,"")</f>
        <v/>
      </c>
      <c r="AO38" s="40">
        <f>AN38</f>
        <v/>
      </c>
    </row>
    <row r="39">
      <c r="A39" s="12" t="inlineStr">
        <is>
          <t>매출전사</t>
        </is>
      </c>
      <c r="B39" t="inlineStr">
        <is>
          <t>사업부</t>
        </is>
      </c>
      <c r="C39" t="inlineStr">
        <is>
          <t>억원</t>
        </is>
      </c>
      <c r="D39" t="inlineStr">
        <is>
          <t>매출 전사(부문 미분리)</t>
        </is>
      </c>
      <c r="E39" s="18" t="n">
        <v>1451.13</v>
      </c>
      <c r="F39" s="37" t="n"/>
      <c r="G39" s="18" t="n">
        <v>1735.05</v>
      </c>
      <c r="H39" s="18" t="n">
        <v>1697.44</v>
      </c>
      <c r="I39" s="18" t="n">
        <v>1776.49</v>
      </c>
      <c r="J39" s="18" t="n">
        <v>2080.35</v>
      </c>
      <c r="K39" s="37">
        <f>SUM(G39:J39)</f>
        <v/>
      </c>
      <c r="L39" s="18" t="n">
        <v>2105.98</v>
      </c>
      <c r="M39" s="18" t="n">
        <v>2143.09</v>
      </c>
      <c r="N39" s="18" t="n">
        <v>2110.36</v>
      </c>
      <c r="O39" s="18" t="n">
        <v>2209.49</v>
      </c>
      <c r="P39" s="37">
        <f>SUM(L39:O39)</f>
        <v/>
      </c>
      <c r="Q39" s="18" t="n">
        <v>2092.93</v>
      </c>
      <c r="R39" s="18" t="n">
        <v>1894.75</v>
      </c>
      <c r="S39" s="18" t="n">
        <v>1937.09</v>
      </c>
      <c r="T39" s="18" t="n">
        <v>2088.75</v>
      </c>
      <c r="U39" s="37">
        <f>SUM(Q39:T39)</f>
        <v/>
      </c>
      <c r="V39" s="18" t="n">
        <v>1978.71</v>
      </c>
      <c r="W39" s="18" t="n">
        <v>2118.21</v>
      </c>
      <c r="X39" s="18" t="n">
        <v>2052.74</v>
      </c>
      <c r="Y39" s="18" t="n">
        <v>1871.9</v>
      </c>
      <c r="Z39" s="37">
        <f>SUM(V39:Y39)</f>
        <v/>
      </c>
      <c r="AA39" s="18" t="n">
        <v>1966.68</v>
      </c>
      <c r="AB39" s="19" t="n">
        <v>2290.92</v>
      </c>
      <c r="AC39" s="20">
        <f>IFERROR(AC5,"")</f>
        <v/>
      </c>
      <c r="AD39" s="20">
        <f>IFERROR(AD5,"")</f>
        <v/>
      </c>
      <c r="AE39" s="38">
        <f>SUM(AA39:AD39)</f>
        <v/>
      </c>
      <c r="AF39" s="20">
        <f>IFERROR(AF5,"")</f>
        <v/>
      </c>
      <c r="AG39" s="20">
        <f>IFERROR(AG5,"")</f>
        <v/>
      </c>
      <c r="AH39" s="20">
        <f>IFERROR(AH5,"")</f>
        <v/>
      </c>
      <c r="AI39" s="20">
        <f>IFERROR(AI5,"")</f>
        <v/>
      </c>
      <c r="AJ39" s="38">
        <f>SUM(AF39:AI39)</f>
        <v/>
      </c>
      <c r="AK39" s="20">
        <f>IFERROR(AK5,"")</f>
        <v/>
      </c>
      <c r="AL39" s="20">
        <f>IFERROR(AL5,"")</f>
        <v/>
      </c>
      <c r="AM39" s="20">
        <f>IFERROR(AM5,"")</f>
        <v/>
      </c>
      <c r="AN39" s="20">
        <f>IFERROR(AN5,"")</f>
        <v/>
      </c>
      <c r="AO39" s="38">
        <f>SUM(AK39:AN39)</f>
        <v/>
      </c>
    </row>
    <row r="40">
      <c r="A40" s="12" t="inlineStr">
        <is>
          <t>OP전사</t>
        </is>
      </c>
      <c r="B40" t="inlineStr">
        <is>
          <t>사업부</t>
        </is>
      </c>
      <c r="C40" t="inlineStr">
        <is>
          <t>억원</t>
        </is>
      </c>
      <c r="D40" t="inlineStr">
        <is>
          <t>OP 전사(부문 미분리)</t>
        </is>
      </c>
      <c r="E40" s="18" t="n">
        <v>36.28</v>
      </c>
      <c r="F40" s="37" t="n"/>
      <c r="G40" s="18" t="n">
        <v>120.21</v>
      </c>
      <c r="H40" s="18" t="n">
        <v>98.58</v>
      </c>
      <c r="I40" s="18" t="n">
        <v>64.51000000000001</v>
      </c>
      <c r="J40" s="18" t="n">
        <v>56.09</v>
      </c>
      <c r="K40" s="37">
        <f>SUM(G40:J40)</f>
        <v/>
      </c>
      <c r="L40" s="18" t="n">
        <v>157.51</v>
      </c>
      <c r="M40" s="18" t="n">
        <v>182.62</v>
      </c>
      <c r="N40" s="18" t="n">
        <v>189.36</v>
      </c>
      <c r="O40" s="18" t="n">
        <v>136.32</v>
      </c>
      <c r="P40" s="37">
        <f>SUM(L40:O40)</f>
        <v/>
      </c>
      <c r="Q40" s="18" t="n">
        <v>136.42</v>
      </c>
      <c r="R40" s="18" t="n">
        <v>86.73</v>
      </c>
      <c r="S40" s="18" t="n">
        <v>57.65</v>
      </c>
      <c r="T40" s="18" t="n">
        <v>49.68</v>
      </c>
      <c r="U40" s="37">
        <f>SUM(Q40:T40)</f>
        <v/>
      </c>
      <c r="V40" s="18" t="n">
        <v>70.62</v>
      </c>
      <c r="W40" s="18" t="n">
        <v>40.39</v>
      </c>
      <c r="X40" s="18" t="n">
        <v>-0.39</v>
      </c>
      <c r="Y40" s="18" t="n">
        <v>-5.64</v>
      </c>
      <c r="Z40" s="37">
        <f>SUM(V40:Y40)</f>
        <v/>
      </c>
      <c r="AA40" s="18" t="n">
        <v>132.39</v>
      </c>
      <c r="AB40" s="19" t="n">
        <v>179.9</v>
      </c>
      <c r="AC40" s="20">
        <f>IFERROR(AC9,"")</f>
        <v/>
      </c>
      <c r="AD40" s="20">
        <f>IFERROR(AD9,"")</f>
        <v/>
      </c>
      <c r="AE40" s="38">
        <f>SUM(AA40:AD40)</f>
        <v/>
      </c>
      <c r="AF40" s="20">
        <f>IFERROR(AF9,"")</f>
        <v/>
      </c>
      <c r="AG40" s="20">
        <f>IFERROR(AG9,"")</f>
        <v/>
      </c>
      <c r="AH40" s="20">
        <f>IFERROR(AH9,"")</f>
        <v/>
      </c>
      <c r="AI40" s="20">
        <f>IFERROR(AI9,"")</f>
        <v/>
      </c>
      <c r="AJ40" s="38">
        <f>SUM(AF40:AI40)</f>
        <v/>
      </c>
      <c r="AK40" s="20">
        <f>IFERROR(AK9,"")</f>
        <v/>
      </c>
      <c r="AL40" s="20">
        <f>IFERROR(AL9,"")</f>
        <v/>
      </c>
      <c r="AM40" s="20">
        <f>IFERROR(AM9,"")</f>
        <v/>
      </c>
      <c r="AN40" s="20">
        <f>IFERROR(AN9,"")</f>
        <v/>
      </c>
      <c r="AO40" s="38">
        <f>SUM(AK40:AN40)</f>
        <v/>
      </c>
    </row>
    <row r="41">
      <c r="B41" s="2" t="inlineStr">
        <is>
          <t>비율(참고)</t>
        </is>
      </c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s="12" t="inlineStr">
        <is>
          <t>NPM</t>
        </is>
      </c>
      <c r="C42" t="inlineStr">
        <is>
          <t>%</t>
        </is>
      </c>
      <c r="D42" t="inlineStr">
        <is>
          <t>지배주주순이익 / 매출액</t>
        </is>
      </c>
      <c r="E42" s="21">
        <f>IFERROR(E18/E5,"")</f>
        <v/>
      </c>
      <c r="F42" s="22">
        <f>IFERROR(F18/F5,"")</f>
        <v/>
      </c>
      <c r="G42" s="21">
        <f>IFERROR(G18/G5,"")</f>
        <v/>
      </c>
      <c r="H42" s="21">
        <f>IFERROR(H18/H5,"")</f>
        <v/>
      </c>
      <c r="I42" s="21">
        <f>IFERROR(I18/I5,"")</f>
        <v/>
      </c>
      <c r="J42" s="21">
        <f>IFERROR(J18/J5,"")</f>
        <v/>
      </c>
      <c r="K42" s="22">
        <f>IFERROR(K18/K5,"")</f>
        <v/>
      </c>
      <c r="L42" s="21">
        <f>IFERROR(L18/L5,"")</f>
        <v/>
      </c>
      <c r="M42" s="21">
        <f>IFERROR(M18/M5,"")</f>
        <v/>
      </c>
      <c r="N42" s="21">
        <f>IFERROR(N18/N5,"")</f>
        <v/>
      </c>
      <c r="O42" s="21">
        <f>IFERROR(O18/O5,"")</f>
        <v/>
      </c>
      <c r="P42" s="22">
        <f>IFERROR(P18/P5,"")</f>
        <v/>
      </c>
      <c r="Q42" s="21">
        <f>IFERROR(Q18/Q5,"")</f>
        <v/>
      </c>
      <c r="R42" s="21">
        <f>IFERROR(R18/R5,"")</f>
        <v/>
      </c>
      <c r="S42" s="21">
        <f>IFERROR(S18/S5,"")</f>
        <v/>
      </c>
      <c r="T42" s="21">
        <f>IFERROR(T18/T5,"")</f>
        <v/>
      </c>
      <c r="U42" s="22">
        <f>IFERROR(U18/U5,"")</f>
        <v/>
      </c>
      <c r="V42" s="21">
        <f>IFERROR(V18/V5,"")</f>
        <v/>
      </c>
      <c r="W42" s="21">
        <f>IFERROR(W18/W5,"")</f>
        <v/>
      </c>
      <c r="X42" s="21">
        <f>IFERROR(X18/X5,"")</f>
        <v/>
      </c>
      <c r="Y42" s="21">
        <f>IFERROR(Y18/Y5,"")</f>
        <v/>
      </c>
      <c r="Z42" s="22">
        <f>IFERROR(Z18/Z5,"")</f>
        <v/>
      </c>
      <c r="AA42" s="21">
        <f>IFERROR(AA18/AA5,"")</f>
        <v/>
      </c>
      <c r="AB42" s="23">
        <f>IFERROR(AB18/AB5,"")</f>
        <v/>
      </c>
      <c r="AC42" s="33">
        <f>IFERROR(AC18/AC5,"")</f>
        <v/>
      </c>
      <c r="AD42" s="33">
        <f>IFERROR(AD18/AD5,"")</f>
        <v/>
      </c>
      <c r="AE42" s="25">
        <f>IFERROR(AE18/AE5,"")</f>
        <v/>
      </c>
      <c r="AF42" s="33">
        <f>IFERROR(AF18/AF5,"")</f>
        <v/>
      </c>
      <c r="AG42" s="33">
        <f>IFERROR(AG18/AG5,"")</f>
        <v/>
      </c>
      <c r="AH42" s="33">
        <f>IFERROR(AH18/AH5,"")</f>
        <v/>
      </c>
      <c r="AI42" s="33">
        <f>IFERROR(AI18/AI5,"")</f>
        <v/>
      </c>
      <c r="AJ42" s="25">
        <f>IFERROR(AJ18/AJ5,"")</f>
        <v/>
      </c>
      <c r="AK42" s="33">
        <f>IFERROR(AK18/AK5,"")</f>
        <v/>
      </c>
      <c r="AL42" s="33">
        <f>IFERROR(AL18/AL5,"")</f>
        <v/>
      </c>
      <c r="AM42" s="33">
        <f>IFERROR(AM18/AM5,"")</f>
        <v/>
      </c>
      <c r="AN42" s="33">
        <f>IFERROR(AN18/AN5,"")</f>
        <v/>
      </c>
      <c r="AO42" s="25">
        <f>IFERROR(AO18/AO5,"")</f>
        <v/>
      </c>
    </row>
    <row r="43">
      <c r="A43" s="12" t="inlineStr">
        <is>
          <t>매출원가율</t>
        </is>
      </c>
      <c r="C43" t="inlineStr">
        <is>
          <t>%</t>
        </is>
      </c>
      <c r="D43" t="inlineStr">
        <is>
          <t>매출원가 / 매출액</t>
        </is>
      </c>
      <c r="E43" s="21">
        <f>IFERROR(E6/E5,"")</f>
        <v/>
      </c>
      <c r="F43" s="22">
        <f>IFERROR(F6/F5,"")</f>
        <v/>
      </c>
      <c r="G43" s="21">
        <f>IFERROR(G6/G5,"")</f>
        <v/>
      </c>
      <c r="H43" s="21">
        <f>IFERROR(H6/H5,"")</f>
        <v/>
      </c>
      <c r="I43" s="21">
        <f>IFERROR(I6/I5,"")</f>
        <v/>
      </c>
      <c r="J43" s="21">
        <f>IFERROR(J6/J5,"")</f>
        <v/>
      </c>
      <c r="K43" s="22">
        <f>IFERROR(K6/K5,"")</f>
        <v/>
      </c>
      <c r="L43" s="21">
        <f>IFERROR(L6/L5,"")</f>
        <v/>
      </c>
      <c r="M43" s="21">
        <f>IFERROR(M6/M5,"")</f>
        <v/>
      </c>
      <c r="N43" s="21">
        <f>IFERROR(N6/N5,"")</f>
        <v/>
      </c>
      <c r="O43" s="21">
        <f>IFERROR(O6/O5,"")</f>
        <v/>
      </c>
      <c r="P43" s="22">
        <f>IFERROR(P6/P5,"")</f>
        <v/>
      </c>
      <c r="Q43" s="21">
        <f>IFERROR(Q6/Q5,"")</f>
        <v/>
      </c>
      <c r="R43" s="21">
        <f>IFERROR(R6/R5,"")</f>
        <v/>
      </c>
      <c r="S43" s="21">
        <f>IFERROR(S6/S5,"")</f>
        <v/>
      </c>
      <c r="T43" s="21">
        <f>IFERROR(T6/T5,"")</f>
        <v/>
      </c>
      <c r="U43" s="22">
        <f>IFERROR(U6/U5,"")</f>
        <v/>
      </c>
      <c r="V43" s="21">
        <f>IFERROR(V6/V5,"")</f>
        <v/>
      </c>
      <c r="W43" s="21">
        <f>IFERROR(W6/W5,"")</f>
        <v/>
      </c>
      <c r="X43" s="21">
        <f>IFERROR(X6/X5,"")</f>
        <v/>
      </c>
      <c r="Y43" s="21">
        <f>IFERROR(Y6/Y5,"")</f>
        <v/>
      </c>
      <c r="Z43" s="22">
        <f>IFERROR(Z6/Z5,"")</f>
        <v/>
      </c>
      <c r="AA43" s="21">
        <f>IFERROR(AA6/AA5,"")</f>
        <v/>
      </c>
      <c r="AB43" s="23">
        <f>IFERROR(AB6/AB5,"")</f>
        <v/>
      </c>
      <c r="AC43" s="33">
        <f>IFERROR(AC6/AC5,"")</f>
        <v/>
      </c>
      <c r="AD43" s="33">
        <f>IFERROR(AD6/AD5,"")</f>
        <v/>
      </c>
      <c r="AE43" s="25">
        <f>IFERROR(AE6/AE5,"")</f>
        <v/>
      </c>
      <c r="AF43" s="33">
        <f>IFERROR(AF6/AF5,"")</f>
        <v/>
      </c>
      <c r="AG43" s="33">
        <f>IFERROR(AG6/AG5,"")</f>
        <v/>
      </c>
      <c r="AH43" s="33">
        <f>IFERROR(AH6/AH5,"")</f>
        <v/>
      </c>
      <c r="AI43" s="33">
        <f>IFERROR(AI6/AI5,"")</f>
        <v/>
      </c>
      <c r="AJ43" s="25">
        <f>IFERROR(AJ6/AJ5,"")</f>
        <v/>
      </c>
      <c r="AK43" s="33">
        <f>IFERROR(AK6/AK5,"")</f>
        <v/>
      </c>
      <c r="AL43" s="33">
        <f>IFERROR(AL6/AL5,"")</f>
        <v/>
      </c>
      <c r="AM43" s="33">
        <f>IFERROR(AM6/AM5,"")</f>
        <v/>
      </c>
      <c r="AN43" s="33">
        <f>IFERROR(AN6/AN5,"")</f>
        <v/>
      </c>
      <c r="AO43" s="25">
        <f>IFERROR(AO6/AO5,"")</f>
        <v/>
      </c>
    </row>
    <row r="44">
      <c r="A44" s="12" t="inlineStr">
        <is>
          <t>판관비율</t>
        </is>
      </c>
      <c r="C44" t="inlineStr">
        <is>
          <t>%</t>
        </is>
      </c>
      <c r="D44" t="inlineStr">
        <is>
          <t>판관비 / 매출액</t>
        </is>
      </c>
      <c r="E44" s="21">
        <f>IFERROR(E8/E5,"")</f>
        <v/>
      </c>
      <c r="F44" s="22">
        <f>IFERROR(F8/F5,"")</f>
        <v/>
      </c>
      <c r="G44" s="21">
        <f>IFERROR(G8/G5,"")</f>
        <v/>
      </c>
      <c r="H44" s="21">
        <f>IFERROR(H8/H5,"")</f>
        <v/>
      </c>
      <c r="I44" s="21">
        <f>IFERROR(I8/I5,"")</f>
        <v/>
      </c>
      <c r="J44" s="21">
        <f>IFERROR(J8/J5,"")</f>
        <v/>
      </c>
      <c r="K44" s="22">
        <f>IFERROR(K8/K5,"")</f>
        <v/>
      </c>
      <c r="L44" s="21">
        <f>IFERROR(L8/L5,"")</f>
        <v/>
      </c>
      <c r="M44" s="21">
        <f>IFERROR(M8/M5,"")</f>
        <v/>
      </c>
      <c r="N44" s="21">
        <f>IFERROR(N8/N5,"")</f>
        <v/>
      </c>
      <c r="O44" s="21">
        <f>IFERROR(O8/O5,"")</f>
        <v/>
      </c>
      <c r="P44" s="22">
        <f>IFERROR(P8/P5,"")</f>
        <v/>
      </c>
      <c r="Q44" s="21">
        <f>IFERROR(Q8/Q5,"")</f>
        <v/>
      </c>
      <c r="R44" s="21">
        <f>IFERROR(R8/R5,"")</f>
        <v/>
      </c>
      <c r="S44" s="21">
        <f>IFERROR(S8/S5,"")</f>
        <v/>
      </c>
      <c r="T44" s="21">
        <f>IFERROR(T8/T5,"")</f>
        <v/>
      </c>
      <c r="U44" s="22">
        <f>IFERROR(U8/U5,"")</f>
        <v/>
      </c>
      <c r="V44" s="21">
        <f>IFERROR(V8/V5,"")</f>
        <v/>
      </c>
      <c r="W44" s="21">
        <f>IFERROR(W8/W5,"")</f>
        <v/>
      </c>
      <c r="X44" s="21">
        <f>IFERROR(X8/X5,"")</f>
        <v/>
      </c>
      <c r="Y44" s="21">
        <f>IFERROR(Y8/Y5,"")</f>
        <v/>
      </c>
      <c r="Z44" s="22">
        <f>IFERROR(Z8/Z5,"")</f>
        <v/>
      </c>
      <c r="AA44" s="21">
        <f>IFERROR(AA8/AA5,"")</f>
        <v/>
      </c>
      <c r="AB44" s="23">
        <f>IFERROR(AB8/AB5,"")</f>
        <v/>
      </c>
      <c r="AC44" s="33">
        <f>IFERROR(AC8/AC5,"")</f>
        <v/>
      </c>
      <c r="AD44" s="33">
        <f>IFERROR(AD8/AD5,"")</f>
        <v/>
      </c>
      <c r="AE44" s="25">
        <f>IFERROR(AE8/AE5,"")</f>
        <v/>
      </c>
      <c r="AF44" s="33">
        <f>IFERROR(AF8/AF5,"")</f>
        <v/>
      </c>
      <c r="AG44" s="33">
        <f>IFERROR(AG8/AG5,"")</f>
        <v/>
      </c>
      <c r="AH44" s="33">
        <f>IFERROR(AH8/AH5,"")</f>
        <v/>
      </c>
      <c r="AI44" s="33">
        <f>IFERROR(AI8/AI5,"")</f>
        <v/>
      </c>
      <c r="AJ44" s="25">
        <f>IFERROR(AJ8/AJ5,"")</f>
        <v/>
      </c>
      <c r="AK44" s="33">
        <f>IFERROR(AK8/AK5,"")</f>
        <v/>
      </c>
      <c r="AL44" s="33">
        <f>IFERROR(AL8/AL5,"")</f>
        <v/>
      </c>
      <c r="AM44" s="33">
        <f>IFERROR(AM8/AM5,"")</f>
        <v/>
      </c>
      <c r="AN44" s="33">
        <f>IFERROR(AN8/AN5,"")</f>
        <v/>
      </c>
      <c r="AO44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변수!D43</f>
        <v/>
      </c>
      <c r="W2" s="42" t="n"/>
    </row>
    <row r="3">
      <c r="C3" t="inlineStr">
        <is>
          <t>기준일:</t>
        </is>
      </c>
      <c r="D3" t="inlineStr">
        <is>
          <t>20261026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3">
        <f>IFERROR(VLOOKUP($A10,subQ,MATCH(X$1,SUBQH,0),0),"")</f>
        <v/>
      </c>
      <c r="Y10" s="33">
        <f>IFERROR(VLOOKUP($A10,subQ,MATCH(Y$1,SUBQH,0),0),"")</f>
        <v/>
      </c>
      <c r="Z10" s="33">
        <f>IFERROR(VLOOKUP($A10,subQ,MATCH(Z$1,SUBQH,0),0),"")</f>
        <v/>
      </c>
      <c r="AA10" s="33">
        <f>IFERROR(VLOOKUP($A10,subQ,MATCH(AA$1,SUBQH,0),0),"")</f>
        <v/>
      </c>
      <c r="AB10" s="33">
        <f>IFERROR(VLOOKUP($A10,subQ,MATCH(AB$1,SUBQH,0),0),"")</f>
        <v/>
      </c>
      <c r="AC10" s="33">
        <f>IFERROR(VLOOKUP($A10,subQ,MATCH(AC$1,SUBQH,0),0),"")</f>
        <v/>
      </c>
      <c r="AD10" s="33">
        <f>IFERROR(VLOOKUP($A10,subQ,MATCH(AD$1,SUBQH,0),0),"")</f>
        <v/>
      </c>
      <c r="AE10" s="33">
        <f>IFERROR(VLOOKUP($A10,subQ,MATCH(AE$1,SUBQH,0),0),"")</f>
        <v/>
      </c>
      <c r="AF10" s="33">
        <f>IFERROR(VLOOKUP($A10,subQ,MATCH(AF$1,SUBQH,0),0),"")</f>
        <v/>
      </c>
      <c r="AG10" s="33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기타영업외손익</t>
        </is>
      </c>
      <c r="D13" t="inlineStr">
        <is>
          <t>기타영업외손익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지분법손익</t>
        </is>
      </c>
      <c r="D14" t="inlineStr">
        <is>
          <t>지분법손익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세전이익</t>
        </is>
      </c>
      <c r="D15" t="inlineStr">
        <is>
          <t>법인세비용차감전이익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법인세비용</t>
        </is>
      </c>
      <c r="D16" t="inlineStr">
        <is>
          <t>법인세비용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당기순이익</t>
        </is>
      </c>
      <c r="D17" t="inlineStr">
        <is>
          <t>당기순이익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지배주주순이익</t>
        </is>
      </c>
      <c r="D18" t="inlineStr">
        <is>
          <t>지배주주순이익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중단사업이익</t>
        </is>
      </c>
      <c r="D19" t="inlineStr">
        <is>
          <t>중단사업이익(실적만)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감가상각비</t>
        </is>
      </c>
      <c r="D20" t="inlineStr">
        <is>
          <t>감가상각비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EBITDA</t>
        </is>
      </c>
      <c r="D21" t="inlineStr">
        <is>
          <t>EBITDA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자산총계</t>
        </is>
      </c>
      <c r="D22" t="inlineStr">
        <is>
          <t>자산총계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부채총계</t>
        </is>
      </c>
      <c r="D23" t="inlineStr">
        <is>
          <t>부채총계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자본총계</t>
        </is>
      </c>
      <c r="D24" t="inlineStr">
        <is>
          <t>자본총계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지배주주지분</t>
        </is>
      </c>
      <c r="D25" t="inlineStr">
        <is>
          <t>지배주주지분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총차입금</t>
        </is>
      </c>
      <c r="D26" t="inlineStr">
        <is>
          <t>총차입금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순차입금</t>
        </is>
      </c>
      <c r="D27" t="inlineStr">
        <is>
          <t>순차입금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이자발생자산</t>
        </is>
      </c>
      <c r="D28" t="inlineStr">
        <is>
          <t>이자발생자산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5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현금및현금성자산</t>
        </is>
      </c>
      <c r="D29" t="inlineStr">
        <is>
          <t>현금및현금성자산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CAPEX</t>
        </is>
      </c>
      <c r="D30" t="inlineStr">
        <is>
          <t>CAPEX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5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영업활동현금흐름</t>
        </is>
      </c>
      <c r="D31" t="inlineStr">
        <is>
          <t>영업활동현금흐름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5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  <c r="AF31" s="20">
        <f>IFERROR(VLOOKUP($A31,subQ,MATCH(AF$1,SUBQH,0),0),"")</f>
        <v/>
      </c>
      <c r="AG31" s="20">
        <f>IFERROR(VLOOKUP($A31,subQ,MATCH(AG$1,SUBQH,0),0),"")</f>
        <v/>
      </c>
    </row>
    <row r="32">
      <c r="A32" s="12" t="inlineStr">
        <is>
          <t>주식수</t>
        </is>
      </c>
      <c r="D32" t="inlineStr">
        <is>
          <t>유통주식수</t>
        </is>
      </c>
      <c r="E32" s="27">
        <f>IFERROR(VLOOKUP($A32,subQ,MATCH(E$1,SUBQH,0),0),"")</f>
        <v/>
      </c>
      <c r="F32" s="27">
        <f>IFERROR(VLOOKUP($A32,subQ,MATCH(F$1,SUBQH,0),0),"")</f>
        <v/>
      </c>
      <c r="G32" s="27">
        <f>IFERROR(VLOOKUP($A32,subQ,MATCH(G$1,SUBQH,0),0),"")</f>
        <v/>
      </c>
      <c r="H32" s="27">
        <f>IFERROR(VLOOKUP($A32,subQ,MATCH(H$1,SUBQH,0),0),"")</f>
        <v/>
      </c>
      <c r="I32" s="27">
        <f>IFERROR(VLOOKUP($A32,subQ,MATCH(I$1,SUBQH,0),0),"")</f>
        <v/>
      </c>
      <c r="J32" s="27">
        <f>IFERROR(VLOOKUP($A32,subQ,MATCH(J$1,SUBQH,0),0),"")</f>
        <v/>
      </c>
      <c r="K32" s="27">
        <f>IFERROR(VLOOKUP($A32,subQ,MATCH(K$1,SUBQH,0),0),"")</f>
        <v/>
      </c>
      <c r="L32" s="27">
        <f>IFERROR(VLOOKUP($A32,subQ,MATCH(L$1,SUBQH,0),0),"")</f>
        <v/>
      </c>
      <c r="M32" s="27">
        <f>IFERROR(VLOOKUP($A32,subQ,MATCH(M$1,SUBQH,0),0),"")</f>
        <v/>
      </c>
      <c r="N32" s="27">
        <f>IFERROR(VLOOKUP($A32,subQ,MATCH(N$1,SUBQH,0),0),"")</f>
        <v/>
      </c>
      <c r="O32" s="27">
        <f>IFERROR(VLOOKUP($A32,subQ,MATCH(O$1,SUBQH,0),0),"")</f>
        <v/>
      </c>
      <c r="P32" s="27">
        <f>IFERROR(VLOOKUP($A32,subQ,MATCH(P$1,SUBQH,0),0),"")</f>
        <v/>
      </c>
      <c r="Q32" s="27">
        <f>IFERROR(VLOOKUP($A32,subQ,MATCH(Q$1,SUBQH,0),0),"")</f>
        <v/>
      </c>
      <c r="R32" s="27">
        <f>IFERROR(VLOOKUP($A32,subQ,MATCH(R$1,SUBQH,0),0),"")</f>
        <v/>
      </c>
      <c r="S32" s="27">
        <f>IFERROR(VLOOKUP($A32,subQ,MATCH(S$1,SUBQH,0),0),"")</f>
        <v/>
      </c>
      <c r="T32" s="27">
        <f>IFERROR(VLOOKUP($A32,subQ,MATCH(T$1,SUBQH,0),0),"")</f>
        <v/>
      </c>
      <c r="U32" s="27">
        <f>IFERROR(VLOOKUP($A32,subQ,MATCH(U$1,SUBQH,0),0),"")</f>
        <v/>
      </c>
      <c r="V32" s="27">
        <f>IFERROR(VLOOKUP($A32,subQ,MATCH(V$1,SUBQH,0),0),"")</f>
        <v/>
      </c>
      <c r="W32" s="47">
        <f>IFERROR(VLOOKUP($A32,subQ,MATCH(W$1,SUBQH,0),0),"")</f>
        <v/>
      </c>
      <c r="X32" s="32">
        <f>IFERROR(VLOOKUP($A32,subQ,MATCH(X$1,SUBQH,0),0),"")</f>
        <v/>
      </c>
      <c r="Y32" s="32">
        <f>IFERROR(VLOOKUP($A32,subQ,MATCH(Y$1,SUBQH,0),0),"")</f>
        <v/>
      </c>
      <c r="Z32" s="32">
        <f>IFERROR(VLOOKUP($A32,subQ,MATCH(Z$1,SUBQH,0),0),"")</f>
        <v/>
      </c>
      <c r="AA32" s="32">
        <f>IFERROR(VLOOKUP($A32,subQ,MATCH(AA$1,SUBQH,0),0),"")</f>
        <v/>
      </c>
      <c r="AB32" s="32">
        <f>IFERROR(VLOOKUP($A32,subQ,MATCH(AB$1,SUBQH,0),0),"")</f>
        <v/>
      </c>
      <c r="AC32" s="32">
        <f>IFERROR(VLOOKUP($A32,subQ,MATCH(AC$1,SUBQH,0),0),"")</f>
        <v/>
      </c>
      <c r="AD32" s="32">
        <f>IFERROR(VLOOKUP($A32,subQ,MATCH(AD$1,SUBQH,0),0),"")</f>
        <v/>
      </c>
      <c r="AE32" s="32">
        <f>IFERROR(VLOOKUP($A32,subQ,MATCH(AE$1,SUBQH,0),0),"")</f>
        <v/>
      </c>
      <c r="AF32" s="32">
        <f>IFERROR(VLOOKUP($A32,subQ,MATCH(AF$1,SUBQH,0),0),"")</f>
        <v/>
      </c>
      <c r="AG32" s="32">
        <f>IFERROR(VLOOKUP($A32,subQ,MATCH(AG$1,SUBQH,0),0),"")</f>
        <v/>
      </c>
    </row>
    <row r="33">
      <c r="A33" s="12" t="inlineStr">
        <is>
          <t>EPS</t>
        </is>
      </c>
      <c r="D33" t="inlineStr">
        <is>
          <t>EPS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18">
        <f>IFERROR(VLOOKUP($A33,subQ,MATCH(I$1,SUBQH,0),0),"")</f>
        <v/>
      </c>
      <c r="J33" s="18">
        <f>IFERROR(VLOOKUP($A33,subQ,MATCH(J$1,SUBQH,0),0),"")</f>
        <v/>
      </c>
      <c r="K33" s="18">
        <f>IFERROR(VLOOKUP($A33,subQ,MATCH(K$1,SUBQH,0),0),"")</f>
        <v/>
      </c>
      <c r="L33" s="18">
        <f>IFERROR(VLOOKUP($A33,subQ,MATCH(L$1,SUBQH,0),0),"")</f>
        <v/>
      </c>
      <c r="M33" s="18">
        <f>IFERROR(VLOOKUP($A33,subQ,MATCH(M$1,SUBQH,0),0),"")</f>
        <v/>
      </c>
      <c r="N33" s="18">
        <f>IFERROR(VLOOKUP($A33,subQ,MATCH(N$1,SUBQH,0),0),"")</f>
        <v/>
      </c>
      <c r="O33" s="18">
        <f>IFERROR(VLOOKUP($A33,subQ,MATCH(O$1,SUBQH,0),0),"")</f>
        <v/>
      </c>
      <c r="P33" s="18">
        <f>IFERROR(VLOOKUP($A33,subQ,MATCH(P$1,SUBQH,0),0),"")</f>
        <v/>
      </c>
      <c r="Q33" s="18">
        <f>IFERROR(VLOOKUP($A33,subQ,MATCH(Q$1,SUBQH,0),0),"")</f>
        <v/>
      </c>
      <c r="R33" s="18">
        <f>IFERROR(VLOOKUP($A33,subQ,MATCH(R$1,SUBQH,0),0),"")</f>
        <v/>
      </c>
      <c r="S33" s="18">
        <f>IFERROR(VLOOKUP($A33,subQ,MATCH(S$1,SUBQH,0),0),"")</f>
        <v/>
      </c>
      <c r="T33" s="18">
        <f>IFERROR(VLOOKUP($A33,subQ,MATCH(T$1,SUBQH,0),0),"")</f>
        <v/>
      </c>
      <c r="U33" s="18">
        <f>IFERROR(VLOOKUP($A33,subQ,MATCH(U$1,SUBQH,0),0),"")</f>
        <v/>
      </c>
      <c r="V33" s="18">
        <f>IFERROR(VLOOKUP($A33,subQ,MATCH(V$1,SUBQH,0),0),"")</f>
        <v/>
      </c>
      <c r="W33" s="45">
        <f>IFERROR(VLOOKUP($A33,subQ,MATCH(W$1,SUBQH,0),0),"")</f>
        <v/>
      </c>
      <c r="X33" s="20">
        <f>IFERROR(VLOOKUP($A33,subQ,MATCH(X$1,SUBQH,0),0),"")</f>
        <v/>
      </c>
      <c r="Y33" s="20">
        <f>IFERROR(VLOOKUP($A33,subQ,MATCH(Y$1,SUBQH,0),0),"")</f>
        <v/>
      </c>
      <c r="Z33" s="20">
        <f>IFERROR(VLOOKUP($A33,subQ,MATCH(Z$1,SUBQH,0),0),"")</f>
        <v/>
      </c>
      <c r="AA33" s="20">
        <f>IFERROR(VLOOKUP($A33,subQ,MATCH(AA$1,SUBQH,0),0),"")</f>
        <v/>
      </c>
      <c r="AB33" s="20">
        <f>IFERROR(VLOOKUP($A33,subQ,MATCH(AB$1,SUBQH,0),0),"")</f>
        <v/>
      </c>
      <c r="AC33" s="20">
        <f>IFERROR(VLOOKUP($A33,subQ,MATCH(AC$1,SUBQH,0),0),"")</f>
        <v/>
      </c>
      <c r="AD33" s="20">
        <f>IFERROR(VLOOKUP($A33,subQ,MATCH(AD$1,SUBQH,0),0),"")</f>
        <v/>
      </c>
      <c r="AE33" s="20">
        <f>IFERROR(VLOOKUP($A33,subQ,MATCH(AE$1,SUBQH,0),0),"")</f>
        <v/>
      </c>
      <c r="AF33" s="20">
        <f>IFERROR(VLOOKUP($A33,subQ,MATCH(AF$1,SUBQH,0),0),"")</f>
        <v/>
      </c>
      <c r="AG33" s="20">
        <f>IFERROR(VLOOKUP($A33,subQ,MATCH(AG$1,SUBQH,0),0),"")</f>
        <v/>
      </c>
    </row>
    <row r="34">
      <c r="A34" s="12" t="inlineStr">
        <is>
          <t>조정EPS</t>
        </is>
      </c>
      <c r="D34" t="inlineStr">
        <is>
          <t>조정 EPS(일회성 의심 분기의 초과 비영업손익 세후 차감 — 모델 추정)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5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BPS</t>
        </is>
      </c>
      <c r="D35" t="inlineStr">
        <is>
          <t>BPS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18">
        <f>IFERROR(VLOOKUP($A35,subQ,MATCH(I$1,SUBQH,0),0),"")</f>
        <v/>
      </c>
      <c r="J35" s="18">
        <f>IFERROR(VLOOKUP($A35,subQ,MATCH(J$1,SUBQH,0),0),"")</f>
        <v/>
      </c>
      <c r="K35" s="18">
        <f>IFERROR(VLOOKUP($A35,subQ,MATCH(K$1,SUBQH,0),0),"")</f>
        <v/>
      </c>
      <c r="L35" s="18">
        <f>IFERROR(VLOOKUP($A35,subQ,MATCH(L$1,SUBQH,0),0),"")</f>
        <v/>
      </c>
      <c r="M35" s="18">
        <f>IFERROR(VLOOKUP($A35,subQ,MATCH(M$1,SUBQH,0),0),"")</f>
        <v/>
      </c>
      <c r="N35" s="18">
        <f>IFERROR(VLOOKUP($A35,subQ,MATCH(N$1,SUBQH,0),0),"")</f>
        <v/>
      </c>
      <c r="O35" s="18">
        <f>IFERROR(VLOOKUP($A35,subQ,MATCH(O$1,SUBQH,0),0),"")</f>
        <v/>
      </c>
      <c r="P35" s="18">
        <f>IFERROR(VLOOKUP($A35,subQ,MATCH(P$1,SUBQH,0),0),"")</f>
        <v/>
      </c>
      <c r="Q35" s="18">
        <f>IFERROR(VLOOKUP($A35,subQ,MATCH(Q$1,SUBQH,0),0),"")</f>
        <v/>
      </c>
      <c r="R35" s="18">
        <f>IFERROR(VLOOKUP($A35,subQ,MATCH(R$1,SUBQH,0),0),"")</f>
        <v/>
      </c>
      <c r="S35" s="18">
        <f>IFERROR(VLOOKUP($A35,subQ,MATCH(S$1,SUBQH,0),0),"")</f>
        <v/>
      </c>
      <c r="T35" s="18">
        <f>IFERROR(VLOOKUP($A35,subQ,MATCH(T$1,SUBQH,0),0),"")</f>
        <v/>
      </c>
      <c r="U35" s="18">
        <f>IFERROR(VLOOKUP($A35,subQ,MATCH(U$1,SUBQH,0),0),"")</f>
        <v/>
      </c>
      <c r="V35" s="18">
        <f>IFERROR(VLOOKUP($A35,subQ,MATCH(V$1,SUBQH,0),0),"")</f>
        <v/>
      </c>
      <c r="W35" s="45">
        <f>IFERROR(VLOOKUP($A35,subQ,MATCH(W$1,SUBQH,0),0),"")</f>
        <v/>
      </c>
      <c r="X35" s="20">
        <f>IFERROR(VLOOKUP($A35,subQ,MATCH(X$1,SUBQH,0),0),"")</f>
        <v/>
      </c>
      <c r="Y35" s="20">
        <f>IFERROR(VLOOKUP($A35,subQ,MATCH(Y$1,SUBQH,0),0),"")</f>
        <v/>
      </c>
      <c r="Z35" s="20">
        <f>IFERROR(VLOOKUP($A35,subQ,MATCH(Z$1,SUBQH,0),0),"")</f>
        <v/>
      </c>
      <c r="AA35" s="20">
        <f>IFERROR(VLOOKUP($A35,subQ,MATCH(AA$1,SUBQH,0),0),"")</f>
        <v/>
      </c>
      <c r="AB35" s="20">
        <f>IFERROR(VLOOKUP($A35,subQ,MATCH(AB$1,SUBQH,0),0),"")</f>
        <v/>
      </c>
      <c r="AC35" s="20">
        <f>IFERROR(VLOOKUP($A35,subQ,MATCH(AC$1,SUBQH,0),0),"")</f>
        <v/>
      </c>
      <c r="AD35" s="20">
        <f>IFERROR(VLOOKUP($A35,subQ,MATCH(AD$1,SUBQH,0),0),"")</f>
        <v/>
      </c>
      <c r="AE35" s="20">
        <f>IFERROR(VLOOKUP($A35,subQ,MATCH(AE$1,SUBQH,0),0),"")</f>
        <v/>
      </c>
      <c r="AF35" s="20">
        <f>IFERROR(VLOOKUP($A35,subQ,MATCH(AF$1,SUBQH,0),0),"")</f>
        <v/>
      </c>
      <c r="AG35" s="20">
        <f>IFERROR(VLOOKUP($A35,subQ,MATCH(AG$1,SUBQH,0),0),"")</f>
        <v/>
      </c>
    </row>
    <row r="36">
      <c r="A36" s="12" t="inlineStr">
        <is>
          <t>DPS</t>
        </is>
      </c>
      <c r="D36" t="inlineStr">
        <is>
          <t>DPS(보통주)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18">
        <f>IFERROR(VLOOKUP($A36,subQ,MATCH(I$1,SUBQH,0),0),"")</f>
        <v/>
      </c>
      <c r="J36" s="18">
        <f>IFERROR(VLOOKUP($A36,subQ,MATCH(J$1,SUBQH,0),0),"")</f>
        <v/>
      </c>
      <c r="K36" s="18">
        <f>IFERROR(VLOOKUP($A36,subQ,MATCH(K$1,SUBQH,0),0),"")</f>
        <v/>
      </c>
      <c r="L36" s="18">
        <f>IFERROR(VLOOKUP($A36,subQ,MATCH(L$1,SUBQH,0),0),"")</f>
        <v/>
      </c>
      <c r="M36" s="18">
        <f>IFERROR(VLOOKUP($A36,subQ,MATCH(M$1,SUBQH,0),0),"")</f>
        <v/>
      </c>
      <c r="N36" s="18">
        <f>IFERROR(VLOOKUP($A36,subQ,MATCH(N$1,SUBQH,0),0),"")</f>
        <v/>
      </c>
      <c r="O36" s="18">
        <f>IFERROR(VLOOKUP($A36,subQ,MATCH(O$1,SUBQH,0),0),"")</f>
        <v/>
      </c>
      <c r="P36" s="18">
        <f>IFERROR(VLOOKUP($A36,subQ,MATCH(P$1,SUBQH,0),0),"")</f>
        <v/>
      </c>
      <c r="Q36" s="18">
        <f>IFERROR(VLOOKUP($A36,subQ,MATCH(Q$1,SUBQH,0),0),"")</f>
        <v/>
      </c>
      <c r="R36" s="18">
        <f>IFERROR(VLOOKUP($A36,subQ,MATCH(R$1,SUBQH,0),0),"")</f>
        <v/>
      </c>
      <c r="S36" s="18">
        <f>IFERROR(VLOOKUP($A36,subQ,MATCH(S$1,SUBQH,0),0),"")</f>
        <v/>
      </c>
      <c r="T36" s="18">
        <f>IFERROR(VLOOKUP($A36,subQ,MATCH(T$1,SUBQH,0),0),"")</f>
        <v/>
      </c>
      <c r="U36" s="18">
        <f>IFERROR(VLOOKUP($A36,subQ,MATCH(U$1,SUBQH,0),0),"")</f>
        <v/>
      </c>
      <c r="V36" s="18">
        <f>IFERROR(VLOOKUP($A36,subQ,MATCH(V$1,SUBQH,0),0),"")</f>
        <v/>
      </c>
      <c r="W36" s="45">
        <f>IFERROR(VLOOKUP($A36,subQ,MATCH(W$1,SUBQH,0),0),"")</f>
        <v/>
      </c>
      <c r="X36" s="20">
        <f>IFERROR(VLOOKUP($A36,subQ,MATCH(X$1,SUBQH,0),0),"")</f>
        <v/>
      </c>
      <c r="Y36" s="20">
        <f>IFERROR(VLOOKUP($A36,subQ,MATCH(Y$1,SUBQH,0),0),"")</f>
        <v/>
      </c>
      <c r="Z36" s="20">
        <f>IFERROR(VLOOKUP($A36,subQ,MATCH(Z$1,SUBQH,0),0),"")</f>
        <v/>
      </c>
      <c r="AA36" s="20">
        <f>IFERROR(VLOOKUP($A36,subQ,MATCH(AA$1,SUBQH,0),0),"")</f>
        <v/>
      </c>
      <c r="AB36" s="20">
        <f>IFERROR(VLOOKUP($A36,subQ,MATCH(AB$1,SUBQH,0),0),"")</f>
        <v/>
      </c>
      <c r="AC36" s="20">
        <f>IFERROR(VLOOKUP($A36,subQ,MATCH(AC$1,SUBQH,0),0),"")</f>
        <v/>
      </c>
      <c r="AD36" s="20">
        <f>IFERROR(VLOOKUP($A36,subQ,MATCH(AD$1,SUBQH,0),0),"")</f>
        <v/>
      </c>
      <c r="AE36" s="20">
        <f>IFERROR(VLOOKUP($A36,subQ,MATCH(AE$1,SUBQH,0),0),"")</f>
        <v/>
      </c>
      <c r="AF36" s="20">
        <f>IFERROR(VLOOKUP($A36,subQ,MATCH(AF$1,SUBQH,0),0),"")</f>
        <v/>
      </c>
      <c r="AG36" s="20">
        <f>IFERROR(VLOOKUP($A36,subQ,MATCH(AG$1,SUBQH,0),0),"")</f>
        <v/>
      </c>
    </row>
    <row r="37">
      <c r="A37" s="12" t="inlineStr">
        <is>
          <t>PER</t>
        </is>
      </c>
      <c r="D37" t="inlineStr">
        <is>
          <t>PER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13">
        <f>IFERROR(VLOOKUP($A37,subQ,MATCH(I$1,SUBQH,0),0),"")</f>
        <v/>
      </c>
      <c r="J37" s="13">
        <f>IFERROR(VLOOKUP($A37,subQ,MATCH(J$1,SUBQH,0),0),"")</f>
        <v/>
      </c>
      <c r="K37" s="13">
        <f>IFERROR(VLOOKUP($A37,subQ,MATCH(K$1,SUBQH,0),0),"")</f>
        <v/>
      </c>
      <c r="L37" s="13">
        <f>IFERROR(VLOOKUP($A37,subQ,MATCH(L$1,SUBQH,0),0),"")</f>
        <v/>
      </c>
      <c r="M37" s="13">
        <f>IFERROR(VLOOKUP($A37,subQ,MATCH(M$1,SUBQH,0),0),"")</f>
        <v/>
      </c>
      <c r="N37" s="13">
        <f>IFERROR(VLOOKUP($A37,subQ,MATCH(N$1,SUBQH,0),0),"")</f>
        <v/>
      </c>
      <c r="O37" s="13">
        <f>IFERROR(VLOOKUP($A37,subQ,MATCH(O$1,SUBQH,0),0),"")</f>
        <v/>
      </c>
      <c r="P37" s="13">
        <f>IFERROR(VLOOKUP($A37,subQ,MATCH(P$1,SUBQH,0),0),"")</f>
        <v/>
      </c>
      <c r="Q37" s="13">
        <f>IFERROR(VLOOKUP($A37,subQ,MATCH(Q$1,SUBQH,0),0),"")</f>
        <v/>
      </c>
      <c r="R37" s="13">
        <f>IFERROR(VLOOKUP($A37,subQ,MATCH(R$1,SUBQH,0),0),"")</f>
        <v/>
      </c>
      <c r="S37" s="13">
        <f>IFERROR(VLOOKUP($A37,subQ,MATCH(S$1,SUBQH,0),0),"")</f>
        <v/>
      </c>
      <c r="T37" s="13">
        <f>IFERROR(VLOOKUP($A37,subQ,MATCH(T$1,SUBQH,0),0),"")</f>
        <v/>
      </c>
      <c r="U37" s="13">
        <f>IFERROR(VLOOKUP($A37,subQ,MATCH(U$1,SUBQH,0),0),"")</f>
        <v/>
      </c>
      <c r="V37" s="13">
        <f>IFERROR(VLOOKUP($A37,subQ,MATCH(V$1,SUBQH,0),0),"")</f>
        <v/>
      </c>
      <c r="W37" s="48">
        <f>IFERROR(VLOOKUP($A37,subQ,MATCH(W$1,SUBQH,0),0),"")</f>
        <v/>
      </c>
      <c r="X37" s="39">
        <f>IFERROR(VLOOKUP($A37,subQ,MATCH(X$1,SUBQH,0),0),"")</f>
        <v/>
      </c>
      <c r="Y37" s="39">
        <f>IFERROR(VLOOKUP($A37,subQ,MATCH(Y$1,SUBQH,0),0),"")</f>
        <v/>
      </c>
      <c r="Z37" s="39">
        <f>IFERROR(VLOOKUP($A37,subQ,MATCH(Z$1,SUBQH,0),0),"")</f>
        <v/>
      </c>
      <c r="AA37" s="39">
        <f>IFERROR(VLOOKUP($A37,subQ,MATCH(AA$1,SUBQH,0),0),"")</f>
        <v/>
      </c>
      <c r="AB37" s="39">
        <f>IFERROR(VLOOKUP($A37,subQ,MATCH(AB$1,SUBQH,0),0),"")</f>
        <v/>
      </c>
      <c r="AC37" s="39">
        <f>IFERROR(VLOOKUP($A37,subQ,MATCH(AC$1,SUBQH,0),0),"")</f>
        <v/>
      </c>
      <c r="AD37" s="39">
        <f>IFERROR(VLOOKUP($A37,subQ,MATCH(AD$1,SUBQH,0),0),"")</f>
        <v/>
      </c>
      <c r="AE37" s="39">
        <f>IFERROR(VLOOKUP($A37,subQ,MATCH(AE$1,SUBQH,0),0),"")</f>
        <v/>
      </c>
      <c r="AF37" s="39">
        <f>IFERROR(VLOOKUP($A37,subQ,MATCH(AF$1,SUBQH,0),0),"")</f>
        <v/>
      </c>
      <c r="AG37" s="39">
        <f>IFERROR(VLOOKUP($A37,subQ,MATCH(AG$1,SUBQH,0),0),"")</f>
        <v/>
      </c>
    </row>
    <row r="38">
      <c r="A38" s="12" t="inlineStr">
        <is>
          <t>PBR</t>
        </is>
      </c>
      <c r="D38" t="inlineStr">
        <is>
          <t>PBR</t>
        </is>
      </c>
      <c r="E38" s="13">
        <f>IFERROR(VLOOKUP($A38,subQ,MATCH(E$1,SUBQH,0),0),"")</f>
        <v/>
      </c>
      <c r="F38" s="13">
        <f>IFERROR(VLOOKUP($A38,subQ,MATCH(F$1,SUBQH,0),0),"")</f>
        <v/>
      </c>
      <c r="G38" s="13">
        <f>IFERROR(VLOOKUP($A38,subQ,MATCH(G$1,SUBQH,0),0),"")</f>
        <v/>
      </c>
      <c r="H38" s="13">
        <f>IFERROR(VLOOKUP($A38,subQ,MATCH(H$1,SUBQH,0),0),"")</f>
        <v/>
      </c>
      <c r="I38" s="13">
        <f>IFERROR(VLOOKUP($A38,subQ,MATCH(I$1,SUBQH,0),0),"")</f>
        <v/>
      </c>
      <c r="J38" s="13">
        <f>IFERROR(VLOOKUP($A38,subQ,MATCH(J$1,SUBQH,0),0),"")</f>
        <v/>
      </c>
      <c r="K38" s="13">
        <f>IFERROR(VLOOKUP($A38,subQ,MATCH(K$1,SUBQH,0),0),"")</f>
        <v/>
      </c>
      <c r="L38" s="13">
        <f>IFERROR(VLOOKUP($A38,subQ,MATCH(L$1,SUBQH,0),0),"")</f>
        <v/>
      </c>
      <c r="M38" s="13">
        <f>IFERROR(VLOOKUP($A38,subQ,MATCH(M$1,SUBQH,0),0),"")</f>
        <v/>
      </c>
      <c r="N38" s="13">
        <f>IFERROR(VLOOKUP($A38,subQ,MATCH(N$1,SUBQH,0),0),"")</f>
        <v/>
      </c>
      <c r="O38" s="13">
        <f>IFERROR(VLOOKUP($A38,subQ,MATCH(O$1,SUBQH,0),0),"")</f>
        <v/>
      </c>
      <c r="P38" s="13">
        <f>IFERROR(VLOOKUP($A38,subQ,MATCH(P$1,SUBQH,0),0),"")</f>
        <v/>
      </c>
      <c r="Q38" s="13">
        <f>IFERROR(VLOOKUP($A38,subQ,MATCH(Q$1,SUBQH,0),0),"")</f>
        <v/>
      </c>
      <c r="R38" s="13">
        <f>IFERROR(VLOOKUP($A38,subQ,MATCH(R$1,SUBQH,0),0),"")</f>
        <v/>
      </c>
      <c r="S38" s="13">
        <f>IFERROR(VLOOKUP($A38,subQ,MATCH(S$1,SUBQH,0),0),"")</f>
        <v/>
      </c>
      <c r="T38" s="13">
        <f>IFERROR(VLOOKUP($A38,subQ,MATCH(T$1,SUBQH,0),0),"")</f>
        <v/>
      </c>
      <c r="U38" s="13">
        <f>IFERROR(VLOOKUP($A38,subQ,MATCH(U$1,SUBQH,0),0),"")</f>
        <v/>
      </c>
      <c r="V38" s="13">
        <f>IFERROR(VLOOKUP($A38,subQ,MATCH(V$1,SUBQH,0),0),"")</f>
        <v/>
      </c>
      <c r="W38" s="48">
        <f>IFERROR(VLOOKUP($A38,subQ,MATCH(W$1,SUBQH,0),0),"")</f>
        <v/>
      </c>
      <c r="X38" s="39">
        <f>IFERROR(VLOOKUP($A38,subQ,MATCH(X$1,SUBQH,0),0),"")</f>
        <v/>
      </c>
      <c r="Y38" s="39">
        <f>IFERROR(VLOOKUP($A38,subQ,MATCH(Y$1,SUBQH,0),0),"")</f>
        <v/>
      </c>
      <c r="Z38" s="39">
        <f>IFERROR(VLOOKUP($A38,subQ,MATCH(Z$1,SUBQH,0),0),"")</f>
        <v/>
      </c>
      <c r="AA38" s="39">
        <f>IFERROR(VLOOKUP($A38,subQ,MATCH(AA$1,SUBQH,0),0),"")</f>
        <v/>
      </c>
      <c r="AB38" s="39">
        <f>IFERROR(VLOOKUP($A38,subQ,MATCH(AB$1,SUBQH,0),0),"")</f>
        <v/>
      </c>
      <c r="AC38" s="39">
        <f>IFERROR(VLOOKUP($A38,subQ,MATCH(AC$1,SUBQH,0),0),"")</f>
        <v/>
      </c>
      <c r="AD38" s="39">
        <f>IFERROR(VLOOKUP($A38,subQ,MATCH(AD$1,SUBQH,0),0),"")</f>
        <v/>
      </c>
      <c r="AE38" s="39">
        <f>IFERROR(VLOOKUP($A38,subQ,MATCH(AE$1,SUBQH,0),0),"")</f>
        <v/>
      </c>
      <c r="AF38" s="39">
        <f>IFERROR(VLOOKUP($A38,subQ,MATCH(AF$1,SUBQH,0),0),"")</f>
        <v/>
      </c>
      <c r="AG38" s="39">
        <f>IFERROR(VLOOKUP($A38,subQ,MATCH(AG$1,SUBQH,0),0),"")</f>
        <v/>
      </c>
    </row>
    <row r="39">
      <c r="A39" s="12" t="inlineStr">
        <is>
          <t>매출전사</t>
        </is>
      </c>
      <c r="D39" t="inlineStr">
        <is>
          <t>매출 전사(부문 미분리)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18">
        <f>IFERROR(VLOOKUP($A39,subQ,MATCH(I$1,SUBQH,0),0),"")</f>
        <v/>
      </c>
      <c r="J39" s="18">
        <f>IFERROR(VLOOKUP($A39,subQ,MATCH(J$1,SUBQH,0),0),"")</f>
        <v/>
      </c>
      <c r="K39" s="18">
        <f>IFERROR(VLOOKUP($A39,subQ,MATCH(K$1,SUBQH,0),0),"")</f>
        <v/>
      </c>
      <c r="L39" s="18">
        <f>IFERROR(VLOOKUP($A39,subQ,MATCH(L$1,SUBQH,0),0),"")</f>
        <v/>
      </c>
      <c r="M39" s="18">
        <f>IFERROR(VLOOKUP($A39,subQ,MATCH(M$1,SUBQH,0),0),"")</f>
        <v/>
      </c>
      <c r="N39" s="18">
        <f>IFERROR(VLOOKUP($A39,subQ,MATCH(N$1,SUBQH,0),0),"")</f>
        <v/>
      </c>
      <c r="O39" s="18">
        <f>IFERROR(VLOOKUP($A39,subQ,MATCH(O$1,SUBQH,0),0),"")</f>
        <v/>
      </c>
      <c r="P39" s="18">
        <f>IFERROR(VLOOKUP($A39,subQ,MATCH(P$1,SUBQH,0),0),"")</f>
        <v/>
      </c>
      <c r="Q39" s="18">
        <f>IFERROR(VLOOKUP($A39,subQ,MATCH(Q$1,SUBQH,0),0),"")</f>
        <v/>
      </c>
      <c r="R39" s="18">
        <f>IFERROR(VLOOKUP($A39,subQ,MATCH(R$1,SUBQH,0),0),"")</f>
        <v/>
      </c>
      <c r="S39" s="18">
        <f>IFERROR(VLOOKUP($A39,subQ,MATCH(S$1,SUBQH,0),0),"")</f>
        <v/>
      </c>
      <c r="T39" s="18">
        <f>IFERROR(VLOOKUP($A39,subQ,MATCH(T$1,SUBQH,0),0),"")</f>
        <v/>
      </c>
      <c r="U39" s="18">
        <f>IFERROR(VLOOKUP($A39,subQ,MATCH(U$1,SUBQH,0),0),"")</f>
        <v/>
      </c>
      <c r="V39" s="18">
        <f>IFERROR(VLOOKUP($A39,subQ,MATCH(V$1,SUBQH,0),0),"")</f>
        <v/>
      </c>
      <c r="W39" s="45">
        <f>IFERROR(VLOOKUP($A39,subQ,MATCH(W$1,SUBQH,0),0),"")</f>
        <v/>
      </c>
      <c r="X39" s="20">
        <f>IFERROR(VLOOKUP($A39,subQ,MATCH(X$1,SUBQH,0),0),"")</f>
        <v/>
      </c>
      <c r="Y39" s="20">
        <f>IFERROR(VLOOKUP($A39,subQ,MATCH(Y$1,SUBQH,0),0),"")</f>
        <v/>
      </c>
      <c r="Z39" s="20">
        <f>IFERROR(VLOOKUP($A39,subQ,MATCH(Z$1,SUBQH,0),0),"")</f>
        <v/>
      </c>
      <c r="AA39" s="20">
        <f>IFERROR(VLOOKUP($A39,subQ,MATCH(AA$1,SUBQH,0),0),"")</f>
        <v/>
      </c>
      <c r="AB39" s="20">
        <f>IFERROR(VLOOKUP($A39,subQ,MATCH(AB$1,SUBQH,0),0),"")</f>
        <v/>
      </c>
      <c r="AC39" s="20">
        <f>IFERROR(VLOOKUP($A39,subQ,MATCH(AC$1,SUBQH,0),0),"")</f>
        <v/>
      </c>
      <c r="AD39" s="20">
        <f>IFERROR(VLOOKUP($A39,subQ,MATCH(AD$1,SUBQH,0),0),"")</f>
        <v/>
      </c>
      <c r="AE39" s="20">
        <f>IFERROR(VLOOKUP($A39,subQ,MATCH(AE$1,SUBQH,0),0),"")</f>
        <v/>
      </c>
      <c r="AF39" s="20">
        <f>IFERROR(VLOOKUP($A39,subQ,MATCH(AF$1,SUBQH,0),0),"")</f>
        <v/>
      </c>
      <c r="AG39" s="20">
        <f>IFERROR(VLOOKUP($A39,subQ,MATCH(AG$1,SUBQH,0),0),"")</f>
        <v/>
      </c>
    </row>
    <row r="40">
      <c r="A40" s="12" t="inlineStr">
        <is>
          <t>OP전사</t>
        </is>
      </c>
      <c r="D40" t="inlineStr">
        <is>
          <t>OP 전사(부문 미분리)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18">
        <f>IFERROR(VLOOKUP($A40,subQ,MATCH(G$1,SUBQH,0),0),"")</f>
        <v/>
      </c>
      <c r="H40" s="18">
        <f>IFERROR(VLOOKUP($A40,subQ,MATCH(H$1,SUBQH,0),0),"")</f>
        <v/>
      </c>
      <c r="I40" s="18">
        <f>IFERROR(VLOOKUP($A40,subQ,MATCH(I$1,SUBQH,0),0),"")</f>
        <v/>
      </c>
      <c r="J40" s="18">
        <f>IFERROR(VLOOKUP($A40,subQ,MATCH(J$1,SUBQH,0),0),"")</f>
        <v/>
      </c>
      <c r="K40" s="18">
        <f>IFERROR(VLOOKUP($A40,subQ,MATCH(K$1,SUBQH,0),0),"")</f>
        <v/>
      </c>
      <c r="L40" s="18">
        <f>IFERROR(VLOOKUP($A40,subQ,MATCH(L$1,SUBQH,0),0),"")</f>
        <v/>
      </c>
      <c r="M40" s="18">
        <f>IFERROR(VLOOKUP($A40,subQ,MATCH(M$1,SUBQH,0),0),"")</f>
        <v/>
      </c>
      <c r="N40" s="18">
        <f>IFERROR(VLOOKUP($A40,subQ,MATCH(N$1,SUBQH,0),0),"")</f>
        <v/>
      </c>
      <c r="O40" s="18">
        <f>IFERROR(VLOOKUP($A40,subQ,MATCH(O$1,SUBQH,0),0),"")</f>
        <v/>
      </c>
      <c r="P40" s="18">
        <f>IFERROR(VLOOKUP($A40,subQ,MATCH(P$1,SUBQH,0),0),"")</f>
        <v/>
      </c>
      <c r="Q40" s="18">
        <f>IFERROR(VLOOKUP($A40,subQ,MATCH(Q$1,SUBQH,0),0),"")</f>
        <v/>
      </c>
      <c r="R40" s="18">
        <f>IFERROR(VLOOKUP($A40,subQ,MATCH(R$1,SUBQH,0),0),"")</f>
        <v/>
      </c>
      <c r="S40" s="18">
        <f>IFERROR(VLOOKUP($A40,subQ,MATCH(S$1,SUBQH,0),0),"")</f>
        <v/>
      </c>
      <c r="T40" s="18">
        <f>IFERROR(VLOOKUP($A40,subQ,MATCH(T$1,SUBQH,0),0),"")</f>
        <v/>
      </c>
      <c r="U40" s="18">
        <f>IFERROR(VLOOKUP($A40,subQ,MATCH(U$1,SUBQH,0),0),"")</f>
        <v/>
      </c>
      <c r="V40" s="18">
        <f>IFERROR(VLOOKUP($A40,subQ,MATCH(V$1,SUBQH,0),0),"")</f>
        <v/>
      </c>
      <c r="W40" s="45">
        <f>IFERROR(VLOOKUP($A40,subQ,MATCH(W$1,SUBQH,0),0),"")</f>
        <v/>
      </c>
      <c r="X40" s="20">
        <f>IFERROR(VLOOKUP($A40,subQ,MATCH(X$1,SUBQH,0),0),"")</f>
        <v/>
      </c>
      <c r="Y40" s="20">
        <f>IFERROR(VLOOKUP($A40,subQ,MATCH(Y$1,SUBQH,0),0),"")</f>
        <v/>
      </c>
      <c r="Z40" s="20">
        <f>IFERROR(VLOOKUP($A40,subQ,MATCH(Z$1,SUBQH,0),0),"")</f>
        <v/>
      </c>
      <c r="AA40" s="20">
        <f>IFERROR(VLOOKUP($A40,subQ,MATCH(AA$1,SUBQH,0),0),"")</f>
        <v/>
      </c>
      <c r="AB40" s="20">
        <f>IFERROR(VLOOKUP($A40,subQ,MATCH(AB$1,SUBQH,0),0),"")</f>
        <v/>
      </c>
      <c r="AC40" s="20">
        <f>IFERROR(VLOOKUP($A40,subQ,MATCH(AC$1,SUBQH,0),0),"")</f>
        <v/>
      </c>
      <c r="AD40" s="20">
        <f>IFERROR(VLOOKUP($A40,subQ,MATCH(AD$1,SUBQH,0),0),"")</f>
        <v/>
      </c>
      <c r="AE40" s="20">
        <f>IFERROR(VLOOKUP($A40,subQ,MATCH(AE$1,SUBQH,0),0),"")</f>
        <v/>
      </c>
      <c r="AF40" s="20">
        <f>IFERROR(VLOOKUP($A40,subQ,MATCH(AF$1,SUBQH,0),0),"")</f>
        <v/>
      </c>
      <c r="AG40" s="20">
        <f>IFERROR(VLOOKUP($A40,subQ,MATCH(AG$1,SUBQH,0),0),"")</f>
        <v/>
      </c>
    </row>
    <row r="41">
      <c r="A41" s="12" t="inlineStr">
        <is>
          <t>NPM</t>
        </is>
      </c>
      <c r="D41" t="inlineStr">
        <is>
          <t>NPM</t>
        </is>
      </c>
      <c r="E41" s="21">
        <f>IFERROR(VLOOKUP($A41,subQ,MATCH(E$1,SUBQH,0),0),"")</f>
        <v/>
      </c>
      <c r="F41" s="21">
        <f>IFERROR(VLOOKUP($A41,subQ,MATCH(F$1,SUBQH,0),0),"")</f>
        <v/>
      </c>
      <c r="G41" s="21">
        <f>IFERROR(VLOOKUP($A41,subQ,MATCH(G$1,SUBQH,0),0),"")</f>
        <v/>
      </c>
      <c r="H41" s="21">
        <f>IFERROR(VLOOKUP($A41,subQ,MATCH(H$1,SUBQH,0),0),"")</f>
        <v/>
      </c>
      <c r="I41" s="21">
        <f>IFERROR(VLOOKUP($A41,subQ,MATCH(I$1,SUBQH,0),0),"")</f>
        <v/>
      </c>
      <c r="J41" s="21">
        <f>IFERROR(VLOOKUP($A41,subQ,MATCH(J$1,SUBQH,0),0),"")</f>
        <v/>
      </c>
      <c r="K41" s="21">
        <f>IFERROR(VLOOKUP($A41,subQ,MATCH(K$1,SUBQH,0),0),"")</f>
        <v/>
      </c>
      <c r="L41" s="21">
        <f>IFERROR(VLOOKUP($A41,subQ,MATCH(L$1,SUBQH,0),0),"")</f>
        <v/>
      </c>
      <c r="M41" s="21">
        <f>IFERROR(VLOOKUP($A41,subQ,MATCH(M$1,SUBQH,0),0),"")</f>
        <v/>
      </c>
      <c r="N41" s="21">
        <f>IFERROR(VLOOKUP($A41,subQ,MATCH(N$1,SUBQH,0),0),"")</f>
        <v/>
      </c>
      <c r="O41" s="21">
        <f>IFERROR(VLOOKUP($A41,subQ,MATCH(O$1,SUBQH,0),0),"")</f>
        <v/>
      </c>
      <c r="P41" s="21">
        <f>IFERROR(VLOOKUP($A41,subQ,MATCH(P$1,SUBQH,0),0),"")</f>
        <v/>
      </c>
      <c r="Q41" s="21">
        <f>IFERROR(VLOOKUP($A41,subQ,MATCH(Q$1,SUBQH,0),0),"")</f>
        <v/>
      </c>
      <c r="R41" s="21">
        <f>IFERROR(VLOOKUP($A41,subQ,MATCH(R$1,SUBQH,0),0),"")</f>
        <v/>
      </c>
      <c r="S41" s="21">
        <f>IFERROR(VLOOKUP($A41,subQ,MATCH(S$1,SUBQH,0),0),"")</f>
        <v/>
      </c>
      <c r="T41" s="21">
        <f>IFERROR(VLOOKUP($A41,subQ,MATCH(T$1,SUBQH,0),0),"")</f>
        <v/>
      </c>
      <c r="U41" s="21">
        <f>IFERROR(VLOOKUP($A41,subQ,MATCH(U$1,SUBQH,0),0),"")</f>
        <v/>
      </c>
      <c r="V41" s="21">
        <f>IFERROR(VLOOKUP($A41,subQ,MATCH(V$1,SUBQH,0),0),"")</f>
        <v/>
      </c>
      <c r="W41" s="46">
        <f>IFERROR(VLOOKUP($A41,subQ,MATCH(W$1,SUBQH,0),0),"")</f>
        <v/>
      </c>
      <c r="X41" s="33">
        <f>IFERROR(VLOOKUP($A41,subQ,MATCH(X$1,SUBQH,0),0),"")</f>
        <v/>
      </c>
      <c r="Y41" s="33">
        <f>IFERROR(VLOOKUP($A41,subQ,MATCH(Y$1,SUBQH,0),0),"")</f>
        <v/>
      </c>
      <c r="Z41" s="33">
        <f>IFERROR(VLOOKUP($A41,subQ,MATCH(Z$1,SUBQH,0),0),"")</f>
        <v/>
      </c>
      <c r="AA41" s="33">
        <f>IFERROR(VLOOKUP($A41,subQ,MATCH(AA$1,SUBQH,0),0),"")</f>
        <v/>
      </c>
      <c r="AB41" s="33">
        <f>IFERROR(VLOOKUP($A41,subQ,MATCH(AB$1,SUBQH,0),0),"")</f>
        <v/>
      </c>
      <c r="AC41" s="33">
        <f>IFERROR(VLOOKUP($A41,subQ,MATCH(AC$1,SUBQH,0),0),"")</f>
        <v/>
      </c>
      <c r="AD41" s="33">
        <f>IFERROR(VLOOKUP($A41,subQ,MATCH(AD$1,SUBQH,0),0),"")</f>
        <v/>
      </c>
      <c r="AE41" s="33">
        <f>IFERROR(VLOOKUP($A41,subQ,MATCH(AE$1,SUBQH,0),0),"")</f>
        <v/>
      </c>
      <c r="AF41" s="33">
        <f>IFERROR(VLOOKUP($A41,subQ,MATCH(AF$1,SUBQH,0),0),"")</f>
        <v/>
      </c>
      <c r="AG41" s="33">
        <f>IFERROR(VLOOKUP($A41,subQ,MATCH(AG$1,SUBQH,0),0),"")</f>
        <v/>
      </c>
    </row>
    <row r="42">
      <c r="A42" s="12" t="inlineStr">
        <is>
          <t>매출액 YoY</t>
        </is>
      </c>
      <c r="D42" t="inlineStr">
        <is>
          <t>매출액 YoY</t>
        </is>
      </c>
      <c r="I42" s="21">
        <f>IFERROR(I5/E5-1,"")</f>
        <v/>
      </c>
      <c r="J42" s="21">
        <f>IFERROR(J5/F5-1,"")</f>
        <v/>
      </c>
      <c r="K42" s="21">
        <f>IFERROR(K5/G5-1,"")</f>
        <v/>
      </c>
      <c r="L42" s="21">
        <f>IFERROR(L5/H5-1,"")</f>
        <v/>
      </c>
      <c r="M42" s="21">
        <f>IFERROR(M5/I5-1,"")</f>
        <v/>
      </c>
      <c r="N42" s="21">
        <f>IFERROR(N5/J5-1,"")</f>
        <v/>
      </c>
      <c r="O42" s="21">
        <f>IFERROR(O5/K5-1,"")</f>
        <v/>
      </c>
      <c r="P42" s="21">
        <f>IFERROR(P5/L5-1,"")</f>
        <v/>
      </c>
      <c r="Q42" s="21">
        <f>IFERROR(Q5/M5-1,"")</f>
        <v/>
      </c>
      <c r="R42" s="21">
        <f>IFERROR(R5/N5-1,"")</f>
        <v/>
      </c>
      <c r="S42" s="21">
        <f>IFERROR(S5/O5-1,"")</f>
        <v/>
      </c>
      <c r="T42" s="21">
        <f>IFERROR(T5/P5-1,"")</f>
        <v/>
      </c>
      <c r="U42" s="21">
        <f>IFERROR(U5/Q5-1,"")</f>
        <v/>
      </c>
      <c r="V42" s="21">
        <f>IFERROR(V5/R5-1,"")</f>
        <v/>
      </c>
      <c r="W42" s="46">
        <f>IFERROR(W5/S5-1,"")</f>
        <v/>
      </c>
      <c r="X42" s="33">
        <f>IFERROR(X5/T5-1,"")</f>
        <v/>
      </c>
      <c r="Y42" s="33">
        <f>IFERROR(Y5/U5-1,"")</f>
        <v/>
      </c>
      <c r="Z42" s="33">
        <f>IFERROR(Z5/V5-1,"")</f>
        <v/>
      </c>
      <c r="AA42" s="33">
        <f>IFERROR(AA5/W5-1,"")</f>
        <v/>
      </c>
      <c r="AB42" s="33">
        <f>IFERROR(AB5/X5-1,"")</f>
        <v/>
      </c>
      <c r="AC42" s="33">
        <f>IFERROR(AC5/Y5-1,"")</f>
        <v/>
      </c>
      <c r="AD42" s="33">
        <f>IFERROR(AD5/Z5-1,"")</f>
        <v/>
      </c>
      <c r="AE42" s="33">
        <f>IFERROR(AE5/AA5-1,"")</f>
        <v/>
      </c>
      <c r="AF42" s="33">
        <f>IFERROR(AF5/AB5-1,"")</f>
        <v/>
      </c>
      <c r="AG42" s="33">
        <f>IFERROR(AG5/AC5-1,"")</f>
        <v/>
      </c>
    </row>
    <row r="43">
      <c r="A43" s="12" t="inlineStr">
        <is>
          <t>영업이익 YoY</t>
        </is>
      </c>
      <c r="D43" t="inlineStr">
        <is>
          <t>영업이익 YoY</t>
        </is>
      </c>
      <c r="I43" s="21">
        <f>IFERROR(I9/E9-1,"")</f>
        <v/>
      </c>
      <c r="J43" s="21">
        <f>IFERROR(J9/F9-1,"")</f>
        <v/>
      </c>
      <c r="K43" s="21">
        <f>IFERROR(K9/G9-1,"")</f>
        <v/>
      </c>
      <c r="L43" s="21">
        <f>IFERROR(L9/H9-1,"")</f>
        <v/>
      </c>
      <c r="M43" s="21">
        <f>IFERROR(M9/I9-1,"")</f>
        <v/>
      </c>
      <c r="N43" s="21">
        <f>IFERROR(N9/J9-1,"")</f>
        <v/>
      </c>
      <c r="O43" s="21">
        <f>IFERROR(O9/K9-1,"")</f>
        <v/>
      </c>
      <c r="P43" s="21">
        <f>IFERROR(P9/L9-1,"")</f>
        <v/>
      </c>
      <c r="Q43" s="21">
        <f>IFERROR(Q9/M9-1,"")</f>
        <v/>
      </c>
      <c r="R43" s="21">
        <f>IFERROR(R9/N9-1,"")</f>
        <v/>
      </c>
      <c r="S43" s="21">
        <f>IFERROR(S9/O9-1,"")</f>
        <v/>
      </c>
      <c r="T43" s="21">
        <f>IFERROR(T9/P9-1,"")</f>
        <v/>
      </c>
      <c r="U43" s="21">
        <f>IFERROR(U9/Q9-1,"")</f>
        <v/>
      </c>
      <c r="V43" s="21">
        <f>IFERROR(V9/R9-1,"")</f>
        <v/>
      </c>
      <c r="W43" s="46">
        <f>IFERROR(W9/S9-1,"")</f>
        <v/>
      </c>
      <c r="X43" s="33">
        <f>IFERROR(X9/T9-1,"")</f>
        <v/>
      </c>
      <c r="Y43" s="33">
        <f>IFERROR(Y9/U9-1,"")</f>
        <v/>
      </c>
      <c r="Z43" s="33">
        <f>IFERROR(Z9/V9-1,"")</f>
        <v/>
      </c>
      <c r="AA43" s="33">
        <f>IFERROR(AA9/W9-1,"")</f>
        <v/>
      </c>
      <c r="AB43" s="33">
        <f>IFERROR(AB9/X9-1,"")</f>
        <v/>
      </c>
      <c r="AC43" s="33">
        <f>IFERROR(AC9/Y9-1,"")</f>
        <v/>
      </c>
      <c r="AD43" s="33">
        <f>IFERROR(AD9/Z9-1,"")</f>
        <v/>
      </c>
      <c r="AE43" s="33">
        <f>IFERROR(AE9/AA9-1,"")</f>
        <v/>
      </c>
      <c r="AF43" s="33">
        <f>IFERROR(AF9/AB9-1,"")</f>
        <v/>
      </c>
      <c r="AG43" s="33">
        <f>IFERROR(AG9/AC9-1,"")</f>
        <v/>
      </c>
    </row>
    <row r="44">
      <c r="A44" s="12" t="inlineStr">
        <is>
          <t>지배주주순이익 YoY</t>
        </is>
      </c>
      <c r="D44" t="inlineStr">
        <is>
          <t>지배주주순이익 YoY</t>
        </is>
      </c>
      <c r="I44" s="21">
        <f>IFERROR(I18/E18-1,"")</f>
        <v/>
      </c>
      <c r="J44" s="21">
        <f>IFERROR(J18/F18-1,"")</f>
        <v/>
      </c>
      <c r="K44" s="21">
        <f>IFERROR(K18/G18-1,"")</f>
        <v/>
      </c>
      <c r="L44" s="21">
        <f>IFERROR(L18/H18-1,"")</f>
        <v/>
      </c>
      <c r="M44" s="21">
        <f>IFERROR(M18/I18-1,"")</f>
        <v/>
      </c>
      <c r="N44" s="21">
        <f>IFERROR(N18/J18-1,"")</f>
        <v/>
      </c>
      <c r="O44" s="21">
        <f>IFERROR(O18/K18-1,"")</f>
        <v/>
      </c>
      <c r="P44" s="21">
        <f>IFERROR(P18/L18-1,"")</f>
        <v/>
      </c>
      <c r="Q44" s="21">
        <f>IFERROR(Q18/M18-1,"")</f>
        <v/>
      </c>
      <c r="R44" s="21">
        <f>IFERROR(R18/N18-1,"")</f>
        <v/>
      </c>
      <c r="S44" s="21">
        <f>IFERROR(S18/O18-1,"")</f>
        <v/>
      </c>
      <c r="T44" s="21">
        <f>IFERROR(T18/P18-1,"")</f>
        <v/>
      </c>
      <c r="U44" s="21">
        <f>IFERROR(U18/Q18-1,"")</f>
        <v/>
      </c>
      <c r="V44" s="21">
        <f>IFERROR(V18/R18-1,"")</f>
        <v/>
      </c>
      <c r="W44" s="46">
        <f>IFERROR(W18/S18-1,"")</f>
        <v/>
      </c>
      <c r="X44" s="33">
        <f>IFERROR(X18/T18-1,"")</f>
        <v/>
      </c>
      <c r="Y44" s="33">
        <f>IFERROR(Y18/U18-1,"")</f>
        <v/>
      </c>
      <c r="Z44" s="33">
        <f>IFERROR(Z18/V18-1,"")</f>
        <v/>
      </c>
      <c r="AA44" s="33">
        <f>IFERROR(AA18/W18-1,"")</f>
        <v/>
      </c>
      <c r="AB44" s="33">
        <f>IFERROR(AB18/X18-1,"")</f>
        <v/>
      </c>
      <c r="AC44" s="33">
        <f>IFERROR(AC18/Y18-1,"")</f>
        <v/>
      </c>
      <c r="AD44" s="33">
        <f>IFERROR(AD18/Z18-1,"")</f>
        <v/>
      </c>
      <c r="AE44" s="33">
        <f>IFERROR(AE18/AA18-1,"")</f>
        <v/>
      </c>
      <c r="AF44" s="33">
        <f>IFERROR(AF18/AB18-1,"")</f>
        <v/>
      </c>
      <c r="AG44" s="33">
        <f>IFERROR(AG18/AC18-1,"")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변수!D43</f>
        <v/>
      </c>
      <c r="I2" s="42" t="n"/>
    </row>
    <row r="3">
      <c r="C3" t="inlineStr">
        <is>
          <t>기준일:</t>
        </is>
      </c>
      <c r="D3" t="inlineStr">
        <is>
          <t>20261026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3">
        <f>IFERROR(VLOOKUP($A10,subQ,MATCH(J$1,SUBQH,0),0),"")</f>
        <v/>
      </c>
      <c r="K10" s="33">
        <f>IFERROR(VLOOKUP($A10,subQ,MATCH(K$1,SUBQH,0),0),"")</f>
        <v/>
      </c>
      <c r="L10" s="33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기타영업외손익</t>
        </is>
      </c>
      <c r="D13" t="inlineStr">
        <is>
          <t>기타영업외손익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지분법손익</t>
        </is>
      </c>
      <c r="D14" t="inlineStr">
        <is>
          <t>지분법손익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세전이익</t>
        </is>
      </c>
      <c r="D15" t="inlineStr">
        <is>
          <t>법인세비용차감전이익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법인세비용</t>
        </is>
      </c>
      <c r="D16" t="inlineStr">
        <is>
          <t>법인세비용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당기순이익</t>
        </is>
      </c>
      <c r="D17" t="inlineStr">
        <is>
          <t>당기순이익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지배주주순이익</t>
        </is>
      </c>
      <c r="D18" t="inlineStr">
        <is>
          <t>지배주주순이익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중단사업이익</t>
        </is>
      </c>
      <c r="D19" t="inlineStr">
        <is>
          <t>중단사업이익(실적만)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감가상각비</t>
        </is>
      </c>
      <c r="D20" t="inlineStr">
        <is>
          <t>감가상각비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EBITDA</t>
        </is>
      </c>
      <c r="D21" t="inlineStr">
        <is>
          <t>EBITDA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자산총계</t>
        </is>
      </c>
      <c r="D22" t="inlineStr">
        <is>
          <t>자산총계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부채총계</t>
        </is>
      </c>
      <c r="D23" t="inlineStr">
        <is>
          <t>부채총계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자본총계</t>
        </is>
      </c>
      <c r="D24" t="inlineStr">
        <is>
          <t>자본총계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지배주주지분</t>
        </is>
      </c>
      <c r="D25" t="inlineStr">
        <is>
          <t>지배주주지분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총차입금</t>
        </is>
      </c>
      <c r="D26" t="inlineStr">
        <is>
          <t>총차입금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순차입금</t>
        </is>
      </c>
      <c r="D27" t="inlineStr">
        <is>
          <t>순차입금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이자발생자산</t>
        </is>
      </c>
      <c r="D28" t="inlineStr">
        <is>
          <t>이자발생자산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5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현금및현금성자산</t>
        </is>
      </c>
      <c r="D29" t="inlineStr">
        <is>
          <t>현금및현금성자산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CAPEX</t>
        </is>
      </c>
      <c r="D30" t="inlineStr">
        <is>
          <t>CAPEX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영업활동현금흐름</t>
        </is>
      </c>
      <c r="D31" t="inlineStr">
        <is>
          <t>영업활동현금흐름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5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</row>
    <row r="32">
      <c r="A32" s="12" t="inlineStr">
        <is>
          <t>주식수</t>
        </is>
      </c>
      <c r="D32" t="inlineStr">
        <is>
          <t>유통주식수</t>
        </is>
      </c>
      <c r="E32" s="27">
        <f>IFERROR(VLOOKUP($A32,subQ,MATCH(E$1,SUBQH,0),0),"")</f>
        <v/>
      </c>
      <c r="F32" s="27">
        <f>IFERROR(VLOOKUP($A32,subQ,MATCH(F$1,SUBQH,0),0),"")</f>
        <v/>
      </c>
      <c r="G32" s="27">
        <f>IFERROR(VLOOKUP($A32,subQ,MATCH(G$1,SUBQH,0),0),"")</f>
        <v/>
      </c>
      <c r="H32" s="27">
        <f>IFERROR(VLOOKUP($A32,subQ,MATCH(H$1,SUBQH,0),0),"")</f>
        <v/>
      </c>
      <c r="I32" s="47">
        <f>IFERROR(VLOOKUP($A32,subQ,MATCH(I$1,SUBQH,0),0),"")</f>
        <v/>
      </c>
      <c r="J32" s="32">
        <f>IFERROR(VLOOKUP($A32,subQ,MATCH(J$1,SUBQH,0),0),"")</f>
        <v/>
      </c>
      <c r="K32" s="32">
        <f>IFERROR(VLOOKUP($A32,subQ,MATCH(K$1,SUBQH,0),0),"")</f>
        <v/>
      </c>
      <c r="L32" s="32">
        <f>IFERROR(VLOOKUP($A32,subQ,MATCH(L$1,SUBQH,0),0),"")</f>
        <v/>
      </c>
    </row>
    <row r="33">
      <c r="A33" s="12" t="inlineStr">
        <is>
          <t>EPS</t>
        </is>
      </c>
      <c r="D33" t="inlineStr">
        <is>
          <t>EPS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45">
        <f>IFERROR(VLOOKUP($A33,subQ,MATCH(I$1,SUBQH,0),0),"")</f>
        <v/>
      </c>
      <c r="J33" s="20">
        <f>IFERROR(VLOOKUP($A33,subQ,MATCH(J$1,SUBQH,0),0),"")</f>
        <v/>
      </c>
      <c r="K33" s="20">
        <f>IFERROR(VLOOKUP($A33,subQ,MATCH(K$1,SUBQH,0),0),"")</f>
        <v/>
      </c>
      <c r="L33" s="20">
        <f>IFERROR(VLOOKUP($A33,subQ,MATCH(L$1,SUBQH,0),0),"")</f>
        <v/>
      </c>
    </row>
    <row r="34">
      <c r="A34" s="12" t="inlineStr">
        <is>
          <t>조정EPS</t>
        </is>
      </c>
      <c r="D34" t="inlineStr">
        <is>
          <t>조정 EPS(일회성 의심 분기의 초과 비영업손익 세후 차감 — 모델 추정)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5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BPS</t>
        </is>
      </c>
      <c r="D35" t="inlineStr">
        <is>
          <t>BPS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45">
        <f>IFERROR(VLOOKUP($A35,subQ,MATCH(I$1,SUBQH,0),0),"")</f>
        <v/>
      </c>
      <c r="J35" s="20">
        <f>IFERROR(VLOOKUP($A35,subQ,MATCH(J$1,SUBQH,0),0),"")</f>
        <v/>
      </c>
      <c r="K35" s="20">
        <f>IFERROR(VLOOKUP($A35,subQ,MATCH(K$1,SUBQH,0),0),"")</f>
        <v/>
      </c>
      <c r="L35" s="20">
        <f>IFERROR(VLOOKUP($A35,subQ,MATCH(L$1,SUBQH,0),0),"")</f>
        <v/>
      </c>
    </row>
    <row r="36">
      <c r="A36" s="12" t="inlineStr">
        <is>
          <t>DPS</t>
        </is>
      </c>
      <c r="D36" t="inlineStr">
        <is>
          <t>DPS(보통주)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45">
        <f>IFERROR(VLOOKUP($A36,subQ,MATCH(I$1,SUBQH,0),0),"")</f>
        <v/>
      </c>
      <c r="J36" s="20">
        <f>IFERROR(VLOOKUP($A36,subQ,MATCH(J$1,SUBQH,0),0),"")</f>
        <v/>
      </c>
      <c r="K36" s="20">
        <f>IFERROR(VLOOKUP($A36,subQ,MATCH(K$1,SUBQH,0),0),"")</f>
        <v/>
      </c>
      <c r="L36" s="20">
        <f>IFERROR(VLOOKUP($A36,subQ,MATCH(L$1,SUBQH,0),0),"")</f>
        <v/>
      </c>
    </row>
    <row r="37">
      <c r="A37" s="12" t="inlineStr">
        <is>
          <t>PER</t>
        </is>
      </c>
      <c r="D37" t="inlineStr">
        <is>
          <t>PER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48">
        <f>IFERROR(VLOOKUP($A37,subQ,MATCH(I$1,SUBQH,0),0),"")</f>
        <v/>
      </c>
      <c r="J37" s="39">
        <f>IFERROR(VLOOKUP($A37,subQ,MATCH(J$1,SUBQH,0),0),"")</f>
        <v/>
      </c>
      <c r="K37" s="39">
        <f>IFERROR(VLOOKUP($A37,subQ,MATCH(K$1,SUBQH,0),0),"")</f>
        <v/>
      </c>
      <c r="L37" s="39">
        <f>IFERROR(VLOOKUP($A37,subQ,MATCH(L$1,SUBQH,0),0),"")</f>
        <v/>
      </c>
    </row>
    <row r="38">
      <c r="A38" s="12" t="inlineStr">
        <is>
          <t>PBR</t>
        </is>
      </c>
      <c r="D38" t="inlineStr">
        <is>
          <t>PBR</t>
        </is>
      </c>
      <c r="E38" s="13">
        <f>IFERROR(VLOOKUP($A38,subQ,MATCH(E$1,SUBQH,0),0),"")</f>
        <v/>
      </c>
      <c r="F38" s="13">
        <f>IFERROR(VLOOKUP($A38,subQ,MATCH(F$1,SUBQH,0),0),"")</f>
        <v/>
      </c>
      <c r="G38" s="13">
        <f>IFERROR(VLOOKUP($A38,subQ,MATCH(G$1,SUBQH,0),0),"")</f>
        <v/>
      </c>
      <c r="H38" s="13">
        <f>IFERROR(VLOOKUP($A38,subQ,MATCH(H$1,SUBQH,0),0),"")</f>
        <v/>
      </c>
      <c r="I38" s="48">
        <f>IFERROR(VLOOKUP($A38,subQ,MATCH(I$1,SUBQH,0),0),"")</f>
        <v/>
      </c>
      <c r="J38" s="39">
        <f>IFERROR(VLOOKUP($A38,subQ,MATCH(J$1,SUBQH,0),0),"")</f>
        <v/>
      </c>
      <c r="K38" s="39">
        <f>IFERROR(VLOOKUP($A38,subQ,MATCH(K$1,SUBQH,0),0),"")</f>
        <v/>
      </c>
      <c r="L38" s="39">
        <f>IFERROR(VLOOKUP($A38,subQ,MATCH(L$1,SUBQH,0),0),"")</f>
        <v/>
      </c>
    </row>
    <row r="39">
      <c r="A39" s="12" t="inlineStr">
        <is>
          <t>매출전사</t>
        </is>
      </c>
      <c r="D39" t="inlineStr">
        <is>
          <t>매출 전사(부문 미분리)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45">
        <f>IFERROR(VLOOKUP($A39,subQ,MATCH(I$1,SUBQH,0),0),"")</f>
        <v/>
      </c>
      <c r="J39" s="20">
        <f>IFERROR(VLOOKUP($A39,subQ,MATCH(J$1,SUBQH,0),0),"")</f>
        <v/>
      </c>
      <c r="K39" s="20">
        <f>IFERROR(VLOOKUP($A39,subQ,MATCH(K$1,SUBQH,0),0),"")</f>
        <v/>
      </c>
      <c r="L39" s="20">
        <f>IFERROR(VLOOKUP($A39,subQ,MATCH(L$1,SUBQH,0),0),"")</f>
        <v/>
      </c>
    </row>
    <row r="40">
      <c r="A40" s="12" t="inlineStr">
        <is>
          <t>OP전사</t>
        </is>
      </c>
      <c r="D40" t="inlineStr">
        <is>
          <t>OP 전사(부문 미분리)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18">
        <f>IFERROR(VLOOKUP($A40,subQ,MATCH(G$1,SUBQH,0),0),"")</f>
        <v/>
      </c>
      <c r="H40" s="18">
        <f>IFERROR(VLOOKUP($A40,subQ,MATCH(H$1,SUBQH,0),0),"")</f>
        <v/>
      </c>
      <c r="I40" s="45">
        <f>IFERROR(VLOOKUP($A40,subQ,MATCH(I$1,SUBQH,0),0),"")</f>
        <v/>
      </c>
      <c r="J40" s="20">
        <f>IFERROR(VLOOKUP($A40,subQ,MATCH(J$1,SUBQH,0),0),"")</f>
        <v/>
      </c>
      <c r="K40" s="20">
        <f>IFERROR(VLOOKUP($A40,subQ,MATCH(K$1,SUBQH,0),0),"")</f>
        <v/>
      </c>
      <c r="L40" s="20">
        <f>IFERROR(VLOOKUP($A40,subQ,MATCH(L$1,SUBQH,0),0),"")</f>
        <v/>
      </c>
    </row>
    <row r="41">
      <c r="A41" s="12" t="inlineStr">
        <is>
          <t>NPM</t>
        </is>
      </c>
      <c r="D41" t="inlineStr">
        <is>
          <t>NPM</t>
        </is>
      </c>
      <c r="E41" s="21">
        <f>IFERROR(VLOOKUP($A41,subQ,MATCH(E$1,SUBQH,0),0),"")</f>
        <v/>
      </c>
      <c r="F41" s="21">
        <f>IFERROR(VLOOKUP($A41,subQ,MATCH(F$1,SUBQH,0),0),"")</f>
        <v/>
      </c>
      <c r="G41" s="21">
        <f>IFERROR(VLOOKUP($A41,subQ,MATCH(G$1,SUBQH,0),0),"")</f>
        <v/>
      </c>
      <c r="H41" s="21">
        <f>IFERROR(VLOOKUP($A41,subQ,MATCH(H$1,SUBQH,0),0),"")</f>
        <v/>
      </c>
      <c r="I41" s="46">
        <f>IFERROR(VLOOKUP($A41,subQ,MATCH(I$1,SUBQH,0),0),"")</f>
        <v/>
      </c>
      <c r="J41" s="33">
        <f>IFERROR(VLOOKUP($A41,subQ,MATCH(J$1,SUBQH,0),0),"")</f>
        <v/>
      </c>
      <c r="K41" s="33">
        <f>IFERROR(VLOOKUP($A41,subQ,MATCH(K$1,SUBQH,0),0),"")</f>
        <v/>
      </c>
      <c r="L41" s="33">
        <f>IFERROR(VLOOKUP($A41,subQ,MATCH(L$1,SUBQH,0),0),"")</f>
        <v/>
      </c>
    </row>
    <row r="42">
      <c r="A42" s="12" t="inlineStr">
        <is>
          <t>매출액 YoY</t>
        </is>
      </c>
      <c r="D42" t="inlineStr">
        <is>
          <t>매출액 YoY</t>
        </is>
      </c>
      <c r="F42" s="21">
        <f>IFERROR(F5/E5-1,"")</f>
        <v/>
      </c>
      <c r="G42" s="21">
        <f>IFERROR(G5/F5-1,"")</f>
        <v/>
      </c>
      <c r="H42" s="21">
        <f>IFERROR(H5/G5-1,"")</f>
        <v/>
      </c>
      <c r="I42" s="46">
        <f>IFERROR(I5/H5-1,"")</f>
        <v/>
      </c>
      <c r="J42" s="33">
        <f>IFERROR(J5/I5-1,"")</f>
        <v/>
      </c>
      <c r="K42" s="33">
        <f>IFERROR(K5/J5-1,"")</f>
        <v/>
      </c>
      <c r="L42" s="33">
        <f>IFERROR(L5/K5-1,"")</f>
        <v/>
      </c>
    </row>
    <row r="43">
      <c r="A43" s="12" t="inlineStr">
        <is>
          <t>영업이익 YoY</t>
        </is>
      </c>
      <c r="D43" t="inlineStr">
        <is>
          <t>영업이익 YoY</t>
        </is>
      </c>
      <c r="F43" s="21">
        <f>IFERROR(F9/E9-1,"")</f>
        <v/>
      </c>
      <c r="G43" s="21">
        <f>IFERROR(G9/F9-1,"")</f>
        <v/>
      </c>
      <c r="H43" s="21">
        <f>IFERROR(H9/G9-1,"")</f>
        <v/>
      </c>
      <c r="I43" s="46">
        <f>IFERROR(I9/H9-1,"")</f>
        <v/>
      </c>
      <c r="J43" s="33">
        <f>IFERROR(J9/I9-1,"")</f>
        <v/>
      </c>
      <c r="K43" s="33">
        <f>IFERROR(K9/J9-1,"")</f>
        <v/>
      </c>
      <c r="L43" s="33">
        <f>IFERROR(L9/K9-1,"")</f>
        <v/>
      </c>
    </row>
    <row r="44">
      <c r="A44" s="12" t="inlineStr">
        <is>
          <t>지배주주순이익 YoY</t>
        </is>
      </c>
      <c r="D44" t="inlineStr">
        <is>
          <t>지배주주순이익 YoY</t>
        </is>
      </c>
      <c r="F44" s="21">
        <f>IFERROR(F18/E18-1,"")</f>
        <v/>
      </c>
      <c r="G44" s="21">
        <f>IFERROR(G18/F18-1,"")</f>
        <v/>
      </c>
      <c r="H44" s="21">
        <f>IFERROR(H18/G18-1,"")</f>
        <v/>
      </c>
      <c r="I44" s="46">
        <f>IFERROR(I18/H18-1,"")</f>
        <v/>
      </c>
      <c r="J44" s="33">
        <f>IFERROR(J18/I18-1,"")</f>
        <v/>
      </c>
      <c r="K44" s="33">
        <f>IFERROR(K18/J18-1,"")</f>
        <v/>
      </c>
      <c r="L44" s="33">
        <f>IFERROR(L18/K18-1,"")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변수!D43</f>
        <v/>
      </c>
    </row>
    <row r="2">
      <c r="B2" s="1" t="inlineStr">
        <is>
          <t>기준일</t>
        </is>
      </c>
      <c r="C2">
        <f>변수!D44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IFERROR(E7*변수!D49+F7*(1-변수!D49),"")</f>
        <v/>
      </c>
    </row>
    <row r="15">
      <c r="C15" t="inlineStr">
        <is>
          <t>적정가치 @PER_lo</t>
        </is>
      </c>
      <c r="D15" s="27">
        <f>변수!D46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변수!D47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변수!D48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변수!D45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163.3</v>
      </c>
    </row>
    <row r="30">
      <c r="C30" s="2" t="inlineStr">
        <is>
          <t>bps_latest</t>
        </is>
      </c>
      <c r="D30" t="n">
        <v>13299.6</v>
      </c>
    </row>
    <row r="31">
      <c r="C31" s="2" t="inlineStr">
        <is>
          <t>per_now</t>
        </is>
      </c>
      <c r="D31" t="n">
        <v>24.59</v>
      </c>
    </row>
    <row r="32">
      <c r="C32" s="2" t="inlineStr">
        <is>
          <t>pbr_now</t>
        </is>
      </c>
      <c r="D32" t="n">
        <v>0.3</v>
      </c>
    </row>
    <row r="33">
      <c r="C33" s="2" t="inlineStr">
        <is>
          <t>roe_fwd</t>
        </is>
      </c>
      <c r="D33" t="n">
        <v>0.0123</v>
      </c>
    </row>
    <row r="34">
      <c r="C34" s="2" t="inlineStr">
        <is>
          <t>fair_pbr</t>
        </is>
      </c>
      <c r="D34" t="n">
        <v>0.14</v>
      </c>
    </row>
    <row r="35">
      <c r="C35" s="2" t="inlineStr">
        <is>
          <t>fair_value_pbr</t>
        </is>
      </c>
      <c r="D35" t="n">
        <v>1900</v>
      </c>
    </row>
    <row r="36">
      <c r="C36" s="2" t="inlineStr">
        <is>
          <t>ev_ebitda</t>
        </is>
      </c>
      <c r="D36" t="n">
        <v>6.69</v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3">
        <f>IFERROR(X5/W5-1,"")</f>
        <v/>
      </c>
      <c r="Y6" s="33">
        <f>IFERROR(Y5/X5-1,"")</f>
        <v/>
      </c>
      <c r="Z6" s="33">
        <f>IFERROR(Z5/Y5-1,"")</f>
        <v/>
      </c>
      <c r="AA6" s="33">
        <f>IFERROR(AA5/Z5-1,"")</f>
        <v/>
      </c>
      <c r="AB6" s="33">
        <f>IFERROR(AB5/AA5-1,"")</f>
        <v/>
      </c>
      <c r="AC6" s="33">
        <f>IFERROR(AC5/AB5-1,"")</f>
        <v/>
      </c>
      <c r="AD6" s="33">
        <f>IFERROR(AD5/AC5-1,"")</f>
        <v/>
      </c>
      <c r="AE6" s="33">
        <f>IFERROR(AE5/AD5-1,"")</f>
        <v/>
      </c>
      <c r="AF6" s="33">
        <f>IFERROR(AF5/AE5-1,"")</f>
        <v/>
      </c>
      <c r="AG6" s="33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3">
        <f>IFERROR(X7/W7-1,"")</f>
        <v/>
      </c>
      <c r="Y8" s="33">
        <f>IFERROR(Y7/X7-1,"")</f>
        <v/>
      </c>
      <c r="Z8" s="33">
        <f>IFERROR(Z7/Y7-1,"")</f>
        <v/>
      </c>
      <c r="AA8" s="33">
        <f>IFERROR(AA7/Z7-1,"")</f>
        <v/>
      </c>
      <c r="AB8" s="33">
        <f>IFERROR(AB7/AA7-1,"")</f>
        <v/>
      </c>
      <c r="AC8" s="33">
        <f>IFERROR(AC7/AB7-1,"")</f>
        <v/>
      </c>
      <c r="AD8" s="33">
        <f>IFERROR(AD7/AC7-1,"")</f>
        <v/>
      </c>
      <c r="AE8" s="33">
        <f>IFERROR(AE7/AD7-1,"")</f>
        <v/>
      </c>
      <c r="AF8" s="33">
        <f>IFERROR(AF7/AE7-1,"")</f>
        <v/>
      </c>
      <c r="AG8" s="33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3">
        <f>IFERROR(X9/W9-1,"")</f>
        <v/>
      </c>
      <c r="Y10" s="33">
        <f>IFERROR(Y9/X9-1,"")</f>
        <v/>
      </c>
      <c r="Z10" s="33">
        <f>IFERROR(Z9/Y9-1,"")</f>
        <v/>
      </c>
      <c r="AA10" s="33">
        <f>IFERROR(AA9/Z9-1,"")</f>
        <v/>
      </c>
      <c r="AB10" s="33">
        <f>IFERROR(AB9/AA9-1,"")</f>
        <v/>
      </c>
      <c r="AC10" s="33">
        <f>IFERROR(AC9/AB9-1,"")</f>
        <v/>
      </c>
      <c r="AD10" s="33">
        <f>IFERROR(AD9/AC9-1,"")</f>
        <v/>
      </c>
      <c r="AE10" s="33">
        <f>IFERROR(AE9/AD9-1,"")</f>
        <v/>
      </c>
      <c r="AF10" s="33">
        <f>IFERROR(AF9/AE9-1,"")</f>
        <v/>
      </c>
      <c r="AG10" s="33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3">
        <f>IFERROR(X11/W11-1,"")</f>
        <v/>
      </c>
      <c r="Y12" s="33">
        <f>IFERROR(Y11/X11-1,"")</f>
        <v/>
      </c>
      <c r="Z12" s="33">
        <f>IFERROR(Z11/Y11-1,"")</f>
        <v/>
      </c>
      <c r="AA12" s="33">
        <f>IFERROR(AA11/Z11-1,"")</f>
        <v/>
      </c>
      <c r="AB12" s="33">
        <f>IFERROR(AB11/AA11-1,"")</f>
        <v/>
      </c>
      <c r="AC12" s="33">
        <f>IFERROR(AC11/AB11-1,"")</f>
        <v/>
      </c>
      <c r="AD12" s="33">
        <f>IFERROR(AD11/AC11-1,"")</f>
        <v/>
      </c>
      <c r="AE12" s="33">
        <f>IFERROR(AE11/AD11-1,"")</f>
        <v/>
      </c>
      <c r="AF12" s="33">
        <f>IFERROR(AF11/AE11-1,"")</f>
        <v/>
      </c>
      <c r="AG12" s="33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3">
        <f>IFERROR(X13/W13-1,"")</f>
        <v/>
      </c>
      <c r="Y14" s="33">
        <f>IFERROR(Y13/X13-1,"")</f>
        <v/>
      </c>
      <c r="Z14" s="33">
        <f>IFERROR(Z13/Y13-1,"")</f>
        <v/>
      </c>
      <c r="AA14" s="33">
        <f>IFERROR(AA13/Z13-1,"")</f>
        <v/>
      </c>
      <c r="AB14" s="33">
        <f>IFERROR(AB13/AA13-1,"")</f>
        <v/>
      </c>
      <c r="AC14" s="33">
        <f>IFERROR(AC13/AB13-1,"")</f>
        <v/>
      </c>
      <c r="AD14" s="33">
        <f>IFERROR(AD13/AC13-1,"")</f>
        <v/>
      </c>
      <c r="AE14" s="33">
        <f>IFERROR(AE13/AD13-1,"")</f>
        <v/>
      </c>
      <c r="AF14" s="33">
        <f>IFERROR(AF13/AE13-1,"")</f>
        <v/>
      </c>
      <c r="AG14" s="33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변수!D56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2026-10-26T00:00:00Z</dcterms:created>
  <dcterms:modified xsi:type="dcterms:W3CDTF">2026-10-26T00:00:00Z</dcterms:modified>
</cp:coreProperties>
</file>