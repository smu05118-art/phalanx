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3절 스칼라 '판관비율' 참조 — 숫자로 덮어쓰면 이 분기만 바뀐다
매출액 × 판관비율 13.40%(최근 4분기 중위)</t>
      </text>
    </comment>
    <comment ref="AD22" authorId="0" shapeId="0">
      <text>
        <t>3절 스칼라 '판관비율' 참조 — 숫자로 덮어쓰면 이 분기만 바뀐다
매출액 × 판관비율 13.40%(최근 4분기 중위)</t>
      </text>
    </comment>
    <comment ref="AF22" authorId="0" shapeId="0">
      <text>
        <t>3절 스칼라 '판관비율' 참조 — 숫자로 덮어쓰면 이 분기만 바뀐다
매출액 × 판관비율 13.40%(최근 4분기 중위)</t>
      </text>
    </comment>
    <comment ref="AG22" authorId="0" shapeId="0">
      <text>
        <t>3절 스칼라 '판관비율' 참조 — 숫자로 덮어쓰면 이 분기만 바뀐다
매출액 × 판관비율 13.40%(최근 4분기 중위)</t>
      </text>
    </comment>
    <comment ref="AH22" authorId="0" shapeId="0">
      <text>
        <t>3절 스칼라 '판관비율' 참조 — 숫자로 덮어쓰면 이 분기만 바뀐다
매출액 × 판관비율 13.40%(최근 4분기 중위)</t>
      </text>
    </comment>
    <comment ref="AI22" authorId="0" shapeId="0">
      <text>
        <t>3절 스칼라 '판관비율' 참조 — 숫자로 덮어쓰면 이 분기만 바뀐다
매출액 × 판관비율 13.40%(최근 4분기 중위)</t>
      </text>
    </comment>
    <comment ref="AK22" authorId="0" shapeId="0">
      <text>
        <t>3절 스칼라 '판관비율' 참조 — 숫자로 덮어쓰면 이 분기만 바뀐다
매출액 × 판관비율 13.40%(최근 4분기 중위)</t>
      </text>
    </comment>
    <comment ref="AL22" authorId="0" shapeId="0">
      <text>
        <t>3절 스칼라 '판관비율' 참조 — 숫자로 덮어쓰면 이 분기만 바뀐다
매출액 × 판관비율 13.40%(최근 4분기 중위)</t>
      </text>
    </comment>
    <comment ref="AM22" authorId="0" shapeId="0">
      <text>
        <t>3절 스칼라 '판관비율' 참조 — 숫자로 덮어쓰면 이 분기만 바뀐다
매출액 × 판관비율 13.40%(최근 4분기 중위)</t>
      </text>
    </comment>
    <comment ref="AN22" authorId="0" shapeId="0">
      <text>
        <t>3절 스칼라 '판관비율' 참조 — 숫자로 덮어쓰면 이 분기만 바뀐다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D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F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G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H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I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K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L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M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N26" authorId="0" shapeId="0">
      <text>
        <t>3절 스칼라 '세율' 참조 — 숫자로 덮어쓰면 이 분기만 바뀐다
max(세전, 0) × 세율 24.0%(최근 12분기 유효세율 28.1% 가 5~27% 밖 → 클립 대신 최근 8분기 중 세전 &gt; 0 인 5분기(2024Q3~2026Q2)의 법인세/세전 중위 24.0%)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모델 v 그대로
최근 4분기 감가상각비 중위 유지</t>
      </text>
    </comment>
    <comment ref="AD29" authorId="0" shapeId="0">
      <text>
        <t>모델값 역산(implied): 모델 v 그대로
최근 4분기 감가상각비 중위 유지</t>
      </text>
    </comment>
    <comment ref="AF29" authorId="0" shapeId="0">
      <text>
        <t>모델값 역산(implied): 모델 v 그대로
최근 4분기 감가상각비 중위 유지</t>
      </text>
    </comment>
    <comment ref="AG29" authorId="0" shapeId="0">
      <text>
        <t>모델값 역산(implied): 모델 v 그대로
최근 4분기 감가상각비 중위 유지</t>
      </text>
    </comment>
    <comment ref="AH29" authorId="0" shapeId="0">
      <text>
        <t>모델값 역산(implied): 모델 v 그대로
최근 4분기 감가상각비 중위 유지</t>
      </text>
    </comment>
    <comment ref="AI29" authorId="0" shapeId="0">
      <text>
        <t>모델값 역산(implied): 모델 v 그대로
최근 4분기 감가상각비 중위 유지</t>
      </text>
    </comment>
    <comment ref="AK29" authorId="0" shapeId="0">
      <text>
        <t>모델값 역산(implied): 모델 v 그대로
최근 4분기 감가상각비 중위 유지</t>
      </text>
    </comment>
    <comment ref="AL29" authorId="0" shapeId="0">
      <text>
        <t>모델값 역산(implied): 모델 v 그대로
최근 4분기 감가상각비 중위 유지</t>
      </text>
    </comment>
    <comment ref="AM29" authorId="0" shapeId="0">
      <text>
        <t>모델값 역산(implied): 모델 v 그대로
최근 4분기 감가상각비 중위 유지</t>
      </text>
    </comment>
    <comment ref="AN29" authorId="0" shapeId="0">
      <text>
        <t>모델값 역산(implied): 모델 v 그대로
최근 4분기 감가상각비 중위 유지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D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F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G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H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I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K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L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M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N34" authorId="0" shapeId="0">
      <text>
        <t>모델값 역산(implied): v / 전분기 − 1
전분기 − FCF 근사[순이익 + 감가상각비 158억 − CAPEX 202억(각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반영(FCF 근사)</t>
      </text>
    </comment>
    <comment ref="AD37" authorId="0" shapeId="0">
      <text>
        <t>모델값 역산(implied): v / 전년동기 − 1
최근 4분기(2025Q3~2026Q2) CAPEX 중위 유지 — 순차입금 롤에 반영(FCF 근사)</t>
      </text>
    </comment>
    <comment ref="AF37" authorId="0" shapeId="0">
      <text>
        <t>모델값 역산(implied): v / 전년동기 − 1
최근 4분기(2025Q3~2026Q2) CAPEX 중위 유지 — 순차입금 롤에 반영(FCF 근사)</t>
      </text>
    </comment>
    <comment ref="AG37" authorId="0" shapeId="0">
      <text>
        <t>모델값 역산(implied): v / 전년동기 − 1
최근 4분기(2025Q3~2026Q2) CAPEX 중위 유지 — 순차입금 롤에 반영(FCF 근사)</t>
      </text>
    </comment>
    <comment ref="AH37" authorId="0" shapeId="0">
      <text>
        <t>모델값 역산(implied): v / 전년동기 − 1
최근 4분기(2025Q3~2026Q2) CAPEX 중위 유지 — 순차입금 롤에 반영(FCF 근사)</t>
      </text>
    </comment>
    <comment ref="AI37" authorId="0" shapeId="0">
      <text>
        <t>모델값 역산(implied): v / 전년동기 − 1
최근 4분기(2025Q3~2026Q2) CAPEX 중위 유지 — 순차입금 롤에 반영(FCF 근사)</t>
      </text>
    </comment>
    <comment ref="AK37" authorId="0" shapeId="0">
      <text>
        <t>모델값 역산(implied): v / 전년동기 − 1
최근 4분기(2025Q3~2026Q2) CAPEX 중위 유지 — 순차입금 롤에 반영(FCF 근사)</t>
      </text>
    </comment>
    <comment ref="AL37" authorId="0" shapeId="0">
      <text>
        <t>모델값 역산(implied): v / 전년동기 − 1
최근 4분기(2025Q3~2026Q2) CAPEX 중위 유지 — 순차입금 롤에 반영(FCF 근사)</t>
      </text>
    </comment>
    <comment ref="AM37" authorId="0" shapeId="0">
      <text>
        <t>모델값 역산(implied): v / 전년동기 − 1
최근 4분기(2025Q3~2026Q2) CAPEX 중위 유지 — 순차입금 롤에 반영(FCF 근사)</t>
      </text>
    </comment>
    <comment ref="AN37" authorId="0" shapeId="0">
      <text>
        <t>모델값 역산(implied): v / 전년동기 − 1
최근 4분기(2025Q3~2026Q2) CAPEX 중위 유지 — 순차입금 롤에 반영(FCF 근사)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120원 유지</t>
      </text>
    </comment>
    <comment ref="AI40" authorId="0" shapeId="0">
      <text>
        <t>모델값 역산(implied): 모델 v 그대로
직전 결산 DPS 120원 유지</t>
      </text>
    </comment>
    <comment ref="AN40" authorId="0" shapeId="0">
      <text>
        <t>모델값 역산(implied): 모델 v 그대로
직전 결산 DPS 120원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AC10" authorId="0" shapeId="0">
      <text>
        <t>추정: 최근 8분기 OPM 중위 2.7% 유지(클립 −20~40%)
[divide]</t>
      </text>
    </comment>
    <comment ref="AD10" authorId="0" shapeId="0">
      <text>
        <t>추정: 최근 8분기 OPM 중위 2.7% 유지(클립 −20~40%)
[divide]</t>
      </text>
    </comment>
    <comment ref="AF10" authorId="0" shapeId="0">
      <text>
        <t>추정: 최근 8분기 OPM 중위 2.7% 유지(클립 −20~40%)
[divide]</t>
      </text>
    </comment>
    <comment ref="AG10" authorId="0" shapeId="0">
      <text>
        <t>추정: 최근 8분기 OPM 중위 2.7% 유지(클립 −20~40%)
[divide]</t>
      </text>
    </comment>
    <comment ref="AH10" authorId="0" shapeId="0">
      <text>
        <t>추정: 최근 8분기 OPM 중위 2.7% 유지(클립 −20~40%)
[divide]</t>
      </text>
    </comment>
    <comment ref="AI10" authorId="0" shapeId="0">
      <text>
        <t>추정: 최근 8분기 OPM 중위 2.7% 유지(클립 −20~40%)
[divide]</t>
      </text>
    </comment>
    <comment ref="AK10" authorId="0" shapeId="0">
      <text>
        <t>추정: 최근 8분기 OPM 중위 2.7% 유지(클립 −20~40%)
[divide]</t>
      </text>
    </comment>
    <comment ref="AL10" authorId="0" shapeId="0">
      <text>
        <t>추정: 최근 8분기 OPM 중위 2.7% 유지(클립 −20~40%)
[divide]</t>
      </text>
    </comment>
    <comment ref="AM10" authorId="0" shapeId="0">
      <text>
        <t>추정: 최근 8분기 OPM 중위 2.7% 유지(클립 −20~40%)
[divide]</t>
      </text>
    </comment>
    <comment ref="AN10" authorId="0" shapeId="0">
      <text>
        <t>추정: 최근 8분기 OPM 중위 2.7%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1743억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1711억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1675억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1640억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1579억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1546억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1509억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1474억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1412억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1378억 × 2.47%(CF 이자수취 ÷ 평균 이자발생자산(2025Q3~2026Q2; 주석 이자수익 0분기 &lt; 4)) − 총차입금 6080억 × 4.00%(CF 이자지급 ÷ 평균 총차입금(2025Q3~2026Q2; 주석 이자비용 0분기 &lt; 4)) (연율) ÷ 4; 환율 효과는 환관련손익 행 별도
[identity]</t>
      </text>
    </comment>
    <comment ref="AC12" authorId="0" shapeId="0">
      <text>
        <t>추정: 이자발생자산 1743억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D12" authorId="0" shapeId="0">
      <text>
        <t>추정: 이자발생자산 1711억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F12" authorId="0" shapeId="0">
      <text>
        <t>추정: 이자발생자산 1675억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G12" authorId="0" shapeId="0">
      <text>
        <t>추정: 이자발생자산 1640억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H12" authorId="0" shapeId="0">
      <text>
        <t>추정: 이자발생자산 1579억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I12" authorId="0" shapeId="0">
      <text>
        <t>추정: 이자발생자산 1546억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K12" authorId="0" shapeId="0">
      <text>
        <t>추정: 이자발생자산 1509억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L12" authorId="0" shapeId="0">
      <text>
        <t>추정: 이자발생자산 1474억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M12" authorId="0" shapeId="0">
      <text>
        <t>추정: 이자발생자산 1412억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N12" authorId="0" shapeId="0">
      <text>
        <t>추정: 이자발생자산 1378억 × 2.47%(CF 이자수취 ÷ 평균 이자발생자산(2025Q3~2026Q2; 주석 이자수익 0분기 &lt; 4)) − 총차입금 6080억 × 4.00%(CF 이자지급 ÷ 평균 총차입금(2025Q3~2026Q2;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D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F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G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H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I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K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L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M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N16" authorId="0" shapeId="0">
      <text>
        <t>추정: max(세전, 0) × 세율 24.0%(최근 12분기 유효세율 28.1% 가 5~27% 밖 → 클립 대신 최근 8분기 중 세전 &gt; 0 인 5분기(2024Q3~2026Q2)의 법인세/세전 중위 24.0%)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최근 4분기 감가상각비 중위 유지
[abs]</t>
      </text>
    </comment>
    <comment ref="AD20" authorId="0" shapeId="0">
      <text>
        <t>추정: 최근 4분기 감가상각비 중위 유지
[abs]</t>
      </text>
    </comment>
    <comment ref="AF20" authorId="0" shapeId="0">
      <text>
        <t>추정: 최근 4분기 감가상각비 중위 유지
[abs]</t>
      </text>
    </comment>
    <comment ref="AG20" authorId="0" shapeId="0">
      <text>
        <t>추정: 최근 4분기 감가상각비 중위 유지
[abs]</t>
      </text>
    </comment>
    <comment ref="AH20" authorId="0" shapeId="0">
      <text>
        <t>추정: 최근 4분기 감가상각비 중위 유지
[abs]</t>
      </text>
    </comment>
    <comment ref="AI20" authorId="0" shapeId="0">
      <text>
        <t>추정: 최근 4분기 감가상각비 중위 유지
[abs]</t>
      </text>
    </comment>
    <comment ref="AK20" authorId="0" shapeId="0">
      <text>
        <t>추정: 최근 4분기 감가상각비 중위 유지
[abs]</t>
      </text>
    </comment>
    <comment ref="AL20" authorId="0" shapeId="0">
      <text>
        <t>추정: 최근 4분기 감가상각비 중위 유지
[abs]</t>
      </text>
    </comment>
    <comment ref="AM20" authorId="0" shapeId="0">
      <text>
        <t>추정: 최근 4분기 감가상각비 중위 유지
[abs]</t>
      </text>
    </comment>
    <comment ref="AN20" authorId="0" shapeId="0">
      <text>
        <t>추정: 최근 4분기 감가상각비 중위 유지
[abs]</t>
      </text>
    </comment>
    <comment ref="E21" authorId="0" shapeId="0">
      <text>
        <t>실측(계정 매핑 없음(파생·부문·시세 행) — 모델값 직접) — 영업이익 + 감가상각비(CF)</t>
      </text>
    </comment>
    <comment ref="G21" authorId="0" shapeId="0">
      <text>
        <t>실측(계정 매핑 없음(파생·부문·시세 행) — 모델값 직접) — 영업이익 + 감가상각비(CF)</t>
      </text>
    </comment>
    <comment ref="H21" authorId="0" shapeId="0">
      <text>
        <t>실측(계정 매핑 없음(파생·부문·시세 행) — 모델값 직접) — 영업이익 + 감가상각비(CF)</t>
      </text>
    </comment>
    <comment ref="I21" authorId="0" shapeId="0">
      <text>
        <t>실측(계정 매핑 없음(파생·부문·시세 행) — 모델값 직접) — 영업이익 + 감가상각비(CF)</t>
      </text>
    </comment>
    <comment ref="J21" authorId="0" shapeId="0">
      <text>
        <t>실측(계정 매핑 없음(파생·부문·시세 행) — 모델값 직접) — 영업이익 + 감가상각비(CF)</t>
      </text>
    </comment>
    <comment ref="L21" authorId="0" shapeId="0">
      <text>
        <t>실측(계정 매핑 없음(파생·부문·시세 행) — 모델값 직접) — 영업이익 + 감가상각비(CF)</t>
      </text>
    </comment>
    <comment ref="M21" authorId="0" shapeId="0">
      <text>
        <t>실측(계정 매핑 없음(파생·부문·시세 행) — 모델값 직접) — 영업이익 + 감가상각비(CF)</t>
      </text>
    </comment>
    <comment ref="N21" authorId="0" shapeId="0">
      <text>
        <t>실측(계정 매핑 없음(파생·부문·시세 행) — 모델값 직접) — 영업이익 + 감가상각비(CF)</t>
      </text>
    </comment>
    <comment ref="O21" authorId="0" shapeId="0">
      <text>
        <t>실측(계정 매핑 없음(파생·부문·시세 행) — 모델값 직접) — 영업이익 + 감가상각비(CF)</t>
      </text>
    </comment>
    <comment ref="Q21" authorId="0" shapeId="0">
      <text>
        <t>실측(계정 매핑 없음(파생·부문·시세 행) — 모델값 직접) — 영업이익 + 감가상각비(CF)</t>
      </text>
    </comment>
    <comment ref="R21" authorId="0" shapeId="0">
      <text>
        <t>실측(계정 매핑 없음(파생·부문·시세 행) — 모델값 직접) — 영업이익 + 감가상각비(CF)</t>
      </text>
    </comment>
    <comment ref="S21" authorId="0" shapeId="0">
      <text>
        <t>실측(계정 매핑 없음(파생·부문·시세 행) — 모델값 직접) — 영업이익 + 감가상각비(CF)</t>
      </text>
    </comment>
    <comment ref="T21" authorId="0" shapeId="0">
      <text>
        <t>실측(계정 매핑 없음(파생·부문·시세 행) — 모델값 직접) — 영업이익 + 감가상각비(CF)</t>
      </text>
    </comment>
    <comment ref="V21" authorId="0" shapeId="0">
      <text>
        <t>실측(계정 매핑 없음(파생·부문·시세 행) — 모델값 직접) — 영업이익 + 감가상각비(CF)</t>
      </text>
    </comment>
    <comment ref="W21" authorId="0" shapeId="0">
      <text>
        <t>실측(계정 매핑 없음(파생·부문·시세 행) — 모델값 직접) — 영업이익 + 감가상각비(CF)</t>
      </text>
    </comment>
    <comment ref="X21" authorId="0" shapeId="0">
      <text>
        <t>실측(계정 매핑 없음(파생·부문·시세 행) — 모델값 직접) — 영업이익 + 감가상각비(CF)</t>
      </text>
    </comment>
    <comment ref="Y21" authorId="0" shapeId="0">
      <text>
        <t>실측(계정 매핑 없음(파생·부문·시세 행) — 모델값 직접) — 영업이익 + 감가상각비(CF)</t>
      </text>
    </comment>
    <comment ref="AA21" authorId="0" shapeId="0">
      <text>
        <t>실측(계정 매핑 없음(파생·부문·시세 행) — 모델값 직접) — 영업이익 + 감가상각비(CF)</t>
      </text>
    </comment>
    <comment ref="AB21" authorId="0" shapeId="0">
      <text>
        <t>실측(계정 매핑 없음(파생·부문·시세 행) — 모델값 직접) — 영업이익 + 감가상각비(CF)</t>
      </text>
    </comment>
    <comment ref="AC21" authorId="0" shapeId="0">
      <text>
        <t>추정: 영업이익 + 감가상각비
[identity]</t>
      </text>
    </comment>
    <comment ref="AD21" authorId="0" shapeId="0">
      <text>
        <t>추정: 영업이익 + 감가상각비
[identity]</t>
      </text>
    </comment>
    <comment ref="AF21" authorId="0" shapeId="0">
      <text>
        <t>추정: 영업이익 + 감가상각비
[identity]</t>
      </text>
    </comment>
    <comment ref="AG21" authorId="0" shapeId="0">
      <text>
        <t>추정: 영업이익 + 감가상각비
[identity]</t>
      </text>
    </comment>
    <comment ref="AH21" authorId="0" shapeId="0">
      <text>
        <t>추정: 영업이익 + 감가상각비
[identity]</t>
      </text>
    </comment>
    <comment ref="AI21" authorId="0" shapeId="0">
      <text>
        <t>추정: 영업이익 + 감가상각비
[identity]</t>
      </text>
    </comment>
    <comment ref="AK21" authorId="0" shapeId="0">
      <text>
        <t>추정: 영업이익 + 감가상각비
[identity]</t>
      </text>
    </comment>
    <comment ref="AL21" authorId="0" shapeId="0">
      <text>
        <t>추정: 영업이익 + 감가상각비
[identity]</t>
      </text>
    </comment>
    <comment ref="AM21" authorId="0" shapeId="0">
      <text>
        <t>추정: 영업이익 + 감가상각비
[identity]</t>
      </text>
    </comment>
    <comment ref="AN21" authorId="0" shapeId="0">
      <text>
        <t>추정: 영업이익 + 감가상각비
[identity]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D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F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G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H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I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K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L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M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N27" authorId="0" shapeId="0">
      <text>
        <t>추정: 전분기 − FCF 근사[순이익 + 감가상각비 158억 − CAPEX 202억(각 최근 4분기 중위) − 배당]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반영(FCF 근사)
[yoy]</t>
      </text>
    </comment>
    <comment ref="AD30" authorId="0" shapeId="0">
      <text>
        <t>추정: 최근 4분기(2025Q3~2026Q2) CAPEX 중위 유지 — 순차입금 롤에 반영(FCF 근사)
[yoy]</t>
      </text>
    </comment>
    <comment ref="AF30" authorId="0" shapeId="0">
      <text>
        <t>추정: 최근 4분기(2025Q3~2026Q2) CAPEX 중위 유지 — 순차입금 롤에 반영(FCF 근사)
[yoy]</t>
      </text>
    </comment>
    <comment ref="AG30" authorId="0" shapeId="0">
      <text>
        <t>추정: 최근 4분기(2025Q3~2026Q2) CAPEX 중위 유지 — 순차입금 롤에 반영(FCF 근사)
[yoy]</t>
      </text>
    </comment>
    <comment ref="AH30" authorId="0" shapeId="0">
      <text>
        <t>추정: 최근 4분기(2025Q3~2026Q2) CAPEX 중위 유지 — 순차입금 롤에 반영(FCF 근사)
[yoy]</t>
      </text>
    </comment>
    <comment ref="AI30" authorId="0" shapeId="0">
      <text>
        <t>추정: 최근 4분기(2025Q3~2026Q2) CAPEX 중위 유지 — 순차입금 롤에 반영(FCF 근사)
[yoy]</t>
      </text>
    </comment>
    <comment ref="AK30" authorId="0" shapeId="0">
      <text>
        <t>추정: 최근 4분기(2025Q3~2026Q2) CAPEX 중위 유지 — 순차입금 롤에 반영(FCF 근사)
[yoy]</t>
      </text>
    </comment>
    <comment ref="AL30" authorId="0" shapeId="0">
      <text>
        <t>추정: 최근 4분기(2025Q3~2026Q2) CAPEX 중위 유지 — 순차입금 롤에 반영(FCF 근사)
[yoy]</t>
      </text>
    </comment>
    <comment ref="AM30" authorId="0" shapeId="0">
      <text>
        <t>추정: 최근 4분기(2025Q3~2026Q2) CAPEX 중위 유지 — 순차입금 롤에 반영(FCF 근사)
[yoy]</t>
      </text>
    </comment>
    <comment ref="AN30" authorId="0" shapeId="0">
      <text>
        <t>추정: 최근 4분기(2025Q3~2026Q2) CAPEX 중위 유지 — 순차입금 롤에 반영(FCF 근사)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Y34" authorId="0" shapeId="0">
      <text>
        <t>조정EPS 산식(모델 추정, 일회성 여부·세효과 주석 미확인): 지배NI − 초과 비영업손익 -282억 × (1 − 세율 24.0% [모델 세율(분기 유효세율이 0~35% 밖·세전 ≤ 0)]) × 지배 비중 1.0000 [1 − 비지배 비중(8분기 실측)] = -96억 ÷ 유통주식수 · 초과 = 비영업손익 -317억 − 12분기 기준선 -36억 · 보고 EPS -1,094원(EPS 행 불변) · 상수 -214.18·1.0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120원 유지
[abs]</t>
      </text>
    </comment>
    <comment ref="AI36" authorId="0" shapeId="0">
      <text>
        <t>추정: 직전 결산 DPS 120원 유지
[abs]</t>
      </text>
    </comment>
    <comment ref="AN36" authorId="0" shapeId="0">
      <text>
        <t>추정: 직전 결산 DPS 120원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24.03% — 법인세 = MAX(세전,0) × 세율, 추정 전 분기 연결(Σ법인세/Σmax(세전,0) 역산, 재현 오차 ≤ 0.05억). 모델 가정 24.04% · 근거: 최근 12분기 유효세율 28.1% 가 5~27% 밖 → 클립 대신 최근 8분기 중 세전 &gt; 0 인 5분기(2024Q3~2026Q2)의 법인세/세전 중위 24.0%</t>
        </is>
      </c>
    </row>
    <row r="23">
      <c r="A23" t="inlineStr">
        <is>
          <t>· 판관비율 13.40%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2.46% / 부채 4.00% — 이자손익 = (전분기 이자발생자산 × 자산이자율 − 전분기 총차입금 × 부채이자율)/4, 최소자승 역산(모델 assumptions [0.0247, 0.04] 는 4자리 반올림이라 그대로 쓰면 ±1억 어긋남) · 출처: {"asset": "CF 이자수취 ÷ 평균 이자발생자산(2025Q3~2026Q2; 주석 이자수익 0분기 &lt; 4)", "debt": "CF 이자지급 ÷ 평균 총차입금(2025Q3~2026Q2;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-1,094→조정 -338원)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세율, 판관비율, 지배주주비중, 이자율 · 연결 안 된 가정(모델값·분기별 역산 그대로): 없음</t>
        </is>
      </c>
    </row>
    <row r="29">
      <c r="A29" t="inlineStr">
        <is>
          <t>· 밸류에이션 — PER 밴드 10.0/15.0/20.0배(sector_default(레퍼런스 TP_PE PB 예시 10/15/20배; 과거 PER 중위 4.2배가 캡 5~30 밖 — 턴어라운드 초기 TTM EPS 왜곡))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assets/models/014280.json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37억·기준선 -36억) → 지배NI -310억·보고 EPS·FY2025 합계·TTM PER 에 그대로 포함 — 처분이익 등 일회성 여부는 주석 확인 전까지 미확정(12M fwd EPS 에는 미포함) · 조정EPS -338.5원(보고 -1,094.5원; 초과 비영업손익 -282억 × (1 − 세율 24.0%) × 지배 비중 1.00 = -214억 차감 — 추정, 조정EPS 행)</t>
        </is>
      </c>
    </row>
    <row r="35">
      <c r="A35" t="inlineStr">
        <is>
          <t>백테스트: {"freeze": "2025Q2", "horizon": 4, "revenue_wape_pct": 7.1,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20" t="n">
        <v>4400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20" t="n">
        <v>5040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20" t="n">
        <v>4325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20" t="n">
        <v>4565.8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0.007322264</v>
      </c>
      <c r="AD21" s="24" t="n">
        <v>0.007324486</v>
      </c>
      <c r="AE21" s="25" t="n"/>
      <c r="AF21" s="24" t="n">
        <v>0.007323828</v>
      </c>
      <c r="AG21" s="24" t="n">
        <v>0.007323205</v>
      </c>
      <c r="AH21" s="24" t="n">
        <v>0.003660949</v>
      </c>
      <c r="AI21" s="24" t="n">
        <v>0.003659293</v>
      </c>
      <c r="AJ21" s="25" t="n"/>
      <c r="AK21" s="24" t="n">
        <v>0.00365962</v>
      </c>
      <c r="AL21" s="24" t="n">
        <v>0.003661654</v>
      </c>
      <c r="AM21" s="24" t="n">
        <v>0.001831025</v>
      </c>
      <c r="AN21" s="24" t="n">
        <v>0.001833544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0.026772804</v>
      </c>
      <c r="AD23" s="24" t="n">
        <v>0.026771177</v>
      </c>
      <c r="AE23" s="25">
        <f>IFERROR(subQ!AE9/subQ!AE5,"")</f>
        <v/>
      </c>
      <c r="AF23" s="24" t="n">
        <v>0.026773275</v>
      </c>
      <c r="AG23" s="24" t="n">
        <v>0.026771244</v>
      </c>
      <c r="AH23" s="24" t="n">
        <v>0.026771517</v>
      </c>
      <c r="AI23" s="24" t="n">
        <v>0.026773967</v>
      </c>
      <c r="AJ23" s="25">
        <f>IFERROR(subQ!AJ9/subQ!AJ5,"")</f>
        <v/>
      </c>
      <c r="AK23" s="24" t="n">
        <v>0.02677121</v>
      </c>
      <c r="AL23" s="24" t="n">
        <v>0.026772877</v>
      </c>
      <c r="AM23" s="24" t="n">
        <v>0.026770684</v>
      </c>
      <c r="AN23" s="24" t="n">
        <v>0.026772434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10.37</v>
      </c>
      <c r="AD25" s="30" t="n">
        <v>10.37</v>
      </c>
      <c r="AE25" s="31">
        <f>subQ!AE14</f>
        <v/>
      </c>
      <c r="AF25" s="30" t="n">
        <v>10.37</v>
      </c>
      <c r="AG25" s="30" t="n">
        <v>10.37</v>
      </c>
      <c r="AH25" s="30" t="n">
        <v>10.37</v>
      </c>
      <c r="AI25" s="30" t="n">
        <v>10.37</v>
      </c>
      <c r="AJ25" s="31">
        <f>subQ!AJ14</f>
        <v/>
      </c>
      <c r="AK25" s="30" t="n">
        <v>10.37</v>
      </c>
      <c r="AL25" s="30" t="n">
        <v>10.37</v>
      </c>
      <c r="AM25" s="30" t="n">
        <v>10.37</v>
      </c>
      <c r="AN25" s="30" t="n">
        <v>10.37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$D$50</f>
        <v/>
      </c>
      <c r="AD26" s="26">
        <f>$D$50</f>
        <v/>
      </c>
      <c r="AE26" s="25">
        <f>IFERROR(subQ!AE16/subQ!AE15,"")</f>
        <v/>
      </c>
      <c r="AF26" s="26">
        <f>$D$50</f>
        <v/>
      </c>
      <c r="AG26" s="26">
        <f>$D$50</f>
        <v/>
      </c>
      <c r="AH26" s="26">
        <f>$D$50</f>
        <v/>
      </c>
      <c r="AI26" s="26">
        <f>$D$50</f>
        <v/>
      </c>
      <c r="AJ26" s="25">
        <f>IFERROR(subQ!AJ16/subQ!AJ15,"")</f>
        <v/>
      </c>
      <c r="AK26" s="26">
        <f>$D$50</f>
        <v/>
      </c>
      <c r="AL26" s="26">
        <f>$D$50</f>
        <v/>
      </c>
      <c r="AM26" s="26">
        <f>$D$50</f>
        <v/>
      </c>
      <c r="AN26" s="26">
        <f>$D$50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$D$52</f>
        <v/>
      </c>
      <c r="AD27" s="26">
        <f>$D$52</f>
        <v/>
      </c>
      <c r="AE27" s="25">
        <f>IFERROR(subQ!AE18/subQ!AE17,"")</f>
        <v/>
      </c>
      <c r="AF27" s="26">
        <f>$D$52</f>
        <v/>
      </c>
      <c r="AG27" s="26">
        <f>$D$52</f>
        <v/>
      </c>
      <c r="AH27" s="26">
        <f>$D$52</f>
        <v/>
      </c>
      <c r="AI27" s="26">
        <f>$D$52</f>
        <v/>
      </c>
      <c r="AJ27" s="25">
        <f>IFERROR(subQ!AJ18/subQ!AJ17,"")</f>
        <v/>
      </c>
      <c r="AK27" s="26">
        <f>$D$52</f>
        <v/>
      </c>
      <c r="AL27" s="26">
        <f>$D$52</f>
        <v/>
      </c>
      <c r="AM27" s="26">
        <f>$D$52</f>
        <v/>
      </c>
      <c r="AN27" s="26">
        <f>$D$52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drv:감가상각비</t>
        </is>
      </c>
      <c r="B29" s="2" t="inlineStr">
        <is>
          <t>abs</t>
        </is>
      </c>
      <c r="C29" t="inlineStr">
        <is>
          <t>감가상각비 (가정, 억원)</t>
        </is>
      </c>
      <c r="E29" s="27">
        <f>subQ!E20</f>
        <v/>
      </c>
      <c r="F29" s="28">
        <f>subQ!F20</f>
        <v/>
      </c>
      <c r="G29" s="27">
        <f>subQ!G20</f>
        <v/>
      </c>
      <c r="H29" s="27">
        <f>subQ!H20</f>
        <v/>
      </c>
      <c r="I29" s="27">
        <f>subQ!I20</f>
        <v/>
      </c>
      <c r="J29" s="27">
        <f>subQ!J20</f>
        <v/>
      </c>
      <c r="K29" s="28">
        <f>subQ!K20</f>
        <v/>
      </c>
      <c r="L29" s="27">
        <f>subQ!L20</f>
        <v/>
      </c>
      <c r="M29" s="27">
        <f>subQ!M20</f>
        <v/>
      </c>
      <c r="N29" s="27">
        <f>subQ!N20</f>
        <v/>
      </c>
      <c r="O29" s="27">
        <f>subQ!O20</f>
        <v/>
      </c>
      <c r="P29" s="28">
        <f>subQ!P20</f>
        <v/>
      </c>
      <c r="Q29" s="27">
        <f>subQ!Q20</f>
        <v/>
      </c>
      <c r="R29" s="27">
        <f>subQ!R20</f>
        <v/>
      </c>
      <c r="S29" s="27">
        <f>subQ!S20</f>
        <v/>
      </c>
      <c r="T29" s="27">
        <f>subQ!T20</f>
        <v/>
      </c>
      <c r="U29" s="28">
        <f>subQ!U20</f>
        <v/>
      </c>
      <c r="V29" s="27">
        <f>subQ!V20</f>
        <v/>
      </c>
      <c r="W29" s="27">
        <f>subQ!W20</f>
        <v/>
      </c>
      <c r="X29" s="27">
        <f>subQ!X20</f>
        <v/>
      </c>
      <c r="Y29" s="27">
        <f>subQ!Y20</f>
        <v/>
      </c>
      <c r="Z29" s="28">
        <f>subQ!Z20</f>
        <v/>
      </c>
      <c r="AA29" s="27">
        <f>subQ!AA20</f>
        <v/>
      </c>
      <c r="AB29" s="29">
        <f>subQ!AB20</f>
        <v/>
      </c>
      <c r="AC29" s="30" t="n">
        <v>157.74</v>
      </c>
      <c r="AD29" s="30" t="n">
        <v>157.74</v>
      </c>
      <c r="AE29" s="31">
        <f>subQ!AE20</f>
        <v/>
      </c>
      <c r="AF29" s="30" t="n">
        <v>157.74</v>
      </c>
      <c r="AG29" s="30" t="n">
        <v>157.74</v>
      </c>
      <c r="AH29" s="30" t="n">
        <v>157.74</v>
      </c>
      <c r="AI29" s="30" t="n">
        <v>157.74</v>
      </c>
      <c r="AJ29" s="31">
        <f>subQ!AJ20</f>
        <v/>
      </c>
      <c r="AK29" s="30" t="n">
        <v>157.74</v>
      </c>
      <c r="AL29" s="30" t="n">
        <v>157.74</v>
      </c>
      <c r="AM29" s="30" t="n">
        <v>157.74</v>
      </c>
      <c r="AN29" s="30" t="n">
        <v>157.74</v>
      </c>
      <c r="AO29" s="31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IFERROR(subQ!G23/subQ!E23-1,"")</f>
        <v/>
      </c>
      <c r="H30" s="21">
        <f>IFERROR(subQ!H23/subQ!G23-1,"")</f>
        <v/>
      </c>
      <c r="I30" s="21">
        <f>IFERROR(subQ!I23/subQ!H23-1,"")</f>
        <v/>
      </c>
      <c r="J30" s="21">
        <f>IFERROR(subQ!J23/subQ!I23-1,"")</f>
        <v/>
      </c>
      <c r="K30" s="22" t="n"/>
      <c r="L30" s="21">
        <f>IFERROR(subQ!L23/subQ!J23-1,"")</f>
        <v/>
      </c>
      <c r="M30" s="21">
        <f>IFERROR(subQ!M23/subQ!L23-1,"")</f>
        <v/>
      </c>
      <c r="N30" s="21">
        <f>IFERROR(subQ!N23/subQ!M23-1,"")</f>
        <v/>
      </c>
      <c r="O30" s="21">
        <f>IFERROR(subQ!O23/subQ!N23-1,"")</f>
        <v/>
      </c>
      <c r="P30" s="22" t="n"/>
      <c r="Q30" s="21">
        <f>IFERROR(subQ!Q23/subQ!O23-1,"")</f>
        <v/>
      </c>
      <c r="R30" s="21">
        <f>IFERROR(subQ!R23/subQ!Q23-1,"")</f>
        <v/>
      </c>
      <c r="S30" s="21">
        <f>IFERROR(subQ!S23/subQ!R23-1,"")</f>
        <v/>
      </c>
      <c r="T30" s="21">
        <f>IFERROR(subQ!T23/subQ!S23-1,"")</f>
        <v/>
      </c>
      <c r="U30" s="22" t="n"/>
      <c r="V30" s="21">
        <f>IFERROR(subQ!V23/subQ!T23-1,"")</f>
        <v/>
      </c>
      <c r="W30" s="21">
        <f>IFERROR(subQ!W23/subQ!V23-1,"")</f>
        <v/>
      </c>
      <c r="X30" s="21">
        <f>IFERROR(subQ!X23/subQ!W23-1,"")</f>
        <v/>
      </c>
      <c r="Y30" s="21">
        <f>IFERROR(subQ!Y23/subQ!X23-1,"")</f>
        <v/>
      </c>
      <c r="Z30" s="22" t="n"/>
      <c r="AA30" s="21">
        <f>IFERROR(subQ!AA23/subQ!Y23-1,"")</f>
        <v/>
      </c>
      <c r="AB30" s="23">
        <f>IFERROR(subQ!AB23/subQ!AA23-1,"")</f>
        <v/>
      </c>
      <c r="AC30" s="24" t="n">
        <v>-3.7e-07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IFERROR(subQ!E24+subQ!G17-subQ!G24,"")</f>
        <v/>
      </c>
      <c r="H31" s="27">
        <f>IFERROR(subQ!G24+subQ!H17-subQ!H24,"")</f>
        <v/>
      </c>
      <c r="I31" s="27">
        <f>IFERROR(subQ!H24+subQ!I17-subQ!I24,"")</f>
        <v/>
      </c>
      <c r="J31" s="27">
        <f>IFERROR(subQ!I24+subQ!J17-subQ!J24,"")</f>
        <v/>
      </c>
      <c r="K31" s="28" t="n"/>
      <c r="L31" s="27">
        <f>IFERROR(subQ!J24+subQ!L17-subQ!L24,"")</f>
        <v/>
      </c>
      <c r="M31" s="27">
        <f>IFERROR(subQ!L24+subQ!M17-subQ!M24,"")</f>
        <v/>
      </c>
      <c r="N31" s="27">
        <f>IFERROR(subQ!M24+subQ!N17-subQ!N24,"")</f>
        <v/>
      </c>
      <c r="O31" s="27">
        <f>IFERROR(subQ!N24+subQ!O17-subQ!O24,"")</f>
        <v/>
      </c>
      <c r="P31" s="28" t="n"/>
      <c r="Q31" s="27">
        <f>IFERROR(subQ!O24+subQ!Q17-subQ!Q24,"")</f>
        <v/>
      </c>
      <c r="R31" s="27">
        <f>IFERROR(subQ!Q24+subQ!R17-subQ!R24,"")</f>
        <v/>
      </c>
      <c r="S31" s="27">
        <f>IFERROR(subQ!R24+subQ!S17-subQ!S24,"")</f>
        <v/>
      </c>
      <c r="T31" s="27">
        <f>IFERROR(subQ!S24+subQ!T17-subQ!T24,"")</f>
        <v/>
      </c>
      <c r="U31" s="28" t="n"/>
      <c r="V31" s="27">
        <f>IFERROR(subQ!T24+subQ!V17-subQ!V24,"")</f>
        <v/>
      </c>
      <c r="W31" s="27">
        <f>IFERROR(subQ!V24+subQ!W17-subQ!W24,"")</f>
        <v/>
      </c>
      <c r="X31" s="27">
        <f>IFERROR(subQ!W24+subQ!X17-subQ!X24,"")</f>
        <v/>
      </c>
      <c r="Y31" s="27">
        <f>IFERROR(subQ!X24+subQ!Y17-subQ!Y24,"")</f>
        <v/>
      </c>
      <c r="Z31" s="28" t="n"/>
      <c r="AA31" s="27">
        <f>IFERROR(subQ!Y24+subQ!AA17-subQ!AA24,"")</f>
        <v/>
      </c>
      <c r="AB31" s="29">
        <f>IFERROR(subQ!AA24+subQ!AB17-subQ!AB24,"")</f>
        <v/>
      </c>
      <c r="AC31" s="30" t="n">
        <v>-0.003270729</v>
      </c>
      <c r="AD31" s="30" t="n">
        <v>-0.003910465</v>
      </c>
      <c r="AE31" s="31" t="n"/>
      <c r="AF31" s="30" t="n">
        <v>0.002227486</v>
      </c>
      <c r="AG31" s="30" t="n">
        <v>34.001435681</v>
      </c>
      <c r="AH31" s="30" t="n">
        <v>-0.002805422</v>
      </c>
      <c r="AI31" s="30" t="n">
        <v>-0.001083468</v>
      </c>
      <c r="AJ31" s="31" t="n"/>
      <c r="AK31" s="30" t="n">
        <v>0.002059293</v>
      </c>
      <c r="AL31" s="30" t="n">
        <v>33.9987527</v>
      </c>
      <c r="AM31" s="30" t="n">
        <v>-0.007099827</v>
      </c>
      <c r="AN31" s="30" t="n">
        <v>0.003702807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IFERROR(subQ!E25+subQ!G18-subQ!G25,"")</f>
        <v/>
      </c>
      <c r="H32" s="27">
        <f>IFERROR(subQ!G25+subQ!H18-subQ!H25,"")</f>
        <v/>
      </c>
      <c r="I32" s="27">
        <f>IFERROR(subQ!H25+subQ!I18-subQ!I25,"")</f>
        <v/>
      </c>
      <c r="J32" s="27">
        <f>IFERROR(subQ!I25+subQ!J18-subQ!J25,"")</f>
        <v/>
      </c>
      <c r="K32" s="28" t="n"/>
      <c r="L32" s="27">
        <f>IFERROR(subQ!J25+subQ!L18-subQ!L25,"")</f>
        <v/>
      </c>
      <c r="M32" s="27">
        <f>IFERROR(subQ!L25+subQ!M18-subQ!M25,"")</f>
        <v/>
      </c>
      <c r="N32" s="27">
        <f>IFERROR(subQ!M25+subQ!N18-subQ!N25,"")</f>
        <v/>
      </c>
      <c r="O32" s="27">
        <f>IFERROR(subQ!N25+subQ!O18-subQ!O25,"")</f>
        <v/>
      </c>
      <c r="P32" s="28" t="n"/>
      <c r="Q32" s="27">
        <f>IFERROR(subQ!O25+subQ!Q18-subQ!Q25,"")</f>
        <v/>
      </c>
      <c r="R32" s="27">
        <f>IFERROR(subQ!Q25+subQ!R18-subQ!R25,"")</f>
        <v/>
      </c>
      <c r="S32" s="27">
        <f>IFERROR(subQ!R25+subQ!S18-subQ!S25,"")</f>
        <v/>
      </c>
      <c r="T32" s="27">
        <f>IFERROR(subQ!S25+subQ!T18-subQ!T25,"")</f>
        <v/>
      </c>
      <c r="U32" s="28" t="n"/>
      <c r="V32" s="27">
        <f>IFERROR(subQ!T25+subQ!V18-subQ!V25,"")</f>
        <v/>
      </c>
      <c r="W32" s="27">
        <f>IFERROR(subQ!V25+subQ!W18-subQ!W25,"")</f>
        <v/>
      </c>
      <c r="X32" s="27">
        <f>IFERROR(subQ!W25+subQ!X18-subQ!X25,"")</f>
        <v/>
      </c>
      <c r="Y32" s="27">
        <f>IFERROR(subQ!X25+subQ!Y18-subQ!Y25,"")</f>
        <v/>
      </c>
      <c r="Z32" s="28" t="n"/>
      <c r="AA32" s="27">
        <f>IFERROR(subQ!Y25+subQ!AA18-subQ!AA25,"")</f>
        <v/>
      </c>
      <c r="AB32" s="29">
        <f>IFERROR(subQ!AA25+subQ!AB18-subQ!AB25,"")</f>
        <v/>
      </c>
      <c r="AC32" s="30" t="n">
        <v>0.001629271</v>
      </c>
      <c r="AD32" s="30" t="n">
        <v>-0.003910465</v>
      </c>
      <c r="AE32" s="31" t="n"/>
      <c r="AF32" s="30" t="n">
        <v>0.002227486</v>
      </c>
      <c r="AG32" s="30" t="n">
        <v>33.991435681</v>
      </c>
      <c r="AH32" s="30" t="n">
        <v>-0.002805422</v>
      </c>
      <c r="AI32" s="30" t="n">
        <v>0.008916532</v>
      </c>
      <c r="AJ32" s="31" t="n"/>
      <c r="AK32" s="30" t="n">
        <v>-0.007940707</v>
      </c>
      <c r="AL32" s="30" t="n">
        <v>33.9987527</v>
      </c>
      <c r="AM32" s="30" t="n">
        <v>0.002900173</v>
      </c>
      <c r="AN32" s="30" t="n">
        <v>-0.006297193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2.8e-07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0.007063276</v>
      </c>
      <c r="AD34" s="24" t="n">
        <v>0.007852913</v>
      </c>
      <c r="AE34" s="25" t="n"/>
      <c r="AF34" s="24" t="n">
        <v>0.007409057</v>
      </c>
      <c r="AG34" s="24" t="n">
        <v>0.013258393</v>
      </c>
      <c r="AH34" s="24" t="n">
        <v>0.006946989</v>
      </c>
      <c r="AI34" s="24" t="n">
        <v>0.00771517</v>
      </c>
      <c r="AJ34" s="25" t="n"/>
      <c r="AK34" s="24" t="n">
        <v>0.007282481</v>
      </c>
      <c r="AL34" s="24" t="n">
        <v>0.012928319</v>
      </c>
      <c r="AM34" s="24" t="n">
        <v>0.006855242</v>
      </c>
      <c r="AN34" s="24" t="n">
        <v>0.007594875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-0.018469417</v>
      </c>
      <c r="AD35" s="24" t="n">
        <v>-0.021067769</v>
      </c>
      <c r="AE35" s="25" t="n"/>
      <c r="AF35" s="24" t="n">
        <v>-0.020464222</v>
      </c>
      <c r="AG35" s="24" t="n">
        <v>-0.037662464</v>
      </c>
      <c r="AH35" s="24" t="n">
        <v>-0.020778168</v>
      </c>
      <c r="AI35" s="24" t="n">
        <v>-0.023729121</v>
      </c>
      <c r="AJ35" s="25" t="n"/>
      <c r="AK35" s="24" t="n">
        <v>-0.02311974</v>
      </c>
      <c r="AL35" s="24" t="n">
        <v>-0.042320972</v>
      </c>
      <c r="AM35" s="24" t="n">
        <v>-0.02373532</v>
      </c>
      <c r="AN35" s="24" t="n">
        <v>-0.027120169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24" t="n">
        <v>0.186438387</v>
      </c>
      <c r="AD37" s="24" t="n">
        <v>-0.152565497</v>
      </c>
      <c r="AE37" s="25" t="n"/>
      <c r="AF37" s="24" t="n">
        <v>1.221652389</v>
      </c>
      <c r="AG37" s="24" t="n">
        <v>-0.135784975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IFERROR(subQ!G32/subQ!E32-1,"")</f>
        <v/>
      </c>
      <c r="H39" s="21">
        <f>IFERROR(subQ!H32/subQ!G32-1,"")</f>
        <v/>
      </c>
      <c r="I39" s="21">
        <f>IFERROR(subQ!I32/subQ!H32-1,"")</f>
        <v/>
      </c>
      <c r="J39" s="21">
        <f>IFERROR(subQ!J32/subQ!I32-1,"")</f>
        <v/>
      </c>
      <c r="K39" s="22" t="n"/>
      <c r="L39" s="21">
        <f>IFERROR(subQ!L32/subQ!J32-1,"")</f>
        <v/>
      </c>
      <c r="M39" s="21">
        <f>IFERROR(subQ!M32/subQ!L32-1,"")</f>
        <v/>
      </c>
      <c r="N39" s="21">
        <f>IFERROR(subQ!N32/subQ!M32-1,"")</f>
        <v/>
      </c>
      <c r="O39" s="21">
        <f>IFERROR(subQ!O32/subQ!N32-1,"")</f>
        <v/>
      </c>
      <c r="P39" s="22" t="n"/>
      <c r="Q39" s="21">
        <f>IFERROR(subQ!Q32/subQ!O32-1,"")</f>
        <v/>
      </c>
      <c r="R39" s="21">
        <f>IFERROR(subQ!R32/subQ!Q32-1,"")</f>
        <v/>
      </c>
      <c r="S39" s="21">
        <f>IFERROR(subQ!S32/subQ!R32-1,"")</f>
        <v/>
      </c>
      <c r="T39" s="21">
        <f>IFERROR(subQ!T32/subQ!S32-1,"")</f>
        <v/>
      </c>
      <c r="U39" s="22" t="n"/>
      <c r="V39" s="21">
        <f>IFERROR(subQ!V32/subQ!T32-1,"")</f>
        <v/>
      </c>
      <c r="W39" s="21">
        <f>IFERROR(subQ!W32/subQ!V32-1,"")</f>
        <v/>
      </c>
      <c r="X39" s="21">
        <f>IFERROR(subQ!X32/subQ!W32-1,"")</f>
        <v/>
      </c>
      <c r="Y39" s="21">
        <f>IFERROR(subQ!Y32/subQ!X32-1,"")</f>
        <v/>
      </c>
      <c r="Z39" s="22" t="n"/>
      <c r="AA39" s="21">
        <f>IFERROR(subQ!AA32/subQ!Y32-1,"")</f>
        <v/>
      </c>
      <c r="AB39" s="23">
        <f>IFERROR(subQ!AB32/subQ!AA32-1,"")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subQ!E36</f>
        <v/>
      </c>
      <c r="F40" s="28">
        <f>subQ!F36</f>
        <v/>
      </c>
      <c r="G40" s="27">
        <f>subQ!G36</f>
        <v/>
      </c>
      <c r="H40" s="27">
        <f>subQ!H36</f>
        <v/>
      </c>
      <c r="I40" s="27">
        <f>subQ!I36</f>
        <v/>
      </c>
      <c r="J40" s="27">
        <f>subQ!J36</f>
        <v/>
      </c>
      <c r="K40" s="28">
        <f>subQ!K36</f>
        <v/>
      </c>
      <c r="L40" s="27">
        <f>subQ!L36</f>
        <v/>
      </c>
      <c r="M40" s="27">
        <f>subQ!M36</f>
        <v/>
      </c>
      <c r="N40" s="27">
        <f>subQ!N36</f>
        <v/>
      </c>
      <c r="O40" s="27">
        <f>subQ!O36</f>
        <v/>
      </c>
      <c r="P40" s="28">
        <f>subQ!P36</f>
        <v/>
      </c>
      <c r="Q40" s="27">
        <f>subQ!Q36</f>
        <v/>
      </c>
      <c r="R40" s="27">
        <f>subQ!R36</f>
        <v/>
      </c>
      <c r="S40" s="27">
        <f>subQ!S36</f>
        <v/>
      </c>
      <c r="T40" s="27">
        <f>subQ!T36</f>
        <v/>
      </c>
      <c r="U40" s="28">
        <f>subQ!U36</f>
        <v/>
      </c>
      <c r="V40" s="27">
        <f>subQ!V36</f>
        <v/>
      </c>
      <c r="W40" s="27">
        <f>subQ!W36</f>
        <v/>
      </c>
      <c r="X40" s="27">
        <f>subQ!X36</f>
        <v/>
      </c>
      <c r="Y40" s="27">
        <f>subQ!Y36</f>
        <v/>
      </c>
      <c r="Z40" s="28">
        <f>subQ!Z36</f>
        <v/>
      </c>
      <c r="AA40" s="27">
        <f>subQ!AA36</f>
        <v/>
      </c>
      <c r="AB40" s="29">
        <f>subQ!AB36</f>
        <v/>
      </c>
      <c r="AC40" s="32" t="n"/>
      <c r="AD40" s="30" t="n">
        <v>120</v>
      </c>
      <c r="AE40" s="31">
        <f>subQ!AE36</f>
        <v/>
      </c>
      <c r="AF40" s="32" t="n"/>
      <c r="AG40" s="32" t="n"/>
      <c r="AH40" s="32" t="n"/>
      <c r="AI40" s="30" t="n">
        <v>120</v>
      </c>
      <c r="AJ40" s="31">
        <f>subQ!AJ36</f>
        <v/>
      </c>
      <c r="AK40" s="32" t="n"/>
      <c r="AL40" s="32" t="n"/>
      <c r="AM40" s="32" t="n"/>
      <c r="AN40" s="30" t="n">
        <v>120</v>
      </c>
      <c r="AO40" s="31">
        <f>subQ!AO36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4400</v>
      </c>
      <c r="E43" s="2" t="inlineStr">
        <is>
          <t>원 — 네이버 정규장 종가(aik 확정종가 대조 · aik 4,595원)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20261012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4.2배가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0.2403254333215423</v>
      </c>
      <c r="E50" s="2" t="inlineStr">
        <is>
          <t>연결 — 법인세 = MAX(세전,0) × 세율(역산, 재현 오차 ≤ 0.05억 · 모델 assumptions 0.2404) · 최근 12분기 유효세율 28.1% 가 5~27% 밖 → 클립 대신 최근 8분기 중 세전 &gt; 0 인 5분기(2024Q3~2026Q2)의 법인세/세전 중위 24.0%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0.1340181682325823</v>
      </c>
      <c r="E51" s="2" t="inlineStr">
        <is>
          <t>연결 — 판관비 = 매출액 × 판관비율(역산, 재현 오차 ≤ 0.05억 · 모델 assumptions 0.134)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0.02463660282730479</v>
      </c>
      <c r="E53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0.03995916337487803</v>
      </c>
      <c r="E54" s="2" t="inlineStr">
        <is>
          <t>연결 — 같은 수식의 부채 쪽(총차입금 행이 없으면 0)(역산,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7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7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7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7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7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7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7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7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7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7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7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7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7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7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7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7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7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7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7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7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7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7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7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7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7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7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7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7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7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7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7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7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7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7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7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7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7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7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7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7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7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7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7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7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7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7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7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7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7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7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7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7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7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7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7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7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7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7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7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7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7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7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7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7" t="n">
        <v>30105.88</v>
      </c>
      <c r="J18" s="18" t="n">
        <v>26407.08</v>
      </c>
      <c r="K18" s="37" t="n">
        <v>26407.08</v>
      </c>
      <c r="P18" s="9" t="n"/>
      <c r="T18" s="18" t="n">
        <v>26725.86</v>
      </c>
      <c r="U18" s="37" t="n">
        <v>26725.86</v>
      </c>
      <c r="V18" s="18" t="n">
        <v>29380.51</v>
      </c>
      <c r="W18" s="18" t="n">
        <v>29821.75</v>
      </c>
      <c r="Y18" s="18" t="n">
        <v>17811.52</v>
      </c>
      <c r="Z18" s="37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7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7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7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7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7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7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7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7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7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7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7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7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7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7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7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7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7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7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7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7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7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7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7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7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7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286819.44</v>
      </c>
      <c r="F24" s="37" t="n">
        <v>286819.44</v>
      </c>
      <c r="G24" s="18" t="n">
        <v>278438.88</v>
      </c>
      <c r="H24" s="18" t="n">
        <v>325283.63</v>
      </c>
      <c r="I24" s="18" t="n">
        <v>367192.63</v>
      </c>
      <c r="J24" s="18" t="n">
        <v>390288.61</v>
      </c>
      <c r="K24" s="37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368173.96</v>
      </c>
      <c r="P24" s="37" t="n">
        <v>368173.96</v>
      </c>
      <c r="Q24" s="18" t="n">
        <v>421487.33</v>
      </c>
      <c r="R24" s="18" t="n">
        <v>400806.67</v>
      </c>
      <c r="S24" s="18" t="n">
        <v>416152.66</v>
      </c>
      <c r="T24" s="18" t="n">
        <v>318960.27</v>
      </c>
      <c r="U24" s="37" t="n">
        <v>318960.27</v>
      </c>
      <c r="V24" s="18" t="n">
        <v>331423.72</v>
      </c>
      <c r="W24" s="18" t="n">
        <v>344850.02</v>
      </c>
      <c r="X24" s="18" t="n">
        <v>315836.81</v>
      </c>
      <c r="Y24" s="18" t="n">
        <v>304530.9</v>
      </c>
      <c r="Z24" s="37" t="n">
        <v>304530.9</v>
      </c>
      <c r="AA24" s="18" t="n">
        <v>331099.6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27910.06</v>
      </c>
      <c r="F25" s="37" t="n">
        <v>27910.06</v>
      </c>
      <c r="G25" s="18" t="n">
        <v>24353.47</v>
      </c>
      <c r="H25" s="18" t="n">
        <v>24648.4</v>
      </c>
      <c r="I25" s="18" t="n">
        <v>28339.34</v>
      </c>
      <c r="J25" s="18" t="n">
        <v>28995.82</v>
      </c>
      <c r="K25" s="37" t="n">
        <v>28995.82</v>
      </c>
      <c r="L25" s="18" t="n">
        <v>28035.25</v>
      </c>
      <c r="M25" s="18" t="n">
        <v>42788.28</v>
      </c>
      <c r="N25" s="18" t="n">
        <v>50414.24</v>
      </c>
      <c r="O25" s="18" t="n">
        <v>41993.2</v>
      </c>
      <c r="P25" s="37" t="n">
        <v>41993.2</v>
      </c>
      <c r="Q25" s="18" t="n">
        <v>38538.89</v>
      </c>
      <c r="R25" s="18" t="n">
        <v>44457.64</v>
      </c>
      <c r="S25" s="18" t="n">
        <v>36102.92</v>
      </c>
      <c r="T25" s="18" t="n">
        <v>35183.47</v>
      </c>
      <c r="U25" s="37" t="n">
        <v>35183.47</v>
      </c>
      <c r="V25" s="18" t="n">
        <v>34717.63</v>
      </c>
      <c r="W25" s="18" t="n">
        <v>50101.16</v>
      </c>
      <c r="X25" s="18" t="n">
        <v>55714.48</v>
      </c>
      <c r="Y25" s="18" t="n">
        <v>54589.97</v>
      </c>
      <c r="Z25" s="37" t="n">
        <v>54589.97</v>
      </c>
      <c r="AA25" s="18" t="n">
        <v>49711.36</v>
      </c>
      <c r="AB25" s="19" t="n">
        <v>50328.79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3786.62</v>
      </c>
      <c r="F26" s="37" t="n">
        <v>3786.62</v>
      </c>
      <c r="G26" s="18" t="n">
        <v>5537.07</v>
      </c>
      <c r="H26" s="18" t="n">
        <v>5742.62</v>
      </c>
      <c r="I26" s="18" t="n">
        <v>7035.13</v>
      </c>
      <c r="J26" s="18" t="n">
        <v>9037.209999999999</v>
      </c>
      <c r="K26" s="37" t="n">
        <v>9037.209999999999</v>
      </c>
      <c r="L26" s="18" t="n">
        <v>6005.04</v>
      </c>
      <c r="M26" s="18" t="n">
        <v>4117.92</v>
      </c>
      <c r="N26" s="18" t="n">
        <v>5694.06</v>
      </c>
      <c r="O26" s="18" t="n">
        <v>4087.7</v>
      </c>
      <c r="P26" s="37" t="n">
        <v>4087.7</v>
      </c>
      <c r="Q26" s="18" t="n">
        <v>4549.18</v>
      </c>
      <c r="R26" s="18" t="n">
        <v>1379.86</v>
      </c>
      <c r="S26" s="18" t="n">
        <v>1048.77</v>
      </c>
      <c r="T26" s="18" t="n">
        <v>1444.45</v>
      </c>
      <c r="U26" s="37" t="n">
        <v>1444.45</v>
      </c>
      <c r="V26" s="18" t="n">
        <v>1526.37</v>
      </c>
      <c r="W26" s="18" t="n">
        <v>1572.58</v>
      </c>
      <c r="X26" s="18" t="n">
        <v>1548.36</v>
      </c>
      <c r="Y26" s="18" t="n">
        <v>2604.49</v>
      </c>
      <c r="Z26" s="37" t="n">
        <v>2604.49</v>
      </c>
      <c r="AA26" s="18" t="n">
        <v>2162.81</v>
      </c>
      <c r="AB26" s="19" t="n">
        <v>2290.91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2131.97</v>
      </c>
      <c r="F27" s="37" t="n">
        <v>2131.97</v>
      </c>
      <c r="G27" s="18" t="n">
        <v>2295.95</v>
      </c>
      <c r="H27" s="18" t="n">
        <v>2262.4</v>
      </c>
      <c r="I27" s="18" t="n">
        <v>2228.94</v>
      </c>
      <c r="J27" s="18" t="n">
        <v>2010.33</v>
      </c>
      <c r="K27" s="37" t="n">
        <v>2010.33</v>
      </c>
      <c r="L27" s="18" t="n">
        <v>2180.86</v>
      </c>
      <c r="M27" s="18" t="n">
        <v>2126.1</v>
      </c>
      <c r="N27" s="18" t="n">
        <v>1939.13</v>
      </c>
      <c r="O27" s="18" t="n">
        <v>2070.85</v>
      </c>
      <c r="P27" s="37" t="n">
        <v>2070.85</v>
      </c>
      <c r="Q27" s="18" t="n">
        <v>2063.58</v>
      </c>
      <c r="R27" s="18" t="n">
        <v>2013.65</v>
      </c>
      <c r="S27" s="18" t="n">
        <v>1959.8</v>
      </c>
      <c r="T27" s="18" t="n">
        <v>2203.98</v>
      </c>
      <c r="U27" s="37" t="n">
        <v>2203.98</v>
      </c>
      <c r="V27" s="18" t="n">
        <v>2318.32</v>
      </c>
      <c r="W27" s="18" t="n">
        <v>2519.21</v>
      </c>
      <c r="X27" s="18" t="n">
        <v>2198.56</v>
      </c>
      <c r="Y27" s="18" t="n">
        <v>1981.23</v>
      </c>
      <c r="Z27" s="37" t="n">
        <v>1981.23</v>
      </c>
      <c r="AA27" s="18" t="n">
        <v>2013.6</v>
      </c>
      <c r="AB27" s="19" t="n">
        <v>2009.39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10569.52</v>
      </c>
      <c r="F28" s="37" t="n">
        <v>10569.52</v>
      </c>
      <c r="G28" s="18" t="n">
        <v>11175.41</v>
      </c>
      <c r="H28" s="18" t="n">
        <v>13485.52</v>
      </c>
      <c r="I28" s="18" t="n">
        <v>13381.93</v>
      </c>
      <c r="J28" s="18" t="n">
        <v>12888.58</v>
      </c>
      <c r="K28" s="37" t="n">
        <v>12888.58</v>
      </c>
      <c r="L28" s="18" t="n">
        <v>12766.09</v>
      </c>
      <c r="M28" s="18" t="n">
        <v>12346.06</v>
      </c>
      <c r="N28" s="18" t="n">
        <v>11743.01</v>
      </c>
      <c r="O28" s="18" t="n">
        <v>11259.76</v>
      </c>
      <c r="P28" s="37" t="n">
        <v>11259.76</v>
      </c>
      <c r="Q28" s="18" t="n">
        <v>10844.55</v>
      </c>
      <c r="R28" s="18" t="n">
        <v>10146.38</v>
      </c>
      <c r="S28" s="18" t="n">
        <v>10294.72</v>
      </c>
      <c r="T28" s="18" t="n">
        <v>10119.11</v>
      </c>
      <c r="U28" s="37" t="n">
        <v>10119.11</v>
      </c>
      <c r="V28" s="18" t="n">
        <v>10005.1</v>
      </c>
      <c r="W28" s="18" t="n">
        <v>9531.700000000001</v>
      </c>
      <c r="X28" s="18" t="n">
        <v>9026.07</v>
      </c>
      <c r="Y28" s="18" t="n">
        <v>8484.4</v>
      </c>
      <c r="Z28" s="37" t="n">
        <v>8484.4</v>
      </c>
      <c r="AA28" s="18" t="n">
        <v>8609.92</v>
      </c>
      <c r="AB28" s="19" t="n">
        <v>8757.82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2131.97</v>
      </c>
      <c r="F29" s="37" t="n">
        <v>2131.97</v>
      </c>
      <c r="G29" s="18" t="n">
        <v>2295.95</v>
      </c>
      <c r="H29" s="18" t="n">
        <v>2262.4</v>
      </c>
      <c r="I29" s="18" t="n">
        <v>2228.94</v>
      </c>
      <c r="J29" s="18" t="n">
        <v>2010.33</v>
      </c>
      <c r="K29" s="37" t="n">
        <v>2010.33</v>
      </c>
      <c r="L29" s="18" t="n">
        <v>2180.86</v>
      </c>
      <c r="M29" s="18" t="n">
        <v>2126.1</v>
      </c>
      <c r="N29" s="18" t="n">
        <v>1939.13</v>
      </c>
      <c r="O29" s="18" t="n">
        <v>2070.85</v>
      </c>
      <c r="P29" s="37" t="n">
        <v>2070.85</v>
      </c>
      <c r="Q29" s="18" t="n">
        <v>2063.58</v>
      </c>
      <c r="R29" s="18" t="n">
        <v>2013.65</v>
      </c>
      <c r="S29" s="18" t="n">
        <v>1959.8</v>
      </c>
      <c r="T29" s="18" t="n">
        <v>2203.98</v>
      </c>
      <c r="U29" s="37" t="n">
        <v>2203.98</v>
      </c>
      <c r="V29" s="18" t="n">
        <v>2318.32</v>
      </c>
      <c r="W29" s="18" t="n">
        <v>2519.21</v>
      </c>
      <c r="X29" s="18" t="n">
        <v>2198.56</v>
      </c>
      <c r="Y29" s="18" t="n">
        <v>1981.23</v>
      </c>
      <c r="Z29" s="37" t="n">
        <v>1981.23</v>
      </c>
      <c r="AA29" s="18" t="n">
        <v>2013.6</v>
      </c>
      <c r="AB29" s="19" t="n">
        <v>2009.39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76725.39</v>
      </c>
      <c r="F30" s="37" t="n">
        <v>76725.39</v>
      </c>
      <c r="G30" s="18" t="n">
        <v>86683.28999999999</v>
      </c>
      <c r="H30" s="18" t="n">
        <v>73796.94</v>
      </c>
      <c r="I30" s="18" t="n">
        <v>128845.13</v>
      </c>
      <c r="J30" s="18" t="n">
        <v>122936.98</v>
      </c>
      <c r="K30" s="37" t="n">
        <v>122936.98</v>
      </c>
      <c r="L30" s="18" t="n">
        <v>128635.34</v>
      </c>
      <c r="M30" s="18" t="n">
        <v>128009.2</v>
      </c>
      <c r="N30" s="18" t="n">
        <v>125814.39</v>
      </c>
      <c r="O30" s="18" t="n">
        <v>123172.89</v>
      </c>
      <c r="P30" s="37" t="n">
        <v>123172.89</v>
      </c>
      <c r="Q30" s="18" t="n">
        <v>102439.6</v>
      </c>
      <c r="R30" s="18" t="n">
        <v>142039.24</v>
      </c>
      <c r="S30" s="18" t="n">
        <v>137422.15</v>
      </c>
      <c r="T30" s="18" t="n">
        <v>150054.62</v>
      </c>
      <c r="U30" s="37" t="n">
        <v>150054.62</v>
      </c>
      <c r="V30" s="18" t="n">
        <v>168756.12</v>
      </c>
      <c r="W30" s="18" t="n">
        <v>147832.18</v>
      </c>
      <c r="X30" s="18" t="n">
        <v>210418.44</v>
      </c>
      <c r="Y30" s="18" t="n">
        <v>208069.42</v>
      </c>
      <c r="Z30" s="37" t="n">
        <v>208069.42</v>
      </c>
      <c r="AA30" s="18" t="n">
        <v>220536.48</v>
      </c>
      <c r="AB30" s="19" t="n">
        <v>256221.65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46214.49</v>
      </c>
      <c r="F31" s="37" t="n">
        <v>46214.49</v>
      </c>
      <c r="G31" s="18" t="n">
        <v>55079.55</v>
      </c>
      <c r="H31" s="18" t="n">
        <v>40173.32</v>
      </c>
      <c r="I31" s="18" t="n">
        <v>73636.48</v>
      </c>
      <c r="J31" s="18" t="n">
        <v>72314.73</v>
      </c>
      <c r="K31" s="37" t="n">
        <v>72314.73</v>
      </c>
      <c r="L31" s="18" t="n">
        <v>76116.60000000001</v>
      </c>
      <c r="M31" s="18" t="n">
        <v>78591.60000000001</v>
      </c>
      <c r="N31" s="18" t="n">
        <v>80566.61</v>
      </c>
      <c r="O31" s="18" t="n">
        <v>82131.08</v>
      </c>
      <c r="P31" s="37" t="n">
        <v>82131.08</v>
      </c>
      <c r="Q31" s="18" t="n">
        <v>61557.44</v>
      </c>
      <c r="R31" s="18" t="n">
        <v>101492.78</v>
      </c>
      <c r="S31" s="18" t="n">
        <v>97705.83</v>
      </c>
      <c r="T31" s="18" t="n">
        <v>91283.42</v>
      </c>
      <c r="U31" s="37" t="n">
        <v>91283.42</v>
      </c>
      <c r="V31" s="18" t="n">
        <v>127659.57</v>
      </c>
      <c r="W31" s="18" t="n">
        <v>106939</v>
      </c>
      <c r="X31" s="18" t="n">
        <v>171166.66</v>
      </c>
      <c r="Y31" s="18" t="n">
        <v>172591.76</v>
      </c>
      <c r="Z31" s="37" t="n">
        <v>172591.76</v>
      </c>
      <c r="AA31" s="18" t="n">
        <v>182655.89</v>
      </c>
      <c r="AB31" s="19" t="n">
        <v>215163.31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1475.59</v>
      </c>
      <c r="F32" s="37" t="n">
        <v>1475.59</v>
      </c>
      <c r="H32" s="18" t="n">
        <v>1716.84</v>
      </c>
      <c r="I32" s="18" t="n">
        <v>1716.91</v>
      </c>
      <c r="J32" s="18" t="n">
        <v>1870.28</v>
      </c>
      <c r="K32" s="37" t="n">
        <v>1870.28</v>
      </c>
      <c r="L32" s="18" t="n">
        <v>2017.65</v>
      </c>
      <c r="M32" s="18" t="n">
        <v>1942.82</v>
      </c>
      <c r="N32" s="18" t="n">
        <v>1974.54</v>
      </c>
      <c r="O32" s="18" t="n">
        <v>1743.85</v>
      </c>
      <c r="P32" s="37" t="n">
        <v>1743.85</v>
      </c>
      <c r="Q32" s="18" t="n">
        <v>1617.13</v>
      </c>
      <c r="T32" s="18" t="n">
        <v>1003.03</v>
      </c>
      <c r="U32" s="37" t="n">
        <v>1003.03</v>
      </c>
      <c r="V32" s="18" t="n">
        <v>1071.82</v>
      </c>
      <c r="W32" s="18" t="n">
        <v>1184.44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18730.14</v>
      </c>
      <c r="F33" s="37" t="n">
        <v>18730.14</v>
      </c>
      <c r="G33" s="18" t="n">
        <v>19315.92</v>
      </c>
      <c r="H33" s="18" t="n">
        <v>19107.62</v>
      </c>
      <c r="I33" s="18" t="n">
        <v>38750.86</v>
      </c>
      <c r="J33" s="18" t="n">
        <v>36177.81</v>
      </c>
      <c r="K33" s="37" t="n">
        <v>36177.81</v>
      </c>
      <c r="L33" s="18" t="n">
        <v>36618.6</v>
      </c>
      <c r="M33" s="18" t="n">
        <v>34566.21</v>
      </c>
      <c r="N33" s="18" t="n">
        <v>31806.04</v>
      </c>
      <c r="O33" s="18" t="n">
        <v>28450.91</v>
      </c>
      <c r="P33" s="37" t="n">
        <v>28450.91</v>
      </c>
      <c r="Q33" s="18" t="n">
        <v>28663.09</v>
      </c>
      <c r="R33" s="18" t="n">
        <v>27897.25</v>
      </c>
      <c r="S33" s="18" t="n">
        <v>26863.34</v>
      </c>
      <c r="T33" s="18" t="n">
        <v>28048.24</v>
      </c>
      <c r="U33" s="37" t="n">
        <v>28048.24</v>
      </c>
      <c r="V33" s="18" t="n">
        <v>28681.25</v>
      </c>
      <c r="W33" s="18" t="n">
        <v>27721.24</v>
      </c>
      <c r="X33" s="18" t="n">
        <v>28159.86</v>
      </c>
      <c r="Y33" s="18" t="n">
        <v>26252.87</v>
      </c>
      <c r="Z33" s="37" t="n">
        <v>26252.87</v>
      </c>
      <c r="AA33" s="18" t="n">
        <v>28691.21</v>
      </c>
      <c r="AB33" s="19" t="n">
        <v>31720.8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1194.7</v>
      </c>
      <c r="F34" s="37" t="n">
        <v>1194.7</v>
      </c>
      <c r="G34" s="18" t="n">
        <v>1140.91</v>
      </c>
      <c r="H34" s="18" t="n">
        <v>1093.04</v>
      </c>
      <c r="I34" s="18" t="n">
        <v>1066.47</v>
      </c>
      <c r="J34" s="18" t="n">
        <v>1280.86</v>
      </c>
      <c r="K34" s="37" t="n">
        <v>1280.86</v>
      </c>
      <c r="L34" s="18" t="n">
        <v>1365.25</v>
      </c>
      <c r="M34" s="18" t="n">
        <v>1457.78</v>
      </c>
      <c r="N34" s="18" t="n">
        <v>1445.29</v>
      </c>
      <c r="O34" s="18" t="n">
        <v>1658.13</v>
      </c>
      <c r="P34" s="37" t="n">
        <v>1658.13</v>
      </c>
      <c r="Q34" s="18" t="n">
        <v>1752.04</v>
      </c>
      <c r="R34" s="18" t="n">
        <v>1821.61</v>
      </c>
      <c r="S34" s="18" t="n">
        <v>1846.1</v>
      </c>
      <c r="T34" s="18" t="n">
        <v>1837.54</v>
      </c>
      <c r="U34" s="37" t="n">
        <v>1837.54</v>
      </c>
      <c r="V34" s="18" t="n">
        <v>1776.03</v>
      </c>
      <c r="W34" s="18" t="n">
        <v>1789.66</v>
      </c>
      <c r="X34" s="18" t="n">
        <v>1753.93</v>
      </c>
      <c r="Y34" s="18" t="n">
        <v>1538.96</v>
      </c>
      <c r="Z34" s="37" t="n">
        <v>1538.96</v>
      </c>
      <c r="AA34" s="18" t="n">
        <v>1421.22</v>
      </c>
      <c r="AB34" s="19" t="n">
        <v>1409.59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8437.549999999999</v>
      </c>
      <c r="F35" s="37" t="n">
        <v>8437.549999999999</v>
      </c>
      <c r="G35" s="18" t="n">
        <v>8879.459999999999</v>
      </c>
      <c r="H35" s="18" t="n">
        <v>11223.12</v>
      </c>
      <c r="I35" s="18" t="n">
        <v>11152.99</v>
      </c>
      <c r="J35" s="18" t="n">
        <v>10878.25</v>
      </c>
      <c r="K35" s="37" t="n">
        <v>10878.25</v>
      </c>
      <c r="L35" s="18" t="n">
        <v>10585.23</v>
      </c>
      <c r="M35" s="18" t="n">
        <v>10219.96</v>
      </c>
      <c r="N35" s="18" t="n">
        <v>9803.879999999999</v>
      </c>
      <c r="O35" s="18" t="n">
        <v>9188.91</v>
      </c>
      <c r="P35" s="37" t="n">
        <v>9188.91</v>
      </c>
      <c r="Q35" s="18" t="n">
        <v>8780.969999999999</v>
      </c>
      <c r="R35" s="18" t="n">
        <v>8132.73</v>
      </c>
      <c r="S35" s="18" t="n">
        <v>8334.92</v>
      </c>
      <c r="T35" s="18" t="n">
        <v>7915.13</v>
      </c>
      <c r="U35" s="37" t="n">
        <v>7915.13</v>
      </c>
      <c r="V35" s="18" t="n">
        <v>7686.78</v>
      </c>
      <c r="W35" s="18" t="n">
        <v>7012.49</v>
      </c>
      <c r="X35" s="18" t="n">
        <v>6827.51</v>
      </c>
      <c r="Y35" s="18" t="n">
        <v>6503.17</v>
      </c>
      <c r="Z35" s="37" t="n">
        <v>6503.17</v>
      </c>
      <c r="AA35" s="18" t="n">
        <v>6596.32</v>
      </c>
      <c r="AB35" s="19" t="n">
        <v>6748.43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8437.549999999999</v>
      </c>
      <c r="F36" s="37" t="n">
        <v>8437.549999999999</v>
      </c>
      <c r="G36" s="18" t="n">
        <v>10548.94</v>
      </c>
      <c r="H36" s="18" t="n">
        <v>11223.12</v>
      </c>
      <c r="I36" s="18" t="n">
        <v>11152.99</v>
      </c>
      <c r="J36" s="18" t="n">
        <v>10878.25</v>
      </c>
      <c r="K36" s="37" t="n">
        <v>10878.25</v>
      </c>
      <c r="L36" s="18" t="n">
        <v>10585.23</v>
      </c>
      <c r="M36" s="18" t="n">
        <v>10219.96</v>
      </c>
      <c r="N36" s="18" t="n">
        <v>9803.879999999999</v>
      </c>
      <c r="O36" s="18" t="n">
        <v>9188.91</v>
      </c>
      <c r="P36" s="37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7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7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481987.96</v>
      </c>
      <c r="F37" s="37" t="n">
        <v>481987.96</v>
      </c>
      <c r="G37" s="18" t="n">
        <v>500201.25</v>
      </c>
      <c r="H37" s="18" t="n">
        <v>543777.8</v>
      </c>
      <c r="I37" s="18" t="n">
        <v>664065.8</v>
      </c>
      <c r="J37" s="18" t="n">
        <v>646587.48</v>
      </c>
      <c r="K37" s="37" t="n">
        <v>646587.48</v>
      </c>
      <c r="L37" s="18" t="n">
        <v>660517.26</v>
      </c>
      <c r="M37" s="18" t="n">
        <v>679286.76</v>
      </c>
      <c r="N37" s="18" t="n">
        <v>665532.89</v>
      </c>
      <c r="O37" s="18" t="n">
        <v>652973.75</v>
      </c>
      <c r="P37" s="37" t="n">
        <v>652973.75</v>
      </c>
      <c r="Q37" s="18" t="n">
        <v>668275.99</v>
      </c>
      <c r="R37" s="18" t="n">
        <v>666926.64</v>
      </c>
      <c r="S37" s="18" t="n">
        <v>670491.9399999999</v>
      </c>
      <c r="T37" s="18" t="n">
        <v>662560.9</v>
      </c>
      <c r="U37" s="37" t="n">
        <v>662560.9</v>
      </c>
      <c r="V37" s="18" t="n">
        <v>683282.25</v>
      </c>
      <c r="W37" s="18" t="n">
        <v>707911.17</v>
      </c>
      <c r="X37" s="18" t="n">
        <v>715045.1</v>
      </c>
      <c r="Y37" s="18" t="n">
        <v>689840.04</v>
      </c>
      <c r="Z37" s="37" t="n">
        <v>689840.04</v>
      </c>
      <c r="AA37" s="18" t="n">
        <v>731068.1899999999</v>
      </c>
      <c r="AB37" s="19" t="n">
        <v>782766.29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310567.99</v>
      </c>
      <c r="F38" s="37" t="n">
        <v>310567.99</v>
      </c>
      <c r="G38" s="18" t="n">
        <v>318287.19</v>
      </c>
      <c r="H38" s="18" t="n">
        <v>324686.41</v>
      </c>
      <c r="I38" s="18" t="n">
        <v>372143.2</v>
      </c>
      <c r="J38" s="18" t="n">
        <v>367103.96</v>
      </c>
      <c r="K38" s="37" t="n">
        <v>367103.96</v>
      </c>
      <c r="L38" s="18" t="n">
        <v>371032.61</v>
      </c>
      <c r="M38" s="18" t="n">
        <v>382410.85</v>
      </c>
      <c r="N38" s="18" t="n">
        <v>392089.67</v>
      </c>
      <c r="O38" s="18" t="n">
        <v>393555.16</v>
      </c>
      <c r="P38" s="37" t="n">
        <v>393555.16</v>
      </c>
      <c r="Q38" s="18" t="n">
        <v>388983.67</v>
      </c>
      <c r="R38" s="18" t="n">
        <v>396499.27</v>
      </c>
      <c r="S38" s="18" t="n">
        <v>397339.04</v>
      </c>
      <c r="T38" s="18" t="n">
        <v>396522.12</v>
      </c>
      <c r="U38" s="37" t="n">
        <v>396522.12</v>
      </c>
      <c r="V38" s="18" t="n">
        <v>389534.89</v>
      </c>
      <c r="W38" s="18" t="n">
        <v>379639.62</v>
      </c>
      <c r="X38" s="18" t="n">
        <v>374876.44</v>
      </c>
      <c r="Y38" s="18" t="n">
        <v>359968.05</v>
      </c>
      <c r="Z38" s="37" t="n">
        <v>359968.05</v>
      </c>
      <c r="AA38" s="18" t="n">
        <v>371954</v>
      </c>
      <c r="AB38" s="19" t="n">
        <v>376768.77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63101.14</v>
      </c>
      <c r="F39" s="37" t="n">
        <v>63101.14</v>
      </c>
      <c r="G39" s="18" t="n">
        <v>63101.14</v>
      </c>
      <c r="H39" s="18" t="n">
        <v>63101.14</v>
      </c>
      <c r="I39" s="18" t="n">
        <v>63101.14</v>
      </c>
      <c r="J39" s="18" t="n">
        <v>63101.14</v>
      </c>
      <c r="K39" s="37" t="n">
        <v>63101.14</v>
      </c>
      <c r="L39" s="18" t="n">
        <v>63101.14</v>
      </c>
      <c r="M39" s="18" t="n">
        <v>63101.14</v>
      </c>
      <c r="N39" s="18" t="n">
        <v>63101.14</v>
      </c>
      <c r="O39" s="18" t="n">
        <v>63101.14</v>
      </c>
      <c r="P39" s="37" t="n">
        <v>63101.14</v>
      </c>
      <c r="Q39" s="18" t="n">
        <v>63101.14</v>
      </c>
      <c r="R39" s="18" t="n">
        <v>63101.14</v>
      </c>
      <c r="S39" s="18" t="n">
        <v>63101.14</v>
      </c>
      <c r="T39" s="18" t="n">
        <v>93020.37</v>
      </c>
      <c r="U39" s="37" t="n">
        <v>93020.37</v>
      </c>
      <c r="V39" s="18" t="n">
        <v>93020.37</v>
      </c>
      <c r="W39" s="18" t="n">
        <v>93020.37</v>
      </c>
      <c r="X39" s="18" t="n">
        <v>93020.37</v>
      </c>
      <c r="Y39" s="18" t="n">
        <v>93020.37</v>
      </c>
      <c r="Z39" s="37" t="n">
        <v>93020.37</v>
      </c>
      <c r="AA39" s="18" t="n">
        <v>93020.37</v>
      </c>
      <c r="AB39" s="19" t="n">
        <v>93020.37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1069.8</v>
      </c>
      <c r="F40" s="37" t="n">
        <v>1069.8</v>
      </c>
      <c r="G40" s="18" t="n">
        <v>1069.8</v>
      </c>
      <c r="H40" s="18" t="n">
        <v>1173.36</v>
      </c>
      <c r="I40" s="18" t="n">
        <v>7132.85</v>
      </c>
      <c r="J40" s="18" t="n">
        <v>7971.36</v>
      </c>
      <c r="K40" s="37" t="n">
        <v>7971.36</v>
      </c>
      <c r="L40" s="18" t="n">
        <v>7971.36</v>
      </c>
      <c r="M40" s="18" t="n">
        <v>7971.36</v>
      </c>
      <c r="N40" s="18" t="n">
        <v>1772.95</v>
      </c>
      <c r="O40" s="18" t="n">
        <v>1772.95</v>
      </c>
      <c r="P40" s="37" t="n">
        <v>1772.95</v>
      </c>
      <c r="Q40" s="18" t="n">
        <v>-3518.65</v>
      </c>
      <c r="R40" s="18" t="n">
        <v>2158.03</v>
      </c>
      <c r="S40" s="18" t="n">
        <v>2158.03</v>
      </c>
      <c r="T40" s="18" t="n">
        <v>35339.94</v>
      </c>
      <c r="U40" s="37" t="n">
        <v>35339.94</v>
      </c>
      <c r="V40" s="18" t="n">
        <v>31031.25</v>
      </c>
      <c r="W40" s="18" t="n">
        <v>31030.83</v>
      </c>
      <c r="X40" s="18" t="n">
        <v>31024.43</v>
      </c>
      <c r="Y40" s="18" t="n">
        <v>43348.05</v>
      </c>
      <c r="Z40" s="37" t="n">
        <v>43348.05</v>
      </c>
      <c r="AA40" s="18" t="n">
        <v>42248.59</v>
      </c>
      <c r="AB40" s="19" t="n">
        <v>40978.84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-1474.69</v>
      </c>
      <c r="F41" s="37" t="n">
        <v>-1474.69</v>
      </c>
      <c r="G41" s="18" t="n">
        <v>-448.57</v>
      </c>
      <c r="H41" s="18" t="n">
        <v>-680.36</v>
      </c>
      <c r="I41" s="18" t="n">
        <v>2499.44</v>
      </c>
      <c r="J41" s="18" t="n">
        <v>-910.39</v>
      </c>
      <c r="K41" s="37" t="n">
        <v>-910.39</v>
      </c>
      <c r="L41" s="18" t="n">
        <v>337.04</v>
      </c>
      <c r="M41" s="18" t="n">
        <v>-381.81</v>
      </c>
      <c r="N41" s="18" t="n">
        <v>353.88</v>
      </c>
      <c r="O41" s="18" t="n">
        <v>-719.03</v>
      </c>
      <c r="P41" s="37" t="n">
        <v>-719.03</v>
      </c>
      <c r="Q41" s="18" t="n">
        <v>-493.3</v>
      </c>
      <c r="R41" s="18" t="n">
        <v>-146.84</v>
      </c>
      <c r="S41" s="18" t="n">
        <v>1705.47</v>
      </c>
      <c r="T41" s="18" t="n">
        <v>3610.64</v>
      </c>
      <c r="U41" s="37" t="n">
        <v>3610.64</v>
      </c>
      <c r="V41" s="18" t="n">
        <v>3834.48</v>
      </c>
      <c r="W41" s="18" t="n">
        <v>1136.68</v>
      </c>
      <c r="X41" s="18" t="n">
        <v>2677.52</v>
      </c>
      <c r="Y41" s="18" t="n">
        <v>5716.35</v>
      </c>
      <c r="Z41" s="37" t="n">
        <v>5716.35</v>
      </c>
      <c r="AA41" s="18" t="n">
        <v>8384.530000000001</v>
      </c>
      <c r="AB41" s="19" t="n">
        <v>7019.59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247871.74</v>
      </c>
      <c r="F42" s="37" t="n">
        <v>247871.74</v>
      </c>
      <c r="G42" s="18" t="n">
        <v>254564.82</v>
      </c>
      <c r="H42" s="18" t="n">
        <v>261092.27</v>
      </c>
      <c r="I42" s="18" t="n">
        <v>299409.77</v>
      </c>
      <c r="J42" s="18" t="n">
        <v>296941.85</v>
      </c>
      <c r="K42" s="37" t="n">
        <v>296941.85</v>
      </c>
      <c r="L42" s="18" t="n">
        <v>299623.07</v>
      </c>
      <c r="M42" s="18" t="n">
        <v>311720.16</v>
      </c>
      <c r="N42" s="18" t="n">
        <v>326861.69</v>
      </c>
      <c r="O42" s="18" t="n">
        <v>329400.1</v>
      </c>
      <c r="P42" s="37" t="n">
        <v>329400.1</v>
      </c>
      <c r="Q42" s="18" t="n">
        <v>329894.47</v>
      </c>
      <c r="R42" s="18" t="n">
        <v>331386.94</v>
      </c>
      <c r="S42" s="18" t="n">
        <v>330374.4</v>
      </c>
      <c r="T42" s="18" t="n">
        <v>327652.3</v>
      </c>
      <c r="U42" s="37" t="n">
        <v>327652.3</v>
      </c>
      <c r="V42" s="18" t="n">
        <v>324749.92</v>
      </c>
      <c r="W42" s="18" t="n">
        <v>317552.88</v>
      </c>
      <c r="X42" s="18" t="n">
        <v>311255.26</v>
      </c>
      <c r="Y42" s="18" t="n">
        <v>280984.42</v>
      </c>
      <c r="Z42" s="37" t="n">
        <v>280984.42</v>
      </c>
      <c r="AA42" s="18" t="n">
        <v>291401.64</v>
      </c>
      <c r="AB42" s="19" t="n">
        <v>298851.11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76102.8</v>
      </c>
      <c r="F43" s="37" t="n">
        <v>76102.8</v>
      </c>
      <c r="G43" s="18" t="n">
        <v>76229.03</v>
      </c>
      <c r="H43" s="18" t="n">
        <v>76028.36</v>
      </c>
      <c r="I43" s="18" t="n">
        <v>79871.77</v>
      </c>
      <c r="J43" s="18" t="n">
        <v>81110.35000000001</v>
      </c>
      <c r="K43" s="37" t="n">
        <v>81110.35000000001</v>
      </c>
      <c r="L43" s="18" t="n">
        <v>81205.94</v>
      </c>
      <c r="M43" s="18" t="n">
        <v>82460.67999999999</v>
      </c>
      <c r="N43" s="18" t="n">
        <v>80824.8</v>
      </c>
      <c r="O43" s="18" t="n">
        <v>83938.78999999999</v>
      </c>
      <c r="P43" s="37" t="n">
        <v>83938.78999999999</v>
      </c>
      <c r="Q43" s="18" t="n">
        <v>91221.3</v>
      </c>
      <c r="R43" s="18" t="n">
        <v>95965.81</v>
      </c>
      <c r="S43" s="18" t="n">
        <v>99212.86</v>
      </c>
      <c r="T43" s="18" t="n">
        <v>102816.23</v>
      </c>
      <c r="U43" s="37" t="n">
        <v>102816.23</v>
      </c>
      <c r="V43" s="18" t="n">
        <v>116698.02</v>
      </c>
      <c r="W43" s="18" t="n">
        <v>119333.47</v>
      </c>
      <c r="X43" s="18" t="n">
        <v>129807.97</v>
      </c>
      <c r="Y43" s="18" t="n">
        <v>138183.49</v>
      </c>
      <c r="Z43" s="37" t="n">
        <v>138183.49</v>
      </c>
      <c r="AA43" s="18" t="n">
        <v>140814.65</v>
      </c>
      <c r="AB43" s="19" t="n">
        <v>155779.52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386670.79</v>
      </c>
      <c r="F44" s="37" t="n">
        <v>386670.79</v>
      </c>
      <c r="G44" s="18" t="n">
        <v>394516.22</v>
      </c>
      <c r="H44" s="18" t="n">
        <v>400714.77</v>
      </c>
      <c r="I44" s="18" t="n">
        <v>452014.97</v>
      </c>
      <c r="J44" s="18" t="n">
        <v>448214.31</v>
      </c>
      <c r="K44" s="37" t="n">
        <v>448214.31</v>
      </c>
      <c r="L44" s="18" t="n">
        <v>452238.55</v>
      </c>
      <c r="M44" s="18" t="n">
        <v>464871.52</v>
      </c>
      <c r="N44" s="18" t="n">
        <v>472914.47</v>
      </c>
      <c r="O44" s="18" t="n">
        <v>477493.96</v>
      </c>
      <c r="P44" s="37" t="n">
        <v>477493.96</v>
      </c>
      <c r="Q44" s="18" t="n">
        <v>480204.96</v>
      </c>
      <c r="R44" s="18" t="n">
        <v>492465.09</v>
      </c>
      <c r="S44" s="18" t="n">
        <v>496551.91</v>
      </c>
      <c r="T44" s="18" t="n">
        <v>499338.34</v>
      </c>
      <c r="U44" s="37" t="n">
        <v>499338.34</v>
      </c>
      <c r="V44" s="18" t="n">
        <v>506232.91</v>
      </c>
      <c r="W44" s="18" t="n">
        <v>498973.09</v>
      </c>
      <c r="X44" s="18" t="n">
        <v>504684.41</v>
      </c>
      <c r="Y44" s="18" t="n">
        <v>498151.54</v>
      </c>
      <c r="Z44" s="37" t="n">
        <v>498151.54</v>
      </c>
      <c r="AA44" s="18" t="n">
        <v>512768.65</v>
      </c>
      <c r="AB44" s="19" t="n">
        <v>532548.28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868658.75</v>
      </c>
      <c r="F45" s="37" t="n">
        <v>868658.75</v>
      </c>
      <c r="G45" s="18" t="n">
        <v>894717.47</v>
      </c>
      <c r="H45" s="18" t="n">
        <v>944492.58</v>
      </c>
      <c r="I45" s="18" t="n">
        <v>1116080.77</v>
      </c>
      <c r="J45" s="18" t="n">
        <v>1094801.8</v>
      </c>
      <c r="K45" s="37" t="n">
        <v>1094801.8</v>
      </c>
      <c r="L45" s="18" t="n">
        <v>1112755.81</v>
      </c>
      <c r="M45" s="18" t="n">
        <v>1144158.28</v>
      </c>
      <c r="N45" s="18" t="n">
        <v>1138447.36</v>
      </c>
      <c r="O45" s="18" t="n">
        <v>1130467.71</v>
      </c>
      <c r="P45" s="37" t="n">
        <v>1130467.71</v>
      </c>
      <c r="Q45" s="18" t="n">
        <v>1148480.96</v>
      </c>
      <c r="R45" s="18" t="n">
        <v>1159391.73</v>
      </c>
      <c r="S45" s="18" t="n">
        <v>1167043.85</v>
      </c>
      <c r="T45" s="18" t="n">
        <v>1161899.25</v>
      </c>
      <c r="U45" s="37" t="n">
        <v>1161899.25</v>
      </c>
      <c r="V45" s="18" t="n">
        <v>1189515.16</v>
      </c>
      <c r="W45" s="18" t="n">
        <v>1206884.26</v>
      </c>
      <c r="X45" s="18" t="n">
        <v>1219729.5</v>
      </c>
      <c r="Y45" s="18" t="n">
        <v>1187991.58</v>
      </c>
      <c r="Z45" s="37" t="n">
        <v>1187991.58</v>
      </c>
      <c r="AA45" s="18" t="n">
        <v>1243836.83</v>
      </c>
      <c r="AB45" s="19" t="n">
        <v>1315314.58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374867.25</v>
      </c>
      <c r="F46" s="37" t="n">
        <v>374867.25</v>
      </c>
      <c r="G46" s="18" t="n">
        <v>405444.86</v>
      </c>
      <c r="H46" s="18" t="n">
        <v>406676.63</v>
      </c>
      <c r="I46" s="18" t="n">
        <v>476751.85</v>
      </c>
      <c r="J46" s="18" t="n">
        <v>462603.34</v>
      </c>
      <c r="K46" s="37" t="n">
        <v>462603.34</v>
      </c>
      <c r="L46" s="18" t="n">
        <v>486853.9</v>
      </c>
      <c r="M46" s="18" t="n">
        <v>484785.52</v>
      </c>
      <c r="N46" s="18" t="n">
        <v>474886.58</v>
      </c>
      <c r="O46" s="18" t="n">
        <v>525321.33</v>
      </c>
      <c r="P46" s="37" t="n">
        <v>525321.33</v>
      </c>
      <c r="Q46" s="18" t="n">
        <v>483044.77</v>
      </c>
      <c r="R46" s="18" t="n">
        <v>502299.45</v>
      </c>
      <c r="S46" s="18" t="n">
        <v>513858.49</v>
      </c>
      <c r="T46" s="18" t="n">
        <v>502328.45</v>
      </c>
      <c r="U46" s="37" t="n">
        <v>502328.45</v>
      </c>
      <c r="V46" s="18" t="n">
        <v>560406.33</v>
      </c>
      <c r="W46" s="18" t="n">
        <v>573096.8</v>
      </c>
      <c r="X46" s="18" t="n">
        <v>537102.49</v>
      </c>
      <c r="Y46" s="18" t="n">
        <v>518791.27</v>
      </c>
      <c r="Z46" s="37" t="n">
        <v>518791.27</v>
      </c>
      <c r="AA46" s="18" t="n">
        <v>550421.25</v>
      </c>
      <c r="AB46" s="19" t="n">
        <v>608041.83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279054.91</v>
      </c>
      <c r="F47" s="37" t="n">
        <v>279054.91</v>
      </c>
      <c r="G47" s="18" t="n">
        <v>307028.15</v>
      </c>
      <c r="H47" s="18" t="n">
        <v>307130.53</v>
      </c>
      <c r="I47" s="18" t="n">
        <v>376254.26</v>
      </c>
      <c r="J47" s="18" t="n">
        <v>372463.05</v>
      </c>
      <c r="K47" s="37" t="n">
        <v>372463.05</v>
      </c>
      <c r="L47" s="18" t="n">
        <v>389588.13</v>
      </c>
      <c r="M47" s="18" t="n">
        <v>375047.65</v>
      </c>
      <c r="N47" s="18" t="n">
        <v>377116.65</v>
      </c>
      <c r="O47" s="18" t="n">
        <v>423205.85</v>
      </c>
      <c r="P47" s="37" t="n">
        <v>423205.85</v>
      </c>
      <c r="Q47" s="18" t="n">
        <v>375972.33</v>
      </c>
      <c r="R47" s="18" t="n">
        <v>423341.82</v>
      </c>
      <c r="S47" s="18" t="n">
        <v>422790.45</v>
      </c>
      <c r="T47" s="18" t="n">
        <v>414871.69</v>
      </c>
      <c r="U47" s="37" t="n">
        <v>414871.69</v>
      </c>
      <c r="V47" s="18" t="n">
        <v>439276.53</v>
      </c>
      <c r="W47" s="18" t="n">
        <v>458209.12</v>
      </c>
      <c r="X47" s="18" t="n">
        <v>400932.57</v>
      </c>
      <c r="Y47" s="18" t="n">
        <v>411569.95</v>
      </c>
      <c r="Z47" s="37" t="n">
        <v>411569.95</v>
      </c>
      <c r="AA47" s="18" t="n">
        <v>415448.22</v>
      </c>
      <c r="AB47" s="19" t="n">
        <v>455719.13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106025.08</v>
      </c>
      <c r="F48" s="37" t="n">
        <v>106025.08</v>
      </c>
      <c r="G48" s="18" t="n">
        <v>109277.14</v>
      </c>
      <c r="H48" s="18" t="n">
        <v>109066.42</v>
      </c>
      <c r="I48" s="18" t="n">
        <v>109763.14</v>
      </c>
      <c r="J48" s="18" t="n">
        <v>99639.38</v>
      </c>
      <c r="K48" s="37" t="n">
        <v>99639.38</v>
      </c>
      <c r="L48" s="18" t="n">
        <v>107131.77</v>
      </c>
      <c r="M48" s="18" t="n">
        <v>119608.92</v>
      </c>
      <c r="N48" s="18" t="n">
        <v>108388.99</v>
      </c>
      <c r="O48" s="18" t="n">
        <v>114398.9</v>
      </c>
      <c r="P48" s="37" t="n">
        <v>114398.9</v>
      </c>
      <c r="Q48" s="18" t="n">
        <v>119018.94</v>
      </c>
      <c r="R48" s="18" t="n">
        <v>90792.84</v>
      </c>
      <c r="S48" s="18" t="n">
        <v>101165.75</v>
      </c>
      <c r="T48" s="18" t="n">
        <v>97020.23</v>
      </c>
      <c r="U48" s="37" t="n">
        <v>97020.23</v>
      </c>
      <c r="V48" s="18" t="n">
        <v>130844.65</v>
      </c>
      <c r="W48" s="18" t="n">
        <v>125166.52</v>
      </c>
      <c r="X48" s="18" t="n">
        <v>148860.16</v>
      </c>
      <c r="Y48" s="18" t="n">
        <v>132375.61</v>
      </c>
      <c r="Z48" s="37" t="n">
        <v>132375.61</v>
      </c>
      <c r="AA48" s="18" t="n">
        <v>157302.19</v>
      </c>
      <c r="AB48" s="19" t="n">
        <v>174285.96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E49" s="18" t="n">
        <v>11833.32</v>
      </c>
      <c r="F49" s="37" t="n">
        <v>11833.32</v>
      </c>
      <c r="G49" s="18" t="n">
        <v>21926.43</v>
      </c>
      <c r="H49" s="18" t="n">
        <v>41219.68</v>
      </c>
      <c r="I49" s="18" t="n">
        <v>35922.74</v>
      </c>
      <c r="K49" s="9" t="n"/>
      <c r="O49" s="18" t="n">
        <v>15016.29</v>
      </c>
      <c r="P49" s="37" t="n">
        <v>15016.29</v>
      </c>
      <c r="T49" s="18" t="n">
        <v>72117.5</v>
      </c>
      <c r="U49" s="37" t="n">
        <v>72117.5</v>
      </c>
      <c r="V49" s="18" t="n">
        <v>61392.72</v>
      </c>
      <c r="W49" s="18" t="n">
        <v>81371.09</v>
      </c>
      <c r="X49" s="18" t="n">
        <v>50099.02</v>
      </c>
      <c r="Y49" s="18" t="n">
        <v>41668.61</v>
      </c>
      <c r="Z49" s="37" t="n">
        <v>41668.61</v>
      </c>
      <c r="AA49" s="18" t="n">
        <v>36665.76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30000</v>
      </c>
      <c r="F50" s="37" t="n">
        <v>30000</v>
      </c>
      <c r="G50" s="18" t="n">
        <v>50000</v>
      </c>
      <c r="K50" s="9" t="n"/>
      <c r="O50" s="18" t="n">
        <v>60000</v>
      </c>
      <c r="P50" s="37" t="n">
        <v>60000</v>
      </c>
      <c r="T50" s="18" t="n">
        <v>19967.26</v>
      </c>
      <c r="U50" s="37" t="n">
        <v>19967.26</v>
      </c>
      <c r="V50" s="18" t="n">
        <v>39930.32</v>
      </c>
      <c r="W50" s="18" t="n">
        <v>39936.69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기타비유동금융부채</t>
        </is>
      </c>
      <c r="F51" s="9" t="n"/>
      <c r="G51" s="18" t="n">
        <v>1669.48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확정급여부채</t>
        </is>
      </c>
      <c r="F52" s="9" t="n"/>
      <c r="I52" s="18" t="n">
        <v>2077.68</v>
      </c>
      <c r="K52" s="9" t="n"/>
      <c r="L52" s="18" t="n">
        <v>1769.4</v>
      </c>
      <c r="M52" s="18" t="n">
        <v>1230.82</v>
      </c>
      <c r="N52" s="18" t="n">
        <v>218.03</v>
      </c>
      <c r="P52" s="9" t="n"/>
      <c r="Q52" s="18" t="n">
        <v>68.93000000000001</v>
      </c>
      <c r="R52" s="18" t="n">
        <v>1092.02</v>
      </c>
      <c r="S52" s="18" t="n">
        <v>1549.62</v>
      </c>
      <c r="U52" s="9" t="n"/>
      <c r="X52" s="18" t="n">
        <v>1358.11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390288.61</v>
      </c>
      <c r="K53" s="37" t="n">
        <v>390288.61</v>
      </c>
      <c r="L53" s="18" t="n">
        <v>410737.3</v>
      </c>
      <c r="M53" s="18" t="n">
        <v>406193.92</v>
      </c>
      <c r="N53" s="18" t="n">
        <v>394319.97</v>
      </c>
      <c r="P53" s="9" t="n"/>
      <c r="Q53" s="18" t="n">
        <v>421487.33</v>
      </c>
      <c r="R53" s="18" t="n">
        <v>400806.67</v>
      </c>
      <c r="S53" s="18" t="n">
        <v>416152.66</v>
      </c>
      <c r="U53" s="9" t="n"/>
      <c r="Z53" s="9" t="n"/>
      <c r="AB53" s="19" t="n">
        <v>392878.52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42.12</v>
      </c>
      <c r="K54" s="37" t="n">
        <v>42.12</v>
      </c>
      <c r="L54" s="18" t="n">
        <v>44.53</v>
      </c>
      <c r="M54" s="18" t="n">
        <v>46.44</v>
      </c>
      <c r="N54" s="18" t="n">
        <v>46.91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O55" s="18" t="n">
        <v>2254.93</v>
      </c>
      <c r="P55" s="37" t="n">
        <v>2254.93</v>
      </c>
      <c r="Q55" s="18" t="n">
        <v>93.59</v>
      </c>
      <c r="U55" s="9" t="n"/>
      <c r="W55" s="18" t="n">
        <v>17729.08</v>
      </c>
      <c r="X55" s="18" t="n">
        <v>17729.08</v>
      </c>
      <c r="Y55" s="18" t="n">
        <v>17729.08</v>
      </c>
      <c r="Z55" s="37" t="n">
        <v>17729.08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기타비유동부채</t>
        </is>
      </c>
      <c r="F56" s="9" t="n"/>
      <c r="K56" s="9" t="n"/>
      <c r="P56" s="9" t="n"/>
      <c r="R56" s="18" t="n">
        <v>1602.86</v>
      </c>
      <c r="S56" s="18" t="n">
        <v>1122.35</v>
      </c>
      <c r="U56" s="9" t="n"/>
      <c r="X56" s="18" t="n">
        <v>1152.38</v>
      </c>
      <c r="Y56" s="18" t="n">
        <v>1182.65</v>
      </c>
      <c r="Z56" s="37" t="n">
        <v>1182.65</v>
      </c>
      <c r="AA56" s="18" t="n">
        <v>1171.84</v>
      </c>
      <c r="AB56" s="19" t="n">
        <v>1179.52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U57" s="9" t="n"/>
      <c r="X57" s="18" t="n">
        <v>4641.34</v>
      </c>
      <c r="Y57" s="18" t="n">
        <v>172591.76</v>
      </c>
      <c r="Z57" s="37" t="n">
        <v>172591.76</v>
      </c>
      <c r="AA57" s="18" t="n">
        <v>5349.24</v>
      </c>
      <c r="AB57" s="19" t="n">
        <v>11170.58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145112.78</v>
      </c>
      <c r="F58" s="9" t="n"/>
      <c r="G58" s="18" t="n">
        <v>173504.74</v>
      </c>
      <c r="H58" s="18" t="n">
        <v>169743.96</v>
      </c>
      <c r="I58" s="18" t="n">
        <v>177648.71</v>
      </c>
      <c r="J58" s="18" t="n">
        <v>208034.6</v>
      </c>
      <c r="K58" s="37" t="n">
        <v>728932.01</v>
      </c>
      <c r="L58" s="18" t="n">
        <v>210598.27</v>
      </c>
      <c r="M58" s="18" t="n">
        <v>214308.71</v>
      </c>
      <c r="N58" s="18" t="n">
        <v>211036.44</v>
      </c>
      <c r="O58" s="18" t="n">
        <v>220949.28</v>
      </c>
      <c r="P58" s="37" t="n">
        <v>856892.7</v>
      </c>
      <c r="Q58" s="18" t="n">
        <v>209293.48</v>
      </c>
      <c r="R58" s="18" t="n">
        <v>189474.93</v>
      </c>
      <c r="S58" s="18" t="n">
        <v>193709.01</v>
      </c>
      <c r="T58" s="18" t="n">
        <v>208874.59</v>
      </c>
      <c r="U58" s="37" t="n">
        <v>801352.01</v>
      </c>
      <c r="V58" s="18" t="n">
        <v>197870.76</v>
      </c>
      <c r="W58" s="18" t="n">
        <v>211821.39</v>
      </c>
      <c r="X58" s="18" t="n">
        <v>205273.93</v>
      </c>
      <c r="Y58" s="18" t="n">
        <v>187189.93</v>
      </c>
      <c r="Z58" s="37" t="n">
        <v>802156.01</v>
      </c>
      <c r="AA58" s="18" t="n">
        <v>196667.64</v>
      </c>
      <c r="AB58" s="19" t="n">
        <v>229092.31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121131.79</v>
      </c>
      <c r="F59" s="9" t="n"/>
      <c r="G59" s="18" t="n">
        <v>146525.21</v>
      </c>
      <c r="H59" s="18" t="n">
        <v>141725.6</v>
      </c>
      <c r="I59" s="18" t="n">
        <v>150135.15</v>
      </c>
      <c r="J59" s="18" t="n">
        <v>180200.25</v>
      </c>
      <c r="K59" s="37" t="n">
        <v>618586.21</v>
      </c>
      <c r="L59" s="18" t="n">
        <v>174858.2</v>
      </c>
      <c r="M59" s="18" t="n">
        <v>173686.92</v>
      </c>
      <c r="N59" s="18" t="n">
        <v>169138.32</v>
      </c>
      <c r="O59" s="18" t="n">
        <v>181141.91</v>
      </c>
      <c r="P59" s="37" t="n">
        <v>698825.35</v>
      </c>
      <c r="Q59" s="18" t="n">
        <v>173763.71</v>
      </c>
      <c r="R59" s="18" t="n">
        <v>158776.44</v>
      </c>
      <c r="S59" s="18" t="n">
        <v>162033.55</v>
      </c>
      <c r="T59" s="18" t="n">
        <v>180023.28</v>
      </c>
      <c r="U59" s="37" t="n">
        <v>674596.98</v>
      </c>
      <c r="V59" s="18" t="n">
        <v>165223.43</v>
      </c>
      <c r="W59" s="18" t="n">
        <v>179705.97</v>
      </c>
      <c r="X59" s="18" t="n">
        <v>173319.08</v>
      </c>
      <c r="Y59" s="18" t="n">
        <v>161691.22</v>
      </c>
      <c r="Z59" s="37" t="n">
        <v>679939.7</v>
      </c>
      <c r="AA59" s="18" t="n">
        <v>158096.34</v>
      </c>
      <c r="AB59" s="19" t="n">
        <v>182845.31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23980.99</v>
      </c>
      <c r="F60" s="9" t="n"/>
      <c r="G60" s="18" t="n">
        <v>26979.53</v>
      </c>
      <c r="H60" s="18" t="n">
        <v>28018.36</v>
      </c>
      <c r="I60" s="18" t="n">
        <v>27513.56</v>
      </c>
      <c r="J60" s="18" t="n">
        <v>27834.34</v>
      </c>
      <c r="K60" s="37" t="n">
        <v>110345.79</v>
      </c>
      <c r="L60" s="18" t="n">
        <v>35740.07</v>
      </c>
      <c r="M60" s="18" t="n">
        <v>40621.79</v>
      </c>
      <c r="N60" s="18" t="n">
        <v>41898.12</v>
      </c>
      <c r="O60" s="18" t="n">
        <v>39807.37</v>
      </c>
      <c r="P60" s="37" t="n">
        <v>158067.35</v>
      </c>
      <c r="Q60" s="18" t="n">
        <v>35529.77</v>
      </c>
      <c r="R60" s="18" t="n">
        <v>30698.49</v>
      </c>
      <c r="S60" s="18" t="n">
        <v>31675.47</v>
      </c>
      <c r="T60" s="18" t="n">
        <v>28851.31</v>
      </c>
      <c r="U60" s="37" t="n">
        <v>126755.04</v>
      </c>
      <c r="V60" s="18" t="n">
        <v>32647.33</v>
      </c>
      <c r="W60" s="18" t="n">
        <v>32115.42</v>
      </c>
      <c r="X60" s="18" t="n">
        <v>31954.86</v>
      </c>
      <c r="Y60" s="18" t="n">
        <v>25498.71</v>
      </c>
      <c r="Z60" s="37" t="n">
        <v>122216.32</v>
      </c>
      <c r="AA60" s="18" t="n">
        <v>38571.3</v>
      </c>
      <c r="AB60" s="19" t="n">
        <v>46247.01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20353.34</v>
      </c>
      <c r="F61" s="9" t="n"/>
      <c r="G61" s="18" t="n">
        <v>14958.49</v>
      </c>
      <c r="H61" s="18" t="n">
        <v>18160.71</v>
      </c>
      <c r="I61" s="18" t="n">
        <v>21062.07</v>
      </c>
      <c r="J61" s="18" t="n">
        <v>22225.06</v>
      </c>
      <c r="K61" s="37" t="n">
        <v>76406.33</v>
      </c>
      <c r="L61" s="18" t="n">
        <v>19988.67</v>
      </c>
      <c r="M61" s="18" t="n">
        <v>22359.31</v>
      </c>
      <c r="N61" s="18" t="n">
        <v>22962.35</v>
      </c>
      <c r="O61" s="18" t="n">
        <v>26174.94</v>
      </c>
      <c r="P61" s="37" t="n">
        <v>91485.27</v>
      </c>
      <c r="Q61" s="18" t="n">
        <v>21887.39</v>
      </c>
      <c r="R61" s="18" t="n">
        <v>22025.67</v>
      </c>
      <c r="S61" s="18" t="n">
        <v>25910.01</v>
      </c>
      <c r="T61" s="18" t="n">
        <v>23883.76</v>
      </c>
      <c r="U61" s="37" t="n">
        <v>93706.83</v>
      </c>
      <c r="V61" s="18" t="n">
        <v>25585.14</v>
      </c>
      <c r="W61" s="18" t="n">
        <v>28076.88</v>
      </c>
      <c r="X61" s="18" t="n">
        <v>31994.23</v>
      </c>
      <c r="Y61" s="18" t="n">
        <v>26062.67</v>
      </c>
      <c r="Z61" s="37" t="n">
        <v>111718.92</v>
      </c>
      <c r="AA61" s="18" t="n">
        <v>25332.05</v>
      </c>
      <c r="AB61" s="19" t="n">
        <v>28256.8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3627.65</v>
      </c>
      <c r="F62" s="9" t="n"/>
      <c r="G62" s="18" t="n">
        <v>12021.04</v>
      </c>
      <c r="H62" s="18" t="n">
        <v>9857.65</v>
      </c>
      <c r="I62" s="18" t="n">
        <v>6451.49</v>
      </c>
      <c r="J62" s="18" t="n">
        <v>5609.28</v>
      </c>
      <c r="K62" s="37" t="n">
        <v>33939.46</v>
      </c>
      <c r="L62" s="18" t="n">
        <v>15751.4</v>
      </c>
      <c r="M62" s="18" t="n">
        <v>18262.48</v>
      </c>
      <c r="N62" s="18" t="n">
        <v>18935.77</v>
      </c>
      <c r="O62" s="18" t="n">
        <v>13632.43</v>
      </c>
      <c r="P62" s="37" t="n">
        <v>66582.08</v>
      </c>
      <c r="Q62" s="18" t="n">
        <v>13642.38</v>
      </c>
      <c r="R62" s="18" t="n">
        <v>8672.82</v>
      </c>
      <c r="S62" s="18" t="n">
        <v>5765.46</v>
      </c>
      <c r="T62" s="18" t="n">
        <v>4967.55</v>
      </c>
      <c r="U62" s="37" t="n">
        <v>33048.21</v>
      </c>
      <c r="V62" s="18" t="n">
        <v>7062.19</v>
      </c>
      <c r="W62" s="18" t="n">
        <v>4038.54</v>
      </c>
      <c r="X62" s="18" t="n">
        <v>-39.37</v>
      </c>
      <c r="Y62" s="18" t="n">
        <v>-563.96</v>
      </c>
      <c r="Z62" s="37" t="n">
        <v>10497.4</v>
      </c>
      <c r="AA62" s="18" t="n">
        <v>13239.25</v>
      </c>
      <c r="AB62" s="19" t="n">
        <v>17990.21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583.74</v>
      </c>
      <c r="F63" s="9" t="n"/>
      <c r="G63" s="18" t="n">
        <v>593.9400000000001</v>
      </c>
      <c r="H63" s="18" t="n">
        <v>478.79</v>
      </c>
      <c r="I63" s="18" t="n">
        <v>620.9400000000001</v>
      </c>
      <c r="J63" s="18" t="n">
        <v>963.04</v>
      </c>
      <c r="K63" s="37" t="n">
        <v>2656.71</v>
      </c>
      <c r="L63" s="18" t="n">
        <v>852.84</v>
      </c>
      <c r="M63" s="18" t="n">
        <v>828.47</v>
      </c>
      <c r="N63" s="18" t="n">
        <v>811.14</v>
      </c>
      <c r="O63" s="18" t="n">
        <v>644.24</v>
      </c>
      <c r="P63" s="37" t="n">
        <v>3136.69</v>
      </c>
      <c r="Q63" s="18" t="n">
        <v>967.14</v>
      </c>
      <c r="R63" s="18" t="n">
        <v>860.02</v>
      </c>
      <c r="S63" s="18" t="n">
        <v>960.74</v>
      </c>
      <c r="T63" s="18" t="n">
        <v>1218.14</v>
      </c>
      <c r="U63" s="37" t="n">
        <v>4006.04</v>
      </c>
      <c r="V63" s="18" t="n">
        <v>846.0599999999999</v>
      </c>
      <c r="W63" s="18" t="n">
        <v>821.52</v>
      </c>
      <c r="X63" s="18" t="n">
        <v>895.45</v>
      </c>
      <c r="Y63" s="18" t="n">
        <v>724.97</v>
      </c>
      <c r="Z63" s="37" t="n">
        <v>3288</v>
      </c>
      <c r="AA63" s="18" t="n">
        <v>644.12</v>
      </c>
      <c r="AB63" s="19" t="n">
        <v>655.04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2234.36</v>
      </c>
      <c r="F64" s="9" t="n"/>
      <c r="G64" s="18" t="n">
        <v>2491.96</v>
      </c>
      <c r="H64" s="18" t="n">
        <v>3085.01</v>
      </c>
      <c r="I64" s="18" t="n">
        <v>3734.54</v>
      </c>
      <c r="J64" s="18" t="n">
        <v>5407.79</v>
      </c>
      <c r="K64" s="37" t="n">
        <v>14719.3</v>
      </c>
      <c r="L64" s="18" t="n">
        <v>6001.9</v>
      </c>
      <c r="M64" s="18" t="n">
        <v>5991.99</v>
      </c>
      <c r="N64" s="18" t="n">
        <v>6040.18</v>
      </c>
      <c r="O64" s="18" t="n">
        <v>6209.19</v>
      </c>
      <c r="P64" s="37" t="n">
        <v>24243.26</v>
      </c>
      <c r="Q64" s="18" t="n">
        <v>6493.93</v>
      </c>
      <c r="R64" s="18" t="n">
        <v>6189.24</v>
      </c>
      <c r="S64" s="18" t="n">
        <v>6274.54</v>
      </c>
      <c r="T64" s="18" t="n">
        <v>6593.13</v>
      </c>
      <c r="U64" s="37" t="n">
        <v>25550.84</v>
      </c>
      <c r="V64" s="18" t="n">
        <v>5857.41</v>
      </c>
      <c r="W64" s="18" t="n">
        <v>5605.04</v>
      </c>
      <c r="X64" s="18" t="n">
        <v>6009.09</v>
      </c>
      <c r="Y64" s="18" t="n">
        <v>5003.02</v>
      </c>
      <c r="Z64" s="37" t="n">
        <v>22474.56</v>
      </c>
      <c r="AA64" s="18" t="n">
        <v>5693.75</v>
      </c>
      <c r="AB64" s="19" t="n">
        <v>6151.99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종속기업,공동지배기업및관계기업관련손익</t>
        </is>
      </c>
      <c r="E65" s="18" t="n">
        <v>-658.85</v>
      </c>
      <c r="F65" s="9" t="n"/>
      <c r="G65" s="18" t="n">
        <v>664.17</v>
      </c>
      <c r="H65" s="18" t="n">
        <v>1060.77</v>
      </c>
      <c r="I65" s="18" t="n">
        <v>-220.18</v>
      </c>
      <c r="J65" s="18" t="n">
        <v>-1019.43</v>
      </c>
      <c r="K65" s="37" t="n">
        <v>485.33</v>
      </c>
      <c r="L65" s="18" t="n">
        <v>-564.39</v>
      </c>
      <c r="M65" s="18" t="n">
        <v>-191.99</v>
      </c>
      <c r="N65" s="18" t="n">
        <v>-989.23</v>
      </c>
      <c r="O65" s="18" t="n">
        <v>617.24</v>
      </c>
      <c r="P65" s="37" t="n">
        <v>-1128.37</v>
      </c>
      <c r="Q65" s="18" t="n">
        <v>187.59</v>
      </c>
      <c r="R65" s="18" t="n">
        <v>627.13</v>
      </c>
      <c r="S65" s="18" t="n">
        <v>173.46</v>
      </c>
      <c r="T65" s="18" t="n">
        <v>749.88</v>
      </c>
      <c r="U65" s="37" t="n">
        <v>1738.06</v>
      </c>
      <c r="V65" s="18" t="n">
        <v>-76.47</v>
      </c>
      <c r="W65" s="18" t="n">
        <v>182.32</v>
      </c>
      <c r="X65" s="18" t="n">
        <v>-130.94</v>
      </c>
      <c r="Y65" s="18" t="n">
        <v>1039.84</v>
      </c>
      <c r="Z65" s="37" t="n">
        <v>1014.75</v>
      </c>
      <c r="AA65" s="18" t="n">
        <v>1034.14</v>
      </c>
      <c r="AB65" s="19" t="n">
        <v>2204.96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지분법관련손익</t>
        </is>
      </c>
      <c r="E66" s="18" t="n">
        <v>-658.85</v>
      </c>
      <c r="F66" s="9" t="n"/>
      <c r="G66" s="18" t="n">
        <v>664.17</v>
      </c>
      <c r="H66" s="18" t="n">
        <v>1060.77</v>
      </c>
      <c r="I66" s="18" t="n">
        <v>-220.18</v>
      </c>
      <c r="J66" s="18" t="n">
        <v>-1019.43</v>
      </c>
      <c r="K66" s="37" t="n">
        <v>485.33</v>
      </c>
      <c r="L66" s="18" t="n">
        <v>-564.39</v>
      </c>
      <c r="M66" s="18" t="n">
        <v>-191.99</v>
      </c>
      <c r="N66" s="18" t="n">
        <v>-989.23</v>
      </c>
      <c r="O66" s="18" t="n">
        <v>617.24</v>
      </c>
      <c r="P66" s="37" t="n">
        <v>-1128.37</v>
      </c>
      <c r="Q66" s="18" t="n">
        <v>187.59</v>
      </c>
      <c r="R66" s="18" t="n">
        <v>627.13</v>
      </c>
      <c r="S66" s="18" t="n">
        <v>173.46</v>
      </c>
      <c r="T66" s="18" t="n">
        <v>749.88</v>
      </c>
      <c r="U66" s="37" t="n">
        <v>1738.06</v>
      </c>
      <c r="V66" s="18" t="n">
        <v>-76.47</v>
      </c>
      <c r="W66" s="18" t="n">
        <v>182.32</v>
      </c>
      <c r="X66" s="18" t="n">
        <v>-130.94</v>
      </c>
      <c r="Y66" s="18" t="n">
        <v>1039.84</v>
      </c>
      <c r="Z66" s="37" t="n">
        <v>1014.75</v>
      </c>
      <c r="AA66" s="18" t="n">
        <v>1034.14</v>
      </c>
      <c r="AB66" s="19" t="n">
        <v>2204.96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2847.17</v>
      </c>
      <c r="F67" s="9" t="n"/>
      <c r="G67" s="18" t="n">
        <v>4021.64</v>
      </c>
      <c r="H67" s="18" t="n">
        <v>4351.69</v>
      </c>
      <c r="I67" s="18" t="n">
        <v>43474.57</v>
      </c>
      <c r="J67" s="18" t="n">
        <v>-868.59</v>
      </c>
      <c r="K67" s="37" t="n">
        <v>50979.31</v>
      </c>
      <c r="L67" s="18" t="n">
        <v>4108.38</v>
      </c>
      <c r="M67" s="18" t="n">
        <v>3558.89</v>
      </c>
      <c r="N67" s="18" t="n">
        <v>6242.47</v>
      </c>
      <c r="O67" s="18" t="n">
        <v>2279.38</v>
      </c>
      <c r="P67" s="37" t="n">
        <v>16189.12</v>
      </c>
      <c r="Q67" s="18" t="n">
        <v>3679.77</v>
      </c>
      <c r="R67" s="18" t="n">
        <v>5128.54</v>
      </c>
      <c r="S67" s="18" t="n">
        <v>4565.72</v>
      </c>
      <c r="T67" s="18" t="n">
        <v>5410.03</v>
      </c>
      <c r="U67" s="37" t="n">
        <v>18784.06</v>
      </c>
      <c r="V67" s="18" t="n">
        <v>2899.22</v>
      </c>
      <c r="W67" s="18" t="n">
        <v>4778.35</v>
      </c>
      <c r="X67" s="18" t="n">
        <v>3874.19</v>
      </c>
      <c r="Y67" s="18" t="n">
        <v>2460.32</v>
      </c>
      <c r="Z67" s="37" t="n">
        <v>14012.08</v>
      </c>
      <c r="AA67" s="18" t="n">
        <v>15505.54</v>
      </c>
      <c r="AB67" s="19" t="n">
        <v>3377.59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351.52</v>
      </c>
      <c r="F68" s="9" t="n"/>
      <c r="G68" s="18" t="n">
        <v>1409.1</v>
      </c>
      <c r="H68" s="18" t="n">
        <v>4483.01</v>
      </c>
      <c r="I68" s="18" t="n">
        <v>5008.1</v>
      </c>
      <c r="J68" s="18" t="n">
        <v>2104.4</v>
      </c>
      <c r="K68" s="37" t="n">
        <v>13004.61</v>
      </c>
      <c r="L68" s="18" t="n">
        <v>3754.11</v>
      </c>
      <c r="M68" s="18" t="n">
        <v>2659.65</v>
      </c>
      <c r="N68" s="18" t="n">
        <v>2778.08</v>
      </c>
      <c r="O68" s="18" t="n">
        <v>5037.27</v>
      </c>
      <c r="P68" s="37" t="n">
        <v>14229.11</v>
      </c>
      <c r="Q68" s="18" t="n">
        <v>2312.02</v>
      </c>
      <c r="R68" s="18" t="n">
        <v>2982.9</v>
      </c>
      <c r="S68" s="18" t="n">
        <v>1808.59</v>
      </c>
      <c r="T68" s="18" t="n">
        <v>3870.59</v>
      </c>
      <c r="U68" s="37" t="n">
        <v>10974.1</v>
      </c>
      <c r="V68" s="18" t="n">
        <v>1475.36</v>
      </c>
      <c r="W68" s="18" t="n">
        <v>6434.43</v>
      </c>
      <c r="X68" s="18" t="n">
        <v>2860.15</v>
      </c>
      <c r="Y68" s="18" t="n">
        <v>30970.3</v>
      </c>
      <c r="Z68" s="37" t="n">
        <v>41740.24</v>
      </c>
      <c r="AA68" s="18" t="n">
        <v>3648.36</v>
      </c>
      <c r="AB68" s="19" t="n">
        <v>3635.51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-701.76</v>
      </c>
      <c r="F69" s="9" t="n"/>
      <c r="G69" s="18" t="n">
        <v>3501.11</v>
      </c>
      <c r="H69" s="18" t="n">
        <v>2466.36</v>
      </c>
      <c r="I69" s="18" t="n">
        <v>3451.28</v>
      </c>
      <c r="J69" s="18" t="n">
        <v>-2461.66</v>
      </c>
      <c r="K69" s="37" t="n">
        <v>6957.09</v>
      </c>
      <c r="L69" s="18" t="n">
        <v>1851.41</v>
      </c>
      <c r="M69" s="18" t="n">
        <v>1126.39</v>
      </c>
      <c r="N69" s="18" t="n">
        <v>1195.67</v>
      </c>
      <c r="O69" s="18" t="n">
        <v>-2587.03</v>
      </c>
      <c r="P69" s="37" t="n">
        <v>1586.44</v>
      </c>
      <c r="Q69" s="18" t="n">
        <v>1368.94</v>
      </c>
      <c r="R69" s="18" t="n">
        <v>878.89</v>
      </c>
      <c r="S69" s="18" t="n">
        <v>714.4299999999999</v>
      </c>
      <c r="T69" s="18" t="n">
        <v>1244.92</v>
      </c>
      <c r="U69" s="37" t="n">
        <v>4207.18</v>
      </c>
      <c r="V69" s="18" t="n">
        <v>1048.55</v>
      </c>
      <c r="W69" s="18" t="n">
        <v>1047.06</v>
      </c>
      <c r="X69" s="18" t="n">
        <v>1335.56</v>
      </c>
      <c r="Y69" s="18" t="n">
        <v>-1480.2</v>
      </c>
      <c r="Z69" s="37" t="n">
        <v>1950.97</v>
      </c>
      <c r="AA69" s="18" t="n">
        <v>3929.29</v>
      </c>
      <c r="AB69" s="19" t="n">
        <v>3472.04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4515.59</v>
      </c>
      <c r="F70" s="9" t="n"/>
      <c r="G70" s="18" t="n">
        <v>9898.620000000001</v>
      </c>
      <c r="H70" s="18" t="n">
        <v>5714.52</v>
      </c>
      <c r="I70" s="18" t="n">
        <v>38132.9</v>
      </c>
      <c r="J70" s="18" t="n">
        <v>-366.24</v>
      </c>
      <c r="K70" s="37" t="n">
        <v>53379.8</v>
      </c>
      <c r="L70" s="18" t="n">
        <v>8540.82</v>
      </c>
      <c r="M70" s="18" t="n">
        <v>12679.81</v>
      </c>
      <c r="N70" s="18" t="n">
        <v>14986.22</v>
      </c>
      <c r="O70" s="18" t="n">
        <v>8581.23</v>
      </c>
      <c r="P70" s="37" t="n">
        <v>44788.08</v>
      </c>
      <c r="Q70" s="18" t="n">
        <v>8302</v>
      </c>
      <c r="R70" s="18" t="n">
        <v>5237.46</v>
      </c>
      <c r="S70" s="18" t="n">
        <v>2667.82</v>
      </c>
      <c r="T70" s="18" t="n">
        <v>636.96</v>
      </c>
      <c r="U70" s="37" t="n">
        <v>16844.24</v>
      </c>
      <c r="V70" s="18" t="n">
        <v>2349.68</v>
      </c>
      <c r="W70" s="18" t="n">
        <v>-3265.8</v>
      </c>
      <c r="X70" s="18" t="n">
        <v>-5605.46</v>
      </c>
      <c r="Y70" s="18" t="n">
        <v>-30831.96</v>
      </c>
      <c r="Z70" s="37" t="n">
        <v>-37353.54</v>
      </c>
      <c r="AA70" s="18" t="n">
        <v>17151.64</v>
      </c>
      <c r="AB70" s="19" t="n">
        <v>10968.27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4742.56</v>
      </c>
      <c r="F71" s="9" t="n"/>
      <c r="G71" s="18" t="n">
        <v>11111.57</v>
      </c>
      <c r="H71" s="18" t="n">
        <v>6198.55</v>
      </c>
      <c r="I71" s="18" t="n">
        <v>40573.89</v>
      </c>
      <c r="J71" s="18" t="n">
        <v>-4191.56</v>
      </c>
      <c r="K71" s="37" t="n">
        <v>53692.45</v>
      </c>
      <c r="L71" s="18" t="n">
        <v>7640.84</v>
      </c>
      <c r="M71" s="18" t="n">
        <v>12638.68</v>
      </c>
      <c r="N71" s="18" t="n">
        <v>7983.02</v>
      </c>
      <c r="O71" s="18" t="n">
        <v>13606.09</v>
      </c>
      <c r="P71" s="37" t="n">
        <v>41868.63</v>
      </c>
      <c r="Q71" s="18" t="n">
        <v>7911.45</v>
      </c>
      <c r="R71" s="18" t="n">
        <v>4679.44</v>
      </c>
      <c r="S71" s="18" t="n">
        <v>4086.82</v>
      </c>
      <c r="T71" s="18" t="n">
        <v>2786.43</v>
      </c>
      <c r="U71" s="37" t="n">
        <v>19464.14</v>
      </c>
      <c r="V71" s="18" t="n">
        <v>2392.14</v>
      </c>
      <c r="W71" s="18" t="n">
        <v>-7259.2</v>
      </c>
      <c r="X71" s="18" t="n">
        <v>-2088.62</v>
      </c>
      <c r="Y71" s="18" t="n">
        <v>-26904.79</v>
      </c>
      <c r="Z71" s="37" t="n">
        <v>-33860.47</v>
      </c>
      <c r="AA71" s="18" t="n">
        <v>19040.34</v>
      </c>
      <c r="AB71" s="19" t="n">
        <v>9857.91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5338.3</v>
      </c>
      <c r="F72" s="9" t="n"/>
      <c r="G72" s="18" t="n">
        <v>9254.309999999999</v>
      </c>
      <c r="H72" s="18" t="n">
        <v>5781.86</v>
      </c>
      <c r="I72" s="18" t="n">
        <v>38562.81</v>
      </c>
      <c r="J72" s="18" t="n">
        <v>-2685.02</v>
      </c>
      <c r="K72" s="37" t="n">
        <v>50913.96</v>
      </c>
      <c r="L72" s="18" t="n">
        <v>7666.83</v>
      </c>
      <c r="M72" s="18" t="n">
        <v>11566.18</v>
      </c>
      <c r="N72" s="18" t="n">
        <v>13957.73</v>
      </c>
      <c r="O72" s="18" t="n">
        <v>5193.65</v>
      </c>
      <c r="P72" s="37" t="n">
        <v>38384.39</v>
      </c>
      <c r="Q72" s="18" t="n">
        <v>6278.52</v>
      </c>
      <c r="R72" s="18" t="n">
        <v>2654.16</v>
      </c>
      <c r="S72" s="18" t="n">
        <v>-696.28</v>
      </c>
      <c r="T72" s="18" t="n">
        <v>-2717.98</v>
      </c>
      <c r="U72" s="37" t="n">
        <v>5518.42</v>
      </c>
      <c r="V72" s="18" t="n">
        <v>299.3</v>
      </c>
      <c r="W72" s="18" t="n">
        <v>-6130.34</v>
      </c>
      <c r="X72" s="18" t="n">
        <v>-7859.74</v>
      </c>
      <c r="Y72" s="18" t="n">
        <v>-31006.47</v>
      </c>
      <c r="Z72" s="37" t="n">
        <v>-44697.25</v>
      </c>
      <c r="AA72" s="18" t="n">
        <v>14256.8</v>
      </c>
      <c r="AB72" s="19" t="n">
        <v>7270.04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-822.71</v>
      </c>
      <c r="F73" s="9" t="n"/>
      <c r="G73" s="18" t="n">
        <v>644.3099999999999</v>
      </c>
      <c r="H73" s="18" t="n">
        <v>-67.34</v>
      </c>
      <c r="I73" s="18" t="n">
        <v>-429.91</v>
      </c>
      <c r="J73" s="18" t="n">
        <v>2318.78</v>
      </c>
      <c r="K73" s="37" t="n">
        <v>2465.84</v>
      </c>
      <c r="L73" s="18" t="n">
        <v>873.99</v>
      </c>
      <c r="M73" s="18" t="n">
        <v>1113.63</v>
      </c>
      <c r="N73" s="18" t="n">
        <v>1028.49</v>
      </c>
      <c r="O73" s="18" t="n">
        <v>3387.58</v>
      </c>
      <c r="P73" s="37" t="n">
        <v>6403.69</v>
      </c>
      <c r="Q73" s="18" t="n">
        <v>2023.48</v>
      </c>
      <c r="R73" s="18" t="n">
        <v>2583.3</v>
      </c>
      <c r="S73" s="18" t="n">
        <v>3364.09</v>
      </c>
      <c r="T73" s="18" t="n">
        <v>3354.94</v>
      </c>
      <c r="U73" s="37" t="n">
        <v>11325.81</v>
      </c>
      <c r="V73" s="18" t="n">
        <v>2050.38</v>
      </c>
      <c r="W73" s="18" t="n">
        <v>2864.54</v>
      </c>
      <c r="X73" s="18" t="n">
        <v>2254.28</v>
      </c>
      <c r="Y73" s="18" t="n">
        <v>174.51</v>
      </c>
      <c r="Z73" s="37" t="n">
        <v>7343.71</v>
      </c>
      <c r="AA73" s="18" t="n">
        <v>2894.84</v>
      </c>
      <c r="AB73" s="19" t="n">
        <v>3698.22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-1650.62</v>
      </c>
      <c r="F74" s="9" t="n"/>
      <c r="G74" s="18" t="n">
        <v>-1898.02</v>
      </c>
      <c r="H74" s="18" t="n">
        <v>-2606.22</v>
      </c>
      <c r="I74" s="18" t="n">
        <v>-3113.6</v>
      </c>
      <c r="J74" s="18" t="n">
        <v>-4444.75</v>
      </c>
      <c r="K74" s="37" t="n">
        <v>-12062.59</v>
      </c>
      <c r="L74" s="18" t="n">
        <v>-5149.06</v>
      </c>
      <c r="M74" s="18" t="n">
        <v>-5163.52</v>
      </c>
      <c r="N74" s="18" t="n">
        <v>-5229.04</v>
      </c>
      <c r="O74" s="18" t="n">
        <v>-5564.95</v>
      </c>
      <c r="P74" s="37" t="n">
        <v>-21106.57</v>
      </c>
      <c r="Q74" s="18" t="n">
        <v>-5526.79</v>
      </c>
      <c r="R74" s="18" t="n">
        <v>-5329.22</v>
      </c>
      <c r="S74" s="18" t="n">
        <v>-5313.8</v>
      </c>
      <c r="T74" s="18" t="n">
        <v>-5374.99</v>
      </c>
      <c r="U74" s="37" t="n">
        <v>-21544.8</v>
      </c>
      <c r="V74" s="18" t="n">
        <v>-5011.35</v>
      </c>
      <c r="W74" s="18" t="n">
        <v>-4783.52</v>
      </c>
      <c r="X74" s="18" t="n">
        <v>-5113.64</v>
      </c>
      <c r="Y74" s="18" t="n">
        <v>-4278.05</v>
      </c>
      <c r="Z74" s="37" t="n">
        <v>-19186.56</v>
      </c>
      <c r="AA74" s="18" t="n">
        <v>-5049.63</v>
      </c>
      <c r="AB74" s="19" t="n">
        <v>-5496.95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2495.65</v>
      </c>
      <c r="F75" s="9" t="n"/>
      <c r="G75" s="18" t="n">
        <v>2612.54</v>
      </c>
      <c r="H75" s="18" t="n">
        <v>-131.32</v>
      </c>
      <c r="I75" s="18" t="n">
        <v>38466.47</v>
      </c>
      <c r="J75" s="18" t="n">
        <v>-2972.99</v>
      </c>
      <c r="K75" s="37" t="n">
        <v>37974.7</v>
      </c>
      <c r="L75" s="18" t="n">
        <v>354.27</v>
      </c>
      <c r="M75" s="18" t="n">
        <v>899.24</v>
      </c>
      <c r="N75" s="18" t="n">
        <v>3464.39</v>
      </c>
      <c r="O75" s="18" t="n">
        <v>-2757.89</v>
      </c>
      <c r="P75" s="37" t="n">
        <v>1960.01</v>
      </c>
      <c r="Q75" s="18" t="n">
        <v>1367.75</v>
      </c>
      <c r="R75" s="18" t="n">
        <v>2145.64</v>
      </c>
      <c r="S75" s="18" t="n">
        <v>2757.13</v>
      </c>
      <c r="T75" s="18" t="n">
        <v>1539.44</v>
      </c>
      <c r="U75" s="37" t="n">
        <v>7809.96</v>
      </c>
      <c r="V75" s="18" t="n">
        <v>1423.86</v>
      </c>
      <c r="W75" s="18" t="n">
        <v>-1656.08</v>
      </c>
      <c r="X75" s="18" t="n">
        <v>1014.04</v>
      </c>
      <c r="Y75" s="18" t="n">
        <v>-28509.98</v>
      </c>
      <c r="Z75" s="37" t="n">
        <v>-27728.16</v>
      </c>
      <c r="AA75" s="18" t="n">
        <v>11857.18</v>
      </c>
      <c r="AB75" s="19" t="n">
        <v>-257.92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4515.59</v>
      </c>
      <c r="F76" s="9" t="n"/>
      <c r="G76" s="18" t="n">
        <v>9898.620000000001</v>
      </c>
      <c r="H76" s="18" t="n">
        <v>5714.52</v>
      </c>
      <c r="I76" s="18" t="n">
        <v>38132.9</v>
      </c>
      <c r="J76" s="18" t="n">
        <v>-366.24</v>
      </c>
      <c r="K76" s="37" t="n">
        <v>53379.8</v>
      </c>
      <c r="L76" s="18" t="n">
        <v>8540.82</v>
      </c>
      <c r="M76" s="18" t="n">
        <v>12679.81</v>
      </c>
      <c r="N76" s="18" t="n">
        <v>14986.22</v>
      </c>
      <c r="O76" s="18" t="n">
        <v>8513.870000000001</v>
      </c>
      <c r="P76" s="37" t="n">
        <v>44720.72</v>
      </c>
      <c r="Q76" s="18" t="n">
        <v>8302</v>
      </c>
      <c r="R76" s="18" t="n">
        <v>5237.46</v>
      </c>
      <c r="S76" s="18" t="n">
        <v>2667.82</v>
      </c>
      <c r="T76" s="18" t="n">
        <v>636.96</v>
      </c>
      <c r="U76" s="37" t="n">
        <v>16844.24</v>
      </c>
      <c r="V76" s="18" t="n">
        <v>2349.68</v>
      </c>
      <c r="W76" s="18" t="n">
        <v>-3265.8</v>
      </c>
      <c r="X76" s="18" t="n">
        <v>-5605.46</v>
      </c>
      <c r="Y76" s="18" t="n">
        <v>-30831.96</v>
      </c>
      <c r="Z76" s="37" t="n">
        <v>-37353.54</v>
      </c>
      <c r="AA76" s="18" t="n">
        <v>17151.64</v>
      </c>
      <c r="AB76" s="19" t="n">
        <v>10968.27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법인세비용차감전계속사업이익</t>
        </is>
      </c>
      <c r="F77" s="9" t="n"/>
      <c r="G77" s="18" t="n">
        <v>13399.73</v>
      </c>
      <c r="H77" s="18" t="n">
        <v>8180.87</v>
      </c>
      <c r="I77" s="18" t="n">
        <v>41584.18</v>
      </c>
      <c r="K77" s="9" t="n"/>
      <c r="L77" s="18" t="n">
        <v>10392.22</v>
      </c>
      <c r="M77" s="18" t="n">
        <v>13806.2</v>
      </c>
      <c r="N77" s="18" t="n">
        <v>16181.89</v>
      </c>
      <c r="O77" s="18" t="n">
        <v>5926.84</v>
      </c>
      <c r="P77" s="37" t="n">
        <v>46307.15</v>
      </c>
      <c r="Q77" s="18" t="n">
        <v>9670.93</v>
      </c>
      <c r="R77" s="18" t="n">
        <v>6116.35</v>
      </c>
      <c r="S77" s="18" t="n">
        <v>3382.25</v>
      </c>
      <c r="T77" s="18" t="n">
        <v>1881.88</v>
      </c>
      <c r="U77" s="37" t="n">
        <v>21051.41</v>
      </c>
      <c r="V77" s="18" t="n">
        <v>3398.23</v>
      </c>
      <c r="W77" s="18" t="n">
        <v>-2218.74</v>
      </c>
      <c r="X77" s="18" t="n">
        <v>-4269.9</v>
      </c>
      <c r="Y77" s="18" t="n">
        <v>-32312.16</v>
      </c>
      <c r="Z77" s="37" t="n">
        <v>-35402.57</v>
      </c>
      <c r="AA77" s="18" t="n">
        <v>21080.93</v>
      </c>
      <c r="AB77" s="19" t="n">
        <v>14440.3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67.36</v>
      </c>
      <c r="P78" s="9" t="n"/>
      <c r="U78" s="9" t="n"/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-20624.88</v>
      </c>
      <c r="F79" s="9" t="n"/>
      <c r="G79" s="18" t="n">
        <v>-7379.67</v>
      </c>
      <c r="H79" s="18" t="n">
        <v>-33035.8</v>
      </c>
      <c r="I79" s="18" t="n">
        <v>2049.71</v>
      </c>
      <c r="J79" s="18" t="n">
        <v>11497.41</v>
      </c>
      <c r="K79" s="37" t="n">
        <v>-26868.35</v>
      </c>
      <c r="L79" s="18" t="n">
        <v>1383.86</v>
      </c>
      <c r="M79" s="18" t="n">
        <v>13002.49</v>
      </c>
      <c r="N79" s="18" t="n">
        <v>13278.22</v>
      </c>
      <c r="O79" s="18" t="n">
        <v>21717.6</v>
      </c>
      <c r="P79" s="37" t="n">
        <v>49382.17</v>
      </c>
      <c r="Q79" s="18" t="n">
        <v>3484.62</v>
      </c>
      <c r="R79" s="18" t="n">
        <v>-15481.3</v>
      </c>
      <c r="S79" s="18" t="n">
        <v>6934.24</v>
      </c>
      <c r="T79" s="18" t="n">
        <v>18073.4</v>
      </c>
      <c r="U79" s="37" t="n">
        <v>13010.96</v>
      </c>
      <c r="V79" s="18" t="n">
        <v>9210.51</v>
      </c>
      <c r="W79" s="18" t="n">
        <v>-15227.96</v>
      </c>
      <c r="X79" s="18" t="n">
        <v>30312.97</v>
      </c>
      <c r="Y79" s="18" t="n">
        <v>-2420.88</v>
      </c>
      <c r="Z79" s="37" t="n">
        <v>21874.64</v>
      </c>
      <c r="AA79" s="18" t="n">
        <v>-10118.94</v>
      </c>
      <c r="AB79" s="19" t="n">
        <v>-17484.33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14495.29</v>
      </c>
      <c r="F80" s="9" t="n"/>
      <c r="G80" s="18" t="n">
        <v>15479.15</v>
      </c>
      <c r="H80" s="18" t="n">
        <v>16425.79</v>
      </c>
      <c r="I80" s="18" t="n">
        <v>16372.54</v>
      </c>
      <c r="J80" s="18" t="n">
        <v>16722.01</v>
      </c>
      <c r="K80" s="37" t="n">
        <v>64999.49</v>
      </c>
      <c r="L80" s="18" t="n">
        <v>15424.78</v>
      </c>
      <c r="M80" s="18" t="n">
        <v>15827.99</v>
      </c>
      <c r="N80" s="18" t="n">
        <v>16210.36</v>
      </c>
      <c r="O80" s="18" t="n">
        <v>13396.35</v>
      </c>
      <c r="P80" s="37" t="n">
        <v>60859.48</v>
      </c>
      <c r="Q80" s="18" t="n">
        <v>14827.91</v>
      </c>
      <c r="R80" s="18" t="n">
        <v>15431.94</v>
      </c>
      <c r="S80" s="18" t="n">
        <v>15858.73</v>
      </c>
      <c r="T80" s="18" t="n">
        <v>15563.15</v>
      </c>
      <c r="U80" s="37" t="n">
        <v>61681.73</v>
      </c>
      <c r="V80" s="18" t="n">
        <v>16407.89</v>
      </c>
      <c r="W80" s="18" t="n">
        <v>16427.79</v>
      </c>
      <c r="X80" s="18" t="n">
        <v>16277.86</v>
      </c>
      <c r="Y80" s="18" t="n">
        <v>17010.4</v>
      </c>
      <c r="Z80" s="37" t="n">
        <v>66123.94</v>
      </c>
      <c r="AA80" s="18" t="n">
        <v>13364.28</v>
      </c>
      <c r="AB80" s="19" t="n">
        <v>15269.63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무형자산상각비</t>
        </is>
      </c>
      <c r="E81" s="18" t="n">
        <v>28.4</v>
      </c>
      <c r="F81" s="9" t="n"/>
      <c r="G81" s="18" t="n">
        <v>28.27</v>
      </c>
      <c r="H81" s="18" t="n">
        <v>28.54</v>
      </c>
      <c r="I81" s="18" t="n">
        <v>28.41</v>
      </c>
      <c r="J81" s="18" t="n">
        <v>15.41</v>
      </c>
      <c r="K81" s="37" t="n">
        <v>100.63</v>
      </c>
      <c r="L81" s="18" t="n">
        <v>12.49</v>
      </c>
      <c r="M81" s="18" t="n">
        <v>12.54</v>
      </c>
      <c r="N81" s="18" t="n">
        <v>12.5</v>
      </c>
      <c r="O81" s="18" t="n">
        <v>13.02</v>
      </c>
      <c r="P81" s="37" t="n">
        <v>50.55</v>
      </c>
      <c r="Q81" s="18" t="n">
        <v>14.09</v>
      </c>
      <c r="R81" s="18" t="n">
        <v>14.81</v>
      </c>
      <c r="S81" s="18" t="n">
        <v>20.19</v>
      </c>
      <c r="T81" s="18" t="n">
        <v>20.95</v>
      </c>
      <c r="U81" s="37" t="n">
        <v>70.04000000000001</v>
      </c>
      <c r="V81" s="18" t="n">
        <v>20.95</v>
      </c>
      <c r="W81" s="18" t="n">
        <v>20.94</v>
      </c>
      <c r="X81" s="18" t="n">
        <v>20.95</v>
      </c>
      <c r="Y81" s="18" t="n">
        <v>35.11</v>
      </c>
      <c r="Z81" s="37" t="n">
        <v>97.95</v>
      </c>
      <c r="AA81" s="18" t="n">
        <v>42.29</v>
      </c>
      <c r="AB81" s="19" t="n">
        <v>43.05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21.5</v>
      </c>
      <c r="F82" s="9" t="n"/>
      <c r="G82" s="18" t="n">
        <v>0.18</v>
      </c>
      <c r="H82" s="18" t="n">
        <v>112.38</v>
      </c>
      <c r="I82" s="18" t="n">
        <v>129.21</v>
      </c>
      <c r="J82" s="18" t="n">
        <v>2175.58</v>
      </c>
      <c r="K82" s="37" t="n">
        <v>2417.35</v>
      </c>
      <c r="L82" s="18" t="n">
        <v>0.16</v>
      </c>
      <c r="M82" s="18" t="n">
        <v>540.3</v>
      </c>
      <c r="N82" s="18" t="n">
        <v>-283.43</v>
      </c>
      <c r="O82" s="18" t="n">
        <v>53.16</v>
      </c>
      <c r="P82" s="37" t="n">
        <v>310.19</v>
      </c>
      <c r="Q82" s="18" t="n">
        <v>0.19</v>
      </c>
      <c r="R82" s="18" t="n">
        <v>846.92</v>
      </c>
      <c r="S82" s="18" t="n">
        <v>-477.12</v>
      </c>
      <c r="T82" s="18" t="n">
        <v>-370.01</v>
      </c>
      <c r="U82" s="37" t="n">
        <v>-0.02</v>
      </c>
      <c r="V82" s="18" t="n">
        <v>-397.5</v>
      </c>
      <c r="W82" s="18" t="n">
        <v>1545.81</v>
      </c>
      <c r="X82" s="18" t="n">
        <v>16.61</v>
      </c>
      <c r="Y82" s="18" t="n">
        <v>16.6</v>
      </c>
      <c r="Z82" s="37" t="n">
        <v>1181.52</v>
      </c>
      <c r="AA82" s="18" t="n">
        <v>20.51</v>
      </c>
      <c r="AB82" s="19" t="n">
        <v>1632.47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-170.52</v>
      </c>
      <c r="F83" s="9" t="n"/>
      <c r="G83" s="18" t="n">
        <v>1180.26</v>
      </c>
      <c r="H83" s="18" t="n">
        <v>591.88</v>
      </c>
      <c r="I83" s="18" t="n">
        <v>908.28</v>
      </c>
      <c r="J83" s="18" t="n">
        <v>-1187.94</v>
      </c>
      <c r="K83" s="37" t="n">
        <v>1492.48</v>
      </c>
      <c r="L83" s="18" t="n">
        <v>988.63</v>
      </c>
      <c r="M83" s="18" t="n">
        <v>1167.17</v>
      </c>
      <c r="N83" s="18" t="n">
        <v>1151.29</v>
      </c>
      <c r="O83" s="18" t="n">
        <v>878</v>
      </c>
      <c r="P83" s="37" t="n">
        <v>4185.09</v>
      </c>
      <c r="Q83" s="18" t="n">
        <v>1135.39</v>
      </c>
      <c r="R83" s="18" t="n">
        <v>1110.14</v>
      </c>
      <c r="S83" s="18" t="n">
        <v>983.41</v>
      </c>
      <c r="T83" s="18" t="n">
        <v>1681.41</v>
      </c>
      <c r="U83" s="37" t="n">
        <v>4910.35</v>
      </c>
      <c r="V83" s="18" t="n">
        <v>1596.3</v>
      </c>
      <c r="W83" s="18" t="n">
        <v>889.49</v>
      </c>
      <c r="X83" s="18" t="n">
        <v>934.15</v>
      </c>
      <c r="Y83" s="18" t="n">
        <v>811.88</v>
      </c>
      <c r="Z83" s="37" t="n">
        <v>4231.82</v>
      </c>
      <c r="AA83" s="18" t="n">
        <v>1241.53</v>
      </c>
      <c r="AB83" s="19" t="n">
        <v>790.5700000000001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E84" s="18" t="n">
        <v>-2706.52</v>
      </c>
      <c r="F84" s="9" t="n"/>
      <c r="G84" s="18" t="n">
        <v>-2456.93</v>
      </c>
      <c r="H84" s="18" t="n">
        <v>-3125.35</v>
      </c>
      <c r="I84" s="18" t="n">
        <v>-4331.48</v>
      </c>
      <c r="J84" s="18" t="n">
        <v>-5331.08</v>
      </c>
      <c r="K84" s="37" t="n">
        <v>-15244.84</v>
      </c>
      <c r="L84" s="18" t="n">
        <v>-6294.85</v>
      </c>
      <c r="M84" s="18" t="n">
        <v>-5774.76</v>
      </c>
      <c r="N84" s="18" t="n">
        <v>-6636.97</v>
      </c>
      <c r="O84" s="18" t="n">
        <v>-7087.19</v>
      </c>
      <c r="P84" s="37" t="n">
        <v>-25793.77</v>
      </c>
      <c r="Q84" s="18" t="n">
        <v>-6331.7</v>
      </c>
      <c r="R84" s="18" t="n">
        <v>-5839.16</v>
      </c>
      <c r="S84" s="18" t="n">
        <v>-7109.59</v>
      </c>
      <c r="T84" s="18" t="n">
        <v>-7244.36</v>
      </c>
      <c r="U84" s="37" t="n">
        <v>-26524.81</v>
      </c>
      <c r="V84" s="18" t="n">
        <v>-5955.43</v>
      </c>
      <c r="W84" s="18" t="n">
        <v>-5846.5</v>
      </c>
      <c r="X84" s="18" t="n">
        <v>-5439.81</v>
      </c>
      <c r="Y84" s="18" t="n">
        <v>-5679.15</v>
      </c>
      <c r="Z84" s="37" t="n">
        <v>-22920.89</v>
      </c>
      <c r="AA84" s="18" t="n">
        <v>-5267.61</v>
      </c>
      <c r="AB84" s="19" t="n">
        <v>-5737.47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법인세납부(CF)</t>
        </is>
      </c>
      <c r="E85" s="18" t="n">
        <v>-5.08</v>
      </c>
      <c r="F85" s="9" t="n"/>
      <c r="G85" s="18" t="n">
        <v>-1774</v>
      </c>
      <c r="H85" s="18" t="n">
        <v>-2083.06</v>
      </c>
      <c r="I85" s="18" t="n">
        <v>-2484.41</v>
      </c>
      <c r="J85" s="18" t="n">
        <v>19.62</v>
      </c>
      <c r="K85" s="37" t="n">
        <v>-6321.85</v>
      </c>
      <c r="L85" s="18" t="n">
        <v>-4170.89</v>
      </c>
      <c r="M85" s="18" t="n">
        <v>-5216.84</v>
      </c>
      <c r="N85" s="18" t="n">
        <v>-2572.92</v>
      </c>
      <c r="O85" s="18" t="n">
        <v>-2063.45</v>
      </c>
      <c r="P85" s="37" t="n">
        <v>-14024.1</v>
      </c>
      <c r="Q85" s="18" t="n">
        <v>617.73</v>
      </c>
      <c r="R85" s="18" t="n">
        <v>-4097.32</v>
      </c>
      <c r="S85" s="18" t="n">
        <v>-2359.15</v>
      </c>
      <c r="T85" s="18" t="n">
        <v>-597.52</v>
      </c>
      <c r="U85" s="37" t="n">
        <v>-6436.26</v>
      </c>
      <c r="V85" s="18" t="n">
        <v>-1055.65</v>
      </c>
      <c r="W85" s="18" t="n">
        <v>43.01</v>
      </c>
      <c r="X85" s="18" t="n">
        <v>-1222.23</v>
      </c>
      <c r="Y85" s="18" t="n">
        <v>-160.42</v>
      </c>
      <c r="Z85" s="37" t="n">
        <v>-2395.29</v>
      </c>
      <c r="AA85" s="18" t="n">
        <v>213.98</v>
      </c>
      <c r="AB85" s="19" t="n">
        <v>-451.13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투자활동으로인한현금흐름</t>
        </is>
      </c>
      <c r="E86" s="18" t="n">
        <v>4701.92</v>
      </c>
      <c r="F86" s="9" t="n"/>
      <c r="G86" s="18" t="n">
        <v>482.05</v>
      </c>
      <c r="H86" s="18" t="n">
        <v>-12669.27</v>
      </c>
      <c r="I86" s="18" t="n">
        <v>-15206.98</v>
      </c>
      <c r="J86" s="18" t="n">
        <v>-9643.940000000001</v>
      </c>
      <c r="K86" s="37" t="n">
        <v>-37038.14</v>
      </c>
      <c r="L86" s="18" t="n">
        <v>-17981.98</v>
      </c>
      <c r="M86" s="18" t="n">
        <v>7722.79</v>
      </c>
      <c r="N86" s="18" t="n">
        <v>-6577</v>
      </c>
      <c r="O86" s="18" t="n">
        <v>-7936.75</v>
      </c>
      <c r="P86" s="37" t="n">
        <v>-24772.94</v>
      </c>
      <c r="Q86" s="18" t="n">
        <v>-11713.94</v>
      </c>
      <c r="R86" s="18" t="n">
        <v>-28109.91</v>
      </c>
      <c r="S86" s="18" t="n">
        <v>-5774.27</v>
      </c>
      <c r="T86" s="18" t="n">
        <v>-16618.16</v>
      </c>
      <c r="U86" s="37" t="n">
        <v>-62216.28</v>
      </c>
      <c r="V86" s="18" t="n">
        <v>6737.52</v>
      </c>
      <c r="W86" s="18" t="n">
        <v>836.91</v>
      </c>
      <c r="X86" s="18" t="n">
        <v>-17927.76</v>
      </c>
      <c r="Y86" s="18" t="n">
        <v>-3644.66</v>
      </c>
      <c r="Z86" s="37" t="n">
        <v>-13997.99</v>
      </c>
      <c r="AA86" s="18" t="n">
        <v>7788.16</v>
      </c>
      <c r="AB86" s="19" t="n">
        <v>-22416.2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12248.7</v>
      </c>
      <c r="F87" s="9" t="n"/>
      <c r="G87" s="18" t="n">
        <v>8071.61</v>
      </c>
      <c r="H87" s="18" t="n">
        <v>140.98</v>
      </c>
      <c r="I87" s="18" t="n">
        <v>661.6900000000001</v>
      </c>
      <c r="J87" s="18" t="n">
        <v>545.78</v>
      </c>
      <c r="K87" s="37" t="n">
        <v>9420.059999999999</v>
      </c>
      <c r="L87" s="18" t="n">
        <v>486.86</v>
      </c>
      <c r="M87" s="18" t="n">
        <v>2879.49</v>
      </c>
      <c r="N87" s="18" t="n">
        <v>7986.41</v>
      </c>
      <c r="O87" s="18" t="n">
        <v>4169.68</v>
      </c>
      <c r="P87" s="37" t="n">
        <v>15522.44</v>
      </c>
      <c r="Q87" s="18" t="n">
        <v>6253.88</v>
      </c>
      <c r="R87" s="18" t="n">
        <v>6080.11</v>
      </c>
      <c r="S87" s="18" t="n">
        <v>1275.13</v>
      </c>
      <c r="T87" s="18" t="n">
        <v>2709.72</v>
      </c>
      <c r="U87" s="37" t="n">
        <v>16318.84</v>
      </c>
      <c r="V87" s="18" t="n">
        <v>1780.21</v>
      </c>
      <c r="W87" s="18" t="n">
        <v>1309.44</v>
      </c>
      <c r="X87" s="18" t="n">
        <v>427.2</v>
      </c>
      <c r="Y87" s="18" t="n">
        <v>922.0599999999999</v>
      </c>
      <c r="Z87" s="37" t="n">
        <v>4438.91</v>
      </c>
      <c r="AA87" s="18" t="n">
        <v>1090.43</v>
      </c>
      <c r="AB87" s="19" t="n">
        <v>2019.29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무형자산의감소</t>
        </is>
      </c>
      <c r="E88" s="18" t="n">
        <v>0</v>
      </c>
      <c r="F88" s="9" t="n"/>
      <c r="G88" s="18" t="n">
        <v>273.64</v>
      </c>
      <c r="H88" s="18" t="n">
        <v>0</v>
      </c>
      <c r="I88" s="18" t="n">
        <v>0</v>
      </c>
      <c r="J88" s="18" t="n">
        <v>0</v>
      </c>
      <c r="K88" s="37" t="n">
        <v>273.64</v>
      </c>
      <c r="L88" s="18" t="n">
        <v>0</v>
      </c>
      <c r="M88" s="18" t="n">
        <v>1004.18</v>
      </c>
      <c r="N88" s="18" t="n">
        <v>22.23</v>
      </c>
      <c r="O88" s="18" t="n">
        <v>43.1</v>
      </c>
      <c r="P88" s="37" t="n">
        <v>1069.51</v>
      </c>
      <c r="Q88" s="18" t="n">
        <v>170</v>
      </c>
      <c r="R88" s="18" t="n">
        <v>0</v>
      </c>
      <c r="S88" s="18" t="n">
        <v>0</v>
      </c>
      <c r="T88" s="18" t="n">
        <v>0</v>
      </c>
      <c r="U88" s="37" t="n">
        <v>170</v>
      </c>
      <c r="V88" s="18" t="n">
        <v>0</v>
      </c>
      <c r="Y88" s="18" t="n">
        <v>116.64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4983.76</v>
      </c>
      <c r="F89" s="9" t="n"/>
      <c r="G89" s="18" t="n">
        <v>3149.21</v>
      </c>
      <c r="H89" s="18" t="n">
        <v>9066.98</v>
      </c>
      <c r="I89" s="18" t="n">
        <v>3844.09</v>
      </c>
      <c r="J89" s="18" t="n">
        <v>6721.06</v>
      </c>
      <c r="K89" s="37" t="n">
        <v>22781.34</v>
      </c>
      <c r="L89" s="18" t="n">
        <v>16976.63</v>
      </c>
      <c r="M89" s="18" t="n">
        <v>6908.99</v>
      </c>
      <c r="N89" s="18" t="n">
        <v>12597.33</v>
      </c>
      <c r="O89" s="18" t="n">
        <v>10726.14</v>
      </c>
      <c r="P89" s="37" t="n">
        <v>47209.09</v>
      </c>
      <c r="Q89" s="18" t="n">
        <v>21851.08</v>
      </c>
      <c r="R89" s="18" t="n">
        <v>19693.08</v>
      </c>
      <c r="S89" s="18" t="n">
        <v>3350.66</v>
      </c>
      <c r="T89" s="18" t="n">
        <v>10459.73</v>
      </c>
      <c r="U89" s="37" t="n">
        <v>55354.55</v>
      </c>
      <c r="V89" s="18" t="n">
        <v>3917.71</v>
      </c>
      <c r="W89" s="18" t="n">
        <v>2885.65</v>
      </c>
      <c r="X89" s="18" t="n">
        <v>14972.97</v>
      </c>
      <c r="Y89" s="18" t="n">
        <v>23681.47</v>
      </c>
      <c r="Z89" s="37" t="n">
        <v>45457.8</v>
      </c>
      <c r="AA89" s="18" t="n">
        <v>9083.35</v>
      </c>
      <c r="AB89" s="19" t="n">
        <v>23346.77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4983.76</v>
      </c>
      <c r="F90" s="9" t="n"/>
      <c r="G90" s="18" t="n">
        <v>3149.21</v>
      </c>
      <c r="H90" s="18" t="n">
        <v>9066.98</v>
      </c>
      <c r="I90" s="18" t="n">
        <v>3844.09</v>
      </c>
      <c r="J90" s="18" t="n">
        <v>7102.18</v>
      </c>
      <c r="K90" s="37" t="n">
        <v>23162.46</v>
      </c>
      <c r="L90" s="18" t="n">
        <v>16979.82</v>
      </c>
      <c r="M90" s="18" t="n">
        <v>6918.5</v>
      </c>
      <c r="N90" s="18" t="n">
        <v>12694.92</v>
      </c>
      <c r="O90" s="18" t="n">
        <v>10738.45</v>
      </c>
      <c r="P90" s="37" t="n">
        <v>47331.69</v>
      </c>
      <c r="Q90" s="18" t="n">
        <v>21851.08</v>
      </c>
      <c r="R90" s="18" t="n">
        <v>20148</v>
      </c>
      <c r="S90" s="18" t="n">
        <v>3469.03</v>
      </c>
      <c r="T90" s="18" t="n">
        <v>10459.73</v>
      </c>
      <c r="U90" s="37" t="n">
        <v>55927.84</v>
      </c>
      <c r="V90" s="18" t="n">
        <v>4126.38</v>
      </c>
      <c r="W90" s="18" t="n">
        <v>2886.26</v>
      </c>
      <c r="X90" s="18" t="n">
        <v>17014.79</v>
      </c>
      <c r="Y90" s="18" t="n">
        <v>23821.31</v>
      </c>
      <c r="Z90" s="37" t="n">
        <v>47848.74</v>
      </c>
      <c r="AA90" s="18" t="n">
        <v>9086.48</v>
      </c>
      <c r="AB90" s="19" t="n">
        <v>23358.77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K91" s="9" t="n"/>
      <c r="L91" s="18" t="n">
        <v>3.19</v>
      </c>
      <c r="M91" s="18" t="n">
        <v>9.51</v>
      </c>
      <c r="N91" s="18" t="n">
        <v>97.59</v>
      </c>
      <c r="O91" s="18" t="n">
        <v>12.31</v>
      </c>
      <c r="P91" s="37" t="n">
        <v>122.6</v>
      </c>
      <c r="S91" s="18" t="n">
        <v>118.37</v>
      </c>
      <c r="T91" s="18" t="n">
        <v>0</v>
      </c>
      <c r="U91" s="9" t="n"/>
      <c r="V91" s="18" t="n">
        <v>208.67</v>
      </c>
      <c r="W91" s="18" t="n">
        <v>0.61</v>
      </c>
      <c r="X91" s="18" t="n">
        <v>2041.82</v>
      </c>
      <c r="Y91" s="18" t="n">
        <v>139.84</v>
      </c>
      <c r="Z91" s="37" t="n">
        <v>2390.94</v>
      </c>
      <c r="AA91" s="18" t="n">
        <v>3.13</v>
      </c>
      <c r="AB91" s="19" t="n">
        <v>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4381</v>
      </c>
      <c r="F92" s="9" t="n"/>
      <c r="G92" s="18" t="n">
        <v>9352.77</v>
      </c>
      <c r="H92" s="18" t="n">
        <v>46655.07</v>
      </c>
      <c r="I92" s="18" t="n">
        <v>12779.84</v>
      </c>
      <c r="J92" s="18" t="n">
        <v>-10136.73</v>
      </c>
      <c r="K92" s="37" t="n">
        <v>58650.95</v>
      </c>
      <c r="L92" s="18" t="n">
        <v>23407.2</v>
      </c>
      <c r="M92" s="18" t="n">
        <v>-7900.73</v>
      </c>
      <c r="N92" s="18" t="n">
        <v>-18759.99</v>
      </c>
      <c r="O92" s="18" t="n">
        <v>-9383.82</v>
      </c>
      <c r="P92" s="37" t="n">
        <v>-12637.34</v>
      </c>
      <c r="Q92" s="18" t="n">
        <v>13153.77</v>
      </c>
      <c r="R92" s="18" t="n">
        <v>14907.28</v>
      </c>
      <c r="S92" s="18" t="n">
        <v>12428.21</v>
      </c>
      <c r="T92" s="18" t="n">
        <v>-5890.72</v>
      </c>
      <c r="U92" s="37" t="n">
        <v>34598.54</v>
      </c>
      <c r="V92" s="18" t="n">
        <v>17655.32</v>
      </c>
      <c r="W92" s="18" t="n">
        <v>9232.77</v>
      </c>
      <c r="X92" s="18" t="n">
        <v>8317.83</v>
      </c>
      <c r="Y92" s="18" t="n">
        <v>-22223.67</v>
      </c>
      <c r="Z92" s="37" t="n">
        <v>12982.25</v>
      </c>
      <c r="AA92" s="18" t="n">
        <v>28131.23</v>
      </c>
      <c r="AB92" s="19" t="n">
        <v>57908.53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124596.77</v>
      </c>
      <c r="F93" s="9" t="n"/>
      <c r="G93" s="18" t="n">
        <v>138614.8</v>
      </c>
      <c r="H93" s="18" t="n">
        <v>227822.67</v>
      </c>
      <c r="I93" s="18" t="n">
        <v>136905.35</v>
      </c>
      <c r="J93" s="18" t="n">
        <v>140795.39</v>
      </c>
      <c r="K93" s="37" t="n">
        <v>644138.21</v>
      </c>
      <c r="L93" s="18" t="n">
        <v>170139.75</v>
      </c>
      <c r="M93" s="18" t="n">
        <v>240067.1</v>
      </c>
      <c r="N93" s="18" t="n">
        <v>167713.67</v>
      </c>
      <c r="O93" s="18" t="n">
        <v>124789.76</v>
      </c>
      <c r="P93" s="37" t="n">
        <v>702710.28</v>
      </c>
      <c r="Q93" s="18" t="n">
        <v>151771.12</v>
      </c>
      <c r="R93" s="18" t="n">
        <v>213536.21</v>
      </c>
      <c r="S93" s="18" t="n">
        <v>200639.42</v>
      </c>
      <c r="U93" s="9" t="n"/>
      <c r="V93" s="18" t="n">
        <v>67623.7</v>
      </c>
      <c r="W93" s="18" t="n">
        <v>110643.17</v>
      </c>
      <c r="X93" s="18" t="n">
        <v>99302.92999999999</v>
      </c>
      <c r="Y93" s="18" t="n">
        <v>109206.44</v>
      </c>
      <c r="Z93" s="37" t="n">
        <v>386776.24</v>
      </c>
      <c r="AA93" s="18" t="n">
        <v>81669.59</v>
      </c>
      <c r="AB93" s="19" t="n">
        <v>100539.7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2999.58</v>
      </c>
      <c r="F94" s="9" t="n"/>
      <c r="I94" s="18" t="n">
        <v>4540</v>
      </c>
      <c r="J94" s="18" t="n">
        <v>585</v>
      </c>
      <c r="K94" s="9" t="n"/>
      <c r="L94" s="18" t="n">
        <v>4300</v>
      </c>
      <c r="M94" s="18" t="n">
        <v>4164.68</v>
      </c>
      <c r="N94" s="18" t="n">
        <v>5597.32</v>
      </c>
      <c r="O94" s="18" t="n">
        <v>2000</v>
      </c>
      <c r="P94" s="37" t="n">
        <v>16062</v>
      </c>
      <c r="Q94" s="18" t="n">
        <v>5000</v>
      </c>
      <c r="R94" s="18" t="n">
        <v>23572.71</v>
      </c>
      <c r="S94" s="18" t="n">
        <v>40000</v>
      </c>
      <c r="T94" s="18" t="n">
        <v>15239.29</v>
      </c>
      <c r="U94" s="37" t="n">
        <v>83812</v>
      </c>
      <c r="X94" s="18" t="n">
        <v>24000</v>
      </c>
      <c r="Z94" s="9" t="n"/>
      <c r="AA94" s="18" t="n">
        <v>10000</v>
      </c>
      <c r="AB94" s="19" t="n">
        <v>14885.52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120848.17</v>
      </c>
      <c r="F95" s="9" t="n"/>
      <c r="G95" s="18" t="n">
        <v>147210.54</v>
      </c>
      <c r="H95" s="18" t="n">
        <v>181976.92</v>
      </c>
      <c r="I95" s="18" t="n">
        <v>155953.53</v>
      </c>
      <c r="J95" s="18" t="n">
        <v>151366.37</v>
      </c>
      <c r="K95" s="37" t="n">
        <v>636507.36</v>
      </c>
      <c r="L95" s="18" t="n">
        <v>149300.18</v>
      </c>
      <c r="M95" s="18" t="n">
        <v>223279.24</v>
      </c>
      <c r="N95" s="18" t="n">
        <v>181959.62</v>
      </c>
      <c r="O95" s="18" t="n">
        <v>124399.67</v>
      </c>
      <c r="P95" s="37" t="n">
        <v>678938.71</v>
      </c>
      <c r="Q95" s="18" t="n">
        <v>136080.81</v>
      </c>
      <c r="R95" s="18" t="n">
        <v>226390.66</v>
      </c>
      <c r="S95" s="18" t="n">
        <v>216283.86</v>
      </c>
      <c r="U95" s="9" t="n"/>
      <c r="V95" s="18" t="n">
        <v>71737.78999999999</v>
      </c>
      <c r="W95" s="18" t="n">
        <v>105808.59</v>
      </c>
      <c r="X95" s="18" t="n">
        <v>117050.51</v>
      </c>
      <c r="Y95" s="18" t="n">
        <v>86848.09</v>
      </c>
      <c r="Z95" s="37" t="n">
        <v>381444.98</v>
      </c>
      <c r="AA95" s="18" t="n">
        <v>74095.72</v>
      </c>
      <c r="AB95" s="19" t="n">
        <v>101218.34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1799.99</v>
      </c>
      <c r="F96" s="9" t="n"/>
      <c r="G96" s="18" t="n">
        <v>1383.33</v>
      </c>
      <c r="H96" s="18" t="n">
        <v>1383.33</v>
      </c>
      <c r="I96" s="18" t="n">
        <v>1383.33</v>
      </c>
      <c r="J96" s="18" t="n">
        <v>7083.33</v>
      </c>
      <c r="K96" s="37" t="n">
        <v>11233.32</v>
      </c>
      <c r="L96" s="18" t="n">
        <v>1083.33</v>
      </c>
      <c r="M96" s="18" t="n">
        <v>23202.48</v>
      </c>
      <c r="N96" s="18" t="n">
        <v>500</v>
      </c>
      <c r="O96" s="18" t="n">
        <v>11083.33</v>
      </c>
      <c r="P96" s="37" t="n">
        <v>35869.14</v>
      </c>
      <c r="Q96" s="18" t="n">
        <v>500</v>
      </c>
      <c r="R96" s="18" t="n">
        <v>11837</v>
      </c>
      <c r="S96" s="18" t="n">
        <v>1640</v>
      </c>
      <c r="T96" s="18" t="n">
        <v>481.03</v>
      </c>
      <c r="U96" s="37" t="n">
        <v>14458.03</v>
      </c>
      <c r="V96" s="18" t="n">
        <v>1597.72</v>
      </c>
      <c r="W96" s="18" t="n">
        <v>23687.01</v>
      </c>
      <c r="X96" s="18" t="n">
        <v>31647.72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694.28</v>
      </c>
      <c r="F97" s="9" t="n"/>
      <c r="G97" s="18" t="n">
        <v>627.9299999999999</v>
      </c>
      <c r="H97" s="18" t="n">
        <v>678.22</v>
      </c>
      <c r="I97" s="18" t="n">
        <v>655.11</v>
      </c>
      <c r="J97" s="18" t="n">
        <v>628.4</v>
      </c>
      <c r="K97" s="37" t="n">
        <v>2589.66</v>
      </c>
      <c r="L97" s="18" t="n">
        <v>649.04</v>
      </c>
      <c r="M97" s="18" t="n">
        <v>632.77</v>
      </c>
      <c r="N97" s="18" t="n">
        <v>744.84</v>
      </c>
      <c r="O97" s="18" t="n">
        <v>690.5700000000001</v>
      </c>
      <c r="P97" s="37" t="n">
        <v>2717.22</v>
      </c>
      <c r="Q97" s="18" t="n">
        <v>762.1</v>
      </c>
      <c r="R97" s="18" t="n">
        <v>764.84</v>
      </c>
      <c r="S97" s="18" t="n">
        <v>781.38</v>
      </c>
      <c r="T97" s="18" t="n">
        <v>815.3</v>
      </c>
      <c r="U97" s="37" t="n">
        <v>3123.62</v>
      </c>
      <c r="V97" s="18" t="n">
        <v>868.63</v>
      </c>
      <c r="W97" s="18" t="n">
        <v>805.65</v>
      </c>
      <c r="X97" s="18" t="n">
        <v>924.59</v>
      </c>
      <c r="Y97" s="18" t="n">
        <v>884.26</v>
      </c>
      <c r="Z97" s="37" t="n">
        <v>3483.13</v>
      </c>
      <c r="AA97" s="18" t="n">
        <v>864.97</v>
      </c>
      <c r="AB97" s="19" t="n">
        <v>638.41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E98" s="18" t="n">
        <v>0</v>
      </c>
      <c r="F98" s="9" t="n"/>
      <c r="I98" s="18" t="n">
        <v>0</v>
      </c>
      <c r="J98" s="18" t="n">
        <v>0</v>
      </c>
      <c r="K98" s="9" t="n"/>
      <c r="O98" s="18" t="n">
        <v>0</v>
      </c>
      <c r="P98" s="9" t="n"/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F99" s="9" t="n"/>
      <c r="G99" s="18" t="n">
        <v>19959.78</v>
      </c>
      <c r="H99" s="18" t="n">
        <v>0</v>
      </c>
      <c r="I99" s="18" t="n">
        <v>30000</v>
      </c>
      <c r="J99" s="18" t="n">
        <v>9979.879999999999</v>
      </c>
      <c r="K99" s="37" t="n">
        <v>59939.66</v>
      </c>
      <c r="L99" s="18" t="n">
        <v>0</v>
      </c>
      <c r="M99" s="18" t="n">
        <v>0</v>
      </c>
      <c r="N99" s="18" t="n">
        <v>0</v>
      </c>
      <c r="P99" s="9" t="n"/>
      <c r="S99" s="18" t="n">
        <v>0</v>
      </c>
      <c r="T99" s="18" t="n">
        <v>0</v>
      </c>
      <c r="U99" s="9" t="n"/>
      <c r="V99" s="18" t="n">
        <v>19959.78</v>
      </c>
      <c r="W99" s="18" t="n">
        <v>0</v>
      </c>
      <c r="X99" s="18" t="n">
        <v>30000</v>
      </c>
      <c r="Y99" s="18" t="n">
        <v>0</v>
      </c>
      <c r="Z99" s="37" t="n">
        <v>49959.78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F100" s="9" t="n"/>
      <c r="I100" s="18" t="n">
        <v>-377.44</v>
      </c>
      <c r="K100" s="9" t="n"/>
      <c r="N100" s="18" t="n">
        <v>-12058.78</v>
      </c>
      <c r="O100" s="18" t="n">
        <v>6240.14</v>
      </c>
      <c r="P100" s="9" t="n"/>
      <c r="Q100" s="18" t="n">
        <v>4924.45</v>
      </c>
      <c r="R100" s="18" t="n">
        <v>-28683.93</v>
      </c>
      <c r="S100" s="18" t="n">
        <v>13588.18</v>
      </c>
      <c r="T100" s="18" t="n">
        <v>-4435.49</v>
      </c>
      <c r="U100" s="37" t="n">
        <v>-14606.79</v>
      </c>
      <c r="V100" s="18" t="n">
        <v>33603.35</v>
      </c>
      <c r="W100" s="18" t="n">
        <v>-5158.28</v>
      </c>
      <c r="X100" s="18" t="n">
        <v>20703.04</v>
      </c>
      <c r="Y100" s="18" t="n">
        <v>-28289.21</v>
      </c>
      <c r="Z100" s="37" t="n">
        <v>20858.9</v>
      </c>
      <c r="AA100" s="18" t="n">
        <v>25800.45</v>
      </c>
      <c r="AB100" s="19" t="n">
        <v>18007.99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장기차입금의감소</t>
        </is>
      </c>
      <c r="F101" s="9" t="n"/>
      <c r="K101" s="9" t="n"/>
      <c r="N101" s="18" t="n">
        <v>147</v>
      </c>
      <c r="O101" s="18" t="n">
        <v>0</v>
      </c>
      <c r="P101" s="9" t="n"/>
      <c r="Q101" s="18" t="n">
        <v>3000</v>
      </c>
      <c r="R101" s="18" t="n">
        <v>0</v>
      </c>
      <c r="S101" s="18" t="n">
        <v>0</v>
      </c>
      <c r="T101" s="18" t="n">
        <v>200</v>
      </c>
      <c r="U101" s="37" t="n">
        <v>3200</v>
      </c>
      <c r="V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기말현금및현금성자산</t>
        </is>
      </c>
      <c r="F102" s="9" t="n"/>
      <c r="K102" s="9" t="n"/>
      <c r="N102" s="18" t="n">
        <v>-11967.94</v>
      </c>
      <c r="O102" s="18" t="n">
        <v>4345.55</v>
      </c>
      <c r="P102" s="9" t="n"/>
      <c r="Q102" s="18" t="n">
        <v>107072.44</v>
      </c>
      <c r="R102" s="18" t="n">
        <v>-28114.81</v>
      </c>
      <c r="S102" s="18" t="n">
        <v>12110.41</v>
      </c>
      <c r="T102" s="18" t="n">
        <v>-3611.28</v>
      </c>
      <c r="U102" s="37" t="n">
        <v>87456.75999999999</v>
      </c>
      <c r="V102" s="18" t="n">
        <v>121129.8</v>
      </c>
      <c r="W102" s="18" t="n">
        <v>-6242.12</v>
      </c>
      <c r="X102" s="18" t="n">
        <v>21282.24</v>
      </c>
      <c r="Y102" s="18" t="n">
        <v>-28948.6</v>
      </c>
      <c r="Z102" s="37" t="n">
        <v>107221.32</v>
      </c>
      <c r="AA102" s="18" t="n">
        <v>134973.03</v>
      </c>
      <c r="AB102" s="19" t="n">
        <v>17349.67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P103" s="9" t="n"/>
      <c r="T103" s="18" t="n">
        <v>0</v>
      </c>
      <c r="U103" s="9" t="n"/>
      <c r="V103" s="18" t="n">
        <v>20000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차입금의감소</t>
        </is>
      </c>
      <c r="F104" s="9" t="n"/>
      <c r="K104" s="9" t="n"/>
      <c r="P104" s="9" t="n"/>
      <c r="U104" s="9" t="n"/>
      <c r="Z104" s="9" t="n"/>
      <c r="AA104" s="18" t="n">
        <v>5738.37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7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7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7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7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7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7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7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7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7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7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7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7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7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7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7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7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7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7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7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7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7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7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7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7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7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7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7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7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7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7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7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7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7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7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7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7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7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7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7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7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7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7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7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7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7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7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7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7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7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7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7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7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7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7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7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7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7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7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7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7" t="n">
        <v>18420.87</v>
      </c>
      <c r="J17" s="18" t="n">
        <v>12590.51</v>
      </c>
      <c r="K17" s="37" t="n">
        <v>12590.51</v>
      </c>
      <c r="N17" s="18" t="n">
        <v>11023.46</v>
      </c>
      <c r="O17" s="18" t="n">
        <v>9061.459999999999</v>
      </c>
      <c r="P17" s="37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7" t="n">
        <v>7930.14</v>
      </c>
      <c r="V17" s="18" t="n">
        <v>10933.92</v>
      </c>
      <c r="W17" s="18" t="n">
        <v>11160.92</v>
      </c>
      <c r="Y17" s="18" t="n">
        <v>12557.58</v>
      </c>
      <c r="Z17" s="37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7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7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7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7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7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7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7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7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7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7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7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7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7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7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7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7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7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7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7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7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7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7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7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7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7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7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7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7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7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7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7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7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7" t="n">
        <v>2866.99</v>
      </c>
      <c r="Q24" s="18" t="n">
        <v>3029.23</v>
      </c>
      <c r="R24" s="18" t="n">
        <v>775.16</v>
      </c>
      <c r="T24" s="18" t="n">
        <v>0</v>
      </c>
      <c r="U24" s="37" t="n">
        <v>0</v>
      </c>
      <c r="Y24" s="18" t="n">
        <v>0</v>
      </c>
      <c r="Z24" s="37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988.35</v>
      </c>
      <c r="F25" s="37" t="n">
        <v>988.35</v>
      </c>
      <c r="G25" s="18" t="n">
        <v>1131.63</v>
      </c>
      <c r="H25" s="18" t="n">
        <v>1141.03</v>
      </c>
      <c r="I25" s="18" t="n">
        <v>1174.71</v>
      </c>
      <c r="J25" s="18" t="n">
        <v>1056.23</v>
      </c>
      <c r="K25" s="37" t="n">
        <v>1056.23</v>
      </c>
      <c r="L25" s="18" t="n">
        <v>1182.66</v>
      </c>
      <c r="M25" s="18" t="n">
        <v>1117.63</v>
      </c>
      <c r="N25" s="18" t="n">
        <v>1116.6</v>
      </c>
      <c r="O25" s="18" t="n">
        <v>1071.03</v>
      </c>
      <c r="P25" s="37" t="n">
        <v>1071.03</v>
      </c>
      <c r="Q25" s="18" t="n">
        <v>1211.56</v>
      </c>
      <c r="R25" s="18" t="n">
        <v>1149.59</v>
      </c>
      <c r="S25" s="18" t="n">
        <v>1017.49</v>
      </c>
      <c r="T25" s="18" t="n">
        <v>905.54</v>
      </c>
      <c r="U25" s="37" t="n">
        <v>905.54</v>
      </c>
      <c r="V25" s="18" t="n">
        <v>934.85</v>
      </c>
      <c r="W25" s="18" t="n">
        <v>1216.26</v>
      </c>
      <c r="X25" s="18" t="n">
        <v>1020.99</v>
      </c>
      <c r="Y25" s="18" t="n">
        <v>798.17</v>
      </c>
      <c r="Z25" s="37" t="n">
        <v>798.17</v>
      </c>
      <c r="AA25" s="18" t="n">
        <v>887.24</v>
      </c>
      <c r="AB25" s="19" t="n">
        <v>1092.91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6639.93</v>
      </c>
      <c r="F26" s="37" t="n">
        <v>6639.93</v>
      </c>
      <c r="G26" s="18" t="n">
        <v>7421.46</v>
      </c>
      <c r="H26" s="18" t="n">
        <v>8726.639999999999</v>
      </c>
      <c r="I26" s="18" t="n">
        <v>8835.65</v>
      </c>
      <c r="J26" s="18" t="n">
        <v>8560.65</v>
      </c>
      <c r="K26" s="37" t="n">
        <v>8560.65</v>
      </c>
      <c r="L26" s="18" t="n">
        <v>8548.42</v>
      </c>
      <c r="M26" s="18" t="n">
        <v>8241.09</v>
      </c>
      <c r="N26" s="18" t="n">
        <v>8252.530000000001</v>
      </c>
      <c r="O26" s="18" t="n">
        <v>7959</v>
      </c>
      <c r="P26" s="37" t="n">
        <v>7959</v>
      </c>
      <c r="Q26" s="18" t="n">
        <v>7810.63</v>
      </c>
      <c r="R26" s="18" t="n">
        <v>6762.82</v>
      </c>
      <c r="S26" s="18" t="n">
        <v>6483.86</v>
      </c>
      <c r="T26" s="18" t="n">
        <v>6244.93</v>
      </c>
      <c r="U26" s="37" t="n">
        <v>6244.93</v>
      </c>
      <c r="V26" s="18" t="n">
        <v>6098.61</v>
      </c>
      <c r="W26" s="18" t="n">
        <v>6077.98</v>
      </c>
      <c r="X26" s="18" t="n">
        <v>5739.46</v>
      </c>
      <c r="Y26" s="18" t="n">
        <v>5389.7</v>
      </c>
      <c r="Z26" s="37" t="n">
        <v>5389.7</v>
      </c>
      <c r="AA26" s="18" t="n">
        <v>5353.17</v>
      </c>
      <c r="AB26" s="19" t="n">
        <v>5441.83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988.35</v>
      </c>
      <c r="F27" s="37" t="n">
        <v>988.35</v>
      </c>
      <c r="G27" s="18" t="n">
        <v>1131.63</v>
      </c>
      <c r="H27" s="18" t="n">
        <v>1141.03</v>
      </c>
      <c r="I27" s="18" t="n">
        <v>1174.71</v>
      </c>
      <c r="J27" s="18" t="n">
        <v>1056.23</v>
      </c>
      <c r="K27" s="37" t="n">
        <v>1056.23</v>
      </c>
      <c r="L27" s="18" t="n">
        <v>1182.66</v>
      </c>
      <c r="M27" s="18" t="n">
        <v>1117.63</v>
      </c>
      <c r="N27" s="18" t="n">
        <v>1116.6</v>
      </c>
      <c r="O27" s="18" t="n">
        <v>1071.03</v>
      </c>
      <c r="P27" s="37" t="n">
        <v>1071.03</v>
      </c>
      <c r="Q27" s="18" t="n">
        <v>1211.56</v>
      </c>
      <c r="R27" s="18" t="n">
        <v>1149.59</v>
      </c>
      <c r="S27" s="18" t="n">
        <v>1017.49</v>
      </c>
      <c r="T27" s="18" t="n">
        <v>905.54</v>
      </c>
      <c r="U27" s="37" t="n">
        <v>905.54</v>
      </c>
      <c r="V27" s="18" t="n">
        <v>934.85</v>
      </c>
      <c r="W27" s="18" t="n">
        <v>1216.26</v>
      </c>
      <c r="X27" s="18" t="n">
        <v>1020.99</v>
      </c>
      <c r="Y27" s="18" t="n">
        <v>798.17</v>
      </c>
      <c r="Z27" s="37" t="n">
        <v>798.17</v>
      </c>
      <c r="AA27" s="18" t="n">
        <v>887.24</v>
      </c>
      <c r="AB27" s="19" t="n">
        <v>1092.91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52668.28</v>
      </c>
      <c r="F28" s="37" t="n">
        <v>52668.28</v>
      </c>
      <c r="G28" s="18" t="n">
        <v>63079.03</v>
      </c>
      <c r="H28" s="18" t="n">
        <v>44536.3</v>
      </c>
      <c r="I28" s="18" t="n">
        <v>75143.5</v>
      </c>
      <c r="J28" s="18" t="n">
        <v>71627.11</v>
      </c>
      <c r="K28" s="37" t="n">
        <v>71627.11</v>
      </c>
      <c r="L28" s="18" t="n">
        <v>75112.85000000001</v>
      </c>
      <c r="M28" s="18" t="n">
        <v>74744.61</v>
      </c>
      <c r="N28" s="18" t="n">
        <v>74470.47</v>
      </c>
      <c r="O28" s="18" t="n">
        <v>73357.35000000001</v>
      </c>
      <c r="P28" s="37" t="n">
        <v>73357.35000000001</v>
      </c>
      <c r="Q28" s="18" t="n">
        <v>50693.98</v>
      </c>
      <c r="R28" s="18" t="n">
        <v>79440.13</v>
      </c>
      <c r="S28" s="18" t="n">
        <v>78921.66</v>
      </c>
      <c r="T28" s="18" t="n">
        <v>80086.42</v>
      </c>
      <c r="U28" s="37" t="n">
        <v>80086.42</v>
      </c>
      <c r="V28" s="18" t="n">
        <v>99313.64</v>
      </c>
      <c r="W28" s="18" t="n">
        <v>88416.49000000001</v>
      </c>
      <c r="X28" s="18" t="n">
        <v>122692.89</v>
      </c>
      <c r="Y28" s="18" t="n">
        <v>120262.57</v>
      </c>
      <c r="Z28" s="37" t="n">
        <v>120262.57</v>
      </c>
      <c r="AA28" s="18" t="n">
        <v>122082.92</v>
      </c>
      <c r="AB28" s="19" t="n">
        <v>131905.04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장기차입금</t>
        </is>
      </c>
      <c r="E29" s="18" t="n">
        <v>42842.13</v>
      </c>
      <c r="F29" s="37" t="n">
        <v>42842.13</v>
      </c>
      <c r="G29" s="18" t="n">
        <v>52879.93</v>
      </c>
      <c r="H29" s="18" t="n">
        <v>32854.42</v>
      </c>
      <c r="I29" s="18" t="n">
        <v>62827.74</v>
      </c>
      <c r="J29" s="18" t="n">
        <v>59952.73</v>
      </c>
      <c r="K29" s="37" t="n">
        <v>59952.73</v>
      </c>
      <c r="L29" s="18" t="n">
        <v>63902.86</v>
      </c>
      <c r="M29" s="18" t="n">
        <v>62960.6</v>
      </c>
      <c r="N29" s="18" t="n">
        <v>63915.87</v>
      </c>
      <c r="O29" s="18" t="n">
        <v>62970.37</v>
      </c>
      <c r="P29" s="37" t="n">
        <v>62970.37</v>
      </c>
      <c r="Q29" s="18" t="n">
        <v>39988.45</v>
      </c>
      <c r="R29" s="18" t="n">
        <v>69951.06</v>
      </c>
      <c r="S29" s="18" t="n">
        <v>69964.09</v>
      </c>
      <c r="T29" s="18" t="n">
        <v>69967.25999999999</v>
      </c>
      <c r="U29" s="37" t="n">
        <v>69967.25999999999</v>
      </c>
      <c r="V29" s="18" t="n">
        <v>89930.32000000001</v>
      </c>
      <c r="W29" s="18" t="n">
        <v>79936.69</v>
      </c>
      <c r="X29" s="18" t="n">
        <v>113943.2</v>
      </c>
      <c r="Y29" s="18" t="n">
        <v>113949.77</v>
      </c>
      <c r="Z29" s="37" t="n">
        <v>113949.77</v>
      </c>
      <c r="AA29" s="18" t="n">
        <v>113956.26</v>
      </c>
      <c r="AB29" s="19" t="n">
        <v>122975.88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장기금융부채(face)</t>
        </is>
      </c>
      <c r="E30" s="18" t="n">
        <v>877.63</v>
      </c>
      <c r="F30" s="37" t="n">
        <v>877.63</v>
      </c>
      <c r="G30" s="18" t="n">
        <v>953.64</v>
      </c>
      <c r="H30" s="18" t="n">
        <v>901.4299999999999</v>
      </c>
      <c r="I30" s="18" t="n">
        <v>868.26</v>
      </c>
      <c r="K30" s="9" t="n"/>
      <c r="L30" s="18" t="n">
        <v>948.26</v>
      </c>
      <c r="N30" s="18" t="n">
        <v>949.26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3037.01</v>
      </c>
      <c r="F31" s="37" t="n">
        <v>3037.01</v>
      </c>
      <c r="G31" s="18" t="n">
        <v>2828.8</v>
      </c>
      <c r="H31" s="18" t="n">
        <v>3065.13</v>
      </c>
      <c r="I31" s="18" t="n">
        <v>3654.28</v>
      </c>
      <c r="J31" s="18" t="n">
        <v>2126.99</v>
      </c>
      <c r="K31" s="37" t="n">
        <v>2126.99</v>
      </c>
      <c r="L31" s="18" t="n">
        <v>2595.5</v>
      </c>
      <c r="M31" s="18" t="n">
        <v>2340.99</v>
      </c>
      <c r="N31" s="18" t="n">
        <v>2110.44</v>
      </c>
      <c r="O31" s="18" t="n">
        <v>1046.56</v>
      </c>
      <c r="P31" s="37" t="n">
        <v>1046.56</v>
      </c>
      <c r="Q31" s="18" t="n">
        <v>1544.24</v>
      </c>
      <c r="R31" s="18" t="n">
        <v>1278.97</v>
      </c>
      <c r="S31" s="18" t="n">
        <v>1352.07</v>
      </c>
      <c r="T31" s="18" t="n">
        <v>2692.49</v>
      </c>
      <c r="U31" s="37" t="n">
        <v>2692.49</v>
      </c>
      <c r="V31" s="18" t="n">
        <v>2100.8</v>
      </c>
      <c r="W31" s="18" t="n">
        <v>1520.69</v>
      </c>
      <c r="X31" s="18" t="n">
        <v>1996.33</v>
      </c>
      <c r="Z31" s="9" t="n"/>
      <c r="AA31" s="18" t="n">
        <v>1995.07</v>
      </c>
      <c r="AB31" s="19" t="n">
        <v>2976.09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1137.56</v>
      </c>
      <c r="F32" s="37" t="n">
        <v>1137.56</v>
      </c>
      <c r="G32" s="18" t="n">
        <v>1080.48</v>
      </c>
      <c r="H32" s="18" t="n">
        <v>1031.15</v>
      </c>
      <c r="I32" s="18" t="n">
        <v>1000.55</v>
      </c>
      <c r="J32" s="18" t="n">
        <v>1174.71</v>
      </c>
      <c r="K32" s="37" t="n">
        <v>1174.71</v>
      </c>
      <c r="L32" s="18" t="n">
        <v>1248.72</v>
      </c>
      <c r="M32" s="18" t="n">
        <v>1330.03</v>
      </c>
      <c r="N32" s="18" t="n">
        <v>1308.23</v>
      </c>
      <c r="O32" s="18" t="n">
        <v>1494.19</v>
      </c>
      <c r="P32" s="37" t="n">
        <v>1494.19</v>
      </c>
      <c r="Q32" s="18" t="n">
        <v>1578.3</v>
      </c>
      <c r="R32" s="18" t="n">
        <v>1635.6</v>
      </c>
      <c r="S32" s="18" t="n">
        <v>1655.25</v>
      </c>
      <c r="T32" s="18" t="n">
        <v>1562.97</v>
      </c>
      <c r="U32" s="37" t="n">
        <v>1562.97</v>
      </c>
      <c r="V32" s="18" t="n">
        <v>1570.39</v>
      </c>
      <c r="W32" s="18" t="n">
        <v>1585.33</v>
      </c>
      <c r="X32" s="18" t="n">
        <v>1547.83</v>
      </c>
      <c r="Y32" s="18" t="n">
        <v>1278.33</v>
      </c>
      <c r="Z32" s="37" t="n">
        <v>1278.33</v>
      </c>
      <c r="AA32" s="18" t="n">
        <v>1222.71</v>
      </c>
      <c r="AB32" s="19" t="n">
        <v>1203.41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5651.58</v>
      </c>
      <c r="F33" s="37" t="n">
        <v>5651.58</v>
      </c>
      <c r="G33" s="18" t="n">
        <v>6289.83</v>
      </c>
      <c r="H33" s="18" t="n">
        <v>7585.61</v>
      </c>
      <c r="I33" s="18" t="n">
        <v>7660.94</v>
      </c>
      <c r="J33" s="18" t="n">
        <v>7504.42</v>
      </c>
      <c r="K33" s="37" t="n">
        <v>7504.42</v>
      </c>
      <c r="L33" s="18" t="n">
        <v>7365.76</v>
      </c>
      <c r="M33" s="18" t="n">
        <v>7123.46</v>
      </c>
      <c r="N33" s="18" t="n">
        <v>7135.93</v>
      </c>
      <c r="O33" s="18" t="n">
        <v>6887.97</v>
      </c>
      <c r="P33" s="37" t="n">
        <v>6887.97</v>
      </c>
      <c r="Q33" s="18" t="n">
        <v>6599.07</v>
      </c>
      <c r="R33" s="18" t="n">
        <v>5613.23</v>
      </c>
      <c r="S33" s="18" t="n">
        <v>5466.37</v>
      </c>
      <c r="T33" s="18" t="n">
        <v>5339.39</v>
      </c>
      <c r="U33" s="37" t="n">
        <v>5339.39</v>
      </c>
      <c r="V33" s="18" t="n">
        <v>5163.76</v>
      </c>
      <c r="W33" s="18" t="n">
        <v>4861.72</v>
      </c>
      <c r="X33" s="18" t="n">
        <v>4718.47</v>
      </c>
      <c r="Y33" s="18" t="n">
        <v>4591.53</v>
      </c>
      <c r="Z33" s="37" t="n">
        <v>4591.53</v>
      </c>
      <c r="AA33" s="18" t="n">
        <v>4465.93</v>
      </c>
      <c r="AB33" s="19" t="n">
        <v>4348.92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5651.58</v>
      </c>
      <c r="F34" s="37" t="n">
        <v>5651.58</v>
      </c>
      <c r="G34" s="18" t="n">
        <v>6289.83</v>
      </c>
      <c r="H34" s="18" t="n">
        <v>7585.61</v>
      </c>
      <c r="I34" s="18" t="n">
        <v>7660.94</v>
      </c>
      <c r="J34" s="18" t="n">
        <v>7504.42</v>
      </c>
      <c r="K34" s="37" t="n">
        <v>7504.42</v>
      </c>
      <c r="L34" s="18" t="n">
        <v>7365.76</v>
      </c>
      <c r="M34" s="18" t="n">
        <v>7123.46</v>
      </c>
      <c r="N34" s="18" t="n">
        <v>7135.93</v>
      </c>
      <c r="O34" s="18" t="n">
        <v>6887.97</v>
      </c>
      <c r="P34" s="37" t="n">
        <v>6887.97</v>
      </c>
      <c r="Q34" s="18" t="n">
        <v>6599.07</v>
      </c>
      <c r="R34" s="18" t="n">
        <v>5613.23</v>
      </c>
      <c r="S34" s="18" t="n">
        <v>5466.37</v>
      </c>
      <c r="T34" s="18" t="n">
        <v>5339.39</v>
      </c>
      <c r="U34" s="37" t="n">
        <v>5339.39</v>
      </c>
      <c r="V34" s="18" t="n">
        <v>5163.76</v>
      </c>
      <c r="W34" s="18" t="n">
        <v>4861.72</v>
      </c>
      <c r="X34" s="18" t="n">
        <v>4718.47</v>
      </c>
      <c r="Y34" s="18" t="n">
        <v>4591.53</v>
      </c>
      <c r="Z34" s="37" t="n">
        <v>4591.53</v>
      </c>
      <c r="AA34" s="18" t="n">
        <v>4465.93</v>
      </c>
      <c r="AB34" s="19" t="n">
        <v>4348.92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303788.48</v>
      </c>
      <c r="F35" s="37" t="n">
        <v>303788.48</v>
      </c>
      <c r="G35" s="18" t="n">
        <v>313558.78</v>
      </c>
      <c r="H35" s="18" t="n">
        <v>317747.71</v>
      </c>
      <c r="I35" s="18" t="n">
        <v>331935.91</v>
      </c>
      <c r="J35" s="18" t="n">
        <v>344163.96</v>
      </c>
      <c r="K35" s="37" t="n">
        <v>344163.96</v>
      </c>
      <c r="L35" s="18" t="n">
        <v>364020.22</v>
      </c>
      <c r="M35" s="18" t="n">
        <v>355487.65</v>
      </c>
      <c r="N35" s="18" t="n">
        <v>352593.92</v>
      </c>
      <c r="O35" s="18" t="n">
        <v>343701.96</v>
      </c>
      <c r="P35" s="37" t="n">
        <v>343701.96</v>
      </c>
      <c r="Q35" s="18" t="n">
        <v>339842.18</v>
      </c>
      <c r="R35" s="18" t="n">
        <v>335403.91</v>
      </c>
      <c r="S35" s="18" t="n">
        <v>338841.66</v>
      </c>
      <c r="T35" s="18" t="n">
        <v>321497.21</v>
      </c>
      <c r="U35" s="37" t="n">
        <v>321497.21</v>
      </c>
      <c r="V35" s="18" t="n">
        <v>336482.95</v>
      </c>
      <c r="W35" s="18" t="n">
        <v>353769.17</v>
      </c>
      <c r="X35" s="18" t="n">
        <v>354141.37</v>
      </c>
      <c r="Y35" s="18" t="n">
        <v>345895.89</v>
      </c>
      <c r="Z35" s="37" t="n">
        <v>345895.89</v>
      </c>
      <c r="AA35" s="18" t="n">
        <v>350320.01</v>
      </c>
      <c r="AB35" s="19" t="n">
        <v>370447.2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93020.37</v>
      </c>
      <c r="F36" s="37" t="n">
        <v>93020.37</v>
      </c>
      <c r="G36" s="18" t="n">
        <v>93020.37</v>
      </c>
      <c r="H36" s="18" t="n">
        <v>93020.37</v>
      </c>
      <c r="I36" s="18" t="n">
        <v>93020.37</v>
      </c>
      <c r="J36" s="18" t="n">
        <v>93020.37</v>
      </c>
      <c r="K36" s="37" t="n">
        <v>93020.37</v>
      </c>
      <c r="L36" s="18" t="n">
        <v>93020.37</v>
      </c>
      <c r="M36" s="18" t="n">
        <v>93020.37</v>
      </c>
      <c r="N36" s="18" t="n">
        <v>93020.37</v>
      </c>
      <c r="O36" s="18" t="n">
        <v>93020.37</v>
      </c>
      <c r="P36" s="37" t="n">
        <v>93020.37</v>
      </c>
      <c r="Q36" s="18" t="n">
        <v>93020.37</v>
      </c>
      <c r="R36" s="18" t="n">
        <v>93020.37</v>
      </c>
      <c r="S36" s="18" t="n">
        <v>93020.37</v>
      </c>
      <c r="T36" s="18" t="n">
        <v>93020.37</v>
      </c>
      <c r="U36" s="37" t="n">
        <v>93020.37</v>
      </c>
      <c r="V36" s="18" t="n">
        <v>93020.37</v>
      </c>
      <c r="W36" s="18" t="n">
        <v>93020.37</v>
      </c>
      <c r="X36" s="18" t="n">
        <v>93020.37</v>
      </c>
      <c r="Y36" s="18" t="n">
        <v>93020.37</v>
      </c>
      <c r="Z36" s="37" t="n">
        <v>93020.37</v>
      </c>
      <c r="AA36" s="18" t="n">
        <v>93020.37</v>
      </c>
      <c r="AB36" s="19" t="n">
        <v>93020.37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E37" s="18" t="n">
        <v>49143.43</v>
      </c>
      <c r="F37" s="37" t="n">
        <v>49143.43</v>
      </c>
      <c r="G37" s="18" t="n">
        <v>49143.43</v>
      </c>
      <c r="H37" s="18" t="n">
        <v>49143.43</v>
      </c>
      <c r="I37" s="18" t="n">
        <v>49143.43</v>
      </c>
      <c r="J37" s="18" t="n">
        <v>49143.43</v>
      </c>
      <c r="K37" s="37" t="n">
        <v>49143.43</v>
      </c>
      <c r="L37" s="18" t="n">
        <v>49143.43</v>
      </c>
      <c r="M37" s="18" t="n">
        <v>49143.43</v>
      </c>
      <c r="N37" s="18" t="n">
        <v>49143.43</v>
      </c>
      <c r="O37" s="18" t="n">
        <v>49143.43</v>
      </c>
      <c r="P37" s="37" t="n">
        <v>49143.43</v>
      </c>
      <c r="Q37" s="18" t="n">
        <v>49143.43</v>
      </c>
      <c r="R37" s="18" t="n">
        <v>49143.43</v>
      </c>
      <c r="S37" s="18" t="n">
        <v>49143.43</v>
      </c>
      <c r="T37" s="18" t="n">
        <v>49143.43</v>
      </c>
      <c r="U37" s="37" t="n">
        <v>49143.43</v>
      </c>
      <c r="V37" s="18" t="n">
        <v>49143.43</v>
      </c>
      <c r="W37" s="18" t="n">
        <v>49143.43</v>
      </c>
      <c r="X37" s="18" t="n">
        <v>49143.43</v>
      </c>
      <c r="Y37" s="18" t="n">
        <v>59499.36</v>
      </c>
      <c r="Z37" s="37" t="n">
        <v>59499.36</v>
      </c>
      <c r="AA37" s="18" t="n">
        <v>59499.36</v>
      </c>
      <c r="AB37" s="19" t="n">
        <v>59499.36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246.37</v>
      </c>
      <c r="F38" s="37" t="n">
        <v>246.37</v>
      </c>
      <c r="G38" s="18" t="n">
        <v>795.37</v>
      </c>
      <c r="H38" s="18" t="n">
        <v>57.9</v>
      </c>
      <c r="I38" s="18" t="n">
        <v>-94.38</v>
      </c>
      <c r="J38" s="18" t="n">
        <v>163.38</v>
      </c>
      <c r="K38" s="37" t="n">
        <v>163.38</v>
      </c>
      <c r="L38" s="18" t="n">
        <v>332.33</v>
      </c>
      <c r="M38" s="18" t="n">
        <v>390.46</v>
      </c>
      <c r="N38" s="18" t="n">
        <v>767.29</v>
      </c>
      <c r="O38" s="18" t="n">
        <v>846.62</v>
      </c>
      <c r="P38" s="37" t="n">
        <v>846.62</v>
      </c>
      <c r="Q38" s="18" t="n">
        <v>344.84</v>
      </c>
      <c r="R38" s="18" t="n">
        <v>132.31</v>
      </c>
      <c r="S38" s="18" t="n">
        <v>-31.92</v>
      </c>
      <c r="T38" s="18" t="n">
        <v>-526.34</v>
      </c>
      <c r="U38" s="37" t="n">
        <v>-526.34</v>
      </c>
      <c r="V38" s="18" t="n">
        <v>-471.5</v>
      </c>
      <c r="W38" s="18" t="n">
        <v>-164.58</v>
      </c>
      <c r="X38" s="18" t="n">
        <v>-180.87</v>
      </c>
      <c r="Y38" s="18" t="n">
        <v>243.01</v>
      </c>
      <c r="Z38" s="37" t="n">
        <v>243.01</v>
      </c>
      <c r="AA38" s="18" t="n">
        <v>-1050.22</v>
      </c>
      <c r="AB38" s="19" t="n">
        <v>-3166.14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202646.16</v>
      </c>
      <c r="F39" s="37" t="n">
        <v>202646.16</v>
      </c>
      <c r="G39" s="18" t="n">
        <v>211346.15</v>
      </c>
      <c r="H39" s="18" t="n">
        <v>219344.14</v>
      </c>
      <c r="I39" s="18" t="n">
        <v>231394.54</v>
      </c>
      <c r="J39" s="18" t="n">
        <v>227423.32</v>
      </c>
      <c r="K39" s="37" t="n">
        <v>227423.32</v>
      </c>
      <c r="L39" s="18" t="n">
        <v>229809.92</v>
      </c>
      <c r="M39" s="18" t="n">
        <v>238626.62</v>
      </c>
      <c r="N39" s="18" t="n">
        <v>248861.3</v>
      </c>
      <c r="O39" s="18" t="n">
        <v>244299.66</v>
      </c>
      <c r="P39" s="37" t="n">
        <v>244299.66</v>
      </c>
      <c r="Q39" s="18" t="n">
        <v>243338.44</v>
      </c>
      <c r="R39" s="18" t="n">
        <v>245111.29</v>
      </c>
      <c r="S39" s="18" t="n">
        <v>236467.14</v>
      </c>
      <c r="T39" s="18" t="n">
        <v>234127.14</v>
      </c>
      <c r="U39" s="37" t="n">
        <v>234127.14</v>
      </c>
      <c r="V39" s="18" t="n">
        <v>229486.02</v>
      </c>
      <c r="W39" s="18" t="n">
        <v>218542.51</v>
      </c>
      <c r="X39" s="18" t="n">
        <v>211015.11</v>
      </c>
      <c r="Y39" s="18" t="n">
        <v>188866.9</v>
      </c>
      <c r="Z39" s="37" t="n">
        <v>188866.9</v>
      </c>
      <c r="AA39" s="18" t="n">
        <v>198344.38</v>
      </c>
      <c r="AB39" s="19" t="n">
        <v>200351.43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281955.19</v>
      </c>
      <c r="F40" s="37" t="n">
        <v>281955.19</v>
      </c>
      <c r="G40" s="18" t="n">
        <v>291204.18</v>
      </c>
      <c r="H40" s="18" t="n">
        <v>298464.7</v>
      </c>
      <c r="I40" s="18" t="n">
        <v>310362.82</v>
      </c>
      <c r="J40" s="18" t="n">
        <v>306649.36</v>
      </c>
      <c r="K40" s="37" t="n">
        <v>306649.36</v>
      </c>
      <c r="L40" s="18" t="n">
        <v>309204.92</v>
      </c>
      <c r="M40" s="18" t="n">
        <v>318079.75</v>
      </c>
      <c r="N40" s="18" t="n">
        <v>328691.25</v>
      </c>
      <c r="O40" s="18" t="n">
        <v>324208.94</v>
      </c>
      <c r="P40" s="37" t="n">
        <v>324208.94</v>
      </c>
      <c r="Q40" s="18" t="n">
        <v>322745.94</v>
      </c>
      <c r="R40" s="18" t="n">
        <v>324306.26</v>
      </c>
      <c r="S40" s="18" t="n">
        <v>315497.89</v>
      </c>
      <c r="T40" s="18" t="n">
        <v>312663.46</v>
      </c>
      <c r="U40" s="37" t="n">
        <v>312663.46</v>
      </c>
      <c r="V40" s="18" t="n">
        <v>308077.19</v>
      </c>
      <c r="W40" s="18" t="n">
        <v>297440.59</v>
      </c>
      <c r="X40" s="18" t="n">
        <v>289896.9</v>
      </c>
      <c r="Y40" s="18" t="n">
        <v>278528.5</v>
      </c>
      <c r="Z40" s="37" t="n">
        <v>278528.5</v>
      </c>
      <c r="AA40" s="18" t="n">
        <v>286712.75</v>
      </c>
      <c r="AB40" s="19" t="n">
        <v>286603.88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585743.67</v>
      </c>
      <c r="F41" s="37" t="n">
        <v>585743.67</v>
      </c>
      <c r="G41" s="18" t="n">
        <v>604762.97</v>
      </c>
      <c r="H41" s="18" t="n">
        <v>616212.41</v>
      </c>
      <c r="I41" s="18" t="n">
        <v>642298.72</v>
      </c>
      <c r="J41" s="18" t="n">
        <v>650813.3199999999</v>
      </c>
      <c r="K41" s="37" t="n">
        <v>650813.3199999999</v>
      </c>
      <c r="L41" s="18" t="n">
        <v>673225.14</v>
      </c>
      <c r="M41" s="18" t="n">
        <v>673567.4</v>
      </c>
      <c r="N41" s="18" t="n">
        <v>681285.17</v>
      </c>
      <c r="O41" s="18" t="n">
        <v>667910.9</v>
      </c>
      <c r="P41" s="37" t="n">
        <v>667910.9</v>
      </c>
      <c r="Q41" s="18" t="n">
        <v>662588.12</v>
      </c>
      <c r="R41" s="18" t="n">
        <v>659710.17</v>
      </c>
      <c r="S41" s="18" t="n">
        <v>654339.55</v>
      </c>
      <c r="T41" s="18" t="n">
        <v>634160.67</v>
      </c>
      <c r="U41" s="37" t="n">
        <v>634160.67</v>
      </c>
      <c r="V41" s="18" t="n">
        <v>644560.14</v>
      </c>
      <c r="W41" s="18" t="n">
        <v>651209.76</v>
      </c>
      <c r="X41" s="18" t="n">
        <v>644038.27</v>
      </c>
      <c r="Y41" s="18" t="n">
        <v>624424.39</v>
      </c>
      <c r="Z41" s="37" t="n">
        <v>624424.39</v>
      </c>
      <c r="AA41" s="18" t="n">
        <v>637032.77</v>
      </c>
      <c r="AB41" s="19" t="n">
        <v>657051.08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281955.19</v>
      </c>
      <c r="F42" s="37" t="n">
        <v>281955.19</v>
      </c>
      <c r="G42" s="18" t="n">
        <v>291204.18</v>
      </c>
      <c r="H42" s="18" t="n">
        <v>298464.7</v>
      </c>
      <c r="I42" s="18" t="n">
        <v>310362.82</v>
      </c>
      <c r="J42" s="18" t="n">
        <v>306649.36</v>
      </c>
      <c r="K42" s="37" t="n">
        <v>306649.36</v>
      </c>
      <c r="L42" s="18" t="n">
        <v>309204.92</v>
      </c>
      <c r="M42" s="18" t="n">
        <v>318079.75</v>
      </c>
      <c r="N42" s="18" t="n">
        <v>328691.25</v>
      </c>
      <c r="O42" s="18" t="n">
        <v>324208.94</v>
      </c>
      <c r="P42" s="37" t="n">
        <v>324208.94</v>
      </c>
      <c r="Q42" s="18" t="n">
        <v>322745.94</v>
      </c>
      <c r="R42" s="18" t="n">
        <v>324306.26</v>
      </c>
      <c r="S42" s="18" t="n">
        <v>315497.89</v>
      </c>
      <c r="T42" s="18" t="n">
        <v>312663.46</v>
      </c>
      <c r="U42" s="37" t="n">
        <v>312663.46</v>
      </c>
      <c r="V42" s="18" t="n">
        <v>308077.19</v>
      </c>
      <c r="W42" s="18" t="n">
        <v>297440.59</v>
      </c>
      <c r="X42" s="18" t="n">
        <v>289896.9</v>
      </c>
      <c r="Y42" s="18" t="n">
        <v>278528.5</v>
      </c>
      <c r="Z42" s="37" t="n">
        <v>278528.5</v>
      </c>
      <c r="AA42" s="18" t="n">
        <v>286712.75</v>
      </c>
      <c r="AB42" s="19" t="n">
        <v>286603.88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229383.85</v>
      </c>
      <c r="F43" s="37" t="n">
        <v>229383.85</v>
      </c>
      <c r="G43" s="18" t="n">
        <v>236286.83</v>
      </c>
      <c r="H43" s="18" t="n">
        <v>242543.35</v>
      </c>
      <c r="I43" s="18" t="n">
        <v>258409.76</v>
      </c>
      <c r="J43" s="18" t="n">
        <v>261895.27</v>
      </c>
      <c r="K43" s="37" t="n">
        <v>261895.27</v>
      </c>
      <c r="L43" s="18" t="n">
        <v>283555.55</v>
      </c>
      <c r="M43" s="18" t="n">
        <v>265587.84</v>
      </c>
      <c r="N43" s="18" t="n">
        <v>265501.6</v>
      </c>
      <c r="O43" s="18" t="n">
        <v>260770.73</v>
      </c>
      <c r="P43" s="37" t="n">
        <v>260770.73</v>
      </c>
      <c r="Q43" s="18" t="n">
        <v>264285.82</v>
      </c>
      <c r="R43" s="18" t="n">
        <v>266753.46</v>
      </c>
      <c r="S43" s="18" t="n">
        <v>280337.48</v>
      </c>
      <c r="T43" s="18" t="n">
        <v>263285.46</v>
      </c>
      <c r="U43" s="37" t="n">
        <v>263285.46</v>
      </c>
      <c r="V43" s="18" t="n">
        <v>273485.84</v>
      </c>
      <c r="W43" s="18" t="n">
        <v>281194.34</v>
      </c>
      <c r="X43" s="18" t="n">
        <v>278467.43</v>
      </c>
      <c r="Y43" s="18" t="n">
        <v>280548.34</v>
      </c>
      <c r="Z43" s="37" t="n">
        <v>280548.34</v>
      </c>
      <c r="AA43" s="18" t="n">
        <v>280050.03</v>
      </c>
      <c r="AB43" s="19" t="n">
        <v>301543.56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173172.52</v>
      </c>
      <c r="F44" s="37" t="n">
        <v>173172.52</v>
      </c>
      <c r="G44" s="18" t="n">
        <v>173218.61</v>
      </c>
      <c r="H44" s="18" t="n">
        <v>179986.32</v>
      </c>
      <c r="I44" s="18" t="n">
        <v>201485.61</v>
      </c>
      <c r="J44" s="18" t="n">
        <v>206412.87</v>
      </c>
      <c r="K44" s="37" t="n">
        <v>206412.87</v>
      </c>
      <c r="L44" s="18" t="n">
        <v>219494.66</v>
      </c>
      <c r="M44" s="18" t="n">
        <v>199709.65</v>
      </c>
      <c r="N44" s="18" t="n">
        <v>198184.34</v>
      </c>
      <c r="O44" s="18" t="n">
        <v>195656.66</v>
      </c>
      <c r="P44" s="37" t="n">
        <v>195656.66</v>
      </c>
      <c r="Q44" s="18" t="n">
        <v>203333.87</v>
      </c>
      <c r="R44" s="18" t="n">
        <v>231054.4</v>
      </c>
      <c r="S44" s="18" t="n">
        <v>237837.33</v>
      </c>
      <c r="T44" s="18" t="n">
        <v>229665.39</v>
      </c>
      <c r="U44" s="37" t="n">
        <v>229665.39</v>
      </c>
      <c r="V44" s="18" t="n">
        <v>211007.49</v>
      </c>
      <c r="W44" s="18" t="n">
        <v>222097.3</v>
      </c>
      <c r="X44" s="18" t="n">
        <v>220079.87</v>
      </c>
      <c r="Y44" s="18" t="n">
        <v>239612.03</v>
      </c>
      <c r="Z44" s="37" t="n">
        <v>239612.03</v>
      </c>
      <c r="AA44" s="18" t="n">
        <v>229154.31</v>
      </c>
      <c r="AB44" s="19" t="n">
        <v>256040.64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64324.31</v>
      </c>
      <c r="F45" s="37" t="n">
        <v>64324.31</v>
      </c>
      <c r="G45" s="18" t="n">
        <v>71906.63</v>
      </c>
      <c r="H45" s="18" t="n">
        <v>70193.96000000001</v>
      </c>
      <c r="I45" s="18" t="n">
        <v>78918.78999999999</v>
      </c>
      <c r="J45" s="18" t="n">
        <v>77850.74000000001</v>
      </c>
      <c r="K45" s="37" t="n">
        <v>77850.74000000001</v>
      </c>
      <c r="L45" s="18" t="n">
        <v>86709.69</v>
      </c>
      <c r="M45" s="18" t="n">
        <v>88666.45</v>
      </c>
      <c r="N45" s="18" t="n">
        <v>84861.5</v>
      </c>
      <c r="O45" s="18" t="n">
        <v>84103.55</v>
      </c>
      <c r="P45" s="37" t="n">
        <v>84103.55</v>
      </c>
      <c r="Q45" s="18" t="n">
        <v>79457.13</v>
      </c>
      <c r="R45" s="18" t="n">
        <v>54018.87</v>
      </c>
      <c r="S45" s="18" t="n">
        <v>61014.96</v>
      </c>
      <c r="T45" s="18" t="n">
        <v>41553.91</v>
      </c>
      <c r="U45" s="37" t="n">
        <v>41553.91</v>
      </c>
      <c r="V45" s="18" t="n">
        <v>70547.12</v>
      </c>
      <c r="W45" s="18" t="n">
        <v>67706.73</v>
      </c>
      <c r="X45" s="18" t="n">
        <v>69376.42999999999</v>
      </c>
      <c r="Y45" s="18" t="n">
        <v>40936.31</v>
      </c>
      <c r="Z45" s="37" t="n">
        <v>40936.31</v>
      </c>
      <c r="AA45" s="18" t="n">
        <v>70632.41</v>
      </c>
      <c r="AB45" s="19" t="n">
        <v>64760.48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7" t="n">
        <v>868.26</v>
      </c>
      <c r="O46" s="18" t="n">
        <v>958.26</v>
      </c>
      <c r="P46" s="37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7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7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7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7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7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7" t="n">
        <v>184.52</v>
      </c>
      <c r="T49" s="18" t="n">
        <v>0</v>
      </c>
      <c r="U49" s="37" t="n">
        <v>0</v>
      </c>
      <c r="W49" s="18" t="n">
        <v>17729.08</v>
      </c>
      <c r="X49" s="18" t="n">
        <v>17729.08</v>
      </c>
      <c r="Y49" s="18" t="n">
        <v>17729.08</v>
      </c>
      <c r="Z49" s="37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7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7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7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7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7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7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7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7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7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7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7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7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7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7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7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7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7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7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7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7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7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7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7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7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7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7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7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7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7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7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7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7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7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7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7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7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7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7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7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7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7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7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7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7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7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7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7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7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7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7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7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7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7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7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7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7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7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7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7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7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7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7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7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7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7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7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7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7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7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7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7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7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7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7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7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7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7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7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7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7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7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7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7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7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7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7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7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7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7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7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7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7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7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7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7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7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7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7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7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7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7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7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7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7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7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7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7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7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7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7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7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7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7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7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7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7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7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7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7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7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7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7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7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7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7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7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7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7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7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7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7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7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7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7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IFERROR((AB28*변수!$D$53-AB26*변수!$D$54)/4,"")</f>
        <v/>
      </c>
      <c r="AD12" s="20">
        <f>IFERROR((AC28*변수!$D$53-AC26*변수!$D$54)/4,"")</f>
        <v/>
      </c>
      <c r="AE12" s="38">
        <f>SUM(AA12:AD12)</f>
        <v/>
      </c>
      <c r="AF12" s="20">
        <f>IFERROR((AD28*변수!$D$53-AD26*변수!$D$54)/4,"")</f>
        <v/>
      </c>
      <c r="AG12" s="20">
        <f>IFERROR((AF28*변수!$D$53-AF26*변수!$D$54)/4,"")</f>
        <v/>
      </c>
      <c r="AH12" s="20">
        <f>IFERROR((AG28*변수!$D$53-AG26*변수!$D$54)/4,"")</f>
        <v/>
      </c>
      <c r="AI12" s="20">
        <f>IFERROR((AH28*변수!$D$53-AH26*변수!$D$54)/4,"")</f>
        <v/>
      </c>
      <c r="AJ12" s="38">
        <f>SUM(AF12:AI12)</f>
        <v/>
      </c>
      <c r="AK12" s="20">
        <f>IFERROR((AI28*변수!$D$53-AI26*변수!$D$54)/4,"")</f>
        <v/>
      </c>
      <c r="AL12" s="20">
        <f>IFERROR((AK28*변수!$D$53-AK26*변수!$D$54)/4,"")</f>
        <v/>
      </c>
      <c r="AM12" s="20">
        <f>IFERROR((AL28*변수!$D$53-AL26*변수!$D$54)/4,"")</f>
        <v/>
      </c>
      <c r="AN12" s="20">
        <f>IFERROR((AM28*변수!$D$53-AM26*변수!$D$54)/4,"")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 t="n"/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 t="n"/>
      <c r="K15" s="37">
        <f>SUM(G15:J15)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>
        <f>IFERROR(VLOOKUP($D19,BS연결,MATCH(O$1,BS연결H,0),0)/100,"")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감가상각비</t>
        </is>
      </c>
      <c r="B20" t="inlineStr">
        <is>
          <t>손익</t>
        </is>
      </c>
      <c r="C20" t="inlineStr">
        <is>
          <t>억원</t>
        </is>
      </c>
      <c r="D20" t="inlineStr">
        <is>
          <t>감가상각비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변수!AC29</f>
        <v/>
      </c>
      <c r="AD20" s="20">
        <f>변수!AD29</f>
        <v/>
      </c>
      <c r="AE20" s="38">
        <f>SUM(AA20:AD20)</f>
        <v/>
      </c>
      <c r="AF20" s="20">
        <f>변수!AF29</f>
        <v/>
      </c>
      <c r="AG20" s="20">
        <f>변수!AG29</f>
        <v/>
      </c>
      <c r="AH20" s="20">
        <f>변수!AH29</f>
        <v/>
      </c>
      <c r="AI20" s="20">
        <f>변수!AI29</f>
        <v/>
      </c>
      <c r="AJ20" s="38">
        <f>SUM(AF20:AI20)</f>
        <v/>
      </c>
      <c r="AK20" s="20">
        <f>변수!AK29</f>
        <v/>
      </c>
      <c r="AL20" s="20">
        <f>변수!AL29</f>
        <v/>
      </c>
      <c r="AM20" s="20">
        <f>변수!AM29</f>
        <v/>
      </c>
      <c r="AN20" s="20">
        <f>변수!AN29</f>
        <v/>
      </c>
      <c r="AO20" s="38">
        <f>SUM(AK20:AN20)</f>
        <v/>
      </c>
    </row>
    <row r="21">
      <c r="A21" s="12" t="inlineStr">
        <is>
          <t>EBITDA</t>
        </is>
      </c>
      <c r="B21" t="inlineStr">
        <is>
          <t>손익</t>
        </is>
      </c>
      <c r="C21" t="inlineStr">
        <is>
          <t>억원</t>
        </is>
      </c>
      <c r="D21" t="inlineStr">
        <is>
          <t>EBITDA</t>
        </is>
      </c>
      <c r="E21" s="18" t="n">
        <v>181.23</v>
      </c>
      <c r="F21" s="37" t="n"/>
      <c r="G21" s="18" t="n">
        <v>275</v>
      </c>
      <c r="H21" s="18" t="n">
        <v>262.83</v>
      </c>
      <c r="I21" s="18" t="n">
        <v>228.24</v>
      </c>
      <c r="J21" s="18" t="n">
        <v>223.31</v>
      </c>
      <c r="K21" s="37">
        <f>SUM(G21:J21)</f>
        <v/>
      </c>
      <c r="L21" s="18" t="n">
        <v>311.76</v>
      </c>
      <c r="M21" s="18" t="n">
        <v>340.9</v>
      </c>
      <c r="N21" s="18" t="n">
        <v>351.46</v>
      </c>
      <c r="O21" s="18" t="n">
        <v>270.29</v>
      </c>
      <c r="P21" s="37">
        <f>SUM(L21:O21)</f>
        <v/>
      </c>
      <c r="Q21" s="18" t="n">
        <v>284.7</v>
      </c>
      <c r="R21" s="18" t="n">
        <v>241.05</v>
      </c>
      <c r="S21" s="18" t="n">
        <v>216.24</v>
      </c>
      <c r="T21" s="18" t="n">
        <v>205.31</v>
      </c>
      <c r="U21" s="37">
        <f>SUM(Q21:T21)</f>
        <v/>
      </c>
      <c r="V21" s="18" t="n">
        <v>234.7</v>
      </c>
      <c r="W21" s="18" t="n">
        <v>204.66</v>
      </c>
      <c r="X21" s="18" t="n">
        <v>162.38</v>
      </c>
      <c r="Y21" s="18" t="n">
        <v>164.46</v>
      </c>
      <c r="Z21" s="37">
        <f>SUM(V21:Y21)</f>
        <v/>
      </c>
      <c r="AA21" s="18" t="n">
        <v>266.04</v>
      </c>
      <c r="AB21" s="19" t="n">
        <v>332.6</v>
      </c>
      <c r="AC21" s="20">
        <f>IFERROR(AC9+AC20,"")</f>
        <v/>
      </c>
      <c r="AD21" s="20">
        <f>IFERROR(AD9+AD20,"")</f>
        <v/>
      </c>
      <c r="AE21" s="38">
        <f>SUM(AA21:AD21)</f>
        <v/>
      </c>
      <c r="AF21" s="20">
        <f>IFERROR(AF9+AF20,"")</f>
        <v/>
      </c>
      <c r="AG21" s="20">
        <f>IFERROR(AG9+AG20,"")</f>
        <v/>
      </c>
      <c r="AH21" s="20">
        <f>IFERROR(AH9+AH20,"")</f>
        <v/>
      </c>
      <c r="AI21" s="20">
        <f>IFERROR(AI9+AI20,"")</f>
        <v/>
      </c>
      <c r="AJ21" s="38">
        <f>SUM(AF21:AI21)</f>
        <v/>
      </c>
      <c r="AK21" s="20">
        <f>IFERROR(AK9+AK20,"")</f>
        <v/>
      </c>
      <c r="AL21" s="20">
        <f>IFERROR(AL9+AL20,"")</f>
        <v/>
      </c>
      <c r="AM21" s="20">
        <f>IFERROR(AM9+AM20,"")</f>
        <v/>
      </c>
      <c r="AN21" s="20">
        <f>IFERROR(AN9+AN20,"")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IFERROR(AB23*(1+변수!AC30),"")</f>
        <v/>
      </c>
      <c r="AD23" s="20">
        <f>IFERROR(AC23*(1+변수!AD30),"")</f>
        <v/>
      </c>
      <c r="AE23" s="38">
        <f>AD23</f>
        <v/>
      </c>
      <c r="AF23" s="20">
        <f>IFERROR(AD23*(1+변수!AF30),"")</f>
        <v/>
      </c>
      <c r="AG23" s="20">
        <f>IFERROR(AF23*(1+변수!AG30),"")</f>
        <v/>
      </c>
      <c r="AH23" s="20">
        <f>IFERROR(AG23*(1+변수!AH30),"")</f>
        <v/>
      </c>
      <c r="AI23" s="20">
        <f>IFERROR(AH23*(1+변수!AI30),"")</f>
        <v/>
      </c>
      <c r="AJ23" s="38">
        <f>AI23</f>
        <v/>
      </c>
      <c r="AK23" s="20">
        <f>IFERROR(AI23*(1+변수!AK30),"")</f>
        <v/>
      </c>
      <c r="AL23" s="20">
        <f>IFERROR(AK23*(1+변수!AL30),"")</f>
        <v/>
      </c>
      <c r="AM23" s="20">
        <f>IFERROR(AL23*(1+변수!AM30),"")</f>
        <v/>
      </c>
      <c r="AN23" s="20">
        <f>IFERROR(AM23*(1+변수!AN30),"")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IFERROR(AB24+AC17-변수!AC31,"")</f>
        <v/>
      </c>
      <c r="AD24" s="20">
        <f>IFERROR(AC24+AD17-변수!AD31,"")</f>
        <v/>
      </c>
      <c r="AE24" s="38">
        <f>AD24</f>
        <v/>
      </c>
      <c r="AF24" s="20">
        <f>IFERROR(AD24+AF17-변수!AF31,"")</f>
        <v/>
      </c>
      <c r="AG24" s="20">
        <f>IFERROR(AF24+AG17-변수!AG31,"")</f>
        <v/>
      </c>
      <c r="AH24" s="20">
        <f>IFERROR(AG24+AH17-변수!AH31,"")</f>
        <v/>
      </c>
      <c r="AI24" s="20">
        <f>IFERROR(AH24+AI17-변수!AI31,"")</f>
        <v/>
      </c>
      <c r="AJ24" s="38">
        <f>AI24</f>
        <v/>
      </c>
      <c r="AK24" s="20">
        <f>IFERROR(AI24+AK17-변수!AK31,"")</f>
        <v/>
      </c>
      <c r="AL24" s="20">
        <f>IFERROR(AK24+AL17-변수!AL31,"")</f>
        <v/>
      </c>
      <c r="AM24" s="20">
        <f>IFERROR(AL24+AM17-변수!AM31,"")</f>
        <v/>
      </c>
      <c r="AN24" s="20">
        <f>IFERROR(AM24+AN17-변수!AN31,"")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IFERROR(AB25+AC18-변수!AC32,"")</f>
        <v/>
      </c>
      <c r="AD25" s="20">
        <f>IFERROR(AC25+AD18-변수!AD32,"")</f>
        <v/>
      </c>
      <c r="AE25" s="38">
        <f>AD25</f>
        <v/>
      </c>
      <c r="AF25" s="20">
        <f>IFERROR(AD25+AF18-변수!AF32,"")</f>
        <v/>
      </c>
      <c r="AG25" s="20">
        <f>IFERROR(AF25+AG18-변수!AG32,"")</f>
        <v/>
      </c>
      <c r="AH25" s="20">
        <f>IFERROR(AG25+AH18-변수!AH32,"")</f>
        <v/>
      </c>
      <c r="AI25" s="20">
        <f>IFERROR(AH25+AI18-변수!AI32,"")</f>
        <v/>
      </c>
      <c r="AJ25" s="38">
        <f>AI25</f>
        <v/>
      </c>
      <c r="AK25" s="20">
        <f>IFERROR(AI25+AK18-변수!AK32,"")</f>
        <v/>
      </c>
      <c r="AL25" s="20">
        <f>IFERROR(AK25+AL18-변수!AL32,"")</f>
        <v/>
      </c>
      <c r="AM25" s="20">
        <f>IFERROR(AL25+AM18-변수!AM32,"")</f>
        <v/>
      </c>
      <c r="AN25" s="20">
        <f>IFERROR(AM25+AN18-변수!AN32,"")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IFERROR(X30*(1+변수!AC37),"")</f>
        <v/>
      </c>
      <c r="AD30" s="20">
        <f>IFERROR(Y30*(1+변수!AD37),"")</f>
        <v/>
      </c>
      <c r="AE30" s="38">
        <f>SUM(AA30:AD30)</f>
        <v/>
      </c>
      <c r="AF30" s="20">
        <f>IFERROR(AA30*(1+변수!AF37),"")</f>
        <v/>
      </c>
      <c r="AG30" s="20">
        <f>IFERROR(AB30*(1+변수!AG37),"")</f>
        <v/>
      </c>
      <c r="AH30" s="20">
        <f>IFERROR(AC30*(1+변수!AH37),"")</f>
        <v/>
      </c>
      <c r="AI30" s="20">
        <f>IFERROR(AD30*(1+변수!AI37),"")</f>
        <v/>
      </c>
      <c r="AJ30" s="38">
        <f>SUM(AF30:AI30)</f>
        <v/>
      </c>
      <c r="AK30" s="20">
        <f>IFERROR(AF30*(1+변수!AK37),"")</f>
        <v/>
      </c>
      <c r="AL30" s="20">
        <f>IFERROR(AG30*(1+변수!AL37),"")</f>
        <v/>
      </c>
      <c r="AM30" s="20">
        <f>IFERROR(AH30*(1+변수!AM37),"")</f>
        <v/>
      </c>
      <c r="AN30" s="20">
        <f>IFERROR(AI30*(1+변수!AN37),"")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26.872</v>
      </c>
      <c r="F32" s="28">
        <f>E32</f>
        <v/>
      </c>
      <c r="G32" s="27" t="n">
        <v>26.872</v>
      </c>
      <c r="H32" s="27" t="n">
        <v>26.872</v>
      </c>
      <c r="I32" s="27" t="n">
        <v>26.872</v>
      </c>
      <c r="J32" s="27" t="n">
        <v>26.872</v>
      </c>
      <c r="K32" s="28">
        <f>J32</f>
        <v/>
      </c>
      <c r="L32" s="27" t="n">
        <v>26.872</v>
      </c>
      <c r="M32" s="27" t="n">
        <v>26.872</v>
      </c>
      <c r="N32" s="27" t="n">
        <v>26.872</v>
      </c>
      <c r="O32" s="27" t="n">
        <v>26.872</v>
      </c>
      <c r="P32" s="28">
        <f>O32</f>
        <v/>
      </c>
      <c r="Q32" s="27" t="n">
        <v>26.872</v>
      </c>
      <c r="R32" s="27" t="n">
        <v>26.872</v>
      </c>
      <c r="S32" s="27" t="n">
        <v>26.872</v>
      </c>
      <c r="T32" s="27" t="n">
        <v>26.872</v>
      </c>
      <c r="U32" s="28">
        <f>T32</f>
        <v/>
      </c>
      <c r="V32" s="27" t="n">
        <v>26.872</v>
      </c>
      <c r="W32" s="27" t="n">
        <v>26.872</v>
      </c>
      <c r="X32" s="27" t="n">
        <v>26.872</v>
      </c>
      <c r="Y32" s="27" t="n">
        <v>28.329</v>
      </c>
      <c r="Z32" s="28">
        <f>Y32</f>
        <v/>
      </c>
      <c r="AA32" s="27" t="n">
        <v>28.329</v>
      </c>
      <c r="AB32" s="29" t="n">
        <v>28.329</v>
      </c>
      <c r="AC32" s="32">
        <f>IFERROR(AB32*(1+변수!AC39),"")</f>
        <v/>
      </c>
      <c r="AD32" s="32">
        <f>IFERROR(AC32*(1+변수!AD39),"")</f>
        <v/>
      </c>
      <c r="AE32" s="31">
        <f>AD32</f>
        <v/>
      </c>
      <c r="AF32" s="32">
        <f>IFERROR(AD32*(1+변수!AF39),"")</f>
        <v/>
      </c>
      <c r="AG32" s="32">
        <f>IFERROR(AF32*(1+변수!AG39),"")</f>
        <v/>
      </c>
      <c r="AH32" s="32">
        <f>IFERROR(AG32*(1+변수!AH39),"")</f>
        <v/>
      </c>
      <c r="AI32" s="32">
        <f>IFERROR(AH32*(1+변수!AI39),"")</f>
        <v/>
      </c>
      <c r="AJ32" s="31">
        <f>AI32</f>
        <v/>
      </c>
      <c r="AK32" s="32">
        <f>IFERROR(AI32*(1+변수!AK39),"")</f>
        <v/>
      </c>
      <c r="AL32" s="32">
        <f>IFERROR(AK32*(1+변수!AL39),"")</f>
        <v/>
      </c>
      <c r="AM32" s="32">
        <f>IFERROR(AL32*(1+변수!AM39),"")</f>
        <v/>
      </c>
      <c r="AN32" s="32">
        <f>IFERROR(AM32*(1+변수!AN39),"")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IFERROR(E18*100/E32,"")</f>
        <v/>
      </c>
      <c r="F33" s="37" t="n"/>
      <c r="G33" s="18">
        <f>IFERROR(G18*100/G32,"")</f>
        <v/>
      </c>
      <c r="H33" s="18">
        <f>IFERROR(H18*100/H32,"")</f>
        <v/>
      </c>
      <c r="I33" s="18">
        <f>IFERROR(I18*100/I32,"")</f>
        <v/>
      </c>
      <c r="J33" s="18">
        <f>IFERROR(J18*100/J32,"")</f>
        <v/>
      </c>
      <c r="K33" s="37">
        <f>SUM(G33:J33)</f>
        <v/>
      </c>
      <c r="L33" s="18">
        <f>IFERROR(L18*100/L32,"")</f>
        <v/>
      </c>
      <c r="M33" s="18">
        <f>IFERROR(M18*100/M32,"")</f>
        <v/>
      </c>
      <c r="N33" s="18">
        <f>IFERROR(N18*100/N32,"")</f>
        <v/>
      </c>
      <c r="O33" s="18">
        <f>IFERROR(O18*100/O32,"")</f>
        <v/>
      </c>
      <c r="P33" s="37">
        <f>SUM(L33:O33)</f>
        <v/>
      </c>
      <c r="Q33" s="18">
        <f>IFERROR(Q18*100/Q32,"")</f>
        <v/>
      </c>
      <c r="R33" s="18">
        <f>IFERROR(R18*100/R32,"")</f>
        <v/>
      </c>
      <c r="S33" s="18">
        <f>IFERROR(S18*100/S32,"")</f>
        <v/>
      </c>
      <c r="T33" s="18">
        <f>IFERROR(T18*100/T32,"")</f>
        <v/>
      </c>
      <c r="U33" s="37">
        <f>SUM(Q33:T33)</f>
        <v/>
      </c>
      <c r="V33" s="18">
        <f>IFERROR(V18*100/V32,"")</f>
        <v/>
      </c>
      <c r="W33" s="18">
        <f>IFERROR(W18*100/W32,"")</f>
        <v/>
      </c>
      <c r="X33" s="18">
        <f>IFERROR(X18*100/X32,"")</f>
        <v/>
      </c>
      <c r="Y33" s="18">
        <f>IFERROR(Y18*100/Y32,"")</f>
        <v/>
      </c>
      <c r="Z33" s="37">
        <f>SUM(V33:Y33)</f>
        <v/>
      </c>
      <c r="AA33" s="18">
        <f>IFERROR(AA18*100/AA32,"")</f>
        <v/>
      </c>
      <c r="AB33" s="19">
        <f>IFERROR(AB18*100/AB32,"")</f>
        <v/>
      </c>
      <c r="AC33" s="20">
        <f>IFERROR(AC18*100/AC32,"")</f>
        <v/>
      </c>
      <c r="AD33" s="20">
        <f>IFERROR(AD18*100/AD32,"")</f>
        <v/>
      </c>
      <c r="AE33" s="38">
        <f>SUM(AA33:AD33)</f>
        <v/>
      </c>
      <c r="AF33" s="20">
        <f>IFERROR(AF18*100/AF32,"")</f>
        <v/>
      </c>
      <c r="AG33" s="20">
        <f>IFERROR(AG18*100/AG32,"")</f>
        <v/>
      </c>
      <c r="AH33" s="20">
        <f>IFERROR(AH18*100/AH32,"")</f>
        <v/>
      </c>
      <c r="AI33" s="20">
        <f>IFERROR(AI18*100/AI32,"")</f>
        <v/>
      </c>
      <c r="AJ33" s="38">
        <f>SUM(AF33:AI33)</f>
        <v/>
      </c>
      <c r="AK33" s="20">
        <f>IFERROR(AK18*100/AK32,"")</f>
        <v/>
      </c>
      <c r="AL33" s="20">
        <f>IFERROR(AL18*100/AL32,"")</f>
        <v/>
      </c>
      <c r="AM33" s="20">
        <f>IFERROR(AM18*100/AM32,"")</f>
        <v/>
      </c>
      <c r="AN33" s="20">
        <f>IFERROR(AN18*100/AN32,"")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18">
        <f>IFERROR(T33,"")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20">
        <f>IFERROR((Y18-(-214.18)*(1.0))*100/Y32,"")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100</v>
      </c>
      <c r="F36" s="37" t="n">
        <v>100</v>
      </c>
      <c r="G36" s="18" t="n"/>
      <c r="H36" s="18" t="n"/>
      <c r="I36" s="18" t="n"/>
      <c r="J36" s="18" t="n">
        <v>120</v>
      </c>
      <c r="K36" s="37">
        <f>SUM(G36:J36)</f>
        <v/>
      </c>
      <c r="L36" s="18" t="n"/>
      <c r="M36" s="18" t="n"/>
      <c r="N36" s="18" t="n"/>
      <c r="O36" s="18" t="n">
        <v>120</v>
      </c>
      <c r="P36" s="37">
        <f>SUM(L36:O36)</f>
        <v/>
      </c>
      <c r="Q36" s="18" t="n"/>
      <c r="R36" s="18" t="n"/>
      <c r="S36" s="18" t="n"/>
      <c r="T36" s="18" t="n">
        <v>120</v>
      </c>
      <c r="U36" s="37">
        <f>SUM(Q36:T36)</f>
        <v/>
      </c>
      <c r="V36" s="18" t="n"/>
      <c r="W36" s="18" t="n"/>
      <c r="X36" s="18" t="n"/>
      <c r="Y36" s="18" t="n">
        <v>120</v>
      </c>
      <c r="Z36" s="37">
        <f>SUM(V36:Y36)</f>
        <v/>
      </c>
      <c r="AA36" s="18" t="n"/>
      <c r="AB36" s="19" t="n"/>
      <c r="AC36" s="20" t="n"/>
      <c r="AD36" s="20">
        <f>변수!AD40</f>
        <v/>
      </c>
      <c r="AE36" s="38">
        <f>SUM(AA36:AD36)</f>
        <v/>
      </c>
      <c r="AF36" s="20" t="n"/>
      <c r="AG36" s="20" t="n"/>
      <c r="AH36" s="20" t="n"/>
      <c r="AI36" s="20">
        <f>변수!AI40</f>
        <v/>
      </c>
      <c r="AJ36" s="38">
        <f>SUM(AF36:AI36)</f>
        <v/>
      </c>
      <c r="AK36" s="20" t="n"/>
      <c r="AL36" s="20" t="n"/>
      <c r="AM36" s="20" t="n"/>
      <c r="AN36" s="20">
        <f>변수!AN40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IFERROR(변수!I18/(E33+G33+H33+I33),"")</f>
        <v/>
      </c>
      <c r="J37" s="13">
        <f>IFERROR(변수!J18/(G33+H33+I33+J33),"")</f>
        <v/>
      </c>
      <c r="K37" s="14">
        <f>J37</f>
        <v/>
      </c>
      <c r="L37" s="13">
        <f>IFERROR(변수!L18/(H33+I33+J33+L33),"")</f>
        <v/>
      </c>
      <c r="M37" s="13">
        <f>IFERROR(변수!M18/(I33+J33+L33+M33),"")</f>
        <v/>
      </c>
      <c r="N37" s="13">
        <f>IFERROR(변수!N18/(J33+L33+M33+N33),"")</f>
        <v/>
      </c>
      <c r="O37" s="13">
        <f>IFERROR(변수!O18/(L33+M33+N33+O33),"")</f>
        <v/>
      </c>
      <c r="P37" s="14">
        <f>O37</f>
        <v/>
      </c>
      <c r="Q37" s="13">
        <f>IFERROR(변수!Q18/(M33+N33+O33+Q33),"")</f>
        <v/>
      </c>
      <c r="R37" s="13">
        <f>IFERROR(변수!R18/(N33+O33+Q33+R33),"")</f>
        <v/>
      </c>
      <c r="S37" s="13">
        <f>IFERROR(변수!S18/(O33+Q33+R33+S33),"")</f>
        <v/>
      </c>
      <c r="T37" s="13">
        <f>IFERROR(변수!T18/(Q33+R33+S33+T33),"")</f>
        <v/>
      </c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 t="n"/>
      <c r="AC37" s="39" t="n"/>
      <c r="AD37" s="39">
        <f>IFERROR(변수!$D$43/(AA33+AB33+AC33+AD33),"")</f>
        <v/>
      </c>
      <c r="AE37" s="40">
        <f>AD37</f>
        <v/>
      </c>
      <c r="AF37" s="39">
        <f>IFERROR(변수!$D$43/(AB33+AC33+AD33+AF33),"")</f>
        <v/>
      </c>
      <c r="AG37" s="39">
        <f>IFERROR(변수!$D$43/(AC33+AD33+AF33+AG33),"")</f>
        <v/>
      </c>
      <c r="AH37" s="39">
        <f>IFERROR(변수!$D$43/(AD33+AF33+AG33+AH33),"")</f>
        <v/>
      </c>
      <c r="AI37" s="39">
        <f>IFERROR(변수!$D$43/(AF33+AG33+AH33+AI33),"")</f>
        <v/>
      </c>
      <c r="AJ37" s="40">
        <f>AI37</f>
        <v/>
      </c>
      <c r="AK37" s="39">
        <f>IFERROR(변수!$D$43/(AG33+AH33+AI33+AK33),"")</f>
        <v/>
      </c>
      <c r="AL37" s="39">
        <f>IFERROR(변수!$D$43/(AH33+AI33+AK33+AL33),"")</f>
        <v/>
      </c>
      <c r="AM37" s="39">
        <f>IFERROR(변수!$D$43/(AI33+AK33+AL33+AM33),"")</f>
        <v/>
      </c>
      <c r="AN37" s="39">
        <f>IFERROR(변수!$D$43/(AK33+AL33+AM33+AN33),"")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IFERROR(변수!$D$43/AC35,"")</f>
        <v/>
      </c>
      <c r="AD38" s="39">
        <f>IFERROR(변수!$D$43/AD35,"")</f>
        <v/>
      </c>
      <c r="AE38" s="40">
        <f>AD38</f>
        <v/>
      </c>
      <c r="AF38" s="39">
        <f>IFERROR(변수!$D$43/AF35,"")</f>
        <v/>
      </c>
      <c r="AG38" s="39">
        <f>IFERROR(변수!$D$43/AG35,"")</f>
        <v/>
      </c>
      <c r="AH38" s="39">
        <f>IFERROR(변수!$D$43/AH35,"")</f>
        <v/>
      </c>
      <c r="AI38" s="39">
        <f>IFERROR(변수!$D$43/AI35,"")</f>
        <v/>
      </c>
      <c r="AJ38" s="40">
        <f>AI38</f>
        <v/>
      </c>
      <c r="AK38" s="39">
        <f>IFERROR(변수!$D$43/AK35,"")</f>
        <v/>
      </c>
      <c r="AL38" s="39">
        <f>IFERROR(변수!$D$43/AL35,"")</f>
        <v/>
      </c>
      <c r="AM38" s="39">
        <f>IFERROR(변수!$D$43/AM35,"")</f>
        <v/>
      </c>
      <c r="AN38" s="39">
        <f>IFERROR(변수!$D$43/AN35,"")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1451.13</v>
      </c>
      <c r="F39" s="37" t="n"/>
      <c r="G39" s="18" t="n">
        <v>1735.05</v>
      </c>
      <c r="H39" s="18" t="n">
        <v>1697.44</v>
      </c>
      <c r="I39" s="18" t="n">
        <v>1776.49</v>
      </c>
      <c r="J39" s="18" t="n">
        <v>2080.35</v>
      </c>
      <c r="K39" s="37">
        <f>SUM(G39:J39)</f>
        <v/>
      </c>
      <c r="L39" s="18" t="n">
        <v>2105.98</v>
      </c>
      <c r="M39" s="18" t="n">
        <v>2143.09</v>
      </c>
      <c r="N39" s="18" t="n">
        <v>2110.36</v>
      </c>
      <c r="O39" s="18" t="n">
        <v>2209.49</v>
      </c>
      <c r="P39" s="37">
        <f>SUM(L39:O39)</f>
        <v/>
      </c>
      <c r="Q39" s="18" t="n">
        <v>2092.93</v>
      </c>
      <c r="R39" s="18" t="n">
        <v>1894.75</v>
      </c>
      <c r="S39" s="18" t="n">
        <v>1937.09</v>
      </c>
      <c r="T39" s="18" t="n">
        <v>2088.75</v>
      </c>
      <c r="U39" s="37">
        <f>SUM(Q39:T39)</f>
        <v/>
      </c>
      <c r="V39" s="18" t="n">
        <v>1978.71</v>
      </c>
      <c r="W39" s="18" t="n">
        <v>2118.21</v>
      </c>
      <c r="X39" s="18" t="n">
        <v>2052.74</v>
      </c>
      <c r="Y39" s="18" t="n">
        <v>1871.9</v>
      </c>
      <c r="Z39" s="37">
        <f>SUM(V39:Y39)</f>
        <v/>
      </c>
      <c r="AA39" s="18" t="n">
        <v>1966.68</v>
      </c>
      <c r="AB39" s="19" t="n">
        <v>2290.92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36.28</v>
      </c>
      <c r="F40" s="37" t="n"/>
      <c r="G40" s="18" t="n">
        <v>120.21</v>
      </c>
      <c r="H40" s="18" t="n">
        <v>98.58</v>
      </c>
      <c r="I40" s="18" t="n">
        <v>64.51000000000001</v>
      </c>
      <c r="J40" s="18" t="n">
        <v>56.09</v>
      </c>
      <c r="K40" s="37">
        <f>SUM(G40:J40)</f>
        <v/>
      </c>
      <c r="L40" s="18" t="n">
        <v>157.51</v>
      </c>
      <c r="M40" s="18" t="n">
        <v>182.62</v>
      </c>
      <c r="N40" s="18" t="n">
        <v>189.36</v>
      </c>
      <c r="O40" s="18" t="n">
        <v>136.32</v>
      </c>
      <c r="P40" s="37">
        <f>SUM(L40:O40)</f>
        <v/>
      </c>
      <c r="Q40" s="18" t="n">
        <v>136.42</v>
      </c>
      <c r="R40" s="18" t="n">
        <v>86.73</v>
      </c>
      <c r="S40" s="18" t="n">
        <v>57.65</v>
      </c>
      <c r="T40" s="18" t="n">
        <v>49.68</v>
      </c>
      <c r="U40" s="37">
        <f>SUM(Q40:T40)</f>
        <v/>
      </c>
      <c r="V40" s="18" t="n">
        <v>70.62</v>
      </c>
      <c r="W40" s="18" t="n">
        <v>40.39</v>
      </c>
      <c r="X40" s="18" t="n">
        <v>-0.39</v>
      </c>
      <c r="Y40" s="18" t="n">
        <v>-5.64</v>
      </c>
      <c r="Z40" s="37">
        <f>SUM(V40:Y40)</f>
        <v/>
      </c>
      <c r="AA40" s="18" t="n">
        <v>132.39</v>
      </c>
      <c r="AB40" s="19" t="n">
        <v>179.9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3">
        <f>IFERROR(AC18/AC5,"")</f>
        <v/>
      </c>
      <c r="AD42" s="33">
        <f>IFERROR(AD18/AD5,"")</f>
        <v/>
      </c>
      <c r="AE42" s="25">
        <f>IFERROR(AE18/AE5,"")</f>
        <v/>
      </c>
      <c r="AF42" s="33">
        <f>IFERROR(AF18/AF5,"")</f>
        <v/>
      </c>
      <c r="AG42" s="33">
        <f>IFERROR(AG18/AG5,"")</f>
        <v/>
      </c>
      <c r="AH42" s="33">
        <f>IFERROR(AH18/AH5,"")</f>
        <v/>
      </c>
      <c r="AI42" s="33">
        <f>IFERROR(AI18/AI5,"")</f>
        <v/>
      </c>
      <c r="AJ42" s="25">
        <f>IFERROR(AJ18/AJ5,"")</f>
        <v/>
      </c>
      <c r="AK42" s="33">
        <f>IFERROR(AK18/AK5,"")</f>
        <v/>
      </c>
      <c r="AL42" s="33">
        <f>IFERROR(AL18/AL5,"")</f>
        <v/>
      </c>
      <c r="AM42" s="33">
        <f>IFERROR(AM18/AM5,"")</f>
        <v/>
      </c>
      <c r="AN42" s="33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2">
        <f>IFERROR(VLOOKUP($A32,subQ,MATCH(X$1,SUBQH,0),0),"")</f>
        <v/>
      </c>
      <c r="Y32" s="32">
        <f>IFERROR(VLOOKUP($A32,subQ,MATCH(Y$1,SUBQH,0),0),"")</f>
        <v/>
      </c>
      <c r="Z32" s="32">
        <f>IFERROR(VLOOKUP($A32,subQ,MATCH(Z$1,SUBQH,0),0),"")</f>
        <v/>
      </c>
      <c r="AA32" s="32">
        <f>IFERROR(VLOOKUP($A32,subQ,MATCH(AA$1,SUBQH,0),0),"")</f>
        <v/>
      </c>
      <c r="AB32" s="32">
        <f>IFERROR(VLOOKUP($A32,subQ,MATCH(AB$1,SUBQH,0),0),"")</f>
        <v/>
      </c>
      <c r="AC32" s="32">
        <f>IFERROR(VLOOKUP($A32,subQ,MATCH(AC$1,SUBQH,0),0),"")</f>
        <v/>
      </c>
      <c r="AD32" s="32">
        <f>IFERROR(VLOOKUP($A32,subQ,MATCH(AD$1,SUBQH,0),0),"")</f>
        <v/>
      </c>
      <c r="AE32" s="32">
        <f>IFERROR(VLOOKUP($A32,subQ,MATCH(AE$1,SUBQH,0),0),"")</f>
        <v/>
      </c>
      <c r="AF32" s="32">
        <f>IFERROR(VLOOKUP($A32,subQ,MATCH(AF$1,SUBQH,0),0),"")</f>
        <v/>
      </c>
      <c r="AG32" s="32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6">
        <f>IFERROR(W18/S18-1,"")</f>
        <v/>
      </c>
      <c r="X44" s="33">
        <f>IFERROR(X18/T18-1,"")</f>
        <v/>
      </c>
      <c r="Y44" s="33">
        <f>IFERROR(Y18/U18-1,"")</f>
        <v/>
      </c>
      <c r="Z44" s="33">
        <f>IFERROR(Z18/V18-1,"")</f>
        <v/>
      </c>
      <c r="AA44" s="33">
        <f>IFERROR(AA18/W18-1,"")</f>
        <v/>
      </c>
      <c r="AB44" s="33">
        <f>IFERROR(AB18/X18-1,"")</f>
        <v/>
      </c>
      <c r="AC44" s="33">
        <f>IFERROR(AC18/Y18-1,"")</f>
        <v/>
      </c>
      <c r="AD44" s="33">
        <f>IFERROR(AD18/Z18-1,"")</f>
        <v/>
      </c>
      <c r="AE44" s="33">
        <f>IFERROR(AE18/AA18-1,"")</f>
        <v/>
      </c>
      <c r="AF44" s="33">
        <f>IFERROR(AF18/AB18-1,"")</f>
        <v/>
      </c>
      <c r="AG44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감가상각비</t>
        </is>
      </c>
      <c r="D20" t="inlineStr">
        <is>
          <t>감가상각비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EBITDA</t>
        </is>
      </c>
      <c r="D21" t="inlineStr">
        <is>
          <t>EBITDA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2">
        <f>IFERROR(VLOOKUP($A32,subQ,MATCH(J$1,SUBQH,0),0),"")</f>
        <v/>
      </c>
      <c r="K32" s="32">
        <f>IFERROR(VLOOKUP($A32,subQ,MATCH(K$1,SUBQH,0),0),"")</f>
        <v/>
      </c>
      <c r="L32" s="32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6">
        <f>IFERROR(I18/H18-1,"")</f>
        <v/>
      </c>
      <c r="J44" s="33">
        <f>IFERROR(J18/I18-1,"")</f>
        <v/>
      </c>
      <c r="K44" s="33">
        <f>IFERROR(K18/J18-1,"")</f>
        <v/>
      </c>
      <c r="L44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163.3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26.94</v>
      </c>
    </row>
    <row r="32">
      <c r="C32" s="2" t="inlineStr">
        <is>
          <t>pbr_now</t>
        </is>
      </c>
      <c r="D32" t="n">
        <v>0.33</v>
      </c>
    </row>
    <row r="33">
      <c r="C33" s="2" t="inlineStr">
        <is>
          <t>roe_fwd</t>
        </is>
      </c>
      <c r="D33" t="n">
        <v>0.0123</v>
      </c>
    </row>
    <row r="34">
      <c r="C34" s="2" t="inlineStr">
        <is>
          <t>fair_pbr</t>
        </is>
      </c>
      <c r="D34" t="n">
        <v>0.14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  <c r="D36" t="n">
        <v>6.81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