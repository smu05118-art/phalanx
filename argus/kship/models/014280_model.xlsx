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모델값 역산(implied): v / 매출액
매출액 × 판관비율 13.40%(최근 4분기 중위)</t>
      </text>
    </comment>
    <comment ref="AD22" authorId="0" shapeId="0">
      <text>
        <t>모델값 역산(implied): v / 매출액
매출액 × 판관비율 13.40%(최근 4분기 중위)</t>
      </text>
    </comment>
    <comment ref="AF22" authorId="0" shapeId="0">
      <text>
        <t>모델값 역산(implied): v / 매출액
매출액 × 판관비율 13.40%(최근 4분기 중위)</t>
      </text>
    </comment>
    <comment ref="AG22" authorId="0" shapeId="0">
      <text>
        <t>모델값 역산(implied): v / 매출액
매출액 × 판관비율 13.40%(최근 4분기 중위)</t>
      </text>
    </comment>
    <comment ref="AH22" authorId="0" shapeId="0">
      <text>
        <t>모델값 역산(implied): v / 매출액
매출액 × 판관비율 13.40%(최근 4분기 중위)</t>
      </text>
    </comment>
    <comment ref="AI22" authorId="0" shapeId="0">
      <text>
        <t>모델값 역산(implied): v / 매출액
매출액 × 판관비율 13.40%(최근 4분기 중위)</t>
      </text>
    </comment>
    <comment ref="AK22" authorId="0" shapeId="0">
      <text>
        <t>모델값 역산(implied): v / 매출액
매출액 × 판관비율 13.40%(최근 4분기 중위)</t>
      </text>
    </comment>
    <comment ref="AL22" authorId="0" shapeId="0">
      <text>
        <t>모델값 역산(implied): v / 매출액
매출액 × 판관비율 13.40%(최근 4분기 중위)</t>
      </text>
    </comment>
    <comment ref="AM22" authorId="0" shapeId="0">
      <text>
        <t>모델값 역산(implied): v / 매출액
매출액 × 판관비율 13.40%(최근 4분기 중위)</t>
      </text>
    </comment>
    <comment ref="AN22" authorId="0" shapeId="0">
      <text>
        <t>모델값 역산(implied): v / 매출액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v / 전년동기 − 1
최근 8분기 OPM 중위 2.7% 유지(클립 −20~40%)</t>
      </text>
    </comment>
    <comment ref="AD24" authorId="0" shapeId="0">
      <text>
        <t>모델값 역산(implied): v / 전년동기 − 1
최근 8분기 OPM 중위 2.7% 유지(클립 −20~40%)</t>
      </text>
    </comment>
    <comment ref="AF24" authorId="0" shapeId="0">
      <text>
        <t>모델값 역산(implied): v / 전년동기 − 1
최근 8분기 OPM 중위 2.7% 유지(클립 −20~40%)</t>
      </text>
    </comment>
    <comment ref="AG24" authorId="0" shapeId="0">
      <text>
        <t>모델값 역산(implied): v / 전년동기 − 1
최근 8분기 OPM 중위 2.7% 유지(클립 −20~40%)</t>
      </text>
    </comment>
    <comment ref="AH24" authorId="0" shapeId="0">
      <text>
        <t>모델값 역산(implied): v / 전년동기 − 1
최근 8분기 OPM 중위 2.7% 유지(클립 −20~40%)</t>
      </text>
    </comment>
    <comment ref="AI24" authorId="0" shapeId="0">
      <text>
        <t>모델값 역산(implied): v / 전년동기 − 1
최근 8분기 OPM 중위 2.7% 유지(클립 −20~40%)</t>
      </text>
    </comment>
    <comment ref="AK24" authorId="0" shapeId="0">
      <text>
        <t>모델값 역산(implied): v / 전년동기 − 1
최근 8분기 OPM 중위 2.7% 유지(클립 −20~40%)</t>
      </text>
    </comment>
    <comment ref="AL24" authorId="0" shapeId="0">
      <text>
        <t>모델값 역산(implied): v / 전년동기 − 1
최근 8분기 OPM 중위 2.7% 유지(클립 −20~40%)</t>
      </text>
    </comment>
    <comment ref="AM24" authorId="0" shapeId="0">
      <text>
        <t>모델값 역산(implied): v / 전년동기 − 1
최근 8분기 OPM 중위 2.7% 유지(클립 −20~40%)</t>
      </text>
    </comment>
    <comment ref="AN24" authorId="0" shapeId="0">
      <text>
        <t>모델값 역산(implied): v / 전년동기 − 1
최근 8분기 OPM 중위 2.7% 유지(클립 −20~40%)</t>
      </text>
    </comment>
    <comment ref="AC25" authorId="0" shapeId="0">
      <text>
        <t>모델값 역산(implied): 모델 v 그대로
이자손익 = 이자발생자산 1743억 × 2.47% − 총차입금 6080억 × 4.32% (연율, CF 실측) ÷ 4; 환·평가손익 0 가정</t>
      </text>
    </comment>
    <comment ref="AD25" authorId="0" shapeId="0">
      <text>
        <t>모델값 역산(implied): 모델 v 그대로
이자손익 = 이자발생자산 1751억 × 2.47% − 총차입금 6080억 × 4.32% (연율, CF 실측) ÷ 4; 환·평가손익 0 가정</t>
      </text>
    </comment>
    <comment ref="AF25" authorId="0" shapeId="0">
      <text>
        <t>모델값 역산(implied): 모델 v 그대로
이자손익 = 이자발생자산 1755억 × 2.47% − 총차입금 6080억 × 4.32% (연율, CF 실측) ÷ 4; 환·평가손익 0 가정</t>
      </text>
    </comment>
    <comment ref="AG25" authorId="0" shapeId="0">
      <text>
        <t>모델값 역산(implied): 모델 v 그대로
이자손익 = 이자발생자산 1761억 × 2.47% − 총차입금 6080억 × 4.32% (연율, CF 실측) ÷ 4; 환·평가손익 0 가정</t>
      </text>
    </comment>
    <comment ref="AH25" authorId="0" shapeId="0">
      <text>
        <t>모델값 역산(implied): 모델 v 그대로
이자손익 = 이자발생자산 1740억 × 2.47% − 총차입금 6080억 × 4.32% (연율, CF 실측) ÷ 4; 환·평가손익 0 가정</t>
      </text>
    </comment>
    <comment ref="AI25" authorId="0" shapeId="0">
      <text>
        <t>모델값 역산(implied): 모델 v 그대로
이자손익 = 이자발생자산 1748억 × 2.47% − 총차입금 6080억 × 4.32% (연율, CF 실측) ÷ 4; 환·평가손익 0 가정</t>
      </text>
    </comment>
    <comment ref="AK25" authorId="0" shapeId="0">
      <text>
        <t>모델값 역산(implied): 모델 v 그대로
이자손익 = 이자발생자산 1752억 × 2.47% − 총차입금 6080억 × 4.32% (연율, CF 실측) ÷ 4; 환·평가손익 0 가정</t>
      </text>
    </comment>
    <comment ref="AL25" authorId="0" shapeId="0">
      <text>
        <t>모델값 역산(implied): 모델 v 그대로
이자손익 = 이자발생자산 1759억 × 2.47% − 총차입금 6080억 × 4.32% (연율, CF 실측) ÷ 4; 환·평가손익 0 가정</t>
      </text>
    </comment>
    <comment ref="AM25" authorId="0" shapeId="0">
      <text>
        <t>모델값 역산(implied): 모델 v 그대로
이자손익 = 이자발생자산 1737억 × 2.47% − 총차입금 6080억 × 4.32% (연율, CF 실측) ÷ 4; 환·평가손익 0 가정</t>
      </text>
    </comment>
    <comment ref="AN25" authorId="0" shapeId="0">
      <text>
        <t>모델값 역산(implied): 모델 v 그대로
이자손익 = 이자발생자산 1745억 × 2.47% − 총차입금 6080억 × 4.32%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27.0%(최근 12분기 유효세율 28.1% → 5~27% 클립)</t>
      </text>
    </comment>
    <comment ref="AD28" authorId="0" shapeId="0">
      <text>
        <t>모델값 역산(implied): v / 세전이익
max(세전, 0) × 세율 27.0%(최근 12분기 유효세율 28.1% → 5~27% 클립)</t>
      </text>
    </comment>
    <comment ref="AF28" authorId="0" shapeId="0">
      <text>
        <t>모델값 역산(implied): v / 세전이익
max(세전, 0) × 세율 27.0%(최근 12분기 유효세율 28.1% → 5~27% 클립)</t>
      </text>
    </comment>
    <comment ref="AG28" authorId="0" shapeId="0">
      <text>
        <t>모델값 역산(implied): v / 세전이익
max(세전, 0) × 세율 27.0%(최근 12분기 유효세율 28.1% → 5~27% 클립)</t>
      </text>
    </comment>
    <comment ref="AH28" authorId="0" shapeId="0">
      <text>
        <t>모델값 역산(implied): v / 세전이익
max(세전, 0) × 세율 27.0%(최근 12분기 유효세율 28.1% → 5~27% 클립)</t>
      </text>
    </comment>
    <comment ref="AI28" authorId="0" shapeId="0">
      <text>
        <t>모델값 역산(implied): v / 세전이익
max(세전, 0) × 세율 27.0%(최근 12분기 유효세율 28.1% → 5~27% 클립)</t>
      </text>
    </comment>
    <comment ref="AK28" authorId="0" shapeId="0">
      <text>
        <t>모델값 역산(implied): v / 세전이익
max(세전, 0) × 세율 27.0%(최근 12분기 유효세율 28.1% → 5~27% 클립)</t>
      </text>
    </comment>
    <comment ref="AL28" authorId="0" shapeId="0">
      <text>
        <t>모델값 역산(implied): v / 세전이익
max(세전, 0) × 세율 27.0%(최근 12분기 유효세율 28.1% → 5~27% 클립)</t>
      </text>
    </comment>
    <comment ref="AM28" authorId="0" shapeId="0">
      <text>
        <t>모델값 역산(implied): v / 세전이익
max(세전, 0) × 세율 27.0%(최근 12분기 유효세율 28.1% → 5~27% 클립)</t>
      </text>
    </comment>
    <comment ref="AN28" authorId="0" shapeId="0">
      <text>
        <t>모델값 역산(implied): v / 세전이익
max(세전, 0) × 세율 27.0%(최근 12분기 유효세율 28.1%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전년동기 − 1
최근 4분기 감가상각비 중위 유지</t>
      </text>
    </comment>
    <comment ref="AD31" authorId="0" shapeId="0">
      <text>
        <t>모델값 역산(implied): v / 전년동기 − 1
최근 4분기 감가상각비 중위 유지</t>
      </text>
    </comment>
    <comment ref="AF31" authorId="0" shapeId="0">
      <text>
        <t>모델값 역산(implied): v / 전년동기 − 1
최근 4분기 감가상각비 중위 유지</t>
      </text>
    </comment>
    <comment ref="AG31" authorId="0" shapeId="0">
      <text>
        <t>모델값 역산(implied): v / 전년동기 − 1
최근 4분기 감가상각비 중위 유지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C32" authorId="0" shapeId="0">
      <text>
        <t>모델값 역산(implied): v / 전년동기 − 1
영업이익 + 감가상각비</t>
      </text>
    </comment>
    <comment ref="AD32" authorId="0" shapeId="0">
      <text>
        <t>모델값 역산(implied): v / 전년동기 − 1
영업이익 + 감가상각비</t>
      </text>
    </comment>
    <comment ref="AF32" authorId="0" shapeId="0">
      <text>
        <t>모델값 역산(implied): v / 전년동기 − 1
영업이익 + 감가상각비</t>
      </text>
    </comment>
    <comment ref="AG32" authorId="0" shapeId="0">
      <text>
        <t>모델값 역산(implied): v / 전년동기 − 1
영업이익 + 감가상각비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120원 유지</t>
      </text>
    </comment>
    <comment ref="AI43" authorId="0" shapeId="0">
      <text>
        <t>모델값 역산(implied): v / 전년동기 − 1
직전 결산 DPS 120원 유지</t>
      </text>
    </comment>
    <comment ref="AN43" authorId="0" shapeId="0">
      <text>
        <t>모델값 역산(implied): v / 전년동기 − 1
직전 결산 DPS 120원 유지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2.7% 유지(클립 −20~40%)
[yoy]</t>
      </text>
    </comment>
    <comment ref="AD10" authorId="0" shapeId="0">
      <text>
        <t>추정: 최근 8분기 OPM 중위 2.7% 유지(클립 −20~40%)
[yoy]</t>
      </text>
    </comment>
    <comment ref="AF10" authorId="0" shapeId="0">
      <text>
        <t>추정: 최근 8분기 OPM 중위 2.7% 유지(클립 −20~40%)
[yoy]</t>
      </text>
    </comment>
    <comment ref="AG10" authorId="0" shapeId="0">
      <text>
        <t>추정: 최근 8분기 OPM 중위 2.7% 유지(클립 −20~40%)
[yoy]</t>
      </text>
    </comment>
    <comment ref="AH10" authorId="0" shapeId="0">
      <text>
        <t>추정: 최근 8분기 OPM 중위 2.7% 유지(클립 −20~40%)
[yoy]</t>
      </text>
    </comment>
    <comment ref="AI10" authorId="0" shapeId="0">
      <text>
        <t>추정: 최근 8분기 OPM 중위 2.7% 유지(클립 −20~40%)
[yoy]</t>
      </text>
    </comment>
    <comment ref="AK10" authorId="0" shapeId="0">
      <text>
        <t>추정: 최근 8분기 OPM 중위 2.7% 유지(클립 −20~40%)
[yoy]</t>
      </text>
    </comment>
    <comment ref="AL10" authorId="0" shapeId="0">
      <text>
        <t>추정: 최근 8분기 OPM 중위 2.7% 유지(클립 −20~40%)
[yoy]</t>
      </text>
    </comment>
    <comment ref="AM10" authorId="0" shapeId="0">
      <text>
        <t>추정: 최근 8분기 OPM 중위 2.7% 유지(클립 −20~40%)
[yoy]</t>
      </text>
    </comment>
    <comment ref="AN10" authorId="0" shapeId="0">
      <text>
        <t>추정: 최근 8분기 OPM 중위 2.7% 유지(클립 −20~40%)
[yoy]</t>
      </text>
    </comment>
    <comment ref="AC11" authorId="0" shapeId="0">
      <text>
        <t>추정: 이자손익 = 이자발생자산 1743억 × 2.47% − 총차입금 6080억 × 4.32% (연율, CF 실측) ÷ 4; 환·평가손익 0 가정
[abs]</t>
      </text>
    </comment>
    <comment ref="AD11" authorId="0" shapeId="0">
      <text>
        <t>추정: 이자손익 = 이자발생자산 1751억 × 2.47% − 총차입금 6080억 × 4.32% (연율, CF 실측) ÷ 4; 환·평가손익 0 가정
[abs]</t>
      </text>
    </comment>
    <comment ref="AF11" authorId="0" shapeId="0">
      <text>
        <t>추정: 이자손익 = 이자발생자산 1755억 × 2.47% − 총차입금 6080억 × 4.32% (연율, CF 실측) ÷ 4; 환·평가손익 0 가정
[abs]</t>
      </text>
    </comment>
    <comment ref="AG11" authorId="0" shapeId="0">
      <text>
        <t>추정: 이자손익 = 이자발생자산 1761억 × 2.47% − 총차입금 6080억 × 4.32% (연율, CF 실측) ÷ 4; 환·평가손익 0 가정
[abs]</t>
      </text>
    </comment>
    <comment ref="AH11" authorId="0" shapeId="0">
      <text>
        <t>추정: 이자손익 = 이자발생자산 1740억 × 2.47% − 총차입금 6080억 × 4.32% (연율, CF 실측) ÷ 4; 환·평가손익 0 가정
[abs]</t>
      </text>
    </comment>
    <comment ref="AI11" authorId="0" shapeId="0">
      <text>
        <t>추정: 이자손익 = 이자발생자산 1748억 × 2.47% − 총차입금 6080억 × 4.32% (연율, CF 실측) ÷ 4; 환·평가손익 0 가정
[abs]</t>
      </text>
    </comment>
    <comment ref="AK11" authorId="0" shapeId="0">
      <text>
        <t>추정: 이자손익 = 이자발생자산 1752억 × 2.47% − 총차입금 6080억 × 4.32% (연율, CF 실측) ÷ 4; 환·평가손익 0 가정
[abs]</t>
      </text>
    </comment>
    <comment ref="AL11" authorId="0" shapeId="0">
      <text>
        <t>추정: 이자손익 = 이자발생자산 1759억 × 2.47% − 총차입금 6080억 × 4.32% (연율, CF 실측) ÷ 4; 환·평가손익 0 가정
[abs]</t>
      </text>
    </comment>
    <comment ref="AM11" authorId="0" shapeId="0">
      <text>
        <t>추정: 이자손익 = 이자발생자산 1737억 × 2.47% − 총차입금 6080억 × 4.32% (연율, CF 실측) ÷ 4; 환·평가손익 0 가정
[abs]</t>
      </text>
    </comment>
    <comment ref="AN11" authorId="0" shapeId="0">
      <text>
        <t>추정: 이자손익 = 이자발생자산 1745억 × 2.47% − 총차입금 6080억 × 4.32%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27.0%(최근 12분기 유효세율 28.1% → 5~27% 클립)
[ratio]</t>
      </text>
    </comment>
    <comment ref="AD15" authorId="0" shapeId="0">
      <text>
        <t>추정: max(세전, 0) × 세율 27.0%(최근 12분기 유효세율 28.1% → 5~27% 클립)
[ratio]</t>
      </text>
    </comment>
    <comment ref="AF15" authorId="0" shapeId="0">
      <text>
        <t>추정: max(세전, 0) × 세율 27.0%(최근 12분기 유효세율 28.1% → 5~27% 클립)
[ratio]</t>
      </text>
    </comment>
    <comment ref="AG15" authorId="0" shapeId="0">
      <text>
        <t>추정: max(세전, 0) × 세율 27.0%(최근 12분기 유효세율 28.1% → 5~27% 클립)
[ratio]</t>
      </text>
    </comment>
    <comment ref="AH15" authorId="0" shapeId="0">
      <text>
        <t>추정: max(세전, 0) × 세율 27.0%(최근 12분기 유효세율 28.1% → 5~27% 클립)
[ratio]</t>
      </text>
    </comment>
    <comment ref="AI15" authorId="0" shapeId="0">
      <text>
        <t>추정: max(세전, 0) × 세율 27.0%(최근 12분기 유효세율 28.1% → 5~27% 클립)
[ratio]</t>
      </text>
    </comment>
    <comment ref="AK15" authorId="0" shapeId="0">
      <text>
        <t>추정: max(세전, 0) × 세율 27.0%(최근 12분기 유효세율 28.1% → 5~27% 클립)
[ratio]</t>
      </text>
    </comment>
    <comment ref="AL15" authorId="0" shapeId="0">
      <text>
        <t>추정: max(세전, 0) × 세율 27.0%(최근 12분기 유효세율 28.1% → 5~27% 클립)
[ratio]</t>
      </text>
    </comment>
    <comment ref="AM15" authorId="0" shapeId="0">
      <text>
        <t>추정: max(세전, 0) × 세율 27.0%(최근 12분기 유효세율 28.1% → 5~27% 클립)
[ratio]</t>
      </text>
    </comment>
    <comment ref="AN15" authorId="0" shapeId="0">
      <text>
        <t>추정: max(세전, 0) × 세율 27.0%(최근 12분기 유효세율 28.1%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O18" authorId="0" shapeId="0">
      <text>
        <t>실측(계정 매핑 없음 — 모델값 직접) — fin.cons.is.중단사업이익</t>
      </text>
    </comment>
    <comment ref="Y18" authorId="0" shapeId="0">
      <text>
        <t>실측(계정 매핑 없음 — 모델값 직접) — fin.cons.is.중단사업이익</t>
      </text>
    </comment>
    <comment ref="AC19" authorId="0" shapeId="0">
      <text>
        <t>추정: 최근 4분기 감가상각비 중위 유지
[yoy]</t>
      </text>
    </comment>
    <comment ref="AD19" authorId="0" shapeId="0">
      <text>
        <t>추정: 최근 4분기 감가상각비 중위 유지
[yoy]</t>
      </text>
    </comment>
    <comment ref="AF19" authorId="0" shapeId="0">
      <text>
        <t>추정: 최근 4분기 감가상각비 중위 유지
[yoy]</t>
      </text>
    </comment>
    <comment ref="AG19" authorId="0" shapeId="0">
      <text>
        <t>추정: 최근 4분기 감가상각비 중위 유지
[yoy]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N20" authorId="0" shapeId="0">
      <text>
        <t>실측(계정 매핑 없음 — 모델값 직접) — 영업이익 + 감가상각비(CF)</t>
      </text>
    </comment>
    <comment ref="O20" authorId="0" shapeId="0">
      <text>
        <t>실측(계정 매핑 없음 — 모델값 직접) — 영업이익 + 감가상각비(CF)</t>
      </text>
    </comment>
    <comment ref="Q20" authorId="0" shapeId="0">
      <text>
        <t>실측(계정 매핑 없음 — 모델값 직접) — 영업이익 + 감가상각비(CF)</t>
      </text>
    </comment>
    <comment ref="R20" authorId="0" shapeId="0">
      <text>
        <t>실측(계정 매핑 없음 — 모델값 직접) — 영업이익 + 감가상각비(CF)</t>
      </text>
    </comment>
    <comment ref="S20" authorId="0" shapeId="0">
      <text>
        <t>실측(계정 매핑 없음 — 모델값 직접) — 영업이익 + 감가상각비(CF)</t>
      </text>
    </comment>
    <comment ref="T20" authorId="0" shapeId="0">
      <text>
        <t>실측(계정 매핑 없음 — 모델값 직접) — 영업이익 + 감가상각비(CF)</t>
      </text>
    </comment>
    <comment ref="V20" authorId="0" shapeId="0">
      <text>
        <t>실측(계정 매핑 없음 — 모델값 직접) — 영업이익 + 감가상각비(CF)</t>
      </text>
    </comment>
    <comment ref="W20" authorId="0" shapeId="0">
      <text>
        <t>실측(계정 매핑 없음 — 모델값 직접) — 영업이익 + 감가상각비(CF)</t>
      </text>
    </comment>
    <comment ref="X20" authorId="0" shapeId="0">
      <text>
        <t>실측(계정 매핑 없음 — 모델값 직접) — 영업이익 + 감가상각비(CF)</t>
      </text>
    </comment>
    <comment ref="Y20" authorId="0" shapeId="0">
      <text>
        <t>실측(계정 매핑 없음 — 모델값 직접) — 영업이익 + 감가상각비(CF)</t>
      </text>
    </comment>
    <comment ref="AA20" authorId="0" shapeId="0">
      <text>
        <t>실측(계정 매핑 없음 — 모델값 직접) — 영업이익 + 감가상각비(CF)</t>
      </text>
    </comment>
    <comment ref="AB20" authorId="0" shapeId="0">
      <text>
        <t>실측(계정 매핑 없음 — 모델값 직접) — 영업이익 + 감가상각비(CF)</t>
      </text>
    </comment>
    <comment ref="AC20" authorId="0" shapeId="0">
      <text>
        <t>추정: 영업이익 + 감가상각비
[yoy]</t>
      </text>
    </comment>
    <comment ref="AD20" authorId="0" shapeId="0">
      <text>
        <t>추정: 영업이익 + 감가상각비
[yoy]</t>
      </text>
    </comment>
    <comment ref="AF20" authorId="0" shapeId="0">
      <text>
        <t>추정: 영업이익 + 감가상각비
[yoy]</t>
      </text>
    </comment>
    <comment ref="AG20" authorId="0" shapeId="0">
      <text>
        <t>추정: 영업이익 + 감가상각비
[yoy]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120원 유지
[yoy]</t>
      </text>
    </comment>
    <comment ref="AI34" authorId="0" shapeId="0">
      <text>
        <t>추정: 직전 결산 DPS 120원 유지
[yoy]</t>
      </text>
    </comment>
    <comment ref="AN34" authorId="0" shapeId="0">
      <text>
        <t>추정: 직전 결산 DPS 120원 유지
[yoy]</t>
      </text>
    </comment>
    <comment ref="I35" authorId="0" shapeId="0">
      <text>
        <t>실측(계정 매핑 없음 — 모델값 직접) — 토스 일봉 분기 평균 ÷ TTM EPS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M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AD35" authorId="0" shapeId="0">
      <text>
        <t>추정(가정 셀 참조 불가 — 기준값 없음, 모델값 직접): 현재 종가 ÷ TTM EPS(추정 포함)</t>
      </text>
    </comment>
    <comment ref="AF35" authorId="0" shapeId="0">
      <text>
        <t>추정(가정 셀 참조 불가 — 기준값 없음, 모델값 직접): 현재 종가 ÷ TTM EPS(추정 포함)</t>
      </text>
    </comment>
    <comment ref="AG35" authorId="0" shapeId="0">
      <text>
        <t>추정(가정 셀 참조 불가 — 기준값 없음, 모델값 직접): 현재 종가 ÷ TTM EPS(추정 포함)</t>
      </text>
    </comment>
    <comment ref="AH35" authorId="0" shapeId="0">
      <text>
        <t>추정(가정 셀 참조 불가 — 기준값 없음, 모델값 직접): 현재 종가 ÷ TTM EPS(추정 포함)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assets/models/014280.json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37억) → 지배NI -310억·EPS·FY2025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</v>
      </c>
      <c r="AD21" s="24" t="n">
        <v>0.007324</v>
      </c>
      <c r="AE21" s="25" t="n"/>
      <c r="AF21" s="24" t="n">
        <v>0.007324</v>
      </c>
      <c r="AG21" s="24" t="n">
        <v>0.007323</v>
      </c>
      <c r="AH21" s="24" t="n">
        <v>0.003661</v>
      </c>
      <c r="AI21" s="24" t="n">
        <v>0.003659</v>
      </c>
      <c r="AJ21" s="25" t="n"/>
      <c r="AK21" s="24" t="n">
        <v>0.00366</v>
      </c>
      <c r="AL21" s="24" t="n">
        <v>0.003662</v>
      </c>
      <c r="AM21" s="24" t="n">
        <v>0.001831</v>
      </c>
      <c r="AN21" s="24" t="n">
        <v>0.001834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0.134019</v>
      </c>
      <c r="AD22" s="24" t="n">
        <v>0.13402</v>
      </c>
      <c r="AE22" s="25">
        <f>IFERROR(subQ!AE8/subQ!AE5,"")</f>
        <v/>
      </c>
      <c r="AF22" s="24" t="n">
        <v>0.134018</v>
      </c>
      <c r="AG22" s="24" t="n">
        <v>0.134017</v>
      </c>
      <c r="AH22" s="24" t="n">
        <v>0.134017</v>
      </c>
      <c r="AI22" s="24" t="n">
        <v>0.134018</v>
      </c>
      <c r="AJ22" s="25">
        <f>IFERROR(subQ!AJ8/subQ!AJ5,"")</f>
        <v/>
      </c>
      <c r="AK22" s="24" t="n">
        <v>0.134017</v>
      </c>
      <c r="AL22" s="24" t="n">
        <v>0.13402</v>
      </c>
      <c r="AM22" s="24" t="n">
        <v>0.134017</v>
      </c>
      <c r="AN22" s="24" t="n">
        <v>0.13402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0.026773</v>
      </c>
      <c r="AD23" s="24" t="n">
        <v>0.026771</v>
      </c>
      <c r="AE23" s="25">
        <f>IFERROR(subQ!AE9/subQ!AE5,"")</f>
        <v/>
      </c>
      <c r="AF23" s="24" t="n">
        <v>0.026773</v>
      </c>
      <c r="AG23" s="24" t="n">
        <v>0.026771</v>
      </c>
      <c r="AH23" s="24" t="n">
        <v>0.026772</v>
      </c>
      <c r="AI23" s="24" t="n">
        <v>0.026774</v>
      </c>
      <c r="AJ23" s="25">
        <f>IFERROR(subQ!AJ9/subQ!AJ5,"")</f>
        <v/>
      </c>
      <c r="AK23" s="24" t="n">
        <v>0.026771</v>
      </c>
      <c r="AL23" s="24" t="n">
        <v>0.026773</v>
      </c>
      <c r="AM23" s="24" t="n">
        <v>0.026771</v>
      </c>
      <c r="AN23" s="24" t="n">
        <v>0.026772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-135</v>
      </c>
      <c r="AD24" s="24" t="n">
        <v>-9.933332999999999</v>
      </c>
      <c r="AE24" s="25" t="n"/>
      <c r="AF24" s="24" t="n">
        <v>-0.601783</v>
      </c>
      <c r="AG24" s="24" t="n">
        <v>-0.658599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-54.98</v>
      </c>
      <c r="AD25" s="29" t="n">
        <v>-54.93</v>
      </c>
      <c r="AE25" s="30">
        <f>subQ!AE11</f>
        <v/>
      </c>
      <c r="AF25" s="29" t="n">
        <v>-54.91</v>
      </c>
      <c r="AG25" s="29" t="n">
        <v>-54.87</v>
      </c>
      <c r="AH25" s="29" t="n">
        <v>-55</v>
      </c>
      <c r="AI25" s="29" t="n">
        <v>-54.95</v>
      </c>
      <c r="AJ25" s="30">
        <f>subQ!AJ11</f>
        <v/>
      </c>
      <c r="AK25" s="29" t="n">
        <v>-54.92</v>
      </c>
      <c r="AL25" s="29" t="n">
        <v>-54.88</v>
      </c>
      <c r="AM25" s="29" t="n">
        <v>-55.01</v>
      </c>
      <c r="AN25" s="29" t="n">
        <v>-54.97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10.37</v>
      </c>
      <c r="AD27" s="29" t="n">
        <v>10.37</v>
      </c>
      <c r="AE27" s="30">
        <f>subQ!AE13</f>
        <v/>
      </c>
      <c r="AF27" s="29" t="n">
        <v>10.37</v>
      </c>
      <c r="AG27" s="29" t="n">
        <v>10.37</v>
      </c>
      <c r="AH27" s="29" t="n">
        <v>10.37</v>
      </c>
      <c r="AI27" s="29" t="n">
        <v>10.37</v>
      </c>
      <c r="AJ27" s="30">
        <f>subQ!AJ13</f>
        <v/>
      </c>
      <c r="AK27" s="29" t="n">
        <v>10.37</v>
      </c>
      <c r="AL27" s="29" t="n">
        <v>10.37</v>
      </c>
      <c r="AM27" s="29" t="n">
        <v>10.37</v>
      </c>
      <c r="AN27" s="29" t="n">
        <v>10.37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0.269767</v>
      </c>
      <c r="AD28" s="24" t="n">
        <v>0.27027</v>
      </c>
      <c r="AE28" s="25">
        <f>IFERROR(subQ!AE15/subQ!AE14,"")</f>
        <v/>
      </c>
      <c r="AF28" s="24" t="n">
        <v>0.270588</v>
      </c>
      <c r="AG28" s="24" t="n">
        <v>0.270098</v>
      </c>
      <c r="AH28" s="24" t="n">
        <v>0.269899</v>
      </c>
      <c r="AI28" s="24" t="n">
        <v>0.269294</v>
      </c>
      <c r="AJ28" s="25">
        <f>IFERROR(subQ!AJ15/subQ!AJ14,"")</f>
        <v/>
      </c>
      <c r="AK28" s="24" t="n">
        <v>0.269585</v>
      </c>
      <c r="AL28" s="24" t="n">
        <v>0.269714</v>
      </c>
      <c r="AM28" s="24" t="n">
        <v>0.270417</v>
      </c>
      <c r="AN28" s="24" t="n">
        <v>0.269044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24" t="n">
        <v>-0.030954</v>
      </c>
      <c r="AD31" s="24" t="n">
        <v>-0.072685</v>
      </c>
      <c r="AE31" s="25" t="n"/>
      <c r="AF31" s="24" t="n">
        <v>0.18031</v>
      </c>
      <c r="AG31" s="24" t="n">
        <v>0.033031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24" t="n">
        <v>0.312354</v>
      </c>
      <c r="AD32" s="24" t="n">
        <v>0.266083</v>
      </c>
      <c r="AE32" s="25" t="n"/>
      <c r="AF32" s="24" t="n">
        <v>-0.207713</v>
      </c>
      <c r="AG32" s="24" t="n">
        <v>-0.339988</v>
      </c>
      <c r="AH32" s="24" t="n">
        <v>0.0009389999999999999</v>
      </c>
      <c r="AI32" s="24" t="n">
        <v>0.0009120000000000001</v>
      </c>
      <c r="AJ32" s="25" t="n"/>
      <c r="AK32" s="24" t="n">
        <v>0.000901</v>
      </c>
      <c r="AL32" s="24" t="n">
        <v>0.001048</v>
      </c>
      <c r="AM32" s="24" t="n">
        <v>0.000469</v>
      </c>
      <c r="AN32" s="24" t="n">
        <v>0.000432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IFERROR(subQ!E23+subQ!G16-subQ!G23,"")</f>
        <v/>
      </c>
      <c r="H34" s="26">
        <f>IFERROR(subQ!G23+subQ!H16-subQ!H23,"")</f>
        <v/>
      </c>
      <c r="I34" s="26">
        <f>IFERROR(subQ!H23+subQ!I16-subQ!I23,"")</f>
        <v/>
      </c>
      <c r="J34" s="26">
        <f>IFERROR(subQ!I23+subQ!J16-subQ!J23,"")</f>
        <v/>
      </c>
      <c r="K34" s="27" t="n"/>
      <c r="L34" s="26">
        <f>IFERROR(subQ!J23+subQ!L16-subQ!L23,"")</f>
        <v/>
      </c>
      <c r="M34" s="26">
        <f>IFERROR(subQ!L23+subQ!M16-subQ!M23,"")</f>
        <v/>
      </c>
      <c r="N34" s="26">
        <f>IFERROR(subQ!M23+subQ!N16-subQ!N23,"")</f>
        <v/>
      </c>
      <c r="O34" s="26">
        <f>IFERROR(subQ!N23+subQ!O16-subQ!O23,"")</f>
        <v/>
      </c>
      <c r="P34" s="27" t="n"/>
      <c r="Q34" s="26">
        <f>IFERROR(subQ!O23+subQ!Q16-subQ!Q23,"")</f>
        <v/>
      </c>
      <c r="R34" s="26">
        <f>IFERROR(subQ!Q23+subQ!R16-subQ!R23,"")</f>
        <v/>
      </c>
      <c r="S34" s="26">
        <f>IFERROR(subQ!R23+subQ!S16-subQ!S23,"")</f>
        <v/>
      </c>
      <c r="T34" s="26">
        <f>IFERROR(subQ!S23+subQ!T16-subQ!T23,"")</f>
        <v/>
      </c>
      <c r="U34" s="27" t="n"/>
      <c r="V34" s="26">
        <f>IFERROR(subQ!T23+subQ!V16-subQ!V23,"")</f>
        <v/>
      </c>
      <c r="W34" s="26">
        <f>IFERROR(subQ!V23+subQ!W16-subQ!W23,"")</f>
        <v/>
      </c>
      <c r="X34" s="26">
        <f>IFERROR(subQ!W23+subQ!X16-subQ!X23,"")</f>
        <v/>
      </c>
      <c r="Y34" s="26">
        <f>IFERROR(subQ!X23+subQ!Y16-subQ!Y23,"")</f>
        <v/>
      </c>
      <c r="Z34" s="27" t="n"/>
      <c r="AA34" s="26">
        <f>IFERROR(subQ!Y23+subQ!AA16-subQ!AA23,"")</f>
        <v/>
      </c>
      <c r="AB34" s="28">
        <f>IFERROR(subQ!AA23+subQ!AB16-subQ!AB23,"")</f>
        <v/>
      </c>
      <c r="AC34" s="29" t="n">
        <v>0.0028</v>
      </c>
      <c r="AD34" s="29" t="n">
        <v>0</v>
      </c>
      <c r="AE34" s="30" t="n"/>
      <c r="AF34" s="29" t="n">
        <v>0</v>
      </c>
      <c r="AG34" s="29" t="n">
        <v>34</v>
      </c>
      <c r="AH34" s="29" t="n">
        <v>-0</v>
      </c>
      <c r="AI34" s="29" t="n">
        <v>-0.01</v>
      </c>
      <c r="AJ34" s="30" t="n"/>
      <c r="AK34" s="29" t="n">
        <v>0</v>
      </c>
      <c r="AL34" s="29" t="n">
        <v>34</v>
      </c>
      <c r="AM34" s="29" t="n">
        <v>-0.01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IFERROR(subQ!E24+subQ!G17-subQ!G24,"")</f>
        <v/>
      </c>
      <c r="H35" s="26">
        <f>IFERROR(subQ!G24+subQ!H17-subQ!H24,"")</f>
        <v/>
      </c>
      <c r="I35" s="26">
        <f>IFERROR(subQ!H24+subQ!I17-subQ!I24,"")</f>
        <v/>
      </c>
      <c r="J35" s="26">
        <f>IFERROR(subQ!I24+subQ!J17-subQ!J24,"")</f>
        <v/>
      </c>
      <c r="K35" s="27" t="n"/>
      <c r="L35" s="26">
        <f>IFERROR(subQ!J24+subQ!L17-subQ!L24,"")</f>
        <v/>
      </c>
      <c r="M35" s="26">
        <f>IFERROR(subQ!L24+subQ!M17-subQ!M24,"")</f>
        <v/>
      </c>
      <c r="N35" s="26">
        <f>IFERROR(subQ!M24+subQ!N17-subQ!N24,"")</f>
        <v/>
      </c>
      <c r="O35" s="26">
        <f>IFERROR(subQ!N24+subQ!O17-subQ!O24,"")</f>
        <v/>
      </c>
      <c r="P35" s="27" t="n"/>
      <c r="Q35" s="26">
        <f>IFERROR(subQ!O24+subQ!Q17-subQ!Q24,"")</f>
        <v/>
      </c>
      <c r="R35" s="26">
        <f>IFERROR(subQ!Q24+subQ!R17-subQ!R24,"")</f>
        <v/>
      </c>
      <c r="S35" s="26">
        <f>IFERROR(subQ!R24+subQ!S17-subQ!S24,"")</f>
        <v/>
      </c>
      <c r="T35" s="26">
        <f>IFERROR(subQ!S24+subQ!T17-subQ!T24,"")</f>
        <v/>
      </c>
      <c r="U35" s="27" t="n"/>
      <c r="V35" s="26">
        <f>IFERROR(subQ!T24+subQ!V17-subQ!V24,"")</f>
        <v/>
      </c>
      <c r="W35" s="26">
        <f>IFERROR(subQ!V24+subQ!W17-subQ!W24,"")</f>
        <v/>
      </c>
      <c r="X35" s="26">
        <f>IFERROR(subQ!W24+subQ!X17-subQ!X24,"")</f>
        <v/>
      </c>
      <c r="Y35" s="26">
        <f>IFERROR(subQ!X24+subQ!Y17-subQ!Y24,"")</f>
        <v/>
      </c>
      <c r="Z35" s="27" t="n"/>
      <c r="AA35" s="26">
        <f>IFERROR(subQ!Y24+subQ!AA17-subQ!AA24,"")</f>
        <v/>
      </c>
      <c r="AB35" s="28">
        <f>IFERROR(subQ!AA24+subQ!AB17-subQ!AB24,"")</f>
        <v/>
      </c>
      <c r="AC35" s="29" t="n">
        <v>0.0077</v>
      </c>
      <c r="AD35" s="29" t="n">
        <v>-0.01</v>
      </c>
      <c r="AE35" s="30" t="n"/>
      <c r="AF35" s="29" t="n">
        <v>0.01</v>
      </c>
      <c r="AG35" s="29" t="n">
        <v>33.99</v>
      </c>
      <c r="AH35" s="29" t="n">
        <v>0</v>
      </c>
      <c r="AI35" s="29" t="n">
        <v>0</v>
      </c>
      <c r="AJ35" s="30" t="n"/>
      <c r="AK35" s="29" t="n">
        <v>0</v>
      </c>
      <c r="AL35" s="29" t="n">
        <v>33.99</v>
      </c>
      <c r="AM35" s="29" t="n">
        <v>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-0.001723</v>
      </c>
      <c r="AD37" s="24" t="n">
        <v>-0.00095</v>
      </c>
      <c r="AE37" s="25" t="n"/>
      <c r="AF37" s="24" t="n">
        <v>-0.001366</v>
      </c>
      <c r="AG37" s="24" t="n">
        <v>0.00471</v>
      </c>
      <c r="AH37" s="24" t="n">
        <v>-0.00175</v>
      </c>
      <c r="AI37" s="24" t="n">
        <v>-0.000975</v>
      </c>
      <c r="AJ37" s="25" t="n"/>
      <c r="AK37" s="24" t="n">
        <v>-0.001394</v>
      </c>
      <c r="AL37" s="24" t="n">
        <v>0.004673</v>
      </c>
      <c r="AM37" s="24" t="n">
        <v>-0.001762</v>
      </c>
      <c r="AN37" s="24" t="n">
        <v>-0.0009879999999999999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0.004504</v>
      </c>
      <c r="AD38" s="24" t="n">
        <v>0.002468</v>
      </c>
      <c r="AE38" s="25" t="n"/>
      <c r="AF38" s="24" t="n">
        <v>0.003538</v>
      </c>
      <c r="AG38" s="24" t="n">
        <v>-0.012139</v>
      </c>
      <c r="AH38" s="24" t="n">
        <v>0.004587</v>
      </c>
      <c r="AI38" s="24" t="n">
        <v>0.002546</v>
      </c>
      <c r="AJ38" s="25" t="n"/>
      <c r="AK38" s="24" t="n">
        <v>0.003612</v>
      </c>
      <c r="AL38" s="24" t="n">
        <v>-0.012066</v>
      </c>
      <c r="AM38" s="24" t="n">
        <v>0.004628</v>
      </c>
      <c r="AN38" s="24" t="n">
        <v>0.002578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31" t="n"/>
      <c r="AE44" s="25" t="n"/>
      <c r="AF44" s="31" t="n"/>
      <c r="AG44" s="31" t="n"/>
      <c r="AH44" s="31" t="n"/>
      <c r="AI44" s="24" t="n">
        <v>6.283051</v>
      </c>
      <c r="AJ44" s="25" t="n"/>
      <c r="AK44" s="24" t="n">
        <v>1.902307</v>
      </c>
      <c r="AL44" s="24" t="n">
        <v>-0.018001</v>
      </c>
      <c r="AM44" s="24" t="n">
        <v>-0.015303</v>
      </c>
      <c r="AN44" s="24" t="n">
        <v>-0.013265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0.058824</v>
      </c>
      <c r="AD45" s="24" t="n">
        <v>-0.234043</v>
      </c>
      <c r="AE45" s="25" t="n"/>
      <c r="AF45" s="24" t="n">
        <v>-0.186047</v>
      </c>
      <c r="AG45" s="24" t="n">
        <v>-0.027027</v>
      </c>
      <c r="AH45" s="24" t="n">
        <v>0</v>
      </c>
      <c r="AI45" s="24" t="n">
        <v>0</v>
      </c>
      <c r="AJ45" s="25" t="n"/>
      <c r="AK45" s="24" t="n">
        <v>0</v>
      </c>
      <c r="AL45" s="24" t="n">
        <v>0</v>
      </c>
      <c r="AM45" s="24" t="n">
        <v>0</v>
      </c>
      <c r="AN45" s="24" t="n">
        <v>0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0.026773</v>
      </c>
      <c r="AD47" s="24" t="n">
        <v>0.026771</v>
      </c>
      <c r="AE47" s="25">
        <f>IFERROR(subQ!AE38/subQ!AE37,"")</f>
        <v/>
      </c>
      <c r="AF47" s="24" t="n">
        <v>0.026773</v>
      </c>
      <c r="AG47" s="24" t="n">
        <v>0.026771</v>
      </c>
      <c r="AH47" s="24" t="n">
        <v>0.026772</v>
      </c>
      <c r="AI47" s="24" t="n">
        <v>0.026774</v>
      </c>
      <c r="AJ47" s="25">
        <f>IFERROR(subQ!AJ38/subQ!AJ37,"")</f>
        <v/>
      </c>
      <c r="AK47" s="24" t="n">
        <v>0.026771</v>
      </c>
      <c r="AL47" s="24" t="n">
        <v>0.026773</v>
      </c>
      <c r="AM47" s="24" t="n">
        <v>0.026771</v>
      </c>
      <c r="AN47" s="24" t="n">
        <v>0.026772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4740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4.2배가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0.27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0.134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/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4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4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4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4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4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4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4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4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4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4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4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4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4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4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4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4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4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4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4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4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4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4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4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4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4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4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4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4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4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4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4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4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4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4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4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4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4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4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4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4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4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4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4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4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4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4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4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4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4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4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4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4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4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4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4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4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4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4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4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4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4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4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4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4" t="n">
        <v>30105.88</v>
      </c>
      <c r="J18" s="18" t="n">
        <v>26407.08</v>
      </c>
      <c r="K18" s="34" t="n">
        <v>26407.08</v>
      </c>
      <c r="P18" s="9" t="n"/>
      <c r="T18" s="18" t="n">
        <v>26725.86</v>
      </c>
      <c r="U18" s="34" t="n">
        <v>26725.86</v>
      </c>
      <c r="V18" s="18" t="n">
        <v>29380.51</v>
      </c>
      <c r="W18" s="18" t="n">
        <v>29821.75</v>
      </c>
      <c r="Y18" s="18" t="n">
        <v>17811.52</v>
      </c>
      <c r="Z18" s="34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4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4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4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4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4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4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4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4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4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4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4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4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4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4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4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4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4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4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4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4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4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4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4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4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4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298652.76</v>
      </c>
      <c r="F24" s="34" t="n">
        <v>298652.76</v>
      </c>
      <c r="G24" s="18" t="n">
        <v>300365.31</v>
      </c>
      <c r="H24" s="18" t="n">
        <v>366503.31</v>
      </c>
      <c r="I24" s="18" t="n">
        <v>403115.37</v>
      </c>
      <c r="J24" s="18" t="n">
        <v>390288.61</v>
      </c>
      <c r="K24" s="34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383190.25</v>
      </c>
      <c r="P24" s="34" t="n">
        <v>383190.25</v>
      </c>
      <c r="Q24" s="18" t="n">
        <v>421487.33</v>
      </c>
      <c r="R24" s="18" t="n">
        <v>400806.67</v>
      </c>
      <c r="S24" s="18" t="n">
        <v>416152.66</v>
      </c>
      <c r="T24" s="18" t="n">
        <v>391077.77</v>
      </c>
      <c r="U24" s="34" t="n">
        <v>391077.77</v>
      </c>
      <c r="V24" s="18" t="n">
        <v>392816.44</v>
      </c>
      <c r="W24" s="18" t="n">
        <v>426221.11</v>
      </c>
      <c r="X24" s="18" t="n">
        <v>315836.81</v>
      </c>
      <c r="Y24" s="18" t="n">
        <v>304530.9</v>
      </c>
      <c r="Z24" s="34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298652.76</v>
      </c>
      <c r="F25" s="34" t="n">
        <v>298652.76</v>
      </c>
      <c r="G25" s="18" t="n">
        <v>300365.31</v>
      </c>
      <c r="H25" s="18" t="n">
        <v>366503.31</v>
      </c>
      <c r="I25" s="18" t="n">
        <v>403115.37</v>
      </c>
      <c r="J25" s="18" t="n">
        <v>390288.61</v>
      </c>
      <c r="K25" s="34" t="n">
        <v>390288.61</v>
      </c>
      <c r="L25" s="18" t="n">
        <v>410737.3</v>
      </c>
      <c r="M25" s="18" t="n">
        <v>406193.92</v>
      </c>
      <c r="N25" s="18" t="n">
        <v>394319.97</v>
      </c>
      <c r="O25" s="18" t="n">
        <v>383190.25</v>
      </c>
      <c r="P25" s="34" t="n">
        <v>383190.25</v>
      </c>
      <c r="Q25" s="18" t="n">
        <v>421487.33</v>
      </c>
      <c r="R25" s="18" t="n">
        <v>400806.67</v>
      </c>
      <c r="S25" s="18" t="n">
        <v>416152.66</v>
      </c>
      <c r="T25" s="18" t="n">
        <v>391077.77</v>
      </c>
      <c r="U25" s="34" t="n">
        <v>391077.77</v>
      </c>
      <c r="V25" s="18" t="n">
        <v>392816.44</v>
      </c>
      <c r="W25" s="18" t="n">
        <v>426221.11</v>
      </c>
      <c r="Z25" s="9" t="n"/>
      <c r="AB25" s="19" t="n">
        <v>392878.52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27910.06</v>
      </c>
      <c r="F26" s="34" t="n">
        <v>27910.06</v>
      </c>
      <c r="G26" s="18" t="n">
        <v>24353.47</v>
      </c>
      <c r="H26" s="18" t="n">
        <v>24648.4</v>
      </c>
      <c r="I26" s="18" t="n">
        <v>28339.34</v>
      </c>
      <c r="J26" s="18" t="n">
        <v>28995.82</v>
      </c>
      <c r="K26" s="34" t="n">
        <v>28995.82</v>
      </c>
      <c r="L26" s="18" t="n">
        <v>28035.25</v>
      </c>
      <c r="M26" s="18" t="n">
        <v>42788.28</v>
      </c>
      <c r="N26" s="18" t="n">
        <v>50414.24</v>
      </c>
      <c r="O26" s="18" t="n">
        <v>41993.2</v>
      </c>
      <c r="P26" s="34" t="n">
        <v>41993.2</v>
      </c>
      <c r="Q26" s="18" t="n">
        <v>38538.89</v>
      </c>
      <c r="R26" s="18" t="n">
        <v>44457.64</v>
      </c>
      <c r="S26" s="18" t="n">
        <v>36102.92</v>
      </c>
      <c r="T26" s="18" t="n">
        <v>35183.47</v>
      </c>
      <c r="U26" s="34" t="n">
        <v>35183.47</v>
      </c>
      <c r="V26" s="18" t="n">
        <v>34717.63</v>
      </c>
      <c r="W26" s="18" t="n">
        <v>50101.16</v>
      </c>
      <c r="X26" s="18" t="n">
        <v>55714.48</v>
      </c>
      <c r="Y26" s="18" t="n">
        <v>54589.97</v>
      </c>
      <c r="Z26" s="34" t="n">
        <v>54589.97</v>
      </c>
      <c r="AA26" s="18" t="n">
        <v>49711.36</v>
      </c>
      <c r="AB26" s="19" t="n">
        <v>50328.79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3786.62</v>
      </c>
      <c r="F27" s="34" t="n">
        <v>3786.62</v>
      </c>
      <c r="G27" s="18" t="n">
        <v>5537.07</v>
      </c>
      <c r="H27" s="18" t="n">
        <v>5742.62</v>
      </c>
      <c r="I27" s="18" t="n">
        <v>7035.13</v>
      </c>
      <c r="J27" s="18" t="n">
        <v>9037.209999999999</v>
      </c>
      <c r="K27" s="34" t="n">
        <v>9037.209999999999</v>
      </c>
      <c r="L27" s="18" t="n">
        <v>6005.04</v>
      </c>
      <c r="M27" s="18" t="n">
        <v>4117.92</v>
      </c>
      <c r="N27" s="18" t="n">
        <v>5694.06</v>
      </c>
      <c r="O27" s="18" t="n">
        <v>4087.7</v>
      </c>
      <c r="P27" s="34" t="n">
        <v>4087.7</v>
      </c>
      <c r="Q27" s="18" t="n">
        <v>4549.18</v>
      </c>
      <c r="R27" s="18" t="n">
        <v>1379.86</v>
      </c>
      <c r="S27" s="18" t="n">
        <v>1048.77</v>
      </c>
      <c r="T27" s="18" t="n">
        <v>1444.45</v>
      </c>
      <c r="U27" s="34" t="n">
        <v>1444.45</v>
      </c>
      <c r="V27" s="18" t="n">
        <v>1526.37</v>
      </c>
      <c r="W27" s="18" t="n">
        <v>1572.58</v>
      </c>
      <c r="X27" s="18" t="n">
        <v>1548.36</v>
      </c>
      <c r="Y27" s="18" t="n">
        <v>2604.49</v>
      </c>
      <c r="Z27" s="34" t="n">
        <v>2604.49</v>
      </c>
      <c r="AA27" s="18" t="n">
        <v>2162.81</v>
      </c>
      <c r="AB27" s="19" t="n">
        <v>2290.91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유동리스부채</t>
        </is>
      </c>
      <c r="E28" s="18" t="n">
        <v>2131.97</v>
      </c>
      <c r="F28" s="34" t="n">
        <v>2131.97</v>
      </c>
      <c r="G28" s="18" t="n">
        <v>2295.95</v>
      </c>
      <c r="J28" s="18" t="n">
        <v>2010.33</v>
      </c>
      <c r="K28" s="34" t="n">
        <v>2010.33</v>
      </c>
      <c r="O28" s="18" t="n">
        <v>2070.85</v>
      </c>
      <c r="P28" s="34" t="n">
        <v>2070.85</v>
      </c>
      <c r="Q28" s="18" t="n">
        <v>2063.58</v>
      </c>
      <c r="R28" s="18" t="n">
        <v>2013.65</v>
      </c>
      <c r="S28" s="18" t="n">
        <v>1959.8</v>
      </c>
      <c r="T28" s="18" t="n">
        <v>2203.98</v>
      </c>
      <c r="U28" s="34" t="n">
        <v>2203.98</v>
      </c>
      <c r="V28" s="18" t="n">
        <v>2318.32</v>
      </c>
      <c r="W28" s="18" t="n">
        <v>2519.21</v>
      </c>
      <c r="X28" s="18" t="n">
        <v>2198.56</v>
      </c>
      <c r="Y28" s="18" t="n">
        <v>1981.23</v>
      </c>
      <c r="Z28" s="34" t="n">
        <v>1981.23</v>
      </c>
      <c r="AA28" s="18" t="n">
        <v>2013.6</v>
      </c>
      <c r="AB28" s="19" t="n">
        <v>2009.39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리스부채</t>
        </is>
      </c>
      <c r="E29" s="18" t="n">
        <v>10569.52</v>
      </c>
      <c r="F29" s="34" t="n">
        <v>10569.52</v>
      </c>
      <c r="G29" s="18" t="n">
        <v>11175.41</v>
      </c>
      <c r="J29" s="18" t="n">
        <v>12888.58</v>
      </c>
      <c r="K29" s="34" t="n">
        <v>12888.58</v>
      </c>
      <c r="O29" s="18" t="n">
        <v>11259.76</v>
      </c>
      <c r="P29" s="34" t="n">
        <v>11259.76</v>
      </c>
      <c r="Q29" s="18" t="n">
        <v>10844.55</v>
      </c>
      <c r="R29" s="18" t="n">
        <v>10146.38</v>
      </c>
      <c r="S29" s="18" t="n">
        <v>10294.72</v>
      </c>
      <c r="T29" s="18" t="n">
        <v>10119.11</v>
      </c>
      <c r="U29" s="34" t="n">
        <v>10119.11</v>
      </c>
      <c r="V29" s="18" t="n">
        <v>10005.1</v>
      </c>
      <c r="W29" s="18" t="n">
        <v>9531.700000000001</v>
      </c>
      <c r="X29" s="18" t="n">
        <v>9026.07</v>
      </c>
      <c r="Y29" s="18" t="n">
        <v>8484.4</v>
      </c>
      <c r="Z29" s="34" t="n">
        <v>8484.4</v>
      </c>
      <c r="AA29" s="18" t="n">
        <v>8609.92</v>
      </c>
      <c r="AB29" s="19" t="n">
        <v>8757.82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2131.97</v>
      </c>
      <c r="F30" s="34" t="n">
        <v>2131.97</v>
      </c>
      <c r="G30" s="18" t="n">
        <v>2295.95</v>
      </c>
      <c r="J30" s="18" t="n">
        <v>2010.33</v>
      </c>
      <c r="K30" s="34" t="n">
        <v>2010.33</v>
      </c>
      <c r="O30" s="18" t="n">
        <v>2070.85</v>
      </c>
      <c r="P30" s="34" t="n">
        <v>2070.85</v>
      </c>
      <c r="Q30" s="18" t="n">
        <v>2063.58</v>
      </c>
      <c r="R30" s="18" t="n">
        <v>2013.65</v>
      </c>
      <c r="S30" s="18" t="n">
        <v>1959.8</v>
      </c>
      <c r="T30" s="18" t="n">
        <v>2203.98</v>
      </c>
      <c r="U30" s="34" t="n">
        <v>2203.98</v>
      </c>
      <c r="V30" s="18" t="n">
        <v>2318.32</v>
      </c>
      <c r="W30" s="18" t="n">
        <v>2519.21</v>
      </c>
      <c r="X30" s="18" t="n">
        <v>2198.56</v>
      </c>
      <c r="Y30" s="18" t="n">
        <v>1981.23</v>
      </c>
      <c r="Z30" s="34" t="n">
        <v>1981.23</v>
      </c>
      <c r="AA30" s="18" t="n">
        <v>2013.6</v>
      </c>
      <c r="AB30" s="19" t="n">
        <v>2009.39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76725.39</v>
      </c>
      <c r="F31" s="34" t="n">
        <v>76725.39</v>
      </c>
      <c r="G31" s="18" t="n">
        <v>86683.28999999999</v>
      </c>
      <c r="H31" s="18" t="n">
        <v>73796.94</v>
      </c>
      <c r="I31" s="18" t="n">
        <v>128845.13</v>
      </c>
      <c r="J31" s="18" t="n">
        <v>122936.98</v>
      </c>
      <c r="K31" s="34" t="n">
        <v>122936.98</v>
      </c>
      <c r="L31" s="18" t="n">
        <v>128635.34</v>
      </c>
      <c r="M31" s="18" t="n">
        <v>128009.2</v>
      </c>
      <c r="N31" s="18" t="n">
        <v>125814.39</v>
      </c>
      <c r="O31" s="18" t="n">
        <v>123172.89</v>
      </c>
      <c r="P31" s="34" t="n">
        <v>123172.89</v>
      </c>
      <c r="Q31" s="18" t="n">
        <v>102439.6</v>
      </c>
      <c r="R31" s="18" t="n">
        <v>142039.24</v>
      </c>
      <c r="S31" s="18" t="n">
        <v>137422.15</v>
      </c>
      <c r="T31" s="18" t="n">
        <v>150054.62</v>
      </c>
      <c r="U31" s="34" t="n">
        <v>150054.62</v>
      </c>
      <c r="V31" s="18" t="n">
        <v>168756.12</v>
      </c>
      <c r="W31" s="18" t="n">
        <v>147832.18</v>
      </c>
      <c r="X31" s="18" t="n">
        <v>210418.44</v>
      </c>
      <c r="Y31" s="18" t="n">
        <v>208069.42</v>
      </c>
      <c r="Z31" s="34" t="n">
        <v>208069.42</v>
      </c>
      <c r="AA31" s="18" t="n">
        <v>220536.48</v>
      </c>
      <c r="AB31" s="19" t="n">
        <v>256221.65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46214.49</v>
      </c>
      <c r="F32" s="34" t="n">
        <v>46214.49</v>
      </c>
      <c r="G32" s="18" t="n">
        <v>55079.55</v>
      </c>
      <c r="H32" s="18" t="n">
        <v>40173.32</v>
      </c>
      <c r="I32" s="18" t="n">
        <v>73636.48</v>
      </c>
      <c r="J32" s="18" t="n">
        <v>72314.73</v>
      </c>
      <c r="K32" s="34" t="n">
        <v>72314.73</v>
      </c>
      <c r="L32" s="18" t="n">
        <v>76116.60000000001</v>
      </c>
      <c r="M32" s="18" t="n">
        <v>78591.60000000001</v>
      </c>
      <c r="N32" s="18" t="n">
        <v>80566.61</v>
      </c>
      <c r="O32" s="18" t="n">
        <v>82131.08</v>
      </c>
      <c r="P32" s="34" t="n">
        <v>82131.08</v>
      </c>
      <c r="Q32" s="18" t="n">
        <v>61557.44</v>
      </c>
      <c r="R32" s="18" t="n">
        <v>101492.78</v>
      </c>
      <c r="S32" s="18" t="n">
        <v>97705.83</v>
      </c>
      <c r="T32" s="18" t="n">
        <v>91283.42</v>
      </c>
      <c r="U32" s="34" t="n">
        <v>91283.42</v>
      </c>
      <c r="V32" s="18" t="n">
        <v>127659.57</v>
      </c>
      <c r="W32" s="18" t="n">
        <v>106939</v>
      </c>
      <c r="X32" s="18" t="n">
        <v>171166.66</v>
      </c>
      <c r="Y32" s="18" t="n">
        <v>5028.94</v>
      </c>
      <c r="Z32" s="34" t="n">
        <v>5028.94</v>
      </c>
      <c r="AA32" s="18" t="n">
        <v>182655.89</v>
      </c>
      <c r="AB32" s="19" t="n">
        <v>215163.31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1475.59</v>
      </c>
      <c r="F33" s="34" t="n">
        <v>1475.59</v>
      </c>
      <c r="H33" s="18" t="n">
        <v>1716.84</v>
      </c>
      <c r="I33" s="18" t="n">
        <v>1716.91</v>
      </c>
      <c r="J33" s="18" t="n">
        <v>1870.28</v>
      </c>
      <c r="K33" s="34" t="n">
        <v>1870.28</v>
      </c>
      <c r="L33" s="18" t="n">
        <v>2017.65</v>
      </c>
      <c r="M33" s="18" t="n">
        <v>1942.82</v>
      </c>
      <c r="N33" s="18" t="n">
        <v>1974.54</v>
      </c>
      <c r="O33" s="18" t="n">
        <v>1743.85</v>
      </c>
      <c r="P33" s="34" t="n">
        <v>1743.85</v>
      </c>
      <c r="Q33" s="18" t="n">
        <v>1617.13</v>
      </c>
      <c r="T33" s="18" t="n">
        <v>1003.03</v>
      </c>
      <c r="U33" s="34" t="n">
        <v>1003.03</v>
      </c>
      <c r="V33" s="18" t="n">
        <v>1071.82</v>
      </c>
      <c r="W33" s="18" t="n">
        <v>1184.44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18730.14</v>
      </c>
      <c r="F34" s="34" t="n">
        <v>18730.14</v>
      </c>
      <c r="G34" s="18" t="n">
        <v>19315.92</v>
      </c>
      <c r="H34" s="18" t="n">
        <v>19107.62</v>
      </c>
      <c r="I34" s="18" t="n">
        <v>38750.86</v>
      </c>
      <c r="J34" s="18" t="n">
        <v>36177.81</v>
      </c>
      <c r="K34" s="34" t="n">
        <v>36177.81</v>
      </c>
      <c r="L34" s="18" t="n">
        <v>36618.6</v>
      </c>
      <c r="M34" s="18" t="n">
        <v>34566.21</v>
      </c>
      <c r="N34" s="18" t="n">
        <v>31806.04</v>
      </c>
      <c r="O34" s="18" t="n">
        <v>28450.91</v>
      </c>
      <c r="P34" s="34" t="n">
        <v>28450.91</v>
      </c>
      <c r="Q34" s="18" t="n">
        <v>28663.09</v>
      </c>
      <c r="R34" s="18" t="n">
        <v>27897.25</v>
      </c>
      <c r="S34" s="18" t="n">
        <v>26863.34</v>
      </c>
      <c r="T34" s="18" t="n">
        <v>28048.24</v>
      </c>
      <c r="U34" s="34" t="n">
        <v>28048.24</v>
      </c>
      <c r="V34" s="18" t="n">
        <v>28681.25</v>
      </c>
      <c r="W34" s="18" t="n">
        <v>27721.24</v>
      </c>
      <c r="X34" s="18" t="n">
        <v>28159.86</v>
      </c>
      <c r="Y34" s="18" t="n">
        <v>26252.87</v>
      </c>
      <c r="Z34" s="34" t="n">
        <v>26252.87</v>
      </c>
      <c r="AA34" s="18" t="n">
        <v>28691.21</v>
      </c>
      <c r="AB34" s="19" t="n">
        <v>31720.8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1194.7</v>
      </c>
      <c r="F35" s="34" t="n">
        <v>1194.7</v>
      </c>
      <c r="G35" s="18" t="n">
        <v>1140.91</v>
      </c>
      <c r="H35" s="18" t="n">
        <v>1093.04</v>
      </c>
      <c r="I35" s="18" t="n">
        <v>1066.47</v>
      </c>
      <c r="J35" s="18" t="n">
        <v>1280.86</v>
      </c>
      <c r="K35" s="34" t="n">
        <v>1280.86</v>
      </c>
      <c r="L35" s="18" t="n">
        <v>1365.25</v>
      </c>
      <c r="M35" s="18" t="n">
        <v>1457.78</v>
      </c>
      <c r="N35" s="18" t="n">
        <v>1445.29</v>
      </c>
      <c r="O35" s="18" t="n">
        <v>1658.13</v>
      </c>
      <c r="P35" s="34" t="n">
        <v>1658.13</v>
      </c>
      <c r="Q35" s="18" t="n">
        <v>1752.04</v>
      </c>
      <c r="R35" s="18" t="n">
        <v>1821.61</v>
      </c>
      <c r="S35" s="18" t="n">
        <v>1846.1</v>
      </c>
      <c r="T35" s="18" t="n">
        <v>1837.54</v>
      </c>
      <c r="U35" s="34" t="n">
        <v>1837.54</v>
      </c>
      <c r="V35" s="18" t="n">
        <v>1776.03</v>
      </c>
      <c r="W35" s="18" t="n">
        <v>1789.66</v>
      </c>
      <c r="X35" s="18" t="n">
        <v>1753.93</v>
      </c>
      <c r="Y35" s="18" t="n">
        <v>1538.96</v>
      </c>
      <c r="Z35" s="34" t="n">
        <v>1538.96</v>
      </c>
      <c r="AA35" s="18" t="n">
        <v>1421.22</v>
      </c>
      <c r="AB35" s="19" t="n">
        <v>1409.59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8437.549999999999</v>
      </c>
      <c r="F36" s="34" t="n">
        <v>8437.549999999999</v>
      </c>
      <c r="G36" s="18" t="n">
        <v>8879.459999999999</v>
      </c>
      <c r="J36" s="18" t="n">
        <v>10878.25</v>
      </c>
      <c r="K36" s="34" t="n">
        <v>10878.25</v>
      </c>
      <c r="O36" s="18" t="n">
        <v>9188.91</v>
      </c>
      <c r="P36" s="34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4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4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8437.549999999999</v>
      </c>
      <c r="F37" s="34" t="n">
        <v>8437.549999999999</v>
      </c>
      <c r="G37" s="18" t="n">
        <v>10548.94</v>
      </c>
      <c r="J37" s="18" t="n">
        <v>10878.25</v>
      </c>
      <c r="K37" s="34" t="n">
        <v>10878.25</v>
      </c>
      <c r="O37" s="18" t="n">
        <v>9188.91</v>
      </c>
      <c r="P37" s="34" t="n">
        <v>9188.91</v>
      </c>
      <c r="Q37" s="18" t="n">
        <v>8780.969999999999</v>
      </c>
      <c r="R37" s="18" t="n">
        <v>8132.73</v>
      </c>
      <c r="S37" s="18" t="n">
        <v>8334.92</v>
      </c>
      <c r="T37" s="18" t="n">
        <v>7915.13</v>
      </c>
      <c r="U37" s="34" t="n">
        <v>7915.13</v>
      </c>
      <c r="V37" s="18" t="n">
        <v>7686.78</v>
      </c>
      <c r="W37" s="18" t="n">
        <v>7012.49</v>
      </c>
      <c r="X37" s="18" t="n">
        <v>6827.51</v>
      </c>
      <c r="Y37" s="18" t="n">
        <v>6503.17</v>
      </c>
      <c r="Z37" s="34" t="n">
        <v>6503.17</v>
      </c>
      <c r="AA37" s="18" t="n">
        <v>6596.32</v>
      </c>
      <c r="AB37" s="19" t="n">
        <v>6748.43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481987.96</v>
      </c>
      <c r="F38" s="34" t="n">
        <v>481987.96</v>
      </c>
      <c r="G38" s="18" t="n">
        <v>500201.25</v>
      </c>
      <c r="H38" s="18" t="n">
        <v>543777.8</v>
      </c>
      <c r="I38" s="18" t="n">
        <v>664065.8</v>
      </c>
      <c r="J38" s="18" t="n">
        <v>646587.48</v>
      </c>
      <c r="K38" s="34" t="n">
        <v>646587.48</v>
      </c>
      <c r="L38" s="18" t="n">
        <v>660517.26</v>
      </c>
      <c r="M38" s="18" t="n">
        <v>679286.76</v>
      </c>
      <c r="N38" s="18" t="n">
        <v>665532.89</v>
      </c>
      <c r="O38" s="18" t="n">
        <v>652973.75</v>
      </c>
      <c r="P38" s="34" t="n">
        <v>652973.75</v>
      </c>
      <c r="Q38" s="18" t="n">
        <v>668275.99</v>
      </c>
      <c r="R38" s="18" t="n">
        <v>666926.64</v>
      </c>
      <c r="S38" s="18" t="n">
        <v>670491.9399999999</v>
      </c>
      <c r="T38" s="18" t="n">
        <v>662560.9</v>
      </c>
      <c r="U38" s="34" t="n">
        <v>662560.9</v>
      </c>
      <c r="V38" s="18" t="n">
        <v>683282.25</v>
      </c>
      <c r="W38" s="18" t="n">
        <v>707911.17</v>
      </c>
      <c r="X38" s="18" t="n">
        <v>715045.1</v>
      </c>
      <c r="Y38" s="18" t="n">
        <v>689840.04</v>
      </c>
      <c r="Z38" s="34" t="n">
        <v>689840.04</v>
      </c>
      <c r="AA38" s="18" t="n">
        <v>731068.1899999999</v>
      </c>
      <c r="AB38" s="19" t="n">
        <v>782766.29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310567.99</v>
      </c>
      <c r="F39" s="34" t="n">
        <v>310567.99</v>
      </c>
      <c r="G39" s="18" t="n">
        <v>318287.19</v>
      </c>
      <c r="H39" s="18" t="n">
        <v>324686.41</v>
      </c>
      <c r="I39" s="18" t="n">
        <v>372143.2</v>
      </c>
      <c r="J39" s="18" t="n">
        <v>367103.96</v>
      </c>
      <c r="K39" s="34" t="n">
        <v>367103.96</v>
      </c>
      <c r="L39" s="18" t="n">
        <v>371032.61</v>
      </c>
      <c r="M39" s="18" t="n">
        <v>382410.85</v>
      </c>
      <c r="N39" s="18" t="n">
        <v>392089.67</v>
      </c>
      <c r="O39" s="18" t="n">
        <v>393555.16</v>
      </c>
      <c r="P39" s="34" t="n">
        <v>393555.16</v>
      </c>
      <c r="Q39" s="18" t="n">
        <v>388983.67</v>
      </c>
      <c r="R39" s="18" t="n">
        <v>396499.27</v>
      </c>
      <c r="S39" s="18" t="n">
        <v>397339.04</v>
      </c>
      <c r="T39" s="18" t="n">
        <v>396522.12</v>
      </c>
      <c r="U39" s="34" t="n">
        <v>396522.12</v>
      </c>
      <c r="V39" s="18" t="n">
        <v>389534.89</v>
      </c>
      <c r="W39" s="18" t="n">
        <v>379639.62</v>
      </c>
      <c r="X39" s="18" t="n">
        <v>374876.44</v>
      </c>
      <c r="Y39" s="18" t="n">
        <v>359968.05</v>
      </c>
      <c r="Z39" s="34" t="n">
        <v>359968.05</v>
      </c>
      <c r="AA39" s="18" t="n">
        <v>371954</v>
      </c>
      <c r="AB39" s="19" t="n">
        <v>376768.77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63101.14</v>
      </c>
      <c r="F40" s="34" t="n">
        <v>63101.14</v>
      </c>
      <c r="G40" s="18" t="n">
        <v>63101.14</v>
      </c>
      <c r="H40" s="18" t="n">
        <v>63101.14</v>
      </c>
      <c r="I40" s="18" t="n">
        <v>63101.14</v>
      </c>
      <c r="J40" s="18" t="n">
        <v>63101.14</v>
      </c>
      <c r="K40" s="34" t="n">
        <v>63101.14</v>
      </c>
      <c r="L40" s="18" t="n">
        <v>63101.14</v>
      </c>
      <c r="M40" s="18" t="n">
        <v>63101.14</v>
      </c>
      <c r="N40" s="18" t="n">
        <v>63101.14</v>
      </c>
      <c r="O40" s="18" t="n">
        <v>63101.14</v>
      </c>
      <c r="P40" s="34" t="n">
        <v>63101.14</v>
      </c>
      <c r="Q40" s="18" t="n">
        <v>63101.14</v>
      </c>
      <c r="R40" s="18" t="n">
        <v>63101.14</v>
      </c>
      <c r="S40" s="18" t="n">
        <v>63101.14</v>
      </c>
      <c r="T40" s="18" t="n">
        <v>93020.37</v>
      </c>
      <c r="U40" s="34" t="n">
        <v>93020.37</v>
      </c>
      <c r="V40" s="18" t="n">
        <v>93020.37</v>
      </c>
      <c r="W40" s="18" t="n">
        <v>93020.37</v>
      </c>
      <c r="X40" s="18" t="n">
        <v>93020.37</v>
      </c>
      <c r="Y40" s="18" t="n">
        <v>93020.37</v>
      </c>
      <c r="Z40" s="34" t="n">
        <v>93020.37</v>
      </c>
      <c r="AA40" s="18" t="n">
        <v>93020.37</v>
      </c>
      <c r="AB40" s="19" t="n">
        <v>93020.37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1069.8</v>
      </c>
      <c r="F41" s="34" t="n">
        <v>1069.8</v>
      </c>
      <c r="G41" s="18" t="n">
        <v>1069.8</v>
      </c>
      <c r="H41" s="18" t="n">
        <v>1173.36</v>
      </c>
      <c r="I41" s="18" t="n">
        <v>7132.85</v>
      </c>
      <c r="J41" s="18" t="n">
        <v>7971.36</v>
      </c>
      <c r="K41" s="34" t="n">
        <v>7971.36</v>
      </c>
      <c r="L41" s="18" t="n">
        <v>7971.36</v>
      </c>
      <c r="M41" s="18" t="n">
        <v>7971.36</v>
      </c>
      <c r="N41" s="18" t="n">
        <v>1772.95</v>
      </c>
      <c r="O41" s="18" t="n">
        <v>1772.95</v>
      </c>
      <c r="P41" s="34" t="n">
        <v>1772.95</v>
      </c>
      <c r="Q41" s="18" t="n">
        <v>-3518.65</v>
      </c>
      <c r="R41" s="18" t="n">
        <v>2158.03</v>
      </c>
      <c r="S41" s="18" t="n">
        <v>2158.03</v>
      </c>
      <c r="T41" s="18" t="n">
        <v>35339.94</v>
      </c>
      <c r="U41" s="34" t="n">
        <v>35339.94</v>
      </c>
      <c r="V41" s="18" t="n">
        <v>31031.25</v>
      </c>
      <c r="W41" s="18" t="n">
        <v>31030.83</v>
      </c>
      <c r="X41" s="18" t="n">
        <v>31024.43</v>
      </c>
      <c r="Y41" s="18" t="n">
        <v>43348.05</v>
      </c>
      <c r="Z41" s="34" t="n">
        <v>43348.05</v>
      </c>
      <c r="AA41" s="18" t="n">
        <v>42248.59</v>
      </c>
      <c r="AB41" s="19" t="n">
        <v>40978.84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-1474.69</v>
      </c>
      <c r="F42" s="34" t="n">
        <v>-1474.69</v>
      </c>
      <c r="G42" s="18" t="n">
        <v>-448.57</v>
      </c>
      <c r="H42" s="18" t="n">
        <v>-680.36</v>
      </c>
      <c r="I42" s="18" t="n">
        <v>2499.44</v>
      </c>
      <c r="J42" s="18" t="n">
        <v>-910.39</v>
      </c>
      <c r="K42" s="34" t="n">
        <v>-910.39</v>
      </c>
      <c r="L42" s="18" t="n">
        <v>337.04</v>
      </c>
      <c r="M42" s="18" t="n">
        <v>-381.81</v>
      </c>
      <c r="N42" s="18" t="n">
        <v>353.88</v>
      </c>
      <c r="O42" s="18" t="n">
        <v>-719.03</v>
      </c>
      <c r="P42" s="34" t="n">
        <v>-719.03</v>
      </c>
      <c r="Q42" s="18" t="n">
        <v>-493.3</v>
      </c>
      <c r="R42" s="18" t="n">
        <v>-146.84</v>
      </c>
      <c r="S42" s="18" t="n">
        <v>1705.47</v>
      </c>
      <c r="T42" s="18" t="n">
        <v>3610.64</v>
      </c>
      <c r="U42" s="34" t="n">
        <v>3610.64</v>
      </c>
      <c r="V42" s="18" t="n">
        <v>3834.48</v>
      </c>
      <c r="W42" s="18" t="n">
        <v>1136.68</v>
      </c>
      <c r="X42" s="18" t="n">
        <v>2677.52</v>
      </c>
      <c r="Y42" s="18" t="n">
        <v>5716.35</v>
      </c>
      <c r="Z42" s="34" t="n">
        <v>5716.35</v>
      </c>
      <c r="AA42" s="18" t="n">
        <v>8384.530000000001</v>
      </c>
      <c r="AB42" s="19" t="n">
        <v>7019.59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247871.74</v>
      </c>
      <c r="F43" s="34" t="n">
        <v>247871.74</v>
      </c>
      <c r="G43" s="18" t="n">
        <v>254564.82</v>
      </c>
      <c r="H43" s="18" t="n">
        <v>261092.27</v>
      </c>
      <c r="I43" s="18" t="n">
        <v>299409.77</v>
      </c>
      <c r="J43" s="18" t="n">
        <v>296941.85</v>
      </c>
      <c r="K43" s="34" t="n">
        <v>296941.85</v>
      </c>
      <c r="L43" s="18" t="n">
        <v>299623.07</v>
      </c>
      <c r="M43" s="18" t="n">
        <v>311720.16</v>
      </c>
      <c r="N43" s="18" t="n">
        <v>326861.69</v>
      </c>
      <c r="O43" s="18" t="n">
        <v>329400.1</v>
      </c>
      <c r="P43" s="34" t="n">
        <v>329400.1</v>
      </c>
      <c r="Q43" s="18" t="n">
        <v>329894.47</v>
      </c>
      <c r="R43" s="18" t="n">
        <v>331386.94</v>
      </c>
      <c r="S43" s="18" t="n">
        <v>330374.4</v>
      </c>
      <c r="T43" s="18" t="n">
        <v>327652.3</v>
      </c>
      <c r="U43" s="34" t="n">
        <v>327652.3</v>
      </c>
      <c r="V43" s="18" t="n">
        <v>324749.92</v>
      </c>
      <c r="W43" s="18" t="n">
        <v>317552.88</v>
      </c>
      <c r="X43" s="18" t="n">
        <v>311255.26</v>
      </c>
      <c r="Y43" s="18" t="n">
        <v>280984.42</v>
      </c>
      <c r="Z43" s="34" t="n">
        <v>280984.42</v>
      </c>
      <c r="AA43" s="18" t="n">
        <v>291401.64</v>
      </c>
      <c r="AB43" s="19" t="n">
        <v>298851.11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76102.8</v>
      </c>
      <c r="F44" s="34" t="n">
        <v>76102.8</v>
      </c>
      <c r="G44" s="18" t="n">
        <v>76229.03</v>
      </c>
      <c r="H44" s="18" t="n">
        <v>76028.36</v>
      </c>
      <c r="I44" s="18" t="n">
        <v>79871.77</v>
      </c>
      <c r="J44" s="18" t="n">
        <v>81110.35000000001</v>
      </c>
      <c r="K44" s="34" t="n">
        <v>81110.35000000001</v>
      </c>
      <c r="L44" s="18" t="n">
        <v>81205.94</v>
      </c>
      <c r="M44" s="18" t="n">
        <v>82460.67999999999</v>
      </c>
      <c r="N44" s="18" t="n">
        <v>80824.8</v>
      </c>
      <c r="O44" s="18" t="n">
        <v>83938.78999999999</v>
      </c>
      <c r="P44" s="34" t="n">
        <v>83938.78999999999</v>
      </c>
      <c r="Q44" s="18" t="n">
        <v>91221.3</v>
      </c>
      <c r="R44" s="18" t="n">
        <v>95965.81</v>
      </c>
      <c r="S44" s="18" t="n">
        <v>99212.86</v>
      </c>
      <c r="T44" s="18" t="n">
        <v>102816.23</v>
      </c>
      <c r="U44" s="34" t="n">
        <v>102816.23</v>
      </c>
      <c r="V44" s="18" t="n">
        <v>116698.02</v>
      </c>
      <c r="W44" s="18" t="n">
        <v>119333.47</v>
      </c>
      <c r="X44" s="18" t="n">
        <v>129807.97</v>
      </c>
      <c r="Y44" s="18" t="n">
        <v>138183.49</v>
      </c>
      <c r="Z44" s="34" t="n">
        <v>138183.49</v>
      </c>
      <c r="AA44" s="18" t="n">
        <v>140814.65</v>
      </c>
      <c r="AB44" s="19" t="n">
        <v>155779.52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386670.79</v>
      </c>
      <c r="F45" s="34" t="n">
        <v>386670.79</v>
      </c>
      <c r="G45" s="18" t="n">
        <v>394516.22</v>
      </c>
      <c r="H45" s="18" t="n">
        <v>400714.77</v>
      </c>
      <c r="I45" s="18" t="n">
        <v>452014.97</v>
      </c>
      <c r="J45" s="18" t="n">
        <v>448214.31</v>
      </c>
      <c r="K45" s="34" t="n">
        <v>448214.31</v>
      </c>
      <c r="L45" s="18" t="n">
        <v>452238.55</v>
      </c>
      <c r="M45" s="18" t="n">
        <v>464871.52</v>
      </c>
      <c r="N45" s="18" t="n">
        <v>472914.47</v>
      </c>
      <c r="O45" s="18" t="n">
        <v>477493.96</v>
      </c>
      <c r="P45" s="34" t="n">
        <v>477493.96</v>
      </c>
      <c r="Q45" s="18" t="n">
        <v>480204.96</v>
      </c>
      <c r="R45" s="18" t="n">
        <v>492465.09</v>
      </c>
      <c r="S45" s="18" t="n">
        <v>496551.91</v>
      </c>
      <c r="T45" s="18" t="n">
        <v>499338.34</v>
      </c>
      <c r="U45" s="34" t="n">
        <v>499338.34</v>
      </c>
      <c r="V45" s="18" t="n">
        <v>506232.91</v>
      </c>
      <c r="W45" s="18" t="n">
        <v>498973.09</v>
      </c>
      <c r="X45" s="18" t="n">
        <v>504684.41</v>
      </c>
      <c r="Y45" s="18" t="n">
        <v>498151.54</v>
      </c>
      <c r="Z45" s="34" t="n">
        <v>498151.54</v>
      </c>
      <c r="AA45" s="18" t="n">
        <v>512768.65</v>
      </c>
      <c r="AB45" s="19" t="n">
        <v>532548.28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868658.75</v>
      </c>
      <c r="F46" s="34" t="n">
        <v>868658.75</v>
      </c>
      <c r="G46" s="18" t="n">
        <v>894717.47</v>
      </c>
      <c r="H46" s="18" t="n">
        <v>944492.58</v>
      </c>
      <c r="I46" s="18" t="n">
        <v>1116080.77</v>
      </c>
      <c r="J46" s="18" t="n">
        <v>1094801.8</v>
      </c>
      <c r="K46" s="34" t="n">
        <v>1094801.8</v>
      </c>
      <c r="L46" s="18" t="n">
        <v>1112755.81</v>
      </c>
      <c r="M46" s="18" t="n">
        <v>1144158.28</v>
      </c>
      <c r="N46" s="18" t="n">
        <v>1138447.36</v>
      </c>
      <c r="O46" s="18" t="n">
        <v>1130467.71</v>
      </c>
      <c r="P46" s="34" t="n">
        <v>1130467.71</v>
      </c>
      <c r="Q46" s="18" t="n">
        <v>1148480.96</v>
      </c>
      <c r="R46" s="18" t="n">
        <v>1159391.73</v>
      </c>
      <c r="S46" s="18" t="n">
        <v>1167043.85</v>
      </c>
      <c r="T46" s="18" t="n">
        <v>1161899.25</v>
      </c>
      <c r="U46" s="34" t="n">
        <v>1161899.25</v>
      </c>
      <c r="V46" s="18" t="n">
        <v>1189515.16</v>
      </c>
      <c r="W46" s="18" t="n">
        <v>1206884.26</v>
      </c>
      <c r="X46" s="18" t="n">
        <v>1219729.5</v>
      </c>
      <c r="Y46" s="18" t="n">
        <v>1187991.58</v>
      </c>
      <c r="Z46" s="34" t="n">
        <v>1187991.58</v>
      </c>
      <c r="AA46" s="18" t="n">
        <v>1243836.83</v>
      </c>
      <c r="AB46" s="19" t="n">
        <v>1315314.58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344867.25</v>
      </c>
      <c r="F47" s="34" t="n">
        <v>344867.25</v>
      </c>
      <c r="G47" s="18" t="n">
        <v>355444.86</v>
      </c>
      <c r="H47" s="18" t="n">
        <v>406676.63</v>
      </c>
      <c r="I47" s="18" t="n">
        <v>476751.85</v>
      </c>
      <c r="J47" s="18" t="n">
        <v>462603.34</v>
      </c>
      <c r="K47" s="34" t="n">
        <v>462603.34</v>
      </c>
      <c r="L47" s="18" t="n">
        <v>486853.9</v>
      </c>
      <c r="M47" s="18" t="n">
        <v>484785.52</v>
      </c>
      <c r="N47" s="18" t="n">
        <v>474886.58</v>
      </c>
      <c r="O47" s="18" t="n">
        <v>465321.33</v>
      </c>
      <c r="P47" s="34" t="n">
        <v>465321.33</v>
      </c>
      <c r="Q47" s="18" t="n">
        <v>483044.77</v>
      </c>
      <c r="R47" s="18" t="n">
        <v>502299.45</v>
      </c>
      <c r="S47" s="18" t="n">
        <v>513858.49</v>
      </c>
      <c r="T47" s="18" t="n">
        <v>502328.45</v>
      </c>
      <c r="U47" s="34" t="n">
        <v>502328.45</v>
      </c>
      <c r="V47" s="18" t="n">
        <v>560406.33</v>
      </c>
      <c r="W47" s="18" t="n">
        <v>573096.8</v>
      </c>
      <c r="X47" s="18" t="n">
        <v>537102.49</v>
      </c>
      <c r="Y47" s="18" t="n">
        <v>351228.45</v>
      </c>
      <c r="Z47" s="34" t="n">
        <v>351228.45</v>
      </c>
      <c r="AA47" s="18" t="n">
        <v>550361.38</v>
      </c>
      <c r="AB47" s="19" t="n">
        <v>608041.83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249054.91</v>
      </c>
      <c r="F48" s="34" t="n">
        <v>249054.91</v>
      </c>
      <c r="G48" s="18" t="n">
        <v>257028.15</v>
      </c>
      <c r="H48" s="18" t="n">
        <v>307130.53</v>
      </c>
      <c r="I48" s="18" t="n">
        <v>376254.26</v>
      </c>
      <c r="J48" s="18" t="n">
        <v>372463.05</v>
      </c>
      <c r="K48" s="34" t="n">
        <v>372463.05</v>
      </c>
      <c r="L48" s="18" t="n">
        <v>389588.13</v>
      </c>
      <c r="M48" s="18" t="n">
        <v>375047.65</v>
      </c>
      <c r="N48" s="18" t="n">
        <v>377116.65</v>
      </c>
      <c r="O48" s="18" t="n">
        <v>363205.85</v>
      </c>
      <c r="P48" s="34" t="n">
        <v>363205.85</v>
      </c>
      <c r="Q48" s="18" t="n">
        <v>375972.33</v>
      </c>
      <c r="R48" s="18" t="n">
        <v>423341.82</v>
      </c>
      <c r="S48" s="18" t="n">
        <v>422790.45</v>
      </c>
      <c r="T48" s="18" t="n">
        <v>414871.69</v>
      </c>
      <c r="U48" s="34" t="n">
        <v>414871.69</v>
      </c>
      <c r="V48" s="18" t="n">
        <v>439276.53</v>
      </c>
      <c r="W48" s="18" t="n">
        <v>458209.12</v>
      </c>
      <c r="X48" s="18" t="n">
        <v>400932.57</v>
      </c>
      <c r="Y48" s="18" t="n">
        <v>244007.13</v>
      </c>
      <c r="Z48" s="34" t="n">
        <v>244007.13</v>
      </c>
      <c r="AA48" s="18" t="n">
        <v>415388.35</v>
      </c>
      <c r="AB48" s="19" t="n">
        <v>455719.13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106025.08</v>
      </c>
      <c r="F49" s="34" t="n">
        <v>106025.08</v>
      </c>
      <c r="G49" s="18" t="n">
        <v>109277.14</v>
      </c>
      <c r="H49" s="18" t="n">
        <v>109066.42</v>
      </c>
      <c r="I49" s="18" t="n">
        <v>109763.14</v>
      </c>
      <c r="J49" s="18" t="n">
        <v>99639.38</v>
      </c>
      <c r="K49" s="34" t="n">
        <v>99639.38</v>
      </c>
      <c r="L49" s="18" t="n">
        <v>107131.77</v>
      </c>
      <c r="M49" s="18" t="n">
        <v>119608.92</v>
      </c>
      <c r="N49" s="18" t="n">
        <v>108388.99</v>
      </c>
      <c r="O49" s="18" t="n">
        <v>114398.9</v>
      </c>
      <c r="P49" s="34" t="n">
        <v>114398.9</v>
      </c>
      <c r="Q49" s="18" t="n">
        <v>119018.94</v>
      </c>
      <c r="R49" s="18" t="n">
        <v>90792.84</v>
      </c>
      <c r="S49" s="18" t="n">
        <v>101165.75</v>
      </c>
      <c r="T49" s="18" t="n">
        <v>97020.23</v>
      </c>
      <c r="U49" s="34" t="n">
        <v>97020.23</v>
      </c>
      <c r="V49" s="18" t="n">
        <v>130844.65</v>
      </c>
      <c r="W49" s="18" t="n">
        <v>125166.52</v>
      </c>
      <c r="X49" s="18" t="n">
        <v>148860.16</v>
      </c>
      <c r="Y49" s="18" t="n">
        <v>132375.61</v>
      </c>
      <c r="Z49" s="34" t="n">
        <v>132375.61</v>
      </c>
      <c r="AA49" s="18" t="n">
        <v>157302.19</v>
      </c>
      <c r="AB49" s="19" t="n">
        <v>174285.96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G50" s="18" t="n">
        <v>1669.48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확정급여부채</t>
        </is>
      </c>
      <c r="F51" s="9" t="n"/>
      <c r="I51" s="18" t="n">
        <v>2077.68</v>
      </c>
      <c r="K51" s="9" t="n"/>
      <c r="L51" s="18" t="n">
        <v>1769.4</v>
      </c>
      <c r="M51" s="18" t="n">
        <v>1230.82</v>
      </c>
      <c r="N51" s="18" t="n">
        <v>218.03</v>
      </c>
      <c r="P51" s="9" t="n"/>
      <c r="Q51" s="18" t="n">
        <v>68.93000000000001</v>
      </c>
      <c r="R51" s="18" t="n">
        <v>1092.02</v>
      </c>
      <c r="S51" s="18" t="n">
        <v>1549.62</v>
      </c>
      <c r="U51" s="9" t="n"/>
      <c r="X51" s="18" t="n">
        <v>1358.11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42.12</v>
      </c>
      <c r="K52" s="34" t="n">
        <v>42.12</v>
      </c>
      <c r="L52" s="18" t="n">
        <v>44.53</v>
      </c>
      <c r="M52" s="18" t="n">
        <v>46.44</v>
      </c>
      <c r="N52" s="18" t="n">
        <v>46.91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O53" s="18" t="n">
        <v>2254.93</v>
      </c>
      <c r="P53" s="34" t="n">
        <v>2254.93</v>
      </c>
      <c r="Q53" s="18" t="n">
        <v>93.59</v>
      </c>
      <c r="U53" s="9" t="n"/>
      <c r="W53" s="18" t="n">
        <v>17729.08</v>
      </c>
      <c r="X53" s="18" t="n">
        <v>17729.08</v>
      </c>
      <c r="Y53" s="18" t="n">
        <v>17729.08</v>
      </c>
      <c r="Z53" s="34" t="n">
        <v>17729.08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P54" s="9" t="n"/>
      <c r="R54" s="18" t="n">
        <v>1602.86</v>
      </c>
      <c r="S54" s="18" t="n">
        <v>1122.35</v>
      </c>
      <c r="U54" s="9" t="n"/>
      <c r="X54" s="18" t="n">
        <v>1152.38</v>
      </c>
      <c r="Y54" s="18" t="n">
        <v>1182.65</v>
      </c>
      <c r="Z54" s="34" t="n">
        <v>1182.65</v>
      </c>
      <c r="AA54" s="18" t="n">
        <v>1171.84</v>
      </c>
      <c r="AB54" s="19" t="n">
        <v>1179.52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P55" s="9" t="n"/>
      <c r="T55" s="18" t="n">
        <v>19967.26</v>
      </c>
      <c r="U55" s="34" t="n">
        <v>19967.26</v>
      </c>
      <c r="V55" s="18" t="n">
        <v>39930.32</v>
      </c>
      <c r="W55" s="18" t="n">
        <v>39936.69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U56" s="9" t="n"/>
      <c r="X56" s="18" t="n">
        <v>4641.34</v>
      </c>
      <c r="Y56" s="18" t="n">
        <v>5028.94</v>
      </c>
      <c r="Z56" s="34" t="n">
        <v>5028.94</v>
      </c>
      <c r="AA56" s="18" t="n">
        <v>5349.24</v>
      </c>
      <c r="AB56" s="19" t="n">
        <v>11170.58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P57" s="9" t="n"/>
      <c r="U57" s="9" t="n"/>
      <c r="X57" s="18" t="n">
        <v>50099.02</v>
      </c>
      <c r="Y57" s="18" t="n">
        <v>41668.61</v>
      </c>
      <c r="Z57" s="34" t="n">
        <v>41668.61</v>
      </c>
      <c r="AA57" s="18" t="n">
        <v>36605.89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4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4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4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4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4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4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4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4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4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4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4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4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4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4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4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4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4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4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4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4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4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4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4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4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4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4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4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4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4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4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4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4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4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4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4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4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4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4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4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4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4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4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4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4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4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4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4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4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4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4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4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4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4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4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4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4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4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4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4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4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4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4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4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4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4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4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4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4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4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4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4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4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4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4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4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4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4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4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4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4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4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4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4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4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4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4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4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4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4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4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4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4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4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4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4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4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4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4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4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4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4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4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4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4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4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4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4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4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4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4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4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4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4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4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4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4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4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4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4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4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4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4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4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4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4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4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4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4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4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4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4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4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4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4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4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4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4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4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4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4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4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4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4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4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4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4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4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4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4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4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4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4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4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4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4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4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4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4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4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4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4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4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4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4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4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4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4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4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4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4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4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4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4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4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4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4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4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4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4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4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4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4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4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4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4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4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4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4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4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4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4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4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4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4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4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4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4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4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4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4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4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4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4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4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4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4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4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4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4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4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4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4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4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4" t="n">
        <v>18420.87</v>
      </c>
      <c r="J17" s="18" t="n">
        <v>12590.51</v>
      </c>
      <c r="K17" s="34" t="n">
        <v>12590.51</v>
      </c>
      <c r="N17" s="18" t="n">
        <v>11023.46</v>
      </c>
      <c r="O17" s="18" t="n">
        <v>9061.459999999999</v>
      </c>
      <c r="P17" s="34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4" t="n">
        <v>7930.14</v>
      </c>
      <c r="V17" s="18" t="n">
        <v>10933.92</v>
      </c>
      <c r="W17" s="18" t="n">
        <v>11160.92</v>
      </c>
      <c r="Y17" s="18" t="n">
        <v>12557.58</v>
      </c>
      <c r="Z17" s="34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4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4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4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4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4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4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4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4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4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4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4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4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4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4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4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4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4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4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4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4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4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4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4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4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4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4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4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4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4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4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4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4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4" t="n">
        <v>2866.99</v>
      </c>
      <c r="Q24" s="18" t="n">
        <v>3029.23</v>
      </c>
      <c r="R24" s="18" t="n">
        <v>775.16</v>
      </c>
      <c r="T24" s="18" t="n">
        <v>0</v>
      </c>
      <c r="U24" s="34" t="n">
        <v>0</v>
      </c>
      <c r="Y24" s="18" t="n">
        <v>0</v>
      </c>
      <c r="Z24" s="34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52668.28</v>
      </c>
      <c r="F25" s="34" t="n">
        <v>52668.28</v>
      </c>
      <c r="G25" s="18" t="n">
        <v>63079.03</v>
      </c>
      <c r="H25" s="18" t="n">
        <v>44536.3</v>
      </c>
      <c r="I25" s="18" t="n">
        <v>75143.5</v>
      </c>
      <c r="J25" s="18" t="n">
        <v>71627.11</v>
      </c>
      <c r="K25" s="34" t="n">
        <v>71627.11</v>
      </c>
      <c r="L25" s="18" t="n">
        <v>75112.85000000001</v>
      </c>
      <c r="M25" s="18" t="n">
        <v>74744.61</v>
      </c>
      <c r="N25" s="18" t="n">
        <v>74470.47</v>
      </c>
      <c r="O25" s="18" t="n">
        <v>73357.35000000001</v>
      </c>
      <c r="P25" s="34" t="n">
        <v>73357.35000000001</v>
      </c>
      <c r="Q25" s="18" t="n">
        <v>50693.98</v>
      </c>
      <c r="R25" s="18" t="n">
        <v>79440.13</v>
      </c>
      <c r="S25" s="18" t="n">
        <v>78921.66</v>
      </c>
      <c r="T25" s="18" t="n">
        <v>80086.42</v>
      </c>
      <c r="U25" s="34" t="n">
        <v>80086.42</v>
      </c>
      <c r="V25" s="18" t="n">
        <v>99313.64</v>
      </c>
      <c r="W25" s="18" t="n">
        <v>88416.49000000001</v>
      </c>
      <c r="X25" s="18" t="n">
        <v>122692.89</v>
      </c>
      <c r="Y25" s="18" t="n">
        <v>120262.57</v>
      </c>
      <c r="Z25" s="34" t="n">
        <v>120262.57</v>
      </c>
      <c r="AA25" s="18" t="n">
        <v>122082.92</v>
      </c>
      <c r="AB25" s="19" t="n">
        <v>131905.04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42842.13</v>
      </c>
      <c r="F26" s="34" t="n">
        <v>42842.13</v>
      </c>
      <c r="G26" s="18" t="n">
        <v>52879.93</v>
      </c>
      <c r="H26" s="18" t="n">
        <v>32854.42</v>
      </c>
      <c r="I26" s="18" t="n">
        <v>62827.74</v>
      </c>
      <c r="J26" s="18" t="n">
        <v>59952.73</v>
      </c>
      <c r="K26" s="34" t="n">
        <v>59952.73</v>
      </c>
      <c r="L26" s="18" t="n">
        <v>63902.86</v>
      </c>
      <c r="M26" s="18" t="n">
        <v>62960.6</v>
      </c>
      <c r="N26" s="18" t="n">
        <v>63915.87</v>
      </c>
      <c r="O26" s="18" t="n">
        <v>62970.37</v>
      </c>
      <c r="P26" s="34" t="n">
        <v>62970.37</v>
      </c>
      <c r="Q26" s="18" t="n">
        <v>39988.45</v>
      </c>
      <c r="R26" s="18" t="n">
        <v>69951.06</v>
      </c>
      <c r="S26" s="18" t="n">
        <v>69964.09</v>
      </c>
      <c r="T26" s="18" t="n">
        <v>69967.25999999999</v>
      </c>
      <c r="U26" s="34" t="n">
        <v>69967.25999999999</v>
      </c>
      <c r="V26" s="18" t="n">
        <v>89930.32000000001</v>
      </c>
      <c r="W26" s="18" t="n">
        <v>79936.69</v>
      </c>
      <c r="X26" s="18" t="n">
        <v>113943.2</v>
      </c>
      <c r="Y26" s="18" t="n">
        <v>113949.77</v>
      </c>
      <c r="Z26" s="34" t="n">
        <v>113949.77</v>
      </c>
      <c r="AA26" s="18" t="n">
        <v>113956.26</v>
      </c>
      <c r="AB26" s="19" t="n">
        <v>122975.88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장기금융부채(face)</t>
        </is>
      </c>
      <c r="E27" s="18" t="n">
        <v>877.63</v>
      </c>
      <c r="F27" s="34" t="n">
        <v>877.63</v>
      </c>
      <c r="G27" s="18" t="n">
        <v>953.64</v>
      </c>
      <c r="H27" s="18" t="n">
        <v>901.4299999999999</v>
      </c>
      <c r="I27" s="18" t="n">
        <v>868.26</v>
      </c>
      <c r="K27" s="9" t="n"/>
      <c r="L27" s="18" t="n">
        <v>948.26</v>
      </c>
      <c r="N27" s="18" t="n">
        <v>949.26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3037.01</v>
      </c>
      <c r="F28" s="34" t="n">
        <v>3037.01</v>
      </c>
      <c r="G28" s="18" t="n">
        <v>2828.8</v>
      </c>
      <c r="H28" s="18" t="n">
        <v>3065.13</v>
      </c>
      <c r="I28" s="18" t="n">
        <v>3654.28</v>
      </c>
      <c r="J28" s="18" t="n">
        <v>2126.99</v>
      </c>
      <c r="K28" s="34" t="n">
        <v>2126.99</v>
      </c>
      <c r="L28" s="18" t="n">
        <v>2595.5</v>
      </c>
      <c r="M28" s="18" t="n">
        <v>2340.99</v>
      </c>
      <c r="N28" s="18" t="n">
        <v>2110.44</v>
      </c>
      <c r="O28" s="18" t="n">
        <v>1046.56</v>
      </c>
      <c r="P28" s="34" t="n">
        <v>1046.56</v>
      </c>
      <c r="Q28" s="18" t="n">
        <v>1544.24</v>
      </c>
      <c r="R28" s="18" t="n">
        <v>1278.97</v>
      </c>
      <c r="S28" s="18" t="n">
        <v>1352.07</v>
      </c>
      <c r="T28" s="18" t="n">
        <v>2692.49</v>
      </c>
      <c r="U28" s="34" t="n">
        <v>2692.49</v>
      </c>
      <c r="V28" s="18" t="n">
        <v>2100.8</v>
      </c>
      <c r="W28" s="18" t="n">
        <v>1520.69</v>
      </c>
      <c r="X28" s="18" t="n">
        <v>1996.33</v>
      </c>
      <c r="Z28" s="9" t="n"/>
      <c r="AA28" s="18" t="n">
        <v>1995.07</v>
      </c>
      <c r="AB28" s="19" t="n">
        <v>2976.09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1137.56</v>
      </c>
      <c r="F29" s="34" t="n">
        <v>1137.56</v>
      </c>
      <c r="G29" s="18" t="n">
        <v>1080.48</v>
      </c>
      <c r="H29" s="18" t="n">
        <v>1031.15</v>
      </c>
      <c r="I29" s="18" t="n">
        <v>1000.55</v>
      </c>
      <c r="J29" s="18" t="n">
        <v>1174.71</v>
      </c>
      <c r="K29" s="34" t="n">
        <v>1174.71</v>
      </c>
      <c r="L29" s="18" t="n">
        <v>1248.72</v>
      </c>
      <c r="M29" s="18" t="n">
        <v>1330.03</v>
      </c>
      <c r="N29" s="18" t="n">
        <v>1308.23</v>
      </c>
      <c r="O29" s="18" t="n">
        <v>1494.19</v>
      </c>
      <c r="P29" s="34" t="n">
        <v>1494.19</v>
      </c>
      <c r="Q29" s="18" t="n">
        <v>1578.3</v>
      </c>
      <c r="R29" s="18" t="n">
        <v>1635.6</v>
      </c>
      <c r="S29" s="18" t="n">
        <v>1655.25</v>
      </c>
      <c r="T29" s="18" t="n">
        <v>1562.97</v>
      </c>
      <c r="U29" s="34" t="n">
        <v>1562.97</v>
      </c>
      <c r="V29" s="18" t="n">
        <v>1570.39</v>
      </c>
      <c r="W29" s="18" t="n">
        <v>1585.33</v>
      </c>
      <c r="X29" s="18" t="n">
        <v>1547.83</v>
      </c>
      <c r="Y29" s="18" t="n">
        <v>1278.33</v>
      </c>
      <c r="Z29" s="34" t="n">
        <v>1278.33</v>
      </c>
      <c r="AA29" s="18" t="n">
        <v>1222.71</v>
      </c>
      <c r="AB29" s="19" t="n">
        <v>1203.41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303788.48</v>
      </c>
      <c r="F30" s="34" t="n">
        <v>303788.48</v>
      </c>
      <c r="G30" s="18" t="n">
        <v>313558.78</v>
      </c>
      <c r="H30" s="18" t="n">
        <v>317747.71</v>
      </c>
      <c r="I30" s="18" t="n">
        <v>331935.91</v>
      </c>
      <c r="J30" s="18" t="n">
        <v>344163.96</v>
      </c>
      <c r="K30" s="34" t="n">
        <v>344163.96</v>
      </c>
      <c r="L30" s="18" t="n">
        <v>364020.22</v>
      </c>
      <c r="M30" s="18" t="n">
        <v>355487.65</v>
      </c>
      <c r="N30" s="18" t="n">
        <v>352593.92</v>
      </c>
      <c r="O30" s="18" t="n">
        <v>343701.96</v>
      </c>
      <c r="P30" s="34" t="n">
        <v>343701.96</v>
      </c>
      <c r="Q30" s="18" t="n">
        <v>339842.18</v>
      </c>
      <c r="R30" s="18" t="n">
        <v>335403.91</v>
      </c>
      <c r="S30" s="18" t="n">
        <v>338841.66</v>
      </c>
      <c r="T30" s="18" t="n">
        <v>321497.21</v>
      </c>
      <c r="U30" s="34" t="n">
        <v>321497.21</v>
      </c>
      <c r="V30" s="18" t="n">
        <v>336482.95</v>
      </c>
      <c r="W30" s="18" t="n">
        <v>353769.17</v>
      </c>
      <c r="X30" s="18" t="n">
        <v>354141.37</v>
      </c>
      <c r="Y30" s="18" t="n">
        <v>345895.89</v>
      </c>
      <c r="Z30" s="34" t="n">
        <v>345895.89</v>
      </c>
      <c r="AA30" s="18" t="n">
        <v>350320.01</v>
      </c>
      <c r="AB30" s="19" t="n">
        <v>370447.2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93020.37</v>
      </c>
      <c r="F31" s="34" t="n">
        <v>93020.37</v>
      </c>
      <c r="G31" s="18" t="n">
        <v>93020.37</v>
      </c>
      <c r="H31" s="18" t="n">
        <v>93020.37</v>
      </c>
      <c r="I31" s="18" t="n">
        <v>93020.37</v>
      </c>
      <c r="J31" s="18" t="n">
        <v>93020.37</v>
      </c>
      <c r="K31" s="34" t="n">
        <v>93020.37</v>
      </c>
      <c r="L31" s="18" t="n">
        <v>93020.37</v>
      </c>
      <c r="M31" s="18" t="n">
        <v>93020.37</v>
      </c>
      <c r="N31" s="18" t="n">
        <v>93020.37</v>
      </c>
      <c r="O31" s="18" t="n">
        <v>93020.37</v>
      </c>
      <c r="P31" s="34" t="n">
        <v>93020.37</v>
      </c>
      <c r="Q31" s="18" t="n">
        <v>93020.37</v>
      </c>
      <c r="R31" s="18" t="n">
        <v>93020.37</v>
      </c>
      <c r="S31" s="18" t="n">
        <v>93020.37</v>
      </c>
      <c r="T31" s="18" t="n">
        <v>93020.37</v>
      </c>
      <c r="U31" s="34" t="n">
        <v>93020.37</v>
      </c>
      <c r="V31" s="18" t="n">
        <v>93020.37</v>
      </c>
      <c r="W31" s="18" t="n">
        <v>93020.37</v>
      </c>
      <c r="X31" s="18" t="n">
        <v>93020.37</v>
      </c>
      <c r="Y31" s="18" t="n">
        <v>93020.37</v>
      </c>
      <c r="Z31" s="34" t="n">
        <v>93020.37</v>
      </c>
      <c r="AA31" s="18" t="n">
        <v>93020.37</v>
      </c>
      <c r="AB31" s="19" t="n">
        <v>93020.37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49143.43</v>
      </c>
      <c r="F32" s="34" t="n">
        <v>49143.43</v>
      </c>
      <c r="G32" s="18" t="n">
        <v>49143.43</v>
      </c>
      <c r="H32" s="18" t="n">
        <v>49143.43</v>
      </c>
      <c r="I32" s="18" t="n">
        <v>49143.43</v>
      </c>
      <c r="J32" s="18" t="n">
        <v>49143.43</v>
      </c>
      <c r="K32" s="34" t="n">
        <v>49143.43</v>
      </c>
      <c r="L32" s="18" t="n">
        <v>49143.43</v>
      </c>
      <c r="M32" s="18" t="n">
        <v>49143.43</v>
      </c>
      <c r="N32" s="18" t="n">
        <v>49143.43</v>
      </c>
      <c r="O32" s="18" t="n">
        <v>49143.43</v>
      </c>
      <c r="P32" s="34" t="n">
        <v>49143.43</v>
      </c>
      <c r="Q32" s="18" t="n">
        <v>49143.43</v>
      </c>
      <c r="R32" s="18" t="n">
        <v>49143.43</v>
      </c>
      <c r="S32" s="18" t="n">
        <v>49143.43</v>
      </c>
      <c r="T32" s="18" t="n">
        <v>49143.43</v>
      </c>
      <c r="U32" s="34" t="n">
        <v>49143.43</v>
      </c>
      <c r="V32" s="18" t="n">
        <v>49143.43</v>
      </c>
      <c r="W32" s="18" t="n">
        <v>49143.43</v>
      </c>
      <c r="X32" s="18" t="n">
        <v>49143.43</v>
      </c>
      <c r="Y32" s="18" t="n">
        <v>59499.36</v>
      </c>
      <c r="Z32" s="34" t="n">
        <v>59499.36</v>
      </c>
      <c r="AA32" s="18" t="n">
        <v>59499.36</v>
      </c>
      <c r="AB32" s="19" t="n">
        <v>59499.36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246.37</v>
      </c>
      <c r="F33" s="34" t="n">
        <v>246.37</v>
      </c>
      <c r="G33" s="18" t="n">
        <v>795.37</v>
      </c>
      <c r="H33" s="18" t="n">
        <v>57.9</v>
      </c>
      <c r="I33" s="18" t="n">
        <v>-94.38</v>
      </c>
      <c r="J33" s="18" t="n">
        <v>163.38</v>
      </c>
      <c r="K33" s="34" t="n">
        <v>163.38</v>
      </c>
      <c r="L33" s="18" t="n">
        <v>332.33</v>
      </c>
      <c r="M33" s="18" t="n">
        <v>390.46</v>
      </c>
      <c r="N33" s="18" t="n">
        <v>767.29</v>
      </c>
      <c r="O33" s="18" t="n">
        <v>846.62</v>
      </c>
      <c r="P33" s="34" t="n">
        <v>846.62</v>
      </c>
      <c r="Q33" s="18" t="n">
        <v>344.84</v>
      </c>
      <c r="R33" s="18" t="n">
        <v>132.31</v>
      </c>
      <c r="S33" s="18" t="n">
        <v>-31.92</v>
      </c>
      <c r="T33" s="18" t="n">
        <v>-526.34</v>
      </c>
      <c r="U33" s="34" t="n">
        <v>-526.34</v>
      </c>
      <c r="V33" s="18" t="n">
        <v>-471.5</v>
      </c>
      <c r="W33" s="18" t="n">
        <v>-164.58</v>
      </c>
      <c r="X33" s="18" t="n">
        <v>-180.87</v>
      </c>
      <c r="Y33" s="18" t="n">
        <v>243.01</v>
      </c>
      <c r="Z33" s="34" t="n">
        <v>243.01</v>
      </c>
      <c r="AA33" s="18" t="n">
        <v>-1050.22</v>
      </c>
      <c r="AB33" s="19" t="n">
        <v>-3166.14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202646.16</v>
      </c>
      <c r="F34" s="34" t="n">
        <v>202646.16</v>
      </c>
      <c r="G34" s="18" t="n">
        <v>211346.15</v>
      </c>
      <c r="H34" s="18" t="n">
        <v>219344.14</v>
      </c>
      <c r="I34" s="18" t="n">
        <v>231394.54</v>
      </c>
      <c r="J34" s="18" t="n">
        <v>227423.32</v>
      </c>
      <c r="K34" s="34" t="n">
        <v>227423.32</v>
      </c>
      <c r="L34" s="18" t="n">
        <v>229809.92</v>
      </c>
      <c r="M34" s="18" t="n">
        <v>238626.62</v>
      </c>
      <c r="N34" s="18" t="n">
        <v>248861.3</v>
      </c>
      <c r="O34" s="18" t="n">
        <v>244299.66</v>
      </c>
      <c r="P34" s="34" t="n">
        <v>244299.66</v>
      </c>
      <c r="Q34" s="18" t="n">
        <v>243338.44</v>
      </c>
      <c r="R34" s="18" t="n">
        <v>245111.29</v>
      </c>
      <c r="S34" s="18" t="n">
        <v>236467.14</v>
      </c>
      <c r="T34" s="18" t="n">
        <v>234127.14</v>
      </c>
      <c r="U34" s="34" t="n">
        <v>234127.14</v>
      </c>
      <c r="V34" s="18" t="n">
        <v>229486.02</v>
      </c>
      <c r="W34" s="18" t="n">
        <v>218542.51</v>
      </c>
      <c r="X34" s="18" t="n">
        <v>211015.11</v>
      </c>
      <c r="Y34" s="18" t="n">
        <v>188866.9</v>
      </c>
      <c r="Z34" s="34" t="n">
        <v>188866.9</v>
      </c>
      <c r="AA34" s="18" t="n">
        <v>198344.38</v>
      </c>
      <c r="AB34" s="19" t="n">
        <v>200351.43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281955.19</v>
      </c>
      <c r="F35" s="34" t="n">
        <v>281955.19</v>
      </c>
      <c r="G35" s="18" t="n">
        <v>291204.18</v>
      </c>
      <c r="H35" s="18" t="n">
        <v>298464.7</v>
      </c>
      <c r="I35" s="18" t="n">
        <v>310362.82</v>
      </c>
      <c r="J35" s="18" t="n">
        <v>306649.36</v>
      </c>
      <c r="K35" s="34" t="n">
        <v>306649.36</v>
      </c>
      <c r="L35" s="18" t="n">
        <v>309204.92</v>
      </c>
      <c r="M35" s="18" t="n">
        <v>318079.75</v>
      </c>
      <c r="N35" s="18" t="n">
        <v>328691.25</v>
      </c>
      <c r="O35" s="18" t="n">
        <v>324208.94</v>
      </c>
      <c r="P35" s="34" t="n">
        <v>324208.94</v>
      </c>
      <c r="Q35" s="18" t="n">
        <v>322745.94</v>
      </c>
      <c r="R35" s="18" t="n">
        <v>324306.26</v>
      </c>
      <c r="S35" s="18" t="n">
        <v>315497.89</v>
      </c>
      <c r="T35" s="18" t="n">
        <v>312663.46</v>
      </c>
      <c r="U35" s="34" t="n">
        <v>312663.46</v>
      </c>
      <c r="V35" s="18" t="n">
        <v>308077.19</v>
      </c>
      <c r="W35" s="18" t="n">
        <v>297440.59</v>
      </c>
      <c r="X35" s="18" t="n">
        <v>289896.9</v>
      </c>
      <c r="Y35" s="18" t="n">
        <v>278528.5</v>
      </c>
      <c r="Z35" s="34" t="n">
        <v>278528.5</v>
      </c>
      <c r="AA35" s="18" t="n">
        <v>286712.75</v>
      </c>
      <c r="AB35" s="19" t="n">
        <v>286603.88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585743.67</v>
      </c>
      <c r="F36" s="34" t="n">
        <v>585743.67</v>
      </c>
      <c r="G36" s="18" t="n">
        <v>604762.97</v>
      </c>
      <c r="H36" s="18" t="n">
        <v>616212.41</v>
      </c>
      <c r="I36" s="18" t="n">
        <v>642298.72</v>
      </c>
      <c r="J36" s="18" t="n">
        <v>650813.3199999999</v>
      </c>
      <c r="K36" s="34" t="n">
        <v>650813.3199999999</v>
      </c>
      <c r="L36" s="18" t="n">
        <v>673225.14</v>
      </c>
      <c r="M36" s="18" t="n">
        <v>673567.4</v>
      </c>
      <c r="N36" s="18" t="n">
        <v>681285.17</v>
      </c>
      <c r="O36" s="18" t="n">
        <v>667910.9</v>
      </c>
      <c r="P36" s="34" t="n">
        <v>667910.9</v>
      </c>
      <c r="Q36" s="18" t="n">
        <v>662588.12</v>
      </c>
      <c r="R36" s="18" t="n">
        <v>659710.17</v>
      </c>
      <c r="S36" s="18" t="n">
        <v>654339.55</v>
      </c>
      <c r="T36" s="18" t="n">
        <v>634160.67</v>
      </c>
      <c r="U36" s="34" t="n">
        <v>634160.67</v>
      </c>
      <c r="V36" s="18" t="n">
        <v>644560.14</v>
      </c>
      <c r="W36" s="18" t="n">
        <v>651209.76</v>
      </c>
      <c r="X36" s="18" t="n">
        <v>644038.27</v>
      </c>
      <c r="Y36" s="18" t="n">
        <v>624424.39</v>
      </c>
      <c r="Z36" s="34" t="n">
        <v>624424.39</v>
      </c>
      <c r="AA36" s="18" t="n">
        <v>637032.77</v>
      </c>
      <c r="AB36" s="19" t="n">
        <v>657051.08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281955.19</v>
      </c>
      <c r="F37" s="34" t="n">
        <v>281955.19</v>
      </c>
      <c r="G37" s="18" t="n">
        <v>291204.18</v>
      </c>
      <c r="H37" s="18" t="n">
        <v>298464.7</v>
      </c>
      <c r="I37" s="18" t="n">
        <v>310362.82</v>
      </c>
      <c r="J37" s="18" t="n">
        <v>306649.36</v>
      </c>
      <c r="K37" s="34" t="n">
        <v>306649.36</v>
      </c>
      <c r="L37" s="18" t="n">
        <v>309204.92</v>
      </c>
      <c r="M37" s="18" t="n">
        <v>318079.75</v>
      </c>
      <c r="N37" s="18" t="n">
        <v>328691.25</v>
      </c>
      <c r="O37" s="18" t="n">
        <v>324208.94</v>
      </c>
      <c r="P37" s="34" t="n">
        <v>324208.94</v>
      </c>
      <c r="Q37" s="18" t="n">
        <v>322745.94</v>
      </c>
      <c r="R37" s="18" t="n">
        <v>324306.26</v>
      </c>
      <c r="S37" s="18" t="n">
        <v>315497.89</v>
      </c>
      <c r="T37" s="18" t="n">
        <v>312663.46</v>
      </c>
      <c r="U37" s="34" t="n">
        <v>312663.46</v>
      </c>
      <c r="V37" s="18" t="n">
        <v>308077.19</v>
      </c>
      <c r="W37" s="18" t="n">
        <v>297440.59</v>
      </c>
      <c r="X37" s="18" t="n">
        <v>289896.9</v>
      </c>
      <c r="Y37" s="18" t="n">
        <v>278528.5</v>
      </c>
      <c r="Z37" s="34" t="n">
        <v>278528.5</v>
      </c>
      <c r="AA37" s="18" t="n">
        <v>286712.75</v>
      </c>
      <c r="AB37" s="19" t="n">
        <v>286603.88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229383.85</v>
      </c>
      <c r="F38" s="34" t="n">
        <v>229383.85</v>
      </c>
      <c r="G38" s="18" t="n">
        <v>236286.83</v>
      </c>
      <c r="H38" s="18" t="n">
        <v>242543.35</v>
      </c>
      <c r="I38" s="18" t="n">
        <v>258409.76</v>
      </c>
      <c r="J38" s="18" t="n">
        <v>261895.27</v>
      </c>
      <c r="K38" s="34" t="n">
        <v>261895.27</v>
      </c>
      <c r="L38" s="18" t="n">
        <v>283555.55</v>
      </c>
      <c r="M38" s="18" t="n">
        <v>265587.84</v>
      </c>
      <c r="N38" s="18" t="n">
        <v>265501.6</v>
      </c>
      <c r="O38" s="18" t="n">
        <v>260770.73</v>
      </c>
      <c r="P38" s="34" t="n">
        <v>260770.73</v>
      </c>
      <c r="Q38" s="18" t="n">
        <v>264285.82</v>
      </c>
      <c r="R38" s="18" t="n">
        <v>266753.46</v>
      </c>
      <c r="S38" s="18" t="n">
        <v>280337.48</v>
      </c>
      <c r="T38" s="18" t="n">
        <v>263285.46</v>
      </c>
      <c r="U38" s="34" t="n">
        <v>263285.46</v>
      </c>
      <c r="V38" s="18" t="n">
        <v>273485.84</v>
      </c>
      <c r="W38" s="18" t="n">
        <v>281194.34</v>
      </c>
      <c r="X38" s="18" t="n">
        <v>278467.43</v>
      </c>
      <c r="Y38" s="18" t="n">
        <v>280548.34</v>
      </c>
      <c r="Z38" s="34" t="n">
        <v>280548.34</v>
      </c>
      <c r="AA38" s="18" t="n">
        <v>280050.03</v>
      </c>
      <c r="AB38" s="19" t="n">
        <v>301543.56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173172.52</v>
      </c>
      <c r="F39" s="34" t="n">
        <v>173172.52</v>
      </c>
      <c r="G39" s="18" t="n">
        <v>173218.61</v>
      </c>
      <c r="H39" s="18" t="n">
        <v>179986.32</v>
      </c>
      <c r="I39" s="18" t="n">
        <v>201485.61</v>
      </c>
      <c r="J39" s="18" t="n">
        <v>206412.87</v>
      </c>
      <c r="K39" s="34" t="n">
        <v>206412.87</v>
      </c>
      <c r="L39" s="18" t="n">
        <v>219494.66</v>
      </c>
      <c r="M39" s="18" t="n">
        <v>199709.65</v>
      </c>
      <c r="N39" s="18" t="n">
        <v>198184.34</v>
      </c>
      <c r="O39" s="18" t="n">
        <v>195656.66</v>
      </c>
      <c r="P39" s="34" t="n">
        <v>195656.66</v>
      </c>
      <c r="Q39" s="18" t="n">
        <v>203333.87</v>
      </c>
      <c r="R39" s="18" t="n">
        <v>231054.4</v>
      </c>
      <c r="S39" s="18" t="n">
        <v>237837.33</v>
      </c>
      <c r="T39" s="18" t="n">
        <v>229665.39</v>
      </c>
      <c r="U39" s="34" t="n">
        <v>229665.39</v>
      </c>
      <c r="V39" s="18" t="n">
        <v>211007.49</v>
      </c>
      <c r="W39" s="18" t="n">
        <v>222097.3</v>
      </c>
      <c r="X39" s="18" t="n">
        <v>220079.87</v>
      </c>
      <c r="Y39" s="18" t="n">
        <v>239612.03</v>
      </c>
      <c r="Z39" s="34" t="n">
        <v>239612.03</v>
      </c>
      <c r="AA39" s="18" t="n">
        <v>229154.31</v>
      </c>
      <c r="AB39" s="19" t="n">
        <v>256040.64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64324.31</v>
      </c>
      <c r="F40" s="34" t="n">
        <v>64324.31</v>
      </c>
      <c r="G40" s="18" t="n">
        <v>71906.63</v>
      </c>
      <c r="H40" s="18" t="n">
        <v>70193.96000000001</v>
      </c>
      <c r="I40" s="18" t="n">
        <v>78918.78999999999</v>
      </c>
      <c r="J40" s="18" t="n">
        <v>77850.74000000001</v>
      </c>
      <c r="K40" s="34" t="n">
        <v>77850.74000000001</v>
      </c>
      <c r="L40" s="18" t="n">
        <v>86709.69</v>
      </c>
      <c r="M40" s="18" t="n">
        <v>88666.45</v>
      </c>
      <c r="N40" s="18" t="n">
        <v>84861.5</v>
      </c>
      <c r="O40" s="18" t="n">
        <v>84103.55</v>
      </c>
      <c r="P40" s="34" t="n">
        <v>84103.55</v>
      </c>
      <c r="Q40" s="18" t="n">
        <v>79457.13</v>
      </c>
      <c r="R40" s="18" t="n">
        <v>54018.87</v>
      </c>
      <c r="S40" s="18" t="n">
        <v>61014.96</v>
      </c>
      <c r="T40" s="18" t="n">
        <v>41553.91</v>
      </c>
      <c r="U40" s="34" t="n">
        <v>41553.91</v>
      </c>
      <c r="V40" s="18" t="n">
        <v>70547.12</v>
      </c>
      <c r="W40" s="18" t="n">
        <v>67706.73</v>
      </c>
      <c r="X40" s="18" t="n">
        <v>69376.42999999999</v>
      </c>
      <c r="Y40" s="18" t="n">
        <v>40936.31</v>
      </c>
      <c r="Z40" s="34" t="n">
        <v>40936.31</v>
      </c>
      <c r="AA40" s="18" t="n">
        <v>70632.41</v>
      </c>
      <c r="AB40" s="19" t="n">
        <v>64760.48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유동리스부채</t>
        </is>
      </c>
      <c r="F41" s="9" t="n"/>
      <c r="G41" s="18" t="n">
        <v>1131.63</v>
      </c>
      <c r="K41" s="9" t="n"/>
      <c r="L41" s="18" t="n">
        <v>1182.66</v>
      </c>
      <c r="O41" s="18" t="n">
        <v>1071.03</v>
      </c>
      <c r="P41" s="34" t="n">
        <v>1071.03</v>
      </c>
      <c r="T41" s="18" t="n">
        <v>905.54</v>
      </c>
      <c r="U41" s="34" t="n">
        <v>905.54</v>
      </c>
      <c r="V41" s="18" t="n">
        <v>934.85</v>
      </c>
      <c r="W41" s="18" t="n">
        <v>1216.26</v>
      </c>
      <c r="X41" s="18" t="n">
        <v>1020.99</v>
      </c>
      <c r="Y41" s="18" t="n">
        <v>798.17</v>
      </c>
      <c r="Z41" s="34" t="n">
        <v>798.17</v>
      </c>
      <c r="AA41" s="18" t="n">
        <v>887.24</v>
      </c>
      <c r="AB41" s="19" t="n">
        <v>1092.91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리스부채</t>
        </is>
      </c>
      <c r="F42" s="9" t="n"/>
      <c r="G42" s="18" t="n">
        <v>7421.46</v>
      </c>
      <c r="K42" s="9" t="n"/>
      <c r="L42" s="18" t="n">
        <v>8548.42</v>
      </c>
      <c r="O42" s="18" t="n">
        <v>7959</v>
      </c>
      <c r="P42" s="34" t="n">
        <v>7959</v>
      </c>
      <c r="T42" s="18" t="n">
        <v>6244.93</v>
      </c>
      <c r="U42" s="34" t="n">
        <v>6244.93</v>
      </c>
      <c r="V42" s="18" t="n">
        <v>6098.61</v>
      </c>
      <c r="W42" s="18" t="n">
        <v>6077.98</v>
      </c>
      <c r="X42" s="18" t="n">
        <v>5739.46</v>
      </c>
      <c r="Y42" s="18" t="n">
        <v>5389.7</v>
      </c>
      <c r="Z42" s="34" t="n">
        <v>5389.7</v>
      </c>
      <c r="AA42" s="18" t="n">
        <v>5353.17</v>
      </c>
      <c r="AB42" s="19" t="n">
        <v>5441.83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</t>
        </is>
      </c>
      <c r="F43" s="9" t="n"/>
      <c r="G43" s="18" t="n">
        <v>1131.63</v>
      </c>
      <c r="K43" s="9" t="n"/>
      <c r="L43" s="18" t="n">
        <v>1182.66</v>
      </c>
      <c r="O43" s="18" t="n">
        <v>1071.03</v>
      </c>
      <c r="P43" s="34" t="n">
        <v>1071.03</v>
      </c>
      <c r="T43" s="18" t="n">
        <v>905.54</v>
      </c>
      <c r="U43" s="34" t="n">
        <v>905.54</v>
      </c>
      <c r="V43" s="18" t="n">
        <v>934.85</v>
      </c>
      <c r="W43" s="18" t="n">
        <v>1216.26</v>
      </c>
      <c r="X43" s="18" t="n">
        <v>1020.99</v>
      </c>
      <c r="Y43" s="18" t="n">
        <v>798.17</v>
      </c>
      <c r="Z43" s="34" t="n">
        <v>798.17</v>
      </c>
      <c r="AA43" s="18" t="n">
        <v>887.24</v>
      </c>
      <c r="AB43" s="19" t="n">
        <v>1092.91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F44" s="9" t="n"/>
      <c r="G44" s="18" t="n">
        <v>6289.83</v>
      </c>
      <c r="K44" s="9" t="n"/>
      <c r="L44" s="18" t="n">
        <v>7365.76</v>
      </c>
      <c r="O44" s="18" t="n">
        <v>6887.97</v>
      </c>
      <c r="P44" s="34" t="n">
        <v>6887.97</v>
      </c>
      <c r="T44" s="18" t="n">
        <v>5339.39</v>
      </c>
      <c r="U44" s="34" t="n">
        <v>5339.39</v>
      </c>
      <c r="V44" s="18" t="n">
        <v>5163.76</v>
      </c>
      <c r="W44" s="18" t="n">
        <v>4861.72</v>
      </c>
      <c r="X44" s="18" t="n">
        <v>4718.47</v>
      </c>
      <c r="Y44" s="18" t="n">
        <v>4591.53</v>
      </c>
      <c r="Z44" s="34" t="n">
        <v>4591.53</v>
      </c>
      <c r="AA44" s="18" t="n">
        <v>4465.93</v>
      </c>
      <c r="AB44" s="19" t="n">
        <v>4348.92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F45" s="9" t="n"/>
      <c r="G45" s="18" t="n">
        <v>6289.83</v>
      </c>
      <c r="K45" s="9" t="n"/>
      <c r="L45" s="18" t="n">
        <v>7365.76</v>
      </c>
      <c r="O45" s="18" t="n">
        <v>6887.97</v>
      </c>
      <c r="P45" s="34" t="n">
        <v>6887.97</v>
      </c>
      <c r="T45" s="18" t="n">
        <v>5339.39</v>
      </c>
      <c r="U45" s="34" t="n">
        <v>5339.39</v>
      </c>
      <c r="V45" s="18" t="n">
        <v>5163.76</v>
      </c>
      <c r="W45" s="18" t="n">
        <v>4861.72</v>
      </c>
      <c r="X45" s="18" t="n">
        <v>4718.47</v>
      </c>
      <c r="Y45" s="18" t="n">
        <v>4591.53</v>
      </c>
      <c r="Z45" s="34" t="n">
        <v>4591.53</v>
      </c>
      <c r="AA45" s="18" t="n">
        <v>4465.93</v>
      </c>
      <c r="AB45" s="19" t="n">
        <v>4348.92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4" t="n">
        <v>868.26</v>
      </c>
      <c r="O46" s="18" t="n">
        <v>958.26</v>
      </c>
      <c r="P46" s="34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4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4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4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4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4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4" t="n">
        <v>184.52</v>
      </c>
      <c r="T49" s="18" t="n">
        <v>0</v>
      </c>
      <c r="U49" s="34" t="n">
        <v>0</v>
      </c>
      <c r="W49" s="18" t="n">
        <v>17729.08</v>
      </c>
      <c r="X49" s="18" t="n">
        <v>17729.08</v>
      </c>
      <c r="Y49" s="18" t="n">
        <v>17729.08</v>
      </c>
      <c r="Z49" s="34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4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4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4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4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4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4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4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4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4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4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4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4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4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4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4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4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4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4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4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4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4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4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4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4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4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4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4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4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4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4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4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4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4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4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4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4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4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4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4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4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4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4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4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4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4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4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4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4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4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4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4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4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4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4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4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4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4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4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4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4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4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4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4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4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4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4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4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4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4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4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4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4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4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4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4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4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4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4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4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4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4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4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4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4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4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4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4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4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4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4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4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4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4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4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4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4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4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4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4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4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4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4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4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4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4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4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4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4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4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4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4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4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4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4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4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4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4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4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4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4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4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4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4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4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4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4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4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4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4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4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4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4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4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4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4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0.025</v>
      </c>
      <c r="F10" s="34" t="n"/>
      <c r="G10" s="18" t="n">
        <v>0.0693</v>
      </c>
      <c r="H10" s="18" t="n">
        <v>0.0581</v>
      </c>
      <c r="I10" s="18" t="n">
        <v>0.0363</v>
      </c>
      <c r="J10" s="18" t="n">
        <v>0.027</v>
      </c>
      <c r="K10" s="34">
        <f>SUM(G10:J10)</f>
        <v/>
      </c>
      <c r="L10" s="18" t="n">
        <v>0.07480000000000001</v>
      </c>
      <c r="M10" s="18" t="n">
        <v>0.0852</v>
      </c>
      <c r="N10" s="18" t="n">
        <v>0.0897</v>
      </c>
      <c r="O10" s="18" t="n">
        <v>0.0617</v>
      </c>
      <c r="P10" s="34">
        <f>SUM(L10:O10)</f>
        <v/>
      </c>
      <c r="Q10" s="18" t="n">
        <v>0.06519999999999999</v>
      </c>
      <c r="R10" s="18" t="n">
        <v>0.0458</v>
      </c>
      <c r="S10" s="18" t="n">
        <v>0.0298</v>
      </c>
      <c r="T10" s="18" t="n">
        <v>0.0238</v>
      </c>
      <c r="U10" s="34">
        <f>SUM(Q10:T10)</f>
        <v/>
      </c>
      <c r="V10" s="18" t="n">
        <v>0.0357</v>
      </c>
      <c r="W10" s="18" t="n">
        <v>0.0191</v>
      </c>
      <c r="X10" s="18" t="n">
        <v>-0.0002</v>
      </c>
      <c r="Y10" s="18" t="n">
        <v>-0.003</v>
      </c>
      <c r="Z10" s="34">
        <f>SUM(V10:Y10)</f>
        <v/>
      </c>
      <c r="AA10" s="18" t="n">
        <v>0.0673</v>
      </c>
      <c r="AB10" s="19" t="n">
        <v>0.0785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 t="n"/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 t="n"/>
      <c r="K14" s="34">
        <f>SUM(G14:J14)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>
        <v>0.67</v>
      </c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>
        <v>0</v>
      </c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IFERROR(X19*(1+변수!AC31),"")</f>
        <v/>
      </c>
      <c r="AD19" s="20">
        <f>IFERROR(Y19*(1+변수!AD31),"")</f>
        <v/>
      </c>
      <c r="AE19" s="35">
        <f>SUM(AA19:AD19)</f>
        <v/>
      </c>
      <c r="AF19" s="20">
        <f>IFERROR(AA19*(1+변수!AF31),"")</f>
        <v/>
      </c>
      <c r="AG19" s="20">
        <f>IFERROR(AB19*(1+변수!AG31),"")</f>
        <v/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181.23</v>
      </c>
      <c r="F20" s="34" t="n"/>
      <c r="G20" s="18" t="n">
        <v>275</v>
      </c>
      <c r="H20" s="18" t="n">
        <v>262.83</v>
      </c>
      <c r="I20" s="18" t="n">
        <v>228.24</v>
      </c>
      <c r="J20" s="18" t="n">
        <v>223.31</v>
      </c>
      <c r="K20" s="34">
        <f>SUM(G20:J20)</f>
        <v/>
      </c>
      <c r="L20" s="18" t="n">
        <v>311.76</v>
      </c>
      <c r="M20" s="18" t="n">
        <v>340.9</v>
      </c>
      <c r="N20" s="18" t="n">
        <v>351.46</v>
      </c>
      <c r="O20" s="18" t="n">
        <v>270.29</v>
      </c>
      <c r="P20" s="34">
        <f>SUM(L20:O20)</f>
        <v/>
      </c>
      <c r="Q20" s="18" t="n">
        <v>284.7</v>
      </c>
      <c r="R20" s="18" t="n">
        <v>241.05</v>
      </c>
      <c r="S20" s="18" t="n">
        <v>216.24</v>
      </c>
      <c r="T20" s="18" t="n">
        <v>205.31</v>
      </c>
      <c r="U20" s="34">
        <f>SUM(Q20:T20)</f>
        <v/>
      </c>
      <c r="V20" s="18" t="n">
        <v>234.7</v>
      </c>
      <c r="W20" s="18" t="n">
        <v>204.66</v>
      </c>
      <c r="X20" s="18" t="n">
        <v>162.38</v>
      </c>
      <c r="Y20" s="18" t="n">
        <v>164.46</v>
      </c>
      <c r="Z20" s="34">
        <f>SUM(V20:Y20)</f>
        <v/>
      </c>
      <c r="AA20" s="18" t="n">
        <v>266.04</v>
      </c>
      <c r="AB20" s="19" t="n">
        <v>332.6</v>
      </c>
      <c r="AC20" s="20">
        <f>IFERROR(X20*(1+변수!AC32),"")</f>
        <v/>
      </c>
      <c r="AD20" s="20">
        <f>IFERROR(Y20*(1+변수!AD32),"")</f>
        <v/>
      </c>
      <c r="AE20" s="35">
        <f>SUM(AA20:AD20)</f>
        <v/>
      </c>
      <c r="AF20" s="20">
        <f>IFERROR(AA20*(1+변수!AF32),"")</f>
        <v/>
      </c>
      <c r="AG20" s="20">
        <f>IFERROR(AB20*(1+변수!AG32),"")</f>
        <v/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IFERROR(AB23+AC16-변수!AC34,"")</f>
        <v/>
      </c>
      <c r="AD23" s="20">
        <f>IFERROR(AC23+AD16-변수!AD34,"")</f>
        <v/>
      </c>
      <c r="AE23" s="35">
        <f>AD23</f>
        <v/>
      </c>
      <c r="AF23" s="20">
        <f>IFERROR(AD23+AF16-변수!AF34,"")</f>
        <v/>
      </c>
      <c r="AG23" s="20">
        <f>IFERROR(AF23+AG16-변수!AG34,"")</f>
        <v/>
      </c>
      <c r="AH23" s="20">
        <f>IFERROR(AG23+AH16-변수!AH34,"")</f>
        <v/>
      </c>
      <c r="AI23" s="20">
        <f>IFERROR(AH23+AI16-변수!AI34,"")</f>
        <v/>
      </c>
      <c r="AJ23" s="35">
        <f>AI23</f>
        <v/>
      </c>
      <c r="AK23" s="20">
        <f>IFERROR(AI23+AK16-변수!AK34,"")</f>
        <v/>
      </c>
      <c r="AL23" s="20">
        <f>IFERROR(AK23+AL16-변수!AL34,"")</f>
        <v/>
      </c>
      <c r="AM23" s="20">
        <f>IFERROR(AL23+AM16-변수!AM34,"")</f>
        <v/>
      </c>
      <c r="AN23" s="20">
        <f>IFERROR(AM23+AN16-변수!AN34,"")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IFERROR(AB24+AC17-변수!AC35,"")</f>
        <v/>
      </c>
      <c r="AD24" s="20">
        <f>IFERROR(AC24+AD17-변수!AD35,"")</f>
        <v/>
      </c>
      <c r="AE24" s="35">
        <f>AD24</f>
        <v/>
      </c>
      <c r="AF24" s="20">
        <f>IFERROR(AD24+AF17-변수!AF35,"")</f>
        <v/>
      </c>
      <c r="AG24" s="20">
        <f>IFERROR(AF24+AG17-변수!AG35,"")</f>
        <v/>
      </c>
      <c r="AH24" s="20">
        <f>IFERROR(AG24+AH17-변수!AH35,"")</f>
        <v/>
      </c>
      <c r="AI24" s="20">
        <f>IFERROR(AH24+AI17-변수!AI35,"")</f>
        <v/>
      </c>
      <c r="AJ24" s="35">
        <f>AI24</f>
        <v/>
      </c>
      <c r="AK24" s="20">
        <f>IFERROR(AI24+AK17-변수!AK35,"")</f>
        <v/>
      </c>
      <c r="AL24" s="20">
        <f>IFERROR(AK24+AL17-변수!AL35,"")</f>
        <v/>
      </c>
      <c r="AM24" s="20">
        <f>IFERROR(AL24+AM17-변수!AM35,"")</f>
        <v/>
      </c>
      <c r="AN24" s="20">
        <f>IFERROR(AM24+AN17-변수!AN35,"")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-206.25</v>
      </c>
      <c r="F30" s="34" t="n"/>
      <c r="G30" s="18" t="n">
        <v>-73.8</v>
      </c>
      <c r="H30" s="18" t="n">
        <v>-330.36</v>
      </c>
      <c r="I30" s="18" t="n">
        <v>20.5</v>
      </c>
      <c r="J30" s="18" t="n">
        <v>114.97</v>
      </c>
      <c r="K30" s="34">
        <f>SUM(G30:J30)</f>
        <v/>
      </c>
      <c r="L30" s="18" t="n">
        <v>13.84</v>
      </c>
      <c r="M30" s="18" t="n">
        <v>130.02</v>
      </c>
      <c r="N30" s="18" t="n">
        <v>132.78</v>
      </c>
      <c r="O30" s="18" t="n">
        <v>217.18</v>
      </c>
      <c r="P30" s="34">
        <f>SUM(L30:O30)</f>
        <v/>
      </c>
      <c r="Q30" s="18" t="n">
        <v>34.85</v>
      </c>
      <c r="R30" s="18" t="n">
        <v>-154.81</v>
      </c>
      <c r="S30" s="18" t="n">
        <v>69.34</v>
      </c>
      <c r="T30" s="18" t="n">
        <v>180.73</v>
      </c>
      <c r="U30" s="34">
        <f>SUM(Q30:T30)</f>
        <v/>
      </c>
      <c r="V30" s="18" t="n">
        <v>92.11</v>
      </c>
      <c r="W30" s="18" t="n">
        <v>-152.28</v>
      </c>
      <c r="X30" s="18" t="n">
        <v>303.13</v>
      </c>
      <c r="Y30" s="18" t="n">
        <v>-24.21</v>
      </c>
      <c r="Z30" s="34">
        <f>SUM(V30:Y30)</f>
        <v/>
      </c>
      <c r="AA30" s="18" t="n">
        <v>-101.19</v>
      </c>
      <c r="AB30" s="19" t="n">
        <v>-174.84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26.872</v>
      </c>
      <c r="F31" s="27">
        <f>E31</f>
        <v/>
      </c>
      <c r="G31" s="26" t="n">
        <v>26.872</v>
      </c>
      <c r="H31" s="26" t="n">
        <v>26.872</v>
      </c>
      <c r="I31" s="26" t="n">
        <v>26.872</v>
      </c>
      <c r="J31" s="26" t="n">
        <v>26.872</v>
      </c>
      <c r="K31" s="27">
        <f>J31</f>
        <v/>
      </c>
      <c r="L31" s="26" t="n">
        <v>26.872</v>
      </c>
      <c r="M31" s="26" t="n">
        <v>26.872</v>
      </c>
      <c r="N31" s="26" t="n">
        <v>26.872</v>
      </c>
      <c r="O31" s="26" t="n">
        <v>26.872</v>
      </c>
      <c r="P31" s="27">
        <f>O31</f>
        <v/>
      </c>
      <c r="Q31" s="26" t="n">
        <v>26.872</v>
      </c>
      <c r="R31" s="26" t="n">
        <v>26.872</v>
      </c>
      <c r="S31" s="26" t="n">
        <v>26.872</v>
      </c>
      <c r="T31" s="26" t="n">
        <v>26.872</v>
      </c>
      <c r="U31" s="27">
        <f>T31</f>
        <v/>
      </c>
      <c r="V31" s="26" t="n">
        <v>26.872</v>
      </c>
      <c r="W31" s="26" t="n">
        <v>26.872</v>
      </c>
      <c r="X31" s="26" t="n">
        <v>26.872</v>
      </c>
      <c r="Y31" s="26" t="n">
        <v>28.329</v>
      </c>
      <c r="Z31" s="27">
        <f>Y31</f>
        <v/>
      </c>
      <c r="AA31" s="26" t="n">
        <v>28.329</v>
      </c>
      <c r="AB31" s="28" t="n">
        <v>28.329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IFERROR(E17*100/E31,"")</f>
        <v/>
      </c>
      <c r="F32" s="34" t="n"/>
      <c r="G32" s="18">
        <f>IFERROR(G17*100/G31,"")</f>
        <v/>
      </c>
      <c r="H32" s="18">
        <f>IFERROR(H17*100/H31,"")</f>
        <v/>
      </c>
      <c r="I32" s="18">
        <f>IFERROR(I17*100/I31,"")</f>
        <v/>
      </c>
      <c r="J32" s="18">
        <f>IFERROR(J17*100/J31,"")</f>
        <v/>
      </c>
      <c r="K32" s="34">
        <f>SUM(G32:J32)</f>
        <v/>
      </c>
      <c r="L32" s="18">
        <f>IFERROR(L17*100/L31,"")</f>
        <v/>
      </c>
      <c r="M32" s="18">
        <f>IFERROR(M17*100/M31,"")</f>
        <v/>
      </c>
      <c r="N32" s="18">
        <f>IFERROR(N17*100/N31,"")</f>
        <v/>
      </c>
      <c r="O32" s="18">
        <f>IFERROR(O17*100/O31,"")</f>
        <v/>
      </c>
      <c r="P32" s="34">
        <f>SUM(L32:O32)</f>
        <v/>
      </c>
      <c r="Q32" s="18">
        <f>IFERROR(Q17*100/Q31,"")</f>
        <v/>
      </c>
      <c r="R32" s="18">
        <f>IFERROR(R17*100/R31,"")</f>
        <v/>
      </c>
      <c r="S32" s="18">
        <f>IFERROR(S17*100/S31,"")</f>
        <v/>
      </c>
      <c r="T32" s="18">
        <f>IFERROR(T17*100/T31,"")</f>
        <v/>
      </c>
      <c r="U32" s="34">
        <f>SUM(Q32:T32)</f>
        <v/>
      </c>
      <c r="V32" s="18">
        <f>IFERROR(V17*100/V31,"")</f>
        <v/>
      </c>
      <c r="W32" s="18">
        <f>IFERROR(W17*100/W31,"")</f>
        <v/>
      </c>
      <c r="X32" s="18">
        <f>IFERROR(X17*100/X31,"")</f>
        <v/>
      </c>
      <c r="Y32" s="18">
        <f>IFERROR(Y17*100/Y31,"")</f>
        <v/>
      </c>
      <c r="Z32" s="34">
        <f>SUM(V32:Y32)</f>
        <v/>
      </c>
      <c r="AA32" s="18">
        <f>IFERROR(AA17*100/AA31,"")</f>
        <v/>
      </c>
      <c r="AB32" s="19">
        <f>IFERROR(AB17*100/AB31,"")</f>
        <v/>
      </c>
      <c r="AC32" s="20">
        <f>IFERROR(AC17*100/AC31,"")</f>
        <v/>
      </c>
      <c r="AD32" s="20">
        <f>IFERROR(AD17*100/AD31,"")</f>
        <v/>
      </c>
      <c r="AE32" s="35">
        <f>SUM(AA32:AD32)</f>
        <v/>
      </c>
      <c r="AF32" s="20">
        <f>IFERROR(AF17*100/AF31,"")</f>
        <v/>
      </c>
      <c r="AG32" s="20">
        <f>IFERROR(AG17*100/AG31,"")</f>
        <v/>
      </c>
      <c r="AH32" s="20">
        <f>IFERROR(AH17*100/AH31,"")</f>
        <v/>
      </c>
      <c r="AI32" s="20">
        <f>IFERROR(AI17*100/AI31,"")</f>
        <v/>
      </c>
      <c r="AJ32" s="35">
        <f>SUM(AF32:AI32)</f>
        <v/>
      </c>
      <c r="AK32" s="20">
        <f>IFERROR(AK17*100/AK31,"")</f>
        <v/>
      </c>
      <c r="AL32" s="20">
        <f>IFERROR(AL17*100/AL31,"")</f>
        <v/>
      </c>
      <c r="AM32" s="20">
        <f>IFERROR(AM17*100/AM31,"")</f>
        <v/>
      </c>
      <c r="AN32" s="20">
        <f>IFERROR(AN17*100/AN31,"")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4" t="n">
        <v>100</v>
      </c>
      <c r="G34" s="18" t="n"/>
      <c r="H34" s="18" t="n"/>
      <c r="I34" s="18" t="n"/>
      <c r="J34" s="18" t="n">
        <v>120</v>
      </c>
      <c r="K34" s="34">
        <f>SUM(G34:J34)</f>
        <v/>
      </c>
      <c r="L34" s="18" t="n"/>
      <c r="M34" s="18" t="n"/>
      <c r="N34" s="18" t="n"/>
      <c r="O34" s="18" t="n">
        <v>120</v>
      </c>
      <c r="P34" s="34">
        <f>SUM(L34:O34)</f>
        <v/>
      </c>
      <c r="Q34" s="18" t="n"/>
      <c r="R34" s="18" t="n"/>
      <c r="S34" s="18" t="n"/>
      <c r="T34" s="18" t="n">
        <v>120</v>
      </c>
      <c r="U34" s="34">
        <f>SUM(Q34:T34)</f>
        <v/>
      </c>
      <c r="V34" s="18" t="n"/>
      <c r="W34" s="18" t="n"/>
      <c r="X34" s="18" t="n"/>
      <c r="Y34" s="18" t="n">
        <v>120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>
        <v>3.1</v>
      </c>
      <c r="J35" s="18" t="n">
        <v>3.19</v>
      </c>
      <c r="K35" s="34">
        <f>SUM(G35:J35)</f>
        <v/>
      </c>
      <c r="L35" s="18" t="n">
        <v>3.2</v>
      </c>
      <c r="M35" s="18" t="n">
        <v>2.73</v>
      </c>
      <c r="N35" s="18" t="n">
        <v>5.59</v>
      </c>
      <c r="O35" s="18" t="n">
        <v>3.93</v>
      </c>
      <c r="P35" s="34">
        <f>SUM(L35:O35)</f>
        <v/>
      </c>
      <c r="Q35" s="18" t="n">
        <v>4.39</v>
      </c>
      <c r="R35" s="18" t="n">
        <v>5.1</v>
      </c>
      <c r="S35" s="18" t="n">
        <v>9.43</v>
      </c>
      <c r="T35" s="18" t="n">
        <v>20.68</v>
      </c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/>
      <c r="AB35" s="19" t="n"/>
      <c r="AC35" s="20" t="n"/>
      <c r="AD35" s="20" t="n">
        <v>5.9</v>
      </c>
      <c r="AE35" s="35">
        <f>SUM(AA35:AD35)</f>
        <v/>
      </c>
      <c r="AF35" s="20" t="n">
        <v>14.74</v>
      </c>
      <c r="AG35" s="20" t="n">
        <v>43.33</v>
      </c>
      <c r="AH35" s="20" t="n">
        <v>43.13</v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0.6899999999999999</v>
      </c>
      <c r="F36" s="34" t="n">
        <v>0.68</v>
      </c>
      <c r="G36" s="18" t="n">
        <v>0.72</v>
      </c>
      <c r="H36" s="18" t="n">
        <v>0.74</v>
      </c>
      <c r="I36" s="18" t="n">
        <v>0.49</v>
      </c>
      <c r="J36" s="18" t="n">
        <v>0.44</v>
      </c>
      <c r="K36" s="34">
        <f>SUM(G36:J36)</f>
        <v/>
      </c>
      <c r="L36" s="18" t="n">
        <v>0.43</v>
      </c>
      <c r="M36" s="18" t="n">
        <v>0.39</v>
      </c>
      <c r="N36" s="18" t="n">
        <v>0.43</v>
      </c>
      <c r="O36" s="18" t="n">
        <v>0.38</v>
      </c>
      <c r="P36" s="34">
        <f>SUM(L36:O36)</f>
        <v/>
      </c>
      <c r="Q36" s="18" t="n">
        <v>0.42</v>
      </c>
      <c r="R36" s="18" t="n">
        <v>0.36</v>
      </c>
      <c r="S36" s="18" t="n">
        <v>0.32</v>
      </c>
      <c r="T36" s="18" t="n">
        <v>0.29</v>
      </c>
      <c r="U36" s="34">
        <f>SUM(Q36:T36)</f>
        <v/>
      </c>
      <c r="V36" s="18" t="n">
        <v>0.28</v>
      </c>
      <c r="W36" s="18" t="n">
        <v>0.32</v>
      </c>
      <c r="X36" s="18" t="n">
        <v>0.34</v>
      </c>
      <c r="Y36" s="18" t="n">
        <v>0.47</v>
      </c>
      <c r="Z36" s="34">
        <f>SUM(V36:Y36)</f>
        <v/>
      </c>
      <c r="AA36" s="18" t="n">
        <v>0.43</v>
      </c>
      <c r="AB36" s="19" t="n">
        <v>0.37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1451.13</v>
      </c>
      <c r="F37" s="34" t="n"/>
      <c r="G37" s="18" t="n">
        <v>1735.05</v>
      </c>
      <c r="H37" s="18" t="n">
        <v>1697.44</v>
      </c>
      <c r="I37" s="18" t="n">
        <v>1776.49</v>
      </c>
      <c r="J37" s="18" t="n">
        <v>2080.35</v>
      </c>
      <c r="K37" s="34">
        <f>SUM(G37:J37)</f>
        <v/>
      </c>
      <c r="L37" s="18" t="n">
        <v>2105.98</v>
      </c>
      <c r="M37" s="18" t="n">
        <v>2143.09</v>
      </c>
      <c r="N37" s="18" t="n">
        <v>2110.36</v>
      </c>
      <c r="O37" s="18" t="n">
        <v>2209.49</v>
      </c>
      <c r="P37" s="34">
        <f>SUM(L37:O37)</f>
        <v/>
      </c>
      <c r="Q37" s="18" t="n">
        <v>2092.93</v>
      </c>
      <c r="R37" s="18" t="n">
        <v>1894.75</v>
      </c>
      <c r="S37" s="18" t="n">
        <v>1937.09</v>
      </c>
      <c r="T37" s="18" t="n">
        <v>2088.75</v>
      </c>
      <c r="U37" s="34">
        <f>SUM(Q37:T37)</f>
        <v/>
      </c>
      <c r="V37" s="18" t="n">
        <v>1978.71</v>
      </c>
      <c r="W37" s="18" t="n">
        <v>2118.21</v>
      </c>
      <c r="X37" s="18" t="n">
        <v>2052.74</v>
      </c>
      <c r="Y37" s="18" t="n">
        <v>1871.9</v>
      </c>
      <c r="Z37" s="34">
        <f>SUM(V37:Y37)</f>
        <v/>
      </c>
      <c r="AA37" s="18" t="n">
        <v>1966.68</v>
      </c>
      <c r="AB37" s="19" t="n">
        <v>2290.92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36.28</v>
      </c>
      <c r="F38" s="34" t="n"/>
      <c r="G38" s="18" t="n">
        <v>120.21</v>
      </c>
      <c r="H38" s="18" t="n">
        <v>98.58</v>
      </c>
      <c r="I38" s="18" t="n">
        <v>64.51000000000001</v>
      </c>
      <c r="J38" s="18" t="n">
        <v>56.09</v>
      </c>
      <c r="K38" s="34">
        <f>SUM(G38:J38)</f>
        <v/>
      </c>
      <c r="L38" s="18" t="n">
        <v>157.51</v>
      </c>
      <c r="M38" s="18" t="n">
        <v>182.62</v>
      </c>
      <c r="N38" s="18" t="n">
        <v>189.36</v>
      </c>
      <c r="O38" s="18" t="n">
        <v>136.32</v>
      </c>
      <c r="P38" s="34">
        <f>SUM(L38:O38)</f>
        <v/>
      </c>
      <c r="Q38" s="18" t="n">
        <v>136.42</v>
      </c>
      <c r="R38" s="18" t="n">
        <v>86.73</v>
      </c>
      <c r="S38" s="18" t="n">
        <v>57.65</v>
      </c>
      <c r="T38" s="18" t="n">
        <v>49.68</v>
      </c>
      <c r="U38" s="34">
        <f>SUM(Q38:T38)</f>
        <v/>
      </c>
      <c r="V38" s="18" t="n">
        <v>70.62</v>
      </c>
      <c r="W38" s="18" t="n">
        <v>40.39</v>
      </c>
      <c r="X38" s="18" t="n">
        <v>-0.39</v>
      </c>
      <c r="Y38" s="18" t="n">
        <v>-5.64</v>
      </c>
      <c r="Z38" s="34">
        <f>SUM(V38:Y38)</f>
        <v/>
      </c>
      <c r="AA38" s="18" t="n">
        <v>132.39</v>
      </c>
      <c r="AB38" s="19" t="n">
        <v>179.9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IFERROR(E17/E5,"")</f>
        <v/>
      </c>
      <c r="F41" s="22">
        <f>IFERROR(F17/F5,"")</f>
        <v/>
      </c>
      <c r="G41" s="21">
        <f>IFERROR(G17/G5,"")</f>
        <v/>
      </c>
      <c r="H41" s="21">
        <f>IFERROR(H17/H5,"")</f>
        <v/>
      </c>
      <c r="I41" s="21">
        <f>IFERROR(I17/I5,"")</f>
        <v/>
      </c>
      <c r="J41" s="21">
        <f>IFERROR(J17/J5,"")</f>
        <v/>
      </c>
      <c r="K41" s="22">
        <f>IFERROR(K17/K5,"")</f>
        <v/>
      </c>
      <c r="L41" s="21">
        <f>IFERROR(L17/L5,"")</f>
        <v/>
      </c>
      <c r="M41" s="21">
        <f>IFERROR(M17/M5,"")</f>
        <v/>
      </c>
      <c r="N41" s="21">
        <f>IFERROR(N17/N5,"")</f>
        <v/>
      </c>
      <c r="O41" s="21">
        <f>IFERROR(O17/O5,"")</f>
        <v/>
      </c>
      <c r="P41" s="22">
        <f>IFERROR(P17/P5,"")</f>
        <v/>
      </c>
      <c r="Q41" s="21">
        <f>IFERROR(Q17/Q5,"")</f>
        <v/>
      </c>
      <c r="R41" s="21">
        <f>IFERROR(R17/R5,"")</f>
        <v/>
      </c>
      <c r="S41" s="21">
        <f>IFERROR(S17/S5,"")</f>
        <v/>
      </c>
      <c r="T41" s="21">
        <f>IFERROR(T17/T5,"")</f>
        <v/>
      </c>
      <c r="U41" s="22">
        <f>IFERROR(U17/U5,"")</f>
        <v/>
      </c>
      <c r="V41" s="21">
        <f>IFERROR(V17/V5,"")</f>
        <v/>
      </c>
      <c r="W41" s="21">
        <f>IFERROR(W17/W5,"")</f>
        <v/>
      </c>
      <c r="X41" s="21">
        <f>IFERROR(X17/X5,"")</f>
        <v/>
      </c>
      <c r="Y41" s="21">
        <f>IFERROR(Y17/Y5,"")</f>
        <v/>
      </c>
      <c r="Z41" s="22">
        <f>IFERROR(Z17/Z5,"")</f>
        <v/>
      </c>
      <c r="AA41" s="21">
        <f>IFERROR(AA17/AA5,"")</f>
        <v/>
      </c>
      <c r="AB41" s="23">
        <f>IFERROR(AB17/AB5,"")</f>
        <v/>
      </c>
      <c r="AC41" s="31">
        <f>IFERROR(AC17/AC5,"")</f>
        <v/>
      </c>
      <c r="AD41" s="31">
        <f>IFERROR(AD17/AD5,"")</f>
        <v/>
      </c>
      <c r="AE41" s="25">
        <f>IFERROR(AE17/AE5,"")</f>
        <v/>
      </c>
      <c r="AF41" s="31">
        <f>IFERROR(AF17/AF5,"")</f>
        <v/>
      </c>
      <c r="AG41" s="31">
        <f>IFERROR(AG17/AG5,"")</f>
        <v/>
      </c>
      <c r="AH41" s="31">
        <f>IFERROR(AH17/AH5,"")</f>
        <v/>
      </c>
      <c r="AI41" s="31">
        <f>IFERROR(AI17/AI5,"")</f>
        <v/>
      </c>
      <c r="AJ41" s="25">
        <f>IFERROR(AJ17/AJ5,"")</f>
        <v/>
      </c>
      <c r="AK41" s="31">
        <f>IFERROR(AK17/AK5,"")</f>
        <v/>
      </c>
      <c r="AL41" s="31">
        <f>IFERROR(AL17/AL5,"")</f>
        <v/>
      </c>
      <c r="AM41" s="31">
        <f>IFERROR(AM17/AM5,"")</f>
        <v/>
      </c>
      <c r="AN41" s="31">
        <f>IFERROR(AN17/AN5,"")</f>
        <v/>
      </c>
      <c r="AO41" s="25">
        <f>IFERROR(AO17/AO5,"")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IFERROR(I17/E17-1,"")</f>
        <v/>
      </c>
      <c r="J43" s="21">
        <f>IFERROR(J17/F17-1,"")</f>
        <v/>
      </c>
      <c r="K43" s="21">
        <f>IFERROR(K17/G17-1,"")</f>
        <v/>
      </c>
      <c r="L43" s="21">
        <f>IFERROR(L17/H17-1,"")</f>
        <v/>
      </c>
      <c r="M43" s="21">
        <f>IFERROR(M17/I17-1,"")</f>
        <v/>
      </c>
      <c r="N43" s="21">
        <f>IFERROR(N17/J17-1,"")</f>
        <v/>
      </c>
      <c r="O43" s="21">
        <f>IFERROR(O17/K17-1,"")</f>
        <v/>
      </c>
      <c r="P43" s="21">
        <f>IFERROR(P17/L17-1,"")</f>
        <v/>
      </c>
      <c r="Q43" s="21">
        <f>IFERROR(Q17/M17-1,"")</f>
        <v/>
      </c>
      <c r="R43" s="21">
        <f>IFERROR(R17/N17-1,"")</f>
        <v/>
      </c>
      <c r="S43" s="21">
        <f>IFERROR(S17/O17-1,"")</f>
        <v/>
      </c>
      <c r="T43" s="21">
        <f>IFERROR(T17/P17-1,"")</f>
        <v/>
      </c>
      <c r="U43" s="21">
        <f>IFERROR(U17/Q17-1,"")</f>
        <v/>
      </c>
      <c r="V43" s="21">
        <f>IFERROR(V17/R17-1,"")</f>
        <v/>
      </c>
      <c r="W43" s="42">
        <f>IFERROR(W17/S17-1,"")</f>
        <v/>
      </c>
      <c r="X43" s="31">
        <f>IFERROR(X17/T17-1,"")</f>
        <v/>
      </c>
      <c r="Y43" s="31">
        <f>IFERROR(Y17/U17-1,"")</f>
        <v/>
      </c>
      <c r="Z43" s="31">
        <f>IFERROR(Z17/V17-1,"")</f>
        <v/>
      </c>
      <c r="AA43" s="31">
        <f>IFERROR(AA17/W17-1,"")</f>
        <v/>
      </c>
      <c r="AB43" s="31">
        <f>IFERROR(AB17/X17-1,"")</f>
        <v/>
      </c>
      <c r="AC43" s="31">
        <f>IFERROR(AC17/Y17-1,"")</f>
        <v/>
      </c>
      <c r="AD43" s="31">
        <f>IFERROR(AD17/Z17-1,"")</f>
        <v/>
      </c>
      <c r="AE43" s="31">
        <f>IFERROR(AE17/AA17-1,"")</f>
        <v/>
      </c>
      <c r="AF43" s="31">
        <f>IFERROR(AF17/AB17-1,"")</f>
        <v/>
      </c>
      <c r="AG43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IFERROR(F17/E17-1,"")</f>
        <v/>
      </c>
      <c r="G43" s="21">
        <f>IFERROR(G17/F17-1,"")</f>
        <v/>
      </c>
      <c r="H43" s="21">
        <f>IFERROR(H17/G17-1,"")</f>
        <v/>
      </c>
      <c r="I43" s="42">
        <f>IFERROR(I17/H17-1,"")</f>
        <v/>
      </c>
      <c r="J43" s="31">
        <f>IFERROR(J17/I17-1,"")</f>
        <v/>
      </c>
      <c r="K43" s="31">
        <f>IFERROR(K17/J17-1,"")</f>
        <v/>
      </c>
      <c r="L43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109.4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43.33</v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0.008200000000000001</v>
      </c>
    </row>
    <row r="34">
      <c r="C34" s="2" t="inlineStr">
        <is>
          <t>fair_pbr</t>
        </is>
      </c>
      <c r="D34" t="n">
        <v>0.09</v>
      </c>
    </row>
    <row r="35">
      <c r="C35" s="2" t="inlineStr">
        <is>
          <t>fair_value_pbr</t>
        </is>
      </c>
      <c r="D35" t="n">
        <v>1200</v>
      </c>
    </row>
    <row r="36">
      <c r="C36" s="2" t="inlineStr">
        <is>
          <t>ev_ebitda</t>
        </is>
      </c>
      <c r="D36" t="n">
        <v>6.93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