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120원 유지</t>
      </text>
    </comment>
    <comment ref="AI40" authorId="0" shapeId="0">
      <text>
        <t>모델값 역산(implied): 모델 v 그대로
직전 결산 DPS 120원 유지</t>
      </text>
    </comment>
    <comment ref="AN40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-282억 × (1 − 세율 24.0% [모델 세율(분기 유효세율이 0~35% 밖·세전 ≤ 0)]) × 지배 비중 1.0000 [1 − 비지배 비중(8분기 실측)] = -96억 ÷ 유통주식수 · 초과 = 비영업손익 -317억 − 12분기 기준선 -36억 · 보고 EPS -1,094원(EPS 행 불변) · 상수 -214.18·1.0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-1,094→조정 -338원)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5">
      <c r="A35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4375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4603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$D$50</f>
        <v/>
      </c>
      <c r="AD26" s="26">
        <f>$D$50</f>
        <v/>
      </c>
      <c r="AE26" s="25">
        <f>IFERROR(subQ!AE16/subQ!AE15,"")</f>
        <v/>
      </c>
      <c r="AF26" s="26">
        <f>$D$50</f>
        <v/>
      </c>
      <c r="AG26" s="26">
        <f>$D$50</f>
        <v/>
      </c>
      <c r="AH26" s="26">
        <f>$D$50</f>
        <v/>
      </c>
      <c r="AI26" s="26">
        <f>$D$50</f>
        <v/>
      </c>
      <c r="AJ26" s="25">
        <f>IFERROR(subQ!AJ16/subQ!AJ15,"")</f>
        <v/>
      </c>
      <c r="AK26" s="26">
        <f>$D$50</f>
        <v/>
      </c>
      <c r="AL26" s="26">
        <f>$D$50</f>
        <v/>
      </c>
      <c r="AM26" s="26">
        <f>$D$50</f>
        <v/>
      </c>
      <c r="AN26" s="26">
        <f>$D$50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$D$52</f>
        <v/>
      </c>
      <c r="AD27" s="26">
        <f>$D$52</f>
        <v/>
      </c>
      <c r="AE27" s="25">
        <f>IFERROR(subQ!AE18/subQ!AE17,"")</f>
        <v/>
      </c>
      <c r="AF27" s="26">
        <f>$D$52</f>
        <v/>
      </c>
      <c r="AG27" s="26">
        <f>$D$52</f>
        <v/>
      </c>
      <c r="AH27" s="26">
        <f>$D$52</f>
        <v/>
      </c>
      <c r="AI27" s="26">
        <f>$D$52</f>
        <v/>
      </c>
      <c r="AJ27" s="25">
        <f>IFERROR(subQ!AJ18/subQ!AJ17,"")</f>
        <v/>
      </c>
      <c r="AK27" s="26">
        <f>$D$52</f>
        <v/>
      </c>
      <c r="AL27" s="26">
        <f>$D$52</f>
        <v/>
      </c>
      <c r="AM27" s="26">
        <f>$D$52</f>
        <v/>
      </c>
      <c r="AN27" s="26">
        <f>$D$52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subQ!E36</f>
        <v/>
      </c>
      <c r="F40" s="28">
        <f>subQ!F36</f>
        <v/>
      </c>
      <c r="G40" s="27">
        <f>subQ!G36</f>
        <v/>
      </c>
      <c r="H40" s="27">
        <f>subQ!H36</f>
        <v/>
      </c>
      <c r="I40" s="27">
        <f>subQ!I36</f>
        <v/>
      </c>
      <c r="J40" s="27">
        <f>subQ!J36</f>
        <v/>
      </c>
      <c r="K40" s="28">
        <f>subQ!K36</f>
        <v/>
      </c>
      <c r="L40" s="27">
        <f>subQ!L36</f>
        <v/>
      </c>
      <c r="M40" s="27">
        <f>subQ!M36</f>
        <v/>
      </c>
      <c r="N40" s="27">
        <f>subQ!N36</f>
        <v/>
      </c>
      <c r="O40" s="27">
        <f>subQ!O36</f>
        <v/>
      </c>
      <c r="P40" s="28">
        <f>subQ!P36</f>
        <v/>
      </c>
      <c r="Q40" s="27">
        <f>subQ!Q36</f>
        <v/>
      </c>
      <c r="R40" s="27">
        <f>subQ!R36</f>
        <v/>
      </c>
      <c r="S40" s="27">
        <f>subQ!S36</f>
        <v/>
      </c>
      <c r="T40" s="27">
        <f>subQ!T36</f>
        <v/>
      </c>
      <c r="U40" s="28">
        <f>subQ!U36</f>
        <v/>
      </c>
      <c r="V40" s="27">
        <f>subQ!V36</f>
        <v/>
      </c>
      <c r="W40" s="27">
        <f>subQ!W36</f>
        <v/>
      </c>
      <c r="X40" s="27">
        <f>subQ!X36</f>
        <v/>
      </c>
      <c r="Y40" s="27">
        <f>subQ!Y36</f>
        <v/>
      </c>
      <c r="Z40" s="28">
        <f>subQ!Z36</f>
        <v/>
      </c>
      <c r="AA40" s="27">
        <f>subQ!AA36</f>
        <v/>
      </c>
      <c r="AB40" s="29">
        <f>subQ!AB36</f>
        <v/>
      </c>
      <c r="AC40" s="32" t="n"/>
      <c r="AD40" s="30" t="n">
        <v>120</v>
      </c>
      <c r="AE40" s="31">
        <f>subQ!AE36</f>
        <v/>
      </c>
      <c r="AF40" s="32" t="n"/>
      <c r="AG40" s="32" t="n"/>
      <c r="AH40" s="32" t="n"/>
      <c r="AI40" s="30" t="n">
        <v>120</v>
      </c>
      <c r="AJ40" s="31">
        <f>subQ!AJ36</f>
        <v/>
      </c>
      <c r="AK40" s="32" t="n"/>
      <c r="AL40" s="32" t="n"/>
      <c r="AM40" s="32" t="n"/>
      <c r="AN40" s="30" t="n">
        <v>120</v>
      </c>
      <c r="AO40" s="31">
        <f>subQ!AO36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4600</v>
      </c>
      <c r="E43" s="2" t="inlineStr">
        <is>
          <t>원 — 네이버 정규장 종가(aik 확정종가 대조 · aik 4,565원)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4.2배가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0.2403254333215423</v>
      </c>
      <c r="E50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0.1340181682325823</v>
      </c>
      <c r="E51" s="2" t="inlineStr">
        <is>
          <t>연결 — 판관비 = 매출액 × 판관비율(역산, 재현 오차 ≤ 0.05억 · 모델 assumptions 0.134)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0.02463660282729904</v>
      </c>
      <c r="E53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0.03995916337487649</v>
      </c>
      <c r="E54" s="2" t="inlineStr">
        <is>
          <t>연결 — 같은 수식의 부채 쪽(총차입금 행이 없으면 0)(역산,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325283.63</v>
      </c>
      <c r="I24" s="18" t="n">
        <v>367192.63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H27" s="18" t="n">
        <v>2262.4</v>
      </c>
      <c r="I27" s="18" t="n">
        <v>2228.94</v>
      </c>
      <c r="J27" s="18" t="n">
        <v>2010.33</v>
      </c>
      <c r="K27" s="37" t="n">
        <v>2010.33</v>
      </c>
      <c r="L27" s="18" t="n">
        <v>2180.86</v>
      </c>
      <c r="M27" s="18" t="n">
        <v>2126.1</v>
      </c>
      <c r="N27" s="18" t="n">
        <v>1939.13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H28" s="18" t="n">
        <v>13485.52</v>
      </c>
      <c r="I28" s="18" t="n">
        <v>13381.93</v>
      </c>
      <c r="J28" s="18" t="n">
        <v>12888.58</v>
      </c>
      <c r="K28" s="37" t="n">
        <v>12888.58</v>
      </c>
      <c r="L28" s="18" t="n">
        <v>12766.09</v>
      </c>
      <c r="M28" s="18" t="n">
        <v>12346.06</v>
      </c>
      <c r="N28" s="18" t="n">
        <v>11743.01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H29" s="18" t="n">
        <v>2262.4</v>
      </c>
      <c r="I29" s="18" t="n">
        <v>2228.94</v>
      </c>
      <c r="J29" s="18" t="n">
        <v>2010.33</v>
      </c>
      <c r="K29" s="37" t="n">
        <v>2010.33</v>
      </c>
      <c r="L29" s="18" t="n">
        <v>2180.86</v>
      </c>
      <c r="M29" s="18" t="n">
        <v>2126.1</v>
      </c>
      <c r="N29" s="18" t="n">
        <v>1939.13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H35" s="18" t="n">
        <v>11223.12</v>
      </c>
      <c r="I35" s="18" t="n">
        <v>11152.99</v>
      </c>
      <c r="J35" s="18" t="n">
        <v>10878.25</v>
      </c>
      <c r="K35" s="37" t="n">
        <v>10878.25</v>
      </c>
      <c r="L35" s="18" t="n">
        <v>10585.23</v>
      </c>
      <c r="M35" s="18" t="n">
        <v>10219.96</v>
      </c>
      <c r="N35" s="18" t="n">
        <v>9803.879999999999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H36" s="18" t="n">
        <v>11223.12</v>
      </c>
      <c r="I36" s="18" t="n">
        <v>11152.99</v>
      </c>
      <c r="J36" s="18" t="n">
        <v>10878.25</v>
      </c>
      <c r="K36" s="37" t="n">
        <v>10878.25</v>
      </c>
      <c r="L36" s="18" t="n">
        <v>10585.23</v>
      </c>
      <c r="M36" s="18" t="n">
        <v>10219.96</v>
      </c>
      <c r="N36" s="18" t="n">
        <v>9803.879999999999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406676.63</v>
      </c>
      <c r="I46" s="18" t="n">
        <v>476751.85</v>
      </c>
      <c r="J46" s="18" t="n">
        <v>462603.34</v>
      </c>
      <c r="K46" s="37" t="n">
        <v>462603.34</v>
      </c>
      <c r="L46" s="18" t="n">
        <v>486853.9</v>
      </c>
      <c r="M46" s="18" t="n">
        <v>484785.52</v>
      </c>
      <c r="N46" s="18" t="n">
        <v>474886.58</v>
      </c>
      <c r="O46" s="18" t="n">
        <v>525321.33</v>
      </c>
      <c r="P46" s="37" t="n">
        <v>525321.33</v>
      </c>
      <c r="Q46" s="18" t="n">
        <v>483044.77</v>
      </c>
      <c r="R46" s="18" t="n">
        <v>502299.45</v>
      </c>
      <c r="S46" s="18" t="n">
        <v>513858.49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307130.53</v>
      </c>
      <c r="I47" s="18" t="n">
        <v>376254.26</v>
      </c>
      <c r="J47" s="18" t="n">
        <v>372463.05</v>
      </c>
      <c r="K47" s="37" t="n">
        <v>372463.05</v>
      </c>
      <c r="L47" s="18" t="n">
        <v>389588.13</v>
      </c>
      <c r="M47" s="18" t="n">
        <v>375047.65</v>
      </c>
      <c r="N47" s="18" t="n">
        <v>377116.65</v>
      </c>
      <c r="O47" s="18" t="n">
        <v>423205.85</v>
      </c>
      <c r="P47" s="37" t="n">
        <v>423205.85</v>
      </c>
      <c r="Q47" s="18" t="n">
        <v>375972.33</v>
      </c>
      <c r="R47" s="18" t="n">
        <v>423341.82</v>
      </c>
      <c r="S47" s="18" t="n">
        <v>422790.45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H49" s="18" t="n">
        <v>41219.68</v>
      </c>
      <c r="I49" s="18" t="n">
        <v>35922.74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K50" s="9" t="n"/>
      <c r="O50" s="18" t="n">
        <v>60000</v>
      </c>
      <c r="P50" s="37" t="n">
        <v>60000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확정급여부채</t>
        </is>
      </c>
      <c r="F52" s="9" t="n"/>
      <c r="I52" s="18" t="n">
        <v>2077.68</v>
      </c>
      <c r="K52" s="9" t="n"/>
      <c r="L52" s="18" t="n">
        <v>1769.4</v>
      </c>
      <c r="M52" s="18" t="n">
        <v>1230.82</v>
      </c>
      <c r="N52" s="18" t="n">
        <v>218.03</v>
      </c>
      <c r="P52" s="9" t="n"/>
      <c r="Q52" s="18" t="n">
        <v>68.93000000000001</v>
      </c>
      <c r="R52" s="18" t="n">
        <v>1092.02</v>
      </c>
      <c r="S52" s="18" t="n">
        <v>1549.62</v>
      </c>
      <c r="U52" s="9" t="n"/>
      <c r="X52" s="18" t="n">
        <v>1358.11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390288.61</v>
      </c>
      <c r="K53" s="37" t="n">
        <v>390288.61</v>
      </c>
      <c r="L53" s="18" t="n">
        <v>410737.3</v>
      </c>
      <c r="M53" s="18" t="n">
        <v>406193.92</v>
      </c>
      <c r="N53" s="18" t="n">
        <v>394319.97</v>
      </c>
      <c r="P53" s="9" t="n"/>
      <c r="Q53" s="18" t="n">
        <v>421487.33</v>
      </c>
      <c r="R53" s="18" t="n">
        <v>400806.67</v>
      </c>
      <c r="S53" s="18" t="n">
        <v>416152.66</v>
      </c>
      <c r="U53" s="9" t="n"/>
      <c r="Z53" s="9" t="n"/>
      <c r="AB53" s="19" t="n">
        <v>392878.52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988.35</v>
      </c>
      <c r="F25" s="37" t="n">
        <v>988.35</v>
      </c>
      <c r="G25" s="18" t="n">
        <v>1131.63</v>
      </c>
      <c r="H25" s="18" t="n">
        <v>1141.03</v>
      </c>
      <c r="I25" s="18" t="n">
        <v>1174.71</v>
      </c>
      <c r="J25" s="18" t="n">
        <v>1056.23</v>
      </c>
      <c r="K25" s="37" t="n">
        <v>1056.23</v>
      </c>
      <c r="L25" s="18" t="n">
        <v>1182.66</v>
      </c>
      <c r="M25" s="18" t="n">
        <v>1117.63</v>
      </c>
      <c r="N25" s="18" t="n">
        <v>1116.6</v>
      </c>
      <c r="O25" s="18" t="n">
        <v>1071.03</v>
      </c>
      <c r="P25" s="37" t="n">
        <v>1071.03</v>
      </c>
      <c r="Q25" s="18" t="n">
        <v>1211.56</v>
      </c>
      <c r="R25" s="18" t="n">
        <v>1149.59</v>
      </c>
      <c r="S25" s="18" t="n">
        <v>1017.49</v>
      </c>
      <c r="T25" s="18" t="n">
        <v>905.54</v>
      </c>
      <c r="U25" s="37" t="n">
        <v>905.54</v>
      </c>
      <c r="V25" s="18" t="n">
        <v>934.85</v>
      </c>
      <c r="W25" s="18" t="n">
        <v>1216.26</v>
      </c>
      <c r="X25" s="18" t="n">
        <v>1020.99</v>
      </c>
      <c r="Y25" s="18" t="n">
        <v>798.17</v>
      </c>
      <c r="Z25" s="37" t="n">
        <v>798.17</v>
      </c>
      <c r="AA25" s="18" t="n">
        <v>887.24</v>
      </c>
      <c r="AB25" s="19" t="n">
        <v>1092.91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6639.93</v>
      </c>
      <c r="F26" s="37" t="n">
        <v>6639.93</v>
      </c>
      <c r="G26" s="18" t="n">
        <v>7421.46</v>
      </c>
      <c r="H26" s="18" t="n">
        <v>8726.639999999999</v>
      </c>
      <c r="I26" s="18" t="n">
        <v>8835.65</v>
      </c>
      <c r="J26" s="18" t="n">
        <v>8560.65</v>
      </c>
      <c r="K26" s="37" t="n">
        <v>8560.65</v>
      </c>
      <c r="L26" s="18" t="n">
        <v>8548.42</v>
      </c>
      <c r="M26" s="18" t="n">
        <v>8241.09</v>
      </c>
      <c r="N26" s="18" t="n">
        <v>8252.530000000001</v>
      </c>
      <c r="O26" s="18" t="n">
        <v>7959</v>
      </c>
      <c r="P26" s="37" t="n">
        <v>7959</v>
      </c>
      <c r="Q26" s="18" t="n">
        <v>7810.63</v>
      </c>
      <c r="R26" s="18" t="n">
        <v>6762.82</v>
      </c>
      <c r="S26" s="18" t="n">
        <v>6483.86</v>
      </c>
      <c r="T26" s="18" t="n">
        <v>6244.93</v>
      </c>
      <c r="U26" s="37" t="n">
        <v>6244.93</v>
      </c>
      <c r="V26" s="18" t="n">
        <v>6098.61</v>
      </c>
      <c r="W26" s="18" t="n">
        <v>6077.98</v>
      </c>
      <c r="X26" s="18" t="n">
        <v>5739.46</v>
      </c>
      <c r="Y26" s="18" t="n">
        <v>5389.7</v>
      </c>
      <c r="Z26" s="37" t="n">
        <v>5389.7</v>
      </c>
      <c r="AA26" s="18" t="n">
        <v>5353.17</v>
      </c>
      <c r="AB26" s="19" t="n">
        <v>5441.83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988.35</v>
      </c>
      <c r="F27" s="37" t="n">
        <v>988.35</v>
      </c>
      <c r="G27" s="18" t="n">
        <v>1131.63</v>
      </c>
      <c r="H27" s="18" t="n">
        <v>1141.03</v>
      </c>
      <c r="I27" s="18" t="n">
        <v>1174.71</v>
      </c>
      <c r="J27" s="18" t="n">
        <v>1056.23</v>
      </c>
      <c r="K27" s="37" t="n">
        <v>1056.23</v>
      </c>
      <c r="L27" s="18" t="n">
        <v>1182.66</v>
      </c>
      <c r="M27" s="18" t="n">
        <v>1117.63</v>
      </c>
      <c r="N27" s="18" t="n">
        <v>1116.6</v>
      </c>
      <c r="O27" s="18" t="n">
        <v>1071.03</v>
      </c>
      <c r="P27" s="37" t="n">
        <v>1071.03</v>
      </c>
      <c r="Q27" s="18" t="n">
        <v>1211.56</v>
      </c>
      <c r="R27" s="18" t="n">
        <v>1149.59</v>
      </c>
      <c r="S27" s="18" t="n">
        <v>1017.49</v>
      </c>
      <c r="T27" s="18" t="n">
        <v>905.54</v>
      </c>
      <c r="U27" s="37" t="n">
        <v>905.54</v>
      </c>
      <c r="V27" s="18" t="n">
        <v>934.85</v>
      </c>
      <c r="W27" s="18" t="n">
        <v>1216.26</v>
      </c>
      <c r="X27" s="18" t="n">
        <v>1020.99</v>
      </c>
      <c r="Y27" s="18" t="n">
        <v>798.17</v>
      </c>
      <c r="Z27" s="37" t="n">
        <v>798.17</v>
      </c>
      <c r="AA27" s="18" t="n">
        <v>887.24</v>
      </c>
      <c r="AB27" s="19" t="n">
        <v>1092.91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52668.28</v>
      </c>
      <c r="F28" s="37" t="n">
        <v>52668.28</v>
      </c>
      <c r="G28" s="18" t="n">
        <v>63079.03</v>
      </c>
      <c r="H28" s="18" t="n">
        <v>44536.3</v>
      </c>
      <c r="I28" s="18" t="n">
        <v>75143.5</v>
      </c>
      <c r="J28" s="18" t="n">
        <v>71627.11</v>
      </c>
      <c r="K28" s="37" t="n">
        <v>71627.11</v>
      </c>
      <c r="L28" s="18" t="n">
        <v>75112.85000000001</v>
      </c>
      <c r="M28" s="18" t="n">
        <v>74744.61</v>
      </c>
      <c r="N28" s="18" t="n">
        <v>74470.47</v>
      </c>
      <c r="O28" s="18" t="n">
        <v>73357.35000000001</v>
      </c>
      <c r="P28" s="37" t="n">
        <v>73357.35000000001</v>
      </c>
      <c r="Q28" s="18" t="n">
        <v>50693.98</v>
      </c>
      <c r="R28" s="18" t="n">
        <v>79440.13</v>
      </c>
      <c r="S28" s="18" t="n">
        <v>78921.66</v>
      </c>
      <c r="T28" s="18" t="n">
        <v>80086.42</v>
      </c>
      <c r="U28" s="37" t="n">
        <v>80086.42</v>
      </c>
      <c r="V28" s="18" t="n">
        <v>99313.64</v>
      </c>
      <c r="W28" s="18" t="n">
        <v>88416.49000000001</v>
      </c>
      <c r="X28" s="18" t="n">
        <v>122692.89</v>
      </c>
      <c r="Y28" s="18" t="n">
        <v>120262.57</v>
      </c>
      <c r="Z28" s="37" t="n">
        <v>120262.57</v>
      </c>
      <c r="AA28" s="18" t="n">
        <v>122082.92</v>
      </c>
      <c r="AB28" s="19" t="n">
        <v>131905.04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42842.13</v>
      </c>
      <c r="F29" s="37" t="n">
        <v>42842.13</v>
      </c>
      <c r="G29" s="18" t="n">
        <v>52879.93</v>
      </c>
      <c r="H29" s="18" t="n">
        <v>32854.42</v>
      </c>
      <c r="I29" s="18" t="n">
        <v>62827.74</v>
      </c>
      <c r="J29" s="18" t="n">
        <v>59952.73</v>
      </c>
      <c r="K29" s="37" t="n">
        <v>59952.73</v>
      </c>
      <c r="L29" s="18" t="n">
        <v>63902.86</v>
      </c>
      <c r="M29" s="18" t="n">
        <v>62960.6</v>
      </c>
      <c r="N29" s="18" t="n">
        <v>63915.87</v>
      </c>
      <c r="O29" s="18" t="n">
        <v>62970.37</v>
      </c>
      <c r="P29" s="37" t="n">
        <v>62970.37</v>
      </c>
      <c r="Q29" s="18" t="n">
        <v>39988.45</v>
      </c>
      <c r="R29" s="18" t="n">
        <v>69951.06</v>
      </c>
      <c r="S29" s="18" t="n">
        <v>69964.09</v>
      </c>
      <c r="T29" s="18" t="n">
        <v>69967.25999999999</v>
      </c>
      <c r="U29" s="37" t="n">
        <v>69967.25999999999</v>
      </c>
      <c r="V29" s="18" t="n">
        <v>89930.32000000001</v>
      </c>
      <c r="W29" s="18" t="n">
        <v>79936.69</v>
      </c>
      <c r="X29" s="18" t="n">
        <v>113943.2</v>
      </c>
      <c r="Y29" s="18" t="n">
        <v>113949.77</v>
      </c>
      <c r="Z29" s="37" t="n">
        <v>113949.77</v>
      </c>
      <c r="AA29" s="18" t="n">
        <v>113956.26</v>
      </c>
      <c r="AB29" s="19" t="n">
        <v>122975.88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장기금융부채(face)</t>
        </is>
      </c>
      <c r="E30" s="18" t="n">
        <v>877.63</v>
      </c>
      <c r="F30" s="37" t="n">
        <v>877.63</v>
      </c>
      <c r="G30" s="18" t="n">
        <v>953.64</v>
      </c>
      <c r="H30" s="18" t="n">
        <v>901.4299999999999</v>
      </c>
      <c r="I30" s="18" t="n">
        <v>868.26</v>
      </c>
      <c r="K30" s="9" t="n"/>
      <c r="L30" s="18" t="n">
        <v>948.26</v>
      </c>
      <c r="N30" s="18" t="n">
        <v>949.26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3037.01</v>
      </c>
      <c r="F31" s="37" t="n">
        <v>3037.01</v>
      </c>
      <c r="G31" s="18" t="n">
        <v>2828.8</v>
      </c>
      <c r="H31" s="18" t="n">
        <v>3065.13</v>
      </c>
      <c r="I31" s="18" t="n">
        <v>3654.28</v>
      </c>
      <c r="J31" s="18" t="n">
        <v>2126.99</v>
      </c>
      <c r="K31" s="37" t="n">
        <v>2126.99</v>
      </c>
      <c r="L31" s="18" t="n">
        <v>2595.5</v>
      </c>
      <c r="M31" s="18" t="n">
        <v>2340.99</v>
      </c>
      <c r="N31" s="18" t="n">
        <v>2110.44</v>
      </c>
      <c r="O31" s="18" t="n">
        <v>1046.56</v>
      </c>
      <c r="P31" s="37" t="n">
        <v>1046.56</v>
      </c>
      <c r="Q31" s="18" t="n">
        <v>1544.24</v>
      </c>
      <c r="R31" s="18" t="n">
        <v>1278.97</v>
      </c>
      <c r="S31" s="18" t="n">
        <v>1352.07</v>
      </c>
      <c r="T31" s="18" t="n">
        <v>2692.49</v>
      </c>
      <c r="U31" s="37" t="n">
        <v>2692.49</v>
      </c>
      <c r="V31" s="18" t="n">
        <v>2100.8</v>
      </c>
      <c r="W31" s="18" t="n">
        <v>1520.69</v>
      </c>
      <c r="X31" s="18" t="n">
        <v>1996.33</v>
      </c>
      <c r="Z31" s="9" t="n"/>
      <c r="AA31" s="18" t="n">
        <v>1995.07</v>
      </c>
      <c r="AB31" s="19" t="n">
        <v>2976.09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1137.56</v>
      </c>
      <c r="F32" s="37" t="n">
        <v>1137.56</v>
      </c>
      <c r="G32" s="18" t="n">
        <v>1080.48</v>
      </c>
      <c r="H32" s="18" t="n">
        <v>1031.15</v>
      </c>
      <c r="I32" s="18" t="n">
        <v>1000.55</v>
      </c>
      <c r="J32" s="18" t="n">
        <v>1174.71</v>
      </c>
      <c r="K32" s="37" t="n">
        <v>1174.71</v>
      </c>
      <c r="L32" s="18" t="n">
        <v>1248.72</v>
      </c>
      <c r="M32" s="18" t="n">
        <v>1330.03</v>
      </c>
      <c r="N32" s="18" t="n">
        <v>1308.23</v>
      </c>
      <c r="O32" s="18" t="n">
        <v>1494.19</v>
      </c>
      <c r="P32" s="37" t="n">
        <v>1494.19</v>
      </c>
      <c r="Q32" s="18" t="n">
        <v>1578.3</v>
      </c>
      <c r="R32" s="18" t="n">
        <v>1635.6</v>
      </c>
      <c r="S32" s="18" t="n">
        <v>1655.25</v>
      </c>
      <c r="T32" s="18" t="n">
        <v>1562.97</v>
      </c>
      <c r="U32" s="37" t="n">
        <v>1562.97</v>
      </c>
      <c r="V32" s="18" t="n">
        <v>1570.39</v>
      </c>
      <c r="W32" s="18" t="n">
        <v>1585.33</v>
      </c>
      <c r="X32" s="18" t="n">
        <v>1547.83</v>
      </c>
      <c r="Y32" s="18" t="n">
        <v>1278.33</v>
      </c>
      <c r="Z32" s="37" t="n">
        <v>1278.33</v>
      </c>
      <c r="AA32" s="18" t="n">
        <v>1222.71</v>
      </c>
      <c r="AB32" s="19" t="n">
        <v>1203.41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5651.58</v>
      </c>
      <c r="F33" s="37" t="n">
        <v>5651.58</v>
      </c>
      <c r="G33" s="18" t="n">
        <v>6289.83</v>
      </c>
      <c r="H33" s="18" t="n">
        <v>7585.61</v>
      </c>
      <c r="I33" s="18" t="n">
        <v>7660.94</v>
      </c>
      <c r="J33" s="18" t="n">
        <v>7504.42</v>
      </c>
      <c r="K33" s="37" t="n">
        <v>7504.42</v>
      </c>
      <c r="L33" s="18" t="n">
        <v>7365.76</v>
      </c>
      <c r="M33" s="18" t="n">
        <v>7123.46</v>
      </c>
      <c r="N33" s="18" t="n">
        <v>7135.93</v>
      </c>
      <c r="O33" s="18" t="n">
        <v>6887.97</v>
      </c>
      <c r="P33" s="37" t="n">
        <v>6887.97</v>
      </c>
      <c r="Q33" s="18" t="n">
        <v>6599.07</v>
      </c>
      <c r="R33" s="18" t="n">
        <v>5613.23</v>
      </c>
      <c r="S33" s="18" t="n">
        <v>5466.37</v>
      </c>
      <c r="T33" s="18" t="n">
        <v>5339.39</v>
      </c>
      <c r="U33" s="37" t="n">
        <v>5339.39</v>
      </c>
      <c r="V33" s="18" t="n">
        <v>5163.76</v>
      </c>
      <c r="W33" s="18" t="n">
        <v>4861.72</v>
      </c>
      <c r="X33" s="18" t="n">
        <v>4718.47</v>
      </c>
      <c r="Y33" s="18" t="n">
        <v>4591.53</v>
      </c>
      <c r="Z33" s="37" t="n">
        <v>4591.53</v>
      </c>
      <c r="AA33" s="18" t="n">
        <v>4465.93</v>
      </c>
      <c r="AB33" s="19" t="n">
        <v>4348.92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5651.58</v>
      </c>
      <c r="F34" s="37" t="n">
        <v>5651.58</v>
      </c>
      <c r="G34" s="18" t="n">
        <v>6289.83</v>
      </c>
      <c r="H34" s="18" t="n">
        <v>7585.61</v>
      </c>
      <c r="I34" s="18" t="n">
        <v>7660.94</v>
      </c>
      <c r="J34" s="18" t="n">
        <v>7504.42</v>
      </c>
      <c r="K34" s="37" t="n">
        <v>7504.42</v>
      </c>
      <c r="L34" s="18" t="n">
        <v>7365.76</v>
      </c>
      <c r="M34" s="18" t="n">
        <v>7123.46</v>
      </c>
      <c r="N34" s="18" t="n">
        <v>7135.93</v>
      </c>
      <c r="O34" s="18" t="n">
        <v>6887.97</v>
      </c>
      <c r="P34" s="37" t="n">
        <v>6887.97</v>
      </c>
      <c r="Q34" s="18" t="n">
        <v>6599.07</v>
      </c>
      <c r="R34" s="18" t="n">
        <v>5613.23</v>
      </c>
      <c r="S34" s="18" t="n">
        <v>5466.37</v>
      </c>
      <c r="T34" s="18" t="n">
        <v>5339.39</v>
      </c>
      <c r="U34" s="37" t="n">
        <v>5339.39</v>
      </c>
      <c r="V34" s="18" t="n">
        <v>5163.76</v>
      </c>
      <c r="W34" s="18" t="n">
        <v>4861.72</v>
      </c>
      <c r="X34" s="18" t="n">
        <v>4718.47</v>
      </c>
      <c r="Y34" s="18" t="n">
        <v>4591.53</v>
      </c>
      <c r="Z34" s="37" t="n">
        <v>4591.53</v>
      </c>
      <c r="AA34" s="18" t="n">
        <v>4465.93</v>
      </c>
      <c r="AB34" s="19" t="n">
        <v>4348.92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303788.48</v>
      </c>
      <c r="F35" s="37" t="n">
        <v>303788.48</v>
      </c>
      <c r="G35" s="18" t="n">
        <v>313558.78</v>
      </c>
      <c r="H35" s="18" t="n">
        <v>317747.71</v>
      </c>
      <c r="I35" s="18" t="n">
        <v>331935.91</v>
      </c>
      <c r="J35" s="18" t="n">
        <v>344163.96</v>
      </c>
      <c r="K35" s="37" t="n">
        <v>344163.96</v>
      </c>
      <c r="L35" s="18" t="n">
        <v>364020.22</v>
      </c>
      <c r="M35" s="18" t="n">
        <v>355487.65</v>
      </c>
      <c r="N35" s="18" t="n">
        <v>352593.92</v>
      </c>
      <c r="O35" s="18" t="n">
        <v>343701.96</v>
      </c>
      <c r="P35" s="37" t="n">
        <v>343701.96</v>
      </c>
      <c r="Q35" s="18" t="n">
        <v>339842.18</v>
      </c>
      <c r="R35" s="18" t="n">
        <v>335403.91</v>
      </c>
      <c r="S35" s="18" t="n">
        <v>338841.66</v>
      </c>
      <c r="T35" s="18" t="n">
        <v>321497.21</v>
      </c>
      <c r="U35" s="37" t="n">
        <v>321497.21</v>
      </c>
      <c r="V35" s="18" t="n">
        <v>336482.95</v>
      </c>
      <c r="W35" s="18" t="n">
        <v>353769.17</v>
      </c>
      <c r="X35" s="18" t="n">
        <v>354141.37</v>
      </c>
      <c r="Y35" s="18" t="n">
        <v>345895.89</v>
      </c>
      <c r="Z35" s="37" t="n">
        <v>345895.89</v>
      </c>
      <c r="AA35" s="18" t="n">
        <v>350320.01</v>
      </c>
      <c r="AB35" s="19" t="n">
        <v>370447.2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93020.37</v>
      </c>
      <c r="F36" s="37" t="n">
        <v>93020.37</v>
      </c>
      <c r="G36" s="18" t="n">
        <v>93020.37</v>
      </c>
      <c r="H36" s="18" t="n">
        <v>93020.37</v>
      </c>
      <c r="I36" s="18" t="n">
        <v>93020.37</v>
      </c>
      <c r="J36" s="18" t="n">
        <v>93020.37</v>
      </c>
      <c r="K36" s="37" t="n">
        <v>93020.37</v>
      </c>
      <c r="L36" s="18" t="n">
        <v>93020.37</v>
      </c>
      <c r="M36" s="18" t="n">
        <v>93020.37</v>
      </c>
      <c r="N36" s="18" t="n">
        <v>93020.37</v>
      </c>
      <c r="O36" s="18" t="n">
        <v>93020.37</v>
      </c>
      <c r="P36" s="37" t="n">
        <v>93020.37</v>
      </c>
      <c r="Q36" s="18" t="n">
        <v>93020.37</v>
      </c>
      <c r="R36" s="18" t="n">
        <v>93020.37</v>
      </c>
      <c r="S36" s="18" t="n">
        <v>93020.37</v>
      </c>
      <c r="T36" s="18" t="n">
        <v>93020.37</v>
      </c>
      <c r="U36" s="37" t="n">
        <v>93020.37</v>
      </c>
      <c r="V36" s="18" t="n">
        <v>93020.37</v>
      </c>
      <c r="W36" s="18" t="n">
        <v>93020.37</v>
      </c>
      <c r="X36" s="18" t="n">
        <v>93020.37</v>
      </c>
      <c r="Y36" s="18" t="n">
        <v>93020.37</v>
      </c>
      <c r="Z36" s="37" t="n">
        <v>93020.37</v>
      </c>
      <c r="AA36" s="18" t="n">
        <v>93020.37</v>
      </c>
      <c r="AB36" s="19" t="n">
        <v>93020.37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49143.43</v>
      </c>
      <c r="F37" s="37" t="n">
        <v>49143.43</v>
      </c>
      <c r="G37" s="18" t="n">
        <v>49143.43</v>
      </c>
      <c r="H37" s="18" t="n">
        <v>49143.43</v>
      </c>
      <c r="I37" s="18" t="n">
        <v>49143.43</v>
      </c>
      <c r="J37" s="18" t="n">
        <v>49143.43</v>
      </c>
      <c r="K37" s="37" t="n">
        <v>49143.43</v>
      </c>
      <c r="L37" s="18" t="n">
        <v>49143.43</v>
      </c>
      <c r="M37" s="18" t="n">
        <v>49143.43</v>
      </c>
      <c r="N37" s="18" t="n">
        <v>49143.43</v>
      </c>
      <c r="O37" s="18" t="n">
        <v>49143.43</v>
      </c>
      <c r="P37" s="37" t="n">
        <v>49143.43</v>
      </c>
      <c r="Q37" s="18" t="n">
        <v>49143.43</v>
      </c>
      <c r="R37" s="18" t="n">
        <v>49143.43</v>
      </c>
      <c r="S37" s="18" t="n">
        <v>49143.43</v>
      </c>
      <c r="T37" s="18" t="n">
        <v>49143.43</v>
      </c>
      <c r="U37" s="37" t="n">
        <v>49143.43</v>
      </c>
      <c r="V37" s="18" t="n">
        <v>49143.43</v>
      </c>
      <c r="W37" s="18" t="n">
        <v>49143.43</v>
      </c>
      <c r="X37" s="18" t="n">
        <v>49143.43</v>
      </c>
      <c r="Y37" s="18" t="n">
        <v>59499.36</v>
      </c>
      <c r="Z37" s="37" t="n">
        <v>59499.36</v>
      </c>
      <c r="AA37" s="18" t="n">
        <v>59499.36</v>
      </c>
      <c r="AB37" s="19" t="n">
        <v>59499.36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246.37</v>
      </c>
      <c r="F38" s="37" t="n">
        <v>246.37</v>
      </c>
      <c r="G38" s="18" t="n">
        <v>795.37</v>
      </c>
      <c r="H38" s="18" t="n">
        <v>57.9</v>
      </c>
      <c r="I38" s="18" t="n">
        <v>-94.38</v>
      </c>
      <c r="J38" s="18" t="n">
        <v>163.38</v>
      </c>
      <c r="K38" s="37" t="n">
        <v>163.38</v>
      </c>
      <c r="L38" s="18" t="n">
        <v>332.33</v>
      </c>
      <c r="M38" s="18" t="n">
        <v>390.46</v>
      </c>
      <c r="N38" s="18" t="n">
        <v>767.29</v>
      </c>
      <c r="O38" s="18" t="n">
        <v>846.62</v>
      </c>
      <c r="P38" s="37" t="n">
        <v>846.62</v>
      </c>
      <c r="Q38" s="18" t="n">
        <v>344.84</v>
      </c>
      <c r="R38" s="18" t="n">
        <v>132.31</v>
      </c>
      <c r="S38" s="18" t="n">
        <v>-31.92</v>
      </c>
      <c r="T38" s="18" t="n">
        <v>-526.34</v>
      </c>
      <c r="U38" s="37" t="n">
        <v>-526.34</v>
      </c>
      <c r="V38" s="18" t="n">
        <v>-471.5</v>
      </c>
      <c r="W38" s="18" t="n">
        <v>-164.58</v>
      </c>
      <c r="X38" s="18" t="n">
        <v>-180.87</v>
      </c>
      <c r="Y38" s="18" t="n">
        <v>243.01</v>
      </c>
      <c r="Z38" s="37" t="n">
        <v>243.01</v>
      </c>
      <c r="AA38" s="18" t="n">
        <v>-1050.22</v>
      </c>
      <c r="AB38" s="19" t="n">
        <v>-3166.14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202646.16</v>
      </c>
      <c r="F39" s="37" t="n">
        <v>202646.16</v>
      </c>
      <c r="G39" s="18" t="n">
        <v>211346.15</v>
      </c>
      <c r="H39" s="18" t="n">
        <v>219344.14</v>
      </c>
      <c r="I39" s="18" t="n">
        <v>231394.54</v>
      </c>
      <c r="J39" s="18" t="n">
        <v>227423.32</v>
      </c>
      <c r="K39" s="37" t="n">
        <v>227423.32</v>
      </c>
      <c r="L39" s="18" t="n">
        <v>229809.92</v>
      </c>
      <c r="M39" s="18" t="n">
        <v>238626.62</v>
      </c>
      <c r="N39" s="18" t="n">
        <v>248861.3</v>
      </c>
      <c r="O39" s="18" t="n">
        <v>244299.66</v>
      </c>
      <c r="P39" s="37" t="n">
        <v>244299.66</v>
      </c>
      <c r="Q39" s="18" t="n">
        <v>243338.44</v>
      </c>
      <c r="R39" s="18" t="n">
        <v>245111.29</v>
      </c>
      <c r="S39" s="18" t="n">
        <v>236467.14</v>
      </c>
      <c r="T39" s="18" t="n">
        <v>234127.14</v>
      </c>
      <c r="U39" s="37" t="n">
        <v>234127.14</v>
      </c>
      <c r="V39" s="18" t="n">
        <v>229486.02</v>
      </c>
      <c r="W39" s="18" t="n">
        <v>218542.51</v>
      </c>
      <c r="X39" s="18" t="n">
        <v>211015.11</v>
      </c>
      <c r="Y39" s="18" t="n">
        <v>188866.9</v>
      </c>
      <c r="Z39" s="37" t="n">
        <v>188866.9</v>
      </c>
      <c r="AA39" s="18" t="n">
        <v>198344.38</v>
      </c>
      <c r="AB39" s="19" t="n">
        <v>200351.43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281955.19</v>
      </c>
      <c r="F40" s="37" t="n">
        <v>281955.19</v>
      </c>
      <c r="G40" s="18" t="n">
        <v>291204.18</v>
      </c>
      <c r="H40" s="18" t="n">
        <v>298464.7</v>
      </c>
      <c r="I40" s="18" t="n">
        <v>310362.82</v>
      </c>
      <c r="J40" s="18" t="n">
        <v>306649.36</v>
      </c>
      <c r="K40" s="37" t="n">
        <v>306649.36</v>
      </c>
      <c r="L40" s="18" t="n">
        <v>309204.92</v>
      </c>
      <c r="M40" s="18" t="n">
        <v>318079.75</v>
      </c>
      <c r="N40" s="18" t="n">
        <v>328691.25</v>
      </c>
      <c r="O40" s="18" t="n">
        <v>324208.94</v>
      </c>
      <c r="P40" s="37" t="n">
        <v>324208.94</v>
      </c>
      <c r="Q40" s="18" t="n">
        <v>322745.94</v>
      </c>
      <c r="R40" s="18" t="n">
        <v>324306.26</v>
      </c>
      <c r="S40" s="18" t="n">
        <v>315497.89</v>
      </c>
      <c r="T40" s="18" t="n">
        <v>312663.46</v>
      </c>
      <c r="U40" s="37" t="n">
        <v>312663.46</v>
      </c>
      <c r="V40" s="18" t="n">
        <v>308077.19</v>
      </c>
      <c r="W40" s="18" t="n">
        <v>297440.59</v>
      </c>
      <c r="X40" s="18" t="n">
        <v>289896.9</v>
      </c>
      <c r="Y40" s="18" t="n">
        <v>278528.5</v>
      </c>
      <c r="Z40" s="37" t="n">
        <v>278528.5</v>
      </c>
      <c r="AA40" s="18" t="n">
        <v>286712.75</v>
      </c>
      <c r="AB40" s="19" t="n">
        <v>286603.88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585743.67</v>
      </c>
      <c r="F41" s="37" t="n">
        <v>585743.67</v>
      </c>
      <c r="G41" s="18" t="n">
        <v>604762.97</v>
      </c>
      <c r="H41" s="18" t="n">
        <v>616212.41</v>
      </c>
      <c r="I41" s="18" t="n">
        <v>642298.72</v>
      </c>
      <c r="J41" s="18" t="n">
        <v>650813.3199999999</v>
      </c>
      <c r="K41" s="37" t="n">
        <v>650813.3199999999</v>
      </c>
      <c r="L41" s="18" t="n">
        <v>673225.14</v>
      </c>
      <c r="M41" s="18" t="n">
        <v>673567.4</v>
      </c>
      <c r="N41" s="18" t="n">
        <v>681285.17</v>
      </c>
      <c r="O41" s="18" t="n">
        <v>667910.9</v>
      </c>
      <c r="P41" s="37" t="n">
        <v>667910.9</v>
      </c>
      <c r="Q41" s="18" t="n">
        <v>662588.12</v>
      </c>
      <c r="R41" s="18" t="n">
        <v>659710.17</v>
      </c>
      <c r="S41" s="18" t="n">
        <v>654339.55</v>
      </c>
      <c r="T41" s="18" t="n">
        <v>634160.67</v>
      </c>
      <c r="U41" s="37" t="n">
        <v>634160.67</v>
      </c>
      <c r="V41" s="18" t="n">
        <v>644560.14</v>
      </c>
      <c r="W41" s="18" t="n">
        <v>651209.76</v>
      </c>
      <c r="X41" s="18" t="n">
        <v>644038.27</v>
      </c>
      <c r="Y41" s="18" t="n">
        <v>624424.39</v>
      </c>
      <c r="Z41" s="37" t="n">
        <v>624424.39</v>
      </c>
      <c r="AA41" s="18" t="n">
        <v>637032.77</v>
      </c>
      <c r="AB41" s="19" t="n">
        <v>657051.08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281955.19</v>
      </c>
      <c r="F42" s="37" t="n">
        <v>281955.19</v>
      </c>
      <c r="G42" s="18" t="n">
        <v>291204.18</v>
      </c>
      <c r="H42" s="18" t="n">
        <v>298464.7</v>
      </c>
      <c r="I42" s="18" t="n">
        <v>310362.82</v>
      </c>
      <c r="J42" s="18" t="n">
        <v>306649.36</v>
      </c>
      <c r="K42" s="37" t="n">
        <v>306649.36</v>
      </c>
      <c r="L42" s="18" t="n">
        <v>309204.92</v>
      </c>
      <c r="M42" s="18" t="n">
        <v>318079.75</v>
      </c>
      <c r="N42" s="18" t="n">
        <v>328691.25</v>
      </c>
      <c r="O42" s="18" t="n">
        <v>324208.94</v>
      </c>
      <c r="P42" s="37" t="n">
        <v>324208.94</v>
      </c>
      <c r="Q42" s="18" t="n">
        <v>322745.94</v>
      </c>
      <c r="R42" s="18" t="n">
        <v>324306.26</v>
      </c>
      <c r="S42" s="18" t="n">
        <v>315497.89</v>
      </c>
      <c r="T42" s="18" t="n">
        <v>312663.46</v>
      </c>
      <c r="U42" s="37" t="n">
        <v>312663.46</v>
      </c>
      <c r="V42" s="18" t="n">
        <v>308077.19</v>
      </c>
      <c r="W42" s="18" t="n">
        <v>297440.59</v>
      </c>
      <c r="X42" s="18" t="n">
        <v>289896.9</v>
      </c>
      <c r="Y42" s="18" t="n">
        <v>278528.5</v>
      </c>
      <c r="Z42" s="37" t="n">
        <v>278528.5</v>
      </c>
      <c r="AA42" s="18" t="n">
        <v>286712.75</v>
      </c>
      <c r="AB42" s="19" t="n">
        <v>286603.88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229383.85</v>
      </c>
      <c r="F43" s="37" t="n">
        <v>229383.85</v>
      </c>
      <c r="G43" s="18" t="n">
        <v>236286.83</v>
      </c>
      <c r="H43" s="18" t="n">
        <v>242543.35</v>
      </c>
      <c r="I43" s="18" t="n">
        <v>258409.76</v>
      </c>
      <c r="J43" s="18" t="n">
        <v>261895.27</v>
      </c>
      <c r="K43" s="37" t="n">
        <v>261895.27</v>
      </c>
      <c r="L43" s="18" t="n">
        <v>283555.55</v>
      </c>
      <c r="M43" s="18" t="n">
        <v>265587.84</v>
      </c>
      <c r="N43" s="18" t="n">
        <v>265501.6</v>
      </c>
      <c r="O43" s="18" t="n">
        <v>260770.73</v>
      </c>
      <c r="P43" s="37" t="n">
        <v>260770.73</v>
      </c>
      <c r="Q43" s="18" t="n">
        <v>264285.82</v>
      </c>
      <c r="R43" s="18" t="n">
        <v>266753.46</v>
      </c>
      <c r="S43" s="18" t="n">
        <v>280337.48</v>
      </c>
      <c r="T43" s="18" t="n">
        <v>263285.46</v>
      </c>
      <c r="U43" s="37" t="n">
        <v>263285.46</v>
      </c>
      <c r="V43" s="18" t="n">
        <v>273485.84</v>
      </c>
      <c r="W43" s="18" t="n">
        <v>281194.34</v>
      </c>
      <c r="X43" s="18" t="n">
        <v>278467.43</v>
      </c>
      <c r="Y43" s="18" t="n">
        <v>280548.34</v>
      </c>
      <c r="Z43" s="37" t="n">
        <v>280548.34</v>
      </c>
      <c r="AA43" s="18" t="n">
        <v>280050.03</v>
      </c>
      <c r="AB43" s="19" t="n">
        <v>301543.56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173172.52</v>
      </c>
      <c r="F44" s="37" t="n">
        <v>173172.52</v>
      </c>
      <c r="G44" s="18" t="n">
        <v>173218.61</v>
      </c>
      <c r="H44" s="18" t="n">
        <v>179986.32</v>
      </c>
      <c r="I44" s="18" t="n">
        <v>201485.61</v>
      </c>
      <c r="J44" s="18" t="n">
        <v>206412.87</v>
      </c>
      <c r="K44" s="37" t="n">
        <v>206412.87</v>
      </c>
      <c r="L44" s="18" t="n">
        <v>219494.66</v>
      </c>
      <c r="M44" s="18" t="n">
        <v>199709.65</v>
      </c>
      <c r="N44" s="18" t="n">
        <v>198184.34</v>
      </c>
      <c r="O44" s="18" t="n">
        <v>195656.66</v>
      </c>
      <c r="P44" s="37" t="n">
        <v>195656.66</v>
      </c>
      <c r="Q44" s="18" t="n">
        <v>203333.87</v>
      </c>
      <c r="R44" s="18" t="n">
        <v>231054.4</v>
      </c>
      <c r="S44" s="18" t="n">
        <v>237837.33</v>
      </c>
      <c r="T44" s="18" t="n">
        <v>229665.39</v>
      </c>
      <c r="U44" s="37" t="n">
        <v>229665.39</v>
      </c>
      <c r="V44" s="18" t="n">
        <v>211007.49</v>
      </c>
      <c r="W44" s="18" t="n">
        <v>222097.3</v>
      </c>
      <c r="X44" s="18" t="n">
        <v>220079.87</v>
      </c>
      <c r="Y44" s="18" t="n">
        <v>239612.03</v>
      </c>
      <c r="Z44" s="37" t="n">
        <v>239612.03</v>
      </c>
      <c r="AA44" s="18" t="n">
        <v>229154.31</v>
      </c>
      <c r="AB44" s="19" t="n">
        <v>256040.64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64324.31</v>
      </c>
      <c r="F45" s="37" t="n">
        <v>64324.31</v>
      </c>
      <c r="G45" s="18" t="n">
        <v>71906.63</v>
      </c>
      <c r="H45" s="18" t="n">
        <v>70193.96000000001</v>
      </c>
      <c r="I45" s="18" t="n">
        <v>78918.78999999999</v>
      </c>
      <c r="J45" s="18" t="n">
        <v>77850.74000000001</v>
      </c>
      <c r="K45" s="37" t="n">
        <v>77850.74000000001</v>
      </c>
      <c r="L45" s="18" t="n">
        <v>86709.69</v>
      </c>
      <c r="M45" s="18" t="n">
        <v>88666.45</v>
      </c>
      <c r="N45" s="18" t="n">
        <v>84861.5</v>
      </c>
      <c r="O45" s="18" t="n">
        <v>84103.55</v>
      </c>
      <c r="P45" s="37" t="n">
        <v>84103.55</v>
      </c>
      <c r="Q45" s="18" t="n">
        <v>79457.13</v>
      </c>
      <c r="R45" s="18" t="n">
        <v>54018.87</v>
      </c>
      <c r="S45" s="18" t="n">
        <v>61014.96</v>
      </c>
      <c r="T45" s="18" t="n">
        <v>41553.91</v>
      </c>
      <c r="U45" s="37" t="n">
        <v>41553.91</v>
      </c>
      <c r="V45" s="18" t="n">
        <v>70547.12</v>
      </c>
      <c r="W45" s="18" t="n">
        <v>67706.73</v>
      </c>
      <c r="X45" s="18" t="n">
        <v>69376.42999999999</v>
      </c>
      <c r="Y45" s="18" t="n">
        <v>40936.31</v>
      </c>
      <c r="Z45" s="37" t="n">
        <v>40936.31</v>
      </c>
      <c r="AA45" s="18" t="n">
        <v>70632.41</v>
      </c>
      <c r="AB45" s="19" t="n">
        <v>64760.48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IFERROR((AB28*변수!$D$53-AB26*변수!$D$54)/4,"")</f>
        <v/>
      </c>
      <c r="AD12" s="20">
        <f>IFERROR((AC28*변수!$D$53-AC26*변수!$D$54)/4,"")</f>
        <v/>
      </c>
      <c r="AE12" s="38">
        <f>SUM(AA12:AD12)</f>
        <v/>
      </c>
      <c r="AF12" s="20">
        <f>IFERROR((AD28*변수!$D$53-AD26*변수!$D$54)/4,"")</f>
        <v/>
      </c>
      <c r="AG12" s="20">
        <f>IFERROR((AF28*변수!$D$53-AF26*변수!$D$54)/4,"")</f>
        <v/>
      </c>
      <c r="AH12" s="20">
        <f>IFERROR((AG28*변수!$D$53-AG26*변수!$D$54)/4,"")</f>
        <v/>
      </c>
      <c r="AI12" s="20">
        <f>IFERROR((AH28*변수!$D$53-AH26*변수!$D$54)/4,"")</f>
        <v/>
      </c>
      <c r="AJ12" s="38">
        <f>SUM(AF12:AI12)</f>
        <v/>
      </c>
      <c r="AK12" s="20">
        <f>IFERROR((AI28*변수!$D$53-AI26*변수!$D$54)/4,"")</f>
        <v/>
      </c>
      <c r="AL12" s="20">
        <f>IFERROR((AK28*변수!$D$53-AK26*변수!$D$54)/4,"")</f>
        <v/>
      </c>
      <c r="AM12" s="20">
        <f>IFERROR((AL28*변수!$D$53-AL26*변수!$D$54)/4,"")</f>
        <v/>
      </c>
      <c r="AN12" s="20">
        <f>IFERROR((AM28*변수!$D$53-AM26*변수!$D$54)/4,"")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IFERROR((Y18-(-214.18)*(1.0))*100/Y32,"")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변수!AD40</f>
        <v/>
      </c>
      <c r="AE36" s="38">
        <f>SUM(AA36:AD36)</f>
        <v/>
      </c>
      <c r="AF36" s="20" t="n"/>
      <c r="AG36" s="20" t="n"/>
      <c r="AH36" s="20" t="n"/>
      <c r="AI36" s="20">
        <f>변수!AI40</f>
        <v/>
      </c>
      <c r="AJ36" s="38">
        <f>SUM(AF36:AI36)</f>
        <v/>
      </c>
      <c r="AK36" s="20" t="n"/>
      <c r="AL36" s="20" t="n"/>
      <c r="AM36" s="20" t="n"/>
      <c r="AN36" s="20">
        <f>변수!AN40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IFERROR(변수!$D$43/(AA33+AB33+AC33+AD33),"")</f>
        <v/>
      </c>
      <c r="AE37" s="40">
        <f>AD37</f>
        <v/>
      </c>
      <c r="AF37" s="39">
        <f>IFERROR(변수!$D$43/(AB33+AC33+AD33+AF33),"")</f>
        <v/>
      </c>
      <c r="AG37" s="39">
        <f>IFERROR(변수!$D$43/(AC33+AD33+AF33+AG33),"")</f>
        <v/>
      </c>
      <c r="AH37" s="39">
        <f>IFERROR(변수!$D$43/(AD33+AF33+AG33+AH33),"")</f>
        <v/>
      </c>
      <c r="AI37" s="39">
        <f>IFERROR(변수!$D$43/(AF33+AG33+AH33+AI33),"")</f>
        <v/>
      </c>
      <c r="AJ37" s="40">
        <f>AI37</f>
        <v/>
      </c>
      <c r="AK37" s="39">
        <f>IFERROR(변수!$D$43/(AG33+AH33+AI33+AK33),"")</f>
        <v/>
      </c>
      <c r="AL37" s="39">
        <f>IFERROR(변수!$D$43/(AH33+AI33+AK33+AL33),"")</f>
        <v/>
      </c>
      <c r="AM37" s="39">
        <f>IFERROR(변수!$D$43/(AI33+AK33+AL33+AM33),"")</f>
        <v/>
      </c>
      <c r="AN37" s="39">
        <f>IFERROR(변수!$D$43/(AK33+AL33+AM33+AN33),"")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IFERROR(변수!$D$43/AC35,"")</f>
        <v/>
      </c>
      <c r="AD38" s="39">
        <f>IFERROR(변수!$D$43/AD35,"")</f>
        <v/>
      </c>
      <c r="AE38" s="40">
        <f>AD38</f>
        <v/>
      </c>
      <c r="AF38" s="39">
        <f>IFERROR(변수!$D$43/AF35,"")</f>
        <v/>
      </c>
      <c r="AG38" s="39">
        <f>IFERROR(변수!$D$43/AG35,"")</f>
        <v/>
      </c>
      <c r="AH38" s="39">
        <f>IFERROR(변수!$D$43/AH35,"")</f>
        <v/>
      </c>
      <c r="AI38" s="39">
        <f>IFERROR(변수!$D$43/AI35,"")</f>
        <v/>
      </c>
      <c r="AJ38" s="40">
        <f>AI38</f>
        <v/>
      </c>
      <c r="AK38" s="39">
        <f>IFERROR(변수!$D$43/AK35,"")</f>
        <v/>
      </c>
      <c r="AL38" s="39">
        <f>IFERROR(변수!$D$43/AL35,"")</f>
        <v/>
      </c>
      <c r="AM38" s="39">
        <f>IFERROR(변수!$D$43/AM35,"")</f>
        <v/>
      </c>
      <c r="AN38" s="39">
        <f>IFERROR(변수!$D$43/AN35,"")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28.17</v>
      </c>
    </row>
    <row r="32">
      <c r="C32" s="2" t="inlineStr">
        <is>
          <t>pbr_now</t>
        </is>
      </c>
      <c r="D32" t="n">
        <v>0.35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