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3절 스칼라 '판관비율' 참조 — 숫자로 덮어쓰면 이 분기만 바뀐다
매출액 × 판관비율 13.40%(최근 4분기 중위)</t>
      </text>
    </comment>
    <comment ref="AD22" authorId="0" shapeId="0">
      <text>
        <t>3절 스칼라 '판관비율' 참조 — 숫자로 덮어쓰면 이 분기만 바뀐다
매출액 × 판관비율 13.40%(최근 4분기 중위)</t>
      </text>
    </comment>
    <comment ref="AF22" authorId="0" shapeId="0">
      <text>
        <t>3절 스칼라 '판관비율' 참조 — 숫자로 덮어쓰면 이 분기만 바뀐다
매출액 × 판관비율 13.40%(최근 4분기 중위)</t>
      </text>
    </comment>
    <comment ref="AG22" authorId="0" shapeId="0">
      <text>
        <t>3절 스칼라 '판관비율' 참조 — 숫자로 덮어쓰면 이 분기만 바뀐다
매출액 × 판관비율 13.40%(최근 4분기 중위)</t>
      </text>
    </comment>
    <comment ref="AH22" authorId="0" shapeId="0">
      <text>
        <t>3절 스칼라 '판관비율' 참조 — 숫자로 덮어쓰면 이 분기만 바뀐다
매출액 × 판관비율 13.40%(최근 4분기 중위)</t>
      </text>
    </comment>
    <comment ref="AI22" authorId="0" shapeId="0">
      <text>
        <t>3절 스칼라 '판관비율' 참조 — 숫자로 덮어쓰면 이 분기만 바뀐다
매출액 × 판관비율 13.40%(최근 4분기 중위)</t>
      </text>
    </comment>
    <comment ref="AK22" authorId="0" shapeId="0">
      <text>
        <t>3절 스칼라 '판관비율' 참조 — 숫자로 덮어쓰면 이 분기만 바뀐다
매출액 × 판관비율 13.40%(최근 4분기 중위)</t>
      </text>
    </comment>
    <comment ref="AL22" authorId="0" shapeId="0">
      <text>
        <t>3절 스칼라 '판관비율' 참조 — 숫자로 덮어쓰면 이 분기만 바뀐다
매출액 × 판관비율 13.40%(최근 4분기 중위)</t>
      </text>
    </comment>
    <comment ref="AM22" authorId="0" shapeId="0">
      <text>
        <t>3절 스칼라 '판관비율' 참조 — 숫자로 덮어쓰면 이 분기만 바뀐다
매출액 × 판관비율 13.40%(최근 4분기 중위)</t>
      </text>
    </comment>
    <comment ref="AN22" authorId="0" shapeId="0">
      <text>
        <t>3절 스칼라 '판관비율' 참조 — 숫자로 덮어쓰면 이 분기만 바뀐다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D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F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G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H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I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K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L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M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N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모델 v 그대로
최근 4분기 감가상각비 중위 유지</t>
      </text>
    </comment>
    <comment ref="AD29" authorId="0" shapeId="0">
      <text>
        <t>모델값 역산(implied): 모델 v 그대로
최근 4분기 감가상각비 중위 유지</t>
      </text>
    </comment>
    <comment ref="AF29" authorId="0" shapeId="0">
      <text>
        <t>모델값 역산(implied): 모델 v 그대로
최근 4분기 감가상각비 중위 유지</t>
      </text>
    </comment>
    <comment ref="AG29" authorId="0" shapeId="0">
      <text>
        <t>모델값 역산(implied): 모델 v 그대로
최근 4분기 감가상각비 중위 유지</t>
      </text>
    </comment>
    <comment ref="AH29" authorId="0" shapeId="0">
      <text>
        <t>모델값 역산(implied): 모델 v 그대로
최근 4분기 감가상각비 중위 유지</t>
      </text>
    </comment>
    <comment ref="AI29" authorId="0" shapeId="0">
      <text>
        <t>모델값 역산(implied): 모델 v 그대로
최근 4분기 감가상각비 중위 유지</t>
      </text>
    </comment>
    <comment ref="AK29" authorId="0" shapeId="0">
      <text>
        <t>모델값 역산(implied): 모델 v 그대로
최근 4분기 감가상각비 중위 유지</t>
      </text>
    </comment>
    <comment ref="AL29" authorId="0" shapeId="0">
      <text>
        <t>모델값 역산(implied): 모델 v 그대로
최근 4분기 감가상각비 중위 유지</t>
      </text>
    </comment>
    <comment ref="AM29" authorId="0" shapeId="0">
      <text>
        <t>모델값 역산(implied): 모델 v 그대로
최근 4분기 감가상각비 중위 유지</t>
      </text>
    </comment>
    <comment ref="AN29" authorId="0" shapeId="0">
      <text>
        <t>모델값 역산(implied): 모델 v 그대로
최근 4분기 감가상각비 중위 유지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D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F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G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H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I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K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L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M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N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반영(FCF 근사)</t>
      </text>
    </comment>
    <comment ref="AD37" authorId="0" shapeId="0">
      <text>
        <t>모델값 역산(implied): v / 전년동기 − 1
최근 4분기(2025Q3~2026Q2) CAPEX 중위 유지 — 순차입금 롤에 반영(FCF 근사)</t>
      </text>
    </comment>
    <comment ref="AF37" authorId="0" shapeId="0">
      <text>
        <t>모델값 역산(implied): v / 전년동기 − 1
최근 4분기(2025Q3~2026Q2) CAPEX 중위 유지 — 순차입금 롤에 반영(FCF 근사)</t>
      </text>
    </comment>
    <comment ref="AG37" authorId="0" shapeId="0">
      <text>
        <t>모델값 역산(implied): v / 전년동기 − 1
최근 4분기(2025Q3~2026Q2) CAPEX 중위 유지 — 순차입금 롤에 반영(FCF 근사)</t>
      </text>
    </comment>
    <comment ref="AH37" authorId="0" shapeId="0">
      <text>
        <t>모델값 역산(implied): v / 전년동기 − 1
최근 4분기(2025Q3~2026Q2) CAPEX 중위 유지 — 순차입금 롤에 반영(FCF 근사)</t>
      </text>
    </comment>
    <comment ref="AI37" authorId="0" shapeId="0">
      <text>
        <t>모델값 역산(implied): v / 전년동기 − 1
최근 4분기(2025Q3~2026Q2) CAPEX 중위 유지 — 순차입금 롤에 반영(FCF 근사)</t>
      </text>
    </comment>
    <comment ref="AK37" authorId="0" shapeId="0">
      <text>
        <t>모델값 역산(implied): v / 전년동기 − 1
최근 4분기(2025Q3~2026Q2) CAPEX 중위 유지 — 순차입금 롤에 반영(FCF 근사)</t>
      </text>
    </comment>
    <comment ref="AL37" authorId="0" shapeId="0">
      <text>
        <t>모델값 역산(implied): v / 전년동기 − 1
최근 4분기(2025Q3~2026Q2) CAPEX 중위 유지 — 순차입금 롤에 반영(FCF 근사)</t>
      </text>
    </comment>
    <comment ref="AM37" authorId="0" shapeId="0">
      <text>
        <t>모델값 역산(implied): v / 전년동기 − 1
최근 4분기(2025Q3~2026Q2) CAPEX 중위 유지 — 순차입금 롤에 반영(FCF 근사)</t>
      </text>
    </comment>
    <comment ref="AN37" authorId="0" shapeId="0">
      <text>
        <t>모델값 역산(implied): v / 전년동기 − 1
최근 4분기(2025Q3~2026Q2) CAPEX 중위 유지 — 순차입금 롤에 반영(FCF 근사)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v / 전년동기 − 1
= EPS(추정 구간은 일회성 미가정)</t>
      </text>
    </comment>
    <comment ref="AF40" authorId="0" shapeId="0">
      <text>
        <t>모델값 역산(implied): v / 전년동기 − 1
= EPS(추정 구간은 일회성 미가정)</t>
      </text>
    </comment>
    <comment ref="AG40" authorId="0" shapeId="0">
      <text>
        <t>모델값 역산(implied): v / 전년동기 − 1
= EPS(추정 구간은 일회성 미가정)</t>
      </text>
    </comment>
    <comment ref="AH40" authorId="0" shapeId="0">
      <text>
        <t>모델값 역산(implied): v / 전년동기 − 1
= EPS(추정 구간은 일회성 미가정)</t>
      </text>
    </comment>
    <comment ref="AI40" authorId="0" shapeId="0">
      <text>
        <t>모델값 역산(implied): v / 전년동기 − 1
= EPS(추정 구간은 일회성 미가정)</t>
      </text>
    </comment>
    <comment ref="AK40" authorId="0" shapeId="0">
      <text>
        <t>모델값 역산(implied): v / 전년동기 − 1
= EPS(추정 구간은 일회성 미가정)</t>
      </text>
    </comment>
    <comment ref="AL40" authorId="0" shapeId="0">
      <text>
        <t>모델값 역산(implied): v / 전년동기 − 1
= EPS(추정 구간은 일회성 미가정)</t>
      </text>
    </comment>
    <comment ref="AM40" authorId="0" shapeId="0">
      <text>
        <t>모델값 역산(implied): v / 전년동기 − 1
= EPS(추정 구간은 일회성 미가정)</t>
      </text>
    </comment>
    <comment ref="AN40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모델 v 그대로
직전 결산 DPS 120원 유지</t>
      </text>
    </comment>
    <comment ref="AI41" authorId="0" shapeId="0">
      <text>
        <t>모델값 역산(implied): 모델 v 그대로
직전 결산 DPS 120원 유지</t>
      </text>
    </comment>
    <comment ref="AN41" authorId="0" shapeId="0">
      <text>
        <t>모델값 역산(implied): 모델 v 그대로
직전 결산 DPS 120원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AC10" authorId="0" shapeId="0">
      <text>
        <t>추정: 최근 8분기 OPM 중위 2.7% 유지(클립 −20~40%)
[divide]</t>
      </text>
    </comment>
    <comment ref="AD10" authorId="0" shapeId="0">
      <text>
        <t>추정: 최근 8분기 OPM 중위 2.7% 유지(클립 −20~40%)
[divide]</t>
      </text>
    </comment>
    <comment ref="AF10" authorId="0" shapeId="0">
      <text>
        <t>추정: 최근 8분기 OPM 중위 2.7% 유지(클립 −20~40%)
[divide]</t>
      </text>
    </comment>
    <comment ref="AG10" authorId="0" shapeId="0">
      <text>
        <t>추정: 최근 8분기 OPM 중위 2.7% 유지(클립 −20~40%)
[divide]</t>
      </text>
    </comment>
    <comment ref="AH10" authorId="0" shapeId="0">
      <text>
        <t>추정: 최근 8분기 OPM 중위 2.7% 유지(클립 −20~40%)
[divide]</t>
      </text>
    </comment>
    <comment ref="AI10" authorId="0" shapeId="0">
      <text>
        <t>추정: 최근 8분기 OPM 중위 2.7% 유지(클립 −20~40%)
[divide]</t>
      </text>
    </comment>
    <comment ref="AK10" authorId="0" shapeId="0">
      <text>
        <t>추정: 최근 8분기 OPM 중위 2.7% 유지(클립 −20~40%)
[divide]</t>
      </text>
    </comment>
    <comment ref="AL10" authorId="0" shapeId="0">
      <text>
        <t>추정: 최근 8분기 OPM 중위 2.7% 유지(클립 −20~40%)
[divide]</t>
      </text>
    </comment>
    <comment ref="AM10" authorId="0" shapeId="0">
      <text>
        <t>추정: 최근 8분기 OPM 중위 2.7% 유지(클립 −20~40%)
[divide]</t>
      </text>
    </comment>
    <comment ref="AN10" authorId="0" shapeId="0">
      <text>
        <t>추정: 최근 8분기 OPM 중위 2.7%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1711억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1675억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1640억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1546억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1509억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1474억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1412억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1378억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C12" authorId="0" shapeId="0">
      <text>
        <t>추정: 이자발생자산 1743억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D12" authorId="0" shapeId="0">
      <text>
        <t>추정: 이자발생자산 1711억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F12" authorId="0" shapeId="0">
      <text>
        <t>추정: 이자발생자산 1675억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G12" authorId="0" shapeId="0">
      <text>
        <t>추정: 이자발생자산 1640억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H12" authorId="0" shapeId="0">
      <text>
        <t>추정: 이자발생자산 1579억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I12" authorId="0" shapeId="0">
      <text>
        <t>추정: 이자발생자산 1546억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K12" authorId="0" shapeId="0">
      <text>
        <t>추정: 이자발생자산 1509억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L12" authorId="0" shapeId="0">
      <text>
        <t>추정: 이자발생자산 1474억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M12" authorId="0" shapeId="0">
      <text>
        <t>추정: 이자발생자산 1412억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N12" authorId="0" shapeId="0">
      <text>
        <t>추정: 이자발생자산 1378억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D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F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G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H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I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K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L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M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N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최근 4분기 감가상각비 중위 유지
[abs]</t>
      </text>
    </comment>
    <comment ref="AD20" authorId="0" shapeId="0">
      <text>
        <t>추정: 최근 4분기 감가상각비 중위 유지
[abs]</t>
      </text>
    </comment>
    <comment ref="AF20" authorId="0" shapeId="0">
      <text>
        <t>추정: 최근 4분기 감가상각비 중위 유지
[abs]</t>
      </text>
    </comment>
    <comment ref="AG20" authorId="0" shapeId="0">
      <text>
        <t>추정: 최근 4분기 감가상각비 중위 유지
[abs]</t>
      </text>
    </comment>
    <comment ref="AH20" authorId="0" shapeId="0">
      <text>
        <t>추정: 최근 4분기 감가상각비 중위 유지
[abs]</t>
      </text>
    </comment>
    <comment ref="AI20" authorId="0" shapeId="0">
      <text>
        <t>추정: 최근 4분기 감가상각비 중위 유지
[abs]</t>
      </text>
    </comment>
    <comment ref="AK20" authorId="0" shapeId="0">
      <text>
        <t>추정: 최근 4분기 감가상각비 중위 유지
[abs]</t>
      </text>
    </comment>
    <comment ref="AL20" authorId="0" shapeId="0">
      <text>
        <t>추정: 최근 4분기 감가상각비 중위 유지
[abs]</t>
      </text>
    </comment>
    <comment ref="AM20" authorId="0" shapeId="0">
      <text>
        <t>추정: 최근 4분기 감가상각비 중위 유지
[abs]</t>
      </text>
    </comment>
    <comment ref="AN20" authorId="0" shapeId="0">
      <text>
        <t>추정: 최근 4분기 감가상각비 중위 유지
[abs]</t>
      </text>
    </comment>
    <comment ref="E21" authorId="0" shapeId="0">
      <text>
        <t>실측(계정 매핑 없음(파생·부문·시세 행) — 모델값 직접) — 영업이익 + 감가상각비(CF)</t>
      </text>
    </comment>
    <comment ref="G21" authorId="0" shapeId="0">
      <text>
        <t>실측(계정 매핑 없음(파생·부문·시세 행) — 모델값 직접) — 영업이익 + 감가상각비(CF)</t>
      </text>
    </comment>
    <comment ref="H21" authorId="0" shapeId="0">
      <text>
        <t>실측(계정 매핑 없음(파생·부문·시세 행) — 모델값 직접) — 영업이익 + 감가상각비(CF)</t>
      </text>
    </comment>
    <comment ref="I21" authorId="0" shapeId="0">
      <text>
        <t>실측(계정 매핑 없음(파생·부문·시세 행) — 모델값 직접) — 영업이익 + 감가상각비(CF)</t>
      </text>
    </comment>
    <comment ref="J21" authorId="0" shapeId="0">
      <text>
        <t>실측(계정 매핑 없음(파생·부문·시세 행) — 모델값 직접) — 영업이익 + 감가상각비(CF)</t>
      </text>
    </comment>
    <comment ref="L21" authorId="0" shapeId="0">
      <text>
        <t>실측(계정 매핑 없음(파생·부문·시세 행) — 모델값 직접) — 영업이익 + 감가상각비(CF)</t>
      </text>
    </comment>
    <comment ref="M21" authorId="0" shapeId="0">
      <text>
        <t>실측(계정 매핑 없음(파생·부문·시세 행) — 모델값 직접) — 영업이익 + 감가상각비(CF)</t>
      </text>
    </comment>
    <comment ref="N21" authorId="0" shapeId="0">
      <text>
        <t>실측(계정 매핑 없음(파생·부문·시세 행) — 모델값 직접) — 영업이익 + 감가상각비(CF)</t>
      </text>
    </comment>
    <comment ref="O21" authorId="0" shapeId="0">
      <text>
        <t>실측(계정 매핑 없음(파생·부문·시세 행) — 모델값 직접) — 영업이익 + 감가상각비(CF)</t>
      </text>
    </comment>
    <comment ref="Q21" authorId="0" shapeId="0">
      <text>
        <t>실측(계정 매핑 없음(파생·부문·시세 행) — 모델값 직접) — 영업이익 + 감가상각비(CF)</t>
      </text>
    </comment>
    <comment ref="R21" authorId="0" shapeId="0">
      <text>
        <t>실측(계정 매핑 없음(파생·부문·시세 행) — 모델값 직접) — 영업이익 + 감가상각비(CF)</t>
      </text>
    </comment>
    <comment ref="S21" authorId="0" shapeId="0">
      <text>
        <t>실측(계정 매핑 없음(파생·부문·시세 행) — 모델값 직접) — 영업이익 + 감가상각비(CF)</t>
      </text>
    </comment>
    <comment ref="T21" authorId="0" shapeId="0">
      <text>
        <t>실측(계정 매핑 없음(파생·부문·시세 행) — 모델값 직접) — 영업이익 + 감가상각비(CF)</t>
      </text>
    </comment>
    <comment ref="V21" authorId="0" shapeId="0">
      <text>
        <t>실측(계정 매핑 없음(파생·부문·시세 행) — 모델값 직접) — 영업이익 + 감가상각비(CF)</t>
      </text>
    </comment>
    <comment ref="W21" authorId="0" shapeId="0">
      <text>
        <t>실측(계정 매핑 없음(파생·부문·시세 행) — 모델값 직접) — 영업이익 + 감가상각비(CF)</t>
      </text>
    </comment>
    <comment ref="X21" authorId="0" shapeId="0">
      <text>
        <t>실측(계정 매핑 없음(파생·부문·시세 행) — 모델값 직접) — 영업이익 + 감가상각비(CF)</t>
      </text>
    </comment>
    <comment ref="Y21" authorId="0" shapeId="0">
      <text>
        <t>실측(계정 매핑 없음(파생·부문·시세 행) — 모델값 직접) — 영업이익 + 감가상각비(CF)</t>
      </text>
    </comment>
    <comment ref="AA21" authorId="0" shapeId="0">
      <text>
        <t>실측(계정 매핑 없음(파생·부문·시세 행) — 모델값 직접) — 영업이익 + 감가상각비(CF)</t>
      </text>
    </comment>
    <comment ref="AB21" authorId="0" shapeId="0">
      <text>
        <t>실측(계정 매핑 없음(파생·부문·시세 행) — 모델값 직접) — 영업이익 + 감가상각비(CF)</t>
      </text>
    </comment>
    <comment ref="AC21" authorId="0" shapeId="0">
      <text>
        <t>추정: 영업이익 + 감가상각비
[identity]</t>
      </text>
    </comment>
    <comment ref="AD21" authorId="0" shapeId="0">
      <text>
        <t>추정: 영업이익 + 감가상각비
[identity]</t>
      </text>
    </comment>
    <comment ref="AF21" authorId="0" shapeId="0">
      <text>
        <t>추정: 영업이익 + 감가상각비
[identity]</t>
      </text>
    </comment>
    <comment ref="AG21" authorId="0" shapeId="0">
      <text>
        <t>추정: 영업이익 + 감가상각비
[identity]</t>
      </text>
    </comment>
    <comment ref="AH21" authorId="0" shapeId="0">
      <text>
        <t>추정: 영업이익 + 감가상각비
[identity]</t>
      </text>
    </comment>
    <comment ref="AI21" authorId="0" shapeId="0">
      <text>
        <t>추정: 영업이익 + 감가상각비
[identity]</t>
      </text>
    </comment>
    <comment ref="AK21" authorId="0" shapeId="0">
      <text>
        <t>추정: 영업이익 + 감가상각비
[identity]</t>
      </text>
    </comment>
    <comment ref="AL21" authorId="0" shapeId="0">
      <text>
        <t>추정: 영업이익 + 감가상각비
[identity]</t>
      </text>
    </comment>
    <comment ref="AM21" authorId="0" shapeId="0">
      <text>
        <t>추정: 영업이익 + 감가상각비
[identity]</t>
      </text>
    </comment>
    <comment ref="AN21" authorId="0" shapeId="0">
      <text>
        <t>추정: 영업이익 + 감가상각비
[identity]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D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F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G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H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I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K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L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M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N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반영(FCF 근사)
[yoy]</t>
      </text>
    </comment>
    <comment ref="AD30" authorId="0" shapeId="0">
      <text>
        <t>추정: 최근 4분기(2025Q3~2026Q2) CAPEX 중위 유지 — 순차입금 롤에 반영(FCF 근사)
[yoy]</t>
      </text>
    </comment>
    <comment ref="AF30" authorId="0" shapeId="0">
      <text>
        <t>추정: 최근 4분기(2025Q3~2026Q2) CAPEX 중위 유지 — 순차입금 롤에 반영(FCF 근사)
[yoy]</t>
      </text>
    </comment>
    <comment ref="AG30" authorId="0" shapeId="0">
      <text>
        <t>추정: 최근 4분기(2025Q3~2026Q2) CAPEX 중위 유지 — 순차입금 롤에 반영(FCF 근사)
[yoy]</t>
      </text>
    </comment>
    <comment ref="AH30" authorId="0" shapeId="0">
      <text>
        <t>추정: 최근 4분기(2025Q3~2026Q2) CAPEX 중위 유지 — 순차입금 롤에 반영(FCF 근사)
[yoy]</t>
      </text>
    </comment>
    <comment ref="AI30" authorId="0" shapeId="0">
      <text>
        <t>추정: 최근 4분기(2025Q3~2026Q2) CAPEX 중위 유지 — 순차입금 롤에 반영(FCF 근사)
[yoy]</t>
      </text>
    </comment>
    <comment ref="AK30" authorId="0" shapeId="0">
      <text>
        <t>추정: 최근 4분기(2025Q3~2026Q2) CAPEX 중위 유지 — 순차입금 롤에 반영(FCF 근사)
[yoy]</t>
      </text>
    </comment>
    <comment ref="AL30" authorId="0" shapeId="0">
      <text>
        <t>추정: 최근 4분기(2025Q3~2026Q2) CAPEX 중위 유지 — 순차입금 롤에 반영(FCF 근사)
[yoy]</t>
      </text>
    </comment>
    <comment ref="AM30" authorId="0" shapeId="0">
      <text>
        <t>추정: 최근 4분기(2025Q3~2026Q2) CAPEX 중위 유지 — 순차입금 롤에 반영(FCF 근사)
[yoy]</t>
      </text>
    </comment>
    <comment ref="AN30" authorId="0" shapeId="0">
      <text>
        <t>추정: 최근 4분기(2025Q3~2026Q2) CAPEX 중위 유지 — 순차입금 롤에 반영(FCF 근사)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실측(계정 매핑 없음(파생·부문·시세 행) — 모델값 직접) — = EPS(일회성 의심 없음)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추정(실적 구간 갭필): 지배NI -310억 − (비영업손익 -317억 − 12분기 기준선 -36억) × (1 − 24.0%, 모델 세율(분기 유효세율이 0~35% 밖·세전 ≤ 0)) × 지배 비중 1.00(1 − 비지배 비중(8분기 실측)) = -96억 ÷ 유통주식수 — 일회성 여부·세효과는 주석 미확인(모델 추정); 보고 EPS -1,094.5원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120원 유지
[abs]</t>
      </text>
    </comment>
    <comment ref="AI36" authorId="0" shapeId="0">
      <text>
        <t>추정: 직전 결산 DPS 120원 유지
[abs]</t>
      </text>
    </comment>
    <comment ref="AN36" authorId="0" shapeId="0">
      <text>
        <t>추정: 직전 결산 DPS 120원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24.03% — 법인세 = MAX(세전,0) × 세율, 추정 전 분기 연결(Σ법인세/Σmax(세전,0) 역산, 재현 오차 ≤ 0.05억). 모델 가정 24.04% · 근거: 최근 12분기 유효세율 28.1% 가 5~27% 밖 → 클립 대신 최근 8분기 중 세전 &gt; 0 인 5분기(2024Q3~2026Q2)의 법인세/세전 중위 24.0%</t>
        </is>
      </c>
    </row>
    <row r="23">
      <c r="A23" t="inlineStr">
        <is>
          <t>· 판관비율 13.40%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2.46% / 부채 4.00% — 이자손익 = (전분기 이자발생자산 × 자산이자율 − 전분기 총차입금 × 부채이자율)/4, 최소자승 역산(모델 assumptions [0.0247, 0.04] 는 4자리 반올림이라 그대로 쓰면 ±1억 어긋남) · 출처: {"asset": "CF 이자수취 ÷ 평균 이자발생자산(2025Q3~2026Q2; 주석 이자수익 0분기 &lt; 4)", "debt": "CF 이자지급 ÷ 평균 총차입금(2025Q3~2026Q2;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4.2배가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37억·기준선 -36억) → 지배NI -310억·보고 EPS·FY2025 합계·TTM PER 에 그대로 포함 — 처분이익 등 일회성 여부는 주석 확인 전까지 미확정(12M fwd EPS 에는 미포함) · 조정EPS -338.5원(보고 -1,094.5원; 초과 비영업손익 -282억 × (1 − 세율 24.0%) × 지배 비중 1.00 = -214억 차감 — 추정, 조정EPS 행)</t>
        </is>
      </c>
    </row>
    <row r="34">
      <c r="A34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20" t="n">
        <v>4600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20" t="n">
        <v>5040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20" t="n">
        <v>4375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20" t="n">
        <v>4605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0.007322264</v>
      </c>
      <c r="AD21" s="24" t="n">
        <v>0.007324486</v>
      </c>
      <c r="AE21" s="25" t="n"/>
      <c r="AF21" s="24" t="n">
        <v>0.007323828</v>
      </c>
      <c r="AG21" s="24" t="n">
        <v>0.007323205</v>
      </c>
      <c r="AH21" s="24" t="n">
        <v>0.003660949</v>
      </c>
      <c r="AI21" s="24" t="n">
        <v>0.003659293</v>
      </c>
      <c r="AJ21" s="25" t="n"/>
      <c r="AK21" s="24" t="n">
        <v>0.00365962</v>
      </c>
      <c r="AL21" s="24" t="n">
        <v>0.003661654</v>
      </c>
      <c r="AM21" s="24" t="n">
        <v>0.001831025</v>
      </c>
      <c r="AN21" s="24" t="n">
        <v>0.001833544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0.026772804</v>
      </c>
      <c r="AD23" s="24" t="n">
        <v>0.026771177</v>
      </c>
      <c r="AE23" s="25">
        <f>IFERROR(subQ!AE9/subQ!AE5,"")</f>
        <v/>
      </c>
      <c r="AF23" s="24" t="n">
        <v>0.026773275</v>
      </c>
      <c r="AG23" s="24" t="n">
        <v>0.026771244</v>
      </c>
      <c r="AH23" s="24" t="n">
        <v>0.026771517</v>
      </c>
      <c r="AI23" s="24" t="n">
        <v>0.026773967</v>
      </c>
      <c r="AJ23" s="25">
        <f>IFERROR(subQ!AJ9/subQ!AJ5,"")</f>
        <v/>
      </c>
      <c r="AK23" s="24" t="n">
        <v>0.02677121</v>
      </c>
      <c r="AL23" s="24" t="n">
        <v>0.026772877</v>
      </c>
      <c r="AM23" s="24" t="n">
        <v>0.026770684</v>
      </c>
      <c r="AN23" s="24" t="n">
        <v>0.026772434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10.37</v>
      </c>
      <c r="AD25" s="30" t="n">
        <v>10.37</v>
      </c>
      <c r="AE25" s="31">
        <f>subQ!AE14</f>
        <v/>
      </c>
      <c r="AF25" s="30" t="n">
        <v>10.37</v>
      </c>
      <c r="AG25" s="30" t="n">
        <v>10.37</v>
      </c>
      <c r="AH25" s="30" t="n">
        <v>10.37</v>
      </c>
      <c r="AI25" s="30" t="n">
        <v>10.37</v>
      </c>
      <c r="AJ25" s="31">
        <f>subQ!AJ14</f>
        <v/>
      </c>
      <c r="AK25" s="30" t="n">
        <v>10.37</v>
      </c>
      <c r="AL25" s="30" t="n">
        <v>10.37</v>
      </c>
      <c r="AM25" s="30" t="n">
        <v>10.37</v>
      </c>
      <c r="AN25" s="30" t="n">
        <v>10.37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$D$51</f>
        <v/>
      </c>
      <c r="AD26" s="26">
        <f>$D$51</f>
        <v/>
      </c>
      <c r="AE26" s="25">
        <f>IFERROR(subQ!AE16/subQ!AE15,"")</f>
        <v/>
      </c>
      <c r="AF26" s="26">
        <f>$D$51</f>
        <v/>
      </c>
      <c r="AG26" s="26">
        <f>$D$51</f>
        <v/>
      </c>
      <c r="AH26" s="26">
        <f>$D$51</f>
        <v/>
      </c>
      <c r="AI26" s="26">
        <f>$D$51</f>
        <v/>
      </c>
      <c r="AJ26" s="25">
        <f>IFERROR(subQ!AJ16/subQ!AJ15,"")</f>
        <v/>
      </c>
      <c r="AK26" s="26">
        <f>$D$51</f>
        <v/>
      </c>
      <c r="AL26" s="26">
        <f>$D$51</f>
        <v/>
      </c>
      <c r="AM26" s="26">
        <f>$D$51</f>
        <v/>
      </c>
      <c r="AN26" s="26">
        <f>$D$51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$D$53</f>
        <v/>
      </c>
      <c r="AD27" s="26">
        <f>$D$53</f>
        <v/>
      </c>
      <c r="AE27" s="25">
        <f>IFERROR(subQ!AE18/subQ!AE17,"")</f>
        <v/>
      </c>
      <c r="AF27" s="26">
        <f>$D$53</f>
        <v/>
      </c>
      <c r="AG27" s="26">
        <f>$D$53</f>
        <v/>
      </c>
      <c r="AH27" s="26">
        <f>$D$53</f>
        <v/>
      </c>
      <c r="AI27" s="26">
        <f>$D$53</f>
        <v/>
      </c>
      <c r="AJ27" s="25">
        <f>IFERROR(subQ!AJ18/subQ!AJ17,"")</f>
        <v/>
      </c>
      <c r="AK27" s="26">
        <f>$D$53</f>
        <v/>
      </c>
      <c r="AL27" s="26">
        <f>$D$53</f>
        <v/>
      </c>
      <c r="AM27" s="26">
        <f>$D$53</f>
        <v/>
      </c>
      <c r="AN27" s="26">
        <f>$D$53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drv:감가상각비</t>
        </is>
      </c>
      <c r="B29" s="2" t="inlineStr">
        <is>
          <t>abs</t>
        </is>
      </c>
      <c r="C29" t="inlineStr">
        <is>
          <t>감가상각비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0" t="n">
        <v>157.74</v>
      </c>
      <c r="AD29" s="30" t="n">
        <v>157.74</v>
      </c>
      <c r="AE29" s="31">
        <f>subQ!AE20</f>
        <v/>
      </c>
      <c r="AF29" s="30" t="n">
        <v>157.74</v>
      </c>
      <c r="AG29" s="30" t="n">
        <v>157.74</v>
      </c>
      <c r="AH29" s="30" t="n">
        <v>157.74</v>
      </c>
      <c r="AI29" s="30" t="n">
        <v>157.74</v>
      </c>
      <c r="AJ29" s="31">
        <f>subQ!AJ20</f>
        <v/>
      </c>
      <c r="AK29" s="30" t="n">
        <v>157.74</v>
      </c>
      <c r="AL29" s="30" t="n">
        <v>157.74</v>
      </c>
      <c r="AM29" s="30" t="n">
        <v>157.74</v>
      </c>
      <c r="AN29" s="30" t="n">
        <v>157.74</v>
      </c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IFERROR(subQ!G23/subQ!E23-1,"")</f>
        <v/>
      </c>
      <c r="H30" s="21">
        <f>IFERROR(subQ!H23/subQ!G23-1,"")</f>
        <v/>
      </c>
      <c r="I30" s="21">
        <f>IFERROR(subQ!I23/subQ!H23-1,"")</f>
        <v/>
      </c>
      <c r="J30" s="21">
        <f>IFERROR(subQ!J23/subQ!I23-1,"")</f>
        <v/>
      </c>
      <c r="K30" s="22" t="n"/>
      <c r="L30" s="21">
        <f>IFERROR(subQ!L23/subQ!J23-1,"")</f>
        <v/>
      </c>
      <c r="M30" s="21">
        <f>IFERROR(subQ!M23/subQ!L23-1,"")</f>
        <v/>
      </c>
      <c r="N30" s="21">
        <f>IFERROR(subQ!N23/subQ!M23-1,"")</f>
        <v/>
      </c>
      <c r="O30" s="21">
        <f>IFERROR(subQ!O23/subQ!N23-1,"")</f>
        <v/>
      </c>
      <c r="P30" s="22" t="n"/>
      <c r="Q30" s="21">
        <f>IFERROR(subQ!Q23/subQ!O23-1,"")</f>
        <v/>
      </c>
      <c r="R30" s="21">
        <f>IFERROR(subQ!R23/subQ!Q23-1,"")</f>
        <v/>
      </c>
      <c r="S30" s="21">
        <f>IFERROR(subQ!S23/subQ!R23-1,"")</f>
        <v/>
      </c>
      <c r="T30" s="21">
        <f>IFERROR(subQ!T23/subQ!S23-1,"")</f>
        <v/>
      </c>
      <c r="U30" s="22" t="n"/>
      <c r="V30" s="21">
        <f>IFERROR(subQ!V23/subQ!T23-1,"")</f>
        <v/>
      </c>
      <c r="W30" s="21">
        <f>IFERROR(subQ!W23/subQ!V23-1,"")</f>
        <v/>
      </c>
      <c r="X30" s="21">
        <f>IFERROR(subQ!X23/subQ!W23-1,"")</f>
        <v/>
      </c>
      <c r="Y30" s="21">
        <f>IFERROR(subQ!Y23/subQ!X23-1,"")</f>
        <v/>
      </c>
      <c r="Z30" s="22" t="n"/>
      <c r="AA30" s="21">
        <f>IFERROR(subQ!AA23/subQ!Y23-1,"")</f>
        <v/>
      </c>
      <c r="AB30" s="23">
        <f>IFERROR(subQ!AB23/subQ!AA23-1,"")</f>
        <v/>
      </c>
      <c r="AC30" s="24" t="n">
        <v>-3.7e-07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IFERROR(subQ!E24+subQ!G17-subQ!G24,"")</f>
        <v/>
      </c>
      <c r="H31" s="27">
        <f>IFERROR(subQ!G24+subQ!H17-subQ!H24,"")</f>
        <v/>
      </c>
      <c r="I31" s="27">
        <f>IFERROR(subQ!H24+subQ!I17-subQ!I24,"")</f>
        <v/>
      </c>
      <c r="J31" s="27">
        <f>IFERROR(subQ!I24+subQ!J17-subQ!J24,"")</f>
        <v/>
      </c>
      <c r="K31" s="28" t="n"/>
      <c r="L31" s="27">
        <f>IFERROR(subQ!J24+subQ!L17-subQ!L24,"")</f>
        <v/>
      </c>
      <c r="M31" s="27">
        <f>IFERROR(subQ!L24+subQ!M17-subQ!M24,"")</f>
        <v/>
      </c>
      <c r="N31" s="27">
        <f>IFERROR(subQ!M24+subQ!N17-subQ!N24,"")</f>
        <v/>
      </c>
      <c r="O31" s="27">
        <f>IFERROR(subQ!N24+subQ!O17-subQ!O24,"")</f>
        <v/>
      </c>
      <c r="P31" s="28" t="n"/>
      <c r="Q31" s="27">
        <f>IFERROR(subQ!O24+subQ!Q17-subQ!Q24,"")</f>
        <v/>
      </c>
      <c r="R31" s="27">
        <f>IFERROR(subQ!Q24+subQ!R17-subQ!R24,"")</f>
        <v/>
      </c>
      <c r="S31" s="27">
        <f>IFERROR(subQ!R24+subQ!S17-subQ!S24,"")</f>
        <v/>
      </c>
      <c r="T31" s="27">
        <f>IFERROR(subQ!S24+subQ!T17-subQ!T24,"")</f>
        <v/>
      </c>
      <c r="U31" s="28" t="n"/>
      <c r="V31" s="27">
        <f>IFERROR(subQ!T24+subQ!V17-subQ!V24,"")</f>
        <v/>
      </c>
      <c r="W31" s="27">
        <f>IFERROR(subQ!V24+subQ!W17-subQ!W24,"")</f>
        <v/>
      </c>
      <c r="X31" s="27">
        <f>IFERROR(subQ!W24+subQ!X17-subQ!X24,"")</f>
        <v/>
      </c>
      <c r="Y31" s="27">
        <f>IFERROR(subQ!X24+subQ!Y17-subQ!Y24,"")</f>
        <v/>
      </c>
      <c r="Z31" s="28" t="n"/>
      <c r="AA31" s="27">
        <f>IFERROR(subQ!Y24+subQ!AA17-subQ!AA24,"")</f>
        <v/>
      </c>
      <c r="AB31" s="29">
        <f>IFERROR(subQ!AA24+subQ!AB17-subQ!AB24,"")</f>
        <v/>
      </c>
      <c r="AC31" s="30" t="n">
        <v>-0.003270729</v>
      </c>
      <c r="AD31" s="30" t="n">
        <v>-0.003910465</v>
      </c>
      <c r="AE31" s="31" t="n"/>
      <c r="AF31" s="30" t="n">
        <v>0.002227486</v>
      </c>
      <c r="AG31" s="30" t="n">
        <v>34.001435681</v>
      </c>
      <c r="AH31" s="30" t="n">
        <v>-0.002805422</v>
      </c>
      <c r="AI31" s="30" t="n">
        <v>-0.001083468</v>
      </c>
      <c r="AJ31" s="31" t="n"/>
      <c r="AK31" s="30" t="n">
        <v>0.002059293</v>
      </c>
      <c r="AL31" s="30" t="n">
        <v>33.9987527</v>
      </c>
      <c r="AM31" s="30" t="n">
        <v>-0.007099827</v>
      </c>
      <c r="AN31" s="30" t="n">
        <v>0.003702807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0.001629271</v>
      </c>
      <c r="AD32" s="30" t="n">
        <v>-0.003910465</v>
      </c>
      <c r="AE32" s="31" t="n"/>
      <c r="AF32" s="30" t="n">
        <v>0.002227486</v>
      </c>
      <c r="AG32" s="30" t="n">
        <v>33.991435681</v>
      </c>
      <c r="AH32" s="30" t="n">
        <v>-0.002805422</v>
      </c>
      <c r="AI32" s="30" t="n">
        <v>0.008916532</v>
      </c>
      <c r="AJ32" s="31" t="n"/>
      <c r="AK32" s="30" t="n">
        <v>-0.007940707</v>
      </c>
      <c r="AL32" s="30" t="n">
        <v>33.9987527</v>
      </c>
      <c r="AM32" s="30" t="n">
        <v>0.002900173</v>
      </c>
      <c r="AN32" s="30" t="n">
        <v>-0.006297193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0.007063276</v>
      </c>
      <c r="AD34" s="24" t="n">
        <v>0.007852913</v>
      </c>
      <c r="AE34" s="25" t="n"/>
      <c r="AF34" s="24" t="n">
        <v>0.007409057</v>
      </c>
      <c r="AG34" s="24" t="n">
        <v>0.013258393</v>
      </c>
      <c r="AH34" s="24" t="n">
        <v>0.006946989</v>
      </c>
      <c r="AI34" s="24" t="n">
        <v>0.00771517</v>
      </c>
      <c r="AJ34" s="25" t="n"/>
      <c r="AK34" s="24" t="n">
        <v>0.007282481</v>
      </c>
      <c r="AL34" s="24" t="n">
        <v>0.012928319</v>
      </c>
      <c r="AM34" s="24" t="n">
        <v>0.006855242</v>
      </c>
      <c r="AN34" s="24" t="n">
        <v>0.007594875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-0.018469417</v>
      </c>
      <c r="AD35" s="24" t="n">
        <v>-0.021067769</v>
      </c>
      <c r="AE35" s="25" t="n"/>
      <c r="AF35" s="24" t="n">
        <v>-0.020464222</v>
      </c>
      <c r="AG35" s="24" t="n">
        <v>-0.037662464</v>
      </c>
      <c r="AH35" s="24" t="n">
        <v>-0.020778168</v>
      </c>
      <c r="AI35" s="24" t="n">
        <v>-0.023729121</v>
      </c>
      <c r="AJ35" s="25" t="n"/>
      <c r="AK35" s="24" t="n">
        <v>-0.02311974</v>
      </c>
      <c r="AL35" s="24" t="n">
        <v>-0.042320972</v>
      </c>
      <c r="AM35" s="24" t="n">
        <v>-0.02373532</v>
      </c>
      <c r="AN35" s="24" t="n">
        <v>-0.027120169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24" t="n">
        <v>0.186438387</v>
      </c>
      <c r="AD37" s="24" t="n">
        <v>-0.152565497</v>
      </c>
      <c r="AE37" s="25" t="n"/>
      <c r="AF37" s="24" t="n">
        <v>1.221652389</v>
      </c>
      <c r="AG37" s="24" t="n">
        <v>-0.135784975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drv:조정EPS</t>
        </is>
      </c>
      <c r="B40" s="2" t="inlineStr">
        <is>
          <t>yoy</t>
        </is>
      </c>
      <c r="C40" t="inlineStr">
        <is>
          <t>조정EPS YoY</t>
        </is>
      </c>
      <c r="E40" s="21" t="n"/>
      <c r="F40" s="22" t="n"/>
      <c r="G40" s="21" t="n"/>
      <c r="H40" s="21" t="n"/>
      <c r="I40" s="21" t="n"/>
      <c r="J40" s="21">
        <f>IFERROR(subQ!J34/subQ!E34-1,"")</f>
        <v/>
      </c>
      <c r="K40" s="22" t="n"/>
      <c r="L40" s="21">
        <f>IFERROR(subQ!L34/subQ!G34-1,"")</f>
        <v/>
      </c>
      <c r="M40" s="21">
        <f>IFERROR(subQ!M34/subQ!H34-1,"")</f>
        <v/>
      </c>
      <c r="N40" s="21">
        <f>IFERROR(subQ!N34/subQ!I34-1,"")</f>
        <v/>
      </c>
      <c r="O40" s="21">
        <f>IFERROR(subQ!O34/subQ!J34-1,"")</f>
        <v/>
      </c>
      <c r="P40" s="22" t="n"/>
      <c r="Q40" s="21">
        <f>IFERROR(subQ!Q34/subQ!L34-1,"")</f>
        <v/>
      </c>
      <c r="R40" s="21">
        <f>IFERROR(subQ!R34/subQ!M34-1,"")</f>
        <v/>
      </c>
      <c r="S40" s="21">
        <f>IFERROR(subQ!S34/subQ!N34-1,"")</f>
        <v/>
      </c>
      <c r="T40" s="21">
        <f>IFERROR(subQ!T34/subQ!O34-1,"")</f>
        <v/>
      </c>
      <c r="U40" s="22" t="n"/>
      <c r="V40" s="21">
        <f>IFERROR(subQ!V34/subQ!Q34-1,"")</f>
        <v/>
      </c>
      <c r="W40" s="21">
        <f>IFERROR(subQ!W34/subQ!R34-1,"")</f>
        <v/>
      </c>
      <c r="X40" s="21">
        <f>IFERROR(subQ!X34/subQ!S34-1,"")</f>
        <v/>
      </c>
      <c r="Y40" s="21">
        <f>IFERROR(subQ!Y34/subQ!T34-1,"")</f>
        <v/>
      </c>
      <c r="Z40" s="22" t="n"/>
      <c r="AA40" s="21">
        <f>IFERROR(subQ!AA34/subQ!V34-1,"")</f>
        <v/>
      </c>
      <c r="AB40" s="23">
        <f>IFERROR(subQ!AB34/subQ!W34-1,"")</f>
        <v/>
      </c>
      <c r="AC40" s="24" t="n">
        <v>-1.144273504</v>
      </c>
      <c r="AD40" s="24" t="n">
        <v>-1.084490399</v>
      </c>
      <c r="AE40" s="25" t="n"/>
      <c r="AF40" s="24" t="n">
        <v>-0.9308563479999999</v>
      </c>
      <c r="AG40" s="24" t="n">
        <v>-0.775136399</v>
      </c>
      <c r="AH40" s="24" t="n">
        <v>-0.052132701</v>
      </c>
      <c r="AI40" s="24" t="n">
        <v>-0.08041958</v>
      </c>
      <c r="AJ40" s="25" t="n"/>
      <c r="AK40" s="24" t="n">
        <v>-0.063218391</v>
      </c>
      <c r="AL40" s="24" t="n">
        <v>-0.03812825</v>
      </c>
      <c r="AM40" s="24" t="n">
        <v>-0.0625</v>
      </c>
      <c r="AN40" s="24" t="n">
        <v>-0.095057034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120</v>
      </c>
      <c r="AE41" s="31">
        <f>subQ!AE36</f>
        <v/>
      </c>
      <c r="AF41" s="32" t="n"/>
      <c r="AG41" s="32" t="n"/>
      <c r="AH41" s="32" t="n"/>
      <c r="AI41" s="30" t="n">
        <v>120</v>
      </c>
      <c r="AJ41" s="31">
        <f>subQ!AJ36</f>
        <v/>
      </c>
      <c r="AK41" s="32" t="n"/>
      <c r="AL41" s="32" t="n"/>
      <c r="AM41" s="32" t="n"/>
      <c r="AN41" s="30" t="n">
        <v>120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4600</v>
      </c>
      <c r="E44" s="2" t="inlineStr">
        <is>
          <t>원 — 네이버 정규장 종가(aik 확정종가 대조 · aik 4,630원)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4.2배가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0.2403254333215423</v>
      </c>
      <c r="E51" s="2" t="inlineStr">
        <is>
          <t>연결 — 법인세 = MAX(세전,0) × 세율(역산, 재현 오차 ≤ 0.05억 · 모델 assumptions 0.2404) · 최근 12분기 유효세율 28.1% 가 5~27% 밖 → 클립 대신 최근 8분기 중 세전 &gt; 0 인 5분기(2024Q3~2026Q2)의 법인세/세전 중위 24.0%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0.1340181682325823</v>
      </c>
      <c r="E52" s="2" t="inlineStr">
        <is>
          <t>연결 — 판관비 = 매출액 × 판관비율(역산, 재현 오차 ≤ 0.05억 · 모델 assumptions 0.134)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0.02463660282730479</v>
      </c>
      <c r="E54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0.03995916337487803</v>
      </c>
      <c r="E55" s="2" t="inlineStr">
        <is>
          <t>연결 — 같은 수식의 부채 쪽(총차입금 행이 없으면 0)(역산, 재현 오차 ≤ 0.05억 · 모델 assumptions 0.04)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7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7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7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7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7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7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7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7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7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7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7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7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7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7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7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7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7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7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7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7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7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7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7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7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7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7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7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7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7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7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7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7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7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7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7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7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7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7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7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7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7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7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7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7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7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7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7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7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7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7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7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7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7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7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7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7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7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7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7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7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7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7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7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7" t="n">
        <v>30105.88</v>
      </c>
      <c r="J18" s="18" t="n">
        <v>26407.08</v>
      </c>
      <c r="K18" s="37" t="n">
        <v>26407.08</v>
      </c>
      <c r="P18" s="9" t="n"/>
      <c r="T18" s="18" t="n">
        <v>26725.86</v>
      </c>
      <c r="U18" s="37" t="n">
        <v>26725.86</v>
      </c>
      <c r="V18" s="18" t="n">
        <v>29380.51</v>
      </c>
      <c r="W18" s="18" t="n">
        <v>29821.75</v>
      </c>
      <c r="Y18" s="18" t="n">
        <v>17811.52</v>
      </c>
      <c r="Z18" s="37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7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7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7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7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7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7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7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7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7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7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7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7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7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7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7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7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7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7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7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7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7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7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7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7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7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286819.44</v>
      </c>
      <c r="F24" s="37" t="n">
        <v>286819.44</v>
      </c>
      <c r="G24" s="18" t="n">
        <v>278438.88</v>
      </c>
      <c r="H24" s="18" t="n">
        <v>366503.31</v>
      </c>
      <c r="I24" s="18" t="n">
        <v>403115.37</v>
      </c>
      <c r="J24" s="18" t="n">
        <v>390288.61</v>
      </c>
      <c r="K24" s="37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368173.96</v>
      </c>
      <c r="P24" s="37" t="n">
        <v>368173.96</v>
      </c>
      <c r="Q24" s="18" t="n">
        <v>421487.33</v>
      </c>
      <c r="R24" s="18" t="n">
        <v>400806.67</v>
      </c>
      <c r="S24" s="18" t="n">
        <v>416152.66</v>
      </c>
      <c r="T24" s="18" t="n">
        <v>318960.27</v>
      </c>
      <c r="U24" s="37" t="n">
        <v>318960.27</v>
      </c>
      <c r="V24" s="18" t="n">
        <v>331423.72</v>
      </c>
      <c r="W24" s="18" t="n">
        <v>344850.02</v>
      </c>
      <c r="X24" s="18" t="n">
        <v>315836.81</v>
      </c>
      <c r="Y24" s="18" t="n">
        <v>304530.9</v>
      </c>
      <c r="Z24" s="37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27910.06</v>
      </c>
      <c r="F25" s="37" t="n">
        <v>27910.06</v>
      </c>
      <c r="G25" s="18" t="n">
        <v>24353.47</v>
      </c>
      <c r="H25" s="18" t="n">
        <v>24648.4</v>
      </c>
      <c r="I25" s="18" t="n">
        <v>28339.34</v>
      </c>
      <c r="J25" s="18" t="n">
        <v>28995.82</v>
      </c>
      <c r="K25" s="37" t="n">
        <v>28995.82</v>
      </c>
      <c r="L25" s="18" t="n">
        <v>28035.25</v>
      </c>
      <c r="M25" s="18" t="n">
        <v>42788.28</v>
      </c>
      <c r="N25" s="18" t="n">
        <v>50414.24</v>
      </c>
      <c r="O25" s="18" t="n">
        <v>41993.2</v>
      </c>
      <c r="P25" s="37" t="n">
        <v>41993.2</v>
      </c>
      <c r="Q25" s="18" t="n">
        <v>38538.89</v>
      </c>
      <c r="R25" s="18" t="n">
        <v>44457.64</v>
      </c>
      <c r="S25" s="18" t="n">
        <v>36102.92</v>
      </c>
      <c r="T25" s="18" t="n">
        <v>35183.47</v>
      </c>
      <c r="U25" s="37" t="n">
        <v>35183.47</v>
      </c>
      <c r="V25" s="18" t="n">
        <v>34717.63</v>
      </c>
      <c r="W25" s="18" t="n">
        <v>50101.16</v>
      </c>
      <c r="X25" s="18" t="n">
        <v>55714.48</v>
      </c>
      <c r="Y25" s="18" t="n">
        <v>54589.97</v>
      </c>
      <c r="Z25" s="37" t="n">
        <v>54589.97</v>
      </c>
      <c r="AA25" s="18" t="n">
        <v>49711.36</v>
      </c>
      <c r="AB25" s="19" t="n">
        <v>50328.79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3786.62</v>
      </c>
      <c r="F26" s="37" t="n">
        <v>3786.62</v>
      </c>
      <c r="G26" s="18" t="n">
        <v>5537.07</v>
      </c>
      <c r="H26" s="18" t="n">
        <v>5742.62</v>
      </c>
      <c r="I26" s="18" t="n">
        <v>7035.13</v>
      </c>
      <c r="J26" s="18" t="n">
        <v>9037.209999999999</v>
      </c>
      <c r="K26" s="37" t="n">
        <v>9037.209999999999</v>
      </c>
      <c r="L26" s="18" t="n">
        <v>6005.04</v>
      </c>
      <c r="M26" s="18" t="n">
        <v>4117.92</v>
      </c>
      <c r="N26" s="18" t="n">
        <v>5694.06</v>
      </c>
      <c r="O26" s="18" t="n">
        <v>4087.7</v>
      </c>
      <c r="P26" s="37" t="n">
        <v>4087.7</v>
      </c>
      <c r="Q26" s="18" t="n">
        <v>4549.18</v>
      </c>
      <c r="R26" s="18" t="n">
        <v>1379.86</v>
      </c>
      <c r="S26" s="18" t="n">
        <v>1048.77</v>
      </c>
      <c r="T26" s="18" t="n">
        <v>1444.45</v>
      </c>
      <c r="U26" s="37" t="n">
        <v>1444.45</v>
      </c>
      <c r="V26" s="18" t="n">
        <v>1526.37</v>
      </c>
      <c r="W26" s="18" t="n">
        <v>1572.58</v>
      </c>
      <c r="X26" s="18" t="n">
        <v>1548.36</v>
      </c>
      <c r="Y26" s="18" t="n">
        <v>2604.49</v>
      </c>
      <c r="Z26" s="37" t="n">
        <v>2604.49</v>
      </c>
      <c r="AA26" s="18" t="n">
        <v>2162.81</v>
      </c>
      <c r="AB26" s="19" t="n">
        <v>2290.91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2131.97</v>
      </c>
      <c r="F27" s="37" t="n">
        <v>2131.97</v>
      </c>
      <c r="G27" s="18" t="n">
        <v>2295.95</v>
      </c>
      <c r="J27" s="18" t="n">
        <v>2010.33</v>
      </c>
      <c r="K27" s="37" t="n">
        <v>2010.33</v>
      </c>
      <c r="O27" s="18" t="n">
        <v>2070.85</v>
      </c>
      <c r="P27" s="37" t="n">
        <v>2070.85</v>
      </c>
      <c r="Q27" s="18" t="n">
        <v>2063.58</v>
      </c>
      <c r="R27" s="18" t="n">
        <v>2013.65</v>
      </c>
      <c r="S27" s="18" t="n">
        <v>1959.8</v>
      </c>
      <c r="T27" s="18" t="n">
        <v>2203.98</v>
      </c>
      <c r="U27" s="37" t="n">
        <v>2203.98</v>
      </c>
      <c r="V27" s="18" t="n">
        <v>2318.32</v>
      </c>
      <c r="W27" s="18" t="n">
        <v>2519.21</v>
      </c>
      <c r="X27" s="18" t="n">
        <v>2198.56</v>
      </c>
      <c r="Y27" s="18" t="n">
        <v>1981.23</v>
      </c>
      <c r="Z27" s="37" t="n">
        <v>1981.23</v>
      </c>
      <c r="AA27" s="18" t="n">
        <v>2013.6</v>
      </c>
      <c r="AB27" s="19" t="n">
        <v>2009.39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10569.52</v>
      </c>
      <c r="F28" s="37" t="n">
        <v>10569.52</v>
      </c>
      <c r="G28" s="18" t="n">
        <v>11175.41</v>
      </c>
      <c r="J28" s="18" t="n">
        <v>12888.58</v>
      </c>
      <c r="K28" s="37" t="n">
        <v>12888.58</v>
      </c>
      <c r="O28" s="18" t="n">
        <v>11259.76</v>
      </c>
      <c r="P28" s="37" t="n">
        <v>11259.76</v>
      </c>
      <c r="Q28" s="18" t="n">
        <v>10844.55</v>
      </c>
      <c r="R28" s="18" t="n">
        <v>10146.38</v>
      </c>
      <c r="S28" s="18" t="n">
        <v>10294.72</v>
      </c>
      <c r="T28" s="18" t="n">
        <v>10119.11</v>
      </c>
      <c r="U28" s="37" t="n">
        <v>10119.11</v>
      </c>
      <c r="V28" s="18" t="n">
        <v>10005.1</v>
      </c>
      <c r="W28" s="18" t="n">
        <v>9531.700000000001</v>
      </c>
      <c r="X28" s="18" t="n">
        <v>9026.07</v>
      </c>
      <c r="Y28" s="18" t="n">
        <v>8484.4</v>
      </c>
      <c r="Z28" s="37" t="n">
        <v>8484.4</v>
      </c>
      <c r="AA28" s="18" t="n">
        <v>8609.92</v>
      </c>
      <c r="AB28" s="19" t="n">
        <v>8757.82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2131.97</v>
      </c>
      <c r="F29" s="37" t="n">
        <v>2131.97</v>
      </c>
      <c r="G29" s="18" t="n">
        <v>2295.95</v>
      </c>
      <c r="J29" s="18" t="n">
        <v>2010.33</v>
      </c>
      <c r="K29" s="37" t="n">
        <v>2010.33</v>
      </c>
      <c r="O29" s="18" t="n">
        <v>2070.85</v>
      </c>
      <c r="P29" s="37" t="n">
        <v>2070.85</v>
      </c>
      <c r="Q29" s="18" t="n">
        <v>2063.58</v>
      </c>
      <c r="R29" s="18" t="n">
        <v>2013.65</v>
      </c>
      <c r="S29" s="18" t="n">
        <v>1959.8</v>
      </c>
      <c r="T29" s="18" t="n">
        <v>2203.98</v>
      </c>
      <c r="U29" s="37" t="n">
        <v>2203.98</v>
      </c>
      <c r="V29" s="18" t="n">
        <v>2318.32</v>
      </c>
      <c r="W29" s="18" t="n">
        <v>2519.21</v>
      </c>
      <c r="X29" s="18" t="n">
        <v>2198.56</v>
      </c>
      <c r="Y29" s="18" t="n">
        <v>1981.23</v>
      </c>
      <c r="Z29" s="37" t="n">
        <v>1981.23</v>
      </c>
      <c r="AA29" s="18" t="n">
        <v>2013.6</v>
      </c>
      <c r="AB29" s="19" t="n">
        <v>2009.39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76725.39</v>
      </c>
      <c r="F30" s="37" t="n">
        <v>76725.39</v>
      </c>
      <c r="G30" s="18" t="n">
        <v>86683.28999999999</v>
      </c>
      <c r="H30" s="18" t="n">
        <v>73796.94</v>
      </c>
      <c r="I30" s="18" t="n">
        <v>128845.13</v>
      </c>
      <c r="J30" s="18" t="n">
        <v>122936.98</v>
      </c>
      <c r="K30" s="37" t="n">
        <v>122936.98</v>
      </c>
      <c r="L30" s="18" t="n">
        <v>128635.34</v>
      </c>
      <c r="M30" s="18" t="n">
        <v>128009.2</v>
      </c>
      <c r="N30" s="18" t="n">
        <v>125814.39</v>
      </c>
      <c r="O30" s="18" t="n">
        <v>123172.89</v>
      </c>
      <c r="P30" s="37" t="n">
        <v>123172.89</v>
      </c>
      <c r="Q30" s="18" t="n">
        <v>102439.6</v>
      </c>
      <c r="R30" s="18" t="n">
        <v>142039.24</v>
      </c>
      <c r="S30" s="18" t="n">
        <v>137422.15</v>
      </c>
      <c r="T30" s="18" t="n">
        <v>150054.62</v>
      </c>
      <c r="U30" s="37" t="n">
        <v>150054.62</v>
      </c>
      <c r="V30" s="18" t="n">
        <v>168756.12</v>
      </c>
      <c r="W30" s="18" t="n">
        <v>147832.18</v>
      </c>
      <c r="X30" s="18" t="n">
        <v>210418.44</v>
      </c>
      <c r="Y30" s="18" t="n">
        <v>208069.42</v>
      </c>
      <c r="Z30" s="37" t="n">
        <v>208069.42</v>
      </c>
      <c r="AA30" s="18" t="n">
        <v>220536.48</v>
      </c>
      <c r="AB30" s="19" t="n">
        <v>256221.65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46214.49</v>
      </c>
      <c r="F31" s="37" t="n">
        <v>46214.49</v>
      </c>
      <c r="G31" s="18" t="n">
        <v>55079.55</v>
      </c>
      <c r="H31" s="18" t="n">
        <v>40173.32</v>
      </c>
      <c r="I31" s="18" t="n">
        <v>73636.48</v>
      </c>
      <c r="J31" s="18" t="n">
        <v>72314.73</v>
      </c>
      <c r="K31" s="37" t="n">
        <v>72314.73</v>
      </c>
      <c r="L31" s="18" t="n">
        <v>76116.60000000001</v>
      </c>
      <c r="M31" s="18" t="n">
        <v>78591.60000000001</v>
      </c>
      <c r="N31" s="18" t="n">
        <v>80566.61</v>
      </c>
      <c r="O31" s="18" t="n">
        <v>82131.08</v>
      </c>
      <c r="P31" s="37" t="n">
        <v>82131.08</v>
      </c>
      <c r="Q31" s="18" t="n">
        <v>61557.44</v>
      </c>
      <c r="R31" s="18" t="n">
        <v>101492.78</v>
      </c>
      <c r="S31" s="18" t="n">
        <v>97705.83</v>
      </c>
      <c r="T31" s="18" t="n">
        <v>91283.42</v>
      </c>
      <c r="U31" s="37" t="n">
        <v>91283.42</v>
      </c>
      <c r="V31" s="18" t="n">
        <v>127659.57</v>
      </c>
      <c r="W31" s="18" t="n">
        <v>106939</v>
      </c>
      <c r="X31" s="18" t="n">
        <v>171166.66</v>
      </c>
      <c r="Y31" s="18" t="n">
        <v>172591.76</v>
      </c>
      <c r="Z31" s="37" t="n">
        <v>172591.76</v>
      </c>
      <c r="AA31" s="18" t="n">
        <v>182655.89</v>
      </c>
      <c r="AB31" s="19" t="n">
        <v>215163.31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1475.59</v>
      </c>
      <c r="F32" s="37" t="n">
        <v>1475.59</v>
      </c>
      <c r="H32" s="18" t="n">
        <v>1716.84</v>
      </c>
      <c r="I32" s="18" t="n">
        <v>1716.91</v>
      </c>
      <c r="J32" s="18" t="n">
        <v>1870.28</v>
      </c>
      <c r="K32" s="37" t="n">
        <v>1870.28</v>
      </c>
      <c r="L32" s="18" t="n">
        <v>2017.65</v>
      </c>
      <c r="M32" s="18" t="n">
        <v>1942.82</v>
      </c>
      <c r="N32" s="18" t="n">
        <v>1974.54</v>
      </c>
      <c r="O32" s="18" t="n">
        <v>1743.85</v>
      </c>
      <c r="P32" s="37" t="n">
        <v>1743.85</v>
      </c>
      <c r="Q32" s="18" t="n">
        <v>1617.13</v>
      </c>
      <c r="T32" s="18" t="n">
        <v>1003.03</v>
      </c>
      <c r="U32" s="37" t="n">
        <v>1003.03</v>
      </c>
      <c r="V32" s="18" t="n">
        <v>1071.82</v>
      </c>
      <c r="W32" s="18" t="n">
        <v>1184.44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18730.14</v>
      </c>
      <c r="F33" s="37" t="n">
        <v>18730.14</v>
      </c>
      <c r="G33" s="18" t="n">
        <v>19315.92</v>
      </c>
      <c r="H33" s="18" t="n">
        <v>19107.62</v>
      </c>
      <c r="I33" s="18" t="n">
        <v>38750.86</v>
      </c>
      <c r="J33" s="18" t="n">
        <v>36177.81</v>
      </c>
      <c r="K33" s="37" t="n">
        <v>36177.81</v>
      </c>
      <c r="L33" s="18" t="n">
        <v>36618.6</v>
      </c>
      <c r="M33" s="18" t="n">
        <v>34566.21</v>
      </c>
      <c r="N33" s="18" t="n">
        <v>31806.04</v>
      </c>
      <c r="O33" s="18" t="n">
        <v>28450.91</v>
      </c>
      <c r="P33" s="37" t="n">
        <v>28450.91</v>
      </c>
      <c r="Q33" s="18" t="n">
        <v>28663.09</v>
      </c>
      <c r="R33" s="18" t="n">
        <v>27897.25</v>
      </c>
      <c r="S33" s="18" t="n">
        <v>26863.34</v>
      </c>
      <c r="T33" s="18" t="n">
        <v>28048.24</v>
      </c>
      <c r="U33" s="37" t="n">
        <v>28048.24</v>
      </c>
      <c r="V33" s="18" t="n">
        <v>28681.25</v>
      </c>
      <c r="W33" s="18" t="n">
        <v>27721.24</v>
      </c>
      <c r="X33" s="18" t="n">
        <v>28159.86</v>
      </c>
      <c r="Y33" s="18" t="n">
        <v>26252.87</v>
      </c>
      <c r="Z33" s="37" t="n">
        <v>26252.87</v>
      </c>
      <c r="AA33" s="18" t="n">
        <v>28691.21</v>
      </c>
      <c r="AB33" s="19" t="n">
        <v>31720.8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1194.7</v>
      </c>
      <c r="F34" s="37" t="n">
        <v>1194.7</v>
      </c>
      <c r="G34" s="18" t="n">
        <v>1140.91</v>
      </c>
      <c r="H34" s="18" t="n">
        <v>1093.04</v>
      </c>
      <c r="I34" s="18" t="n">
        <v>1066.47</v>
      </c>
      <c r="J34" s="18" t="n">
        <v>1280.86</v>
      </c>
      <c r="K34" s="37" t="n">
        <v>1280.86</v>
      </c>
      <c r="L34" s="18" t="n">
        <v>1365.25</v>
      </c>
      <c r="M34" s="18" t="n">
        <v>1457.78</v>
      </c>
      <c r="N34" s="18" t="n">
        <v>1445.29</v>
      </c>
      <c r="O34" s="18" t="n">
        <v>1658.13</v>
      </c>
      <c r="P34" s="37" t="n">
        <v>1658.13</v>
      </c>
      <c r="Q34" s="18" t="n">
        <v>1752.04</v>
      </c>
      <c r="R34" s="18" t="n">
        <v>1821.61</v>
      </c>
      <c r="S34" s="18" t="n">
        <v>1846.1</v>
      </c>
      <c r="T34" s="18" t="n">
        <v>1837.54</v>
      </c>
      <c r="U34" s="37" t="n">
        <v>1837.54</v>
      </c>
      <c r="V34" s="18" t="n">
        <v>1776.03</v>
      </c>
      <c r="W34" s="18" t="n">
        <v>1789.66</v>
      </c>
      <c r="X34" s="18" t="n">
        <v>1753.93</v>
      </c>
      <c r="Y34" s="18" t="n">
        <v>1538.96</v>
      </c>
      <c r="Z34" s="37" t="n">
        <v>1538.96</v>
      </c>
      <c r="AA34" s="18" t="n">
        <v>1421.22</v>
      </c>
      <c r="AB34" s="19" t="n">
        <v>1409.59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8437.549999999999</v>
      </c>
      <c r="F35" s="37" t="n">
        <v>8437.549999999999</v>
      </c>
      <c r="G35" s="18" t="n">
        <v>8879.459999999999</v>
      </c>
      <c r="J35" s="18" t="n">
        <v>10878.25</v>
      </c>
      <c r="K35" s="37" t="n">
        <v>10878.25</v>
      </c>
      <c r="O35" s="18" t="n">
        <v>9188.91</v>
      </c>
      <c r="P35" s="37" t="n">
        <v>9188.91</v>
      </c>
      <c r="Q35" s="18" t="n">
        <v>8780.969999999999</v>
      </c>
      <c r="R35" s="18" t="n">
        <v>8132.73</v>
      </c>
      <c r="S35" s="18" t="n">
        <v>8334.92</v>
      </c>
      <c r="T35" s="18" t="n">
        <v>7915.13</v>
      </c>
      <c r="U35" s="37" t="n">
        <v>7915.13</v>
      </c>
      <c r="V35" s="18" t="n">
        <v>7686.78</v>
      </c>
      <c r="W35" s="18" t="n">
        <v>7012.49</v>
      </c>
      <c r="X35" s="18" t="n">
        <v>6827.51</v>
      </c>
      <c r="Y35" s="18" t="n">
        <v>6503.17</v>
      </c>
      <c r="Z35" s="37" t="n">
        <v>6503.17</v>
      </c>
      <c r="AA35" s="18" t="n">
        <v>6596.32</v>
      </c>
      <c r="AB35" s="19" t="n">
        <v>6748.43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8437.549999999999</v>
      </c>
      <c r="F36" s="37" t="n">
        <v>8437.549999999999</v>
      </c>
      <c r="G36" s="18" t="n">
        <v>10548.94</v>
      </c>
      <c r="J36" s="18" t="n">
        <v>10878.25</v>
      </c>
      <c r="K36" s="37" t="n">
        <v>10878.25</v>
      </c>
      <c r="O36" s="18" t="n">
        <v>9188.91</v>
      </c>
      <c r="P36" s="37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7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7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481987.96</v>
      </c>
      <c r="F37" s="37" t="n">
        <v>481987.96</v>
      </c>
      <c r="G37" s="18" t="n">
        <v>500201.25</v>
      </c>
      <c r="H37" s="18" t="n">
        <v>543777.8</v>
      </c>
      <c r="I37" s="18" t="n">
        <v>664065.8</v>
      </c>
      <c r="J37" s="18" t="n">
        <v>646587.48</v>
      </c>
      <c r="K37" s="37" t="n">
        <v>646587.48</v>
      </c>
      <c r="L37" s="18" t="n">
        <v>660517.26</v>
      </c>
      <c r="M37" s="18" t="n">
        <v>679286.76</v>
      </c>
      <c r="N37" s="18" t="n">
        <v>665532.89</v>
      </c>
      <c r="O37" s="18" t="n">
        <v>652973.75</v>
      </c>
      <c r="P37" s="37" t="n">
        <v>652973.75</v>
      </c>
      <c r="Q37" s="18" t="n">
        <v>668275.99</v>
      </c>
      <c r="R37" s="18" t="n">
        <v>666926.64</v>
      </c>
      <c r="S37" s="18" t="n">
        <v>670491.9399999999</v>
      </c>
      <c r="T37" s="18" t="n">
        <v>662560.9</v>
      </c>
      <c r="U37" s="37" t="n">
        <v>662560.9</v>
      </c>
      <c r="V37" s="18" t="n">
        <v>683282.25</v>
      </c>
      <c r="W37" s="18" t="n">
        <v>707911.17</v>
      </c>
      <c r="X37" s="18" t="n">
        <v>715045.1</v>
      </c>
      <c r="Y37" s="18" t="n">
        <v>689840.04</v>
      </c>
      <c r="Z37" s="37" t="n">
        <v>689840.04</v>
      </c>
      <c r="AA37" s="18" t="n">
        <v>731068.1899999999</v>
      </c>
      <c r="AB37" s="19" t="n">
        <v>782766.29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310567.99</v>
      </c>
      <c r="F38" s="37" t="n">
        <v>310567.99</v>
      </c>
      <c r="G38" s="18" t="n">
        <v>318287.19</v>
      </c>
      <c r="H38" s="18" t="n">
        <v>324686.41</v>
      </c>
      <c r="I38" s="18" t="n">
        <v>372143.2</v>
      </c>
      <c r="J38" s="18" t="n">
        <v>367103.96</v>
      </c>
      <c r="K38" s="37" t="n">
        <v>367103.96</v>
      </c>
      <c r="L38" s="18" t="n">
        <v>371032.61</v>
      </c>
      <c r="M38" s="18" t="n">
        <v>382410.85</v>
      </c>
      <c r="N38" s="18" t="n">
        <v>392089.67</v>
      </c>
      <c r="O38" s="18" t="n">
        <v>393555.16</v>
      </c>
      <c r="P38" s="37" t="n">
        <v>393555.16</v>
      </c>
      <c r="Q38" s="18" t="n">
        <v>388983.67</v>
      </c>
      <c r="R38" s="18" t="n">
        <v>396499.27</v>
      </c>
      <c r="S38" s="18" t="n">
        <v>397339.04</v>
      </c>
      <c r="T38" s="18" t="n">
        <v>396522.12</v>
      </c>
      <c r="U38" s="37" t="n">
        <v>396522.12</v>
      </c>
      <c r="V38" s="18" t="n">
        <v>389534.89</v>
      </c>
      <c r="W38" s="18" t="n">
        <v>379639.62</v>
      </c>
      <c r="X38" s="18" t="n">
        <v>374876.44</v>
      </c>
      <c r="Y38" s="18" t="n">
        <v>359968.05</v>
      </c>
      <c r="Z38" s="37" t="n">
        <v>359968.05</v>
      </c>
      <c r="AA38" s="18" t="n">
        <v>371954</v>
      </c>
      <c r="AB38" s="19" t="n">
        <v>376768.77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63101.14</v>
      </c>
      <c r="F39" s="37" t="n">
        <v>63101.14</v>
      </c>
      <c r="G39" s="18" t="n">
        <v>63101.14</v>
      </c>
      <c r="H39" s="18" t="n">
        <v>63101.14</v>
      </c>
      <c r="I39" s="18" t="n">
        <v>63101.14</v>
      </c>
      <c r="J39" s="18" t="n">
        <v>63101.14</v>
      </c>
      <c r="K39" s="37" t="n">
        <v>63101.14</v>
      </c>
      <c r="L39" s="18" t="n">
        <v>63101.14</v>
      </c>
      <c r="M39" s="18" t="n">
        <v>63101.14</v>
      </c>
      <c r="N39" s="18" t="n">
        <v>63101.14</v>
      </c>
      <c r="O39" s="18" t="n">
        <v>63101.14</v>
      </c>
      <c r="P39" s="37" t="n">
        <v>63101.14</v>
      </c>
      <c r="Q39" s="18" t="n">
        <v>63101.14</v>
      </c>
      <c r="R39" s="18" t="n">
        <v>63101.14</v>
      </c>
      <c r="S39" s="18" t="n">
        <v>63101.14</v>
      </c>
      <c r="T39" s="18" t="n">
        <v>93020.37</v>
      </c>
      <c r="U39" s="37" t="n">
        <v>93020.37</v>
      </c>
      <c r="V39" s="18" t="n">
        <v>93020.37</v>
      </c>
      <c r="W39" s="18" t="n">
        <v>93020.37</v>
      </c>
      <c r="X39" s="18" t="n">
        <v>93020.37</v>
      </c>
      <c r="Y39" s="18" t="n">
        <v>93020.37</v>
      </c>
      <c r="Z39" s="37" t="n">
        <v>93020.37</v>
      </c>
      <c r="AA39" s="18" t="n">
        <v>93020.37</v>
      </c>
      <c r="AB39" s="19" t="n">
        <v>93020.37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1069.8</v>
      </c>
      <c r="F40" s="37" t="n">
        <v>1069.8</v>
      </c>
      <c r="G40" s="18" t="n">
        <v>1069.8</v>
      </c>
      <c r="H40" s="18" t="n">
        <v>1173.36</v>
      </c>
      <c r="I40" s="18" t="n">
        <v>7132.85</v>
      </c>
      <c r="J40" s="18" t="n">
        <v>7971.36</v>
      </c>
      <c r="K40" s="37" t="n">
        <v>7971.36</v>
      </c>
      <c r="L40" s="18" t="n">
        <v>7971.36</v>
      </c>
      <c r="M40" s="18" t="n">
        <v>7971.36</v>
      </c>
      <c r="N40" s="18" t="n">
        <v>1772.95</v>
      </c>
      <c r="O40" s="18" t="n">
        <v>1772.95</v>
      </c>
      <c r="P40" s="37" t="n">
        <v>1772.95</v>
      </c>
      <c r="Q40" s="18" t="n">
        <v>-3518.65</v>
      </c>
      <c r="R40" s="18" t="n">
        <v>2158.03</v>
      </c>
      <c r="S40" s="18" t="n">
        <v>2158.03</v>
      </c>
      <c r="T40" s="18" t="n">
        <v>35339.94</v>
      </c>
      <c r="U40" s="37" t="n">
        <v>35339.94</v>
      </c>
      <c r="V40" s="18" t="n">
        <v>31031.25</v>
      </c>
      <c r="W40" s="18" t="n">
        <v>31030.83</v>
      </c>
      <c r="X40" s="18" t="n">
        <v>31024.43</v>
      </c>
      <c r="Y40" s="18" t="n">
        <v>43348.05</v>
      </c>
      <c r="Z40" s="37" t="n">
        <v>43348.05</v>
      </c>
      <c r="AA40" s="18" t="n">
        <v>42248.59</v>
      </c>
      <c r="AB40" s="19" t="n">
        <v>40978.84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-1474.69</v>
      </c>
      <c r="F41" s="37" t="n">
        <v>-1474.69</v>
      </c>
      <c r="G41" s="18" t="n">
        <v>-448.57</v>
      </c>
      <c r="H41" s="18" t="n">
        <v>-680.36</v>
      </c>
      <c r="I41" s="18" t="n">
        <v>2499.44</v>
      </c>
      <c r="J41" s="18" t="n">
        <v>-910.39</v>
      </c>
      <c r="K41" s="37" t="n">
        <v>-910.39</v>
      </c>
      <c r="L41" s="18" t="n">
        <v>337.04</v>
      </c>
      <c r="M41" s="18" t="n">
        <v>-381.81</v>
      </c>
      <c r="N41" s="18" t="n">
        <v>353.88</v>
      </c>
      <c r="O41" s="18" t="n">
        <v>-719.03</v>
      </c>
      <c r="P41" s="37" t="n">
        <v>-719.03</v>
      </c>
      <c r="Q41" s="18" t="n">
        <v>-493.3</v>
      </c>
      <c r="R41" s="18" t="n">
        <v>-146.84</v>
      </c>
      <c r="S41" s="18" t="n">
        <v>1705.47</v>
      </c>
      <c r="T41" s="18" t="n">
        <v>3610.64</v>
      </c>
      <c r="U41" s="37" t="n">
        <v>3610.64</v>
      </c>
      <c r="V41" s="18" t="n">
        <v>3834.48</v>
      </c>
      <c r="W41" s="18" t="n">
        <v>1136.68</v>
      </c>
      <c r="X41" s="18" t="n">
        <v>2677.52</v>
      </c>
      <c r="Y41" s="18" t="n">
        <v>5716.35</v>
      </c>
      <c r="Z41" s="37" t="n">
        <v>5716.35</v>
      </c>
      <c r="AA41" s="18" t="n">
        <v>8384.530000000001</v>
      </c>
      <c r="AB41" s="19" t="n">
        <v>7019.59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247871.74</v>
      </c>
      <c r="F42" s="37" t="n">
        <v>247871.74</v>
      </c>
      <c r="G42" s="18" t="n">
        <v>254564.82</v>
      </c>
      <c r="H42" s="18" t="n">
        <v>261092.27</v>
      </c>
      <c r="I42" s="18" t="n">
        <v>299409.77</v>
      </c>
      <c r="J42" s="18" t="n">
        <v>296941.85</v>
      </c>
      <c r="K42" s="37" t="n">
        <v>296941.85</v>
      </c>
      <c r="L42" s="18" t="n">
        <v>299623.07</v>
      </c>
      <c r="M42" s="18" t="n">
        <v>311720.16</v>
      </c>
      <c r="N42" s="18" t="n">
        <v>326861.69</v>
      </c>
      <c r="O42" s="18" t="n">
        <v>329400.1</v>
      </c>
      <c r="P42" s="37" t="n">
        <v>329400.1</v>
      </c>
      <c r="Q42" s="18" t="n">
        <v>329894.47</v>
      </c>
      <c r="R42" s="18" t="n">
        <v>331386.94</v>
      </c>
      <c r="S42" s="18" t="n">
        <v>330374.4</v>
      </c>
      <c r="T42" s="18" t="n">
        <v>327652.3</v>
      </c>
      <c r="U42" s="37" t="n">
        <v>327652.3</v>
      </c>
      <c r="V42" s="18" t="n">
        <v>324749.92</v>
      </c>
      <c r="W42" s="18" t="n">
        <v>317552.88</v>
      </c>
      <c r="X42" s="18" t="n">
        <v>311255.26</v>
      </c>
      <c r="Y42" s="18" t="n">
        <v>280984.42</v>
      </c>
      <c r="Z42" s="37" t="n">
        <v>280984.42</v>
      </c>
      <c r="AA42" s="18" t="n">
        <v>291401.64</v>
      </c>
      <c r="AB42" s="19" t="n">
        <v>298851.11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76102.8</v>
      </c>
      <c r="F43" s="37" t="n">
        <v>76102.8</v>
      </c>
      <c r="G43" s="18" t="n">
        <v>76229.03</v>
      </c>
      <c r="H43" s="18" t="n">
        <v>76028.36</v>
      </c>
      <c r="I43" s="18" t="n">
        <v>79871.77</v>
      </c>
      <c r="J43" s="18" t="n">
        <v>81110.35000000001</v>
      </c>
      <c r="K43" s="37" t="n">
        <v>81110.35000000001</v>
      </c>
      <c r="L43" s="18" t="n">
        <v>81205.94</v>
      </c>
      <c r="M43" s="18" t="n">
        <v>82460.67999999999</v>
      </c>
      <c r="N43" s="18" t="n">
        <v>80824.8</v>
      </c>
      <c r="O43" s="18" t="n">
        <v>83938.78999999999</v>
      </c>
      <c r="P43" s="37" t="n">
        <v>83938.78999999999</v>
      </c>
      <c r="Q43" s="18" t="n">
        <v>91221.3</v>
      </c>
      <c r="R43" s="18" t="n">
        <v>95965.81</v>
      </c>
      <c r="S43" s="18" t="n">
        <v>99212.86</v>
      </c>
      <c r="T43" s="18" t="n">
        <v>102816.23</v>
      </c>
      <c r="U43" s="37" t="n">
        <v>102816.23</v>
      </c>
      <c r="V43" s="18" t="n">
        <v>116698.02</v>
      </c>
      <c r="W43" s="18" t="n">
        <v>119333.47</v>
      </c>
      <c r="X43" s="18" t="n">
        <v>129807.97</v>
      </c>
      <c r="Y43" s="18" t="n">
        <v>138183.49</v>
      </c>
      <c r="Z43" s="37" t="n">
        <v>138183.49</v>
      </c>
      <c r="AA43" s="18" t="n">
        <v>140814.65</v>
      </c>
      <c r="AB43" s="19" t="n">
        <v>155779.52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386670.79</v>
      </c>
      <c r="F44" s="37" t="n">
        <v>386670.79</v>
      </c>
      <c r="G44" s="18" t="n">
        <v>394516.22</v>
      </c>
      <c r="H44" s="18" t="n">
        <v>400714.77</v>
      </c>
      <c r="I44" s="18" t="n">
        <v>452014.97</v>
      </c>
      <c r="J44" s="18" t="n">
        <v>448214.31</v>
      </c>
      <c r="K44" s="37" t="n">
        <v>448214.31</v>
      </c>
      <c r="L44" s="18" t="n">
        <v>452238.55</v>
      </c>
      <c r="M44" s="18" t="n">
        <v>464871.52</v>
      </c>
      <c r="N44" s="18" t="n">
        <v>472914.47</v>
      </c>
      <c r="O44" s="18" t="n">
        <v>477493.96</v>
      </c>
      <c r="P44" s="37" t="n">
        <v>477493.96</v>
      </c>
      <c r="Q44" s="18" t="n">
        <v>480204.96</v>
      </c>
      <c r="R44" s="18" t="n">
        <v>492465.09</v>
      </c>
      <c r="S44" s="18" t="n">
        <v>496551.91</v>
      </c>
      <c r="T44" s="18" t="n">
        <v>499338.34</v>
      </c>
      <c r="U44" s="37" t="n">
        <v>499338.34</v>
      </c>
      <c r="V44" s="18" t="n">
        <v>506232.91</v>
      </c>
      <c r="W44" s="18" t="n">
        <v>498973.09</v>
      </c>
      <c r="X44" s="18" t="n">
        <v>504684.41</v>
      </c>
      <c r="Y44" s="18" t="n">
        <v>498151.54</v>
      </c>
      <c r="Z44" s="37" t="n">
        <v>498151.54</v>
      </c>
      <c r="AA44" s="18" t="n">
        <v>512768.65</v>
      </c>
      <c r="AB44" s="19" t="n">
        <v>532548.28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868658.75</v>
      </c>
      <c r="F45" s="37" t="n">
        <v>868658.75</v>
      </c>
      <c r="G45" s="18" t="n">
        <v>894717.47</v>
      </c>
      <c r="H45" s="18" t="n">
        <v>944492.58</v>
      </c>
      <c r="I45" s="18" t="n">
        <v>1116080.77</v>
      </c>
      <c r="J45" s="18" t="n">
        <v>1094801.8</v>
      </c>
      <c r="K45" s="37" t="n">
        <v>1094801.8</v>
      </c>
      <c r="L45" s="18" t="n">
        <v>1112755.81</v>
      </c>
      <c r="M45" s="18" t="n">
        <v>1144158.28</v>
      </c>
      <c r="N45" s="18" t="n">
        <v>1138447.36</v>
      </c>
      <c r="O45" s="18" t="n">
        <v>1130467.71</v>
      </c>
      <c r="P45" s="37" t="n">
        <v>1130467.71</v>
      </c>
      <c r="Q45" s="18" t="n">
        <v>1148480.96</v>
      </c>
      <c r="R45" s="18" t="n">
        <v>1159391.73</v>
      </c>
      <c r="S45" s="18" t="n">
        <v>1167043.85</v>
      </c>
      <c r="T45" s="18" t="n">
        <v>1161899.25</v>
      </c>
      <c r="U45" s="37" t="n">
        <v>1161899.25</v>
      </c>
      <c r="V45" s="18" t="n">
        <v>1189515.16</v>
      </c>
      <c r="W45" s="18" t="n">
        <v>1206884.26</v>
      </c>
      <c r="X45" s="18" t="n">
        <v>1219729.5</v>
      </c>
      <c r="Y45" s="18" t="n">
        <v>1187991.58</v>
      </c>
      <c r="Z45" s="37" t="n">
        <v>1187991.58</v>
      </c>
      <c r="AA45" s="18" t="n">
        <v>1243836.83</v>
      </c>
      <c r="AB45" s="19" t="n">
        <v>1315314.58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374867.25</v>
      </c>
      <c r="F46" s="37" t="n">
        <v>374867.25</v>
      </c>
      <c r="G46" s="18" t="n">
        <v>405444.86</v>
      </c>
      <c r="H46" s="18" t="n">
        <v>426676.63</v>
      </c>
      <c r="I46" s="18" t="n">
        <v>496751.85</v>
      </c>
      <c r="J46" s="18" t="n">
        <v>522603.34</v>
      </c>
      <c r="K46" s="37" t="n">
        <v>522603.34</v>
      </c>
      <c r="L46" s="18" t="n">
        <v>546853.9</v>
      </c>
      <c r="M46" s="18" t="n">
        <v>544785.52</v>
      </c>
      <c r="N46" s="18" t="n">
        <v>534886.58</v>
      </c>
      <c r="O46" s="18" t="n">
        <v>525321.33</v>
      </c>
      <c r="P46" s="37" t="n">
        <v>525321.33</v>
      </c>
      <c r="Q46" s="18" t="n">
        <v>523044.77</v>
      </c>
      <c r="R46" s="18" t="n">
        <v>562299.45</v>
      </c>
      <c r="S46" s="18" t="n">
        <v>533858.49</v>
      </c>
      <c r="T46" s="18" t="n">
        <v>502328.45</v>
      </c>
      <c r="U46" s="37" t="n">
        <v>502328.45</v>
      </c>
      <c r="V46" s="18" t="n">
        <v>560406.33</v>
      </c>
      <c r="W46" s="18" t="n">
        <v>573096.8</v>
      </c>
      <c r="X46" s="18" t="n">
        <v>537102.49</v>
      </c>
      <c r="Y46" s="18" t="n">
        <v>518791.27</v>
      </c>
      <c r="Z46" s="37" t="n">
        <v>518791.27</v>
      </c>
      <c r="AA46" s="18" t="n">
        <v>550421.25</v>
      </c>
      <c r="AB46" s="19" t="n">
        <v>608041.83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279054.91</v>
      </c>
      <c r="F47" s="37" t="n">
        <v>279054.91</v>
      </c>
      <c r="G47" s="18" t="n">
        <v>307028.15</v>
      </c>
      <c r="H47" s="18" t="n">
        <v>327130.53</v>
      </c>
      <c r="I47" s="18" t="n">
        <v>396254.26</v>
      </c>
      <c r="J47" s="18" t="n">
        <v>432463.05</v>
      </c>
      <c r="K47" s="37" t="n">
        <v>432463.05</v>
      </c>
      <c r="L47" s="18" t="n">
        <v>449588.13</v>
      </c>
      <c r="M47" s="18" t="n">
        <v>435047.65</v>
      </c>
      <c r="N47" s="18" t="n">
        <v>437116.65</v>
      </c>
      <c r="O47" s="18" t="n">
        <v>423205.85</v>
      </c>
      <c r="P47" s="37" t="n">
        <v>423205.85</v>
      </c>
      <c r="Q47" s="18" t="n">
        <v>415972.33</v>
      </c>
      <c r="R47" s="18" t="n">
        <v>483341.82</v>
      </c>
      <c r="S47" s="18" t="n">
        <v>442790.45</v>
      </c>
      <c r="T47" s="18" t="n">
        <v>414871.69</v>
      </c>
      <c r="U47" s="37" t="n">
        <v>414871.69</v>
      </c>
      <c r="V47" s="18" t="n">
        <v>439276.53</v>
      </c>
      <c r="W47" s="18" t="n">
        <v>458209.12</v>
      </c>
      <c r="X47" s="18" t="n">
        <v>400932.57</v>
      </c>
      <c r="Y47" s="18" t="n">
        <v>411569.95</v>
      </c>
      <c r="Z47" s="37" t="n">
        <v>411569.95</v>
      </c>
      <c r="AA47" s="18" t="n">
        <v>415448.22</v>
      </c>
      <c r="AB47" s="19" t="n">
        <v>455719.13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106025.08</v>
      </c>
      <c r="F48" s="37" t="n">
        <v>106025.08</v>
      </c>
      <c r="G48" s="18" t="n">
        <v>109277.14</v>
      </c>
      <c r="H48" s="18" t="n">
        <v>109066.42</v>
      </c>
      <c r="I48" s="18" t="n">
        <v>109763.14</v>
      </c>
      <c r="J48" s="18" t="n">
        <v>99639.38</v>
      </c>
      <c r="K48" s="37" t="n">
        <v>99639.38</v>
      </c>
      <c r="L48" s="18" t="n">
        <v>107131.77</v>
      </c>
      <c r="M48" s="18" t="n">
        <v>119608.92</v>
      </c>
      <c r="N48" s="18" t="n">
        <v>108388.99</v>
      </c>
      <c r="O48" s="18" t="n">
        <v>114398.9</v>
      </c>
      <c r="P48" s="37" t="n">
        <v>114398.9</v>
      </c>
      <c r="Q48" s="18" t="n">
        <v>119018.94</v>
      </c>
      <c r="R48" s="18" t="n">
        <v>90792.84</v>
      </c>
      <c r="S48" s="18" t="n">
        <v>101165.75</v>
      </c>
      <c r="T48" s="18" t="n">
        <v>97020.23</v>
      </c>
      <c r="U48" s="37" t="n">
        <v>97020.23</v>
      </c>
      <c r="V48" s="18" t="n">
        <v>130844.65</v>
      </c>
      <c r="W48" s="18" t="n">
        <v>125166.52</v>
      </c>
      <c r="X48" s="18" t="n">
        <v>148860.16</v>
      </c>
      <c r="Y48" s="18" t="n">
        <v>132375.61</v>
      </c>
      <c r="Z48" s="37" t="n">
        <v>132375.61</v>
      </c>
      <c r="AA48" s="18" t="n">
        <v>157302.19</v>
      </c>
      <c r="AB48" s="19" t="n">
        <v>174285.96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E49" s="18" t="n">
        <v>11833.32</v>
      </c>
      <c r="F49" s="37" t="n">
        <v>11833.32</v>
      </c>
      <c r="G49" s="18" t="n">
        <v>21926.43</v>
      </c>
      <c r="K49" s="9" t="n"/>
      <c r="O49" s="18" t="n">
        <v>15016.29</v>
      </c>
      <c r="P49" s="37" t="n">
        <v>15016.29</v>
      </c>
      <c r="T49" s="18" t="n">
        <v>72117.5</v>
      </c>
      <c r="U49" s="37" t="n">
        <v>72117.5</v>
      </c>
      <c r="V49" s="18" t="n">
        <v>61392.72</v>
      </c>
      <c r="W49" s="18" t="n">
        <v>81371.09</v>
      </c>
      <c r="X49" s="18" t="n">
        <v>50099.02</v>
      </c>
      <c r="Y49" s="18" t="n">
        <v>41668.61</v>
      </c>
      <c r="Z49" s="37" t="n">
        <v>41668.61</v>
      </c>
      <c r="AA49" s="18" t="n">
        <v>36665.76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30000</v>
      </c>
      <c r="F50" s="37" t="n">
        <v>30000</v>
      </c>
      <c r="G50" s="18" t="n">
        <v>50000</v>
      </c>
      <c r="H50" s="18" t="n">
        <v>20000</v>
      </c>
      <c r="I50" s="18" t="n">
        <v>20000</v>
      </c>
      <c r="J50" s="18" t="n">
        <v>60000</v>
      </c>
      <c r="K50" s="37" t="n">
        <v>60000</v>
      </c>
      <c r="L50" s="18" t="n">
        <v>60000</v>
      </c>
      <c r="M50" s="18" t="n">
        <v>60000</v>
      </c>
      <c r="N50" s="18" t="n">
        <v>60000</v>
      </c>
      <c r="O50" s="18" t="n">
        <v>60000</v>
      </c>
      <c r="P50" s="37" t="n">
        <v>60000</v>
      </c>
      <c r="Q50" s="18" t="n">
        <v>40000</v>
      </c>
      <c r="R50" s="18" t="n">
        <v>60000</v>
      </c>
      <c r="S50" s="18" t="n">
        <v>20000</v>
      </c>
      <c r="T50" s="18" t="n">
        <v>19967.26</v>
      </c>
      <c r="U50" s="37" t="n">
        <v>19967.26</v>
      </c>
      <c r="V50" s="18" t="n">
        <v>39930.32</v>
      </c>
      <c r="W50" s="18" t="n">
        <v>39936.69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1669.48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H52" s="18" t="n">
        <v>366503.31</v>
      </c>
      <c r="I52" s="18" t="n">
        <v>403115.37</v>
      </c>
      <c r="J52" s="18" t="n">
        <v>390288.61</v>
      </c>
      <c r="K52" s="37" t="n">
        <v>390288.61</v>
      </c>
      <c r="L52" s="18" t="n">
        <v>410737.3</v>
      </c>
      <c r="M52" s="18" t="n">
        <v>406193.92</v>
      </c>
      <c r="N52" s="18" t="n">
        <v>394319.97</v>
      </c>
      <c r="P52" s="9" t="n"/>
      <c r="Q52" s="18" t="n">
        <v>421487.33</v>
      </c>
      <c r="R52" s="18" t="n">
        <v>400806.67</v>
      </c>
      <c r="S52" s="18" t="n">
        <v>416152.66</v>
      </c>
      <c r="U52" s="9" t="n"/>
      <c r="Z52" s="9" t="n"/>
      <c r="AB52" s="19" t="n">
        <v>392878.52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확정급여부채</t>
        </is>
      </c>
      <c r="F53" s="9" t="n"/>
      <c r="I53" s="18" t="n">
        <v>2077.68</v>
      </c>
      <c r="K53" s="9" t="n"/>
      <c r="L53" s="18" t="n">
        <v>1769.4</v>
      </c>
      <c r="M53" s="18" t="n">
        <v>1230.82</v>
      </c>
      <c r="N53" s="18" t="n">
        <v>218.03</v>
      </c>
      <c r="P53" s="9" t="n"/>
      <c r="Q53" s="18" t="n">
        <v>68.93000000000001</v>
      </c>
      <c r="R53" s="18" t="n">
        <v>1092.02</v>
      </c>
      <c r="S53" s="18" t="n">
        <v>1549.62</v>
      </c>
      <c r="U53" s="9" t="n"/>
      <c r="X53" s="18" t="n">
        <v>1358.11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42.12</v>
      </c>
      <c r="K54" s="37" t="n">
        <v>42.12</v>
      </c>
      <c r="L54" s="18" t="n">
        <v>44.53</v>
      </c>
      <c r="M54" s="18" t="n">
        <v>46.44</v>
      </c>
      <c r="N54" s="18" t="n">
        <v>46.91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O55" s="18" t="n">
        <v>2254.93</v>
      </c>
      <c r="P55" s="37" t="n">
        <v>2254.93</v>
      </c>
      <c r="Q55" s="18" t="n">
        <v>93.59</v>
      </c>
      <c r="U55" s="9" t="n"/>
      <c r="W55" s="18" t="n">
        <v>17729.08</v>
      </c>
      <c r="X55" s="18" t="n">
        <v>17729.08</v>
      </c>
      <c r="Y55" s="18" t="n">
        <v>17729.08</v>
      </c>
      <c r="Z55" s="37" t="n">
        <v>17729.08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기타비유동부채</t>
        </is>
      </c>
      <c r="F56" s="9" t="n"/>
      <c r="K56" s="9" t="n"/>
      <c r="P56" s="9" t="n"/>
      <c r="R56" s="18" t="n">
        <v>1602.86</v>
      </c>
      <c r="S56" s="18" t="n">
        <v>1122.35</v>
      </c>
      <c r="U56" s="9" t="n"/>
      <c r="X56" s="18" t="n">
        <v>1152.38</v>
      </c>
      <c r="Y56" s="18" t="n">
        <v>1182.65</v>
      </c>
      <c r="Z56" s="37" t="n">
        <v>1182.65</v>
      </c>
      <c r="AA56" s="18" t="n">
        <v>1171.84</v>
      </c>
      <c r="AB56" s="19" t="n">
        <v>1179.52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U57" s="9" t="n"/>
      <c r="X57" s="18" t="n">
        <v>4641.34</v>
      </c>
      <c r="Y57" s="18" t="n">
        <v>172591.76</v>
      </c>
      <c r="Z57" s="37" t="n">
        <v>172591.76</v>
      </c>
      <c r="AA57" s="18" t="n">
        <v>5349.24</v>
      </c>
      <c r="AB57" s="19" t="n">
        <v>11170.58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7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7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7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7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7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7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7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7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7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7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7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7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7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7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7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7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7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7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7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7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7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7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7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7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7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7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7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7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7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7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7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7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7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7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7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7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7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7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7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7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7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7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7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7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7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7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7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7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7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7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7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7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7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7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7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7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7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7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7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7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7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7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7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7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7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7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7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7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7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7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7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7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7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7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7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7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7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7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7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7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7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7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7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7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7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7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7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7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7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7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7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7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7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7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7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7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7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7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7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7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7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7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7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7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7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7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7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7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7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7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7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7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7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7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7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7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7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7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7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7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7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7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7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7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7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7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7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7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7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7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7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7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7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7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7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7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7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7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7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7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7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7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7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7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7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7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7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7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7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7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7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7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7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7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7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7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7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7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7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7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7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7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7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7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7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7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7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7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7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7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7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7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7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7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7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7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7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7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7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7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7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7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7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7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7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7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7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7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7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7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7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7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7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7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7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7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7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7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7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7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7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7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7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7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7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7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7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7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7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7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7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7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7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7" t="n">
        <v>18420.87</v>
      </c>
      <c r="J17" s="18" t="n">
        <v>12590.51</v>
      </c>
      <c r="K17" s="37" t="n">
        <v>12590.51</v>
      </c>
      <c r="N17" s="18" t="n">
        <v>11023.46</v>
      </c>
      <c r="O17" s="18" t="n">
        <v>9061.459999999999</v>
      </c>
      <c r="P17" s="37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7" t="n">
        <v>7930.14</v>
      </c>
      <c r="V17" s="18" t="n">
        <v>10933.92</v>
      </c>
      <c r="W17" s="18" t="n">
        <v>11160.92</v>
      </c>
      <c r="Y17" s="18" t="n">
        <v>12557.58</v>
      </c>
      <c r="Z17" s="37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7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7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7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7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7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7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7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7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7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7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7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7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7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7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7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7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7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7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7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7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7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7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7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7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7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7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7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7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7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7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7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7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7" t="n">
        <v>2866.99</v>
      </c>
      <c r="Q24" s="18" t="n">
        <v>3029.23</v>
      </c>
      <c r="R24" s="18" t="n">
        <v>775.16</v>
      </c>
      <c r="T24" s="18" t="n">
        <v>0</v>
      </c>
      <c r="U24" s="37" t="n">
        <v>0</v>
      </c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52668.28</v>
      </c>
      <c r="F25" s="37" t="n">
        <v>52668.28</v>
      </c>
      <c r="G25" s="18" t="n">
        <v>63079.03</v>
      </c>
      <c r="H25" s="18" t="n">
        <v>44536.3</v>
      </c>
      <c r="I25" s="18" t="n">
        <v>75143.5</v>
      </c>
      <c r="J25" s="18" t="n">
        <v>71627.11</v>
      </c>
      <c r="K25" s="37" t="n">
        <v>71627.11</v>
      </c>
      <c r="L25" s="18" t="n">
        <v>75112.85000000001</v>
      </c>
      <c r="M25" s="18" t="n">
        <v>74744.61</v>
      </c>
      <c r="N25" s="18" t="n">
        <v>74470.47</v>
      </c>
      <c r="O25" s="18" t="n">
        <v>73357.35000000001</v>
      </c>
      <c r="P25" s="37" t="n">
        <v>73357.35000000001</v>
      </c>
      <c r="Q25" s="18" t="n">
        <v>50693.98</v>
      </c>
      <c r="R25" s="18" t="n">
        <v>79440.13</v>
      </c>
      <c r="S25" s="18" t="n">
        <v>78921.66</v>
      </c>
      <c r="T25" s="18" t="n">
        <v>80086.42</v>
      </c>
      <c r="U25" s="37" t="n">
        <v>80086.42</v>
      </c>
      <c r="V25" s="18" t="n">
        <v>99313.64</v>
      </c>
      <c r="W25" s="18" t="n">
        <v>88416.49000000001</v>
      </c>
      <c r="X25" s="18" t="n">
        <v>122692.89</v>
      </c>
      <c r="Y25" s="18" t="n">
        <v>120262.57</v>
      </c>
      <c r="Z25" s="37" t="n">
        <v>120262.57</v>
      </c>
      <c r="AA25" s="18" t="n">
        <v>122082.92</v>
      </c>
      <c r="AB25" s="19" t="n">
        <v>131905.04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42842.13</v>
      </c>
      <c r="F26" s="37" t="n">
        <v>42842.13</v>
      </c>
      <c r="G26" s="18" t="n">
        <v>52879.93</v>
      </c>
      <c r="H26" s="18" t="n">
        <v>32854.42</v>
      </c>
      <c r="I26" s="18" t="n">
        <v>62827.74</v>
      </c>
      <c r="J26" s="18" t="n">
        <v>59952.73</v>
      </c>
      <c r="K26" s="37" t="n">
        <v>59952.73</v>
      </c>
      <c r="L26" s="18" t="n">
        <v>63902.86</v>
      </c>
      <c r="M26" s="18" t="n">
        <v>62960.6</v>
      </c>
      <c r="N26" s="18" t="n">
        <v>63915.87</v>
      </c>
      <c r="O26" s="18" t="n">
        <v>62970.37</v>
      </c>
      <c r="P26" s="37" t="n">
        <v>62970.37</v>
      </c>
      <c r="Q26" s="18" t="n">
        <v>39988.45</v>
      </c>
      <c r="R26" s="18" t="n">
        <v>69951.06</v>
      </c>
      <c r="S26" s="18" t="n">
        <v>69964.09</v>
      </c>
      <c r="T26" s="18" t="n">
        <v>69967.25999999999</v>
      </c>
      <c r="U26" s="37" t="n">
        <v>69967.25999999999</v>
      </c>
      <c r="V26" s="18" t="n">
        <v>89930.32000000001</v>
      </c>
      <c r="W26" s="18" t="n">
        <v>79936.69</v>
      </c>
      <c r="X26" s="18" t="n">
        <v>113943.2</v>
      </c>
      <c r="Y26" s="18" t="n">
        <v>113949.77</v>
      </c>
      <c r="Z26" s="37" t="n">
        <v>113949.77</v>
      </c>
      <c r="AA26" s="18" t="n">
        <v>113956.26</v>
      </c>
      <c r="AB26" s="19" t="n">
        <v>122975.88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장기금융부채(face)</t>
        </is>
      </c>
      <c r="E27" s="18" t="n">
        <v>877.63</v>
      </c>
      <c r="F27" s="37" t="n">
        <v>877.63</v>
      </c>
      <c r="G27" s="18" t="n">
        <v>953.64</v>
      </c>
      <c r="H27" s="18" t="n">
        <v>901.4299999999999</v>
      </c>
      <c r="I27" s="18" t="n">
        <v>868.26</v>
      </c>
      <c r="K27" s="9" t="n"/>
      <c r="L27" s="18" t="n">
        <v>948.26</v>
      </c>
      <c r="N27" s="18" t="n">
        <v>949.26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3037.01</v>
      </c>
      <c r="F28" s="37" t="n">
        <v>3037.01</v>
      </c>
      <c r="G28" s="18" t="n">
        <v>2828.8</v>
      </c>
      <c r="H28" s="18" t="n">
        <v>3065.13</v>
      </c>
      <c r="I28" s="18" t="n">
        <v>3654.28</v>
      </c>
      <c r="J28" s="18" t="n">
        <v>2126.99</v>
      </c>
      <c r="K28" s="37" t="n">
        <v>2126.99</v>
      </c>
      <c r="L28" s="18" t="n">
        <v>2595.5</v>
      </c>
      <c r="M28" s="18" t="n">
        <v>2340.99</v>
      </c>
      <c r="N28" s="18" t="n">
        <v>2110.44</v>
      </c>
      <c r="O28" s="18" t="n">
        <v>1046.56</v>
      </c>
      <c r="P28" s="37" t="n">
        <v>1046.56</v>
      </c>
      <c r="Q28" s="18" t="n">
        <v>1544.24</v>
      </c>
      <c r="R28" s="18" t="n">
        <v>1278.97</v>
      </c>
      <c r="S28" s="18" t="n">
        <v>1352.07</v>
      </c>
      <c r="T28" s="18" t="n">
        <v>2692.49</v>
      </c>
      <c r="U28" s="37" t="n">
        <v>2692.49</v>
      </c>
      <c r="V28" s="18" t="n">
        <v>2100.8</v>
      </c>
      <c r="W28" s="18" t="n">
        <v>1520.69</v>
      </c>
      <c r="X28" s="18" t="n">
        <v>1996.33</v>
      </c>
      <c r="Z28" s="9" t="n"/>
      <c r="AA28" s="18" t="n">
        <v>1995.07</v>
      </c>
      <c r="AB28" s="19" t="n">
        <v>2976.09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장기충당부채</t>
        </is>
      </c>
      <c r="E29" s="18" t="n">
        <v>1137.56</v>
      </c>
      <c r="F29" s="37" t="n">
        <v>1137.56</v>
      </c>
      <c r="G29" s="18" t="n">
        <v>1080.48</v>
      </c>
      <c r="H29" s="18" t="n">
        <v>1031.15</v>
      </c>
      <c r="I29" s="18" t="n">
        <v>1000.55</v>
      </c>
      <c r="J29" s="18" t="n">
        <v>1174.71</v>
      </c>
      <c r="K29" s="37" t="n">
        <v>1174.71</v>
      </c>
      <c r="L29" s="18" t="n">
        <v>1248.72</v>
      </c>
      <c r="M29" s="18" t="n">
        <v>1330.03</v>
      </c>
      <c r="N29" s="18" t="n">
        <v>1308.23</v>
      </c>
      <c r="O29" s="18" t="n">
        <v>1494.19</v>
      </c>
      <c r="P29" s="37" t="n">
        <v>1494.19</v>
      </c>
      <c r="Q29" s="18" t="n">
        <v>1578.3</v>
      </c>
      <c r="R29" s="18" t="n">
        <v>1635.6</v>
      </c>
      <c r="S29" s="18" t="n">
        <v>1655.25</v>
      </c>
      <c r="T29" s="18" t="n">
        <v>1562.97</v>
      </c>
      <c r="U29" s="37" t="n">
        <v>1562.97</v>
      </c>
      <c r="V29" s="18" t="n">
        <v>1570.39</v>
      </c>
      <c r="W29" s="18" t="n">
        <v>1585.33</v>
      </c>
      <c r="X29" s="18" t="n">
        <v>1547.83</v>
      </c>
      <c r="Y29" s="18" t="n">
        <v>1278.33</v>
      </c>
      <c r="Z29" s="37" t="n">
        <v>1278.33</v>
      </c>
      <c r="AA29" s="18" t="n">
        <v>1222.71</v>
      </c>
      <c r="AB29" s="19" t="n">
        <v>1203.41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303788.48</v>
      </c>
      <c r="F30" s="37" t="n">
        <v>303788.48</v>
      </c>
      <c r="G30" s="18" t="n">
        <v>313558.78</v>
      </c>
      <c r="H30" s="18" t="n">
        <v>317747.71</v>
      </c>
      <c r="I30" s="18" t="n">
        <v>331935.91</v>
      </c>
      <c r="J30" s="18" t="n">
        <v>344163.96</v>
      </c>
      <c r="K30" s="37" t="n">
        <v>344163.96</v>
      </c>
      <c r="L30" s="18" t="n">
        <v>364020.22</v>
      </c>
      <c r="M30" s="18" t="n">
        <v>355487.65</v>
      </c>
      <c r="N30" s="18" t="n">
        <v>352593.92</v>
      </c>
      <c r="O30" s="18" t="n">
        <v>343701.96</v>
      </c>
      <c r="P30" s="37" t="n">
        <v>343701.96</v>
      </c>
      <c r="Q30" s="18" t="n">
        <v>339842.18</v>
      </c>
      <c r="R30" s="18" t="n">
        <v>335403.91</v>
      </c>
      <c r="S30" s="18" t="n">
        <v>338841.66</v>
      </c>
      <c r="T30" s="18" t="n">
        <v>321497.21</v>
      </c>
      <c r="U30" s="37" t="n">
        <v>321497.21</v>
      </c>
      <c r="V30" s="18" t="n">
        <v>336482.95</v>
      </c>
      <c r="W30" s="18" t="n">
        <v>353769.17</v>
      </c>
      <c r="X30" s="18" t="n">
        <v>354141.37</v>
      </c>
      <c r="Y30" s="18" t="n">
        <v>345895.89</v>
      </c>
      <c r="Z30" s="37" t="n">
        <v>345895.89</v>
      </c>
      <c r="AA30" s="18" t="n">
        <v>350320.01</v>
      </c>
      <c r="AB30" s="19" t="n">
        <v>370447.2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93020.37</v>
      </c>
      <c r="F31" s="37" t="n">
        <v>93020.37</v>
      </c>
      <c r="G31" s="18" t="n">
        <v>93020.37</v>
      </c>
      <c r="H31" s="18" t="n">
        <v>93020.37</v>
      </c>
      <c r="I31" s="18" t="n">
        <v>93020.37</v>
      </c>
      <c r="J31" s="18" t="n">
        <v>93020.37</v>
      </c>
      <c r="K31" s="37" t="n">
        <v>93020.37</v>
      </c>
      <c r="L31" s="18" t="n">
        <v>93020.37</v>
      </c>
      <c r="M31" s="18" t="n">
        <v>93020.37</v>
      </c>
      <c r="N31" s="18" t="n">
        <v>93020.37</v>
      </c>
      <c r="O31" s="18" t="n">
        <v>93020.37</v>
      </c>
      <c r="P31" s="37" t="n">
        <v>93020.37</v>
      </c>
      <c r="Q31" s="18" t="n">
        <v>93020.37</v>
      </c>
      <c r="R31" s="18" t="n">
        <v>93020.37</v>
      </c>
      <c r="S31" s="18" t="n">
        <v>93020.37</v>
      </c>
      <c r="T31" s="18" t="n">
        <v>93020.37</v>
      </c>
      <c r="U31" s="37" t="n">
        <v>93020.37</v>
      </c>
      <c r="V31" s="18" t="n">
        <v>93020.37</v>
      </c>
      <c r="W31" s="18" t="n">
        <v>93020.37</v>
      </c>
      <c r="X31" s="18" t="n">
        <v>93020.37</v>
      </c>
      <c r="Y31" s="18" t="n">
        <v>93020.37</v>
      </c>
      <c r="Z31" s="37" t="n">
        <v>93020.37</v>
      </c>
      <c r="AA31" s="18" t="n">
        <v>93020.37</v>
      </c>
      <c r="AB31" s="19" t="n">
        <v>93020.37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49143.43</v>
      </c>
      <c r="F32" s="37" t="n">
        <v>49143.43</v>
      </c>
      <c r="G32" s="18" t="n">
        <v>49143.43</v>
      </c>
      <c r="H32" s="18" t="n">
        <v>49143.43</v>
      </c>
      <c r="I32" s="18" t="n">
        <v>49143.43</v>
      </c>
      <c r="J32" s="18" t="n">
        <v>49143.43</v>
      </c>
      <c r="K32" s="37" t="n">
        <v>49143.43</v>
      </c>
      <c r="L32" s="18" t="n">
        <v>49143.43</v>
      </c>
      <c r="M32" s="18" t="n">
        <v>49143.43</v>
      </c>
      <c r="N32" s="18" t="n">
        <v>49143.43</v>
      </c>
      <c r="O32" s="18" t="n">
        <v>49143.43</v>
      </c>
      <c r="P32" s="37" t="n">
        <v>49143.43</v>
      </c>
      <c r="Q32" s="18" t="n">
        <v>49143.43</v>
      </c>
      <c r="R32" s="18" t="n">
        <v>49143.43</v>
      </c>
      <c r="S32" s="18" t="n">
        <v>49143.43</v>
      </c>
      <c r="T32" s="18" t="n">
        <v>49143.43</v>
      </c>
      <c r="U32" s="37" t="n">
        <v>49143.43</v>
      </c>
      <c r="V32" s="18" t="n">
        <v>49143.43</v>
      </c>
      <c r="W32" s="18" t="n">
        <v>49143.43</v>
      </c>
      <c r="X32" s="18" t="n">
        <v>49143.43</v>
      </c>
      <c r="Y32" s="18" t="n">
        <v>59499.36</v>
      </c>
      <c r="Z32" s="37" t="n">
        <v>59499.36</v>
      </c>
      <c r="AA32" s="18" t="n">
        <v>59499.36</v>
      </c>
      <c r="AB32" s="19" t="n">
        <v>59499.36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246.37</v>
      </c>
      <c r="F33" s="37" t="n">
        <v>246.37</v>
      </c>
      <c r="G33" s="18" t="n">
        <v>795.37</v>
      </c>
      <c r="H33" s="18" t="n">
        <v>57.9</v>
      </c>
      <c r="I33" s="18" t="n">
        <v>-94.38</v>
      </c>
      <c r="J33" s="18" t="n">
        <v>163.38</v>
      </c>
      <c r="K33" s="37" t="n">
        <v>163.38</v>
      </c>
      <c r="L33" s="18" t="n">
        <v>332.33</v>
      </c>
      <c r="M33" s="18" t="n">
        <v>390.46</v>
      </c>
      <c r="N33" s="18" t="n">
        <v>767.29</v>
      </c>
      <c r="O33" s="18" t="n">
        <v>846.62</v>
      </c>
      <c r="P33" s="37" t="n">
        <v>846.62</v>
      </c>
      <c r="Q33" s="18" t="n">
        <v>344.84</v>
      </c>
      <c r="R33" s="18" t="n">
        <v>132.31</v>
      </c>
      <c r="S33" s="18" t="n">
        <v>-31.92</v>
      </c>
      <c r="T33" s="18" t="n">
        <v>-526.34</v>
      </c>
      <c r="U33" s="37" t="n">
        <v>-526.34</v>
      </c>
      <c r="V33" s="18" t="n">
        <v>-471.5</v>
      </c>
      <c r="W33" s="18" t="n">
        <v>-164.58</v>
      </c>
      <c r="X33" s="18" t="n">
        <v>-180.87</v>
      </c>
      <c r="Y33" s="18" t="n">
        <v>243.01</v>
      </c>
      <c r="Z33" s="37" t="n">
        <v>243.01</v>
      </c>
      <c r="AA33" s="18" t="n">
        <v>-1050.22</v>
      </c>
      <c r="AB33" s="19" t="n">
        <v>-3166.14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202646.16</v>
      </c>
      <c r="F34" s="37" t="n">
        <v>202646.16</v>
      </c>
      <c r="G34" s="18" t="n">
        <v>211346.15</v>
      </c>
      <c r="H34" s="18" t="n">
        <v>219344.14</v>
      </c>
      <c r="I34" s="18" t="n">
        <v>231394.54</v>
      </c>
      <c r="J34" s="18" t="n">
        <v>227423.32</v>
      </c>
      <c r="K34" s="37" t="n">
        <v>227423.32</v>
      </c>
      <c r="L34" s="18" t="n">
        <v>229809.92</v>
      </c>
      <c r="M34" s="18" t="n">
        <v>238626.62</v>
      </c>
      <c r="N34" s="18" t="n">
        <v>248861.3</v>
      </c>
      <c r="O34" s="18" t="n">
        <v>244299.66</v>
      </c>
      <c r="P34" s="37" t="n">
        <v>244299.66</v>
      </c>
      <c r="Q34" s="18" t="n">
        <v>243338.44</v>
      </c>
      <c r="R34" s="18" t="n">
        <v>245111.29</v>
      </c>
      <c r="S34" s="18" t="n">
        <v>236467.14</v>
      </c>
      <c r="T34" s="18" t="n">
        <v>234127.14</v>
      </c>
      <c r="U34" s="37" t="n">
        <v>234127.14</v>
      </c>
      <c r="V34" s="18" t="n">
        <v>229486.02</v>
      </c>
      <c r="W34" s="18" t="n">
        <v>218542.51</v>
      </c>
      <c r="X34" s="18" t="n">
        <v>211015.11</v>
      </c>
      <c r="Y34" s="18" t="n">
        <v>188866.9</v>
      </c>
      <c r="Z34" s="37" t="n">
        <v>188866.9</v>
      </c>
      <c r="AA34" s="18" t="n">
        <v>198344.38</v>
      </c>
      <c r="AB34" s="19" t="n">
        <v>200351.43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281955.19</v>
      </c>
      <c r="F35" s="37" t="n">
        <v>281955.19</v>
      </c>
      <c r="G35" s="18" t="n">
        <v>291204.18</v>
      </c>
      <c r="H35" s="18" t="n">
        <v>298464.7</v>
      </c>
      <c r="I35" s="18" t="n">
        <v>310362.82</v>
      </c>
      <c r="J35" s="18" t="n">
        <v>306649.36</v>
      </c>
      <c r="K35" s="37" t="n">
        <v>306649.36</v>
      </c>
      <c r="L35" s="18" t="n">
        <v>309204.92</v>
      </c>
      <c r="M35" s="18" t="n">
        <v>318079.75</v>
      </c>
      <c r="N35" s="18" t="n">
        <v>328691.25</v>
      </c>
      <c r="O35" s="18" t="n">
        <v>324208.94</v>
      </c>
      <c r="P35" s="37" t="n">
        <v>324208.94</v>
      </c>
      <c r="Q35" s="18" t="n">
        <v>322745.94</v>
      </c>
      <c r="R35" s="18" t="n">
        <v>324306.26</v>
      </c>
      <c r="S35" s="18" t="n">
        <v>315497.89</v>
      </c>
      <c r="T35" s="18" t="n">
        <v>312663.46</v>
      </c>
      <c r="U35" s="37" t="n">
        <v>312663.46</v>
      </c>
      <c r="V35" s="18" t="n">
        <v>308077.19</v>
      </c>
      <c r="W35" s="18" t="n">
        <v>297440.59</v>
      </c>
      <c r="X35" s="18" t="n">
        <v>289896.9</v>
      </c>
      <c r="Y35" s="18" t="n">
        <v>278528.5</v>
      </c>
      <c r="Z35" s="37" t="n">
        <v>278528.5</v>
      </c>
      <c r="AA35" s="18" t="n">
        <v>286712.75</v>
      </c>
      <c r="AB35" s="19" t="n">
        <v>286603.88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585743.67</v>
      </c>
      <c r="F36" s="37" t="n">
        <v>585743.67</v>
      </c>
      <c r="G36" s="18" t="n">
        <v>604762.97</v>
      </c>
      <c r="H36" s="18" t="n">
        <v>616212.41</v>
      </c>
      <c r="I36" s="18" t="n">
        <v>642298.72</v>
      </c>
      <c r="J36" s="18" t="n">
        <v>650813.3199999999</v>
      </c>
      <c r="K36" s="37" t="n">
        <v>650813.3199999999</v>
      </c>
      <c r="L36" s="18" t="n">
        <v>673225.14</v>
      </c>
      <c r="M36" s="18" t="n">
        <v>673567.4</v>
      </c>
      <c r="N36" s="18" t="n">
        <v>681285.17</v>
      </c>
      <c r="O36" s="18" t="n">
        <v>667910.9</v>
      </c>
      <c r="P36" s="37" t="n">
        <v>667910.9</v>
      </c>
      <c r="Q36" s="18" t="n">
        <v>662588.12</v>
      </c>
      <c r="R36" s="18" t="n">
        <v>659710.17</v>
      </c>
      <c r="S36" s="18" t="n">
        <v>654339.55</v>
      </c>
      <c r="T36" s="18" t="n">
        <v>634160.67</v>
      </c>
      <c r="U36" s="37" t="n">
        <v>634160.67</v>
      </c>
      <c r="V36" s="18" t="n">
        <v>644560.14</v>
      </c>
      <c r="W36" s="18" t="n">
        <v>651209.76</v>
      </c>
      <c r="X36" s="18" t="n">
        <v>644038.27</v>
      </c>
      <c r="Y36" s="18" t="n">
        <v>624424.39</v>
      </c>
      <c r="Z36" s="37" t="n">
        <v>624424.39</v>
      </c>
      <c r="AA36" s="18" t="n">
        <v>637032.77</v>
      </c>
      <c r="AB36" s="19" t="n">
        <v>657051.08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281955.19</v>
      </c>
      <c r="F37" s="37" t="n">
        <v>281955.19</v>
      </c>
      <c r="G37" s="18" t="n">
        <v>291204.18</v>
      </c>
      <c r="H37" s="18" t="n">
        <v>298464.7</v>
      </c>
      <c r="I37" s="18" t="n">
        <v>310362.82</v>
      </c>
      <c r="J37" s="18" t="n">
        <v>306649.36</v>
      </c>
      <c r="K37" s="37" t="n">
        <v>306649.36</v>
      </c>
      <c r="L37" s="18" t="n">
        <v>309204.92</v>
      </c>
      <c r="M37" s="18" t="n">
        <v>318079.75</v>
      </c>
      <c r="N37" s="18" t="n">
        <v>328691.25</v>
      </c>
      <c r="O37" s="18" t="n">
        <v>324208.94</v>
      </c>
      <c r="P37" s="37" t="n">
        <v>324208.94</v>
      </c>
      <c r="Q37" s="18" t="n">
        <v>322745.94</v>
      </c>
      <c r="R37" s="18" t="n">
        <v>324306.26</v>
      </c>
      <c r="S37" s="18" t="n">
        <v>315497.89</v>
      </c>
      <c r="T37" s="18" t="n">
        <v>312663.46</v>
      </c>
      <c r="U37" s="37" t="n">
        <v>312663.46</v>
      </c>
      <c r="V37" s="18" t="n">
        <v>308077.19</v>
      </c>
      <c r="W37" s="18" t="n">
        <v>297440.59</v>
      </c>
      <c r="X37" s="18" t="n">
        <v>289896.9</v>
      </c>
      <c r="Y37" s="18" t="n">
        <v>278528.5</v>
      </c>
      <c r="Z37" s="37" t="n">
        <v>278528.5</v>
      </c>
      <c r="AA37" s="18" t="n">
        <v>286712.75</v>
      </c>
      <c r="AB37" s="19" t="n">
        <v>286603.88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229383.85</v>
      </c>
      <c r="F38" s="37" t="n">
        <v>229383.85</v>
      </c>
      <c r="G38" s="18" t="n">
        <v>236286.83</v>
      </c>
      <c r="H38" s="18" t="n">
        <v>242543.35</v>
      </c>
      <c r="I38" s="18" t="n">
        <v>258409.76</v>
      </c>
      <c r="J38" s="18" t="n">
        <v>261895.27</v>
      </c>
      <c r="K38" s="37" t="n">
        <v>261895.27</v>
      </c>
      <c r="L38" s="18" t="n">
        <v>283555.55</v>
      </c>
      <c r="M38" s="18" t="n">
        <v>265587.84</v>
      </c>
      <c r="N38" s="18" t="n">
        <v>265501.6</v>
      </c>
      <c r="O38" s="18" t="n">
        <v>260770.73</v>
      </c>
      <c r="P38" s="37" t="n">
        <v>260770.73</v>
      </c>
      <c r="Q38" s="18" t="n">
        <v>264285.82</v>
      </c>
      <c r="R38" s="18" t="n">
        <v>266753.46</v>
      </c>
      <c r="S38" s="18" t="n">
        <v>280337.48</v>
      </c>
      <c r="T38" s="18" t="n">
        <v>263285.46</v>
      </c>
      <c r="U38" s="37" t="n">
        <v>263285.46</v>
      </c>
      <c r="V38" s="18" t="n">
        <v>273485.84</v>
      </c>
      <c r="W38" s="18" t="n">
        <v>281194.34</v>
      </c>
      <c r="X38" s="18" t="n">
        <v>278467.43</v>
      </c>
      <c r="Y38" s="18" t="n">
        <v>280548.34</v>
      </c>
      <c r="Z38" s="37" t="n">
        <v>280548.34</v>
      </c>
      <c r="AA38" s="18" t="n">
        <v>280050.03</v>
      </c>
      <c r="AB38" s="19" t="n">
        <v>301543.56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173172.52</v>
      </c>
      <c r="F39" s="37" t="n">
        <v>173172.52</v>
      </c>
      <c r="G39" s="18" t="n">
        <v>173218.61</v>
      </c>
      <c r="H39" s="18" t="n">
        <v>179986.32</v>
      </c>
      <c r="I39" s="18" t="n">
        <v>201485.61</v>
      </c>
      <c r="J39" s="18" t="n">
        <v>206412.87</v>
      </c>
      <c r="K39" s="37" t="n">
        <v>206412.87</v>
      </c>
      <c r="L39" s="18" t="n">
        <v>219494.66</v>
      </c>
      <c r="M39" s="18" t="n">
        <v>199709.65</v>
      </c>
      <c r="N39" s="18" t="n">
        <v>198184.34</v>
      </c>
      <c r="O39" s="18" t="n">
        <v>195656.66</v>
      </c>
      <c r="P39" s="37" t="n">
        <v>195656.66</v>
      </c>
      <c r="Q39" s="18" t="n">
        <v>203333.87</v>
      </c>
      <c r="R39" s="18" t="n">
        <v>231054.4</v>
      </c>
      <c r="S39" s="18" t="n">
        <v>237837.33</v>
      </c>
      <c r="T39" s="18" t="n">
        <v>229665.39</v>
      </c>
      <c r="U39" s="37" t="n">
        <v>229665.39</v>
      </c>
      <c r="V39" s="18" t="n">
        <v>211007.49</v>
      </c>
      <c r="W39" s="18" t="n">
        <v>222097.3</v>
      </c>
      <c r="X39" s="18" t="n">
        <v>220079.87</v>
      </c>
      <c r="Y39" s="18" t="n">
        <v>239612.03</v>
      </c>
      <c r="Z39" s="37" t="n">
        <v>239612.03</v>
      </c>
      <c r="AA39" s="18" t="n">
        <v>229154.31</v>
      </c>
      <c r="AB39" s="19" t="n">
        <v>256040.64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64324.31</v>
      </c>
      <c r="F40" s="37" t="n">
        <v>64324.31</v>
      </c>
      <c r="G40" s="18" t="n">
        <v>71906.63</v>
      </c>
      <c r="H40" s="18" t="n">
        <v>70193.96000000001</v>
      </c>
      <c r="I40" s="18" t="n">
        <v>78918.78999999999</v>
      </c>
      <c r="J40" s="18" t="n">
        <v>77850.74000000001</v>
      </c>
      <c r="K40" s="37" t="n">
        <v>77850.74000000001</v>
      </c>
      <c r="L40" s="18" t="n">
        <v>86709.69</v>
      </c>
      <c r="M40" s="18" t="n">
        <v>88666.45</v>
      </c>
      <c r="N40" s="18" t="n">
        <v>84861.5</v>
      </c>
      <c r="O40" s="18" t="n">
        <v>84103.55</v>
      </c>
      <c r="P40" s="37" t="n">
        <v>84103.55</v>
      </c>
      <c r="Q40" s="18" t="n">
        <v>79457.13</v>
      </c>
      <c r="R40" s="18" t="n">
        <v>54018.87</v>
      </c>
      <c r="S40" s="18" t="n">
        <v>61014.96</v>
      </c>
      <c r="T40" s="18" t="n">
        <v>41553.91</v>
      </c>
      <c r="U40" s="37" t="n">
        <v>41553.91</v>
      </c>
      <c r="V40" s="18" t="n">
        <v>70547.12</v>
      </c>
      <c r="W40" s="18" t="n">
        <v>67706.73</v>
      </c>
      <c r="X40" s="18" t="n">
        <v>69376.42999999999</v>
      </c>
      <c r="Y40" s="18" t="n">
        <v>40936.31</v>
      </c>
      <c r="Z40" s="37" t="n">
        <v>40936.31</v>
      </c>
      <c r="AA40" s="18" t="n">
        <v>70632.41</v>
      </c>
      <c r="AB40" s="19" t="n">
        <v>64760.48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유동리스부채</t>
        </is>
      </c>
      <c r="F41" s="9" t="n"/>
      <c r="G41" s="18" t="n">
        <v>1131.63</v>
      </c>
      <c r="K41" s="9" t="n"/>
      <c r="L41" s="18" t="n">
        <v>1182.66</v>
      </c>
      <c r="O41" s="18" t="n">
        <v>1071.03</v>
      </c>
      <c r="P41" s="37" t="n">
        <v>1071.03</v>
      </c>
      <c r="T41" s="18" t="n">
        <v>905.54</v>
      </c>
      <c r="U41" s="37" t="n">
        <v>905.54</v>
      </c>
      <c r="V41" s="18" t="n">
        <v>934.85</v>
      </c>
      <c r="W41" s="18" t="n">
        <v>1216.26</v>
      </c>
      <c r="X41" s="18" t="n">
        <v>1020.99</v>
      </c>
      <c r="Y41" s="18" t="n">
        <v>798.17</v>
      </c>
      <c r="Z41" s="37" t="n">
        <v>798.17</v>
      </c>
      <c r="AA41" s="18" t="n">
        <v>887.24</v>
      </c>
      <c r="AB41" s="19" t="n">
        <v>1092.91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리스부채</t>
        </is>
      </c>
      <c r="F42" s="9" t="n"/>
      <c r="G42" s="18" t="n">
        <v>7421.46</v>
      </c>
      <c r="K42" s="9" t="n"/>
      <c r="L42" s="18" t="n">
        <v>8548.42</v>
      </c>
      <c r="O42" s="18" t="n">
        <v>7959</v>
      </c>
      <c r="P42" s="37" t="n">
        <v>7959</v>
      </c>
      <c r="T42" s="18" t="n">
        <v>6244.93</v>
      </c>
      <c r="U42" s="37" t="n">
        <v>6244.93</v>
      </c>
      <c r="V42" s="18" t="n">
        <v>6098.61</v>
      </c>
      <c r="W42" s="18" t="n">
        <v>6077.98</v>
      </c>
      <c r="X42" s="18" t="n">
        <v>5739.46</v>
      </c>
      <c r="Y42" s="18" t="n">
        <v>5389.7</v>
      </c>
      <c r="Z42" s="37" t="n">
        <v>5389.7</v>
      </c>
      <c r="AA42" s="18" t="n">
        <v>5353.17</v>
      </c>
      <c r="AB42" s="19" t="n">
        <v>5441.83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</t>
        </is>
      </c>
      <c r="F43" s="9" t="n"/>
      <c r="G43" s="18" t="n">
        <v>1131.63</v>
      </c>
      <c r="K43" s="9" t="n"/>
      <c r="L43" s="18" t="n">
        <v>1182.66</v>
      </c>
      <c r="O43" s="18" t="n">
        <v>1071.03</v>
      </c>
      <c r="P43" s="37" t="n">
        <v>1071.03</v>
      </c>
      <c r="T43" s="18" t="n">
        <v>905.54</v>
      </c>
      <c r="U43" s="37" t="n">
        <v>905.54</v>
      </c>
      <c r="V43" s="18" t="n">
        <v>934.85</v>
      </c>
      <c r="W43" s="18" t="n">
        <v>1216.26</v>
      </c>
      <c r="X43" s="18" t="n">
        <v>1020.99</v>
      </c>
      <c r="Y43" s="18" t="n">
        <v>798.17</v>
      </c>
      <c r="Z43" s="37" t="n">
        <v>798.17</v>
      </c>
      <c r="AA43" s="18" t="n">
        <v>887.24</v>
      </c>
      <c r="AB43" s="19" t="n">
        <v>1092.91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F44" s="9" t="n"/>
      <c r="G44" s="18" t="n">
        <v>6289.83</v>
      </c>
      <c r="K44" s="9" t="n"/>
      <c r="L44" s="18" t="n">
        <v>7365.76</v>
      </c>
      <c r="O44" s="18" t="n">
        <v>6887.97</v>
      </c>
      <c r="P44" s="37" t="n">
        <v>6887.97</v>
      </c>
      <c r="T44" s="18" t="n">
        <v>5339.39</v>
      </c>
      <c r="U44" s="37" t="n">
        <v>5339.39</v>
      </c>
      <c r="V44" s="18" t="n">
        <v>5163.76</v>
      </c>
      <c r="W44" s="18" t="n">
        <v>4861.72</v>
      </c>
      <c r="X44" s="18" t="n">
        <v>4718.47</v>
      </c>
      <c r="Y44" s="18" t="n">
        <v>4591.53</v>
      </c>
      <c r="Z44" s="37" t="n">
        <v>4591.53</v>
      </c>
      <c r="AA44" s="18" t="n">
        <v>4465.93</v>
      </c>
      <c r="AB44" s="19" t="n">
        <v>4348.92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F45" s="9" t="n"/>
      <c r="G45" s="18" t="n">
        <v>6289.83</v>
      </c>
      <c r="K45" s="9" t="n"/>
      <c r="L45" s="18" t="n">
        <v>7365.76</v>
      </c>
      <c r="O45" s="18" t="n">
        <v>6887.97</v>
      </c>
      <c r="P45" s="37" t="n">
        <v>6887.97</v>
      </c>
      <c r="T45" s="18" t="n">
        <v>5339.39</v>
      </c>
      <c r="U45" s="37" t="n">
        <v>5339.39</v>
      </c>
      <c r="V45" s="18" t="n">
        <v>5163.76</v>
      </c>
      <c r="W45" s="18" t="n">
        <v>4861.72</v>
      </c>
      <c r="X45" s="18" t="n">
        <v>4718.47</v>
      </c>
      <c r="Y45" s="18" t="n">
        <v>4591.53</v>
      </c>
      <c r="Z45" s="37" t="n">
        <v>4591.53</v>
      </c>
      <c r="AA45" s="18" t="n">
        <v>4465.93</v>
      </c>
      <c r="AB45" s="19" t="n">
        <v>4348.92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7" t="n">
        <v>868.26</v>
      </c>
      <c r="O46" s="18" t="n">
        <v>958.26</v>
      </c>
      <c r="P46" s="37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7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7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7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7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7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7" t="n">
        <v>184.52</v>
      </c>
      <c r="T49" s="18" t="n">
        <v>0</v>
      </c>
      <c r="U49" s="37" t="n">
        <v>0</v>
      </c>
      <c r="W49" s="18" t="n">
        <v>17729.08</v>
      </c>
      <c r="X49" s="18" t="n">
        <v>17729.08</v>
      </c>
      <c r="Y49" s="18" t="n">
        <v>17729.08</v>
      </c>
      <c r="Z49" s="37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7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7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7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7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7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7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7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7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7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7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7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7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7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7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7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7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7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7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7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7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7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7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7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7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7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7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7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7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7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7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7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7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7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7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7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7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7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7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7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7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7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7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7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7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7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7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7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7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7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7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7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7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7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7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7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7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7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7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7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7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7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7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7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7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7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7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7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7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7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7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7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7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7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7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7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7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7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7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7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7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7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7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7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7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7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7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7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7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7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7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7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7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7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7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7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7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7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7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7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7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7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7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7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7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7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7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7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7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7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7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7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7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7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7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7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7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7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7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7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7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7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7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7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7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7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7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7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7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7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7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7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7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7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7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IFERROR(VLOOKUP($D19,BS연결,MATCH(O$1,BS연결H,0),0)/100,"")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감가상각비</t>
        </is>
      </c>
      <c r="B20" t="inlineStr">
        <is>
          <t>손익</t>
        </is>
      </c>
      <c r="C20" t="inlineStr">
        <is>
          <t>억원</t>
        </is>
      </c>
      <c r="D20" t="inlineStr">
        <is>
          <t>감가상각비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변수!AC29</f>
        <v/>
      </c>
      <c r="AD20" s="20">
        <f>변수!AD29</f>
        <v/>
      </c>
      <c r="AE20" s="38">
        <f>SUM(AA20:AD20)</f>
        <v/>
      </c>
      <c r="AF20" s="20">
        <f>변수!AF29</f>
        <v/>
      </c>
      <c r="AG20" s="20">
        <f>변수!AG29</f>
        <v/>
      </c>
      <c r="AH20" s="20">
        <f>변수!AH29</f>
        <v/>
      </c>
      <c r="AI20" s="20">
        <f>변수!AI29</f>
        <v/>
      </c>
      <c r="AJ20" s="38">
        <f>SUM(AF20:AI20)</f>
        <v/>
      </c>
      <c r="AK20" s="20">
        <f>변수!AK29</f>
        <v/>
      </c>
      <c r="AL20" s="20">
        <f>변수!AL29</f>
        <v/>
      </c>
      <c r="AM20" s="20">
        <f>변수!AM29</f>
        <v/>
      </c>
      <c r="AN20" s="20">
        <f>변수!AN29</f>
        <v/>
      </c>
      <c r="AO20" s="38">
        <f>SUM(AK20:AN20)</f>
        <v/>
      </c>
    </row>
    <row r="21">
      <c r="A21" s="12" t="inlineStr">
        <is>
          <t>EBITDA</t>
        </is>
      </c>
      <c r="B21" t="inlineStr">
        <is>
          <t>손익</t>
        </is>
      </c>
      <c r="C21" t="inlineStr">
        <is>
          <t>억원</t>
        </is>
      </c>
      <c r="D21" t="inlineStr">
        <is>
          <t>EBITDA</t>
        </is>
      </c>
      <c r="E21" s="18" t="n">
        <v>181.23</v>
      </c>
      <c r="F21" s="37" t="n"/>
      <c r="G21" s="18" t="n">
        <v>275</v>
      </c>
      <c r="H21" s="18" t="n">
        <v>262.83</v>
      </c>
      <c r="I21" s="18" t="n">
        <v>228.24</v>
      </c>
      <c r="J21" s="18" t="n">
        <v>223.31</v>
      </c>
      <c r="K21" s="37">
        <f>SUM(G21:J21)</f>
        <v/>
      </c>
      <c r="L21" s="18" t="n">
        <v>311.76</v>
      </c>
      <c r="M21" s="18" t="n">
        <v>340.9</v>
      </c>
      <c r="N21" s="18" t="n">
        <v>351.46</v>
      </c>
      <c r="O21" s="18" t="n">
        <v>270.29</v>
      </c>
      <c r="P21" s="37">
        <f>SUM(L21:O21)</f>
        <v/>
      </c>
      <c r="Q21" s="18" t="n">
        <v>284.7</v>
      </c>
      <c r="R21" s="18" t="n">
        <v>241.05</v>
      </c>
      <c r="S21" s="18" t="n">
        <v>216.24</v>
      </c>
      <c r="T21" s="18" t="n">
        <v>205.31</v>
      </c>
      <c r="U21" s="37">
        <f>SUM(Q21:T21)</f>
        <v/>
      </c>
      <c r="V21" s="18" t="n">
        <v>234.7</v>
      </c>
      <c r="W21" s="18" t="n">
        <v>204.66</v>
      </c>
      <c r="X21" s="18" t="n">
        <v>162.38</v>
      </c>
      <c r="Y21" s="18" t="n">
        <v>164.46</v>
      </c>
      <c r="Z21" s="37">
        <f>SUM(V21:Y21)</f>
        <v/>
      </c>
      <c r="AA21" s="18" t="n">
        <v>266.04</v>
      </c>
      <c r="AB21" s="19" t="n">
        <v>332.6</v>
      </c>
      <c r="AC21" s="20">
        <f>IFERROR(AC9+AC20,"")</f>
        <v/>
      </c>
      <c r="AD21" s="20">
        <f>IFERROR(AD9+AD20,"")</f>
        <v/>
      </c>
      <c r="AE21" s="38">
        <f>SUM(AA21:AD21)</f>
        <v/>
      </c>
      <c r="AF21" s="20">
        <f>IFERROR(AF9+AF20,"")</f>
        <v/>
      </c>
      <c r="AG21" s="20">
        <f>IFERROR(AG9+AG20,"")</f>
        <v/>
      </c>
      <c r="AH21" s="20">
        <f>IFERROR(AH9+AH20,"")</f>
        <v/>
      </c>
      <c r="AI21" s="20">
        <f>IFERROR(AI9+AI20,"")</f>
        <v/>
      </c>
      <c r="AJ21" s="38">
        <f>SUM(AF21:AI21)</f>
        <v/>
      </c>
      <c r="AK21" s="20">
        <f>IFERROR(AK9+AK20,"")</f>
        <v/>
      </c>
      <c r="AL21" s="20">
        <f>IFERROR(AL9+AL20,"")</f>
        <v/>
      </c>
      <c r="AM21" s="20">
        <f>IFERROR(AM9+AM20,"")</f>
        <v/>
      </c>
      <c r="AN21" s="20">
        <f>IFERROR(AN9+AN20,"")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IFERROR(AB23*(1+변수!AC30),"")</f>
        <v/>
      </c>
      <c r="AD23" s="20">
        <f>IFERROR(AC23*(1+변수!AD30),"")</f>
        <v/>
      </c>
      <c r="AE23" s="38">
        <f>AD23</f>
        <v/>
      </c>
      <c r="AF23" s="20">
        <f>IFERROR(AD23*(1+변수!AF30),"")</f>
        <v/>
      </c>
      <c r="AG23" s="20">
        <f>IFERROR(AF23*(1+변수!AG30),"")</f>
        <v/>
      </c>
      <c r="AH23" s="20">
        <f>IFERROR(AG23*(1+변수!AH30),"")</f>
        <v/>
      </c>
      <c r="AI23" s="20">
        <f>IFERROR(AH23*(1+변수!AI30),"")</f>
        <v/>
      </c>
      <c r="AJ23" s="38">
        <f>AI23</f>
        <v/>
      </c>
      <c r="AK23" s="20">
        <f>IFERROR(AI23*(1+변수!AK30),"")</f>
        <v/>
      </c>
      <c r="AL23" s="20">
        <f>IFERROR(AK23*(1+변수!AL30),"")</f>
        <v/>
      </c>
      <c r="AM23" s="20">
        <f>IFERROR(AL23*(1+변수!AM30),"")</f>
        <v/>
      </c>
      <c r="AN23" s="20">
        <f>IFERROR(AM23*(1+변수!AN30),"")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IFERROR(AB24+AC17-변수!AC31,"")</f>
        <v/>
      </c>
      <c r="AD24" s="20">
        <f>IFERROR(AC24+AD17-변수!AD31,"")</f>
        <v/>
      </c>
      <c r="AE24" s="38">
        <f>AD24</f>
        <v/>
      </c>
      <c r="AF24" s="20">
        <f>IFERROR(AD24+AF17-변수!AF31,"")</f>
        <v/>
      </c>
      <c r="AG24" s="20">
        <f>IFERROR(AF24+AG17-변수!AG31,"")</f>
        <v/>
      </c>
      <c r="AH24" s="20">
        <f>IFERROR(AG24+AH17-변수!AH31,"")</f>
        <v/>
      </c>
      <c r="AI24" s="20">
        <f>IFERROR(AH24+AI17-변수!AI31,"")</f>
        <v/>
      </c>
      <c r="AJ24" s="38">
        <f>AI24</f>
        <v/>
      </c>
      <c r="AK24" s="20">
        <f>IFERROR(AI24+AK17-변수!AK31,"")</f>
        <v/>
      </c>
      <c r="AL24" s="20">
        <f>IFERROR(AK24+AL17-변수!AL31,"")</f>
        <v/>
      </c>
      <c r="AM24" s="20">
        <f>IFERROR(AL24+AM17-변수!AM31,"")</f>
        <v/>
      </c>
      <c r="AN24" s="20">
        <f>IFERROR(AM24+AN17-변수!AN31,"")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IFERROR(X30*(1+변수!AC37),"")</f>
        <v/>
      </c>
      <c r="AD30" s="20">
        <f>IFERROR(Y30*(1+변수!AD37),"")</f>
        <v/>
      </c>
      <c r="AE30" s="38">
        <f>SUM(AA30:AD30)</f>
        <v/>
      </c>
      <c r="AF30" s="20">
        <f>IFERROR(AA30*(1+변수!AF37),"")</f>
        <v/>
      </c>
      <c r="AG30" s="20">
        <f>IFERROR(AB30*(1+변수!AG37),"")</f>
        <v/>
      </c>
      <c r="AH30" s="20">
        <f>IFERROR(AC30*(1+변수!AH37),"")</f>
        <v/>
      </c>
      <c r="AI30" s="20">
        <f>IFERROR(AD30*(1+변수!AI37),"")</f>
        <v/>
      </c>
      <c r="AJ30" s="38">
        <f>SUM(AF30:AI30)</f>
        <v/>
      </c>
      <c r="AK30" s="20">
        <f>IFERROR(AF30*(1+변수!AK37),"")</f>
        <v/>
      </c>
      <c r="AL30" s="20">
        <f>IFERROR(AG30*(1+변수!AL37),"")</f>
        <v/>
      </c>
      <c r="AM30" s="20">
        <f>IFERROR(AH30*(1+변수!AM37),"")</f>
        <v/>
      </c>
      <c r="AN30" s="20">
        <f>IFERROR(AI30*(1+변수!AN37),"")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26.872</v>
      </c>
      <c r="F32" s="28">
        <f>E32</f>
        <v/>
      </c>
      <c r="G32" s="27" t="n">
        <v>26.872</v>
      </c>
      <c r="H32" s="27" t="n">
        <v>26.872</v>
      </c>
      <c r="I32" s="27" t="n">
        <v>26.872</v>
      </c>
      <c r="J32" s="27" t="n">
        <v>26.872</v>
      </c>
      <c r="K32" s="28">
        <f>J32</f>
        <v/>
      </c>
      <c r="L32" s="27" t="n">
        <v>26.872</v>
      </c>
      <c r="M32" s="27" t="n">
        <v>26.872</v>
      </c>
      <c r="N32" s="27" t="n">
        <v>26.872</v>
      </c>
      <c r="O32" s="27" t="n">
        <v>26.872</v>
      </c>
      <c r="P32" s="28">
        <f>O32</f>
        <v/>
      </c>
      <c r="Q32" s="27" t="n">
        <v>26.872</v>
      </c>
      <c r="R32" s="27" t="n">
        <v>26.872</v>
      </c>
      <c r="S32" s="27" t="n">
        <v>26.872</v>
      </c>
      <c r="T32" s="27" t="n">
        <v>26.872</v>
      </c>
      <c r="U32" s="28">
        <f>T32</f>
        <v/>
      </c>
      <c r="V32" s="27" t="n">
        <v>26.872</v>
      </c>
      <c r="W32" s="27" t="n">
        <v>26.872</v>
      </c>
      <c r="X32" s="27" t="n">
        <v>26.872</v>
      </c>
      <c r="Y32" s="27" t="n">
        <v>28.329</v>
      </c>
      <c r="Z32" s="28">
        <f>Y32</f>
        <v/>
      </c>
      <c r="AA32" s="27" t="n">
        <v>28.329</v>
      </c>
      <c r="AB32" s="29" t="n">
        <v>28.329</v>
      </c>
      <c r="AC32" s="32">
        <f>IFERROR(AB32*(1+변수!AC39),"")</f>
        <v/>
      </c>
      <c r="AD32" s="32">
        <f>IFERROR(AC32*(1+변수!AD39),"")</f>
        <v/>
      </c>
      <c r="AE32" s="31">
        <f>AD32</f>
        <v/>
      </c>
      <c r="AF32" s="32">
        <f>IFERROR(AD32*(1+변수!AF39),"")</f>
        <v/>
      </c>
      <c r="AG32" s="32">
        <f>IFERROR(AF32*(1+변수!AG39),"")</f>
        <v/>
      </c>
      <c r="AH32" s="32">
        <f>IFERROR(AG32*(1+변수!AH39),"")</f>
        <v/>
      </c>
      <c r="AI32" s="32">
        <f>IFERROR(AH32*(1+변수!AI39),"")</f>
        <v/>
      </c>
      <c r="AJ32" s="31">
        <f>AI32</f>
        <v/>
      </c>
      <c r="AK32" s="32">
        <f>IFERROR(AI32*(1+변수!AK39),"")</f>
        <v/>
      </c>
      <c r="AL32" s="32">
        <f>IFERROR(AK32*(1+변수!AL39),"")</f>
        <v/>
      </c>
      <c r="AM32" s="32">
        <f>IFERROR(AL32*(1+변수!AM39),"")</f>
        <v/>
      </c>
      <c r="AN32" s="32">
        <f>IFERROR(AM32*(1+변수!AN39),"")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IFERROR(E18*100/E32,"")</f>
        <v/>
      </c>
      <c r="F33" s="37" t="n"/>
      <c r="G33" s="18">
        <f>IFERROR(G18*100/G32,"")</f>
        <v/>
      </c>
      <c r="H33" s="18">
        <f>IFERROR(H18*100/H32,"")</f>
        <v/>
      </c>
      <c r="I33" s="18">
        <f>IFERROR(I18*100/I32,"")</f>
        <v/>
      </c>
      <c r="J33" s="18">
        <f>IFERROR(J18*100/J32,"")</f>
        <v/>
      </c>
      <c r="K33" s="37">
        <f>SUM(G33:J33)</f>
        <v/>
      </c>
      <c r="L33" s="18">
        <f>IFERROR(L18*100/L32,"")</f>
        <v/>
      </c>
      <c r="M33" s="18">
        <f>IFERROR(M18*100/M32,"")</f>
        <v/>
      </c>
      <c r="N33" s="18">
        <f>IFERROR(N18*100/N32,"")</f>
        <v/>
      </c>
      <c r="O33" s="18">
        <f>IFERROR(O18*100/O32,"")</f>
        <v/>
      </c>
      <c r="P33" s="37">
        <f>SUM(L33:O33)</f>
        <v/>
      </c>
      <c r="Q33" s="18">
        <f>IFERROR(Q18*100/Q32,"")</f>
        <v/>
      </c>
      <c r="R33" s="18">
        <f>IFERROR(R18*100/R32,"")</f>
        <v/>
      </c>
      <c r="S33" s="18">
        <f>IFERROR(S18*100/S32,"")</f>
        <v/>
      </c>
      <c r="T33" s="18">
        <f>IFERROR(T18*100/T32,"")</f>
        <v/>
      </c>
      <c r="U33" s="37">
        <f>SUM(Q33:T33)</f>
        <v/>
      </c>
      <c r="V33" s="18">
        <f>IFERROR(V18*100/V32,"")</f>
        <v/>
      </c>
      <c r="W33" s="18">
        <f>IFERROR(W18*100/W32,"")</f>
        <v/>
      </c>
      <c r="X33" s="18">
        <f>IFERROR(X18*100/X32,"")</f>
        <v/>
      </c>
      <c r="Y33" s="18">
        <f>IFERROR(Y18*100/Y32,"")</f>
        <v/>
      </c>
      <c r="Z33" s="37">
        <f>SUM(V33:Y33)</f>
        <v/>
      </c>
      <c r="AA33" s="18">
        <f>IFERROR(AA18*100/AA32,"")</f>
        <v/>
      </c>
      <c r="AB33" s="19">
        <f>IFERROR(AB18*100/AB32,"")</f>
        <v/>
      </c>
      <c r="AC33" s="20">
        <f>IFERROR(AC18*100/AC32,"")</f>
        <v/>
      </c>
      <c r="AD33" s="20">
        <f>IFERROR(AD18*100/AD32,"")</f>
        <v/>
      </c>
      <c r="AE33" s="38">
        <f>SUM(AA33:AD33)</f>
        <v/>
      </c>
      <c r="AF33" s="20">
        <f>IFERROR(AF18*100/AF32,"")</f>
        <v/>
      </c>
      <c r="AG33" s="20">
        <f>IFERROR(AG18*100/AG32,"")</f>
        <v/>
      </c>
      <c r="AH33" s="20">
        <f>IFERROR(AH18*100/AH32,"")</f>
        <v/>
      </c>
      <c r="AI33" s="20">
        <f>IFERROR(AI18*100/AI32,"")</f>
        <v/>
      </c>
      <c r="AJ33" s="38">
        <f>SUM(AF33:AI33)</f>
        <v/>
      </c>
      <c r="AK33" s="20">
        <f>IFERROR(AK18*100/AK32,"")</f>
        <v/>
      </c>
      <c r="AL33" s="20">
        <f>IFERROR(AL18*100/AL32,"")</f>
        <v/>
      </c>
      <c r="AM33" s="20">
        <f>IFERROR(AM18*100/AM32,"")</f>
        <v/>
      </c>
      <c r="AN33" s="20">
        <f>IFERROR(AN18*100/AN32,"")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198.7</v>
      </c>
      <c r="F34" s="37" t="n"/>
      <c r="G34" s="18" t="n">
        <v>344.4</v>
      </c>
      <c r="H34" s="18" t="n">
        <v>215.2</v>
      </c>
      <c r="I34" s="18" t="n">
        <v>1435</v>
      </c>
      <c r="J34" s="18" t="n">
        <v>-99.90000000000001</v>
      </c>
      <c r="K34" s="37">
        <f>SUM(G34:J34)</f>
        <v/>
      </c>
      <c r="L34" s="18" t="n">
        <v>285.3</v>
      </c>
      <c r="M34" s="18" t="n">
        <v>430.4</v>
      </c>
      <c r="N34" s="18" t="n">
        <v>519.4</v>
      </c>
      <c r="O34" s="18" t="n">
        <v>193.3</v>
      </c>
      <c r="P34" s="37">
        <f>SUM(L34:O34)</f>
        <v/>
      </c>
      <c r="Q34" s="18" t="n">
        <v>233.6</v>
      </c>
      <c r="R34" s="18" t="n">
        <v>98.8</v>
      </c>
      <c r="S34" s="18" t="n">
        <v>-25.9</v>
      </c>
      <c r="T34" s="18" t="n">
        <v>-101.1</v>
      </c>
      <c r="U34" s="37">
        <f>SUM(Q34:T34)</f>
        <v/>
      </c>
      <c r="V34" s="18" t="n">
        <v>11.1</v>
      </c>
      <c r="W34" s="18" t="n">
        <v>-228.1</v>
      </c>
      <c r="X34" s="18" t="n">
        <v>-292.5</v>
      </c>
      <c r="Y34" s="20" t="n">
        <v>-338.5</v>
      </c>
      <c r="Z34" s="37">
        <f>SUM(V34:Y34)</f>
        <v/>
      </c>
      <c r="AA34" s="18" t="n">
        <v>503.3</v>
      </c>
      <c r="AB34" s="19" t="n">
        <v>256.6</v>
      </c>
      <c r="AC34" s="20">
        <f>IFERROR(X34*(1+변수!AC40),"")</f>
        <v/>
      </c>
      <c r="AD34" s="20">
        <f>IFERROR(Y34*(1+변수!AD40),"")</f>
        <v/>
      </c>
      <c r="AE34" s="38">
        <f>SUM(AA34:AD34)</f>
        <v/>
      </c>
      <c r="AF34" s="20">
        <f>IFERROR(AA34*(1+변수!AF40),"")</f>
        <v/>
      </c>
      <c r="AG34" s="20">
        <f>IFERROR(AB34*(1+변수!AG40),"")</f>
        <v/>
      </c>
      <c r="AH34" s="20">
        <f>IFERROR(AC34*(1+변수!AH40),"")</f>
        <v/>
      </c>
      <c r="AI34" s="20">
        <f>IFERROR(AD34*(1+변수!AI40),"")</f>
        <v/>
      </c>
      <c r="AJ34" s="38">
        <f>SUM(AF34:AI34)</f>
        <v/>
      </c>
      <c r="AK34" s="20">
        <f>IFERROR(AF34*(1+변수!AK40),"")</f>
        <v/>
      </c>
      <c r="AL34" s="20">
        <f>IFERROR(AG34*(1+변수!AL40),"")</f>
        <v/>
      </c>
      <c r="AM34" s="20">
        <f>IFERROR(AH34*(1+변수!AM40),"")</f>
        <v/>
      </c>
      <c r="AN34" s="20">
        <f>IFERROR(AI34*(1+변수!AN40),"")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100</v>
      </c>
      <c r="F36" s="37" t="n">
        <v>100</v>
      </c>
      <c r="G36" s="18" t="n"/>
      <c r="H36" s="18" t="n"/>
      <c r="I36" s="18" t="n"/>
      <c r="J36" s="18" t="n">
        <v>120</v>
      </c>
      <c r="K36" s="37">
        <f>SUM(G36:J36)</f>
        <v/>
      </c>
      <c r="L36" s="18" t="n"/>
      <c r="M36" s="18" t="n"/>
      <c r="N36" s="18" t="n"/>
      <c r="O36" s="18" t="n">
        <v>120</v>
      </c>
      <c r="P36" s="37">
        <f>SUM(L36:O36)</f>
        <v/>
      </c>
      <c r="Q36" s="18" t="n"/>
      <c r="R36" s="18" t="n"/>
      <c r="S36" s="18" t="n"/>
      <c r="T36" s="18" t="n">
        <v>120</v>
      </c>
      <c r="U36" s="37">
        <f>SUM(Q36:T36)</f>
        <v/>
      </c>
      <c r="V36" s="18" t="n"/>
      <c r="W36" s="18" t="n"/>
      <c r="X36" s="18" t="n"/>
      <c r="Y36" s="18" t="n">
        <v>120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 t="n"/>
      <c r="AC37" s="39" t="n"/>
      <c r="AD37" s="39">
        <f>IFERROR(변수!$D$44/(AA33+AB33+AC33+AD33),"")</f>
        <v/>
      </c>
      <c r="AE37" s="40">
        <f>AD37</f>
        <v/>
      </c>
      <c r="AF37" s="39">
        <f>IFERROR(변수!$D$44/(AB33+AC33+AD33+AF33),"")</f>
        <v/>
      </c>
      <c r="AG37" s="39">
        <f>IFERROR(변수!$D$44/(AC33+AD33+AF33+AG33),"")</f>
        <v/>
      </c>
      <c r="AH37" s="39">
        <f>IFERROR(변수!$D$44/(AD33+AF33+AG33+AH33),"")</f>
        <v/>
      </c>
      <c r="AI37" s="39">
        <f>IFERROR(변수!$D$44/(AF33+AG33+AH33+AI33),"")</f>
        <v/>
      </c>
      <c r="AJ37" s="40">
        <f>AI37</f>
        <v/>
      </c>
      <c r="AK37" s="39">
        <f>IFERROR(변수!$D$44/(AG33+AH33+AI33+AK33),"")</f>
        <v/>
      </c>
      <c r="AL37" s="39">
        <f>IFERROR(변수!$D$44/(AH33+AI33+AK33+AL33),"")</f>
        <v/>
      </c>
      <c r="AM37" s="39">
        <f>IFERROR(변수!$D$44/(AI33+AK33+AL33+AM33),"")</f>
        <v/>
      </c>
      <c r="AN37" s="39">
        <f>IFERROR(변수!$D$44/(AK33+AL33+AM33+AN33),"")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1451.13</v>
      </c>
      <c r="F39" s="37" t="n"/>
      <c r="G39" s="18" t="n">
        <v>1735.05</v>
      </c>
      <c r="H39" s="18" t="n">
        <v>1697.44</v>
      </c>
      <c r="I39" s="18" t="n">
        <v>1776.49</v>
      </c>
      <c r="J39" s="18" t="n">
        <v>2080.35</v>
      </c>
      <c r="K39" s="37">
        <f>SUM(G39:J39)</f>
        <v/>
      </c>
      <c r="L39" s="18" t="n">
        <v>2105.98</v>
      </c>
      <c r="M39" s="18" t="n">
        <v>2143.09</v>
      </c>
      <c r="N39" s="18" t="n">
        <v>2110.36</v>
      </c>
      <c r="O39" s="18" t="n">
        <v>2209.49</v>
      </c>
      <c r="P39" s="37">
        <f>SUM(L39:O39)</f>
        <v/>
      </c>
      <c r="Q39" s="18" t="n">
        <v>2092.93</v>
      </c>
      <c r="R39" s="18" t="n">
        <v>1894.75</v>
      </c>
      <c r="S39" s="18" t="n">
        <v>1937.09</v>
      </c>
      <c r="T39" s="18" t="n">
        <v>2088.75</v>
      </c>
      <c r="U39" s="37">
        <f>SUM(Q39:T39)</f>
        <v/>
      </c>
      <c r="V39" s="18" t="n">
        <v>1978.71</v>
      </c>
      <c r="W39" s="18" t="n">
        <v>2118.21</v>
      </c>
      <c r="X39" s="18" t="n">
        <v>2052.74</v>
      </c>
      <c r="Y39" s="18" t="n">
        <v>1871.9</v>
      </c>
      <c r="Z39" s="37">
        <f>SUM(V39:Y39)</f>
        <v/>
      </c>
      <c r="AA39" s="18" t="n">
        <v>1966.68</v>
      </c>
      <c r="AB39" s="19" t="n">
        <v>2290.92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36.28</v>
      </c>
      <c r="F40" s="37" t="n"/>
      <c r="G40" s="18" t="n">
        <v>120.21</v>
      </c>
      <c r="H40" s="18" t="n">
        <v>98.58</v>
      </c>
      <c r="I40" s="18" t="n">
        <v>64.51000000000001</v>
      </c>
      <c r="J40" s="18" t="n">
        <v>56.09</v>
      </c>
      <c r="K40" s="37">
        <f>SUM(G40:J40)</f>
        <v/>
      </c>
      <c r="L40" s="18" t="n">
        <v>157.51</v>
      </c>
      <c r="M40" s="18" t="n">
        <v>182.62</v>
      </c>
      <c r="N40" s="18" t="n">
        <v>189.36</v>
      </c>
      <c r="O40" s="18" t="n">
        <v>136.32</v>
      </c>
      <c r="P40" s="37">
        <f>SUM(L40:O40)</f>
        <v/>
      </c>
      <c r="Q40" s="18" t="n">
        <v>136.42</v>
      </c>
      <c r="R40" s="18" t="n">
        <v>86.73</v>
      </c>
      <c r="S40" s="18" t="n">
        <v>57.65</v>
      </c>
      <c r="T40" s="18" t="n">
        <v>49.68</v>
      </c>
      <c r="U40" s="37">
        <f>SUM(Q40:T40)</f>
        <v/>
      </c>
      <c r="V40" s="18" t="n">
        <v>70.62</v>
      </c>
      <c r="W40" s="18" t="n">
        <v>40.39</v>
      </c>
      <c r="X40" s="18" t="n">
        <v>-0.39</v>
      </c>
      <c r="Y40" s="18" t="n">
        <v>-5.64</v>
      </c>
      <c r="Z40" s="37">
        <f>SUM(V40:Y40)</f>
        <v/>
      </c>
      <c r="AA40" s="18" t="n">
        <v>132.39</v>
      </c>
      <c r="AB40" s="19" t="n">
        <v>179.9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3">
        <f>IFERROR(AC18/AC5,"")</f>
        <v/>
      </c>
      <c r="AD42" s="33">
        <f>IFERROR(AD18/AD5,"")</f>
        <v/>
      </c>
      <c r="AE42" s="25">
        <f>IFERROR(AE18/AE5,"")</f>
        <v/>
      </c>
      <c r="AF42" s="33">
        <f>IFERROR(AF18/AF5,"")</f>
        <v/>
      </c>
      <c r="AG42" s="33">
        <f>IFERROR(AG18/AG5,"")</f>
        <v/>
      </c>
      <c r="AH42" s="33">
        <f>IFERROR(AH18/AH5,"")</f>
        <v/>
      </c>
      <c r="AI42" s="33">
        <f>IFERROR(AI18/AI5,"")</f>
        <v/>
      </c>
      <c r="AJ42" s="25">
        <f>IFERROR(AJ18/AJ5,"")</f>
        <v/>
      </c>
      <c r="AK42" s="33">
        <f>IFERROR(AK18/AK5,"")</f>
        <v/>
      </c>
      <c r="AL42" s="33">
        <f>IFERROR(AL18/AL5,"")</f>
        <v/>
      </c>
      <c r="AM42" s="33">
        <f>IFERROR(AM18/AM5,"")</f>
        <v/>
      </c>
      <c r="AN42" s="33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6">
        <f>IFERROR(W18/S18-1,"")</f>
        <v/>
      </c>
      <c r="X44" s="33">
        <f>IFERROR(X18/T18-1,"")</f>
        <v/>
      </c>
      <c r="Y44" s="33">
        <f>IFERROR(Y18/U18-1,"")</f>
        <v/>
      </c>
      <c r="Z44" s="33">
        <f>IFERROR(Z18/V18-1,"")</f>
        <v/>
      </c>
      <c r="AA44" s="33">
        <f>IFERROR(AA18/W18-1,"")</f>
        <v/>
      </c>
      <c r="AB44" s="33">
        <f>IFERROR(AB18/X18-1,"")</f>
        <v/>
      </c>
      <c r="AC44" s="33">
        <f>IFERROR(AC18/Y18-1,"")</f>
        <v/>
      </c>
      <c r="AD44" s="33">
        <f>IFERROR(AD18/Z18-1,"")</f>
        <v/>
      </c>
      <c r="AE44" s="33">
        <f>IFERROR(AE18/AA18-1,"")</f>
        <v/>
      </c>
      <c r="AF44" s="33">
        <f>IFERROR(AF18/AB18-1,"")</f>
        <v/>
      </c>
      <c r="AG44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6">
        <f>IFERROR(I18/H18-1,"")</f>
        <v/>
      </c>
      <c r="J44" s="33">
        <f>IFERROR(J18/I18-1,"")</f>
        <v/>
      </c>
      <c r="K44" s="33">
        <f>IFERROR(K18/J18-1,"")</f>
        <v/>
      </c>
      <c r="L44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163.3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28.17</v>
      </c>
    </row>
    <row r="32">
      <c r="C32" s="2" t="inlineStr">
        <is>
          <t>pbr_now</t>
        </is>
      </c>
      <c r="D32" t="n">
        <v>0.35</v>
      </c>
    </row>
    <row r="33">
      <c r="C33" s="2" t="inlineStr">
        <is>
          <t>roe_fwd</t>
        </is>
      </c>
      <c r="D33" t="n">
        <v>0.0123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  <c r="D36" t="n">
        <v>6.88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