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174137억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182822억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190578억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191215억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198979억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210333억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223494억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232792억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238047억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174137억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182822억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190578억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191215억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198979억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210333억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223494억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232792억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238047억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2690억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3014억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3409억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3736억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3957억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4357억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2251억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2530억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2690억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3014억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3409억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3736억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3957억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4357억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1.97%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20300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21100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19960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20450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0.441238252</v>
      </c>
      <c r="AE21" s="25" t="n"/>
      <c r="AF21" s="24" t="n">
        <v>0.289033212</v>
      </c>
      <c r="AG21" s="24" t="n">
        <v>0.300493233</v>
      </c>
      <c r="AH21" s="24" t="n">
        <v>0.183639794</v>
      </c>
      <c r="AI21" s="24" t="n">
        <v>0.142661332</v>
      </c>
      <c r="AJ21" s="25" t="n"/>
      <c r="AK21" s="24" t="n">
        <v>0.150477028</v>
      </c>
      <c r="AL21" s="24" t="n">
        <v>0.172717536</v>
      </c>
      <c r="AM21" s="24" t="n">
        <v>0.217430654</v>
      </c>
      <c r="AN21" s="24" t="n">
        <v>0.196338493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0.137675412</v>
      </c>
      <c r="AE23" s="25">
        <f>IFERROR(subQ!AE9/subQ!AE5,"")</f>
        <v/>
      </c>
      <c r="AF23" s="24" t="n">
        <v>0.137673277</v>
      </c>
      <c r="AG23" s="24" t="n">
        <v>0.13767294</v>
      </c>
      <c r="AH23" s="24" t="n">
        <v>0.137673267</v>
      </c>
      <c r="AI23" s="24" t="n">
        <v>0.137673188</v>
      </c>
      <c r="AJ23" s="25">
        <f>IFERROR(subQ!AJ9/subQ!AJ5,"")</f>
        <v/>
      </c>
      <c r="AK23" s="24" t="n">
        <v>0.137674608</v>
      </c>
      <c r="AL23" s="24" t="n">
        <v>0.137675185</v>
      </c>
      <c r="AM23" s="24" t="n">
        <v>0.137674601</v>
      </c>
      <c r="AN23" s="24" t="n">
        <v>0.137674211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-0.00418272</v>
      </c>
      <c r="AD33" s="30" t="n">
        <v>0.011926408</v>
      </c>
      <c r="AE33" s="31" t="n"/>
      <c r="AF33" s="30" t="n">
        <v>-0.005410356</v>
      </c>
      <c r="AG33" s="30" t="n">
        <v>165.361805755</v>
      </c>
      <c r="AH33" s="30" t="n">
        <v>-0.002739145</v>
      </c>
      <c r="AI33" s="30" t="n">
        <v>-0.006266539</v>
      </c>
      <c r="AJ33" s="31" t="n"/>
      <c r="AK33" s="30" t="n">
        <v>0.001329415</v>
      </c>
      <c r="AL33" s="30" t="n">
        <v>165.369906666</v>
      </c>
      <c r="AM33" s="30" t="n">
        <v>0.007125974</v>
      </c>
      <c r="AN33" s="30" t="n">
        <v>0.00010998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-0.00418272</v>
      </c>
      <c r="AD34" s="30" t="n">
        <v>0.011926408</v>
      </c>
      <c r="AE34" s="31" t="n"/>
      <c r="AF34" s="30" t="n">
        <v>-0.005410356</v>
      </c>
      <c r="AG34" s="30" t="n">
        <v>165.361805755</v>
      </c>
      <c r="AH34" s="30" t="n">
        <v>-0.002739145</v>
      </c>
      <c r="AI34" s="30" t="n">
        <v>-0.006266539</v>
      </c>
      <c r="AJ34" s="31" t="n"/>
      <c r="AK34" s="30" t="n">
        <v>0.001329415</v>
      </c>
      <c r="AL34" s="30" t="n">
        <v>165.369906666</v>
      </c>
      <c r="AM34" s="30" t="n">
        <v>0.007125974</v>
      </c>
      <c r="AN34" s="30" t="n">
        <v>0.00010998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1.343368752</v>
      </c>
      <c r="AE36" s="25" t="n"/>
      <c r="AF36" s="24" t="n">
        <v>0.468553195</v>
      </c>
      <c r="AG36" s="24" t="n">
        <v>0.182903539</v>
      </c>
      <c r="AH36" s="24" t="n">
        <v>0.313440772</v>
      </c>
      <c r="AI36" s="24" t="n">
        <v>0.290826654</v>
      </c>
      <c r="AJ36" s="25" t="n"/>
      <c r="AK36" s="24" t="n">
        <v>0.185952228</v>
      </c>
      <c r="AL36" s="24" t="n">
        <v>0.106436072</v>
      </c>
      <c r="AM36" s="24" t="n">
        <v>0.173938928</v>
      </c>
      <c r="AN36" s="24" t="n">
        <v>0.177014081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0.178737865</v>
      </c>
      <c r="AE37" s="25" t="n"/>
      <c r="AF37" s="24" t="n">
        <v>0.123937756</v>
      </c>
      <c r="AG37" s="24" t="n">
        <v>0.063214143</v>
      </c>
      <c r="AH37" s="24" t="n">
        <v>0.120528462</v>
      </c>
      <c r="AI37" s="24" t="n">
        <v>0.131078526</v>
      </c>
      <c r="AJ37" s="25" t="n"/>
      <c r="AK37" s="24" t="n">
        <v>0.09564998</v>
      </c>
      <c r="AL37" s="24" t="n">
        <v>0.059260826</v>
      </c>
      <c r="AM37" s="24" t="n">
        <v>0.101157727</v>
      </c>
      <c r="AN37" s="24" t="n">
        <v>0.109750388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20300</v>
      </c>
      <c r="E45" s="2" t="inlineStr">
        <is>
          <t>원 — 네이버 정규장 종가(aik 확정종가 대조 · aik 20,550원)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20261007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0.243558221661539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0.09507494169703327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0.01974420991350887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0.05186684366067711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2351.4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8.630000000000001</v>
      </c>
    </row>
    <row r="32">
      <c r="C32" s="2" t="inlineStr">
        <is>
          <t>pbr_now</t>
        </is>
      </c>
      <c r="D32" t="n">
        <v>1.56</v>
      </c>
    </row>
    <row r="33">
      <c r="C33" s="2" t="inlineStr">
        <is>
          <t>roe_fwd</t>
        </is>
      </c>
      <c r="D33" t="n">
        <v>0.1804</v>
      </c>
    </row>
    <row r="34">
      <c r="C34" s="2" t="inlineStr">
        <is>
          <t>fair_pbr</t>
        </is>
      </c>
      <c r="D34" t="n">
        <v>2</v>
      </c>
    </row>
    <row r="35">
      <c r="C35" s="2" t="inlineStr">
        <is>
          <t>fair_value_pbr</t>
        </is>
      </c>
      <c r="D35" t="n">
        <v>26100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