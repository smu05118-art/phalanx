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174446억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183702억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191531억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191504억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197357억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205448억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214653억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219520억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220100억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174446억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183702억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191531억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191504억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197357억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205448억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214653억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219520억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220100억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2694억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3018억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3729억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3935억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4312억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2252억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2532억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2694억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3018억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3410억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3729억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3935억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4312억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20600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19960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20466.7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0.44380033</v>
      </c>
      <c r="AE21" s="25" t="n"/>
      <c r="AF21" s="24" t="n">
        <v>0.295231826</v>
      </c>
      <c r="AG21" s="24" t="n">
        <v>0.306997528</v>
      </c>
      <c r="AH21" s="24" t="n">
        <v>0.185428945</v>
      </c>
      <c r="AI21" s="24" t="n">
        <v>0.131333742</v>
      </c>
      <c r="AJ21" s="25" t="n"/>
      <c r="AK21" s="24" t="n">
        <v>0.118374533</v>
      </c>
      <c r="AL21" s="24" t="n">
        <v>0.120722176</v>
      </c>
      <c r="AM21" s="24" t="n">
        <v>0.146292897</v>
      </c>
      <c r="AN21" s="24" t="n">
        <v>0.115239888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0.137673085</v>
      </c>
      <c r="AE23" s="25">
        <f>IFERROR(subQ!AE9/subQ!AE5,"")</f>
        <v/>
      </c>
      <c r="AF23" s="24" t="n">
        <v>0.137674134</v>
      </c>
      <c r="AG23" s="24" t="n">
        <v>0.137673141</v>
      </c>
      <c r="AH23" s="24" t="n">
        <v>0.137674749</v>
      </c>
      <c r="AI23" s="24" t="n">
        <v>0.137674711</v>
      </c>
      <c r="AJ23" s="25">
        <f>IFERROR(subQ!AJ9/subQ!AJ5,"")</f>
        <v/>
      </c>
      <c r="AK23" s="24" t="n">
        <v>0.137673342</v>
      </c>
      <c r="AL23" s="24" t="n">
        <v>0.13767374</v>
      </c>
      <c r="AM23" s="24" t="n">
        <v>0.137674645</v>
      </c>
      <c r="AN23" s="24" t="n">
        <v>0.13767409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-0.005057866</v>
      </c>
      <c r="AD33" s="30" t="n">
        <v>0.003819853</v>
      </c>
      <c r="AE33" s="31" t="n"/>
      <c r="AF33" s="30" t="n">
        <v>-0.004414639</v>
      </c>
      <c r="AG33" s="30" t="n">
        <v>165.357905232</v>
      </c>
      <c r="AH33" s="30" t="n">
        <v>0.009841020000000001</v>
      </c>
      <c r="AI33" s="30" t="n">
        <v>0.001493607</v>
      </c>
      <c r="AJ33" s="31" t="n"/>
      <c r="AK33" s="30" t="n">
        <v>-0.007201636</v>
      </c>
      <c r="AL33" s="30" t="n">
        <v>165.370142886</v>
      </c>
      <c r="AM33" s="30" t="n">
        <v>-0.005793661</v>
      </c>
      <c r="AN33" s="30" t="n">
        <v>0.010436333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-0.005057866</v>
      </c>
      <c r="AD34" s="30" t="n">
        <v>0.003819853</v>
      </c>
      <c r="AE34" s="31" t="n"/>
      <c r="AF34" s="30" t="n">
        <v>-0.004414639</v>
      </c>
      <c r="AG34" s="30" t="n">
        <v>165.357905232</v>
      </c>
      <c r="AH34" s="30" t="n">
        <v>0.009841020000000001</v>
      </c>
      <c r="AI34" s="30" t="n">
        <v>0.001493607</v>
      </c>
      <c r="AJ34" s="31" t="n"/>
      <c r="AK34" s="30" t="n">
        <v>-0.007201636</v>
      </c>
      <c r="AL34" s="30" t="n">
        <v>165.370142886</v>
      </c>
      <c r="AM34" s="30" t="n">
        <v>-0.005793661</v>
      </c>
      <c r="AN34" s="30" t="n">
        <v>0.010436333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1.345808737</v>
      </c>
      <c r="AE36" s="25" t="n"/>
      <c r="AF36" s="24" t="n">
        <v>0.470347442</v>
      </c>
      <c r="AG36" s="24" t="n">
        <v>0.184384378</v>
      </c>
      <c r="AH36" s="24" t="n">
        <v>0.312842596</v>
      </c>
      <c r="AI36" s="24" t="n">
        <v>0.287568702</v>
      </c>
      <c r="AJ36" s="25" t="n"/>
      <c r="AK36" s="24" t="n">
        <v>0.181522346</v>
      </c>
      <c r="AL36" s="24" t="n">
        <v>0.099393682</v>
      </c>
      <c r="AM36" s="24" t="n">
        <v>0.165591011</v>
      </c>
      <c r="AN36" s="24" t="n">
        <v>0.166438936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0.17906251</v>
      </c>
      <c r="AE37" s="25" t="n"/>
      <c r="AF37" s="24" t="n">
        <v>0.124512046</v>
      </c>
      <c r="AG37" s="24" t="n">
        <v>0.06381609100000001</v>
      </c>
      <c r="AH37" s="24" t="n">
        <v>0.120554922</v>
      </c>
      <c r="AI37" s="24" t="n">
        <v>0.129831536</v>
      </c>
      <c r="AJ37" s="25" t="n"/>
      <c r="AK37" s="24" t="n">
        <v>0.093398312</v>
      </c>
      <c r="AL37" s="24" t="n">
        <v>0.055258175</v>
      </c>
      <c r="AM37" s="24" t="n">
        <v>0.09591579</v>
      </c>
      <c r="AN37" s="24" t="n">
        <v>0.102536216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20600</v>
      </c>
      <c r="E45" s="2" t="inlineStr">
        <is>
          <t>원 — 네이버 정규장 종가(aik 확정종가 대조 · aik 20,300원)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0.2435596212626919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0.09507512370670267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0.01974780352582841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0.05187242352741324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2358.3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8.74</v>
      </c>
    </row>
    <row r="32">
      <c r="C32" s="2" t="inlineStr">
        <is>
          <t>pbr_now</t>
        </is>
      </c>
      <c r="D32" t="n">
        <v>1.58</v>
      </c>
    </row>
    <row r="33">
      <c r="C33" s="2" t="inlineStr">
        <is>
          <t>roe_fwd</t>
        </is>
      </c>
      <c r="D33" t="n">
        <v>0.181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26200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