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185284억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193756억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194390억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200784억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209642억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220993억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229163억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233969억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185284억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193756억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194390억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200784억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209642억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220993억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229163억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233969억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3972억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4366억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18590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18550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19941.7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0.306387443</v>
      </c>
      <c r="AG21" s="24" t="n">
        <v>0.322179694</v>
      </c>
      <c r="AH21" s="24" t="n">
        <v>0.203290384</v>
      </c>
      <c r="AI21" s="24" t="n">
        <v>0.147462473</v>
      </c>
      <c r="AJ21" s="25" t="n"/>
      <c r="AK21" s="24" t="n">
        <v>0.131464544</v>
      </c>
      <c r="AL21" s="24" t="n">
        <v>0.140576589</v>
      </c>
      <c r="AM21" s="24" t="n">
        <v>0.178885026</v>
      </c>
      <c r="AN21" s="24" t="n">
        <v>0.165278037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0.137672963</v>
      </c>
      <c r="AG23" s="24" t="n">
        <v>0.137674066</v>
      </c>
      <c r="AH23" s="24" t="n">
        <v>0.137674029</v>
      </c>
      <c r="AI23" s="24" t="n">
        <v>0.137674163</v>
      </c>
      <c r="AJ23" s="25">
        <f>IFERROR(subQ!AJ9/subQ!AJ5,"")</f>
        <v/>
      </c>
      <c r="AK23" s="24" t="n">
        <v>0.137674864</v>
      </c>
      <c r="AL23" s="24" t="n">
        <v>0.137674545</v>
      </c>
      <c r="AM23" s="24" t="n">
        <v>0.137673556</v>
      </c>
      <c r="AN23" s="24" t="n">
        <v>0.137674881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-0.004330132</v>
      </c>
      <c r="AD33" s="30" t="n">
        <v>0.001043259</v>
      </c>
      <c r="AE33" s="31" t="n"/>
      <c r="AF33" s="30" t="n">
        <v>-0.001711291</v>
      </c>
      <c r="AG33" s="30" t="n">
        <v>165.36150829</v>
      </c>
      <c r="AH33" s="30" t="n">
        <v>0.004605395</v>
      </c>
      <c r="AI33" s="30" t="n">
        <v>-0.006652731</v>
      </c>
      <c r="AJ33" s="31" t="n"/>
      <c r="AK33" s="30" t="n">
        <v>0.002243721</v>
      </c>
      <c r="AL33" s="30" t="n">
        <v>165.364349152</v>
      </c>
      <c r="AM33" s="30" t="n">
        <v>0.007007229</v>
      </c>
      <c r="AN33" s="30" t="n">
        <v>-0.004456199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-0.004330132</v>
      </c>
      <c r="AD34" s="30" t="n">
        <v>0.001043259</v>
      </c>
      <c r="AE34" s="31" t="n"/>
      <c r="AF34" s="30" t="n">
        <v>-0.001711291</v>
      </c>
      <c r="AG34" s="30" t="n">
        <v>165.36150829</v>
      </c>
      <c r="AH34" s="30" t="n">
        <v>0.004605395</v>
      </c>
      <c r="AI34" s="30" t="n">
        <v>-0.006652731</v>
      </c>
      <c r="AJ34" s="31" t="n"/>
      <c r="AK34" s="30" t="n">
        <v>0.002243721</v>
      </c>
      <c r="AL34" s="30" t="n">
        <v>165.364349152</v>
      </c>
      <c r="AM34" s="30" t="n">
        <v>0.007007229</v>
      </c>
      <c r="AN34" s="30" t="n">
        <v>-0.004456199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0.473641022</v>
      </c>
      <c r="AG36" s="24" t="n">
        <v>0.188017773</v>
      </c>
      <c r="AH36" s="24" t="n">
        <v>0.31539477</v>
      </c>
      <c r="AI36" s="24" t="n">
        <v>0.289992292</v>
      </c>
      <c r="AJ36" s="25" t="n"/>
      <c r="AK36" s="24" t="n">
        <v>0.183272075</v>
      </c>
      <c r="AL36" s="24" t="n">
        <v>0.103438255</v>
      </c>
      <c r="AM36" s="24" t="n">
        <v>0.170153056</v>
      </c>
      <c r="AN36" s="24" t="n">
        <v>0.173445254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0.125544873</v>
      </c>
      <c r="AG37" s="24" t="n">
        <v>0.065253485</v>
      </c>
      <c r="AH37" s="24" t="n">
        <v>0.122064633</v>
      </c>
      <c r="AI37" s="24" t="n">
        <v>0.131574953</v>
      </c>
      <c r="AJ37" s="25" t="n"/>
      <c r="AK37" s="24" t="n">
        <v>0.09479531099999999</v>
      </c>
      <c r="AL37" s="24" t="n">
        <v>0.057826037</v>
      </c>
      <c r="AM37" s="24" t="n">
        <v>0.099223783</v>
      </c>
      <c r="AN37" s="24" t="n">
        <v>0.107670073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18590</v>
      </c>
      <c r="E45" s="2" t="inlineStr">
        <is>
          <t>원 — 네이버 정규장 종가(aik 확정종가 대조 · aik 20,250원)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0.2435583374804798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0.09507481543416162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0.01974371293044709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0.05186666404455141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2372.7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7.83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