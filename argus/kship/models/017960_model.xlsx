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174980억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185386억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193895억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194492억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200790억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209407억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220555억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228588억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233324억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174980억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185386억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193895억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194492억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200790억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209407억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220555억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228588억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233324억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2253억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2702억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3031억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3430억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3755억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3971억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4364억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2253억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2536억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2702억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3031억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3430억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3755억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3971억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4364억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1.98%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이자발생자산 이자율: 주석 연율 2.0% 가 CF 연율 0.9% 의 2.3배 — 최근 4분기 연속 주석이라 유지(차입금 외 이자 포함 가능 — 주석 확인). 클립 조건: stale 또는 &gt; 20% / 총차입금 이자율: 주석 연율 5.2% 가 CF 연율 1.4% 의 3.8배 — 최근 4분기 연속 주석이라 유지(차입금 외 이자 포함 가능 — 주석 확인). 클립 조건: stale 또는 &gt; 20% /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18190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17220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19117.3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0.448221426</v>
      </c>
      <c r="AE21" s="25" t="n"/>
      <c r="AF21" s="24" t="n">
        <v>0.307105028</v>
      </c>
      <c r="AG21" s="24" t="n">
        <v>0.323132945</v>
      </c>
      <c r="AH21" s="24" t="n">
        <v>0.203925607</v>
      </c>
      <c r="AI21" s="24" t="n">
        <v>0.147498213</v>
      </c>
      <c r="AJ21" s="25" t="n"/>
      <c r="AK21" s="24" t="n">
        <v>0.129575654</v>
      </c>
      <c r="AL21" s="24" t="n">
        <v>0.137494139</v>
      </c>
      <c r="AM21" s="24" t="n">
        <v>0.17530643</v>
      </c>
      <c r="AN21" s="24" t="n">
        <v>0.162031125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0.137672742</v>
      </c>
      <c r="AE23" s="25">
        <f>IFERROR(subQ!AE9/subQ!AE5,"")</f>
        <v/>
      </c>
      <c r="AF23" s="24" t="n">
        <v>0.137673229</v>
      </c>
      <c r="AG23" s="24" t="n">
        <v>0.137674251</v>
      </c>
      <c r="AH23" s="24" t="n">
        <v>0.137673196</v>
      </c>
      <c r="AI23" s="24" t="n">
        <v>0.137675066</v>
      </c>
      <c r="AJ23" s="25">
        <f>IFERROR(subQ!AJ9/subQ!AJ5,"")</f>
        <v/>
      </c>
      <c r="AK23" s="24" t="n">
        <v>0.137672702</v>
      </c>
      <c r="AL23" s="24" t="n">
        <v>0.137675165</v>
      </c>
      <c r="AM23" s="24" t="n">
        <v>0.137674557</v>
      </c>
      <c r="AN23" s="24" t="n">
        <v>0.137673326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-0.006100722</v>
      </c>
      <c r="AD33" s="30" t="n">
        <v>-0.000547042</v>
      </c>
      <c r="AE33" s="31" t="n"/>
      <c r="AF33" s="30" t="n">
        <v>-0.003626296</v>
      </c>
      <c r="AG33" s="30" t="n">
        <v>165.363701638</v>
      </c>
      <c r="AH33" s="30" t="n">
        <v>-9.3891e-05</v>
      </c>
      <c r="AI33" s="30" t="n">
        <v>0.000769446</v>
      </c>
      <c r="AJ33" s="31" t="n"/>
      <c r="AK33" s="30" t="n">
        <v>-0.005071874</v>
      </c>
      <c r="AL33" s="30" t="n">
        <v>165.370207399</v>
      </c>
      <c r="AM33" s="30" t="n">
        <v>0.003423587</v>
      </c>
      <c r="AN33" s="30" t="n">
        <v>-0.001491496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-0.006100722</v>
      </c>
      <c r="AD34" s="30" t="n">
        <v>-0.000547042</v>
      </c>
      <c r="AE34" s="31" t="n"/>
      <c r="AF34" s="30" t="n">
        <v>-0.003626296</v>
      </c>
      <c r="AG34" s="30" t="n">
        <v>165.363701638</v>
      </c>
      <c r="AH34" s="30" t="n">
        <v>-9.3891e-05</v>
      </c>
      <c r="AI34" s="30" t="n">
        <v>0.000769446</v>
      </c>
      <c r="AJ34" s="31" t="n"/>
      <c r="AK34" s="30" t="n">
        <v>-0.005071874</v>
      </c>
      <c r="AL34" s="30" t="n">
        <v>165.370207399</v>
      </c>
      <c r="AM34" s="30" t="n">
        <v>0.003423587</v>
      </c>
      <c r="AN34" s="30" t="n">
        <v>-0.001491496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1.350019677</v>
      </c>
      <c r="AE36" s="25" t="n"/>
      <c r="AF36" s="24" t="n">
        <v>0.47389222</v>
      </c>
      <c r="AG36" s="24" t="n">
        <v>0.188269781</v>
      </c>
      <c r="AH36" s="24" t="n">
        <v>0.315446253</v>
      </c>
      <c r="AI36" s="24" t="n">
        <v>0.289877301</v>
      </c>
      <c r="AJ36" s="25" t="n"/>
      <c r="AK36" s="24" t="n">
        <v>0.183008267</v>
      </c>
      <c r="AL36" s="24" t="n">
        <v>0.10306489</v>
      </c>
      <c r="AM36" s="24" t="n">
        <v>0.169764469</v>
      </c>
      <c r="AN36" s="24" t="n">
        <v>0.173066345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0.179622784</v>
      </c>
      <c r="AE37" s="25" t="n"/>
      <c r="AF37" s="24" t="n">
        <v>0.125615895</v>
      </c>
      <c r="AG37" s="24" t="n">
        <v>0.06534401200000001</v>
      </c>
      <c r="AH37" s="24" t="n">
        <v>0.122113189</v>
      </c>
      <c r="AI37" s="24" t="n">
        <v>0.131556377</v>
      </c>
      <c r="AJ37" s="25" t="n"/>
      <c r="AK37" s="24" t="n">
        <v>0.09467086500000001</v>
      </c>
      <c r="AL37" s="24" t="n">
        <v>0.057620095</v>
      </c>
      <c r="AM37" s="24" t="n">
        <v>0.09898773700000001</v>
      </c>
      <c r="AN37" s="24" t="n">
        <v>0.107411998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18190</v>
      </c>
      <c r="E45" s="2" t="inlineStr">
        <is>
          <t>원 — 네이버 정규장 종가(aik 확정종가 대조 · aik 17,550원)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0.243561257414456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0.09507496555945608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0.01975282745898116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0.05187997566164976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2373.4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7.66</v>
      </c>
    </row>
    <row r="32">
      <c r="C32" s="2" t="inlineStr">
        <is>
          <t>pbr_now</t>
        </is>
      </c>
      <c r="D32" t="n">
        <v>1.4</v>
      </c>
    </row>
    <row r="33">
      <c r="C33" s="2" t="inlineStr">
        <is>
          <t>roe_fwd</t>
        </is>
      </c>
      <c r="D33" t="n">
        <v>0.1821</v>
      </c>
    </row>
    <row r="34">
      <c r="C34" s="2" t="inlineStr">
        <is>
          <t>fair_pbr</t>
        </is>
      </c>
      <c r="D34" t="n">
        <v>2.02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