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BS연결!$C$5:$AO$113</definedName>
    <definedName name="BS별도H">BS별도!$C$1:$AO$1</definedName>
    <definedName name="BS별도">BS별도!$C$5:$AO$99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이동합(t−1) 161549억 × 비례계수 0.0672 × 계절비중 Q3 0.245(계절비중 — 최근 3개 연도(2026, 2025, 2024) 분기/연간 비중 평균; 격자 lag0~4×창8/12/19×수준·YoY·4Q합 중 최대 r=0.97, n=15, 창 19)</t>
      </text>
    </comment>
    <comment ref="AD21" authorId="0" shapeId="0">
      <text>
        <t>모델값 역산(implied): v / 전년동기 − 1
고객지수 4분기 이동합(t−1) 174980억 × 비례계수 0.0672 × 계절비중 Q4 0.286(계절비중 — 최근 3개 연도(2026, 2025, 2024) 분기/연간 비중 평균; 격자 lag0~4×창8/12/19×수준·YoY·4Q합 중 최대 r=0.97, n=15, 창 19)</t>
      </text>
    </comment>
    <comment ref="AF21" authorId="0" shapeId="0">
      <text>
        <t>모델값 역산(implied): v / 전년동기 − 1
고객지수 4분기 이동합(t−1) 185274억 × 비례계수 0.0672 × 계절비중 Q1 0.222(계절비중 — 최근 3개 연도(2026, 2025, 2024) 분기/연간 비중 평균; 격자 lag0~4×창8/12/19×수준·YoY·4Q합 중 최대 r=0.97, n=15, 창 19)</t>
      </text>
    </comment>
    <comment ref="AG21" authorId="0" shapeId="0">
      <text>
        <t>모델값 역산(implied): v / 전년동기 − 1
고객지수 4분기 이동합(t−1) 193695억 × 비례계수 0.0672 × 계절비중 Q2 0.247(계절비중 — 최근 3개 연도(2026, 2025, 2024) 분기/연간 비중 평균; 격자 lag0~4×창8/12/19×수준·YoY·4Q합 중 최대 r=0.97, n=15, 창 19)</t>
      </text>
    </comment>
    <comment ref="AH21" authorId="0" shapeId="0">
      <text>
        <t>모델값 역산(implied): v / 전년동기 − 1
고객지수 4분기 이동합(t−1) 194278억 × 비례계수 0.0672 × 계절비중 Q3 0.245(계절비중 — 최근 3개 연도(2026, 2025, 2024) 분기/연간 비중 평균; 격자 lag0~4×창8/12/19×수준·YoY·4Q합 중 최대 r=0.97, n=15, 창 19)</t>
      </text>
    </comment>
    <comment ref="AI21" authorId="0" shapeId="0">
      <text>
        <t>모델값 역산(implied): v / 전년동기 − 1
고객지수 4분기 이동합(t−1) 200619억 × 비례계수 0.0672 × 계절비중 Q4 0.286(계절비중 — 최근 3개 연도(2026, 2025, 2024) 분기/연간 비중 평균; 격자 lag0~4×창8/12/19×수준·YoY·4Q합 중 최대 r=0.97, n=15, 창 19)</t>
      </text>
    </comment>
    <comment ref="AK21" authorId="0" shapeId="0">
      <text>
        <t>모델값 역산(implied): v / 전년동기 − 1
고객지수 4분기 이동합(t−1) 209436억 × 비례계수 0.0672 × 계절비중 Q1 0.222(계절비중 — 최근 3개 연도(2026, 2025, 2024) 분기/연간 비중 평균; 격자 lag0~4×창8/12/19×수준·YoY·4Q합 중 최대 r=0.97, n=15, 창 19)</t>
      </text>
    </comment>
    <comment ref="AL21" authorId="0" shapeId="0">
      <text>
        <t>모델값 역산(implied): v / 전년동기 − 1
고객지수 4분기 이동합(t−1) 220789억 × 비례계수 0.0672 × 계절비중 Q2 0.247(계절비중 — 최근 3개 연도(2026, 2025, 2024) 분기/연간 비중 평균; 격자 lag0~4×창8/12/19×수준·YoY·4Q합 중 최대 r=0.97, n=15, 창 19)</t>
      </text>
    </comment>
    <comment ref="AM21" authorId="0" shapeId="0">
      <text>
        <t>모델값 역산(implied): v / 전년동기 − 1
고객지수 4분기 이동합(t−1) 228965억 × 비례계수 0.0672 × 계절비중 Q3 0.245(계절비중 — 최근 3개 연도(2026, 2025, 2024) 분기/연간 비중 평균; 격자 lag0~4×창8/12/19×수준·YoY·4Q합 중 최대 r=0.97, n=15, 창 19)</t>
      </text>
    </comment>
    <comment ref="AN21" authorId="0" shapeId="0">
      <text>
        <t>모델값 역산(implied): v / 전년동기 − 1
고객지수 4분기 이동합(t−1) 233778억 × 비례계수 0.0672 × 계절비중 Q4 0.286(계절비중 — 최근 3개 연도(2026, 2025, 2024) 분기/연간 비중 평균; 격자 lag0~4×창8/12/19×수준·YoY·4Q합 중 최대 r=0.97, n=15, 창 19)</t>
      </text>
    </comment>
    <comment ref="AC22" authorId="0" shapeId="0">
      <text>
        <t>3절 스칼라 '판관비율' 참조 — 숫자로 덮어쓰면 이 분기만 바뀐다
매출액 × 판관비율 9.51%(최근 4분기 중위)</t>
      </text>
    </comment>
    <comment ref="AD22" authorId="0" shapeId="0">
      <text>
        <t>3절 스칼라 '판관비율' 참조 — 숫자로 덮어쓰면 이 분기만 바뀐다
매출액 × 판관비율 9.51%(최근 4분기 중위)</t>
      </text>
    </comment>
    <comment ref="AF22" authorId="0" shapeId="0">
      <text>
        <t>3절 스칼라 '판관비율' 참조 — 숫자로 덮어쓰면 이 분기만 바뀐다
매출액 × 판관비율 9.51%(최근 4분기 중위)</t>
      </text>
    </comment>
    <comment ref="AG22" authorId="0" shapeId="0">
      <text>
        <t>3절 스칼라 '판관비율' 참조 — 숫자로 덮어쓰면 이 분기만 바뀐다
매출액 × 판관비율 9.51%(최근 4분기 중위)</t>
      </text>
    </comment>
    <comment ref="AH22" authorId="0" shapeId="0">
      <text>
        <t>3절 스칼라 '판관비율' 참조 — 숫자로 덮어쓰면 이 분기만 바뀐다
매출액 × 판관비율 9.51%(최근 4분기 중위)</t>
      </text>
    </comment>
    <comment ref="AI22" authorId="0" shapeId="0">
      <text>
        <t>3절 스칼라 '판관비율' 참조 — 숫자로 덮어쓰면 이 분기만 바뀐다
매출액 × 판관비율 9.51%(최근 4분기 중위)</t>
      </text>
    </comment>
    <comment ref="AK22" authorId="0" shapeId="0">
      <text>
        <t>3절 스칼라 '판관비율' 참조 — 숫자로 덮어쓰면 이 분기만 바뀐다
매출액 × 판관비율 9.51%(최근 4분기 중위)</t>
      </text>
    </comment>
    <comment ref="AL22" authorId="0" shapeId="0">
      <text>
        <t>3절 스칼라 '판관비율' 참조 — 숫자로 덮어쓰면 이 분기만 바뀐다
매출액 × 판관비율 9.51%(최근 4분기 중위)</t>
      </text>
    </comment>
    <comment ref="AM22" authorId="0" shapeId="0">
      <text>
        <t>3절 스칼라 '판관비율' 참조 — 숫자로 덮어쓰면 이 분기만 바뀐다
매출액 × 판관비율 9.51%(최근 4분기 중위)</t>
      </text>
    </comment>
    <comment ref="AN22" authorId="0" shapeId="0">
      <text>
        <t>3절 스칼라 '판관비율' 참조 — 숫자로 덮어쓰면 이 분기만 바뀐다
매출액 × 판관비율 9.51%(최근 4분기 중위)</t>
      </text>
    </comment>
    <comment ref="AC23" authorId="0" shapeId="0">
      <text>
        <t>모델값 역산(implied): v / 매출액
매출액 × OPM(최근 8분기 OPM 중위 13.8% 유지)</t>
      </text>
    </comment>
    <comment ref="AD23" authorId="0" shapeId="0">
      <text>
        <t>모델값 역산(implied): v / 매출액
매출액 × OPM(최근 8분기 OPM 중위 13.8% 유지)</t>
      </text>
    </comment>
    <comment ref="AF23" authorId="0" shapeId="0">
      <text>
        <t>모델값 역산(implied): v / 매출액
매출액 × OPM(최근 8분기 OPM 중위 13.8% 유지)</t>
      </text>
    </comment>
    <comment ref="AG23" authorId="0" shapeId="0">
      <text>
        <t>모델값 역산(implied): v / 매출액
매출액 × OPM(최근 8분기 OPM 중위 13.8% 유지)</t>
      </text>
    </comment>
    <comment ref="AH23" authorId="0" shapeId="0">
      <text>
        <t>모델값 역산(implied): v / 매출액
매출액 × OPM(최근 8분기 OPM 중위 13.8% 유지)</t>
      </text>
    </comment>
    <comment ref="AI23" authorId="0" shapeId="0">
      <text>
        <t>모델값 역산(implied): v / 매출액
매출액 × OPM(최근 8분기 OPM 중위 13.8% 유지)</t>
      </text>
    </comment>
    <comment ref="AK23" authorId="0" shapeId="0">
      <text>
        <t>모델값 역산(implied): v / 매출액
매출액 × OPM(최근 8분기 OPM 중위 13.8% 유지)</t>
      </text>
    </comment>
    <comment ref="AL23" authorId="0" shapeId="0">
      <text>
        <t>모델값 역산(implied): v / 매출액
매출액 × OPM(최근 8분기 OPM 중위 13.8% 유지)</t>
      </text>
    </comment>
    <comment ref="AM23" authorId="0" shapeId="0">
      <text>
        <t>모델값 역산(implied): v / 매출액
매출액 × OPM(최근 8분기 OPM 중위 13.8% 유지)</t>
      </text>
    </comment>
    <comment ref="AN23" authorId="0" shapeId="0">
      <text>
        <t>모델값 역산(implied): v / 매출액
매출액 × OPM(최근 8분기 OPM 중위 13.8%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-40.74억이 이자손익 추정 -10.23억의 50% 초과 → 0(경고)</t>
      </text>
    </comment>
    <comment ref="AD26" authorId="0" shapeId="0">
      <text>
        <t>모델값 역산(implied): 모델 v 그대로
최근 4분기 중위 -40.74억이 이자손익 추정 -10.23억의 50% 초과 → 0(경고)</t>
      </text>
    </comment>
    <comment ref="AF26" authorId="0" shapeId="0">
      <text>
        <t>모델값 역산(implied): 모델 v 그대로
최근 4분기 중위 -40.74억이 이자손익 추정 -10.23억의 50% 초과 → 0(경고)</t>
      </text>
    </comment>
    <comment ref="AG26" authorId="0" shapeId="0">
      <text>
        <t>모델값 역산(implied): 모델 v 그대로
최근 4분기 중위 -40.74억이 이자손익 추정 -10.23억의 50% 초과 → 0(경고)</t>
      </text>
    </comment>
    <comment ref="AH26" authorId="0" shapeId="0">
      <text>
        <t>모델값 역산(implied): 모델 v 그대로
최근 4분기 중위 -40.74억이 이자손익 추정 -10.23억의 50% 초과 → 0(경고)</t>
      </text>
    </comment>
    <comment ref="AI26" authorId="0" shapeId="0">
      <text>
        <t>모델값 역산(implied): 모델 v 그대로
최근 4분기 중위 -40.74억이 이자손익 추정 -10.23억의 50% 초과 → 0(경고)</t>
      </text>
    </comment>
    <comment ref="AK26" authorId="0" shapeId="0">
      <text>
        <t>모델값 역산(implied): 모델 v 그대로
최근 4분기 중위 -40.74억이 이자손익 추정 -10.23억의 50% 초과 → 0(경고)</t>
      </text>
    </comment>
    <comment ref="AL26" authorId="0" shapeId="0">
      <text>
        <t>모델값 역산(implied): 모델 v 그대로
최근 4분기 중위 -40.74억이 이자손익 추정 -10.23억의 50% 초과 → 0(경고)</t>
      </text>
    </comment>
    <comment ref="AM26" authorId="0" shapeId="0">
      <text>
        <t>모델값 역산(implied): 모델 v 그대로
최근 4분기 중위 -40.74억이 이자손익 추정 -10.23억의 50% 초과 → 0(경고)</t>
      </text>
    </comment>
    <comment ref="AN26" authorId="0" shapeId="0">
      <text>
        <t>모델값 역산(implied): 모델 v 그대로
최근 4분기 중위 -40.74억이 이자손익 추정 -10.23억의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D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F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G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H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I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K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L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M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N29" authorId="0" shapeId="0">
      <text>
        <t>3절 스칼라 '세율' 참조 — 숫자로 덮어쓰면 이 분기만 바뀐다
max(세전, 0) × 세율 24.4%(최근 12분기 유효세율 28.5% 가 5~27% 밖 → 클립 대신 최근 8분기 중 세전 &gt; 0 인 7분기(2024Q3~2026Q2)의 법인세/세전 중위 24.4%)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D39" authorId="0" shapeId="0">
      <text>
        <t>모델값 역산(implied): v / 전분기 − 1 (전년동기 없음 → 전분기 대비)
최근 4분기(2024Q4~2026Q2)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4분기(2024Q4~2026Q2)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320원 유지</t>
      </text>
    </comment>
    <comment ref="AI42" authorId="0" shapeId="0">
      <text>
        <t>모델값 역산(implied): 모델 v 그대로
직전 결산 DPS 320원 유지</t>
      </text>
    </comment>
    <comment ref="AN42" authorId="0" shapeId="0">
      <text>
        <t>모델값 역산(implied): 모델 v 그대로
직전 결산 DPS 320원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이동합(t−1) 161549억 × 비례계수 0.0672 × 계절비중 Q3 0.245(계절비중 — 최근 3개 연도(2026, 2025, 2024) 분기/연간 비중 평균; 격자 lag0~4×창8/12/19×수준·YoY·4Q합 중 최대 r=0.97, n=15, 창 19)
[yoy]</t>
      </text>
    </comment>
    <comment ref="AD5" authorId="0" shapeId="0">
      <text>
        <t>추정: 고객지수 4분기 이동합(t−1) 174980억 × 비례계수 0.0672 × 계절비중 Q4 0.286(계절비중 — 최근 3개 연도(2026, 2025, 2024) 분기/연간 비중 평균; 격자 lag0~4×창8/12/19×수준·YoY·4Q합 중 최대 r=0.97, n=15, 창 19)
[yoy]</t>
      </text>
    </comment>
    <comment ref="AF5" authorId="0" shapeId="0">
      <text>
        <t>추정: 고객지수 4분기 이동합(t−1) 185274억 × 비례계수 0.0672 × 계절비중 Q1 0.222(계절비중 — 최근 3개 연도(2026, 2025, 2024) 분기/연간 비중 평균; 격자 lag0~4×창8/12/19×수준·YoY·4Q합 중 최대 r=0.97, n=15, 창 19)
[yoy]</t>
      </text>
    </comment>
    <comment ref="AG5" authorId="0" shapeId="0">
      <text>
        <t>추정: 고객지수 4분기 이동합(t−1) 193695억 × 비례계수 0.0672 × 계절비중 Q2 0.247(계절비중 — 최근 3개 연도(2026, 2025, 2024) 분기/연간 비중 평균; 격자 lag0~4×창8/12/19×수준·YoY·4Q합 중 최대 r=0.97, n=15, 창 19)
[yoy]</t>
      </text>
    </comment>
    <comment ref="AH5" authorId="0" shapeId="0">
      <text>
        <t>추정: 고객지수 4분기 이동합(t−1) 194278억 × 비례계수 0.0672 × 계절비중 Q3 0.245(계절비중 — 최근 3개 연도(2026, 2025, 2024) 분기/연간 비중 평균; 격자 lag0~4×창8/12/19×수준·YoY·4Q합 중 최대 r=0.97, n=15, 창 19)
[yoy]</t>
      </text>
    </comment>
    <comment ref="AI5" authorId="0" shapeId="0">
      <text>
        <t>추정: 고객지수 4분기 이동합(t−1) 200619억 × 비례계수 0.0672 × 계절비중 Q4 0.286(계절비중 — 최근 3개 연도(2026, 2025, 2024) 분기/연간 비중 평균; 격자 lag0~4×창8/12/19×수준·YoY·4Q합 중 최대 r=0.97, n=15, 창 19)
[yoy]</t>
      </text>
    </comment>
    <comment ref="AK5" authorId="0" shapeId="0">
      <text>
        <t>추정: 고객지수 4분기 이동합(t−1) 209436억 × 비례계수 0.0672 × 계절비중 Q1 0.222(계절비중 — 최근 3개 연도(2026, 2025, 2024) 분기/연간 비중 평균; 격자 lag0~4×창8/12/19×수준·YoY·4Q합 중 최대 r=0.97, n=15, 창 19)
[yoy]</t>
      </text>
    </comment>
    <comment ref="AL5" authorId="0" shapeId="0">
      <text>
        <t>추정: 고객지수 4분기 이동합(t−1) 220789억 × 비례계수 0.0672 × 계절비중 Q2 0.247(계절비중 — 최근 3개 연도(2026, 2025, 2024) 분기/연간 비중 평균; 격자 lag0~4×창8/12/19×수준·YoY·4Q합 중 최대 r=0.97, n=15, 창 19)
[yoy]</t>
      </text>
    </comment>
    <comment ref="AM5" authorId="0" shapeId="0">
      <text>
        <t>추정: 고객지수 4분기 이동합(t−1) 228965억 × 비례계수 0.0672 × 계절비중 Q3 0.245(계절비중 — 최근 3개 연도(2026, 2025, 2024) 분기/연간 비중 평균; 격자 lag0~4×창8/12/19×수준·YoY·4Q합 중 최대 r=0.97, n=15, 창 19)
[yoy]</t>
      </text>
    </comment>
    <comment ref="AN5" authorId="0" shapeId="0">
      <text>
        <t>추정: 고객지수 4분기 이동합(t−1) 233778억 × 비례계수 0.0672 × 계절비중 Q4 0.286(계절비중 — 최근 3개 연도(2026, 2025, 2024) 분기/연간 비중 평균; 격자 lag0~4×창8/12/19×수준·YoY·4Q합 중 최대 r=0.97, n=15,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9.51%(최근 4분기 중위)
[ratio]</t>
      </text>
    </comment>
    <comment ref="AD8" authorId="0" shapeId="0">
      <text>
        <t>추정: 매출액 × 판관비율 9.51%(최근 4분기 중위)
[ratio]</t>
      </text>
    </comment>
    <comment ref="AF8" authorId="0" shapeId="0">
      <text>
        <t>추정: 매출액 × 판관비율 9.51%(최근 4분기 중위)
[ratio]</t>
      </text>
    </comment>
    <comment ref="AG8" authorId="0" shapeId="0">
      <text>
        <t>추정: 매출액 × 판관비율 9.51%(최근 4분기 중위)
[ratio]</t>
      </text>
    </comment>
    <comment ref="AH8" authorId="0" shapeId="0">
      <text>
        <t>추정: 매출액 × 판관비율 9.51%(최근 4분기 중위)
[ratio]</t>
      </text>
    </comment>
    <comment ref="AI8" authorId="0" shapeId="0">
      <text>
        <t>추정: 매출액 × 판관비율 9.51%(최근 4분기 중위)
[ratio]</t>
      </text>
    </comment>
    <comment ref="AK8" authorId="0" shapeId="0">
      <text>
        <t>추정: 매출액 × 판관비율 9.51%(최근 4분기 중위)
[ratio]</t>
      </text>
    </comment>
    <comment ref="AL8" authorId="0" shapeId="0">
      <text>
        <t>추정: 매출액 × 판관비율 9.51%(최근 4분기 중위)
[ratio]</t>
      </text>
    </comment>
    <comment ref="AM8" authorId="0" shapeId="0">
      <text>
        <t>추정: 매출액 × 판관비율 9.51%(최근 4분기 중위)
[ratio]</t>
      </text>
    </comment>
    <comment ref="AN8" authorId="0" shapeId="0">
      <text>
        <t>추정: 매출액 × 판관비율 9.51%(최근 4분기 중위)
[ratio]</t>
      </text>
    </comment>
    <comment ref="AC9" authorId="0" shapeId="0">
      <text>
        <t>추정: 매출액 × OPM(최근 8분기 OPM 중위 13.8% 유지)
[ratio]</t>
      </text>
    </comment>
    <comment ref="AD9" authorId="0" shapeId="0">
      <text>
        <t>추정: 매출액 × OPM(최근 8분기 OPM 중위 13.8% 유지)
[ratio]</t>
      </text>
    </comment>
    <comment ref="AF9" authorId="0" shapeId="0">
      <text>
        <t>추정: 매출액 × OPM(최근 8분기 OPM 중위 13.8% 유지)
[ratio]</t>
      </text>
    </comment>
    <comment ref="AG9" authorId="0" shapeId="0">
      <text>
        <t>추정: 매출액 × OPM(최근 8분기 OPM 중위 13.8% 유지)
[ratio]</t>
      </text>
    </comment>
    <comment ref="AH9" authorId="0" shapeId="0">
      <text>
        <t>추정: 매출액 × OPM(최근 8분기 OPM 중위 13.8% 유지)
[ratio]</t>
      </text>
    </comment>
    <comment ref="AI9" authorId="0" shapeId="0">
      <text>
        <t>추정: 매출액 × OPM(최근 8분기 OPM 중위 13.8% 유지)
[ratio]</t>
      </text>
    </comment>
    <comment ref="AK9" authorId="0" shapeId="0">
      <text>
        <t>추정: 매출액 × OPM(최근 8분기 OPM 중위 13.8% 유지)
[ratio]</t>
      </text>
    </comment>
    <comment ref="AL9" authorId="0" shapeId="0">
      <text>
        <t>추정: 매출액 × OPM(최근 8분기 OPM 중위 13.8% 유지)
[ratio]</t>
      </text>
    </comment>
    <comment ref="AM9" authorId="0" shapeId="0">
      <text>
        <t>추정: 매출액 × OPM(최근 8분기 OPM 중위 13.8% 유지)
[ratio]</t>
      </text>
    </comment>
    <comment ref="AN9" authorId="0" shapeId="0">
      <text>
        <t>추정: 매출액 × OPM(최근 8분기 OPM 중위 13.8% 유지)
[ratio]</t>
      </text>
    </comment>
    <comment ref="AC10" authorId="0" shapeId="0">
      <text>
        <t>추정: 최근 8분기 OPM 중위 13.8% 유지
[divide]</t>
      </text>
    </comment>
    <comment ref="AD10" authorId="0" shapeId="0">
      <text>
        <t>추정: 최근 8분기 OPM 중위 13.8% 유지
[divide]</t>
      </text>
    </comment>
    <comment ref="AF10" authorId="0" shapeId="0">
      <text>
        <t>추정: 최근 8분기 OPM 중위 13.8% 유지
[divide]</t>
      </text>
    </comment>
    <comment ref="AG10" authorId="0" shapeId="0">
      <text>
        <t>추정: 최근 8분기 OPM 중위 13.8% 유지
[divide]</t>
      </text>
    </comment>
    <comment ref="AH10" authorId="0" shapeId="0">
      <text>
        <t>추정: 최근 8분기 OPM 중위 13.8% 유지
[divide]</t>
      </text>
    </comment>
    <comment ref="AI10" authorId="0" shapeId="0">
      <text>
        <t>추정: 최근 8분기 OPM 중위 13.8% 유지
[divide]</t>
      </text>
    </comment>
    <comment ref="AK10" authorId="0" shapeId="0">
      <text>
        <t>추정: 최근 8분기 OPM 중위 13.8% 유지
[divide]</t>
      </text>
    </comment>
    <comment ref="AL10" authorId="0" shapeId="0">
      <text>
        <t>추정: 최근 8분기 OPM 중위 13.8% 유지
[divide]</t>
      </text>
    </comment>
    <comment ref="AM10" authorId="0" shapeId="0">
      <text>
        <t>추정: 최근 8분기 OPM 중위 13.8% 유지
[divide]</t>
      </text>
    </comment>
    <comment ref="AN10" authorId="0" shapeId="0">
      <text>
        <t>추정: 최근 8분기 OPM 중위 13.8% 유지
[divide]</t>
      </text>
    </comment>
    <comment ref="AC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1640억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1910억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2253억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2536억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2701억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3031억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3429억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3754억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3971억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-40.74억이 이자손익 추정 -10.23억의 50% 초과 → 0(경고)) (항등식); 이자손익 = 이자발생자산 4364억 × 1.97%(주석 이자수익 ÷ 평균 이자발생자산(2025Q3~2026Q2)) − 총차입금 1413억 × 5.19%(주석 이자비용 ÷ 평균 총차입금(2025Q3~2026Q2)) (연율) ÷ 4; 환율 효과는 환관련손익 행 별도
[identity]</t>
      </text>
    </comment>
    <comment ref="AC12" authorId="0" shapeId="0">
      <text>
        <t>추정: 이자발생자산 1640억 × 1.97%(주석 이자수익 ÷ 평균 이자발생자산(2025Q3~2026Q2)) − 총차입금 1413억 × 5.19%(주석 이자비용 ÷ 평균 총차입금(2025Q3~2026Q2)) (연율) ÷ 4
[interest]</t>
      </text>
    </comment>
    <comment ref="AD12" authorId="0" shapeId="0">
      <text>
        <t>추정: 이자발생자산 1910억 × 1.97%(주석 이자수익 ÷ 평균 이자발생자산(2025Q3~2026Q2)) − 총차입금 1413억 × 5.19%(주석 이자비용 ÷ 평균 총차입금(2025Q3~2026Q2)) (연율) ÷ 4
[interest]</t>
      </text>
    </comment>
    <comment ref="AF12" authorId="0" shapeId="0">
      <text>
        <t>추정: 이자발생자산 2253억 × 1.97%(주석 이자수익 ÷ 평균 이자발생자산(2025Q3~2026Q2)) − 총차입금 1413억 × 5.19%(주석 이자비용 ÷ 평균 총차입금(2025Q3~2026Q2)) (연율) ÷ 4
[interest]</t>
      </text>
    </comment>
    <comment ref="AG12" authorId="0" shapeId="0">
      <text>
        <t>추정: 이자발생자산 2536억 × 1.97%(주석 이자수익 ÷ 평균 이자발생자산(2025Q3~2026Q2)) − 총차입금 1413억 × 5.19%(주석 이자비용 ÷ 평균 총차입금(2025Q3~2026Q2)) (연율) ÷ 4
[interest]</t>
      </text>
    </comment>
    <comment ref="AH12" authorId="0" shapeId="0">
      <text>
        <t>추정: 이자발생자산 2701억 × 1.97%(주석 이자수익 ÷ 평균 이자발생자산(2025Q3~2026Q2)) − 총차입금 1413억 × 5.19%(주석 이자비용 ÷ 평균 총차입금(2025Q3~2026Q2)) (연율) ÷ 4
[interest]</t>
      </text>
    </comment>
    <comment ref="AI12" authorId="0" shapeId="0">
      <text>
        <t>추정: 이자발생자산 3031억 × 1.97%(주석 이자수익 ÷ 평균 이자발생자산(2025Q3~2026Q2)) − 총차입금 1413억 × 5.19%(주석 이자비용 ÷ 평균 총차입금(2025Q3~2026Q2)) (연율) ÷ 4
[interest]</t>
      </text>
    </comment>
    <comment ref="AK12" authorId="0" shapeId="0">
      <text>
        <t>추정: 이자발생자산 3429억 × 1.97%(주석 이자수익 ÷ 평균 이자발생자산(2025Q3~2026Q2)) − 총차입금 1413억 × 5.19%(주석 이자비용 ÷ 평균 총차입금(2025Q3~2026Q2)) (연율) ÷ 4
[interest]</t>
      </text>
    </comment>
    <comment ref="AL12" authorId="0" shapeId="0">
      <text>
        <t>추정: 이자발생자산 3754억 × 1.97%(주석 이자수익 ÷ 평균 이자발생자산(2025Q3~2026Q2)) − 총차입금 1413억 × 5.19%(주석 이자비용 ÷ 평균 총차입금(2025Q3~2026Q2)) (연율) ÷ 4
[interest]</t>
      </text>
    </comment>
    <comment ref="AM12" authorId="0" shapeId="0">
      <text>
        <t>추정: 이자발생자산 3971억 × 1.97%(주석 이자수익 ÷ 평균 이자발생자산(2025Q3~2026Q2)) − 총차입금 1413억 × 5.19%(주석 이자비용 ÷ 평균 총차입금(2025Q3~2026Q2)) (연율) ÷ 4
[interest]</t>
      </text>
    </comment>
    <comment ref="AN12" authorId="0" shapeId="0">
      <text>
        <t>추정: 이자발생자산 4364억 × 1.97%(주석 이자수익 ÷ 평균 이자발생자산(2025Q3~2026Q2)) − 총차입금 1413억 × 5.19%(주석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-40.74억이 이자손익 추정 -10.23억의 50% 초과 → 0(경고)
[abs]</t>
      </text>
    </comment>
    <comment ref="AD15" authorId="0" shapeId="0">
      <text>
        <t>추정: 최근 4분기 중위 -40.74억이 이자손익 추정 -10.23억의 50% 초과 → 0(경고)
[abs]</t>
      </text>
    </comment>
    <comment ref="AF15" authorId="0" shapeId="0">
      <text>
        <t>추정: 최근 4분기 중위 -40.74억이 이자손익 추정 -10.23억의 50% 초과 → 0(경고)
[abs]</t>
      </text>
    </comment>
    <comment ref="AG15" authorId="0" shapeId="0">
      <text>
        <t>추정: 최근 4분기 중위 -40.74억이 이자손익 추정 -10.23억의 50% 초과 → 0(경고)
[abs]</t>
      </text>
    </comment>
    <comment ref="AH15" authorId="0" shapeId="0">
      <text>
        <t>추정: 최근 4분기 중위 -40.74억이 이자손익 추정 -10.23억의 50% 초과 → 0(경고)
[abs]</t>
      </text>
    </comment>
    <comment ref="AI15" authorId="0" shapeId="0">
      <text>
        <t>추정: 최근 4분기 중위 -40.74억이 이자손익 추정 -10.23억의 50% 초과 → 0(경고)
[abs]</t>
      </text>
    </comment>
    <comment ref="AK15" authorId="0" shapeId="0">
      <text>
        <t>추정: 최근 4분기 중위 -40.74억이 이자손익 추정 -10.23억의 50% 초과 → 0(경고)
[abs]</t>
      </text>
    </comment>
    <comment ref="AL15" authorId="0" shapeId="0">
      <text>
        <t>추정: 최근 4분기 중위 -40.74억이 이자손익 추정 -10.23억의 50% 초과 → 0(경고)
[abs]</t>
      </text>
    </comment>
    <comment ref="AM15" authorId="0" shapeId="0">
      <text>
        <t>추정: 최근 4분기 중위 -40.74억이 이자손익 추정 -10.23억의 50% 초과 → 0(경고)
[abs]</t>
      </text>
    </comment>
    <comment ref="AN15" authorId="0" shapeId="0">
      <text>
        <t>추정: 최근 4분기 중위 -40.74억이 이자손익 추정 -10.23억의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D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F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G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H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I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K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L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M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N19" authorId="0" shapeId="0">
      <text>
        <t>추정: max(세전, 0) × 세율 24.4%(최근 12분기 유효세율 28.5% 가 5~27% 밖 → 클립 대신 최근 8분기 중 세전 &gt; 0 인 7분기(2024Q3~2026Q2)의 법인세/세전 중위 24.4%)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4분기(2024Q4~2026Q2) CAPEX 중위 유지 — 순차입금 롤에 미반영(감가상각비 없음 → CAPEX≈감가 가정)
[yoy]</t>
      </text>
    </comment>
    <comment ref="AD31" authorId="0" shapeId="0">
      <text>
        <t>추정: 최근 4분기(2024Q4~2026Q2) CAPEX 중위 유지 — 순차입금 롤에 미반영(감가상각비 없음 → CAPEX≈감가 가정)
[yoy]</t>
      </text>
    </comment>
    <comment ref="AF31" authorId="0" shapeId="0">
      <text>
        <t>추정: 최근 4분기(2024Q4~2026Q2) CAPEX 중위 유지 — 순차입금 롤에 미반영(감가상각비 없음 → CAPEX≈감가 가정)
[yoy]</t>
      </text>
    </comment>
    <comment ref="AG31" authorId="0" shapeId="0">
      <text>
        <t>추정: 최근 4분기(2024Q4~2026Q2) CAPEX 중위 유지 — 순차입금 롤에 미반영(감가상각비 없음 → CAPEX≈감가 가정)
[yoy]</t>
      </text>
    </comment>
    <comment ref="AH31" authorId="0" shapeId="0">
      <text>
        <t>추정: 최근 4분기(2024Q4~2026Q2) CAPEX 중위 유지 — 순차입금 롤에 미반영(감가상각비 없음 → CAPEX≈감가 가정)
[yoy]</t>
      </text>
    </comment>
    <comment ref="AI31" authorId="0" shapeId="0">
      <text>
        <t>추정: 최근 4분기(2024Q4~2026Q2) CAPEX 중위 유지 — 순차입금 롤에 미반영(감가상각비 없음 → CAPEX≈감가 가정)
[yoy]</t>
      </text>
    </comment>
    <comment ref="AK31" authorId="0" shapeId="0">
      <text>
        <t>추정: 최근 4분기(2024Q4~2026Q2) CAPEX 중위 유지 — 순차입금 롤에 미반영(감가상각비 없음 → CAPEX≈감가 가정)
[yoy]</t>
      </text>
    </comment>
    <comment ref="AL31" authorId="0" shapeId="0">
      <text>
        <t>추정: 최근 4분기(2024Q4~2026Q2) CAPEX 중위 유지 — 순차입금 롤에 미반영(감가상각비 없음 → CAPEX≈감가 가정)
[yoy]</t>
      </text>
    </comment>
    <comment ref="AM31" authorId="0" shapeId="0">
      <text>
        <t>추정: 최근 4분기(2024Q4~2026Q2) CAPEX 중위 유지 — 순차입금 롤에 미반영(감가상각비 없음 → CAPEX≈감가 가정)
[yoy]</t>
      </text>
    </comment>
    <comment ref="AN31" authorId="0" shapeId="0">
      <text>
        <t>추정: 최근 4분기(2024Q4~2026Q2)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320원 유지
[abs]</t>
      </text>
    </comment>
    <comment ref="AI36" authorId="0" shapeId="0">
      <text>
        <t>추정: 직전 결산 DPS 320원 유지
[abs]</t>
      </text>
    </comment>
    <comment ref="AN36" authorId="0" shapeId="0">
      <text>
        <t>추정: 직전 결산 DPS 320원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한국카본(017960)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24.36% — 법인세 = MAX(세전,0) × 세율, 추정 전 분기 연결(Σ법인세/Σmax(세전,0) 역산, 재현 오차 ≤ 0.05억). 모델 가정 24.36% · 근거: 최근 12분기 유효세율 28.5% 가 5~27% 밖 → 클립 대신 최근 8분기 중 세전 &gt; 0 인 7분기(2024Q3~2026Q2)의 법인세/세전 중위 24.4%</t>
        </is>
      </c>
    </row>
    <row r="23">
      <c r="A23" t="inlineStr">
        <is>
          <t>· 판관비율 9.51%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1.97% / 부채 5.19% — 이자손익 = (전분기 이자발생자산 × 자산이자율 − 전분기 총차입금 × 부채이자율)/4, 최소자승 역산(모델 assumptions [0.0197, 0.0519]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19.7/24.5/30.0배(hist_quarterly(분기 평균가 ÷ TTM EPS, 13분기, 25/50/75 백분위) · 캡 5~30배 적용(원값 19.7/24.5/38.1))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assets/models/017960.json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이자발생자산 이자율: 주석 연율 2.0% 가 CF 연율 0.9% 의 2.3배 — 최근 4분기 연속 주석이라 유지(차입금 외 이자 포함 가능 — 주석 확인). 클립 조건: stale 또는 &gt; 20% / 총차입금 이자율: 주석 연율 5.2% 가 CF 연율 1.4% 의 3.8배 — 최근 4분기 연속 주석이라 유지(차입금 외 이자 포함 가능 — 주석 확인). 클립 조건: stale 또는 &gt; 20% / 감가상각비가 face·CF 에 없음(주석 미파싱) → EBITDA·EV/EBITDA 미산출 / 기타금융손익(금융손익 − 이자 − 외환 − 파생 잔차) 최근 4분기 중위 -40.7억이 이자손익 추정 -10.2억의 50% 초과 → 추정 0 — 평가손익·재분류 여부는 주석 확인 / 금융손익 실적→추정 단절: 최근 4분기 실적 -83/+16/-193/-31(중위 -57억) → 추정 2026Q3 -10억(차 +46억, +82%)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63.7, "n": 4, "note": "단일 회사 4분기 — 통계 아님", "driver_at_freeze": "customer_yard_revenue_weighted", "selection_oos_at_freeze": {"freeze": "2024Q2", "n": 4, "wape_link": 27.5, "wape_trend": 34.3,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2265.3, "rev_act": 2211.32, "op_pred": 152.37, "op_act": 298.63}, {"q": "2025Q4", "rev_pred": 2533.53, "rev_act": 2318.43, "op_pred": 170.41, "op_act": 383.37}, {"q": "2026Q1", "rev_pred": 1831.63, "rev_act": 2118.22, "op_pred": 123.2, "op_act": 410.66}, {"q": "2026Q2", "rev_pred": 1982.74, "rev_act": 2433.78, "op_pred": 133.36, "op_act": 504.0}]}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10750</v>
      </c>
      <c r="F15" s="9" t="n"/>
      <c r="G15" s="18" t="n">
        <v>11750</v>
      </c>
      <c r="H15" s="18" t="n">
        <v>14600</v>
      </c>
      <c r="I15" s="18" t="n">
        <v>11900</v>
      </c>
      <c r="J15" s="18" t="n">
        <v>11050</v>
      </c>
      <c r="K15" s="9" t="n"/>
      <c r="L15" s="18" t="n">
        <v>12280</v>
      </c>
      <c r="M15" s="18" t="n">
        <v>11650</v>
      </c>
      <c r="N15" s="18" t="n">
        <v>12550</v>
      </c>
      <c r="O15" s="18" t="n">
        <v>11640</v>
      </c>
      <c r="P15" s="9" t="n"/>
      <c r="Q15" s="18" t="n">
        <v>10730</v>
      </c>
      <c r="R15" s="18" t="n">
        <v>10730</v>
      </c>
      <c r="S15" s="18" t="n">
        <v>10810</v>
      </c>
      <c r="T15" s="18" t="n">
        <v>11750</v>
      </c>
      <c r="U15" s="9" t="n"/>
      <c r="V15" s="18" t="n">
        <v>13540</v>
      </c>
      <c r="W15" s="18" t="n">
        <v>26000</v>
      </c>
      <c r="X15" s="18" t="n">
        <v>32700</v>
      </c>
      <c r="Y15" s="18" t="n">
        <v>29850</v>
      </c>
      <c r="Z15" s="9" t="n"/>
      <c r="AA15" s="18" t="n">
        <v>38850</v>
      </c>
      <c r="AB15" s="19" t="n">
        <v>26700</v>
      </c>
      <c r="AC15" s="20" t="n">
        <v>20100</v>
      </c>
      <c r="AD15" s="20" t="n">
        <v>18400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13500</v>
      </c>
      <c r="F16" s="9" t="n"/>
      <c r="G16" s="18" t="n">
        <v>12900</v>
      </c>
      <c r="H16" s="18" t="n">
        <v>15350</v>
      </c>
      <c r="I16" s="18" t="n">
        <v>16200</v>
      </c>
      <c r="J16" s="18" t="n">
        <v>12800</v>
      </c>
      <c r="K16" s="9" t="n"/>
      <c r="L16" s="18" t="n">
        <v>12380</v>
      </c>
      <c r="M16" s="18" t="n">
        <v>12980</v>
      </c>
      <c r="N16" s="18" t="n">
        <v>15240</v>
      </c>
      <c r="O16" s="18" t="n">
        <v>12840</v>
      </c>
      <c r="P16" s="9" t="n"/>
      <c r="Q16" s="18" t="n">
        <v>11760</v>
      </c>
      <c r="R16" s="18" t="n">
        <v>11940</v>
      </c>
      <c r="S16" s="18" t="n">
        <v>13350</v>
      </c>
      <c r="T16" s="18" t="n">
        <v>11930</v>
      </c>
      <c r="U16" s="9" t="n"/>
      <c r="V16" s="18" t="n">
        <v>16930</v>
      </c>
      <c r="W16" s="18" t="n">
        <v>26850</v>
      </c>
      <c r="X16" s="18" t="n">
        <v>35850</v>
      </c>
      <c r="Y16" s="18" t="n">
        <v>39300</v>
      </c>
      <c r="Z16" s="9" t="n"/>
      <c r="AA16" s="18" t="n">
        <v>50800</v>
      </c>
      <c r="AB16" s="19" t="n">
        <v>54100</v>
      </c>
      <c r="AC16" s="20" t="n">
        <v>27950</v>
      </c>
      <c r="AD16" s="20" t="n">
        <v>21100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9100</v>
      </c>
      <c r="F17" s="9" t="n"/>
      <c r="G17" s="18" t="n">
        <v>9950</v>
      </c>
      <c r="H17" s="18" t="n">
        <v>10750</v>
      </c>
      <c r="I17" s="18" t="n">
        <v>11450</v>
      </c>
      <c r="J17" s="18" t="n">
        <v>10450</v>
      </c>
      <c r="K17" s="9" t="n"/>
      <c r="L17" s="18" t="n">
        <v>10300</v>
      </c>
      <c r="M17" s="18" t="n">
        <v>10820</v>
      </c>
      <c r="N17" s="18" t="n">
        <v>11540</v>
      </c>
      <c r="O17" s="18" t="n">
        <v>11000</v>
      </c>
      <c r="P17" s="9" t="n"/>
      <c r="Q17" s="18" t="n">
        <v>9870</v>
      </c>
      <c r="R17" s="18" t="n">
        <v>10050</v>
      </c>
      <c r="S17" s="18" t="n">
        <v>10230</v>
      </c>
      <c r="T17" s="18" t="n">
        <v>9400</v>
      </c>
      <c r="U17" s="9" t="n"/>
      <c r="V17" s="18" t="n">
        <v>11600</v>
      </c>
      <c r="W17" s="18" t="n">
        <v>13870</v>
      </c>
      <c r="X17" s="18" t="n">
        <v>22200</v>
      </c>
      <c r="Y17" s="18" t="n">
        <v>25800</v>
      </c>
      <c r="Z17" s="9" t="n"/>
      <c r="AA17" s="18" t="n">
        <v>27450</v>
      </c>
      <c r="AB17" s="19" t="n">
        <v>25050</v>
      </c>
      <c r="AC17" s="20" t="n">
        <v>18530</v>
      </c>
      <c r="AD17" s="20" t="n">
        <v>17670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11223.7</v>
      </c>
      <c r="F18" s="9" t="n"/>
      <c r="G18" s="18" t="n">
        <v>11368.1</v>
      </c>
      <c r="H18" s="18" t="n">
        <v>13100.8</v>
      </c>
      <c r="I18" s="18" t="n">
        <v>13811.9</v>
      </c>
      <c r="J18" s="18" t="n">
        <v>11543.5</v>
      </c>
      <c r="K18" s="9" t="n"/>
      <c r="L18" s="18" t="n">
        <v>11282.3</v>
      </c>
      <c r="M18" s="18" t="n">
        <v>11674.8</v>
      </c>
      <c r="N18" s="18" t="n">
        <v>13436.3</v>
      </c>
      <c r="O18" s="18" t="n">
        <v>11875.5</v>
      </c>
      <c r="P18" s="9" t="n"/>
      <c r="Q18" s="18" t="n">
        <v>10720</v>
      </c>
      <c r="R18" s="18" t="n">
        <v>10857</v>
      </c>
      <c r="S18" s="18" t="n">
        <v>11507.3</v>
      </c>
      <c r="T18" s="18" t="n">
        <v>10811.5</v>
      </c>
      <c r="U18" s="9" t="n"/>
      <c r="V18" s="18" t="n">
        <v>14238.3</v>
      </c>
      <c r="W18" s="18" t="n">
        <v>20896.3</v>
      </c>
      <c r="X18" s="18" t="n">
        <v>29762.3</v>
      </c>
      <c r="Y18" s="18" t="n">
        <v>32022</v>
      </c>
      <c r="Z18" s="9" t="n"/>
      <c r="AA18" s="18" t="n">
        <v>38489</v>
      </c>
      <c r="AB18" s="19" t="n">
        <v>39775.4</v>
      </c>
      <c r="AC18" s="20" t="n">
        <v>22833.4</v>
      </c>
      <c r="AD18" s="20" t="n">
        <v>19715.7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0.203117846</v>
      </c>
      <c r="AD21" s="24" t="n">
        <v>0.448221426</v>
      </c>
      <c r="AE21" s="25" t="n"/>
      <c r="AF21" s="24" t="n">
        <v>0.306316629</v>
      </c>
      <c r="AG21" s="24" t="n">
        <v>0.321764701</v>
      </c>
      <c r="AH21" s="24" t="n">
        <v>0.20259502</v>
      </c>
      <c r="AI21" s="24" t="n">
        <v>0.146524303</v>
      </c>
      <c r="AJ21" s="25" t="n"/>
      <c r="AK21" s="24" t="n">
        <v>0.130412785</v>
      </c>
      <c r="AL21" s="24" t="n">
        <v>0.139883987</v>
      </c>
      <c r="AM21" s="24" t="n">
        <v>0.178544639</v>
      </c>
      <c r="AN21" s="24" t="n">
        <v>0.165283395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0.137674405</v>
      </c>
      <c r="AD23" s="24" t="n">
        <v>0.137672742</v>
      </c>
      <c r="AE23" s="25">
        <f>IFERROR(subQ!AE9/subQ!AE5,"")</f>
        <v/>
      </c>
      <c r="AF23" s="24" t="n">
        <v>0.137673198</v>
      </c>
      <c r="AG23" s="24" t="n">
        <v>0.137673771</v>
      </c>
      <c r="AH23" s="24" t="n">
        <v>0.137675497</v>
      </c>
      <c r="AI23" s="24" t="n">
        <v>0.137675117</v>
      </c>
      <c r="AJ23" s="25">
        <f>IFERROR(subQ!AJ9/subQ!AJ5,"")</f>
        <v/>
      </c>
      <c r="AK23" s="24" t="n">
        <v>0.137672958</v>
      </c>
      <c r="AL23" s="24" t="n">
        <v>0.137673274</v>
      </c>
      <c r="AM23" s="24" t="n">
        <v>0.137673607</v>
      </c>
      <c r="AN23" s="24" t="n">
        <v>0.137673212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0.13</v>
      </c>
      <c r="AD28" s="30" t="n">
        <v>0.13</v>
      </c>
      <c r="AE28" s="31">
        <f>subQ!AE17</f>
        <v/>
      </c>
      <c r="AF28" s="30" t="n">
        <v>0.13</v>
      </c>
      <c r="AG28" s="30" t="n">
        <v>0.13</v>
      </c>
      <c r="AH28" s="30" t="n">
        <v>0.13</v>
      </c>
      <c r="AI28" s="30" t="n">
        <v>0.13</v>
      </c>
      <c r="AJ28" s="31">
        <f>subQ!AJ17</f>
        <v/>
      </c>
      <c r="AK28" s="30" t="n">
        <v>0.13</v>
      </c>
      <c r="AL28" s="30" t="n">
        <v>0.13</v>
      </c>
      <c r="AM28" s="30" t="n">
        <v>0.13</v>
      </c>
      <c r="AN28" s="30" t="n">
        <v>0.13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-1.29e-07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-0.006381793</v>
      </c>
      <c r="AD33" s="30" t="n">
        <v>-0.001333589</v>
      </c>
      <c r="AE33" s="31" t="n"/>
      <c r="AF33" s="30" t="n">
        <v>-0.008649682000000001</v>
      </c>
      <c r="AG33" s="30" t="n">
        <v>165.363568693</v>
      </c>
      <c r="AH33" s="30" t="n">
        <v>0.00314219</v>
      </c>
      <c r="AI33" s="30" t="n">
        <v>0.004788751</v>
      </c>
      <c r="AJ33" s="31" t="n"/>
      <c r="AK33" s="30" t="n">
        <v>-0.006863115</v>
      </c>
      <c r="AL33" s="30" t="n">
        <v>165.363597802</v>
      </c>
      <c r="AM33" s="30" t="n">
        <v>-0.009917373</v>
      </c>
      <c r="AN33" s="30" t="n">
        <v>0.001652558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-0.006381793</v>
      </c>
      <c r="AD34" s="30" t="n">
        <v>-0.001333589</v>
      </c>
      <c r="AE34" s="31" t="n"/>
      <c r="AF34" s="30" t="n">
        <v>-0.008649682000000001</v>
      </c>
      <c r="AG34" s="30" t="n">
        <v>165.363568693</v>
      </c>
      <c r="AH34" s="30" t="n">
        <v>0.00314219</v>
      </c>
      <c r="AI34" s="30" t="n">
        <v>0.004788751</v>
      </c>
      <c r="AJ34" s="31" t="n"/>
      <c r="AK34" s="30" t="n">
        <v>-0.006863115</v>
      </c>
      <c r="AL34" s="30" t="n">
        <v>165.363597802</v>
      </c>
      <c r="AM34" s="30" t="n">
        <v>-0.009917373</v>
      </c>
      <c r="AN34" s="30" t="n">
        <v>0.001652558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7.1e-08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-17.576423772</v>
      </c>
      <c r="AD36" s="24" t="n">
        <v>1.350019677</v>
      </c>
      <c r="AE36" s="25" t="n"/>
      <c r="AF36" s="24" t="n">
        <v>0.473607529</v>
      </c>
      <c r="AG36" s="24" t="n">
        <v>0.187908404</v>
      </c>
      <c r="AH36" s="24" t="n">
        <v>0.315239644</v>
      </c>
      <c r="AI36" s="24" t="n">
        <v>0.289827032</v>
      </c>
      <c r="AJ36" s="25" t="n"/>
      <c r="AK36" s="24" t="n">
        <v>0.183157764</v>
      </c>
      <c r="AL36" s="24" t="n">
        <v>0.103313998</v>
      </c>
      <c r="AM36" s="24" t="n">
        <v>0.170098884</v>
      </c>
      <c r="AN36" s="24" t="n">
        <v>0.173411898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0.164249189</v>
      </c>
      <c r="AD37" s="24" t="n">
        <v>0.179622784</v>
      </c>
      <c r="AE37" s="25" t="n"/>
      <c r="AF37" s="24" t="n">
        <v>0.125535995</v>
      </c>
      <c r="AG37" s="24" t="n">
        <v>0.065210618</v>
      </c>
      <c r="AH37" s="24" t="n">
        <v>0.122003865</v>
      </c>
      <c r="AI37" s="24" t="n">
        <v>0.13147952</v>
      </c>
      <c r="AJ37" s="25" t="n"/>
      <c r="AK37" s="24" t="n">
        <v>0.094719682</v>
      </c>
      <c r="AL37" s="24" t="n">
        <v>0.057744922</v>
      </c>
      <c r="AM37" s="24" t="n">
        <v>0.099168621</v>
      </c>
      <c r="AN37" s="24" t="n">
        <v>0.107624202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0.670840787</v>
      </c>
      <c r="AD39" s="24" t="n">
        <v>0</v>
      </c>
      <c r="AE39" s="25" t="n"/>
      <c r="AF39" s="24" t="n">
        <v>92.58717434899999</v>
      </c>
      <c r="AG39" s="24" t="n">
        <v>-0.28594364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320</v>
      </c>
      <c r="AE42" s="31">
        <f>subQ!AE36</f>
        <v/>
      </c>
      <c r="AF42" s="32" t="n"/>
      <c r="AG42" s="32" t="n"/>
      <c r="AH42" s="32" t="n"/>
      <c r="AI42" s="30" t="n">
        <v>320</v>
      </c>
      <c r="AJ42" s="31">
        <f>subQ!AJ36</f>
        <v/>
      </c>
      <c r="AK42" s="32" t="n"/>
      <c r="AL42" s="32" t="n"/>
      <c r="AM42" s="32" t="n"/>
      <c r="AN42" s="30" t="n">
        <v>320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18400</v>
      </c>
      <c r="E45" s="2" t="inlineStr">
        <is>
          <t>원 — 네이버 정규장 종가(aik 확정종가 대조 · aik 19,150원)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20261013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19.7</v>
      </c>
      <c r="E48" s="2" t="inlineStr">
        <is>
          <t>PER 밴드 하단(배) — hist_quarterly(분기 평균가 ÷ TTM EPS, 13분기, 25/50/75 백분위) · 캡 5~30배 적용(원값 19.7/24.5/38.1)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24.5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0.2435631621422071</v>
      </c>
      <c r="E52" s="2" t="inlineStr">
        <is>
          <t>연결 — 법인세 = MAX(세전,0) × 세율(역산, 재현 오차 ≤ 0.05억 · 모델 assumptions 0.2436) · 최근 12분기 유효세율 28.5% 가 5~27% 밖 → 클립 대신 최근 8분기 중 세전 &gt; 0 인 7분기(2024Q3~2026Q2)의 법인세/세전 중위 24.4%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0.09507474980521917</v>
      </c>
      <c r="E53" s="2" t="inlineStr">
        <is>
          <t>연결 — 판관비 = 매출액 × 판관비율(역산, 재현 오차 ≤ 0.05억 · 모델 assumptions 0.0951)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0.01974654407417072</v>
      </c>
      <c r="E55" s="2" t="inlineStr">
        <is>
          <t>연결 — 이자손익 = (전분기 이자발생자산 × 자산이자율 − 전분기 총차입금 × 부채이자율)/4(역산, 재현 오차 ≤ 0.05억 · 모델 assumptions 0.0197)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0.05187119653541379</v>
      </c>
      <c r="E56" s="2" t="inlineStr">
        <is>
          <t>연결 — 같은 수식의 부채 쪽(총차입금 행이 없으면 0)(역산, 재현 오차 ≤ 0.05억 · 모델 assumptions 0.0519)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0.1625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한국카본(연)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247791.87</v>
      </c>
      <c r="F5" s="37" t="n">
        <v>247791.87</v>
      </c>
      <c r="G5" s="18" t="n">
        <v>255393.39</v>
      </c>
      <c r="H5" s="18" t="n">
        <v>230238.29</v>
      </c>
      <c r="I5" s="18" t="n">
        <v>264928.44</v>
      </c>
      <c r="J5" s="18" t="n">
        <v>289163.54</v>
      </c>
      <c r="K5" s="37" t="n">
        <v>289163.54</v>
      </c>
      <c r="L5" s="18" t="n">
        <v>315524.09</v>
      </c>
      <c r="M5" s="18" t="n">
        <v>355804.32</v>
      </c>
      <c r="N5" s="18" t="n">
        <v>400684.73</v>
      </c>
      <c r="O5" s="18" t="n">
        <v>398231.47</v>
      </c>
      <c r="P5" s="37" t="n">
        <v>398231.47</v>
      </c>
      <c r="Q5" s="18" t="n">
        <v>381207.48</v>
      </c>
      <c r="R5" s="18" t="n">
        <v>403917.09</v>
      </c>
      <c r="S5" s="18" t="n">
        <v>430381.52</v>
      </c>
      <c r="T5" s="18" t="n">
        <v>460860.28</v>
      </c>
      <c r="U5" s="37" t="n">
        <v>460860.28</v>
      </c>
      <c r="V5" s="18" t="n">
        <v>500085.88</v>
      </c>
      <c r="W5" s="18" t="n">
        <v>502890.88</v>
      </c>
      <c r="X5" s="18" t="n">
        <v>514786.25</v>
      </c>
      <c r="Y5" s="18" t="n">
        <v>607406.72</v>
      </c>
      <c r="Z5" s="37" t="n">
        <v>607406.72</v>
      </c>
      <c r="AA5" s="18" t="n">
        <v>639843.9399999999</v>
      </c>
      <c r="AB5" s="19" t="n">
        <v>681631.77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49048.03</v>
      </c>
      <c r="F6" s="37" t="n">
        <v>49048.03</v>
      </c>
      <c r="G6" s="18" t="n">
        <v>55331.27</v>
      </c>
      <c r="H6" s="18" t="n">
        <v>13926.27</v>
      </c>
      <c r="I6" s="18" t="n">
        <v>33955.6</v>
      </c>
      <c r="J6" s="18" t="n">
        <v>53576.76</v>
      </c>
      <c r="K6" s="37" t="n">
        <v>53576.76</v>
      </c>
      <c r="L6" s="18" t="n">
        <v>26157.63</v>
      </c>
      <c r="M6" s="18" t="n">
        <v>20147.7</v>
      </c>
      <c r="N6" s="18" t="n">
        <v>46967.12</v>
      </c>
      <c r="O6" s="18" t="n">
        <v>66697.91</v>
      </c>
      <c r="P6" s="37" t="n">
        <v>66697.91</v>
      </c>
      <c r="Q6" s="18" t="n">
        <v>37198.61</v>
      </c>
      <c r="R6" s="18" t="n">
        <v>81861.13</v>
      </c>
      <c r="S6" s="18" t="n">
        <v>79766.91</v>
      </c>
      <c r="T6" s="18" t="n">
        <v>57565.06</v>
      </c>
      <c r="U6" s="37" t="n">
        <v>57565.06</v>
      </c>
      <c r="V6" s="18" t="n">
        <v>111782.73</v>
      </c>
      <c r="W6" s="18" t="n">
        <v>93232.67</v>
      </c>
      <c r="X6" s="18" t="n">
        <v>102472.41</v>
      </c>
      <c r="Y6" s="18" t="n">
        <v>57866.93</v>
      </c>
      <c r="Z6" s="37" t="n">
        <v>57866.93</v>
      </c>
      <c r="AA6" s="18" t="n">
        <v>81410.23</v>
      </c>
      <c r="AB6" s="19" t="n">
        <v>110991.2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15572.82</v>
      </c>
      <c r="F7" s="37" t="n">
        <v>15572.82</v>
      </c>
      <c r="G7" s="18" t="n">
        <v>15064.68</v>
      </c>
      <c r="H7" s="18" t="n">
        <v>13889.3</v>
      </c>
      <c r="I7" s="18" t="n">
        <v>13035.65</v>
      </c>
      <c r="J7" s="18" t="n">
        <v>13165.04</v>
      </c>
      <c r="K7" s="37" t="n">
        <v>13165.04</v>
      </c>
      <c r="L7" s="18" t="n">
        <v>12386.95</v>
      </c>
      <c r="M7" s="18" t="n">
        <v>10759.94</v>
      </c>
      <c r="N7" s="18" t="n">
        <v>17128.44</v>
      </c>
      <c r="O7" s="18" t="n">
        <v>13022.45</v>
      </c>
      <c r="P7" s="37" t="n">
        <v>13022.45</v>
      </c>
      <c r="Q7" s="18" t="n">
        <v>17707.35</v>
      </c>
      <c r="R7" s="18" t="n">
        <v>8729.77</v>
      </c>
      <c r="S7" s="18" t="n">
        <v>9567.129999999999</v>
      </c>
      <c r="T7" s="18" t="n">
        <v>8598.209999999999</v>
      </c>
      <c r="U7" s="37" t="n">
        <v>8598.209999999999</v>
      </c>
      <c r="V7" s="18" t="n">
        <v>8340.84</v>
      </c>
      <c r="W7" s="18" t="n">
        <v>8240.639999999999</v>
      </c>
      <c r="X7" s="18" t="n">
        <v>8149.11</v>
      </c>
      <c r="Y7" s="18" t="n">
        <v>27093.22</v>
      </c>
      <c r="Z7" s="37" t="n">
        <v>27093.22</v>
      </c>
      <c r="AA7" s="18" t="n">
        <v>27408.82</v>
      </c>
      <c r="AB7" s="19" t="n">
        <v>27562.68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26206.73</v>
      </c>
      <c r="F8" s="37" t="n">
        <v>26206.73</v>
      </c>
      <c r="G8" s="18" t="n">
        <v>22838.73</v>
      </c>
      <c r="H8" s="18" t="n">
        <v>16474.68</v>
      </c>
      <c r="I8" s="18" t="n">
        <v>13035.65</v>
      </c>
      <c r="J8" s="18" t="n">
        <v>13169.65</v>
      </c>
      <c r="K8" s="37" t="n">
        <v>13169.65</v>
      </c>
      <c r="L8" s="18" t="n">
        <v>14399.7</v>
      </c>
      <c r="M8" s="18" t="n">
        <v>10759.94</v>
      </c>
      <c r="N8" s="18" t="n">
        <v>17128.44</v>
      </c>
      <c r="O8" s="18" t="n">
        <v>13022.45</v>
      </c>
      <c r="P8" s="37" t="n">
        <v>13022.45</v>
      </c>
      <c r="Q8" s="18" t="n">
        <v>17707.35</v>
      </c>
      <c r="R8" s="18" t="n">
        <v>8729.77</v>
      </c>
      <c r="S8" s="18" t="n">
        <v>9567.129999999999</v>
      </c>
      <c r="T8" s="18" t="n">
        <v>8598.209999999999</v>
      </c>
      <c r="U8" s="37" t="n">
        <v>8598.209999999999</v>
      </c>
      <c r="V8" s="18" t="n">
        <v>8340.84</v>
      </c>
      <c r="W8" s="18" t="n">
        <v>16435.73</v>
      </c>
      <c r="X8" s="18" t="n">
        <v>19642.88</v>
      </c>
      <c r="Y8" s="18" t="n">
        <v>36967.87</v>
      </c>
      <c r="Z8" s="37" t="n">
        <v>36967.87</v>
      </c>
      <c r="AA8" s="18" t="n">
        <v>29491.88</v>
      </c>
      <c r="AB8" s="19" t="n">
        <v>28812.89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34456.94</v>
      </c>
      <c r="F9" s="37" t="n">
        <v>34456.94</v>
      </c>
      <c r="G9" s="18" t="n">
        <v>36331.24</v>
      </c>
      <c r="H9" s="18" t="n">
        <v>43570.72</v>
      </c>
      <c r="I9" s="18" t="n">
        <v>53976.75</v>
      </c>
      <c r="J9" s="18" t="n">
        <v>39272.3</v>
      </c>
      <c r="K9" s="37" t="n">
        <v>39272.3</v>
      </c>
      <c r="L9" s="18" t="n">
        <v>58037.62</v>
      </c>
      <c r="M9" s="18" t="n">
        <v>74541.64</v>
      </c>
      <c r="N9" s="18" t="n">
        <v>83221.64999999999</v>
      </c>
      <c r="O9" s="18" t="n">
        <v>101111.57</v>
      </c>
      <c r="P9" s="37" t="n">
        <v>101111.57</v>
      </c>
      <c r="Q9" s="18" t="n">
        <v>110410.89</v>
      </c>
      <c r="R9" s="18" t="n">
        <v>85661.03</v>
      </c>
      <c r="S9" s="18" t="n">
        <v>75401.14999999999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90813.55</v>
      </c>
      <c r="F10" s="37" t="n">
        <v>90813.55</v>
      </c>
      <c r="G10" s="18" t="n">
        <v>102484.78</v>
      </c>
      <c r="H10" s="18" t="n">
        <v>134818.99</v>
      </c>
      <c r="I10" s="18" t="n">
        <v>139265.44</v>
      </c>
      <c r="J10" s="18" t="n">
        <v>156268.22</v>
      </c>
      <c r="K10" s="37" t="n">
        <v>156268.22</v>
      </c>
      <c r="L10" s="18" t="n">
        <v>186248.38</v>
      </c>
      <c r="M10" s="18" t="n">
        <v>193333.2</v>
      </c>
      <c r="N10" s="18" t="n">
        <v>220871.23</v>
      </c>
      <c r="O10" s="18" t="n">
        <v>180213.74</v>
      </c>
      <c r="P10" s="37" t="n">
        <v>180213.74</v>
      </c>
      <c r="Q10" s="18" t="n">
        <v>183181.59</v>
      </c>
      <c r="R10" s="18" t="n">
        <v>183391.46</v>
      </c>
      <c r="S10" s="18" t="n">
        <v>195244.82</v>
      </c>
      <c r="T10" s="18" t="n">
        <v>197476.02</v>
      </c>
      <c r="U10" s="37" t="n">
        <v>197476.02</v>
      </c>
      <c r="V10" s="18" t="n">
        <v>190637.47</v>
      </c>
      <c r="W10" s="18" t="n">
        <v>187215.75</v>
      </c>
      <c r="X10" s="18" t="n">
        <v>190217.71</v>
      </c>
      <c r="Y10" s="18" t="n">
        <v>197614.58</v>
      </c>
      <c r="Z10" s="37" t="n">
        <v>197614.58</v>
      </c>
      <c r="AA10" s="18" t="n">
        <v>204378.89</v>
      </c>
      <c r="AB10" s="19" t="n">
        <v>211457.85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1.5</v>
      </c>
      <c r="F11" s="37" t="n">
        <v>1.5</v>
      </c>
      <c r="G11" s="18" t="n">
        <v>2.02</v>
      </c>
      <c r="H11" s="18" t="n">
        <v>0.87</v>
      </c>
      <c r="I11" s="18" t="n">
        <v>1.03</v>
      </c>
      <c r="J11" s="18" t="n">
        <v>1.49</v>
      </c>
      <c r="K11" s="37" t="n">
        <v>1.49</v>
      </c>
      <c r="L11" s="18" t="n">
        <v>1.65</v>
      </c>
      <c r="M11" s="18" t="n">
        <v>0.73</v>
      </c>
      <c r="N11" s="18" t="n">
        <v>1.37</v>
      </c>
      <c r="O11" s="18" t="n">
        <v>2.91</v>
      </c>
      <c r="P11" s="37" t="n">
        <v>2.91</v>
      </c>
      <c r="Q11" s="18" t="n">
        <v>3.35</v>
      </c>
      <c r="R11" s="18" t="n">
        <v>3.5</v>
      </c>
      <c r="S11" s="18" t="n">
        <v>4.6</v>
      </c>
      <c r="T11" s="18" t="n">
        <v>6</v>
      </c>
      <c r="U11" s="37" t="n">
        <v>6</v>
      </c>
      <c r="V11" s="18" t="n">
        <v>7.29</v>
      </c>
      <c r="W11" s="18" t="n">
        <v>2.32</v>
      </c>
      <c r="X11" s="18" t="n">
        <v>4.79</v>
      </c>
      <c r="Y11" s="18" t="n">
        <v>15.32</v>
      </c>
      <c r="Z11" s="37" t="n">
        <v>15.32</v>
      </c>
      <c r="AA11" s="18" t="n">
        <v>15.02</v>
      </c>
      <c r="AB11" s="19" t="n">
        <v>2.17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4638.21</v>
      </c>
      <c r="F12" s="37" t="n">
        <v>4638.21</v>
      </c>
      <c r="G12" s="18" t="n">
        <v>3281.96</v>
      </c>
      <c r="H12" s="18" t="n">
        <v>5579.23</v>
      </c>
      <c r="I12" s="18" t="n">
        <v>6464.49</v>
      </c>
      <c r="J12" s="18" t="n">
        <v>7442.53</v>
      </c>
      <c r="K12" s="37" t="n">
        <v>7442.53</v>
      </c>
      <c r="L12" s="18" t="n">
        <v>8361.440000000001</v>
      </c>
      <c r="M12" s="18" t="n">
        <v>12632.03</v>
      </c>
      <c r="N12" s="18" t="n">
        <v>16787.66</v>
      </c>
      <c r="O12" s="18" t="n">
        <v>12638.85</v>
      </c>
      <c r="P12" s="37" t="n">
        <v>12638.85</v>
      </c>
      <c r="Q12" s="18" t="n">
        <v>15366.64</v>
      </c>
      <c r="R12" s="18" t="n">
        <v>18008.01</v>
      </c>
      <c r="S12" s="18" t="n">
        <v>15415.61</v>
      </c>
      <c r="T12" s="18" t="n">
        <v>15033.64</v>
      </c>
      <c r="U12" s="37" t="n">
        <v>15033.64</v>
      </c>
      <c r="V12" s="18" t="n">
        <v>18208.04</v>
      </c>
      <c r="W12" s="18" t="n">
        <v>21927.4</v>
      </c>
      <c r="X12" s="18" t="n">
        <v>22418.53</v>
      </c>
      <c r="Y12" s="18" t="n">
        <v>18096.17</v>
      </c>
      <c r="Z12" s="37" t="n">
        <v>18096.17</v>
      </c>
      <c r="AA12" s="18" t="n">
        <v>32566.7</v>
      </c>
      <c r="AB12" s="19" t="n">
        <v>29001.05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17.52</v>
      </c>
      <c r="F13" s="37" t="n">
        <v>17.52</v>
      </c>
      <c r="G13" s="18" t="n">
        <v>17.64</v>
      </c>
      <c r="H13" s="18" t="n">
        <v>18.1</v>
      </c>
      <c r="I13" s="18" t="n">
        <v>18.93</v>
      </c>
      <c r="J13" s="18" t="n">
        <v>17.98</v>
      </c>
      <c r="K13" s="37" t="n">
        <v>17.98</v>
      </c>
      <c r="L13" s="18" t="n">
        <v>7.08</v>
      </c>
      <c r="M13" s="18" t="n">
        <v>7.14</v>
      </c>
      <c r="N13" s="18" t="n">
        <v>7.33</v>
      </c>
      <c r="O13" s="18" t="n">
        <v>4.47</v>
      </c>
      <c r="P13" s="37" t="n">
        <v>4.47</v>
      </c>
      <c r="Q13" s="18" t="n">
        <v>4.66</v>
      </c>
      <c r="R13" s="18" t="n">
        <v>4.81</v>
      </c>
      <c r="S13" s="18" t="n">
        <v>4.59</v>
      </c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250546.52</v>
      </c>
      <c r="F14" s="37" t="n">
        <v>250546.52</v>
      </c>
      <c r="G14" s="18" t="n">
        <v>249980.14</v>
      </c>
      <c r="H14" s="18" t="n">
        <v>288907.99</v>
      </c>
      <c r="I14" s="18" t="n">
        <v>292458.61</v>
      </c>
      <c r="J14" s="18" t="n">
        <v>296152.11</v>
      </c>
      <c r="K14" s="37" t="n">
        <v>296152.11</v>
      </c>
      <c r="L14" s="18" t="n">
        <v>296653.95</v>
      </c>
      <c r="M14" s="18" t="n">
        <v>299876.49</v>
      </c>
      <c r="N14" s="18" t="n">
        <v>394313.91</v>
      </c>
      <c r="O14" s="18" t="n">
        <v>394192.2</v>
      </c>
      <c r="P14" s="37" t="n">
        <v>394192.2</v>
      </c>
      <c r="Q14" s="18" t="n">
        <v>407449.62</v>
      </c>
      <c r="R14" s="18" t="n">
        <v>417050.3</v>
      </c>
      <c r="S14" s="18" t="n">
        <v>405736</v>
      </c>
      <c r="T14" s="18" t="n">
        <v>418106.15</v>
      </c>
      <c r="U14" s="37" t="n">
        <v>418106.15</v>
      </c>
      <c r="V14" s="18" t="n">
        <v>421740.83</v>
      </c>
      <c r="W14" s="18" t="n">
        <v>428551.6</v>
      </c>
      <c r="X14" s="18" t="n">
        <v>433794.09</v>
      </c>
      <c r="Y14" s="18" t="n">
        <v>435813.92</v>
      </c>
      <c r="Z14" s="37" t="n">
        <v>435813.92</v>
      </c>
      <c r="AA14" s="18" t="n">
        <v>450490.95</v>
      </c>
      <c r="AB14" s="19" t="n">
        <v>455571.8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8603.48</v>
      </c>
      <c r="F15" s="37" t="n">
        <v>8603.48</v>
      </c>
      <c r="G15" s="18" t="n">
        <v>8619.139999999999</v>
      </c>
      <c r="H15" s="18" t="n">
        <v>8633.299999999999</v>
      </c>
      <c r="I15" s="18" t="n">
        <v>6786.97</v>
      </c>
      <c r="J15" s="18" t="n">
        <v>7011.4</v>
      </c>
      <c r="K15" s="37" t="n">
        <v>7011.4</v>
      </c>
      <c r="L15" s="18" t="n">
        <v>4999.55</v>
      </c>
      <c r="M15" s="18" t="n">
        <v>4555.42</v>
      </c>
      <c r="N15" s="18" t="n">
        <v>484</v>
      </c>
      <c r="O15" s="18" t="n">
        <v>352</v>
      </c>
      <c r="P15" s="37" t="n">
        <v>352</v>
      </c>
      <c r="Q15" s="18" t="n">
        <v>352</v>
      </c>
      <c r="R15" s="18" t="n">
        <v>352</v>
      </c>
      <c r="S15" s="18" t="n">
        <v>352</v>
      </c>
      <c r="T15" s="18" t="n">
        <v>28160.62</v>
      </c>
      <c r="U15" s="37" t="n">
        <v>28160.62</v>
      </c>
      <c r="V15" s="18" t="n">
        <v>25462.51</v>
      </c>
      <c r="W15" s="18" t="n">
        <v>27550.69</v>
      </c>
      <c r="X15" s="18" t="n">
        <v>25693.83</v>
      </c>
      <c r="Y15" s="18" t="n">
        <v>24350.66</v>
      </c>
      <c r="Z15" s="37" t="n">
        <v>24350.66</v>
      </c>
      <c r="AA15" s="18" t="n">
        <v>25244.97</v>
      </c>
      <c r="AB15" s="19" t="n">
        <v>24231.24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8603.48</v>
      </c>
      <c r="F16" s="37" t="n">
        <v>8603.48</v>
      </c>
      <c r="G16" s="18" t="n">
        <v>8619.139999999999</v>
      </c>
      <c r="H16" s="18" t="n">
        <v>8633.299999999999</v>
      </c>
      <c r="I16" s="18" t="n">
        <v>6786.97</v>
      </c>
      <c r="J16" s="18" t="n">
        <v>7011.4</v>
      </c>
      <c r="K16" s="37" t="n">
        <v>7011.4</v>
      </c>
      <c r="L16" s="18" t="n">
        <v>4999.55</v>
      </c>
      <c r="M16" s="18" t="n">
        <v>4555.42</v>
      </c>
      <c r="N16" s="18" t="n">
        <v>484</v>
      </c>
      <c r="O16" s="18" t="n">
        <v>352</v>
      </c>
      <c r="P16" s="37" t="n">
        <v>352</v>
      </c>
      <c r="Q16" s="18" t="n">
        <v>352</v>
      </c>
      <c r="R16" s="18" t="n">
        <v>2459.17</v>
      </c>
      <c r="S16" s="18" t="n">
        <v>2201.34</v>
      </c>
      <c r="T16" s="18" t="n">
        <v>30034.34</v>
      </c>
      <c r="U16" s="37" t="n">
        <v>30034.34</v>
      </c>
      <c r="V16" s="18" t="n">
        <v>27223.22</v>
      </c>
      <c r="W16" s="18" t="n">
        <v>29120.98</v>
      </c>
      <c r="X16" s="18" t="n">
        <v>27105.07</v>
      </c>
      <c r="Y16" s="18" t="n">
        <v>26378.47</v>
      </c>
      <c r="Z16" s="37" t="n">
        <v>26378.47</v>
      </c>
      <c r="AA16" s="18" t="n">
        <v>27284.42</v>
      </c>
      <c r="AB16" s="19" t="n">
        <v>24448.87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184644.78</v>
      </c>
      <c r="F17" s="37" t="n">
        <v>184644.78</v>
      </c>
      <c r="G17" s="18" t="n">
        <v>188799.2</v>
      </c>
      <c r="H17" s="18" t="n">
        <v>203871.73</v>
      </c>
      <c r="I17" s="18" t="n">
        <v>210828.11</v>
      </c>
      <c r="J17" s="18" t="n">
        <v>212463.84</v>
      </c>
      <c r="K17" s="37" t="n">
        <v>212463.84</v>
      </c>
      <c r="L17" s="18" t="n">
        <v>216939.52</v>
      </c>
      <c r="M17" s="18" t="n">
        <v>220144.48</v>
      </c>
      <c r="N17" s="18" t="n">
        <v>272351.99</v>
      </c>
      <c r="O17" s="18" t="n">
        <v>271300.75</v>
      </c>
      <c r="P17" s="37" t="n">
        <v>271300.75</v>
      </c>
      <c r="Q17" s="18" t="n">
        <v>282316.44</v>
      </c>
      <c r="R17" s="18" t="n">
        <v>293636.26</v>
      </c>
      <c r="S17" s="18" t="n">
        <v>304656.7</v>
      </c>
      <c r="T17" s="18" t="n">
        <v>312075.75</v>
      </c>
      <c r="U17" s="37" t="n">
        <v>312075.75</v>
      </c>
      <c r="V17" s="18" t="n">
        <v>319612.24</v>
      </c>
      <c r="W17" s="18" t="n">
        <v>330343.11</v>
      </c>
      <c r="X17" s="18" t="n">
        <v>333503.58</v>
      </c>
      <c r="Y17" s="18" t="n">
        <v>335053.95</v>
      </c>
      <c r="Z17" s="37" t="n">
        <v>335053.95</v>
      </c>
      <c r="AA17" s="18" t="n">
        <v>344413.76</v>
      </c>
      <c r="AB17" s="19" t="n">
        <v>352503.89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4645.89</v>
      </c>
      <c r="F18" s="37" t="n">
        <v>4645.89</v>
      </c>
      <c r="G18" s="18" t="n">
        <v>5065.46</v>
      </c>
      <c r="H18" s="18" t="n">
        <v>5000.07</v>
      </c>
      <c r="I18" s="18" t="n">
        <v>5450.99</v>
      </c>
      <c r="J18" s="18" t="n">
        <v>5837.24</v>
      </c>
      <c r="K18" s="37" t="n">
        <v>5837.24</v>
      </c>
      <c r="L18" s="18" t="n">
        <v>5723.6</v>
      </c>
      <c r="M18" s="18" t="n">
        <v>5853.86</v>
      </c>
      <c r="N18" s="18" t="n">
        <v>5875.01</v>
      </c>
      <c r="O18" s="18" t="n">
        <v>6090.91</v>
      </c>
      <c r="P18" s="37" t="n">
        <v>6090.91</v>
      </c>
      <c r="Q18" s="18" t="n">
        <v>9756.110000000001</v>
      </c>
      <c r="R18" s="18" t="n">
        <v>15708.52</v>
      </c>
      <c r="S18" s="18" t="n">
        <v>8986.02</v>
      </c>
      <c r="T18" s="18" t="n">
        <v>9518.709999999999</v>
      </c>
      <c r="U18" s="37" t="n">
        <v>9518.709999999999</v>
      </c>
      <c r="V18" s="18" t="n">
        <v>9170.110000000001</v>
      </c>
      <c r="W18" s="18" t="n">
        <v>8680.700000000001</v>
      </c>
      <c r="X18" s="18" t="n">
        <v>12931.26</v>
      </c>
      <c r="Y18" s="18" t="n">
        <v>9752.51</v>
      </c>
      <c r="Z18" s="37" t="n">
        <v>9752.51</v>
      </c>
      <c r="AA18" s="18" t="n">
        <v>10981.77</v>
      </c>
      <c r="AB18" s="19" t="n">
        <v>11831.01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5525.31</v>
      </c>
      <c r="F19" s="37" t="n">
        <v>5525.31</v>
      </c>
      <c r="G19" s="18" t="n">
        <v>5927.03</v>
      </c>
      <c r="H19" s="18" t="n">
        <v>5860.87</v>
      </c>
      <c r="I19" s="18" t="n">
        <v>6378.43</v>
      </c>
      <c r="J19" s="18" t="n">
        <v>9312.02</v>
      </c>
      <c r="K19" s="37" t="n">
        <v>9312.02</v>
      </c>
      <c r="L19" s="18" t="n">
        <v>9305.07</v>
      </c>
      <c r="M19" s="18" t="n">
        <v>9392.120000000001</v>
      </c>
      <c r="N19" s="18" t="n">
        <v>9509.02</v>
      </c>
      <c r="O19" s="18" t="n">
        <v>8941.309999999999</v>
      </c>
      <c r="P19" s="37" t="n">
        <v>8941.309999999999</v>
      </c>
      <c r="Q19" s="18" t="n">
        <v>11742.4</v>
      </c>
      <c r="R19" s="18" t="n">
        <v>18659.96</v>
      </c>
      <c r="S19" s="18" t="n">
        <v>11660.56</v>
      </c>
      <c r="T19" s="18" t="n">
        <v>10447.46</v>
      </c>
      <c r="U19" s="37" t="n">
        <v>10447.46</v>
      </c>
      <c r="V19" s="18" t="n">
        <v>10078.95</v>
      </c>
      <c r="W19" s="18" t="n">
        <v>9602.07</v>
      </c>
      <c r="X19" s="18" t="n">
        <v>13910.28</v>
      </c>
      <c r="Y19" s="18" t="n">
        <v>10834.44</v>
      </c>
      <c r="Z19" s="37" t="n">
        <v>10834.44</v>
      </c>
      <c r="AA19" s="18" t="n">
        <v>11388.72</v>
      </c>
      <c r="AB19" s="19" t="n">
        <v>12331.47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2288.39</v>
      </c>
      <c r="F20" s="37" t="n">
        <v>2288.39</v>
      </c>
      <c r="G20" s="18" t="n">
        <v>2267.03</v>
      </c>
      <c r="H20" s="18" t="n">
        <v>2296.01</v>
      </c>
      <c r="I20" s="18" t="n">
        <v>2268.27</v>
      </c>
      <c r="J20" s="18" t="n">
        <v>2254.49</v>
      </c>
      <c r="K20" s="37" t="n">
        <v>2254.49</v>
      </c>
      <c r="L20" s="18" t="n">
        <v>2227.83</v>
      </c>
      <c r="M20" s="18" t="n">
        <v>2203.03</v>
      </c>
      <c r="N20" s="18" t="n">
        <v>37272.64</v>
      </c>
      <c r="O20" s="18" t="n">
        <v>39710.47</v>
      </c>
      <c r="P20" s="37" t="n">
        <v>39710.47</v>
      </c>
      <c r="Q20" s="18" t="n">
        <v>39007.07</v>
      </c>
      <c r="R20" s="18" t="n">
        <v>38318.23</v>
      </c>
      <c r="S20" s="18" t="n">
        <v>38121.11</v>
      </c>
      <c r="T20" s="18" t="n">
        <v>42412.51</v>
      </c>
      <c r="U20" s="37" t="n">
        <v>42412.51</v>
      </c>
      <c r="V20" s="18" t="n">
        <v>41821.46</v>
      </c>
      <c r="W20" s="18" t="n">
        <v>40877.61</v>
      </c>
      <c r="X20" s="18" t="n">
        <v>40040.88</v>
      </c>
      <c r="Y20" s="18" t="n">
        <v>39341.74</v>
      </c>
      <c r="Z20" s="37" t="n">
        <v>39341.74</v>
      </c>
      <c r="AA20" s="18" t="n">
        <v>39145.24</v>
      </c>
      <c r="AB20" s="19" t="n">
        <v>42032.88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1569.61</v>
      </c>
      <c r="F21" s="37" t="n">
        <v>1569.61</v>
      </c>
      <c r="G21" s="18" t="n">
        <v>1430.64</v>
      </c>
      <c r="H21" s="18" t="n">
        <v>1595.32</v>
      </c>
      <c r="I21" s="18" t="n">
        <v>1879.55</v>
      </c>
      <c r="J21" s="18" t="n">
        <v>2866.8</v>
      </c>
      <c r="K21" s="37" t="n">
        <v>2866.8</v>
      </c>
      <c r="L21" s="18" t="n">
        <v>3569.43</v>
      </c>
      <c r="M21" s="18" t="n">
        <v>2562.05</v>
      </c>
      <c r="N21" s="18" t="n">
        <v>1781.31</v>
      </c>
      <c r="O21" s="18" t="n">
        <v>1768.48</v>
      </c>
      <c r="P21" s="37" t="n">
        <v>1768.48</v>
      </c>
      <c r="Q21" s="18" t="n">
        <v>1938.86</v>
      </c>
      <c r="R21" s="18" t="n">
        <v>1840.37</v>
      </c>
      <c r="S21" s="18" t="n">
        <v>565.8200000000001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498355.91</v>
      </c>
      <c r="F22" s="37" t="n">
        <v>498355.91</v>
      </c>
      <c r="G22" s="18" t="n">
        <v>505391.17</v>
      </c>
      <c r="H22" s="18" t="n">
        <v>519164.39</v>
      </c>
      <c r="I22" s="18" t="n">
        <v>557405.98</v>
      </c>
      <c r="J22" s="18" t="n">
        <v>585333.64</v>
      </c>
      <c r="K22" s="37" t="n">
        <v>585333.64</v>
      </c>
      <c r="L22" s="18" t="n">
        <v>612185.13</v>
      </c>
      <c r="M22" s="18" t="n">
        <v>655687.95</v>
      </c>
      <c r="N22" s="18" t="n">
        <v>795005.97</v>
      </c>
      <c r="O22" s="18" t="n">
        <v>792428.14</v>
      </c>
      <c r="P22" s="37" t="n">
        <v>792428.14</v>
      </c>
      <c r="Q22" s="18" t="n">
        <v>788661.75</v>
      </c>
      <c r="R22" s="18" t="n">
        <v>820972.2</v>
      </c>
      <c r="S22" s="18" t="n">
        <v>836122.12</v>
      </c>
      <c r="T22" s="18" t="n">
        <v>878968.66</v>
      </c>
      <c r="U22" s="37" t="n">
        <v>878968.66</v>
      </c>
      <c r="V22" s="18" t="n">
        <v>921828.9300000001</v>
      </c>
      <c r="W22" s="18" t="n">
        <v>931444.35</v>
      </c>
      <c r="X22" s="18" t="n">
        <v>948582.27</v>
      </c>
      <c r="Y22" s="18" t="n">
        <v>1043222.62</v>
      </c>
      <c r="Z22" s="37" t="n">
        <v>1043222.62</v>
      </c>
      <c r="AA22" s="18" t="n">
        <v>1090336.96</v>
      </c>
      <c r="AB22" s="19" t="n">
        <v>1137205.69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93991.13</v>
      </c>
      <c r="F23" s="37" t="n">
        <v>93991.13</v>
      </c>
      <c r="G23" s="18" t="n">
        <v>98508.84</v>
      </c>
      <c r="H23" s="18" t="n">
        <v>100289.98</v>
      </c>
      <c r="I23" s="18" t="n">
        <v>124167.55</v>
      </c>
      <c r="J23" s="18" t="n">
        <v>156336.84</v>
      </c>
      <c r="K23" s="37" t="n">
        <v>156336.84</v>
      </c>
      <c r="L23" s="18" t="n">
        <v>190631.59</v>
      </c>
      <c r="M23" s="18" t="n">
        <v>229480.38</v>
      </c>
      <c r="N23" s="18" t="n">
        <v>267544.14</v>
      </c>
      <c r="O23" s="18" t="n">
        <v>297365.08</v>
      </c>
      <c r="P23" s="37" t="n">
        <v>297365.08</v>
      </c>
      <c r="Q23" s="18" t="n">
        <v>294892.91</v>
      </c>
      <c r="R23" s="18" t="n">
        <v>318477.21</v>
      </c>
      <c r="S23" s="18" t="n">
        <v>326698.75</v>
      </c>
      <c r="T23" s="18" t="n">
        <v>369168.31</v>
      </c>
      <c r="U23" s="37" t="n">
        <v>369168.31</v>
      </c>
      <c r="V23" s="18" t="n">
        <v>400337.98</v>
      </c>
      <c r="W23" s="18" t="n">
        <v>360072.68</v>
      </c>
      <c r="X23" s="18" t="n">
        <v>357565.87</v>
      </c>
      <c r="Y23" s="18" t="n">
        <v>424075.43</v>
      </c>
      <c r="Z23" s="37" t="n">
        <v>424075.43</v>
      </c>
      <c r="AA23" s="18" t="n">
        <v>476206.81</v>
      </c>
      <c r="AB23" s="19" t="n">
        <v>418873.44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7098</v>
      </c>
      <c r="F24" s="37" t="n">
        <v>7098</v>
      </c>
      <c r="G24" s="18" t="n">
        <v>6933</v>
      </c>
      <c r="H24" s="18" t="n">
        <v>11426</v>
      </c>
      <c r="I24" s="18" t="n">
        <v>34463</v>
      </c>
      <c r="J24" s="18" t="n">
        <v>44318</v>
      </c>
      <c r="K24" s="37" t="n">
        <v>44318</v>
      </c>
      <c r="L24" s="18" t="n">
        <v>56129.22</v>
      </c>
      <c r="M24" s="18" t="n">
        <v>73859.41</v>
      </c>
      <c r="N24" s="18" t="n">
        <v>89467.44</v>
      </c>
      <c r="O24" s="18" t="n">
        <v>89232.02</v>
      </c>
      <c r="P24" s="37" t="n">
        <v>89232.02</v>
      </c>
      <c r="Q24" s="18" t="n">
        <v>68025.21000000001</v>
      </c>
      <c r="R24" s="18" t="n">
        <v>64811.33</v>
      </c>
      <c r="S24" s="18" t="n">
        <v>64507.15</v>
      </c>
      <c r="T24" s="18" t="n">
        <v>47232.3</v>
      </c>
      <c r="U24" s="37" t="n">
        <v>47232.3</v>
      </c>
      <c r="V24" s="18" t="n">
        <v>42758</v>
      </c>
      <c r="W24" s="18" t="n">
        <v>25210.4</v>
      </c>
      <c r="X24" s="18" t="n">
        <v>15969.34</v>
      </c>
      <c r="Y24" s="18" t="n">
        <v>81871.44</v>
      </c>
      <c r="Z24" s="37" t="n">
        <v>81871.44</v>
      </c>
      <c r="AA24" s="18" t="n">
        <v>99511.75</v>
      </c>
      <c r="AB24" s="19" t="n">
        <v>117889.05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15948.57</v>
      </c>
      <c r="F25" s="37" t="n">
        <v>15948.57</v>
      </c>
      <c r="G25" s="18" t="n">
        <v>12166.91</v>
      </c>
      <c r="H25" s="18" t="n">
        <v>939.1</v>
      </c>
      <c r="I25" s="18" t="n">
        <v>4619.33</v>
      </c>
      <c r="J25" s="18" t="n">
        <v>853.42</v>
      </c>
      <c r="K25" s="37" t="n">
        <v>853.42</v>
      </c>
      <c r="L25" s="18" t="n">
        <v>1398.73</v>
      </c>
      <c r="M25" s="18" t="n">
        <v>2046.89</v>
      </c>
      <c r="N25" s="18" t="n">
        <v>4376.03</v>
      </c>
      <c r="O25" s="18" t="n">
        <v>15250.36</v>
      </c>
      <c r="P25" s="37" t="n">
        <v>15250.36</v>
      </c>
      <c r="Q25" s="18" t="n">
        <v>17018.06</v>
      </c>
      <c r="R25" s="18" t="n">
        <v>16697.2</v>
      </c>
      <c r="S25" s="18" t="n">
        <v>6367.2</v>
      </c>
      <c r="T25" s="18" t="n">
        <v>5930.95</v>
      </c>
      <c r="U25" s="37" t="n">
        <v>5930.95</v>
      </c>
      <c r="V25" s="18" t="n">
        <v>4724.7</v>
      </c>
      <c r="W25" s="18" t="n">
        <v>5518.45</v>
      </c>
      <c r="X25" s="18" t="n">
        <v>16312.2</v>
      </c>
      <c r="Y25" s="18" t="n">
        <v>3912.2</v>
      </c>
      <c r="Z25" s="37" t="n">
        <v>3912.2</v>
      </c>
      <c r="AA25" s="18" t="n">
        <v>18462.28</v>
      </c>
      <c r="AB25" s="19" t="n">
        <v>2826.27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391.38</v>
      </c>
      <c r="F26" s="37" t="n">
        <v>391.38</v>
      </c>
      <c r="G26" s="18" t="n">
        <v>489.57</v>
      </c>
      <c r="H26" s="18" t="n">
        <v>2557.35</v>
      </c>
      <c r="I26" s="18" t="n">
        <v>8009.58</v>
      </c>
      <c r="J26" s="18" t="n">
        <v>1801.08</v>
      </c>
      <c r="K26" s="37" t="n">
        <v>1801.08</v>
      </c>
      <c r="L26" s="18" t="n">
        <v>2916.01</v>
      </c>
      <c r="M26" s="18" t="n">
        <v>2856.94</v>
      </c>
      <c r="N26" s="18" t="n">
        <v>3516.42</v>
      </c>
      <c r="O26" s="18" t="n">
        <v>1059.06</v>
      </c>
      <c r="P26" s="37" t="n">
        <v>1059.06</v>
      </c>
      <c r="Q26" s="18" t="n">
        <v>2527.98</v>
      </c>
      <c r="R26" s="18" t="n">
        <v>3985.62</v>
      </c>
      <c r="S26" s="18" t="n">
        <v>815.26</v>
      </c>
      <c r="T26" s="18" t="n">
        <v>8836.290000000001</v>
      </c>
      <c r="U26" s="37" t="n">
        <v>8836.290000000001</v>
      </c>
      <c r="V26" s="18" t="n">
        <v>8348.9</v>
      </c>
      <c r="W26" s="18" t="n">
        <v>1965.76</v>
      </c>
      <c r="X26" s="18" t="n">
        <v>3812.27</v>
      </c>
      <c r="Y26" s="18" t="n">
        <v>5320.45</v>
      </c>
      <c r="Z26" s="37" t="n">
        <v>5320.45</v>
      </c>
      <c r="AA26" s="18" t="n">
        <v>10209.77</v>
      </c>
      <c r="AB26" s="19" t="n">
        <v>12596.44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1067.03</v>
      </c>
      <c r="F27" s="37" t="n">
        <v>1067.03</v>
      </c>
      <c r="G27" s="18" t="n">
        <v>1418.08</v>
      </c>
      <c r="H27" s="18" t="n">
        <v>10499.6</v>
      </c>
      <c r="I27" s="18" t="n">
        <v>9034.809999999999</v>
      </c>
      <c r="J27" s="18" t="n">
        <v>3325.52</v>
      </c>
      <c r="K27" s="37" t="n">
        <v>3325.52</v>
      </c>
      <c r="L27" s="18" t="n">
        <v>4438.28</v>
      </c>
      <c r="M27" s="18" t="n">
        <v>4480.29</v>
      </c>
      <c r="N27" s="18" t="n">
        <v>5228.28</v>
      </c>
      <c r="O27" s="18" t="n">
        <v>2619.86</v>
      </c>
      <c r="P27" s="37" t="n">
        <v>2619.86</v>
      </c>
      <c r="Q27" s="18" t="n">
        <v>4404.86</v>
      </c>
      <c r="R27" s="18" t="n">
        <v>5641.69</v>
      </c>
      <c r="S27" s="18" t="n">
        <v>2014.88</v>
      </c>
      <c r="T27" s="18" t="n">
        <v>10483.33</v>
      </c>
      <c r="U27" s="37" t="n">
        <v>10483.33</v>
      </c>
      <c r="V27" s="18" t="n">
        <v>9889.719999999999</v>
      </c>
      <c r="W27" s="18" t="n">
        <v>28628.7</v>
      </c>
      <c r="X27" s="18" t="n">
        <v>39215.6</v>
      </c>
      <c r="Y27" s="18" t="n">
        <v>35816.73</v>
      </c>
      <c r="Z27" s="37" t="n">
        <v>35816.73</v>
      </c>
      <c r="AA27" s="18" t="n">
        <v>53605.11</v>
      </c>
      <c r="AB27" s="19" t="n">
        <v>18289.54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6891.83</v>
      </c>
      <c r="F28" s="37" t="n">
        <v>6891.83</v>
      </c>
      <c r="G28" s="18" t="n">
        <v>5705.33</v>
      </c>
      <c r="H28" s="18" t="n">
        <v>3596.05</v>
      </c>
      <c r="I28" s="18" t="n">
        <v>5480.23</v>
      </c>
      <c r="J28" s="18" t="n">
        <v>5749.73</v>
      </c>
      <c r="K28" s="37" t="n">
        <v>5749.73</v>
      </c>
      <c r="L28" s="18" t="n">
        <v>4736.86</v>
      </c>
      <c r="M28" s="18" t="n">
        <v>2115.17</v>
      </c>
      <c r="N28" s="18" t="n">
        <v>5702.61</v>
      </c>
      <c r="O28" s="18" t="n">
        <v>3077.95</v>
      </c>
      <c r="P28" s="37" t="n">
        <v>3077.95</v>
      </c>
      <c r="Q28" s="18" t="n">
        <v>4661.3</v>
      </c>
      <c r="R28" s="18" t="n">
        <v>14146.44</v>
      </c>
      <c r="S28" s="18" t="n">
        <v>10233.25</v>
      </c>
      <c r="T28" s="18" t="n">
        <v>11687.15</v>
      </c>
      <c r="U28" s="37" t="n">
        <v>11687.15</v>
      </c>
      <c r="V28" s="18" t="n">
        <v>11689.01</v>
      </c>
      <c r="W28" s="18" t="n">
        <v>9771.83</v>
      </c>
      <c r="X28" s="18" t="n">
        <v>13253.1</v>
      </c>
      <c r="Y28" s="18" t="n">
        <v>31494.08</v>
      </c>
      <c r="Z28" s="37" t="n">
        <v>31494.08</v>
      </c>
      <c r="AA28" s="18" t="n">
        <v>28404.72</v>
      </c>
      <c r="AB28" s="19" t="n">
        <v>16973.66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675.65</v>
      </c>
      <c r="F29" s="37" t="n">
        <v>675.65</v>
      </c>
      <c r="G29" s="18" t="n">
        <v>928.51</v>
      </c>
      <c r="H29" s="18" t="n">
        <v>7942.25</v>
      </c>
      <c r="I29" s="18" t="n">
        <v>1025.23</v>
      </c>
      <c r="J29" s="18" t="n">
        <v>1524.44</v>
      </c>
      <c r="K29" s="37" t="n">
        <v>1524.44</v>
      </c>
      <c r="L29" s="18" t="n">
        <v>1522.27</v>
      </c>
      <c r="M29" s="18" t="n">
        <v>1623.35</v>
      </c>
      <c r="N29" s="18" t="n">
        <v>1711.86</v>
      </c>
      <c r="O29" s="18" t="n">
        <v>1560.8</v>
      </c>
      <c r="P29" s="37" t="n">
        <v>1560.8</v>
      </c>
      <c r="Q29" s="18" t="n">
        <v>1876.88</v>
      </c>
      <c r="R29" s="18" t="n">
        <v>1656.07</v>
      </c>
      <c r="S29" s="18" t="n">
        <v>1199.62</v>
      </c>
      <c r="T29" s="18" t="n">
        <v>1647.04</v>
      </c>
      <c r="U29" s="37" t="n">
        <v>1647.04</v>
      </c>
      <c r="V29" s="18" t="n">
        <v>1540.82</v>
      </c>
      <c r="W29" s="18" t="n">
        <v>1468.82</v>
      </c>
      <c r="X29" s="18" t="n">
        <v>3630.41</v>
      </c>
      <c r="Y29" s="18" t="n">
        <v>2361.39</v>
      </c>
      <c r="Z29" s="37" t="n">
        <v>2361.39</v>
      </c>
      <c r="AA29" s="18" t="n">
        <v>3309.38</v>
      </c>
      <c r="AB29" s="19" t="n">
        <v>4237.91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1583.48</v>
      </c>
      <c r="F30" s="37" t="n">
        <v>1583.48</v>
      </c>
      <c r="G30" s="18" t="n">
        <v>1879.25</v>
      </c>
      <c r="H30" s="18" t="n">
        <v>8737.030000000001</v>
      </c>
      <c r="I30" s="18" t="n">
        <v>1980.98</v>
      </c>
      <c r="J30" s="18" t="n">
        <v>2768.12</v>
      </c>
      <c r="K30" s="37" t="n">
        <v>2768.12</v>
      </c>
      <c r="L30" s="18" t="n">
        <v>2616.72</v>
      </c>
      <c r="M30" s="18" t="n">
        <v>2730.01</v>
      </c>
      <c r="N30" s="18" t="n">
        <v>2843.57</v>
      </c>
      <c r="O30" s="18" t="n">
        <v>2552.46</v>
      </c>
      <c r="P30" s="37" t="n">
        <v>2552.46</v>
      </c>
      <c r="Q30" s="18" t="n">
        <v>5490.17</v>
      </c>
      <c r="R30" s="18" t="n">
        <v>5030.76</v>
      </c>
      <c r="S30" s="18" t="n">
        <v>4899.76</v>
      </c>
      <c r="T30" s="18" t="n">
        <v>5174.05</v>
      </c>
      <c r="U30" s="37" t="n">
        <v>5174.05</v>
      </c>
      <c r="V30" s="18" t="n">
        <v>4934.68</v>
      </c>
      <c r="W30" s="18" t="n">
        <v>4825.87</v>
      </c>
      <c r="X30" s="18" t="n">
        <v>9049.57</v>
      </c>
      <c r="Y30" s="18" t="n">
        <v>5851.97</v>
      </c>
      <c r="Z30" s="37" t="n">
        <v>5851.97</v>
      </c>
      <c r="AA30" s="18" t="n">
        <v>7165.51</v>
      </c>
      <c r="AB30" s="19" t="n">
        <v>7975.5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10935.17</v>
      </c>
      <c r="F31" s="37" t="n">
        <v>10935.17</v>
      </c>
      <c r="G31" s="18" t="n">
        <v>10639.42</v>
      </c>
      <c r="H31" s="18" t="n">
        <v>13223.41</v>
      </c>
      <c r="I31" s="18" t="n">
        <v>13219.04</v>
      </c>
      <c r="J31" s="18" t="n">
        <v>30617.17</v>
      </c>
      <c r="K31" s="37" t="n">
        <v>30617.17</v>
      </c>
      <c r="L31" s="18" t="n">
        <v>42970.94</v>
      </c>
      <c r="M31" s="18" t="n">
        <v>55786.23</v>
      </c>
      <c r="N31" s="18" t="n">
        <v>72129.8</v>
      </c>
      <c r="O31" s="18" t="n">
        <v>84883.34</v>
      </c>
      <c r="P31" s="37" t="n">
        <v>84883.34</v>
      </c>
      <c r="Q31" s="18" t="n">
        <v>79767.12</v>
      </c>
      <c r="R31" s="18" t="n">
        <v>105771.63</v>
      </c>
      <c r="S31" s="18" t="n">
        <v>122438.8</v>
      </c>
      <c r="T31" s="18" t="n">
        <v>173791.2</v>
      </c>
      <c r="U31" s="37" t="n">
        <v>173791.2</v>
      </c>
      <c r="V31" s="18" t="n">
        <v>186654.78</v>
      </c>
      <c r="W31" s="18" t="n">
        <v>164353.86</v>
      </c>
      <c r="X31" s="18" t="n">
        <v>150325.64</v>
      </c>
      <c r="Y31" s="18" t="n">
        <v>140999.44</v>
      </c>
      <c r="Z31" s="37" t="n">
        <v>140999.44</v>
      </c>
      <c r="AA31" s="18" t="n">
        <v>140563.77</v>
      </c>
      <c r="AB31" s="19" t="n">
        <v>136649.23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15359.35</v>
      </c>
      <c r="F32" s="37" t="n">
        <v>15359.35</v>
      </c>
      <c r="G32" s="18" t="n">
        <v>21323.69</v>
      </c>
      <c r="H32" s="18" t="n">
        <v>21749.84</v>
      </c>
      <c r="I32" s="18" t="n">
        <v>33045.29</v>
      </c>
      <c r="J32" s="18" t="n">
        <v>24822.46</v>
      </c>
      <c r="K32" s="37" t="n">
        <v>24822.46</v>
      </c>
      <c r="L32" s="18" t="n">
        <v>23782.36</v>
      </c>
      <c r="M32" s="18" t="n">
        <v>21483.22</v>
      </c>
      <c r="N32" s="18" t="n">
        <v>51148.94</v>
      </c>
      <c r="O32" s="18" t="n">
        <v>40402.35</v>
      </c>
      <c r="P32" s="37" t="n">
        <v>40402.35</v>
      </c>
      <c r="Q32" s="18" t="n">
        <v>44481.94</v>
      </c>
      <c r="R32" s="18" t="n">
        <v>43256.4</v>
      </c>
      <c r="S32" s="18" t="n">
        <v>39192.19</v>
      </c>
      <c r="T32" s="18" t="n">
        <v>35506.43</v>
      </c>
      <c r="U32" s="37" t="n">
        <v>35506.43</v>
      </c>
      <c r="V32" s="18" t="n">
        <v>32798.44</v>
      </c>
      <c r="W32" s="18" t="n">
        <v>45717.67</v>
      </c>
      <c r="X32" s="18" t="n">
        <v>50672.82</v>
      </c>
      <c r="Y32" s="18" t="n">
        <v>38969.49</v>
      </c>
      <c r="Z32" s="37" t="n">
        <v>38969.49</v>
      </c>
      <c r="AA32" s="18" t="n">
        <v>33529.84</v>
      </c>
      <c r="AB32" s="19" t="n">
        <v>44865.76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2281.09</v>
      </c>
      <c r="F33" s="37" t="n">
        <v>2281.09</v>
      </c>
      <c r="G33" s="18" t="n">
        <v>8372.85</v>
      </c>
      <c r="H33" s="18" t="n">
        <v>8358.700000000001</v>
      </c>
      <c r="I33" s="18" t="n">
        <v>16091.73</v>
      </c>
      <c r="J33" s="18" t="n">
        <v>15953.5</v>
      </c>
      <c r="K33" s="37" t="n">
        <v>15953.5</v>
      </c>
      <c r="L33" s="18" t="n">
        <v>15499.95</v>
      </c>
      <c r="M33" s="18" t="n">
        <v>16725</v>
      </c>
      <c r="N33" s="18" t="n">
        <v>33348.7</v>
      </c>
      <c r="O33" s="18" t="n">
        <v>21104.8</v>
      </c>
      <c r="P33" s="37" t="n">
        <v>21104.8</v>
      </c>
      <c r="Q33" s="18" t="n">
        <v>22895.5</v>
      </c>
      <c r="R33" s="18" t="n">
        <v>21311.2</v>
      </c>
      <c r="S33" s="18" t="n">
        <v>19348.9</v>
      </c>
      <c r="T33" s="18" t="n">
        <v>18062.85</v>
      </c>
      <c r="U33" s="37" t="n">
        <v>18062.85</v>
      </c>
      <c r="V33" s="18" t="n">
        <v>13984.8</v>
      </c>
      <c r="W33" s="18" t="n">
        <v>17406.75</v>
      </c>
      <c r="X33" s="18" t="n">
        <v>15793.34</v>
      </c>
      <c r="Y33" s="18" t="n">
        <v>11400.65</v>
      </c>
      <c r="Z33" s="37" t="n">
        <v>11400.65</v>
      </c>
      <c r="AA33" s="18" t="n">
        <v>10422.6</v>
      </c>
      <c r="AB33" s="19" t="n">
        <v>20621.67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907.83</v>
      </c>
      <c r="F34" s="37" t="n">
        <v>907.83</v>
      </c>
      <c r="G34" s="18" t="n">
        <v>950.74</v>
      </c>
      <c r="H34" s="18" t="n">
        <v>794.78</v>
      </c>
      <c r="I34" s="18" t="n">
        <v>955.75</v>
      </c>
      <c r="J34" s="18" t="n">
        <v>1243.68</v>
      </c>
      <c r="K34" s="37" t="n">
        <v>1243.68</v>
      </c>
      <c r="L34" s="18" t="n">
        <v>1094.45</v>
      </c>
      <c r="M34" s="18" t="n">
        <v>1106.66</v>
      </c>
      <c r="N34" s="18" t="n">
        <v>1131.71</v>
      </c>
      <c r="O34" s="18" t="n">
        <v>991.66</v>
      </c>
      <c r="P34" s="37" t="n">
        <v>991.66</v>
      </c>
      <c r="Q34" s="18" t="n">
        <v>3613.29</v>
      </c>
      <c r="R34" s="18" t="n">
        <v>3374.69</v>
      </c>
      <c r="S34" s="18" t="n">
        <v>3700.14</v>
      </c>
      <c r="T34" s="18" t="n">
        <v>3527.01</v>
      </c>
      <c r="U34" s="37" t="n">
        <v>3527.01</v>
      </c>
      <c r="V34" s="18" t="n">
        <v>3393.86</v>
      </c>
      <c r="W34" s="18" t="n">
        <v>3357.05</v>
      </c>
      <c r="X34" s="18" t="n">
        <v>5419.16</v>
      </c>
      <c r="Y34" s="18" t="n">
        <v>3490.58</v>
      </c>
      <c r="Z34" s="37" t="n">
        <v>3490.58</v>
      </c>
      <c r="AA34" s="18" t="n">
        <v>3856.13</v>
      </c>
      <c r="AB34" s="19" t="n">
        <v>3737.59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907.83</v>
      </c>
      <c r="F35" s="37" t="n">
        <v>907.83</v>
      </c>
      <c r="G35" s="18" t="n">
        <v>1073.15</v>
      </c>
      <c r="H35" s="18" t="n">
        <v>3582.68</v>
      </c>
      <c r="I35" s="18" t="n">
        <v>12316.15</v>
      </c>
      <c r="J35" s="18" t="n">
        <v>1514.73</v>
      </c>
      <c r="K35" s="37" t="n">
        <v>1514.73</v>
      </c>
      <c r="L35" s="18" t="n">
        <v>1571.92</v>
      </c>
      <c r="M35" s="18" t="n">
        <v>1203.89</v>
      </c>
      <c r="N35" s="18" t="n">
        <v>2061.28</v>
      </c>
      <c r="O35" s="18" t="n">
        <v>991.66</v>
      </c>
      <c r="P35" s="37" t="n">
        <v>991.66</v>
      </c>
      <c r="Q35" s="18" t="n">
        <v>4665.94</v>
      </c>
      <c r="R35" s="18" t="n">
        <v>5545.09</v>
      </c>
      <c r="S35" s="18" t="n">
        <v>4072.5</v>
      </c>
      <c r="T35" s="18" t="n">
        <v>13500.61</v>
      </c>
      <c r="U35" s="37" t="n">
        <v>13500.61</v>
      </c>
      <c r="V35" s="18" t="n">
        <v>12914.81</v>
      </c>
      <c r="W35" s="18" t="n">
        <v>3868.27</v>
      </c>
      <c r="X35" s="18" t="n">
        <v>9078.77</v>
      </c>
      <c r="Y35" s="18" t="n">
        <v>8940.01</v>
      </c>
      <c r="Z35" s="37" t="n">
        <v>8940.01</v>
      </c>
      <c r="AA35" s="18" t="n">
        <v>12256.92</v>
      </c>
      <c r="AB35" s="19" t="n">
        <v>10415.85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2737.01</v>
      </c>
      <c r="F36" s="37" t="n">
        <v>2737.01</v>
      </c>
      <c r="G36" s="18" t="n">
        <v>3110.59</v>
      </c>
      <c r="H36" s="18" t="n">
        <v>480.06</v>
      </c>
      <c r="I36" s="18" t="n">
        <v>979.05</v>
      </c>
      <c r="J36" s="18" t="n">
        <v>404.81</v>
      </c>
      <c r="K36" s="37" t="n">
        <v>404.81</v>
      </c>
      <c r="L36" s="18" t="n">
        <v>568.3200000000001</v>
      </c>
      <c r="M36" s="18" t="n">
        <v>585.99</v>
      </c>
      <c r="N36" s="18" t="n">
        <v>707.52</v>
      </c>
      <c r="O36" s="18" t="n">
        <v>737.4</v>
      </c>
      <c r="P36" s="37" t="n">
        <v>737.4</v>
      </c>
      <c r="Q36" s="18" t="n">
        <v>712.26</v>
      </c>
      <c r="R36" s="18" t="n">
        <v>903.85</v>
      </c>
      <c r="S36" s="18" t="n">
        <v>525.21</v>
      </c>
      <c r="T36" s="18" t="n">
        <v>349.23</v>
      </c>
      <c r="U36" s="37" t="n">
        <v>349.23</v>
      </c>
      <c r="V36" s="18" t="n">
        <v>363.25</v>
      </c>
      <c r="W36" s="18" t="n">
        <v>3026.23</v>
      </c>
      <c r="X36" s="18" t="n">
        <v>7734.72</v>
      </c>
      <c r="Y36" s="18" t="n">
        <v>590.61</v>
      </c>
      <c r="Z36" s="37" t="n">
        <v>590.61</v>
      </c>
      <c r="AA36" s="18" t="n">
        <v>1435.39</v>
      </c>
      <c r="AB36" s="19" t="n">
        <v>677.97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4153.83</v>
      </c>
      <c r="F37" s="37" t="n">
        <v>4153.83</v>
      </c>
      <c r="G37" s="18" t="n">
        <v>3393.59</v>
      </c>
      <c r="H37" s="18" t="n">
        <v>3179.71</v>
      </c>
      <c r="I37" s="18" t="n">
        <v>1288.92</v>
      </c>
      <c r="K37" s="9" t="n"/>
      <c r="N37" s="18" t="n">
        <v>1103.74</v>
      </c>
      <c r="O37" s="18" t="n">
        <v>4981.12</v>
      </c>
      <c r="P37" s="37" t="n">
        <v>4981.12</v>
      </c>
      <c r="Q37" s="18" t="n">
        <v>4404.5</v>
      </c>
      <c r="R37" s="18" t="n">
        <v>3666.58</v>
      </c>
      <c r="S37" s="18" t="n">
        <v>4796.24</v>
      </c>
      <c r="T37" s="18" t="n">
        <v>2618.95</v>
      </c>
      <c r="U37" s="37" t="n">
        <v>2618.95</v>
      </c>
      <c r="V37" s="18" t="n">
        <v>4550.25</v>
      </c>
      <c r="W37" s="18" t="n">
        <v>8841.01</v>
      </c>
      <c r="X37" s="18" t="n">
        <v>4484.65</v>
      </c>
      <c r="Y37" s="18" t="n">
        <v>0</v>
      </c>
      <c r="Z37" s="37" t="n">
        <v>0</v>
      </c>
      <c r="AA37" s="18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1510.58</v>
      </c>
      <c r="F38" s="37" t="n">
        <v>1510.58</v>
      </c>
      <c r="G38" s="18" t="n">
        <v>1510.58</v>
      </c>
      <c r="H38" s="18" t="n">
        <v>2213.47</v>
      </c>
      <c r="I38" s="18" t="n">
        <v>2213.47</v>
      </c>
      <c r="J38" s="18" t="n">
        <v>6784.07</v>
      </c>
      <c r="K38" s="37" t="n">
        <v>6784.07</v>
      </c>
      <c r="L38" s="18" t="n">
        <v>5972.26</v>
      </c>
      <c r="M38" s="18" t="n">
        <v>2764.98</v>
      </c>
      <c r="N38" s="18" t="n">
        <v>3473.65</v>
      </c>
      <c r="O38" s="18" t="n">
        <v>2113.34</v>
      </c>
      <c r="P38" s="37" t="n">
        <v>2113.34</v>
      </c>
      <c r="Q38" s="18" t="n">
        <v>1309.25</v>
      </c>
      <c r="R38" s="18" t="n">
        <v>1309.25</v>
      </c>
      <c r="S38" s="18" t="n">
        <v>181.82</v>
      </c>
      <c r="T38" s="18" t="n">
        <v>696.4400000000001</v>
      </c>
      <c r="U38" s="37" t="n">
        <v>696.4400000000001</v>
      </c>
      <c r="V38" s="18" t="n">
        <v>696.4400000000001</v>
      </c>
      <c r="W38" s="18" t="n">
        <v>696.4400000000001</v>
      </c>
      <c r="X38" s="18" t="n">
        <v>696.4400000000001</v>
      </c>
      <c r="Y38" s="18" t="n">
        <v>4137</v>
      </c>
      <c r="Z38" s="37" t="n">
        <v>4137</v>
      </c>
      <c r="AA38" s="18" t="n">
        <v>8701.889999999999</v>
      </c>
      <c r="AB38" s="19" t="n">
        <v>11693.41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109356.56</v>
      </c>
      <c r="F39" s="37" t="n">
        <v>109356.56</v>
      </c>
      <c r="G39" s="18" t="n">
        <v>119832.53</v>
      </c>
      <c r="H39" s="18" t="n">
        <v>122039.82</v>
      </c>
      <c r="I39" s="18" t="n">
        <v>157212.84</v>
      </c>
      <c r="J39" s="18" t="n">
        <v>181165.8</v>
      </c>
      <c r="K39" s="37" t="n">
        <v>181165.8</v>
      </c>
      <c r="L39" s="18" t="n">
        <v>214413.95</v>
      </c>
      <c r="M39" s="18" t="n">
        <v>250963.59</v>
      </c>
      <c r="N39" s="18" t="n">
        <v>318693.07</v>
      </c>
      <c r="O39" s="18" t="n">
        <v>337774.04</v>
      </c>
      <c r="P39" s="37" t="n">
        <v>337774.04</v>
      </c>
      <c r="Q39" s="18" t="n">
        <v>339381.73</v>
      </c>
      <c r="R39" s="18" t="n">
        <v>361740.73</v>
      </c>
      <c r="S39" s="18" t="n">
        <v>365897.73</v>
      </c>
      <c r="T39" s="18" t="n">
        <v>404682.31</v>
      </c>
      <c r="U39" s="37" t="n">
        <v>404682.31</v>
      </c>
      <c r="V39" s="18" t="n">
        <v>433143.96</v>
      </c>
      <c r="W39" s="18" t="n">
        <v>405797.27</v>
      </c>
      <c r="X39" s="18" t="n">
        <v>408245.89</v>
      </c>
      <c r="Y39" s="18" t="n">
        <v>463052.31</v>
      </c>
      <c r="Z39" s="37" t="n">
        <v>463052.31</v>
      </c>
      <c r="AA39" s="18" t="n">
        <v>509744.37</v>
      </c>
      <c r="AB39" s="19" t="n">
        <v>463747.06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388999.34</v>
      </c>
      <c r="F40" s="37" t="n">
        <v>388999.34</v>
      </c>
      <c r="G40" s="18" t="n">
        <v>385558.64</v>
      </c>
      <c r="H40" s="18" t="n">
        <v>397124.57</v>
      </c>
      <c r="I40" s="18" t="n">
        <v>400193.14</v>
      </c>
      <c r="J40" s="18" t="n">
        <v>404167.83</v>
      </c>
      <c r="K40" s="37" t="n">
        <v>404167.83</v>
      </c>
      <c r="L40" s="18" t="n">
        <v>397771.18</v>
      </c>
      <c r="M40" s="18" t="n">
        <v>404724.35</v>
      </c>
      <c r="N40" s="18" t="n">
        <v>476312.89</v>
      </c>
      <c r="O40" s="18" t="n">
        <v>454654.11</v>
      </c>
      <c r="P40" s="37" t="n">
        <v>454654.11</v>
      </c>
      <c r="Q40" s="18" t="n">
        <v>449280.03</v>
      </c>
      <c r="R40" s="18" t="n">
        <v>459231.48</v>
      </c>
      <c r="S40" s="18" t="n">
        <v>470224.38</v>
      </c>
      <c r="T40" s="18" t="n">
        <v>474286.35</v>
      </c>
      <c r="U40" s="37" t="n">
        <v>474286.35</v>
      </c>
      <c r="V40" s="18" t="n">
        <v>488684.96</v>
      </c>
      <c r="W40" s="18" t="n">
        <v>525647.0699999999</v>
      </c>
      <c r="X40" s="18" t="n">
        <v>540336.38</v>
      </c>
      <c r="Y40" s="18" t="n">
        <v>580170.3100000001</v>
      </c>
      <c r="Z40" s="37" t="n">
        <v>580170.3100000001</v>
      </c>
      <c r="AA40" s="18" t="n">
        <v>580592.59</v>
      </c>
      <c r="AB40" s="19" t="n">
        <v>673458.63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21980.38</v>
      </c>
      <c r="F41" s="37" t="n">
        <v>21980.38</v>
      </c>
      <c r="G41" s="18" t="n">
        <v>21980.38</v>
      </c>
      <c r="H41" s="18" t="n">
        <v>21980.38</v>
      </c>
      <c r="I41" s="18" t="n">
        <v>21980.38</v>
      </c>
      <c r="J41" s="18" t="n">
        <v>21980.38</v>
      </c>
      <c r="K41" s="37" t="n">
        <v>21980.38</v>
      </c>
      <c r="L41" s="18" t="n">
        <v>21980.38</v>
      </c>
      <c r="M41" s="18" t="n">
        <v>21980.38</v>
      </c>
      <c r="N41" s="18" t="n">
        <v>21980.38</v>
      </c>
      <c r="O41" s="18" t="n">
        <v>25954.23</v>
      </c>
      <c r="P41" s="37" t="n">
        <v>25954.23</v>
      </c>
      <c r="Q41" s="18" t="n">
        <v>25954.23</v>
      </c>
      <c r="R41" s="18" t="n">
        <v>25954.23</v>
      </c>
      <c r="S41" s="18" t="n">
        <v>25954.23</v>
      </c>
      <c r="T41" s="18" t="n">
        <v>192789.69</v>
      </c>
      <c r="U41" s="37" t="n">
        <v>192789.69</v>
      </c>
      <c r="V41" s="18" t="n">
        <v>192789.69</v>
      </c>
      <c r="W41" s="18" t="n">
        <v>192789.69</v>
      </c>
      <c r="X41" s="18" t="n">
        <v>192789.69</v>
      </c>
      <c r="Y41" s="18" t="n">
        <v>122789.69</v>
      </c>
      <c r="Z41" s="37" t="n">
        <v>122789.69</v>
      </c>
      <c r="AA41" s="18" t="n">
        <v>122789.69</v>
      </c>
      <c r="AB41" s="19" t="n">
        <v>177321.71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74960.11</v>
      </c>
      <c r="F42" s="37" t="n">
        <v>74960.11</v>
      </c>
      <c r="G42" s="18" t="n">
        <v>74960.11</v>
      </c>
      <c r="H42" s="18" t="n">
        <v>74960.11</v>
      </c>
      <c r="I42" s="18" t="n">
        <v>74960.11</v>
      </c>
      <c r="J42" s="18" t="n">
        <v>74960.11</v>
      </c>
      <c r="K42" s="37" t="n">
        <v>74960.11</v>
      </c>
      <c r="L42" s="18" t="n">
        <v>74960.11</v>
      </c>
      <c r="M42" s="18" t="n">
        <v>74960.11</v>
      </c>
      <c r="N42" s="18" t="n">
        <v>74960.11</v>
      </c>
      <c r="O42" s="18" t="n">
        <v>166835.46</v>
      </c>
      <c r="P42" s="37" t="n">
        <v>166835.46</v>
      </c>
      <c r="Q42" s="18" t="n">
        <v>166835.46</v>
      </c>
      <c r="R42" s="18" t="n">
        <v>166835.46</v>
      </c>
      <c r="S42" s="18" t="n">
        <v>166835.46</v>
      </c>
      <c r="T42" s="18" t="n">
        <v>166835.46</v>
      </c>
      <c r="U42" s="37" t="n">
        <v>166835.46</v>
      </c>
      <c r="V42" s="18" t="n">
        <v>166835.46</v>
      </c>
      <c r="W42" s="18" t="n">
        <v>166835.46</v>
      </c>
      <c r="X42" s="18" t="n">
        <v>166835.46</v>
      </c>
      <c r="Y42" s="18" t="n">
        <v>96835.46000000001</v>
      </c>
      <c r="Z42" s="37" t="n">
        <v>96835.46000000001</v>
      </c>
      <c r="AA42" s="18" t="n">
        <v>96835.46000000001</v>
      </c>
      <c r="AB42" s="19" t="n">
        <v>151014.17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284714.2</v>
      </c>
      <c r="F43" s="37" t="n">
        <v>284714.2</v>
      </c>
      <c r="G43" s="18" t="n">
        <v>281255.43</v>
      </c>
      <c r="H43" s="18" t="n">
        <v>291374.79</v>
      </c>
      <c r="I43" s="18" t="n">
        <v>290275.57</v>
      </c>
      <c r="J43" s="18" t="n">
        <v>299947.16</v>
      </c>
      <c r="K43" s="37" t="n">
        <v>299947.16</v>
      </c>
      <c r="L43" s="18" t="n">
        <v>292454.73</v>
      </c>
      <c r="M43" s="18" t="n">
        <v>299507.23</v>
      </c>
      <c r="N43" s="18" t="n">
        <v>298574.07</v>
      </c>
      <c r="O43" s="18" t="n">
        <v>278294.99</v>
      </c>
      <c r="P43" s="37" t="n">
        <v>278294.99</v>
      </c>
      <c r="Q43" s="18" t="n">
        <v>272364.55</v>
      </c>
      <c r="R43" s="18" t="n">
        <v>281552.57</v>
      </c>
      <c r="S43" s="18" t="n">
        <v>293777.41</v>
      </c>
      <c r="T43" s="18" t="n">
        <v>294860.83</v>
      </c>
      <c r="U43" s="37" t="n">
        <v>294860.83</v>
      </c>
      <c r="V43" s="18" t="n">
        <v>310714.61</v>
      </c>
      <c r="W43" s="18" t="n">
        <v>332788.74</v>
      </c>
      <c r="X43" s="18" t="n">
        <v>345007.55</v>
      </c>
      <c r="Y43" s="18" t="n">
        <v>454119.35</v>
      </c>
      <c r="Z43" s="37" t="n">
        <v>454119.35</v>
      </c>
      <c r="AA43" s="18" t="n">
        <v>440836.81</v>
      </c>
      <c r="AB43" s="19" t="n">
        <v>476369.66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-1193.47</v>
      </c>
      <c r="F44" s="37" t="n">
        <v>-1193.47</v>
      </c>
      <c r="G44" s="18" t="n">
        <v>-1175.4</v>
      </c>
      <c r="H44" s="18" t="n">
        <v>271.16</v>
      </c>
      <c r="I44" s="18" t="n">
        <v>4438.95</v>
      </c>
      <c r="J44" s="18" t="n">
        <v>-1257.94</v>
      </c>
      <c r="K44" s="37" t="n">
        <v>-1257.94</v>
      </c>
      <c r="L44" s="18" t="n">
        <v>-162.17</v>
      </c>
      <c r="M44" s="18" t="n">
        <v>-261.49</v>
      </c>
      <c r="N44" s="18" t="n">
        <v>-586.49</v>
      </c>
      <c r="O44" s="18" t="n">
        <v>-719.91</v>
      </c>
      <c r="P44" s="37" t="n">
        <v>-719.91</v>
      </c>
      <c r="Q44" s="18" t="n">
        <v>-163.55</v>
      </c>
      <c r="R44" s="18" t="n">
        <v>599.88</v>
      </c>
      <c r="S44" s="18" t="n">
        <v>-632.05</v>
      </c>
      <c r="T44" s="18" t="n">
        <v>2351.2</v>
      </c>
      <c r="U44" s="37" t="n">
        <v>2351.2</v>
      </c>
      <c r="V44" s="18" t="n">
        <v>896.03</v>
      </c>
      <c r="W44" s="18" t="n">
        <v>-1584.05</v>
      </c>
      <c r="X44" s="18" t="n">
        <v>886.45</v>
      </c>
      <c r="Y44" s="18" t="n">
        <v>3018.25</v>
      </c>
      <c r="Z44" s="37" t="n">
        <v>3018.25</v>
      </c>
      <c r="AA44" s="18" t="n">
        <v>5535.05</v>
      </c>
      <c r="AB44" s="19" t="n">
        <v>8035.16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8538.129999999999</v>
      </c>
      <c r="F45" s="37" t="n">
        <v>8538.129999999999</v>
      </c>
      <c r="G45" s="18" t="n">
        <v>8538.129999999999</v>
      </c>
      <c r="H45" s="18" t="n">
        <v>8538.129999999999</v>
      </c>
      <c r="I45" s="18" t="n">
        <v>8538.129999999999</v>
      </c>
      <c r="J45" s="18" t="n">
        <v>8538.129999999999</v>
      </c>
      <c r="K45" s="37" t="n">
        <v>8538.129999999999</v>
      </c>
      <c r="L45" s="18" t="n">
        <v>8538.129999999999</v>
      </c>
      <c r="M45" s="18" t="n">
        <v>8538.129999999999</v>
      </c>
      <c r="N45" s="18" t="n">
        <v>81384.83</v>
      </c>
      <c r="O45" s="18" t="n">
        <v>-15710.66</v>
      </c>
      <c r="P45" s="37" t="n">
        <v>-15710.66</v>
      </c>
      <c r="Q45" s="18" t="n">
        <v>-15710.66</v>
      </c>
      <c r="R45" s="18" t="n">
        <v>-15710.66</v>
      </c>
      <c r="S45" s="18" t="n">
        <v>-15710.66</v>
      </c>
      <c r="T45" s="18" t="n">
        <v>-15715.36</v>
      </c>
      <c r="U45" s="37" t="n">
        <v>-15715.36</v>
      </c>
      <c r="V45" s="18" t="n">
        <v>-15715.36</v>
      </c>
      <c r="W45" s="18" t="n">
        <v>1652.7</v>
      </c>
      <c r="X45" s="18" t="n">
        <v>1652.7</v>
      </c>
      <c r="Y45" s="18" t="n">
        <v>243.02</v>
      </c>
      <c r="Z45" s="37" t="n">
        <v>243.02</v>
      </c>
      <c r="AA45" s="18" t="n">
        <v>11431.04</v>
      </c>
      <c r="AB45" s="19" t="n">
        <v>11732.1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388999.34</v>
      </c>
      <c r="F46" s="37" t="n">
        <v>388999.34</v>
      </c>
      <c r="G46" s="18" t="n">
        <v>385558.64</v>
      </c>
      <c r="H46" s="18" t="n">
        <v>397124.57</v>
      </c>
      <c r="I46" s="18" t="n">
        <v>400193.14</v>
      </c>
      <c r="J46" s="18" t="n">
        <v>404167.83</v>
      </c>
      <c r="K46" s="37" t="n">
        <v>404167.83</v>
      </c>
      <c r="L46" s="18" t="n">
        <v>397771.18</v>
      </c>
      <c r="M46" s="18" t="n">
        <v>404724.35</v>
      </c>
      <c r="N46" s="18" t="n">
        <v>476312.89</v>
      </c>
      <c r="O46" s="18" t="n">
        <v>454654.11</v>
      </c>
      <c r="P46" s="37" t="n">
        <v>454654.11</v>
      </c>
      <c r="Q46" s="18" t="n">
        <v>449280.03</v>
      </c>
      <c r="R46" s="18" t="n">
        <v>459231.48</v>
      </c>
      <c r="S46" s="18" t="n">
        <v>470224.38</v>
      </c>
      <c r="T46" s="18" t="n">
        <v>474286.35</v>
      </c>
      <c r="U46" s="37" t="n">
        <v>474286.35</v>
      </c>
      <c r="V46" s="18" t="n">
        <v>488684.96</v>
      </c>
      <c r="W46" s="18" t="n">
        <v>525647.0699999999</v>
      </c>
      <c r="X46" s="18" t="n">
        <v>540336.38</v>
      </c>
      <c r="Y46" s="18" t="n">
        <v>580170.3100000001</v>
      </c>
      <c r="Z46" s="37" t="n">
        <v>580170.3100000001</v>
      </c>
      <c r="AA46" s="18" t="n">
        <v>580592.59</v>
      </c>
      <c r="AB46" s="19" t="n">
        <v>673458.63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498355.91</v>
      </c>
      <c r="F47" s="37" t="n">
        <v>498355.91</v>
      </c>
      <c r="G47" s="18" t="n">
        <v>505391.17</v>
      </c>
      <c r="H47" s="18" t="n">
        <v>519164.39</v>
      </c>
      <c r="I47" s="18" t="n">
        <v>557405.98</v>
      </c>
      <c r="J47" s="18" t="n">
        <v>585333.64</v>
      </c>
      <c r="K47" s="37" t="n">
        <v>585333.64</v>
      </c>
      <c r="L47" s="18" t="n">
        <v>612185.13</v>
      </c>
      <c r="M47" s="18" t="n">
        <v>655687.95</v>
      </c>
      <c r="N47" s="18" t="n">
        <v>795005.97</v>
      </c>
      <c r="O47" s="18" t="n">
        <v>792428.14</v>
      </c>
      <c r="P47" s="37" t="n">
        <v>792428.14</v>
      </c>
      <c r="Q47" s="18" t="n">
        <v>788661.75</v>
      </c>
      <c r="R47" s="18" t="n">
        <v>820972.2</v>
      </c>
      <c r="S47" s="18" t="n">
        <v>836122.12</v>
      </c>
      <c r="T47" s="18" t="n">
        <v>878968.66</v>
      </c>
      <c r="U47" s="37" t="n">
        <v>878968.66</v>
      </c>
      <c r="V47" s="18" t="n">
        <v>921828.9300000001</v>
      </c>
      <c r="W47" s="18" t="n">
        <v>931444.35</v>
      </c>
      <c r="X47" s="18" t="n">
        <v>948582.27</v>
      </c>
      <c r="Y47" s="18" t="n">
        <v>1043222.62</v>
      </c>
      <c r="Z47" s="37" t="n">
        <v>1043222.62</v>
      </c>
      <c r="AA47" s="18" t="n">
        <v>1090336.96</v>
      </c>
      <c r="AB47" s="19" t="n">
        <v>1137205.69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25327.66</v>
      </c>
      <c r="F48" s="37" t="n">
        <v>25327.66</v>
      </c>
      <c r="G48" s="18" t="n">
        <v>27472.76</v>
      </c>
      <c r="H48" s="18" t="n">
        <v>20723.8</v>
      </c>
      <c r="I48" s="18" t="n">
        <v>55174.06</v>
      </c>
      <c r="J48" s="18" t="n">
        <v>61124.92</v>
      </c>
      <c r="K48" s="37" t="n">
        <v>61124.92</v>
      </c>
      <c r="L48" s="18" t="n">
        <v>73027.89999999999</v>
      </c>
      <c r="M48" s="18" t="n">
        <v>92631.3</v>
      </c>
      <c r="N48" s="18" t="n">
        <v>137392.17</v>
      </c>
      <c r="O48" s="18" t="n">
        <v>135787.18</v>
      </c>
      <c r="P48" s="37" t="n">
        <v>135787.18</v>
      </c>
      <c r="Q48" s="18" t="n">
        <v>118138.77</v>
      </c>
      <c r="R48" s="18" t="n">
        <v>113019.73</v>
      </c>
      <c r="S48" s="18" t="n">
        <v>100223.25</v>
      </c>
      <c r="T48" s="18" t="n">
        <v>71226.10000000001</v>
      </c>
      <c r="U48" s="37" t="n">
        <v>71226.10000000001</v>
      </c>
      <c r="V48" s="18" t="n">
        <v>61467.5</v>
      </c>
      <c r="W48" s="18" t="n">
        <v>59712.06</v>
      </c>
      <c r="X48" s="18" t="n">
        <v>60642.55</v>
      </c>
      <c r="Y48" s="18" t="n">
        <v>110743.17</v>
      </c>
      <c r="Z48" s="37" t="n">
        <v>110743.17</v>
      </c>
      <c r="AA48" s="18" t="n">
        <v>128396.63</v>
      </c>
      <c r="AB48" s="19" t="n">
        <v>141336.99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-49927.1</v>
      </c>
      <c r="F49" s="37" t="n">
        <v>-49927.1</v>
      </c>
      <c r="G49" s="18" t="n">
        <v>-50697.24</v>
      </c>
      <c r="H49" s="18" t="n">
        <v>-9677.15</v>
      </c>
      <c r="I49" s="18" t="n">
        <v>8182.81</v>
      </c>
      <c r="J49" s="18" t="n">
        <v>-5621.49</v>
      </c>
      <c r="K49" s="37" t="n">
        <v>-5621.49</v>
      </c>
      <c r="L49" s="18" t="n">
        <v>32470.57</v>
      </c>
      <c r="M49" s="18" t="n">
        <v>61723.66</v>
      </c>
      <c r="N49" s="18" t="n">
        <v>73296.61</v>
      </c>
      <c r="O49" s="18" t="n">
        <v>56066.82</v>
      </c>
      <c r="P49" s="37" t="n">
        <v>56066.82</v>
      </c>
      <c r="Q49" s="18" t="n">
        <v>63232.81</v>
      </c>
      <c r="R49" s="18" t="n">
        <v>22428.83</v>
      </c>
      <c r="S49" s="18" t="n">
        <v>10889.21</v>
      </c>
      <c r="T49" s="18" t="n">
        <v>5062.83</v>
      </c>
      <c r="U49" s="37" t="n">
        <v>5062.83</v>
      </c>
      <c r="V49" s="18" t="n">
        <v>-58656.07</v>
      </c>
      <c r="W49" s="18" t="n">
        <v>-49956.34</v>
      </c>
      <c r="X49" s="18" t="n">
        <v>-61472.74</v>
      </c>
      <c r="Y49" s="18" t="n">
        <v>15908.37</v>
      </c>
      <c r="Z49" s="37" t="n">
        <v>15908.37</v>
      </c>
      <c r="AA49" s="18" t="n">
        <v>17494.52</v>
      </c>
      <c r="AB49" s="19" t="n">
        <v>1532.9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83858.24000000001</v>
      </c>
      <c r="F50" s="37" t="n">
        <v>83858.24000000001</v>
      </c>
      <c r="G50" s="18" t="n">
        <v>86789.14</v>
      </c>
      <c r="H50" s="18" t="n">
        <v>39034.25</v>
      </c>
      <c r="I50" s="18" t="n">
        <v>53778.22</v>
      </c>
      <c r="J50" s="18" t="n">
        <v>73757.81</v>
      </c>
      <c r="K50" s="37" t="n">
        <v>73757.81</v>
      </c>
      <c r="L50" s="18" t="n">
        <v>45556.88</v>
      </c>
      <c r="M50" s="18" t="n">
        <v>35463.06</v>
      </c>
      <c r="N50" s="18" t="n">
        <v>64579.56</v>
      </c>
      <c r="O50" s="18" t="n">
        <v>80072.36</v>
      </c>
      <c r="P50" s="37" t="n">
        <v>80072.36</v>
      </c>
      <c r="Q50" s="18" t="n">
        <v>55257.96</v>
      </c>
      <c r="R50" s="18" t="n">
        <v>90942.89999999999</v>
      </c>
      <c r="S50" s="18" t="n">
        <v>89686.03999999999</v>
      </c>
      <c r="T50" s="18" t="n">
        <v>94323.89</v>
      </c>
      <c r="U50" s="37" t="n">
        <v>94323.89</v>
      </c>
      <c r="V50" s="18" t="n">
        <v>145586.08</v>
      </c>
      <c r="W50" s="18" t="n">
        <v>137219.09</v>
      </c>
      <c r="X50" s="18" t="n">
        <v>147809.12</v>
      </c>
      <c r="Y50" s="18" t="n">
        <v>119185.46</v>
      </c>
      <c r="Z50" s="37" t="n">
        <v>119185.46</v>
      </c>
      <c r="AA50" s="18" t="n">
        <v>136147.08</v>
      </c>
      <c r="AB50" s="19" t="n">
        <v>164035.33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6453.32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비지배주주지분</t>
        </is>
      </c>
      <c r="F53" s="9" t="n"/>
      <c r="G53" s="18" t="n">
        <v>0</v>
      </c>
      <c r="K53" s="9" t="n"/>
      <c r="P53" s="9" t="n"/>
      <c r="U53" s="9" t="n"/>
      <c r="V53" s="18" t="n">
        <v>0</v>
      </c>
      <c r="W53" s="18" t="n">
        <v>0</v>
      </c>
      <c r="X53" s="18" t="n">
        <v>0</v>
      </c>
      <c r="Y53" s="18" t="n">
        <v>0</v>
      </c>
      <c r="Z53" s="37" t="n">
        <v>0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89467.44</v>
      </c>
      <c r="O54" s="18" t="n">
        <v>89232.02</v>
      </c>
      <c r="P54" s="37" t="n">
        <v>89232.02</v>
      </c>
      <c r="Q54" s="18" t="n">
        <v>68025.21000000001</v>
      </c>
      <c r="R54" s="18" t="n">
        <v>64811.33</v>
      </c>
      <c r="S54" s="18" t="n">
        <v>64507.15</v>
      </c>
      <c r="T54" s="18" t="n">
        <v>47232.3</v>
      </c>
      <c r="U54" s="37" t="n">
        <v>47232.3</v>
      </c>
      <c r="V54" s="18" t="n">
        <v>42758</v>
      </c>
      <c r="W54" s="18" t="n">
        <v>25210.4</v>
      </c>
      <c r="X54" s="18" t="n">
        <v>15969.34</v>
      </c>
      <c r="Y54" s="18" t="n">
        <v>81871.44</v>
      </c>
      <c r="Z54" s="37" t="n">
        <v>81871.44</v>
      </c>
      <c r="AA54" s="18" t="n">
        <v>99511.75</v>
      </c>
      <c r="AB54" s="19" t="n">
        <v>117889.05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N55" s="18" t="n">
        <v>10200</v>
      </c>
      <c r="O55" s="18" t="n">
        <v>10200</v>
      </c>
      <c r="P55" s="37" t="n">
        <v>10200</v>
      </c>
      <c r="Q55" s="18" t="n">
        <v>10200</v>
      </c>
      <c r="R55" s="18" t="n">
        <v>10200</v>
      </c>
      <c r="S55" s="18" t="n">
        <v>10000</v>
      </c>
      <c r="T55" s="18" t="n">
        <v>0</v>
      </c>
      <c r="U55" s="37" t="n">
        <v>0</v>
      </c>
      <c r="W55" s="18" t="n">
        <v>11576.46</v>
      </c>
      <c r="X55" s="18" t="n">
        <v>12567.67</v>
      </c>
      <c r="Y55" s="18" t="n">
        <v>13558.88</v>
      </c>
      <c r="Z55" s="37" t="n">
        <v>13558.88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O56" s="18" t="n">
        <v>15730.94</v>
      </c>
      <c r="P56" s="37" t="n">
        <v>15730.94</v>
      </c>
      <c r="Q56" s="18" t="n">
        <v>15719.73</v>
      </c>
      <c r="R56" s="18" t="n">
        <v>9294.34</v>
      </c>
      <c r="S56" s="18" t="n">
        <v>15697.31</v>
      </c>
      <c r="T56" s="18" t="n">
        <v>15686.1</v>
      </c>
      <c r="U56" s="37" t="n">
        <v>15686.1</v>
      </c>
      <c r="V56" s="18" t="n">
        <v>15674.89</v>
      </c>
      <c r="W56" s="18" t="n">
        <v>15663.68</v>
      </c>
      <c r="X56" s="18" t="n">
        <v>15652.47</v>
      </c>
      <c r="Y56" s="18" t="n">
        <v>15641.26</v>
      </c>
      <c r="Z56" s="37" t="n">
        <v>15641.26</v>
      </c>
      <c r="AA56" s="18" t="n">
        <v>15630.05</v>
      </c>
      <c r="AB56" s="19" t="n">
        <v>15789.67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K57" s="9" t="n"/>
      <c r="P57" s="9" t="n"/>
      <c r="R57" s="18" t="n">
        <v>2107.17</v>
      </c>
      <c r="S57" s="18" t="n">
        <v>1849.34</v>
      </c>
      <c r="T57" s="18" t="n">
        <v>1873.72</v>
      </c>
      <c r="U57" s="37" t="n">
        <v>1873.72</v>
      </c>
      <c r="V57" s="18" t="n">
        <v>1760.71</v>
      </c>
      <c r="W57" s="18" t="n">
        <v>1570.29</v>
      </c>
      <c r="X57" s="18" t="n">
        <v>1411.24</v>
      </c>
      <c r="Y57" s="18" t="n">
        <v>2027.81</v>
      </c>
      <c r="Z57" s="37" t="n">
        <v>2027.81</v>
      </c>
      <c r="AA57" s="18" t="n">
        <v>2039.45</v>
      </c>
      <c r="AB57" s="19" t="n">
        <v>217.63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단기투자자산(공정가치)</t>
        </is>
      </c>
      <c r="F58" s="9" t="n"/>
      <c r="K58" s="9" t="n"/>
      <c r="P58" s="9" t="n"/>
      <c r="T58" s="18" t="n">
        <v>19695.35</v>
      </c>
      <c r="U58" s="37" t="n">
        <v>19695.35</v>
      </c>
      <c r="V58" s="18" t="n">
        <v>11693.26</v>
      </c>
      <c r="W58" s="18" t="n">
        <v>52142.18</v>
      </c>
      <c r="X58" s="18" t="n">
        <v>57482.09</v>
      </c>
      <c r="Y58" s="18" t="n">
        <v>164649.52</v>
      </c>
      <c r="Z58" s="37" t="n">
        <v>164649.52</v>
      </c>
      <c r="AA58" s="18" t="n">
        <v>164064.74</v>
      </c>
      <c r="AB58" s="19" t="n">
        <v>174297.13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보통주자본금</t>
        </is>
      </c>
      <c r="F59" s="9" t="n"/>
      <c r="K59" s="9" t="n"/>
      <c r="P59" s="9" t="n"/>
      <c r="T59" s="18" t="n">
        <v>25954.23</v>
      </c>
      <c r="U59" s="37" t="n">
        <v>25954.23</v>
      </c>
      <c r="V59" s="18" t="n">
        <v>25954.23</v>
      </c>
      <c r="W59" s="18" t="n">
        <v>25954.23</v>
      </c>
      <c r="X59" s="18" t="n">
        <v>25954.23</v>
      </c>
      <c r="Y59" s="18" t="n">
        <v>25954.23</v>
      </c>
      <c r="Z59" s="37" t="n">
        <v>25954.23</v>
      </c>
      <c r="AA59" s="18" t="n">
        <v>25954.23</v>
      </c>
      <c r="AB59" s="19" t="n">
        <v>26307.54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유동파생상품자산</t>
        </is>
      </c>
      <c r="F60" s="9" t="n"/>
      <c r="K60" s="9" t="n"/>
      <c r="P60" s="9" t="n"/>
      <c r="U60" s="9" t="n"/>
      <c r="W60" s="18" t="n">
        <v>8195.09</v>
      </c>
      <c r="X60" s="18" t="n">
        <v>11493.77</v>
      </c>
      <c r="Y60" s="18" t="n">
        <v>9874.65</v>
      </c>
      <c r="Z60" s="37" t="n">
        <v>9874.65</v>
      </c>
      <c r="AA60" s="18" t="n">
        <v>2083.06</v>
      </c>
      <c r="AB60" s="19" t="n">
        <v>1250.21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U61" s="9" t="n"/>
      <c r="W61" s="18" t="n">
        <v>25194.12</v>
      </c>
      <c r="X61" s="18" t="n">
        <v>31772.92</v>
      </c>
      <c r="Y61" s="18" t="n">
        <v>28134.89</v>
      </c>
      <c r="Z61" s="37" t="n">
        <v>28134.89</v>
      </c>
      <c r="AA61" s="18" t="n">
        <v>40085.96</v>
      </c>
      <c r="AB61" s="19" t="n">
        <v>1455.19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81273.74000000001</v>
      </c>
      <c r="F62" s="9" t="n"/>
      <c r="G62" s="18" t="n">
        <v>77743.11</v>
      </c>
      <c r="H62" s="18" t="n">
        <v>71565.75</v>
      </c>
      <c r="I62" s="18" t="n">
        <v>114027.69</v>
      </c>
      <c r="J62" s="18" t="n">
        <v>105934.32</v>
      </c>
      <c r="K62" s="37" t="n">
        <v>369270.87</v>
      </c>
      <c r="L62" s="18" t="n">
        <v>102992.29</v>
      </c>
      <c r="M62" s="18" t="n">
        <v>133812.83</v>
      </c>
      <c r="N62" s="18" t="n">
        <v>155652.76</v>
      </c>
      <c r="O62" s="18" t="n">
        <v>201959.49</v>
      </c>
      <c r="P62" s="37" t="n">
        <v>594417.37</v>
      </c>
      <c r="Q62" s="18" t="n">
        <v>182749.95</v>
      </c>
      <c r="R62" s="18" t="n">
        <v>194212.27</v>
      </c>
      <c r="S62" s="18" t="n">
        <v>170620.84</v>
      </c>
      <c r="T62" s="18" t="n">
        <v>194157.79</v>
      </c>
      <c r="U62" s="37" t="n">
        <v>741740.85</v>
      </c>
      <c r="V62" s="18" t="n">
        <v>224561.93</v>
      </c>
      <c r="W62" s="18" t="n">
        <v>231273.16</v>
      </c>
      <c r="X62" s="18" t="n">
        <v>221132.12</v>
      </c>
      <c r="Y62" s="18" t="n">
        <v>231843</v>
      </c>
      <c r="Z62" s="37" t="n">
        <v>908810.21</v>
      </c>
      <c r="AA62" s="18" t="n">
        <v>211821.54</v>
      </c>
      <c r="AB62" s="19" t="n">
        <v>243377.66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70740.96000000001</v>
      </c>
      <c r="F63" s="9" t="n"/>
      <c r="G63" s="18" t="n">
        <v>66986.07000000001</v>
      </c>
      <c r="H63" s="18" t="n">
        <v>61834.85</v>
      </c>
      <c r="I63" s="18" t="n">
        <v>93667.89</v>
      </c>
      <c r="J63" s="18" t="n">
        <v>90708.75</v>
      </c>
      <c r="K63" s="37" t="n">
        <v>313197.56</v>
      </c>
      <c r="L63" s="18" t="n">
        <v>89138.14999999999</v>
      </c>
      <c r="M63" s="18" t="n">
        <v>116028.76</v>
      </c>
      <c r="N63" s="18" t="n">
        <v>139255.84</v>
      </c>
      <c r="O63" s="18" t="n">
        <v>186840.58</v>
      </c>
      <c r="P63" s="37" t="n">
        <v>531263.33</v>
      </c>
      <c r="Q63" s="18" t="n">
        <v>161818.12</v>
      </c>
      <c r="R63" s="18" t="n">
        <v>160110.6</v>
      </c>
      <c r="S63" s="18" t="n">
        <v>144443.56</v>
      </c>
      <c r="T63" s="18" t="n">
        <v>157786.06</v>
      </c>
      <c r="U63" s="37" t="n">
        <v>624158.34</v>
      </c>
      <c r="V63" s="18" t="n">
        <v>174552.63</v>
      </c>
      <c r="W63" s="18" t="n">
        <v>179708.49</v>
      </c>
      <c r="X63" s="18" t="n">
        <v>171776.57</v>
      </c>
      <c r="Y63" s="18" t="n">
        <v>169858.28</v>
      </c>
      <c r="Z63" s="37" t="n">
        <v>695895.97</v>
      </c>
      <c r="AA63" s="18" t="n">
        <v>148676.27</v>
      </c>
      <c r="AB63" s="19" t="n">
        <v>171921.09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10532.78</v>
      </c>
      <c r="F64" s="9" t="n"/>
      <c r="G64" s="18" t="n">
        <v>10757.04</v>
      </c>
      <c r="H64" s="18" t="n">
        <v>9730.9</v>
      </c>
      <c r="I64" s="18" t="n">
        <v>20359.8</v>
      </c>
      <c r="J64" s="18" t="n">
        <v>15225.57</v>
      </c>
      <c r="K64" s="37" t="n">
        <v>56073.31</v>
      </c>
      <c r="L64" s="18" t="n">
        <v>13854.14</v>
      </c>
      <c r="M64" s="18" t="n">
        <v>17784.07</v>
      </c>
      <c r="N64" s="18" t="n">
        <v>16396.93</v>
      </c>
      <c r="O64" s="18" t="n">
        <v>15118.92</v>
      </c>
      <c r="P64" s="37" t="n">
        <v>63154.06</v>
      </c>
      <c r="Q64" s="18" t="n">
        <v>20931.83</v>
      </c>
      <c r="R64" s="18" t="n">
        <v>34101.67</v>
      </c>
      <c r="S64" s="18" t="n">
        <v>26177.28</v>
      </c>
      <c r="T64" s="18" t="n">
        <v>36371.73</v>
      </c>
      <c r="U64" s="37" t="n">
        <v>117582.51</v>
      </c>
      <c r="V64" s="18" t="n">
        <v>50009.3</v>
      </c>
      <c r="W64" s="18" t="n">
        <v>51564.68</v>
      </c>
      <c r="X64" s="18" t="n">
        <v>49355.55</v>
      </c>
      <c r="Y64" s="18" t="n">
        <v>61984.72</v>
      </c>
      <c r="Z64" s="37" t="n">
        <v>212914.25</v>
      </c>
      <c r="AA64" s="18" t="n">
        <v>63145.27</v>
      </c>
      <c r="AB64" s="19" t="n">
        <v>71456.57000000001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7255.59</v>
      </c>
      <c r="F65" s="9" t="n"/>
      <c r="G65" s="18" t="n">
        <v>6473.67</v>
      </c>
      <c r="H65" s="18" t="n">
        <v>7239.26</v>
      </c>
      <c r="I65" s="18" t="n">
        <v>8375.030000000001</v>
      </c>
      <c r="J65" s="18" t="n">
        <v>9187.290000000001</v>
      </c>
      <c r="K65" s="37" t="n">
        <v>31275.25</v>
      </c>
      <c r="L65" s="18" t="n">
        <v>10116.23</v>
      </c>
      <c r="M65" s="18" t="n">
        <v>9889.5</v>
      </c>
      <c r="N65" s="18" t="n">
        <v>11782.62</v>
      </c>
      <c r="O65" s="18" t="n">
        <v>14899.97</v>
      </c>
      <c r="P65" s="37" t="n">
        <v>46688.32</v>
      </c>
      <c r="Q65" s="18" t="n">
        <v>18323.81</v>
      </c>
      <c r="R65" s="18" t="n">
        <v>16322.21</v>
      </c>
      <c r="S65" s="18" t="n">
        <v>18493.15</v>
      </c>
      <c r="T65" s="18" t="n">
        <v>18997.04</v>
      </c>
      <c r="U65" s="37" t="n">
        <v>72136.21000000001</v>
      </c>
      <c r="V65" s="18" t="n">
        <v>18901.91</v>
      </c>
      <c r="W65" s="18" t="n">
        <v>19921.13</v>
      </c>
      <c r="X65" s="18" t="n">
        <v>19493.05</v>
      </c>
      <c r="Y65" s="18" t="n">
        <v>23647.64</v>
      </c>
      <c r="Z65" s="37" t="n">
        <v>81963.73</v>
      </c>
      <c r="AA65" s="18" t="n">
        <v>22079.16</v>
      </c>
      <c r="AB65" s="19" t="n">
        <v>21056.74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3277.2</v>
      </c>
      <c r="F66" s="9" t="n"/>
      <c r="G66" s="18" t="n">
        <v>4283.38</v>
      </c>
      <c r="H66" s="18" t="n">
        <v>2491.64</v>
      </c>
      <c r="I66" s="18" t="n">
        <v>11984.76</v>
      </c>
      <c r="J66" s="18" t="n">
        <v>6038.28</v>
      </c>
      <c r="K66" s="37" t="n">
        <v>24798.06</v>
      </c>
      <c r="L66" s="18" t="n">
        <v>3737.91</v>
      </c>
      <c r="M66" s="18" t="n">
        <v>7894.56</v>
      </c>
      <c r="N66" s="18" t="n">
        <v>4614.3</v>
      </c>
      <c r="O66" s="18" t="n">
        <v>218.94</v>
      </c>
      <c r="P66" s="37" t="n">
        <v>16465.71</v>
      </c>
      <c r="Q66" s="18" t="n">
        <v>2608.02</v>
      </c>
      <c r="R66" s="18" t="n">
        <v>17779.47</v>
      </c>
      <c r="S66" s="18" t="n">
        <v>7684.12</v>
      </c>
      <c r="T66" s="18" t="n">
        <v>17374.69</v>
      </c>
      <c r="U66" s="37" t="n">
        <v>45446.3</v>
      </c>
      <c r="V66" s="18" t="n">
        <v>31107.39</v>
      </c>
      <c r="W66" s="18" t="n">
        <v>31643.55</v>
      </c>
      <c r="X66" s="18" t="n">
        <v>29862.51</v>
      </c>
      <c r="Y66" s="18" t="n">
        <v>38337.08</v>
      </c>
      <c r="Z66" s="37" t="n">
        <v>130950.53</v>
      </c>
      <c r="AA66" s="18" t="n">
        <v>41066.11</v>
      </c>
      <c r="AB66" s="19" t="n">
        <v>50399.83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9480.98</v>
      </c>
      <c r="F67" s="9" t="n"/>
      <c r="G67" s="18" t="n">
        <v>102</v>
      </c>
      <c r="H67" s="18" t="n">
        <v>9016.940000000001</v>
      </c>
      <c r="I67" s="18" t="n">
        <v>766.15</v>
      </c>
      <c r="J67" s="18" t="n">
        <v>-1780.77</v>
      </c>
      <c r="K67" s="37" t="n">
        <v>8104.32</v>
      </c>
      <c r="L67" s="18" t="n">
        <v>109.18</v>
      </c>
      <c r="M67" s="18" t="n">
        <v>10327.58</v>
      </c>
      <c r="N67" s="18" t="n">
        <v>10606.52</v>
      </c>
      <c r="O67" s="18" t="n">
        <v>681.84</v>
      </c>
      <c r="P67" s="37" t="n">
        <v>21725.12</v>
      </c>
      <c r="Q67" s="18" t="n">
        <v>1600.37</v>
      </c>
      <c r="R67" s="18" t="n">
        <v>-70.98999999999999</v>
      </c>
      <c r="S67" s="18" t="n">
        <v>769.98</v>
      </c>
      <c r="T67" s="18" t="n">
        <v>542.7</v>
      </c>
      <c r="U67" s="37" t="n">
        <v>2842.06</v>
      </c>
      <c r="V67" s="18" t="n">
        <v>297.34</v>
      </c>
      <c r="W67" s="18" t="n">
        <v>512.27</v>
      </c>
      <c r="X67" s="18" t="n">
        <v>445.4</v>
      </c>
      <c r="Y67" s="18" t="n">
        <v>5078.61</v>
      </c>
      <c r="Z67" s="37" t="n">
        <v>6333.62</v>
      </c>
      <c r="AA67" s="18" t="n">
        <v>401.44</v>
      </c>
      <c r="AB67" s="19" t="n">
        <v>2046.96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16885.62</v>
      </c>
      <c r="F68" s="9" t="n"/>
      <c r="G68" s="18" t="n">
        <v>26.59</v>
      </c>
      <c r="H68" s="18" t="n">
        <v>32.62</v>
      </c>
      <c r="I68" s="18" t="n">
        <v>37.23</v>
      </c>
      <c r="J68" s="18" t="n">
        <v>54.55</v>
      </c>
      <c r="K68" s="37" t="n">
        <v>150.99</v>
      </c>
      <c r="L68" s="18" t="n">
        <v>33.29</v>
      </c>
      <c r="M68" s="18" t="n">
        <v>16853.91</v>
      </c>
      <c r="N68" s="18" t="n">
        <v>9399.76</v>
      </c>
      <c r="O68" s="18" t="n">
        <v>17926.06</v>
      </c>
      <c r="P68" s="37" t="n">
        <v>44213.02</v>
      </c>
      <c r="Q68" s="18" t="n">
        <v>131.42</v>
      </c>
      <c r="R68" s="18" t="n">
        <v>157.32</v>
      </c>
      <c r="S68" s="18" t="n">
        <v>417.03</v>
      </c>
      <c r="T68" s="18" t="n">
        <v>1012.82</v>
      </c>
      <c r="U68" s="37" t="n">
        <v>1718.59</v>
      </c>
      <c r="V68" s="18" t="n">
        <v>1563.26</v>
      </c>
      <c r="W68" s="18" t="n">
        <v>214.06</v>
      </c>
      <c r="X68" s="18" t="n">
        <v>249.7</v>
      </c>
      <c r="Y68" s="18" t="n">
        <v>447.35</v>
      </c>
      <c r="Z68" s="37" t="n">
        <v>2474.37</v>
      </c>
      <c r="AA68" s="18" t="n">
        <v>373.31</v>
      </c>
      <c r="AB68" s="19" t="n">
        <v>758.78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-1379.92</v>
      </c>
      <c r="F69" s="9" t="n"/>
      <c r="G69" s="18" t="n">
        <v>-147.01</v>
      </c>
      <c r="H69" s="18" t="n">
        <v>118.79</v>
      </c>
      <c r="I69" s="18" t="n">
        <v>168.73</v>
      </c>
      <c r="J69" s="18" t="n">
        <v>-159.87</v>
      </c>
      <c r="K69" s="37" t="n">
        <v>-19.36</v>
      </c>
      <c r="L69" s="18" t="n">
        <v>-592.85</v>
      </c>
      <c r="M69" s="18" t="n">
        <v>-4.99</v>
      </c>
      <c r="O69" s="18" t="n">
        <v>0</v>
      </c>
      <c r="P69" s="9" t="n"/>
      <c r="Q69" s="18" t="n">
        <v>26.38</v>
      </c>
      <c r="R69" s="18" t="n">
        <v>84.69</v>
      </c>
      <c r="S69" s="18" t="n">
        <v>-96.51000000000001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-1379.92</v>
      </c>
      <c r="F70" s="9" t="n"/>
      <c r="G70" s="18" t="n">
        <v>-147.01</v>
      </c>
      <c r="H70" s="18" t="n">
        <v>118.79</v>
      </c>
      <c r="I70" s="18" t="n">
        <v>168.73</v>
      </c>
      <c r="J70" s="18" t="n">
        <v>-159.87</v>
      </c>
      <c r="K70" s="37" t="n">
        <v>-19.36</v>
      </c>
      <c r="L70" s="18" t="n">
        <v>-592.85</v>
      </c>
      <c r="M70" s="18" t="n">
        <v>-4.99</v>
      </c>
      <c r="O70" s="18" t="n">
        <v>0</v>
      </c>
      <c r="P70" s="9" t="n"/>
      <c r="Q70" s="18" t="n">
        <v>26.38</v>
      </c>
      <c r="R70" s="18" t="n">
        <v>84.69</v>
      </c>
      <c r="S70" s="18" t="n">
        <v>-96.51000000000001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2773.94</v>
      </c>
      <c r="F71" s="9" t="n"/>
      <c r="G71" s="18" t="n">
        <v>2302.86</v>
      </c>
      <c r="H71" s="18" t="n">
        <v>5733.97</v>
      </c>
      <c r="I71" s="18" t="n">
        <v>6341.59</v>
      </c>
      <c r="J71" s="18" t="n">
        <v>2126.71</v>
      </c>
      <c r="K71" s="37" t="n">
        <v>16505.13</v>
      </c>
      <c r="L71" s="18" t="n">
        <v>3299.16</v>
      </c>
      <c r="M71" s="18" t="n">
        <v>6460.19</v>
      </c>
      <c r="N71" s="18" t="n">
        <v>4055.81</v>
      </c>
      <c r="O71" s="18" t="n">
        <v>3381.27</v>
      </c>
      <c r="P71" s="37" t="n">
        <v>17196.43</v>
      </c>
      <c r="Q71" s="18" t="n">
        <v>6095.31</v>
      </c>
      <c r="R71" s="18" t="n">
        <v>4463.38</v>
      </c>
      <c r="S71" s="18" t="n">
        <v>5333.8</v>
      </c>
      <c r="T71" s="18" t="n">
        <v>7707.81</v>
      </c>
      <c r="U71" s="37" t="n">
        <v>23600.3</v>
      </c>
      <c r="V71" s="18" t="n">
        <v>7210.55</v>
      </c>
      <c r="W71" s="18" t="n">
        <v>25333.78</v>
      </c>
      <c r="X71" s="18" t="n">
        <v>1015.75</v>
      </c>
      <c r="Y71" s="18" t="n">
        <v>8144.09</v>
      </c>
      <c r="Z71" s="37" t="n">
        <v>41704.17</v>
      </c>
      <c r="AA71" s="18" t="n">
        <v>33312.07</v>
      </c>
      <c r="AB71" s="19" t="n">
        <v>10724.98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1253.52</v>
      </c>
      <c r="F72" s="9" t="n"/>
      <c r="G72" s="18" t="n">
        <v>2180.22</v>
      </c>
      <c r="H72" s="18" t="n">
        <v>6901.31</v>
      </c>
      <c r="I72" s="18" t="n">
        <v>17240.09</v>
      </c>
      <c r="J72" s="18" t="n">
        <v>-5984.56</v>
      </c>
      <c r="K72" s="37" t="n">
        <v>20337.06</v>
      </c>
      <c r="L72" s="18" t="n">
        <v>7210.52</v>
      </c>
      <c r="M72" s="18" t="n">
        <v>1282.13</v>
      </c>
      <c r="N72" s="18" t="n">
        <v>7440.69</v>
      </c>
      <c r="O72" s="18" t="n">
        <v>1706.49</v>
      </c>
      <c r="P72" s="37" t="n">
        <v>17639.83</v>
      </c>
      <c r="Q72" s="18" t="n">
        <v>8369.49</v>
      </c>
      <c r="R72" s="18" t="n">
        <v>7068.48</v>
      </c>
      <c r="S72" s="18" t="n">
        <v>1419.27</v>
      </c>
      <c r="T72" s="18" t="n">
        <v>24770.87</v>
      </c>
      <c r="U72" s="37" t="n">
        <v>41628.11</v>
      </c>
      <c r="V72" s="18" t="n">
        <v>8121.01</v>
      </c>
      <c r="W72" s="18" t="n">
        <v>21257.65</v>
      </c>
      <c r="X72" s="18" t="n">
        <v>9284.219999999999</v>
      </c>
      <c r="Y72" s="18" t="n">
        <v>6593.01</v>
      </c>
      <c r="Z72" s="37" t="n">
        <v>45255.89</v>
      </c>
      <c r="AA72" s="18" t="n">
        <v>52603.48</v>
      </c>
      <c r="AB72" s="19" t="n">
        <v>13778.26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-3986.95</v>
      </c>
      <c r="F73" s="9" t="n"/>
      <c r="G73" s="18" t="n">
        <v>4334.42</v>
      </c>
      <c r="H73" s="18" t="n">
        <v>10427.41</v>
      </c>
      <c r="I73" s="18" t="n">
        <v>1983.91</v>
      </c>
      <c r="J73" s="18" t="n">
        <v>12154.35</v>
      </c>
      <c r="K73" s="37" t="n">
        <v>28900.09</v>
      </c>
      <c r="L73" s="18" t="n">
        <v>-690.41</v>
      </c>
      <c r="M73" s="18" t="n">
        <v>6541.31</v>
      </c>
      <c r="N73" s="18" t="n">
        <v>2436.18</v>
      </c>
      <c r="O73" s="18" t="n">
        <v>-15350.51</v>
      </c>
      <c r="P73" s="37" t="n">
        <v>-7063.43</v>
      </c>
      <c r="Q73" s="18" t="n">
        <v>1829.18</v>
      </c>
      <c r="R73" s="18" t="n">
        <v>15030.75</v>
      </c>
      <c r="S73" s="18" t="n">
        <v>11855.1</v>
      </c>
      <c r="T73" s="18" t="n">
        <v>-275.82</v>
      </c>
      <c r="U73" s="37" t="n">
        <v>28439.21</v>
      </c>
      <c r="V73" s="18" t="n">
        <v>28893.14</v>
      </c>
      <c r="W73" s="18" t="n">
        <v>35964.98</v>
      </c>
      <c r="X73" s="18" t="n">
        <v>21614.26</v>
      </c>
      <c r="Y73" s="18" t="n">
        <v>45391.23</v>
      </c>
      <c r="Z73" s="37" t="n">
        <v>131863.61</v>
      </c>
      <c r="AA73" s="18" t="n">
        <v>21732.84</v>
      </c>
      <c r="AB73" s="19" t="n">
        <v>48544.14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4695.85</v>
      </c>
      <c r="F74" s="9" t="n"/>
      <c r="G74" s="18" t="n">
        <v>1231.35</v>
      </c>
      <c r="H74" s="18" t="n">
        <v>1490.01</v>
      </c>
      <c r="I74" s="18" t="n">
        <v>2831.9</v>
      </c>
      <c r="J74" s="18" t="n">
        <v>3085.95</v>
      </c>
      <c r="K74" s="37" t="n">
        <v>8639.209999999999</v>
      </c>
      <c r="L74" s="18" t="n">
        <v>1254.02</v>
      </c>
      <c r="M74" s="18" t="n">
        <v>-379.45</v>
      </c>
      <c r="N74" s="18" t="n">
        <v>3496.45</v>
      </c>
      <c r="O74" s="18" t="n">
        <v>2011.86</v>
      </c>
      <c r="P74" s="37" t="n">
        <v>6382.88</v>
      </c>
      <c r="Q74" s="18" t="n">
        <v>1809.05</v>
      </c>
      <c r="R74" s="18" t="n">
        <v>6364.56</v>
      </c>
      <c r="S74" s="18" t="n">
        <v>-413.91</v>
      </c>
      <c r="T74" s="18" t="n">
        <v>355.55</v>
      </c>
      <c r="U74" s="37" t="n">
        <v>8115.25</v>
      </c>
      <c r="V74" s="18" t="n">
        <v>7037.28</v>
      </c>
      <c r="W74" s="18" t="n">
        <v>6607.14</v>
      </c>
      <c r="X74" s="18" t="n">
        <v>5951.8</v>
      </c>
      <c r="Y74" s="18" t="n">
        <v>10523.67</v>
      </c>
      <c r="Z74" s="37" t="n">
        <v>30119.89</v>
      </c>
      <c r="AA74" s="18" t="n">
        <v>6209.77</v>
      </c>
      <c r="AB74" s="19" t="n">
        <v>11982.47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-8682.799999999999</v>
      </c>
      <c r="F75" s="9" t="n"/>
      <c r="G75" s="18" t="n">
        <v>3103.07</v>
      </c>
      <c r="H75" s="18" t="n">
        <v>8937.4</v>
      </c>
      <c r="I75" s="18" t="n">
        <v>-847.99</v>
      </c>
      <c r="J75" s="18" t="n">
        <v>9068.4</v>
      </c>
      <c r="K75" s="37" t="n">
        <v>20260.88</v>
      </c>
      <c r="L75" s="18" t="n">
        <v>-1944.42</v>
      </c>
      <c r="M75" s="18" t="n">
        <v>6920.76</v>
      </c>
      <c r="N75" s="18" t="n">
        <v>-1060.27</v>
      </c>
      <c r="O75" s="18" t="n">
        <v>-17362.37</v>
      </c>
      <c r="P75" s="37" t="n">
        <v>-13446.3</v>
      </c>
      <c r="Q75" s="18" t="n">
        <v>20.14</v>
      </c>
      <c r="R75" s="18" t="n">
        <v>8666.190000000001</v>
      </c>
      <c r="S75" s="18" t="n">
        <v>12269.01</v>
      </c>
      <c r="T75" s="18" t="n">
        <v>-631.38</v>
      </c>
      <c r="U75" s="37" t="n">
        <v>20323.96</v>
      </c>
      <c r="V75" s="18" t="n">
        <v>21855.86</v>
      </c>
      <c r="W75" s="18" t="n">
        <v>29357.84</v>
      </c>
      <c r="X75" s="18" t="n">
        <v>15662.46</v>
      </c>
      <c r="Y75" s="18" t="n">
        <v>34867.56</v>
      </c>
      <c r="Z75" s="37" t="n">
        <v>101743.72</v>
      </c>
      <c r="AA75" s="18" t="n">
        <v>15523.07</v>
      </c>
      <c r="AB75" s="19" t="n">
        <v>36561.67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-8.029999999999999</v>
      </c>
      <c r="F76" s="9" t="n"/>
      <c r="G76" s="18" t="n">
        <v>6.18</v>
      </c>
      <c r="H76" s="18" t="n">
        <v>0.13</v>
      </c>
      <c r="I76" s="18" t="n">
        <v>0.18</v>
      </c>
      <c r="J76" s="18" t="n">
        <v>-6.5</v>
      </c>
      <c r="K76" s="37" t="n">
        <v>-0.01</v>
      </c>
      <c r="L76" s="18" t="n">
        <v>5.99</v>
      </c>
      <c r="M76" s="18" t="n">
        <v>0.09</v>
      </c>
      <c r="N76" s="18" t="n">
        <v>0.03</v>
      </c>
      <c r="O76" s="18" t="n">
        <v>-9.24</v>
      </c>
      <c r="P76" s="37" t="n">
        <v>-3.13</v>
      </c>
      <c r="R76" s="18" t="n">
        <v>0</v>
      </c>
      <c r="T76" s="18" t="n">
        <v>-2.61</v>
      </c>
      <c r="U76" s="9" t="n"/>
      <c r="V76" s="18" t="n">
        <v>0</v>
      </c>
      <c r="W76" s="18" t="n">
        <v>-0.18</v>
      </c>
      <c r="X76" s="18" t="n">
        <v>0</v>
      </c>
      <c r="Y76" s="18" t="n">
        <v>0</v>
      </c>
      <c r="Z76" s="37" t="n">
        <v>-0.18</v>
      </c>
      <c r="AA76" s="18" t="n">
        <v>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-8690.83</v>
      </c>
      <c r="F77" s="9" t="n"/>
      <c r="G77" s="18" t="n">
        <v>3109.25</v>
      </c>
      <c r="H77" s="18" t="n">
        <v>8937.530000000001</v>
      </c>
      <c r="I77" s="18" t="n">
        <v>-847.8099999999999</v>
      </c>
      <c r="J77" s="18" t="n">
        <v>9061.9</v>
      </c>
      <c r="K77" s="37" t="n">
        <v>20260.87</v>
      </c>
      <c r="L77" s="18" t="n">
        <v>-1938.44</v>
      </c>
      <c r="M77" s="18" t="n">
        <v>6920.85</v>
      </c>
      <c r="N77" s="18" t="n">
        <v>-1060.24</v>
      </c>
      <c r="O77" s="18" t="n">
        <v>-17371.61</v>
      </c>
      <c r="P77" s="37" t="n">
        <v>-13449.44</v>
      </c>
      <c r="Q77" s="18" t="n">
        <v>20.14</v>
      </c>
      <c r="R77" s="18" t="n">
        <v>8666.190000000001</v>
      </c>
      <c r="S77" s="18" t="n">
        <v>12269.01</v>
      </c>
      <c r="T77" s="18" t="n">
        <v>-633.99</v>
      </c>
      <c r="U77" s="37" t="n">
        <v>20321.35</v>
      </c>
      <c r="V77" s="18" t="n">
        <v>21855.86</v>
      </c>
      <c r="W77" s="18" t="n">
        <v>29357.66</v>
      </c>
      <c r="X77" s="18" t="n">
        <v>15662.46</v>
      </c>
      <c r="Y77" s="18" t="n">
        <v>34867.56</v>
      </c>
      <c r="Z77" s="37" t="n">
        <v>101743.54</v>
      </c>
      <c r="AA77" s="18" t="n">
        <v>15523.07</v>
      </c>
      <c r="AB77" s="19" t="n">
        <v>36561.67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-7959.11</v>
      </c>
      <c r="F78" s="9" t="n"/>
      <c r="G78" s="18" t="n">
        <v>3012.63</v>
      </c>
      <c r="H78" s="18" t="n">
        <v>11565.93</v>
      </c>
      <c r="I78" s="18" t="n">
        <v>3068.57</v>
      </c>
      <c r="J78" s="18" t="n">
        <v>3974.7</v>
      </c>
      <c r="K78" s="37" t="n">
        <v>21621.83</v>
      </c>
      <c r="L78" s="18" t="n">
        <v>-803.78</v>
      </c>
      <c r="M78" s="18" t="n">
        <v>6953.18</v>
      </c>
      <c r="N78" s="18" t="n">
        <v>-1258.17</v>
      </c>
      <c r="O78" s="18" t="n">
        <v>-20412.49</v>
      </c>
      <c r="P78" s="37" t="n">
        <v>-15521.26</v>
      </c>
      <c r="Q78" s="18" t="n">
        <v>39.87</v>
      </c>
      <c r="R78" s="18" t="n">
        <v>9951.450000000001</v>
      </c>
      <c r="S78" s="18" t="n">
        <v>10992.91</v>
      </c>
      <c r="T78" s="18" t="n">
        <v>4066.67</v>
      </c>
      <c r="U78" s="37" t="n">
        <v>25050.9</v>
      </c>
      <c r="V78" s="18" t="n">
        <v>20796.92</v>
      </c>
      <c r="W78" s="18" t="n">
        <v>19594.05</v>
      </c>
      <c r="X78" s="18" t="n">
        <v>14689.3</v>
      </c>
      <c r="Y78" s="18" t="n">
        <v>41243.6</v>
      </c>
      <c r="Z78" s="37" t="n">
        <v>96323.87</v>
      </c>
      <c r="AA78" s="18" t="n">
        <v>16539.96</v>
      </c>
      <c r="AB78" s="19" t="n">
        <v>38032.95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1520.42</v>
      </c>
      <c r="F79" s="9" t="n"/>
      <c r="G79" s="18" t="n">
        <v>122.64</v>
      </c>
      <c r="H79" s="18" t="n">
        <v>-1167.34</v>
      </c>
      <c r="I79" s="18" t="n">
        <v>-10898.5</v>
      </c>
      <c r="J79" s="18" t="n">
        <v>8111.27</v>
      </c>
      <c r="K79" s="37" t="n">
        <v>-3831.93</v>
      </c>
      <c r="L79" s="18" t="n">
        <v>-3911.36</v>
      </c>
      <c r="M79" s="18" t="n">
        <v>5178.06</v>
      </c>
      <c r="N79" s="18" t="n">
        <v>-3384.88</v>
      </c>
      <c r="O79" s="18" t="n">
        <v>1674.78</v>
      </c>
      <c r="P79" s="37" t="n">
        <v>-443.4</v>
      </c>
      <c r="Q79" s="18" t="n">
        <v>-2274.18</v>
      </c>
      <c r="R79" s="18" t="n">
        <v>-2605.1</v>
      </c>
      <c r="S79" s="18" t="n">
        <v>3914.53</v>
      </c>
      <c r="T79" s="18" t="n">
        <v>-17063.06</v>
      </c>
      <c r="U79" s="37" t="n">
        <v>-18027.81</v>
      </c>
      <c r="V79" s="18" t="n">
        <v>-910.46</v>
      </c>
      <c r="W79" s="18" t="n">
        <v>4076.13</v>
      </c>
      <c r="X79" s="18" t="n">
        <v>-8268.469999999999</v>
      </c>
      <c r="Y79" s="18" t="n">
        <v>1551.08</v>
      </c>
      <c r="Z79" s="37" t="n">
        <v>-3551.72</v>
      </c>
      <c r="AA79" s="18" t="n">
        <v>-19291.41</v>
      </c>
      <c r="AB79" s="19" t="n">
        <v>-3053.28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-7404.64</v>
      </c>
      <c r="F80" s="9" t="n"/>
      <c r="G80" s="18" t="n">
        <v>75.41</v>
      </c>
      <c r="H80" s="18" t="n">
        <v>8984.32</v>
      </c>
      <c r="I80" s="18" t="n">
        <v>728.92</v>
      </c>
      <c r="J80" s="18" t="n">
        <v>-1835.32</v>
      </c>
      <c r="K80" s="37" t="n">
        <v>7953.33</v>
      </c>
      <c r="L80" s="18" t="n">
        <v>75.89</v>
      </c>
      <c r="M80" s="18" t="n">
        <v>-6526.33</v>
      </c>
      <c r="N80" s="18" t="n">
        <v>1206.76</v>
      </c>
      <c r="O80" s="18" t="n">
        <v>-17244.22</v>
      </c>
      <c r="P80" s="37" t="n">
        <v>-22487.9</v>
      </c>
      <c r="Q80" s="18" t="n">
        <v>1468.95</v>
      </c>
      <c r="R80" s="18" t="n">
        <v>-228.31</v>
      </c>
      <c r="S80" s="18" t="n">
        <v>352.95</v>
      </c>
      <c r="T80" s="18" t="n">
        <v>-470.12</v>
      </c>
      <c r="U80" s="37" t="n">
        <v>1123.47</v>
      </c>
      <c r="V80" s="18" t="n">
        <v>-1265.92</v>
      </c>
      <c r="W80" s="18" t="n">
        <v>298.21</v>
      </c>
      <c r="X80" s="18" t="n">
        <v>195.7</v>
      </c>
      <c r="Y80" s="18" t="n">
        <v>4631.26</v>
      </c>
      <c r="Z80" s="37" t="n">
        <v>3859.25</v>
      </c>
      <c r="AA80" s="18" t="n">
        <v>28.13</v>
      </c>
      <c r="AB80" s="19" t="n">
        <v>1288.18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-8690.83</v>
      </c>
      <c r="F81" s="9" t="n"/>
      <c r="G81" s="18" t="n">
        <v>3109.25</v>
      </c>
      <c r="H81" s="18" t="n">
        <v>8937.530000000001</v>
      </c>
      <c r="I81" s="18" t="n">
        <v>-847.8099999999999</v>
      </c>
      <c r="J81" s="18" t="n">
        <v>9061.9</v>
      </c>
      <c r="K81" s="37" t="n">
        <v>20260.87</v>
      </c>
      <c r="L81" s="18" t="n">
        <v>-1938.44</v>
      </c>
      <c r="M81" s="18" t="n">
        <v>6920.85</v>
      </c>
      <c r="N81" s="18" t="n">
        <v>-1060.24</v>
      </c>
      <c r="O81" s="18" t="n">
        <v>-17371.61</v>
      </c>
      <c r="P81" s="37" t="n">
        <v>-13449.44</v>
      </c>
      <c r="Q81" s="18" t="n">
        <v>20.14</v>
      </c>
      <c r="R81" s="18" t="n">
        <v>8666.190000000001</v>
      </c>
      <c r="S81" s="18" t="n">
        <v>12269.01</v>
      </c>
      <c r="T81" s="18" t="n">
        <v>-633.99</v>
      </c>
      <c r="U81" s="37" t="n">
        <v>20321.35</v>
      </c>
      <c r="V81" s="18" t="n">
        <v>21855.86</v>
      </c>
      <c r="W81" s="18" t="n">
        <v>29357.66</v>
      </c>
      <c r="X81" s="18" t="n">
        <v>15662.46</v>
      </c>
      <c r="Y81" s="18" t="n">
        <v>34867.56</v>
      </c>
      <c r="Z81" s="37" t="n">
        <v>101743.54</v>
      </c>
      <c r="AA81" s="18" t="n">
        <v>15523.07</v>
      </c>
      <c r="AB81" s="19" t="n">
        <v>36561.67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369.45</v>
      </c>
      <c r="H82" s="18" t="n">
        <v>386.72</v>
      </c>
      <c r="I82" s="18" t="n">
        <v>486.91</v>
      </c>
      <c r="J82" s="18" t="n">
        <v>702.3099999999999</v>
      </c>
      <c r="K82" s="37" t="n">
        <v>1945.39</v>
      </c>
      <c r="L82" s="18" t="n">
        <v>797.34</v>
      </c>
      <c r="M82" s="18" t="n">
        <v>795.96</v>
      </c>
      <c r="N82" s="18" t="n">
        <v>1338.48</v>
      </c>
      <c r="O82" s="18" t="n">
        <v>1372.57</v>
      </c>
      <c r="P82" s="37" t="n">
        <v>4304.35</v>
      </c>
      <c r="Q82" s="18" t="n">
        <v>1273.5</v>
      </c>
      <c r="R82" s="18" t="n">
        <v>1137.14</v>
      </c>
      <c r="S82" s="18" t="n">
        <v>1473.11</v>
      </c>
      <c r="T82" s="18" t="n">
        <v>1198.9</v>
      </c>
      <c r="U82" s="37" t="n">
        <v>5082.65</v>
      </c>
      <c r="V82" s="18" t="n">
        <v>1270.42</v>
      </c>
      <c r="W82" s="18" t="n">
        <v>1282.52</v>
      </c>
      <c r="X82" s="18" t="n">
        <v>1014.47</v>
      </c>
      <c r="Y82" s="18" t="n">
        <v>787.12</v>
      </c>
      <c r="Z82" s="37" t="n">
        <v>4354.53</v>
      </c>
      <c r="AA82" s="18" t="n">
        <v>541.73</v>
      </c>
      <c r="AB82" s="19" t="n">
        <v>456.22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209.11</v>
      </c>
      <c r="H83" s="18" t="n">
        <v>190.68</v>
      </c>
      <c r="I83" s="18" t="n">
        <v>628.13</v>
      </c>
      <c r="J83" s="18" t="n">
        <v>-114.39</v>
      </c>
      <c r="K83" s="37" t="n">
        <v>913.53</v>
      </c>
      <c r="L83" s="18" t="n">
        <v>562.38</v>
      </c>
      <c r="M83" s="18" t="n">
        <v>751.46</v>
      </c>
      <c r="N83" s="18" t="n">
        <v>1461.77</v>
      </c>
      <c r="O83" s="18" t="n">
        <v>1750.71</v>
      </c>
      <c r="P83" s="37" t="n">
        <v>4526.32</v>
      </c>
      <c r="Q83" s="18" t="n">
        <v>1516.6</v>
      </c>
      <c r="R83" s="18" t="n">
        <v>1317.15</v>
      </c>
      <c r="S83" s="18" t="n">
        <v>1437.56</v>
      </c>
      <c r="T83" s="18" t="n">
        <v>786.4400000000001</v>
      </c>
      <c r="U83" s="37" t="n">
        <v>5057.75</v>
      </c>
      <c r="V83" s="18" t="n">
        <v>893.55</v>
      </c>
      <c r="W83" s="18" t="n">
        <v>2089.03</v>
      </c>
      <c r="X83" s="18" t="n">
        <v>1596.08</v>
      </c>
      <c r="Y83" s="18" t="n">
        <v>1513.43</v>
      </c>
      <c r="Z83" s="37" t="n">
        <v>6092.09</v>
      </c>
      <c r="AA83" s="18" t="n">
        <v>1859.84</v>
      </c>
      <c r="AB83" s="19" t="n">
        <v>750.21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G84" s="18" t="n">
        <v>597.34</v>
      </c>
      <c r="H84" s="18" t="n">
        <v>2275.53</v>
      </c>
      <c r="I84" s="18" t="n">
        <v>2703.01</v>
      </c>
      <c r="J84" s="18" t="n">
        <v>1780.26</v>
      </c>
      <c r="K84" s="37" t="n">
        <v>7356.14</v>
      </c>
      <c r="L84" s="18" t="n">
        <v>1528.26</v>
      </c>
      <c r="M84" s="18" t="n">
        <v>1250.52</v>
      </c>
      <c r="N84" s="18" t="n">
        <v>2553.91</v>
      </c>
      <c r="O84" s="18" t="n">
        <v>1169.56</v>
      </c>
      <c r="P84" s="37" t="n">
        <v>6502.25</v>
      </c>
      <c r="Q84" s="18" t="n">
        <v>2302.92</v>
      </c>
      <c r="R84" s="18" t="n">
        <v>3024.79</v>
      </c>
      <c r="S84" s="18" t="n">
        <v>1326.81</v>
      </c>
      <c r="T84" s="18" t="n">
        <v>5114.12</v>
      </c>
      <c r="U84" s="37" t="n">
        <v>11768.64</v>
      </c>
      <c r="V84" s="18" t="n">
        <v>3427.68</v>
      </c>
      <c r="W84" s="18" t="n">
        <v>3023.88</v>
      </c>
      <c r="X84" s="18" t="n">
        <v>2493.72</v>
      </c>
      <c r="Y84" s="18" t="n">
        <v>7209.12</v>
      </c>
      <c r="Z84" s="37" t="n">
        <v>16154.4</v>
      </c>
      <c r="AA84" s="18" t="n">
        <v>7662.48</v>
      </c>
      <c r="AB84" s="19" t="n">
        <v>7573.53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G85" s="18" t="n">
        <v>140.59</v>
      </c>
      <c r="H85" s="18" t="n">
        <v>856.79</v>
      </c>
      <c r="I85" s="18" t="n">
        <v>838.38</v>
      </c>
      <c r="J85" s="18" t="n">
        <v>4123.68</v>
      </c>
      <c r="K85" s="37" t="n">
        <v>5959.44</v>
      </c>
      <c r="L85" s="18" t="n">
        <v>1307.42</v>
      </c>
      <c r="M85" s="18" t="n">
        <v>474.57</v>
      </c>
      <c r="N85" s="18" t="n">
        <v>1264.85</v>
      </c>
      <c r="O85" s="18" t="n">
        <v>2476.11</v>
      </c>
      <c r="P85" s="37" t="n">
        <v>5522.95</v>
      </c>
      <c r="Q85" s="18" t="n">
        <v>653.64</v>
      </c>
      <c r="R85" s="18" t="n">
        <v>986.3099999999999</v>
      </c>
      <c r="S85" s="18" t="n">
        <v>2163.78</v>
      </c>
      <c r="T85" s="18" t="n">
        <v>1728.18</v>
      </c>
      <c r="U85" s="37" t="n">
        <v>5531.91</v>
      </c>
      <c r="V85" s="18" t="n">
        <v>3698.64</v>
      </c>
      <c r="W85" s="18" t="n">
        <v>6173.31</v>
      </c>
      <c r="X85" s="18" t="n">
        <v>1845</v>
      </c>
      <c r="Y85" s="18" t="n">
        <v>5523.74</v>
      </c>
      <c r="Z85" s="37" t="n">
        <v>17240.69</v>
      </c>
      <c r="AA85" s="18" t="n">
        <v>3579.48</v>
      </c>
      <c r="AB85" s="19" t="n">
        <v>6319.09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G86" s="18" t="n">
        <v>307.2</v>
      </c>
      <c r="H86" s="18" t="n">
        <v>102.65</v>
      </c>
      <c r="I86" s="18" t="n">
        <v>1295.17</v>
      </c>
      <c r="J86" s="18" t="n">
        <v>-1310.99</v>
      </c>
      <c r="K86" s="37" t="n">
        <v>394.03</v>
      </c>
      <c r="L86" s="18" t="n">
        <v>173.54</v>
      </c>
      <c r="M86" s="18" t="n">
        <v>748.29</v>
      </c>
      <c r="N86" s="18" t="n">
        <v>-31.19</v>
      </c>
      <c r="O86" s="18" t="n">
        <v>-697.26</v>
      </c>
      <c r="P86" s="37" t="n">
        <v>193.38</v>
      </c>
      <c r="Q86" s="18" t="n">
        <v>1097.53</v>
      </c>
      <c r="R86" s="18" t="n">
        <v>-384.29</v>
      </c>
      <c r="S86" s="18" t="n">
        <v>-440.06</v>
      </c>
      <c r="T86" s="18" t="n">
        <v>648.27</v>
      </c>
      <c r="U86" s="37" t="n">
        <v>921.45</v>
      </c>
      <c r="V86" s="18" t="n">
        <v>845.34</v>
      </c>
      <c r="W86" s="18" t="n">
        <v>-804.9</v>
      </c>
      <c r="X86" s="18" t="n">
        <v>370.97</v>
      </c>
      <c r="Y86" s="18" t="n">
        <v>19.58</v>
      </c>
      <c r="Z86" s="37" t="n">
        <v>430.99</v>
      </c>
      <c r="AA86" s="18" t="n">
        <v>2644.71</v>
      </c>
      <c r="AB86" s="19" t="n">
        <v>-1258.81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G87" s="18" t="n">
        <v>160.34</v>
      </c>
      <c r="H87" s="18" t="n">
        <v>196.04</v>
      </c>
      <c r="I87" s="18" t="n">
        <v>-141.22</v>
      </c>
      <c r="J87" s="18" t="n">
        <v>816.7</v>
      </c>
      <c r="K87" s="37" t="n">
        <v>1031.86</v>
      </c>
      <c r="L87" s="18" t="n">
        <v>234.96</v>
      </c>
      <c r="M87" s="18" t="n">
        <v>44.5</v>
      </c>
      <c r="N87" s="18" t="n">
        <v>-123.29</v>
      </c>
      <c r="O87" s="18" t="n">
        <v>-378.14</v>
      </c>
      <c r="P87" s="37" t="n">
        <v>-221.97</v>
      </c>
      <c r="Q87" s="18" t="n">
        <v>-243.1</v>
      </c>
      <c r="R87" s="18" t="n">
        <v>-180.01</v>
      </c>
      <c r="S87" s="18" t="n">
        <v>35.55</v>
      </c>
      <c r="T87" s="18" t="n">
        <v>412.46</v>
      </c>
      <c r="U87" s="37" t="n">
        <v>24.9</v>
      </c>
      <c r="V87" s="18" t="n">
        <v>376.87</v>
      </c>
      <c r="W87" s="18" t="n">
        <v>-806.51</v>
      </c>
      <c r="X87" s="18" t="n">
        <v>-581.61</v>
      </c>
      <c r="Y87" s="18" t="n">
        <v>-726.3099999999999</v>
      </c>
      <c r="Z87" s="37" t="n">
        <v>-1737.56</v>
      </c>
      <c r="AA87" s="18" t="n">
        <v>-1318.11</v>
      </c>
      <c r="AB87" s="19" t="n">
        <v>-293.99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H88" s="18" t="n">
        <v>139.03</v>
      </c>
      <c r="K88" s="9" t="n"/>
      <c r="L88" s="18" t="n">
        <v>42.15</v>
      </c>
      <c r="M88" s="18" t="n">
        <v>-7.7</v>
      </c>
      <c r="N88" s="18" t="n">
        <v>260.2</v>
      </c>
      <c r="O88" s="18" t="n">
        <v>392.34</v>
      </c>
      <c r="P88" s="37" t="n">
        <v>686.99</v>
      </c>
      <c r="Q88" s="18" t="n">
        <v>240.67</v>
      </c>
      <c r="R88" s="18" t="n">
        <v>84.62</v>
      </c>
      <c r="S88" s="18" t="n">
        <v>217.37</v>
      </c>
      <c r="T88" s="18" t="n">
        <v>236.82</v>
      </c>
      <c r="U88" s="37" t="n">
        <v>779.48</v>
      </c>
      <c r="V88" s="18" t="n">
        <v>550.86</v>
      </c>
      <c r="W88" s="18" t="n">
        <v>343.49</v>
      </c>
      <c r="X88" s="18" t="n">
        <v>10.95</v>
      </c>
      <c r="Y88" s="18" t="n">
        <v>930.51</v>
      </c>
      <c r="Z88" s="37" t="n">
        <v>1835.81</v>
      </c>
      <c r="AA88" s="18" t="n">
        <v>2223.97</v>
      </c>
      <c r="AB88" s="19" t="n">
        <v>-711.33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(비지배주주지분)당기순이익</t>
        </is>
      </c>
      <c r="F89" s="9" t="n"/>
      <c r="K89" s="9" t="n"/>
      <c r="P89" s="9" t="n"/>
      <c r="U89" s="9" t="n"/>
      <c r="V89" s="18" t="n">
        <v>0</v>
      </c>
      <c r="X89" s="18" t="n">
        <v>0</v>
      </c>
      <c r="Y89" s="18" t="n">
        <v>0</v>
      </c>
      <c r="Z89" s="9" t="n"/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V90" s="18" t="n">
        <v>28.03</v>
      </c>
      <c r="W90" s="18" t="n">
        <v>118.37</v>
      </c>
      <c r="X90" s="18" t="n">
        <v>242.96</v>
      </c>
      <c r="Y90" s="18" t="n">
        <v>176.95</v>
      </c>
      <c r="Z90" s="37" t="n">
        <v>566.3099999999999</v>
      </c>
      <c r="AA90" s="18" t="n">
        <v>925.54</v>
      </c>
      <c r="AB90" s="19" t="n">
        <v>105.44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파생상품이익</t>
        </is>
      </c>
      <c r="F91" s="9" t="n"/>
      <c r="K91" s="9" t="n"/>
      <c r="P91" s="9" t="n"/>
      <c r="U91" s="9" t="n"/>
      <c r="W91" s="18" t="n">
        <v>4985.2</v>
      </c>
      <c r="X91" s="18" t="n">
        <v>3298.69</v>
      </c>
      <c r="Y91" s="18" t="n">
        <v>-1619.12</v>
      </c>
      <c r="Z91" s="9" t="n"/>
      <c r="AA91" s="18" t="n">
        <v>8887.469999999999</v>
      </c>
      <c r="AB91" s="19" t="n">
        <v>-832.85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파생상품손실</t>
        </is>
      </c>
      <c r="F92" s="9" t="n"/>
      <c r="K92" s="9" t="n"/>
      <c r="P92" s="9" t="n"/>
      <c r="U92" s="9" t="n"/>
      <c r="W92" s="18" t="n">
        <v>12569.47</v>
      </c>
      <c r="X92" s="18" t="n">
        <v>6578.81</v>
      </c>
      <c r="Y92" s="18" t="n">
        <v>-19146.35</v>
      </c>
      <c r="Z92" s="9" t="n"/>
      <c r="AA92" s="18" t="n">
        <v>28630.13</v>
      </c>
      <c r="AB92" s="19" t="n">
        <v>2484.26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영업활동으로인한현금흐름</t>
        </is>
      </c>
      <c r="E93" s="18" t="n">
        <v>-530.36</v>
      </c>
      <c r="F93" s="9" t="n"/>
      <c r="G93" s="18" t="n">
        <v>-5034.76</v>
      </c>
      <c r="H93" s="18" t="n">
        <v>-32214.02</v>
      </c>
      <c r="I93" s="18" t="n">
        <v>-2962.09</v>
      </c>
      <c r="J93" s="18" t="n">
        <v>32412.02</v>
      </c>
      <c r="K93" s="37" t="n">
        <v>-7798.85</v>
      </c>
      <c r="L93" s="18" t="n">
        <v>-27449.22</v>
      </c>
      <c r="M93" s="18" t="n">
        <v>-1996.2</v>
      </c>
      <c r="N93" s="18" t="n">
        <v>42214.56</v>
      </c>
      <c r="O93" s="18" t="n">
        <v>43750.73</v>
      </c>
      <c r="P93" s="37" t="n">
        <v>56519.87</v>
      </c>
      <c r="Q93" s="18" t="n">
        <v>13586.72</v>
      </c>
      <c r="R93" s="18" t="n">
        <v>72049.03</v>
      </c>
      <c r="S93" s="18" t="n">
        <v>38931.98</v>
      </c>
      <c r="T93" s="18" t="n">
        <v>25966.46</v>
      </c>
      <c r="U93" s="37" t="n">
        <v>150534.19</v>
      </c>
      <c r="V93" s="18" t="n">
        <v>68777.55</v>
      </c>
      <c r="W93" s="18" t="n">
        <v>24604.77</v>
      </c>
      <c r="X93" s="18" t="n">
        <v>1794.97</v>
      </c>
      <c r="Y93" s="18" t="n">
        <v>36365.7</v>
      </c>
      <c r="Z93" s="37" t="n">
        <v>131542.99</v>
      </c>
      <c r="AA93" s="18" t="n">
        <v>25882.55</v>
      </c>
      <c r="AB93" s="19" t="n">
        <v>42768.85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260.85</v>
      </c>
      <c r="F94" s="9" t="n"/>
      <c r="G94" s="18" t="n">
        <v>80.48999999999999</v>
      </c>
      <c r="H94" s="18" t="n">
        <v>644.6799999999999</v>
      </c>
      <c r="I94" s="18" t="n">
        <v>90.19</v>
      </c>
      <c r="J94" s="18" t="n">
        <v>146.97</v>
      </c>
      <c r="K94" s="37" t="n">
        <v>962.33</v>
      </c>
      <c r="L94" s="18" t="n">
        <v>304.32</v>
      </c>
      <c r="M94" s="18" t="n">
        <v>140.14</v>
      </c>
      <c r="N94" s="18" t="n">
        <v>720.71</v>
      </c>
      <c r="O94" s="18" t="n">
        <v>12.9</v>
      </c>
      <c r="P94" s="37" t="n">
        <v>1178.07</v>
      </c>
      <c r="Q94" s="18" t="n">
        <v>55.84</v>
      </c>
      <c r="R94" s="18" t="n">
        <v>1479.64</v>
      </c>
      <c r="S94" s="18" t="n">
        <v>-1083.53</v>
      </c>
      <c r="T94" s="18" t="n">
        <v>-176.43</v>
      </c>
      <c r="U94" s="37" t="n">
        <v>275.52</v>
      </c>
      <c r="V94" s="18" t="n">
        <v>55.98</v>
      </c>
      <c r="W94" s="18" t="n">
        <v>134.39</v>
      </c>
      <c r="X94" s="18" t="n">
        <v>259.83</v>
      </c>
      <c r="Y94" s="18" t="n">
        <v>176.95</v>
      </c>
      <c r="Z94" s="37" t="n">
        <v>627.15</v>
      </c>
      <c r="AA94" s="18" t="n">
        <v>940.99</v>
      </c>
      <c r="AB94" s="19" t="n">
        <v>105.44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-301.46</v>
      </c>
      <c r="F95" s="9" t="n"/>
      <c r="G95" s="18" t="n">
        <v>-2960.82</v>
      </c>
      <c r="H95" s="18" t="n">
        <v>-4211.69</v>
      </c>
      <c r="I95" s="18" t="n">
        <v>-3071.46</v>
      </c>
      <c r="J95" s="18" t="n">
        <v>-5251.16</v>
      </c>
      <c r="K95" s="37" t="n">
        <v>-15495.13</v>
      </c>
      <c r="L95" s="18" t="n">
        <v>-3022.94</v>
      </c>
      <c r="M95" s="18" t="n">
        <v>-1257.03</v>
      </c>
      <c r="N95" s="18" t="n">
        <v>-1969.93</v>
      </c>
      <c r="O95" s="18" t="n">
        <v>-4375.76</v>
      </c>
      <c r="P95" s="37" t="n">
        <v>-10625.66</v>
      </c>
      <c r="Q95" s="18" t="n">
        <v>-786.66</v>
      </c>
      <c r="R95" s="18" t="n">
        <v>854.3099999999999</v>
      </c>
      <c r="S95" s="18" t="n">
        <v>172.86</v>
      </c>
      <c r="T95" s="18" t="n">
        <v>-1448.94</v>
      </c>
      <c r="U95" s="37" t="n">
        <v>-1208.43</v>
      </c>
      <c r="V95" s="18" t="n">
        <v>-5260.97</v>
      </c>
      <c r="W95" s="18" t="n">
        <v>-4895.9</v>
      </c>
      <c r="X95" s="18" t="n">
        <v>-5833.57</v>
      </c>
      <c r="Y95" s="18" t="n">
        <v>-330.6</v>
      </c>
      <c r="Z95" s="37" t="n">
        <v>-16321.04</v>
      </c>
      <c r="AA95" s="18" t="n">
        <v>-14198.13</v>
      </c>
      <c r="AB95" s="19" t="n">
        <v>-17637.08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-326.98</v>
      </c>
      <c r="F96" s="9" t="n"/>
      <c r="G96" s="18" t="n">
        <v>9328.360000000001</v>
      </c>
      <c r="H96" s="18" t="n">
        <v>-2663.32</v>
      </c>
      <c r="I96" s="18" t="n">
        <v>-4977.9</v>
      </c>
      <c r="J96" s="18" t="n">
        <v>-13212.11</v>
      </c>
      <c r="K96" s="37" t="n">
        <v>-11524.97</v>
      </c>
      <c r="L96" s="18" t="n">
        <v>-11398.89</v>
      </c>
      <c r="M96" s="18" t="n">
        <v>-17625.6</v>
      </c>
      <c r="N96" s="18" t="n">
        <v>4821.83</v>
      </c>
      <c r="O96" s="18" t="n">
        <v>-20225.96</v>
      </c>
      <c r="P96" s="37" t="n">
        <v>-44428.62</v>
      </c>
      <c r="Q96" s="18" t="n">
        <v>-18871.9</v>
      </c>
      <c r="R96" s="18" t="n">
        <v>-14377.61</v>
      </c>
      <c r="S96" s="18" t="n">
        <v>-27945</v>
      </c>
      <c r="T96" s="18" t="n">
        <v>-20412.25</v>
      </c>
      <c r="U96" s="37" t="n">
        <v>-81606.75999999999</v>
      </c>
      <c r="V96" s="18" t="n">
        <v>-7348.66</v>
      </c>
      <c r="W96" s="18" t="n">
        <v>-60375.22</v>
      </c>
      <c r="X96" s="18" t="n">
        <v>5902.09</v>
      </c>
      <c r="Y96" s="18" t="n">
        <v>-126078.18</v>
      </c>
      <c r="Z96" s="37" t="n">
        <v>-187899.97</v>
      </c>
      <c r="AA96" s="18" t="n">
        <v>-28805.59</v>
      </c>
      <c r="AB96" s="19" t="n">
        <v>-10662.14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무형자산의증가</t>
        </is>
      </c>
      <c r="E97" s="18" t="n">
        <v>0.04</v>
      </c>
      <c r="F97" s="9" t="n"/>
      <c r="G97" s="18" t="n">
        <v>1.64</v>
      </c>
      <c r="H97" s="18" t="n">
        <v>11.22</v>
      </c>
      <c r="I97" s="18" t="n">
        <v>0.02</v>
      </c>
      <c r="J97" s="18" t="n">
        <v>92.40000000000001</v>
      </c>
      <c r="K97" s="37" t="n">
        <v>105.28</v>
      </c>
      <c r="L97" s="18" t="n">
        <v>25.62</v>
      </c>
      <c r="M97" s="18" t="n">
        <v>0.15</v>
      </c>
      <c r="N97" s="18" t="n">
        <v>82.59999999999999</v>
      </c>
      <c r="O97" s="18" t="n">
        <v>122.2</v>
      </c>
      <c r="P97" s="37" t="n">
        <v>230.57</v>
      </c>
      <c r="S97" s="18" t="n">
        <v>0</v>
      </c>
      <c r="T97" s="18" t="n">
        <v>6228.67</v>
      </c>
      <c r="U97" s="9" t="n"/>
      <c r="X97" s="18" t="n">
        <v>279.5</v>
      </c>
      <c r="Z97" s="9" t="n"/>
      <c r="AA97" s="18" t="n">
        <v>4.99</v>
      </c>
      <c r="AB97" s="19" t="n">
        <v>654.01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0.04</v>
      </c>
      <c r="F98" s="9" t="n"/>
      <c r="G98" s="18" t="n">
        <v>1.64</v>
      </c>
      <c r="H98" s="18" t="n">
        <v>11.22</v>
      </c>
      <c r="I98" s="18" t="n">
        <v>0.02</v>
      </c>
      <c r="J98" s="18" t="n">
        <v>92.40000000000001</v>
      </c>
      <c r="K98" s="37" t="n">
        <v>105.28</v>
      </c>
      <c r="L98" s="18" t="n">
        <v>25.62</v>
      </c>
      <c r="M98" s="18" t="n">
        <v>0.15</v>
      </c>
      <c r="N98" s="18" t="n">
        <v>82.59999999999999</v>
      </c>
      <c r="O98" s="18" t="n">
        <v>122.2</v>
      </c>
      <c r="P98" s="37" t="n">
        <v>230.57</v>
      </c>
      <c r="S98" s="18" t="n">
        <v>0</v>
      </c>
      <c r="T98" s="18" t="n">
        <v>6228.67</v>
      </c>
      <c r="U98" s="9" t="n"/>
      <c r="X98" s="18" t="n">
        <v>279.5</v>
      </c>
      <c r="Z98" s="9" t="n"/>
      <c r="AA98" s="18" t="n">
        <v>4.99</v>
      </c>
      <c r="AB98" s="19" t="n">
        <v>654.01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재무활동으로인한현금흐름</t>
        </is>
      </c>
      <c r="E99" s="18" t="n">
        <v>-781.5599999999999</v>
      </c>
      <c r="F99" s="9" t="n"/>
      <c r="G99" s="18" t="n">
        <v>1904.43</v>
      </c>
      <c r="H99" s="18" t="n">
        <v>-6445.66</v>
      </c>
      <c r="I99" s="18" t="n">
        <v>27239.18</v>
      </c>
      <c r="J99" s="18" t="n">
        <v>2375.67</v>
      </c>
      <c r="K99" s="37" t="n">
        <v>25073.62</v>
      </c>
      <c r="L99" s="18" t="n">
        <v>11463.74</v>
      </c>
      <c r="M99" s="18" t="n">
        <v>13499.35</v>
      </c>
      <c r="N99" s="18" t="n">
        <v>-27169.08</v>
      </c>
      <c r="O99" s="18" t="n">
        <v>-3057.9</v>
      </c>
      <c r="P99" s="37" t="n">
        <v>-5263.89</v>
      </c>
      <c r="Q99" s="18" t="n">
        <v>-24574.07</v>
      </c>
      <c r="R99" s="18" t="n">
        <v>-13619.22</v>
      </c>
      <c r="S99" s="18" t="n">
        <v>-13939.73</v>
      </c>
      <c r="T99" s="18" t="n">
        <v>-29532.14</v>
      </c>
      <c r="U99" s="37" t="n">
        <v>-81665.16</v>
      </c>
      <c r="V99" s="18" t="n">
        <v>-9148.450000000001</v>
      </c>
      <c r="W99" s="18" t="n">
        <v>18791.52</v>
      </c>
      <c r="X99" s="18" t="n">
        <v>-1132.35</v>
      </c>
      <c r="Y99" s="18" t="n">
        <v>47972.09</v>
      </c>
      <c r="Z99" s="37" t="n">
        <v>56482.81</v>
      </c>
      <c r="AA99" s="18" t="n">
        <v>26592.09</v>
      </c>
      <c r="AB99" s="19" t="n">
        <v>-2354.78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E100" s="18" t="n">
        <v>335</v>
      </c>
      <c r="F100" s="9" t="n"/>
      <c r="G100" s="18" t="n">
        <v>296</v>
      </c>
      <c r="H100" s="18" t="n">
        <v>5212</v>
      </c>
      <c r="I100" s="18" t="n">
        <v>23543</v>
      </c>
      <c r="J100" s="18" t="n">
        <v>14494</v>
      </c>
      <c r="K100" s="37" t="n">
        <v>43545</v>
      </c>
      <c r="L100" s="18" t="n">
        <v>49488.22</v>
      </c>
      <c r="M100" s="18" t="n">
        <v>23388.64</v>
      </c>
      <c r="N100" s="18" t="n">
        <v>27481.68</v>
      </c>
      <c r="P100" s="9" t="n"/>
      <c r="Q100" s="18" t="n">
        <v>5043.5</v>
      </c>
      <c r="R100" s="18" t="n">
        <v>1856.5</v>
      </c>
      <c r="S100" s="18" t="n">
        <v>34414.13</v>
      </c>
      <c r="T100" s="18" t="n">
        <v>18561.29</v>
      </c>
      <c r="U100" s="37" t="n">
        <v>59875.42</v>
      </c>
      <c r="V100" s="18" t="n">
        <v>905</v>
      </c>
      <c r="W100" s="18" t="n">
        <v>2040.82</v>
      </c>
      <c r="Y100" s="18" t="n">
        <v>66109.72</v>
      </c>
      <c r="Z100" s="9" t="n"/>
      <c r="AA100" s="18" t="n">
        <v>38870.23</v>
      </c>
      <c r="AB100" s="19" t="n">
        <v>46660.48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6105.91</v>
      </c>
      <c r="H101" s="18" t="n">
        <v>0</v>
      </c>
      <c r="I101" s="18" t="n">
        <v>8205.91</v>
      </c>
      <c r="J101" s="18" t="n">
        <v>214</v>
      </c>
      <c r="K101" s="37" t="n">
        <v>14525.82</v>
      </c>
      <c r="L101" s="18" t="n">
        <v>105.91</v>
      </c>
      <c r="M101" s="18" t="n">
        <v>2700</v>
      </c>
      <c r="N101" s="18" t="n">
        <v>4800</v>
      </c>
      <c r="O101" s="18" t="n">
        <v>0</v>
      </c>
      <c r="P101" s="37" t="n">
        <v>7605.91</v>
      </c>
      <c r="Q101" s="18" t="n">
        <v>4500</v>
      </c>
      <c r="S101" s="18" t="n">
        <v>86.63</v>
      </c>
      <c r="T101" s="18" t="n">
        <v>5446.17</v>
      </c>
      <c r="U101" s="9" t="n"/>
      <c r="V101" s="18" t="n">
        <v>1235.05</v>
      </c>
      <c r="W101" s="18" t="n">
        <v>3764.95</v>
      </c>
      <c r="X101" s="18" t="n">
        <v>0</v>
      </c>
      <c r="Y101" s="18" t="n">
        <v>780</v>
      </c>
      <c r="Z101" s="37" t="n">
        <v>5780</v>
      </c>
      <c r="AA101" s="18" t="n">
        <v>1170</v>
      </c>
      <c r="AB101" s="19" t="n">
        <v>11330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E102" s="18" t="n">
        <v>424</v>
      </c>
      <c r="F102" s="9" t="n"/>
      <c r="G102" s="18" t="n">
        <v>461</v>
      </c>
      <c r="H102" s="18" t="n">
        <v>719</v>
      </c>
      <c r="I102" s="18" t="n">
        <v>506</v>
      </c>
      <c r="J102" s="18" t="n">
        <v>4639</v>
      </c>
      <c r="K102" s="37" t="n">
        <v>6325</v>
      </c>
      <c r="L102" s="18" t="n">
        <v>37677</v>
      </c>
      <c r="M102" s="18" t="n">
        <v>5718</v>
      </c>
      <c r="N102" s="18" t="n">
        <v>42967.43</v>
      </c>
      <c r="P102" s="9" t="n"/>
      <c r="Q102" s="18" t="n">
        <v>32446.29</v>
      </c>
      <c r="R102" s="18" t="n">
        <v>7204.16</v>
      </c>
      <c r="S102" s="18" t="n">
        <v>36576.89</v>
      </c>
      <c r="T102" s="18" t="n">
        <v>48034.16</v>
      </c>
      <c r="U102" s="37" t="n">
        <v>124261.5</v>
      </c>
      <c r="V102" s="18" t="n">
        <v>5456.16</v>
      </c>
      <c r="W102" s="18" t="n">
        <v>19180.57</v>
      </c>
      <c r="Y102" s="18" t="n">
        <v>428.11</v>
      </c>
      <c r="Z102" s="9" t="n"/>
      <c r="AA102" s="18" t="n">
        <v>11585</v>
      </c>
      <c r="AB102" s="19" t="n">
        <v>38599.44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130.58</v>
      </c>
      <c r="F103" s="9" t="n"/>
      <c r="G103" s="18" t="n">
        <v>240.67</v>
      </c>
      <c r="H103" s="18" t="n">
        <v>246.2</v>
      </c>
      <c r="I103" s="18" t="n">
        <v>247.73</v>
      </c>
      <c r="J103" s="18" t="n">
        <v>367.51</v>
      </c>
      <c r="K103" s="37" t="n">
        <v>1102.11</v>
      </c>
      <c r="L103" s="18" t="n">
        <v>439.04</v>
      </c>
      <c r="M103" s="18" t="n">
        <v>451.63</v>
      </c>
      <c r="N103" s="18" t="n">
        <v>539.1900000000001</v>
      </c>
      <c r="O103" s="18" t="n">
        <v>510.58</v>
      </c>
      <c r="P103" s="37" t="n">
        <v>1940.44</v>
      </c>
      <c r="Q103" s="18" t="n">
        <v>529.6799999999999</v>
      </c>
      <c r="R103" s="18" t="n">
        <v>611.5700000000001</v>
      </c>
      <c r="S103" s="18" t="n">
        <v>489.8</v>
      </c>
      <c r="T103" s="18" t="n">
        <v>545.64</v>
      </c>
      <c r="U103" s="37" t="n">
        <v>2176.69</v>
      </c>
      <c r="V103" s="18" t="n">
        <v>548.04</v>
      </c>
      <c r="W103" s="18" t="n">
        <v>529.58</v>
      </c>
      <c r="X103" s="18" t="n">
        <v>682.01</v>
      </c>
      <c r="Y103" s="18" t="n">
        <v>878.96</v>
      </c>
      <c r="Z103" s="37" t="n">
        <v>2638.59</v>
      </c>
      <c r="AA103" s="18" t="n">
        <v>684.39</v>
      </c>
      <c r="AB103" s="19" t="n">
        <v>1231.34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I104" s="18" t="n">
        <v>0</v>
      </c>
      <c r="J104" s="18" t="n">
        <v>0</v>
      </c>
      <c r="K104" s="9" t="n"/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A104" s="18" t="n">
        <v>0</v>
      </c>
      <c r="AB104" s="19" t="n">
        <v>16117.68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E105" s="18" t="n">
        <v>14.15</v>
      </c>
      <c r="F105" s="9" t="n"/>
      <c r="G105" s="18" t="n">
        <v>3795.81</v>
      </c>
      <c r="H105" s="18" t="n">
        <v>4238.81</v>
      </c>
      <c r="I105" s="18" t="n">
        <v>3795.81</v>
      </c>
      <c r="J105" s="18" t="n">
        <v>4118.14</v>
      </c>
      <c r="K105" s="37" t="n">
        <v>15948.57</v>
      </c>
      <c r="L105" s="18" t="n">
        <v>14.15</v>
      </c>
      <c r="M105" s="18" t="n">
        <v>485.44</v>
      </c>
      <c r="N105" s="18" t="n">
        <v>15.75</v>
      </c>
      <c r="O105" s="18" t="n">
        <v>734.37</v>
      </c>
      <c r="P105" s="37" t="n">
        <v>1249.71</v>
      </c>
      <c r="Q105" s="18" t="n">
        <v>941.6</v>
      </c>
      <c r="R105" s="18" t="n">
        <v>1530.16</v>
      </c>
      <c r="S105" s="18" t="n">
        <v>11239.3</v>
      </c>
      <c r="T105" s="18" t="n">
        <v>2514.3</v>
      </c>
      <c r="U105" s="37" t="n">
        <v>16225.36</v>
      </c>
      <c r="V105" s="18" t="n">
        <v>3284.3</v>
      </c>
      <c r="W105" s="18" t="n">
        <v>784.3</v>
      </c>
      <c r="X105" s="18" t="n">
        <v>784.3</v>
      </c>
      <c r="Y105" s="18" t="n">
        <v>3753.05</v>
      </c>
      <c r="Z105" s="37" t="n">
        <v>8605.950000000001</v>
      </c>
      <c r="AA105" s="18" t="n">
        <v>978.05</v>
      </c>
      <c r="AB105" s="19" t="n">
        <v>2609.3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-2151.43</v>
      </c>
      <c r="F106" s="9" t="n"/>
      <c r="G106" s="18" t="n">
        <v>6283.24</v>
      </c>
      <c r="H106" s="18" t="n">
        <v>-41405</v>
      </c>
      <c r="I106" s="18" t="n">
        <v>20029.33</v>
      </c>
      <c r="J106" s="18" t="n">
        <v>19621.16</v>
      </c>
      <c r="K106" s="37" t="n">
        <v>4528.73</v>
      </c>
      <c r="L106" s="18" t="n">
        <v>-27419.12</v>
      </c>
      <c r="M106" s="18" t="n">
        <v>-6009.93</v>
      </c>
      <c r="N106" s="18" t="n">
        <v>26819.41</v>
      </c>
      <c r="O106" s="18" t="n">
        <v>19730.79</v>
      </c>
      <c r="P106" s="37" t="n">
        <v>13121.15</v>
      </c>
      <c r="Q106" s="18" t="n">
        <v>-29499.3</v>
      </c>
      <c r="R106" s="18" t="n">
        <v>44662.52</v>
      </c>
      <c r="S106" s="18" t="n">
        <v>-2094.22</v>
      </c>
      <c r="T106" s="18" t="n">
        <v>-22201.85</v>
      </c>
      <c r="U106" s="37" t="n">
        <v>-9132.85</v>
      </c>
      <c r="V106" s="18" t="n">
        <v>54217.67</v>
      </c>
      <c r="W106" s="18" t="n">
        <v>-18550.06</v>
      </c>
      <c r="X106" s="18" t="n">
        <v>9239.74</v>
      </c>
      <c r="Y106" s="18" t="n">
        <v>-44605.48</v>
      </c>
      <c r="Z106" s="37" t="n">
        <v>301.87</v>
      </c>
      <c r="AA106" s="18" t="n">
        <v>23543.3</v>
      </c>
      <c r="AB106" s="19" t="n">
        <v>29580.97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-2151.43</v>
      </c>
      <c r="F107" s="9" t="n"/>
      <c r="G107" s="18" t="n">
        <v>55331.27</v>
      </c>
      <c r="H107" s="18" t="n">
        <v>-41405</v>
      </c>
      <c r="I107" s="18" t="n">
        <v>20029.33</v>
      </c>
      <c r="J107" s="18" t="n">
        <v>19621.16</v>
      </c>
      <c r="K107" s="37" t="n">
        <v>53576.76</v>
      </c>
      <c r="L107" s="18" t="n">
        <v>26157.63</v>
      </c>
      <c r="M107" s="18" t="n">
        <v>-6009.93</v>
      </c>
      <c r="N107" s="18" t="n">
        <v>26819.42</v>
      </c>
      <c r="O107" s="18" t="n">
        <v>19730.79</v>
      </c>
      <c r="P107" s="37" t="n">
        <v>66697.91</v>
      </c>
      <c r="Q107" s="18" t="n">
        <v>37198.61</v>
      </c>
      <c r="R107" s="18" t="n">
        <v>44662.52</v>
      </c>
      <c r="S107" s="18" t="n">
        <v>-2094.22</v>
      </c>
      <c r="T107" s="18" t="n">
        <v>-22201.85</v>
      </c>
      <c r="U107" s="37" t="n">
        <v>57565.06</v>
      </c>
      <c r="V107" s="18" t="n">
        <v>111782.73</v>
      </c>
      <c r="W107" s="18" t="n">
        <v>-18550.06</v>
      </c>
      <c r="X107" s="18" t="n">
        <v>9239.74</v>
      </c>
      <c r="Y107" s="18" t="n">
        <v>-44605.48</v>
      </c>
      <c r="Z107" s="37" t="n">
        <v>57866.93</v>
      </c>
      <c r="AA107" s="18" t="n">
        <v>81410.23</v>
      </c>
      <c r="AB107" s="19" t="n">
        <v>29580.97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N108" s="18" t="n">
        <v>0</v>
      </c>
      <c r="O108" s="18" t="n">
        <v>635.2</v>
      </c>
      <c r="P108" s="9" t="n"/>
      <c r="S108" s="18" t="n">
        <v>135</v>
      </c>
      <c r="T108" s="18" t="n">
        <v>2800</v>
      </c>
      <c r="U108" s="9" t="n"/>
      <c r="V108" s="18" t="n">
        <v>2000</v>
      </c>
      <c r="W108" s="18" t="n">
        <v>0</v>
      </c>
      <c r="X108" s="18" t="n">
        <v>0</v>
      </c>
      <c r="Y108" s="18" t="n">
        <v>3855</v>
      </c>
      <c r="Z108" s="37" t="n">
        <v>5855</v>
      </c>
      <c r="AA108" s="18" t="n">
        <v>0</v>
      </c>
      <c r="AB108" s="19" t="n">
        <v>1687.5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1653.15</v>
      </c>
      <c r="P109" s="9" t="n"/>
      <c r="Q109" s="18" t="n">
        <v>905.77</v>
      </c>
      <c r="R109" s="18" t="n">
        <v>140.92</v>
      </c>
      <c r="S109" s="18" t="n">
        <v>614.15</v>
      </c>
      <c r="T109" s="18" t="n">
        <v>426.33</v>
      </c>
      <c r="U109" s="37" t="n">
        <v>2087.17</v>
      </c>
      <c r="V109" s="18" t="n">
        <v>459.68</v>
      </c>
      <c r="W109" s="18" t="n">
        <v>695.6</v>
      </c>
      <c r="X109" s="18" t="n">
        <v>411.47</v>
      </c>
      <c r="Y109" s="18" t="n">
        <v>616.6799999999999</v>
      </c>
      <c r="Z109" s="37" t="n">
        <v>2183.43</v>
      </c>
      <c r="AA109" s="18" t="n">
        <v>165.24</v>
      </c>
      <c r="AB109" s="19" t="n">
        <v>40.87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K110" s="9" t="n"/>
      <c r="O110" s="18" t="n">
        <v>8.529999999999999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이자지급(CF)</t>
        </is>
      </c>
      <c r="F111" s="9" t="n"/>
      <c r="K111" s="9" t="n"/>
      <c r="P111" s="9" t="n"/>
      <c r="U111" s="9" t="n"/>
      <c r="V111" s="18" t="n">
        <v>-414.64</v>
      </c>
      <c r="W111" s="18" t="n">
        <v>-328.78</v>
      </c>
      <c r="X111" s="18" t="n">
        <v>51</v>
      </c>
      <c r="Y111" s="18" t="n">
        <v>277.42</v>
      </c>
      <c r="Z111" s="37" t="n">
        <v>-415</v>
      </c>
      <c r="AA111" s="18" t="n">
        <v>-1000.75</v>
      </c>
      <c r="AB111" s="19" t="n">
        <v>-184.52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무형자산의감소</t>
        </is>
      </c>
      <c r="F112" s="9" t="n"/>
      <c r="K112" s="9" t="n"/>
      <c r="P112" s="9" t="n"/>
      <c r="U112" s="9" t="n"/>
      <c r="X112" s="18" t="n">
        <v>0</v>
      </c>
      <c r="Y112" s="18" t="n">
        <v>0</v>
      </c>
      <c r="Z112" s="9" t="n"/>
      <c r="AA112" s="18" t="n">
        <v>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사채의감소</t>
        </is>
      </c>
      <c r="F113" s="9" t="n"/>
      <c r="K113" s="9" t="n"/>
      <c r="P113" s="9" t="n"/>
      <c r="U113" s="9" t="n"/>
      <c r="Z113" s="9" t="n"/>
      <c r="AA113" s="18" t="n">
        <v>0</v>
      </c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한국카본(별)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248746.45</v>
      </c>
      <c r="F5" s="37" t="n">
        <v>248746.45</v>
      </c>
      <c r="G5" s="18" t="n">
        <v>257896.46</v>
      </c>
      <c r="H5" s="18" t="n">
        <v>218944.53</v>
      </c>
      <c r="I5" s="18" t="n">
        <v>253621.5</v>
      </c>
      <c r="J5" s="18" t="n">
        <v>280713.61</v>
      </c>
      <c r="K5" s="37" t="n">
        <v>280713.61</v>
      </c>
      <c r="L5" s="18" t="n">
        <v>306166.07</v>
      </c>
      <c r="M5" s="18" t="n">
        <v>339276.94</v>
      </c>
      <c r="N5" s="18" t="n">
        <v>373051.38</v>
      </c>
      <c r="O5" s="18" t="n">
        <v>367149.03</v>
      </c>
      <c r="P5" s="37" t="n">
        <v>367149.03</v>
      </c>
      <c r="Q5" s="18" t="n">
        <v>353683.87</v>
      </c>
      <c r="R5" s="18" t="n">
        <v>376731.18</v>
      </c>
      <c r="S5" s="18" t="n">
        <v>403039.96</v>
      </c>
      <c r="T5" s="18" t="n">
        <v>432718.6</v>
      </c>
      <c r="U5" s="37" t="n">
        <v>432718.6</v>
      </c>
      <c r="V5" s="18" t="n">
        <v>471861.71</v>
      </c>
      <c r="W5" s="18" t="n">
        <v>477678.27</v>
      </c>
      <c r="X5" s="18" t="n">
        <v>480158.59</v>
      </c>
      <c r="Y5" s="18" t="n">
        <v>555940.26</v>
      </c>
      <c r="Z5" s="37" t="n">
        <v>555940.26</v>
      </c>
      <c r="AA5" s="18" t="n">
        <v>581644.71</v>
      </c>
      <c r="AB5" s="19" t="n">
        <v>597758.17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46080.64</v>
      </c>
      <c r="F6" s="37" t="n">
        <v>46080.64</v>
      </c>
      <c r="G6" s="18" t="n">
        <v>54670.01</v>
      </c>
      <c r="H6" s="18" t="n">
        <v>9739.52</v>
      </c>
      <c r="I6" s="18" t="n">
        <v>29000.13</v>
      </c>
      <c r="J6" s="18" t="n">
        <v>48142.19</v>
      </c>
      <c r="K6" s="37" t="n">
        <v>48142.19</v>
      </c>
      <c r="L6" s="18" t="n">
        <v>24372.65</v>
      </c>
      <c r="M6" s="18" t="n">
        <v>13701.82</v>
      </c>
      <c r="N6" s="18" t="n">
        <v>44846.31</v>
      </c>
      <c r="O6" s="18" t="n">
        <v>62936.33</v>
      </c>
      <c r="P6" s="37" t="n">
        <v>62936.33</v>
      </c>
      <c r="Q6" s="18" t="n">
        <v>35649.73</v>
      </c>
      <c r="R6" s="18" t="n">
        <v>77744.42999999999</v>
      </c>
      <c r="S6" s="18" t="n">
        <v>75571.99000000001</v>
      </c>
      <c r="T6" s="18" t="n">
        <v>53016.07</v>
      </c>
      <c r="U6" s="37" t="n">
        <v>53016.07</v>
      </c>
      <c r="V6" s="18" t="n">
        <v>103891.63</v>
      </c>
      <c r="W6" s="18" t="n">
        <v>87948.27</v>
      </c>
      <c r="X6" s="18" t="n">
        <v>87587.06</v>
      </c>
      <c r="Y6" s="18" t="n">
        <v>49811.98</v>
      </c>
      <c r="Z6" s="37" t="n">
        <v>49811.98</v>
      </c>
      <c r="AA6" s="18" t="n">
        <v>70042.16</v>
      </c>
      <c r="AB6" s="19" t="n">
        <v>74739.82000000001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14719.76</v>
      </c>
      <c r="F7" s="37" t="n">
        <v>14719.76</v>
      </c>
      <c r="G7" s="18" t="n">
        <v>14219.76</v>
      </c>
      <c r="H7" s="18" t="n">
        <v>13727.47</v>
      </c>
      <c r="I7" s="18" t="n">
        <v>12727.47</v>
      </c>
      <c r="J7" s="18" t="n">
        <v>13150.11</v>
      </c>
      <c r="K7" s="37" t="n">
        <v>13150.11</v>
      </c>
      <c r="L7" s="18" t="n">
        <v>11502.62</v>
      </c>
      <c r="M7" s="18" t="n">
        <v>10344.85</v>
      </c>
      <c r="N7" s="18" t="n">
        <v>10044.85</v>
      </c>
      <c r="O7" s="18" t="n">
        <v>10520</v>
      </c>
      <c r="P7" s="37" t="n">
        <v>10520</v>
      </c>
      <c r="Q7" s="18" t="n">
        <v>13520</v>
      </c>
      <c r="R7" s="18" t="n">
        <v>8234</v>
      </c>
      <c r="S7" s="18" t="n">
        <v>7834</v>
      </c>
      <c r="T7" s="18" t="n">
        <v>7600</v>
      </c>
      <c r="U7" s="37" t="n">
        <v>7600</v>
      </c>
      <c r="V7" s="18" t="n">
        <v>7100</v>
      </c>
      <c r="W7" s="18" t="n">
        <v>7100</v>
      </c>
      <c r="X7" s="18" t="n">
        <v>7100</v>
      </c>
      <c r="Y7" s="18" t="n">
        <v>5500</v>
      </c>
      <c r="Z7" s="37" t="n">
        <v>5500</v>
      </c>
      <c r="AA7" s="18" t="n">
        <v>5000</v>
      </c>
      <c r="AB7" s="19" t="n">
        <v>5150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25353.67</v>
      </c>
      <c r="F8" s="37" t="n">
        <v>25353.67</v>
      </c>
      <c r="G8" s="18" t="n">
        <v>21993.81</v>
      </c>
      <c r="H8" s="18" t="n">
        <v>16312.85</v>
      </c>
      <c r="I8" s="18" t="n">
        <v>12727.47</v>
      </c>
      <c r="J8" s="18" t="n">
        <v>13154.72</v>
      </c>
      <c r="K8" s="37" t="n">
        <v>13154.72</v>
      </c>
      <c r="L8" s="18" t="n">
        <v>13515.37</v>
      </c>
      <c r="M8" s="18" t="n">
        <v>10344.85</v>
      </c>
      <c r="N8" s="18" t="n">
        <v>10044.85</v>
      </c>
      <c r="O8" s="18" t="n">
        <v>10520</v>
      </c>
      <c r="P8" s="37" t="n">
        <v>10520</v>
      </c>
      <c r="Q8" s="18" t="n">
        <v>13520</v>
      </c>
      <c r="R8" s="18" t="n">
        <v>8234</v>
      </c>
      <c r="S8" s="18" t="n">
        <v>7834</v>
      </c>
      <c r="T8" s="18" t="n">
        <v>7600</v>
      </c>
      <c r="U8" s="37" t="n">
        <v>7600</v>
      </c>
      <c r="V8" s="18" t="n">
        <v>7100</v>
      </c>
      <c r="W8" s="18" t="n">
        <v>15295.09</v>
      </c>
      <c r="X8" s="18" t="n">
        <v>18593.77</v>
      </c>
      <c r="Y8" s="18" t="n">
        <v>15374.65</v>
      </c>
      <c r="Z8" s="37" t="n">
        <v>15374.65</v>
      </c>
      <c r="AA8" s="18" t="n">
        <v>7083.06</v>
      </c>
      <c r="AB8" s="19" t="n">
        <v>6400.21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32524.46</v>
      </c>
      <c r="F9" s="37" t="n">
        <v>32524.46</v>
      </c>
      <c r="G9" s="18" t="n">
        <v>34702.48</v>
      </c>
      <c r="H9" s="18" t="n">
        <v>37535.83</v>
      </c>
      <c r="I9" s="18" t="n">
        <v>46786.29</v>
      </c>
      <c r="J9" s="18" t="n">
        <v>35262.81</v>
      </c>
      <c r="K9" s="37" t="n">
        <v>35262.81</v>
      </c>
      <c r="L9" s="18" t="n">
        <v>54868.91</v>
      </c>
      <c r="M9" s="18" t="n">
        <v>70167.13</v>
      </c>
      <c r="N9" s="18" t="n">
        <v>76449.10000000001</v>
      </c>
      <c r="O9" s="18" t="n">
        <v>94009.52</v>
      </c>
      <c r="P9" s="37" t="n">
        <v>94009.52</v>
      </c>
      <c r="Q9" s="18" t="n">
        <v>105242.86</v>
      </c>
      <c r="R9" s="18" t="n">
        <v>78377.46000000001</v>
      </c>
      <c r="S9" s="18" t="n">
        <v>68769.25999999999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85499.77</v>
      </c>
      <c r="F10" s="37" t="n">
        <v>85499.77</v>
      </c>
      <c r="G10" s="18" t="n">
        <v>92992.14</v>
      </c>
      <c r="H10" s="18" t="n">
        <v>123394.54</v>
      </c>
      <c r="I10" s="18" t="n">
        <v>128635.18</v>
      </c>
      <c r="J10" s="18" t="n">
        <v>147190.92</v>
      </c>
      <c r="K10" s="37" t="n">
        <v>147190.92</v>
      </c>
      <c r="L10" s="18" t="n">
        <v>172634.95</v>
      </c>
      <c r="M10" s="18" t="n">
        <v>180981.37</v>
      </c>
      <c r="N10" s="18" t="n">
        <v>201213.14</v>
      </c>
      <c r="O10" s="18" t="n">
        <v>163568.6</v>
      </c>
      <c r="P10" s="37" t="n">
        <v>163568.6</v>
      </c>
      <c r="Q10" s="18" t="n">
        <v>167932.89</v>
      </c>
      <c r="R10" s="18" t="n">
        <v>169678.73</v>
      </c>
      <c r="S10" s="18" t="n">
        <v>180748.87</v>
      </c>
      <c r="T10" s="18" t="n">
        <v>182171.9</v>
      </c>
      <c r="U10" s="37" t="n">
        <v>182171.9</v>
      </c>
      <c r="V10" s="18" t="n">
        <v>176804.66</v>
      </c>
      <c r="W10" s="18" t="n">
        <v>174801.55</v>
      </c>
      <c r="X10" s="18" t="n">
        <v>176997.82</v>
      </c>
      <c r="Y10" s="18" t="n">
        <v>182288.52</v>
      </c>
      <c r="Z10" s="37" t="n">
        <v>182288.52</v>
      </c>
      <c r="AA10" s="18" t="n">
        <v>186964.1</v>
      </c>
      <c r="AB10" s="19" t="n">
        <v>189634.93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2215.81</v>
      </c>
      <c r="F11" s="37" t="n">
        <v>2215.81</v>
      </c>
      <c r="G11" s="18" t="n">
        <v>2390.22</v>
      </c>
      <c r="H11" s="18" t="n">
        <v>4887.9</v>
      </c>
      <c r="I11" s="18" t="n">
        <v>4875.78</v>
      </c>
      <c r="J11" s="18" t="n">
        <v>5826.38</v>
      </c>
      <c r="K11" s="37" t="n">
        <v>5826.38</v>
      </c>
      <c r="L11" s="18" t="n">
        <v>7190.99</v>
      </c>
      <c r="M11" s="18" t="n">
        <v>8892.450000000001</v>
      </c>
      <c r="N11" s="18" t="n">
        <v>13114.42</v>
      </c>
      <c r="O11" s="18" t="n">
        <v>9022.23</v>
      </c>
      <c r="P11" s="37" t="n">
        <v>9022.23</v>
      </c>
      <c r="Q11" s="18" t="n">
        <v>11395.21</v>
      </c>
      <c r="R11" s="18" t="n">
        <v>13116.5</v>
      </c>
      <c r="S11" s="18" t="n">
        <v>11168.74</v>
      </c>
      <c r="T11" s="18" t="n">
        <v>11697.65</v>
      </c>
      <c r="U11" s="37" t="n">
        <v>11697.65</v>
      </c>
      <c r="V11" s="18" t="n">
        <v>15563.66</v>
      </c>
      <c r="W11" s="18" t="n">
        <v>18886.01</v>
      </c>
      <c r="X11" s="18" t="n">
        <v>19227.14</v>
      </c>
      <c r="Y11" s="18" t="n">
        <v>14684.72</v>
      </c>
      <c r="Z11" s="37" t="n">
        <v>14684.72</v>
      </c>
      <c r="AA11" s="18" t="n">
        <v>22663.69</v>
      </c>
      <c r="AB11" s="19" t="n">
        <v>23608.04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10.54</v>
      </c>
      <c r="F12" s="37" t="n">
        <v>10.54</v>
      </c>
      <c r="J12" s="18" t="n">
        <v>10.54</v>
      </c>
      <c r="K12" s="37" t="n">
        <v>10.54</v>
      </c>
      <c r="P12" s="9" t="n"/>
      <c r="T12" s="18" t="n">
        <v>0</v>
      </c>
      <c r="U12" s="37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243781.11</v>
      </c>
      <c r="F13" s="37" t="n">
        <v>243781.11</v>
      </c>
      <c r="G13" s="18" t="n">
        <v>242478.9</v>
      </c>
      <c r="H13" s="18" t="n">
        <v>290951.43</v>
      </c>
      <c r="I13" s="18" t="n">
        <v>301983.51</v>
      </c>
      <c r="J13" s="18" t="n">
        <v>293067.35</v>
      </c>
      <c r="K13" s="37" t="n">
        <v>293067.35</v>
      </c>
      <c r="L13" s="18" t="n">
        <v>294236.72</v>
      </c>
      <c r="M13" s="18" t="n">
        <v>301788.82</v>
      </c>
      <c r="N13" s="18" t="n">
        <v>410245.08</v>
      </c>
      <c r="O13" s="18" t="n">
        <v>417173.4</v>
      </c>
      <c r="P13" s="37" t="n">
        <v>417173.4</v>
      </c>
      <c r="Q13" s="18" t="n">
        <v>432534</v>
      </c>
      <c r="R13" s="18" t="n">
        <v>443492.06</v>
      </c>
      <c r="S13" s="18" t="n">
        <v>439172.51</v>
      </c>
      <c r="T13" s="18" t="n">
        <v>437275.81</v>
      </c>
      <c r="U13" s="37" t="n">
        <v>437275.81</v>
      </c>
      <c r="V13" s="18" t="n">
        <v>446343.88</v>
      </c>
      <c r="W13" s="18" t="n">
        <v>456644.18</v>
      </c>
      <c r="X13" s="18" t="n">
        <v>470798.85</v>
      </c>
      <c r="Y13" s="18" t="n">
        <v>477082.48</v>
      </c>
      <c r="Z13" s="37" t="n">
        <v>477082.48</v>
      </c>
      <c r="AA13" s="18" t="n">
        <v>493642.7</v>
      </c>
      <c r="AB13" s="19" t="n">
        <v>524513.85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8584.58</v>
      </c>
      <c r="F14" s="37" t="n">
        <v>8584.58</v>
      </c>
      <c r="G14" s="18" t="n">
        <v>73978.96000000001</v>
      </c>
      <c r="H14" s="18" t="n">
        <v>107417.31</v>
      </c>
      <c r="I14" s="18" t="n">
        <v>107465.07</v>
      </c>
      <c r="J14" s="18" t="n">
        <v>6999.42</v>
      </c>
      <c r="K14" s="37" t="n">
        <v>6999.42</v>
      </c>
      <c r="L14" s="18" t="n">
        <v>4987.57</v>
      </c>
      <c r="M14" s="18" t="n">
        <v>4543.44</v>
      </c>
      <c r="N14" s="18" t="n">
        <v>484</v>
      </c>
      <c r="O14" s="18" t="n">
        <v>350</v>
      </c>
      <c r="P14" s="37" t="n">
        <v>350</v>
      </c>
      <c r="Q14" s="18" t="n">
        <v>350</v>
      </c>
      <c r="R14" s="18" t="n">
        <v>350</v>
      </c>
      <c r="S14" s="18" t="n">
        <v>350</v>
      </c>
      <c r="T14" s="18" t="n">
        <v>27523.57</v>
      </c>
      <c r="U14" s="37" t="n">
        <v>27523.57</v>
      </c>
      <c r="V14" s="18" t="n">
        <v>24682.26</v>
      </c>
      <c r="W14" s="18" t="n">
        <v>26827.15</v>
      </c>
      <c r="X14" s="18" t="n">
        <v>24945.72</v>
      </c>
      <c r="Y14" s="18" t="n">
        <v>23586.7</v>
      </c>
      <c r="Z14" s="37" t="n">
        <v>23586.7</v>
      </c>
      <c r="AA14" s="18" t="n">
        <v>24440.57</v>
      </c>
      <c r="AB14" s="19" t="n">
        <v>23412.37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12532.01</v>
      </c>
      <c r="F15" s="37" t="n">
        <v>12532.01</v>
      </c>
      <c r="G15" s="18" t="n">
        <v>99581.24000000001</v>
      </c>
      <c r="H15" s="18" t="n">
        <v>188034.21</v>
      </c>
      <c r="I15" s="18" t="n">
        <v>200650.36</v>
      </c>
      <c r="J15" s="18" t="n">
        <v>21792.81</v>
      </c>
      <c r="K15" s="37" t="n">
        <v>21792.81</v>
      </c>
      <c r="L15" s="18" t="n">
        <v>19780.96</v>
      </c>
      <c r="M15" s="18" t="n">
        <v>40622.01</v>
      </c>
      <c r="N15" s="18" t="n">
        <v>56816.71</v>
      </c>
      <c r="O15" s="18" t="n">
        <v>45799.16</v>
      </c>
      <c r="P15" s="37" t="n">
        <v>45799.16</v>
      </c>
      <c r="Q15" s="18" t="n">
        <v>47353.47</v>
      </c>
      <c r="R15" s="18" t="n">
        <v>1401.38</v>
      </c>
      <c r="S15" s="18" t="n">
        <v>1401.38</v>
      </c>
      <c r="T15" s="18" t="n">
        <v>64241.24</v>
      </c>
      <c r="U15" s="37" t="n">
        <v>64241.24</v>
      </c>
      <c r="V15" s="18" t="n">
        <v>68225.39</v>
      </c>
      <c r="W15" s="18" t="n">
        <v>70370.28</v>
      </c>
      <c r="X15" s="18" t="n">
        <v>78469.32000000001</v>
      </c>
      <c r="Y15" s="18" t="n">
        <v>81011.58</v>
      </c>
      <c r="Z15" s="37" t="n">
        <v>81011.58</v>
      </c>
      <c r="AA15" s="18" t="n">
        <v>89516.62</v>
      </c>
      <c r="AB15" s="19" t="n">
        <v>23412.37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3947.43</v>
      </c>
      <c r="F16" s="37" t="n">
        <v>3947.43</v>
      </c>
      <c r="G16" s="18" t="n">
        <v>7894.86</v>
      </c>
      <c r="H16" s="18" t="n">
        <v>32988.78</v>
      </c>
      <c r="I16" s="18" t="n">
        <v>39323.88</v>
      </c>
      <c r="J16" s="18" t="n">
        <v>14793.39</v>
      </c>
      <c r="K16" s="37" t="n">
        <v>14793.39</v>
      </c>
      <c r="L16" s="18" t="n">
        <v>14793.39</v>
      </c>
      <c r="M16" s="18" t="n">
        <v>36078.57</v>
      </c>
      <c r="N16" s="18" t="n">
        <v>56332.71</v>
      </c>
      <c r="O16" s="18" t="n">
        <v>45449.16</v>
      </c>
      <c r="P16" s="37" t="n">
        <v>45449.16</v>
      </c>
      <c r="Q16" s="18" t="n">
        <v>47003.47</v>
      </c>
      <c r="R16" s="18" t="n">
        <v>1051.38</v>
      </c>
      <c r="S16" s="18" t="n">
        <v>1051.38</v>
      </c>
      <c r="T16" s="18" t="n">
        <v>36717.67</v>
      </c>
      <c r="U16" s="37" t="n">
        <v>36717.67</v>
      </c>
      <c r="V16" s="18" t="n">
        <v>43543.13</v>
      </c>
      <c r="W16" s="18" t="n">
        <v>43543.13</v>
      </c>
      <c r="X16" s="18" t="n">
        <v>53523.6</v>
      </c>
      <c r="Y16" s="18" t="n">
        <v>57424.88</v>
      </c>
      <c r="Z16" s="37" t="n">
        <v>57424.88</v>
      </c>
      <c r="AA16" s="18" t="n">
        <v>65076.05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165615.79</v>
      </c>
      <c r="F17" s="37" t="n">
        <v>165615.79</v>
      </c>
      <c r="G17" s="18" t="n">
        <v>168139.11</v>
      </c>
      <c r="H17" s="18" t="n">
        <v>170828.77</v>
      </c>
      <c r="I17" s="18" t="n">
        <v>176590.04</v>
      </c>
      <c r="J17" s="18" t="n">
        <v>183353.36</v>
      </c>
      <c r="K17" s="37" t="n">
        <v>183353.36</v>
      </c>
      <c r="L17" s="18" t="n">
        <v>186215.93</v>
      </c>
      <c r="M17" s="18" t="n">
        <v>189963.46</v>
      </c>
      <c r="N17" s="18" t="n">
        <v>228162.59</v>
      </c>
      <c r="O17" s="18" t="n">
        <v>243360.55</v>
      </c>
      <c r="P17" s="37" t="n">
        <v>243360.55</v>
      </c>
      <c r="Q17" s="18" t="n">
        <v>255029.94</v>
      </c>
      <c r="R17" s="18" t="n">
        <v>267278.82</v>
      </c>
      <c r="S17" s="18" t="n">
        <v>280062.19</v>
      </c>
      <c r="T17" s="18" t="n">
        <v>287326.5</v>
      </c>
      <c r="U17" s="37" t="n">
        <v>287326.5</v>
      </c>
      <c r="V17" s="18" t="n">
        <v>294531.33</v>
      </c>
      <c r="W17" s="18" t="n">
        <v>308117.49</v>
      </c>
      <c r="X17" s="18" t="n">
        <v>310938.03</v>
      </c>
      <c r="Y17" s="18" t="n">
        <v>313132.91</v>
      </c>
      <c r="Z17" s="37" t="n">
        <v>313132.91</v>
      </c>
      <c r="AA17" s="18" t="n">
        <v>313735.48</v>
      </c>
      <c r="AB17" s="19" t="n">
        <v>322609.85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1732.77</v>
      </c>
      <c r="F18" s="37" t="n">
        <v>1732.77</v>
      </c>
      <c r="G18" s="18" t="n">
        <v>2122.97</v>
      </c>
      <c r="H18" s="18" t="n">
        <v>1935.21</v>
      </c>
      <c r="I18" s="18" t="n">
        <v>2155.97</v>
      </c>
      <c r="J18" s="18" t="n">
        <v>2915.76</v>
      </c>
      <c r="K18" s="37" t="n">
        <v>2915.76</v>
      </c>
      <c r="L18" s="18" t="n">
        <v>2714.91</v>
      </c>
      <c r="M18" s="18" t="n">
        <v>2855.7</v>
      </c>
      <c r="N18" s="18" t="n">
        <v>2761.39</v>
      </c>
      <c r="O18" s="18" t="n">
        <v>2428.69</v>
      </c>
      <c r="P18" s="37" t="n">
        <v>2428.69</v>
      </c>
      <c r="Q18" s="18" t="n">
        <v>6066.96</v>
      </c>
      <c r="R18" s="18" t="n">
        <v>5631.85</v>
      </c>
      <c r="S18" s="18" t="n">
        <v>5458.32</v>
      </c>
      <c r="T18" s="18" t="n">
        <v>5708.11</v>
      </c>
      <c r="U18" s="37" t="n">
        <v>5708.11</v>
      </c>
      <c r="V18" s="18" t="n">
        <v>5281.24</v>
      </c>
      <c r="W18" s="18" t="n">
        <v>5187.47</v>
      </c>
      <c r="X18" s="18" t="n">
        <v>9404.629999999999</v>
      </c>
      <c r="Y18" s="18" t="n">
        <v>6102.41</v>
      </c>
      <c r="Z18" s="37" t="n">
        <v>6102.41</v>
      </c>
      <c r="AA18" s="18" t="n">
        <v>7156.09</v>
      </c>
      <c r="AB18" s="19" t="n">
        <v>7886.45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2449.14</v>
      </c>
      <c r="F19" s="37" t="n">
        <v>2449.14</v>
      </c>
      <c r="G19" s="18" t="n">
        <v>2839.34</v>
      </c>
      <c r="H19" s="18" t="n">
        <v>2651.58</v>
      </c>
      <c r="I19" s="18" t="n">
        <v>2872.34</v>
      </c>
      <c r="J19" s="18" t="n">
        <v>6249.36</v>
      </c>
      <c r="K19" s="37" t="n">
        <v>6249.36</v>
      </c>
      <c r="L19" s="18" t="n">
        <v>6161.08</v>
      </c>
      <c r="M19" s="18" t="n">
        <v>6283.8</v>
      </c>
      <c r="N19" s="18" t="n">
        <v>6241.68</v>
      </c>
      <c r="O19" s="18" t="n">
        <v>5106.94</v>
      </c>
      <c r="P19" s="37" t="n">
        <v>5106.94</v>
      </c>
      <c r="Q19" s="18" t="n">
        <v>7783.44</v>
      </c>
      <c r="R19" s="18" t="n">
        <v>8320.790000000001</v>
      </c>
      <c r="S19" s="18" t="n">
        <v>7902.6</v>
      </c>
      <c r="T19" s="18" t="n">
        <v>6424.48</v>
      </c>
      <c r="U19" s="37" t="n">
        <v>6424.48</v>
      </c>
      <c r="V19" s="18" t="n">
        <v>5997.61</v>
      </c>
      <c r="W19" s="18" t="n">
        <v>5903.84</v>
      </c>
      <c r="X19" s="18" t="n">
        <v>10121</v>
      </c>
      <c r="Y19" s="18" t="n">
        <v>6818.78</v>
      </c>
      <c r="Z19" s="37" t="n">
        <v>6818.78</v>
      </c>
      <c r="AA19" s="18" t="n">
        <v>7156.09</v>
      </c>
      <c r="AB19" s="19" t="n">
        <v>7886.45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2184.22</v>
      </c>
      <c r="F20" s="37" t="n">
        <v>2184.22</v>
      </c>
      <c r="G20" s="18" t="n">
        <v>2174.31</v>
      </c>
      <c r="H20" s="18" t="n">
        <v>2173.79</v>
      </c>
      <c r="I20" s="18" t="n">
        <v>2162.19</v>
      </c>
      <c r="J20" s="18" t="n">
        <v>2156.19</v>
      </c>
      <c r="K20" s="37" t="n">
        <v>2156.19</v>
      </c>
      <c r="L20" s="18" t="n">
        <v>2146.74</v>
      </c>
      <c r="M20" s="18" t="n">
        <v>2135.36</v>
      </c>
      <c r="N20" s="18" t="n">
        <v>37987.56</v>
      </c>
      <c r="O20" s="18" t="n">
        <v>41796.7</v>
      </c>
      <c r="P20" s="37" t="n">
        <v>41796.7</v>
      </c>
      <c r="Q20" s="18" t="n">
        <v>41100.43</v>
      </c>
      <c r="R20" s="18" t="n">
        <v>40417.4</v>
      </c>
      <c r="S20" s="18" t="n">
        <v>40230.45</v>
      </c>
      <c r="T20" s="18" t="n">
        <v>44496.83</v>
      </c>
      <c r="U20" s="37" t="n">
        <v>44496.83</v>
      </c>
      <c r="V20" s="18" t="n">
        <v>43914.07</v>
      </c>
      <c r="W20" s="18" t="n">
        <v>42974.18</v>
      </c>
      <c r="X20" s="18" t="n">
        <v>42142.16</v>
      </c>
      <c r="Y20" s="18" t="n">
        <v>41415.16</v>
      </c>
      <c r="Z20" s="37" t="n">
        <v>41415.16</v>
      </c>
      <c r="AA20" s="18" t="n">
        <v>41216.51</v>
      </c>
      <c r="AB20" s="19" t="n">
        <v>40374.84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492538.1</v>
      </c>
      <c r="F21" s="37" t="n">
        <v>492538.1</v>
      </c>
      <c r="G21" s="18" t="n">
        <v>500385.9</v>
      </c>
      <c r="H21" s="18" t="n">
        <v>509906.49</v>
      </c>
      <c r="I21" s="18" t="n">
        <v>555615.55</v>
      </c>
      <c r="J21" s="18" t="n">
        <v>573791.49</v>
      </c>
      <c r="K21" s="37" t="n">
        <v>573791.49</v>
      </c>
      <c r="L21" s="18" t="n">
        <v>600402.79</v>
      </c>
      <c r="M21" s="18" t="n">
        <v>641065.76</v>
      </c>
      <c r="N21" s="18" t="n">
        <v>783296.46</v>
      </c>
      <c r="O21" s="18" t="n">
        <v>784322.42</v>
      </c>
      <c r="P21" s="37" t="n">
        <v>784322.42</v>
      </c>
      <c r="Q21" s="18" t="n">
        <v>786217.86</v>
      </c>
      <c r="R21" s="18" t="n">
        <v>820223.24</v>
      </c>
      <c r="S21" s="18" t="n">
        <v>842212.47</v>
      </c>
      <c r="T21" s="18" t="n">
        <v>869994.41</v>
      </c>
      <c r="U21" s="37" t="n">
        <v>869994.41</v>
      </c>
      <c r="V21" s="18" t="n">
        <v>918205.59</v>
      </c>
      <c r="W21" s="18" t="n">
        <v>934322.4399999999</v>
      </c>
      <c r="X21" s="18" t="n">
        <v>950957.45</v>
      </c>
      <c r="Y21" s="18" t="n">
        <v>1033022.74</v>
      </c>
      <c r="Z21" s="37" t="n">
        <v>1033022.74</v>
      </c>
      <c r="AA21" s="18" t="n">
        <v>1075287.41</v>
      </c>
      <c r="AB21" s="19" t="n">
        <v>1122272.02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78851.69</v>
      </c>
      <c r="F22" s="37" t="n">
        <v>78851.69</v>
      </c>
      <c r="G22" s="18" t="n">
        <v>83967.89999999999</v>
      </c>
      <c r="H22" s="18" t="n">
        <v>88690.98</v>
      </c>
      <c r="I22" s="18" t="n">
        <v>113909.44</v>
      </c>
      <c r="J22" s="18" t="n">
        <v>149013.55</v>
      </c>
      <c r="K22" s="37" t="n">
        <v>149013.55</v>
      </c>
      <c r="L22" s="18" t="n">
        <v>181495.52</v>
      </c>
      <c r="M22" s="18" t="n">
        <v>214975.25</v>
      </c>
      <c r="N22" s="18" t="n">
        <v>249700.03</v>
      </c>
      <c r="O22" s="18" t="n">
        <v>280286.67</v>
      </c>
      <c r="P22" s="37" t="n">
        <v>280286.67</v>
      </c>
      <c r="Q22" s="18" t="n">
        <v>279433.35</v>
      </c>
      <c r="R22" s="18" t="n">
        <v>302629.05</v>
      </c>
      <c r="S22" s="18" t="n">
        <v>312526.45</v>
      </c>
      <c r="T22" s="18" t="n">
        <v>354900.49</v>
      </c>
      <c r="U22" s="37" t="n">
        <v>354900.49</v>
      </c>
      <c r="V22" s="18" t="n">
        <v>387482.26</v>
      </c>
      <c r="W22" s="18" t="n">
        <v>348751.57</v>
      </c>
      <c r="X22" s="18" t="n">
        <v>344603.09</v>
      </c>
      <c r="Y22" s="18" t="n">
        <v>409857.46</v>
      </c>
      <c r="Z22" s="37" t="n">
        <v>409857.46</v>
      </c>
      <c r="AA22" s="18" t="n">
        <v>457223.22</v>
      </c>
      <c r="AB22" s="19" t="n">
        <v>400651.83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391.38</v>
      </c>
      <c r="F23" s="37" t="n">
        <v>391.38</v>
      </c>
      <c r="G23" s="18" t="n">
        <v>514.3099999999999</v>
      </c>
      <c r="H23" s="18" t="n">
        <v>2591.2</v>
      </c>
      <c r="I23" s="18" t="n">
        <v>8041.3</v>
      </c>
      <c r="J23" s="18" t="n">
        <v>1801.08</v>
      </c>
      <c r="K23" s="37" t="n">
        <v>1801.08</v>
      </c>
      <c r="L23" s="18" t="n">
        <v>2916.01</v>
      </c>
      <c r="M23" s="18" t="n">
        <v>2856.94</v>
      </c>
      <c r="N23" s="18" t="n">
        <v>3516.42</v>
      </c>
      <c r="O23" s="18" t="n">
        <v>1059.06</v>
      </c>
      <c r="P23" s="37" t="n">
        <v>1059.06</v>
      </c>
      <c r="Q23" s="18" t="n">
        <v>2527.98</v>
      </c>
      <c r="R23" s="18" t="n">
        <v>3985.62</v>
      </c>
      <c r="S23" s="18" t="n">
        <v>815.26</v>
      </c>
      <c r="T23" s="18" t="n">
        <v>8836.290000000001</v>
      </c>
      <c r="U23" s="37" t="n">
        <v>8836.290000000001</v>
      </c>
      <c r="V23" s="18" t="n">
        <v>8348.9</v>
      </c>
      <c r="W23" s="18" t="n">
        <v>1965.76</v>
      </c>
      <c r="X23" s="18" t="n">
        <v>3812.27</v>
      </c>
      <c r="Y23" s="18" t="n">
        <v>5320.45</v>
      </c>
      <c r="Z23" s="37" t="n">
        <v>5320.45</v>
      </c>
      <c r="AA23" s="18" t="n">
        <v>10209.77</v>
      </c>
      <c r="AB23" s="19" t="n">
        <v>12596.44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1055.2</v>
      </c>
      <c r="F24" s="37" t="n">
        <v>1055.2</v>
      </c>
      <c r="G24" s="18" t="n">
        <v>1434.95</v>
      </c>
      <c r="H24" s="18" t="n">
        <v>3525.58</v>
      </c>
      <c r="I24" s="18" t="n">
        <v>9065.83</v>
      </c>
      <c r="J24" s="18" t="n">
        <v>3325.52</v>
      </c>
      <c r="K24" s="37" t="n">
        <v>3325.52</v>
      </c>
      <c r="L24" s="18" t="n">
        <v>4431.17</v>
      </c>
      <c r="M24" s="18" t="n">
        <v>4476.72</v>
      </c>
      <c r="N24" s="18" t="n">
        <v>5132.7</v>
      </c>
      <c r="O24" s="18" t="n">
        <v>2509.84</v>
      </c>
      <c r="P24" s="37" t="n">
        <v>2509.84</v>
      </c>
      <c r="Q24" s="18" t="n">
        <v>4293.27</v>
      </c>
      <c r="R24" s="18" t="n">
        <v>5527.96</v>
      </c>
      <c r="S24" s="18" t="n">
        <v>1969.97</v>
      </c>
      <c r="T24" s="18" t="n">
        <v>10433.1</v>
      </c>
      <c r="U24" s="37" t="n">
        <v>10433.1</v>
      </c>
      <c r="V24" s="18" t="n">
        <v>9781.18</v>
      </c>
      <c r="W24" s="18" t="n">
        <v>28514.07</v>
      </c>
      <c r="X24" s="18" t="n">
        <v>39100.14</v>
      </c>
      <c r="Y24" s="18" t="n">
        <v>35702.37</v>
      </c>
      <c r="Z24" s="37" t="n">
        <v>35702.37</v>
      </c>
      <c r="AA24" s="18" t="n">
        <v>53488.96</v>
      </c>
      <c r="AB24" s="19" t="n">
        <v>18180.41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6264.54</v>
      </c>
      <c r="F25" s="37" t="n">
        <v>6264.54</v>
      </c>
      <c r="G25" s="18" t="n">
        <v>5263.87</v>
      </c>
      <c r="H25" s="18" t="n">
        <v>2853.42</v>
      </c>
      <c r="I25" s="18" t="n">
        <v>4146.91</v>
      </c>
      <c r="J25" s="18" t="n">
        <v>5247.03</v>
      </c>
      <c r="K25" s="37" t="n">
        <v>5247.03</v>
      </c>
      <c r="L25" s="18" t="n">
        <v>4126.83</v>
      </c>
      <c r="M25" s="18" t="n">
        <v>1598.55</v>
      </c>
      <c r="N25" s="18" t="n">
        <v>5135.61</v>
      </c>
      <c r="O25" s="18" t="n">
        <v>2841.17</v>
      </c>
      <c r="P25" s="37" t="n">
        <v>2841.17</v>
      </c>
      <c r="Q25" s="18" t="n">
        <v>3941.08</v>
      </c>
      <c r="R25" s="18" t="n">
        <v>13396.71</v>
      </c>
      <c r="S25" s="18" t="n">
        <v>9700.450000000001</v>
      </c>
      <c r="T25" s="18" t="n">
        <v>10435.32</v>
      </c>
      <c r="U25" s="37" t="n">
        <v>10435.32</v>
      </c>
      <c r="V25" s="18" t="n">
        <v>10812.47</v>
      </c>
      <c r="W25" s="18" t="n">
        <v>9771.879999999999</v>
      </c>
      <c r="X25" s="18" t="n">
        <v>12877.18</v>
      </c>
      <c r="Y25" s="18" t="n">
        <v>30700.86</v>
      </c>
      <c r="Z25" s="37" t="n">
        <v>30700.86</v>
      </c>
      <c r="AA25" s="18" t="n">
        <v>27257.11</v>
      </c>
      <c r="AB25" s="19" t="n">
        <v>16261.52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663.8200000000001</v>
      </c>
      <c r="F26" s="37" t="n">
        <v>663.8200000000001</v>
      </c>
      <c r="G26" s="18" t="n">
        <v>920.64</v>
      </c>
      <c r="H26" s="18" t="n">
        <v>934.38</v>
      </c>
      <c r="I26" s="18" t="n">
        <v>1024.53</v>
      </c>
      <c r="J26" s="18" t="n">
        <v>1524.44</v>
      </c>
      <c r="K26" s="37" t="n">
        <v>1524.44</v>
      </c>
      <c r="L26" s="18" t="n">
        <v>1515.16</v>
      </c>
      <c r="M26" s="18" t="n">
        <v>1619.78</v>
      </c>
      <c r="N26" s="18" t="n">
        <v>1616.28</v>
      </c>
      <c r="O26" s="18" t="n">
        <v>1450.78</v>
      </c>
      <c r="P26" s="37" t="n">
        <v>1450.78</v>
      </c>
      <c r="Q26" s="18" t="n">
        <v>1765.29</v>
      </c>
      <c r="R26" s="18" t="n">
        <v>1542.34</v>
      </c>
      <c r="S26" s="18" t="n">
        <v>1154.71</v>
      </c>
      <c r="T26" s="18" t="n">
        <v>1596.81</v>
      </c>
      <c r="U26" s="37" t="n">
        <v>1596.81</v>
      </c>
      <c r="V26" s="18" t="n">
        <v>1432.28</v>
      </c>
      <c r="W26" s="18" t="n">
        <v>1354.19</v>
      </c>
      <c r="X26" s="18" t="n">
        <v>3514.95</v>
      </c>
      <c r="Y26" s="18" t="n">
        <v>2247.03</v>
      </c>
      <c r="Z26" s="37" t="n">
        <v>2247.03</v>
      </c>
      <c r="AA26" s="18" t="n">
        <v>3193.23</v>
      </c>
      <c r="AB26" s="19" t="n">
        <v>4128.78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1570.81</v>
      </c>
      <c r="F27" s="37" t="n">
        <v>1570.81</v>
      </c>
      <c r="G27" s="18" t="n">
        <v>1870.55</v>
      </c>
      <c r="H27" s="18" t="n">
        <v>1729.16</v>
      </c>
      <c r="I27" s="18" t="n">
        <v>1980.28</v>
      </c>
      <c r="J27" s="18" t="n">
        <v>2768.12</v>
      </c>
      <c r="K27" s="37" t="n">
        <v>2768.12</v>
      </c>
      <c r="L27" s="18" t="n">
        <v>2609.61</v>
      </c>
      <c r="M27" s="18" t="n">
        <v>2726.44</v>
      </c>
      <c r="N27" s="18" t="n">
        <v>2679.6</v>
      </c>
      <c r="O27" s="18" t="n">
        <v>2387.63</v>
      </c>
      <c r="P27" s="37" t="n">
        <v>2387.63</v>
      </c>
      <c r="Q27" s="18" t="n">
        <v>5350.15</v>
      </c>
      <c r="R27" s="18" t="n">
        <v>4914.51</v>
      </c>
      <c r="S27" s="18" t="n">
        <v>4828.08</v>
      </c>
      <c r="T27" s="18" t="n">
        <v>5076.4</v>
      </c>
      <c r="U27" s="37" t="n">
        <v>5076.4</v>
      </c>
      <c r="V27" s="18" t="n">
        <v>4706.69</v>
      </c>
      <c r="W27" s="18" t="n">
        <v>4618.57</v>
      </c>
      <c r="X27" s="18" t="n">
        <v>8857.690000000001</v>
      </c>
      <c r="Y27" s="18" t="n">
        <v>5611.94</v>
      </c>
      <c r="Z27" s="37" t="n">
        <v>5611.94</v>
      </c>
      <c r="AA27" s="18" t="n">
        <v>6901.19</v>
      </c>
      <c r="AB27" s="19" t="n">
        <v>7627.75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15056.6</v>
      </c>
      <c r="F28" s="37" t="n">
        <v>15056.6</v>
      </c>
      <c r="G28" s="18" t="n">
        <v>11306.6</v>
      </c>
      <c r="H28" s="18" t="n">
        <v>7556.6</v>
      </c>
      <c r="I28" s="18" t="n">
        <v>3822.35</v>
      </c>
      <c r="J28" s="18" t="n">
        <v>88.09999999999999</v>
      </c>
      <c r="K28" s="37" t="n">
        <v>88.09999999999999</v>
      </c>
      <c r="L28" s="18" t="n">
        <v>633.41</v>
      </c>
      <c r="M28" s="18" t="n">
        <v>1467.56</v>
      </c>
      <c r="N28" s="18" t="n">
        <v>3755.06</v>
      </c>
      <c r="O28" s="18" t="n">
        <v>14623.96</v>
      </c>
      <c r="P28" s="37" t="n">
        <v>14623.96</v>
      </c>
      <c r="Q28" s="18" t="n">
        <v>16433.3</v>
      </c>
      <c r="R28" s="18" t="n">
        <v>16397.2</v>
      </c>
      <c r="S28" s="18" t="n">
        <v>6067.2</v>
      </c>
      <c r="T28" s="18" t="n">
        <v>5930.95</v>
      </c>
      <c r="U28" s="37" t="n">
        <v>5930.95</v>
      </c>
      <c r="V28" s="18" t="n">
        <v>4724.7</v>
      </c>
      <c r="W28" s="18" t="n">
        <v>5518.45</v>
      </c>
      <c r="X28" s="18" t="n">
        <v>16312.2</v>
      </c>
      <c r="Y28" s="18" t="n">
        <v>3912.2</v>
      </c>
      <c r="Z28" s="37" t="n">
        <v>3912.2</v>
      </c>
      <c r="AA28" s="18" t="n">
        <v>18462.28</v>
      </c>
      <c r="AB28" s="19" t="n">
        <v>2826.27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8561.68</v>
      </c>
      <c r="F29" s="37" t="n">
        <v>8561.68</v>
      </c>
      <c r="G29" s="18" t="n">
        <v>7815.64</v>
      </c>
      <c r="H29" s="18" t="n">
        <v>10760.23</v>
      </c>
      <c r="I29" s="18" t="n">
        <v>11630.57</v>
      </c>
      <c r="J29" s="18" t="n">
        <v>29053.57</v>
      </c>
      <c r="K29" s="37" t="n">
        <v>29053.57</v>
      </c>
      <c r="L29" s="18" t="n">
        <v>41870.4</v>
      </c>
      <c r="M29" s="18" t="n">
        <v>55264.14</v>
      </c>
      <c r="N29" s="18" t="n">
        <v>69897.45</v>
      </c>
      <c r="O29" s="18" t="n">
        <v>83196.03</v>
      </c>
      <c r="P29" s="37" t="n">
        <v>83196.03</v>
      </c>
      <c r="Q29" s="18" t="n">
        <v>78209.38</v>
      </c>
      <c r="R29" s="18" t="n">
        <v>104198.39</v>
      </c>
      <c r="S29" s="18" t="n">
        <v>121096.18</v>
      </c>
      <c r="T29" s="18" t="n">
        <v>172425.15</v>
      </c>
      <c r="U29" s="37" t="n">
        <v>172425.15</v>
      </c>
      <c r="V29" s="18" t="n">
        <v>185314.81</v>
      </c>
      <c r="W29" s="18" t="n">
        <v>164090.82</v>
      </c>
      <c r="X29" s="18" t="n">
        <v>149909.03</v>
      </c>
      <c r="Y29" s="18" t="n">
        <v>139830.57</v>
      </c>
      <c r="Z29" s="37" t="n">
        <v>139830.57</v>
      </c>
      <c r="AA29" s="18" t="n">
        <v>139367.11</v>
      </c>
      <c r="AB29" s="19" t="n">
        <v>135291.56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9194.84</v>
      </c>
      <c r="F30" s="37" t="n">
        <v>9194.84</v>
      </c>
      <c r="G30" s="18" t="n">
        <v>14982</v>
      </c>
      <c r="H30" s="18" t="n">
        <v>16184.24</v>
      </c>
      <c r="I30" s="18" t="n">
        <v>31580.88</v>
      </c>
      <c r="J30" s="18" t="n">
        <v>23695.3</v>
      </c>
      <c r="K30" s="37" t="n">
        <v>23695.3</v>
      </c>
      <c r="L30" s="18" t="n">
        <v>22487.13</v>
      </c>
      <c r="M30" s="18" t="n">
        <v>20393.87</v>
      </c>
      <c r="N30" s="18" t="n">
        <v>48549.59</v>
      </c>
      <c r="O30" s="18" t="n">
        <v>38181.27</v>
      </c>
      <c r="P30" s="37" t="n">
        <v>38181.27</v>
      </c>
      <c r="Q30" s="18" t="n">
        <v>42291.92</v>
      </c>
      <c r="R30" s="18" t="n">
        <v>41177.82</v>
      </c>
      <c r="S30" s="18" t="n">
        <v>38797.89</v>
      </c>
      <c r="T30" s="18" t="n">
        <v>35180.66</v>
      </c>
      <c r="U30" s="37" t="n">
        <v>35180.66</v>
      </c>
      <c r="V30" s="18" t="n">
        <v>32390.09</v>
      </c>
      <c r="W30" s="18" t="n">
        <v>45322.48</v>
      </c>
      <c r="X30" s="18" t="n">
        <v>50314.54</v>
      </c>
      <c r="Y30" s="18" t="n">
        <v>38501.48</v>
      </c>
      <c r="Z30" s="37" t="n">
        <v>38501.48</v>
      </c>
      <c r="AA30" s="18" t="n">
        <v>33018.64</v>
      </c>
      <c r="AB30" s="19" t="n">
        <v>44231.64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958.77</v>
      </c>
      <c r="F31" s="37" t="n">
        <v>958.77</v>
      </c>
      <c r="G31" s="18" t="n">
        <v>7050.53</v>
      </c>
      <c r="H31" s="18" t="n">
        <v>7036.38</v>
      </c>
      <c r="I31" s="18" t="n">
        <v>15212.4</v>
      </c>
      <c r="J31" s="18" t="n">
        <v>15396.5</v>
      </c>
      <c r="K31" s="37" t="n">
        <v>15396.5</v>
      </c>
      <c r="L31" s="18" t="n">
        <v>14942.95</v>
      </c>
      <c r="M31" s="18" t="n">
        <v>16425</v>
      </c>
      <c r="N31" s="18" t="n">
        <v>31979.3</v>
      </c>
      <c r="O31" s="18" t="n">
        <v>20104.8</v>
      </c>
      <c r="P31" s="37" t="n">
        <v>20104.8</v>
      </c>
      <c r="Q31" s="18" t="n">
        <v>21895.5</v>
      </c>
      <c r="R31" s="18" t="n">
        <v>20311.2</v>
      </c>
      <c r="S31" s="18" t="n">
        <v>19248.9</v>
      </c>
      <c r="T31" s="18" t="n">
        <v>18062.85</v>
      </c>
      <c r="U31" s="37" t="n">
        <v>18062.85</v>
      </c>
      <c r="V31" s="18" t="n">
        <v>13984.8</v>
      </c>
      <c r="W31" s="18" t="n">
        <v>17406.75</v>
      </c>
      <c r="X31" s="18" t="n">
        <v>15828.7</v>
      </c>
      <c r="Y31" s="18" t="n">
        <v>11400.65</v>
      </c>
      <c r="Z31" s="37" t="n">
        <v>11400.65</v>
      </c>
      <c r="AA31" s="18" t="n">
        <v>10422.6</v>
      </c>
      <c r="AB31" s="19" t="n">
        <v>20621.67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906.99</v>
      </c>
      <c r="F32" s="37" t="n">
        <v>906.99</v>
      </c>
      <c r="G32" s="18" t="n">
        <v>949.91</v>
      </c>
      <c r="H32" s="18" t="n">
        <v>794.78</v>
      </c>
      <c r="I32" s="18" t="n">
        <v>955.75</v>
      </c>
      <c r="J32" s="18" t="n">
        <v>1243.68</v>
      </c>
      <c r="K32" s="37" t="n">
        <v>1243.68</v>
      </c>
      <c r="L32" s="18" t="n">
        <v>1094.45</v>
      </c>
      <c r="M32" s="18" t="n">
        <v>1106.66</v>
      </c>
      <c r="N32" s="18" t="n">
        <v>1063.32</v>
      </c>
      <c r="O32" s="18" t="n">
        <v>936.85</v>
      </c>
      <c r="P32" s="37" t="n">
        <v>936.85</v>
      </c>
      <c r="Q32" s="18" t="n">
        <v>3584.86</v>
      </c>
      <c r="R32" s="18" t="n">
        <v>3372.17</v>
      </c>
      <c r="S32" s="18" t="n">
        <v>3673.37</v>
      </c>
      <c r="T32" s="18" t="n">
        <v>3479.59</v>
      </c>
      <c r="U32" s="37" t="n">
        <v>3479.59</v>
      </c>
      <c r="V32" s="18" t="n">
        <v>3274.41</v>
      </c>
      <c r="W32" s="18" t="n">
        <v>3264.38</v>
      </c>
      <c r="X32" s="18" t="n">
        <v>5342.74</v>
      </c>
      <c r="Y32" s="18" t="n">
        <v>3364.91</v>
      </c>
      <c r="Z32" s="37" t="n">
        <v>3364.91</v>
      </c>
      <c r="AA32" s="18" t="n">
        <v>3707.96</v>
      </c>
      <c r="AB32" s="19" t="n">
        <v>3498.97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906.99</v>
      </c>
      <c r="F33" s="37" t="n">
        <v>906.99</v>
      </c>
      <c r="G33" s="18" t="n">
        <v>1072.32</v>
      </c>
      <c r="H33" s="18" t="n">
        <v>3582.68</v>
      </c>
      <c r="I33" s="18" t="n">
        <v>12316.15</v>
      </c>
      <c r="J33" s="18" t="n">
        <v>1514.73</v>
      </c>
      <c r="K33" s="37" t="n">
        <v>1514.73</v>
      </c>
      <c r="L33" s="18" t="n">
        <v>1571.92</v>
      </c>
      <c r="M33" s="18" t="n">
        <v>1203.89</v>
      </c>
      <c r="N33" s="18" t="n">
        <v>1992.89</v>
      </c>
      <c r="O33" s="18" t="n">
        <v>936.85</v>
      </c>
      <c r="P33" s="37" t="n">
        <v>936.85</v>
      </c>
      <c r="Q33" s="18" t="n">
        <v>4637.51</v>
      </c>
      <c r="R33" s="18" t="n">
        <v>5542.57</v>
      </c>
      <c r="S33" s="18" t="n">
        <v>4045.73</v>
      </c>
      <c r="T33" s="18" t="n">
        <v>13453.19</v>
      </c>
      <c r="U33" s="37" t="n">
        <v>13453.19</v>
      </c>
      <c r="V33" s="18" t="n">
        <v>12795.36</v>
      </c>
      <c r="W33" s="18" t="n">
        <v>3775.6</v>
      </c>
      <c r="X33" s="18" t="n">
        <v>9002.35</v>
      </c>
      <c r="Y33" s="18" t="n">
        <v>8814.34</v>
      </c>
      <c r="Z33" s="37" t="n">
        <v>8814.34</v>
      </c>
      <c r="AA33" s="18" t="n">
        <v>12108.75</v>
      </c>
      <c r="AB33" s="19" t="n">
        <v>10177.23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1664.66</v>
      </c>
      <c r="F34" s="37" t="n">
        <v>1664.66</v>
      </c>
      <c r="G34" s="18" t="n">
        <v>1954.98</v>
      </c>
      <c r="H34" s="18" t="n">
        <v>172</v>
      </c>
      <c r="I34" s="18" t="n">
        <v>549.9400000000001</v>
      </c>
      <c r="K34" s="9" t="n"/>
      <c r="O34" s="18" t="n">
        <v>45.16</v>
      </c>
      <c r="P34" s="37" t="n">
        <v>45.16</v>
      </c>
      <c r="Q34" s="18" t="n">
        <v>45.16</v>
      </c>
      <c r="R34" s="18" t="n">
        <v>348.22</v>
      </c>
      <c r="S34" s="18" t="n">
        <v>525.21</v>
      </c>
      <c r="T34" s="18" t="n">
        <v>349.23</v>
      </c>
      <c r="U34" s="37" t="n">
        <v>349.23</v>
      </c>
      <c r="V34" s="18" t="n">
        <v>363.25</v>
      </c>
      <c r="W34" s="18" t="n">
        <v>625.03</v>
      </c>
      <c r="X34" s="18" t="n">
        <v>705.76</v>
      </c>
      <c r="Y34" s="18" t="n">
        <v>590.61</v>
      </c>
      <c r="Z34" s="37" t="n">
        <v>590.61</v>
      </c>
      <c r="AA34" s="18" t="n">
        <v>677.4400000000001</v>
      </c>
      <c r="AB34" s="19" t="n">
        <v>761.36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4153.83</v>
      </c>
      <c r="F35" s="37" t="n">
        <v>4153.83</v>
      </c>
      <c r="G35" s="18" t="n">
        <v>3393.59</v>
      </c>
      <c r="H35" s="18" t="n">
        <v>3179.71</v>
      </c>
      <c r="I35" s="18" t="n">
        <v>1288.92</v>
      </c>
      <c r="K35" s="9" t="n"/>
      <c r="N35" s="18" t="n">
        <v>1103.74</v>
      </c>
      <c r="O35" s="18" t="n">
        <v>4981.12</v>
      </c>
      <c r="P35" s="37" t="n">
        <v>4981.12</v>
      </c>
      <c r="Q35" s="18" t="n">
        <v>4404.5</v>
      </c>
      <c r="R35" s="18" t="n">
        <v>3666.58</v>
      </c>
      <c r="S35" s="18" t="n">
        <v>4796.24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1510.58</v>
      </c>
      <c r="F36" s="37" t="n">
        <v>1510.58</v>
      </c>
      <c r="G36" s="18" t="n">
        <v>1510.58</v>
      </c>
      <c r="H36" s="18" t="n">
        <v>2213.47</v>
      </c>
      <c r="I36" s="18" t="n">
        <v>2213.47</v>
      </c>
      <c r="J36" s="18" t="n">
        <v>6784.07</v>
      </c>
      <c r="K36" s="37" t="n">
        <v>6784.07</v>
      </c>
      <c r="L36" s="18" t="n">
        <v>5972.26</v>
      </c>
      <c r="M36" s="18" t="n">
        <v>2764.98</v>
      </c>
      <c r="N36" s="18" t="n">
        <v>3473.65</v>
      </c>
      <c r="O36" s="18" t="n">
        <v>2113.34</v>
      </c>
      <c r="P36" s="37" t="n">
        <v>2113.34</v>
      </c>
      <c r="Q36" s="18" t="n">
        <v>1309.25</v>
      </c>
      <c r="R36" s="18" t="n">
        <v>1309.25</v>
      </c>
      <c r="S36" s="18" t="n">
        <v>181.82</v>
      </c>
      <c r="T36" s="18" t="n">
        <v>696.4400000000001</v>
      </c>
      <c r="U36" s="37" t="n">
        <v>696.4400000000001</v>
      </c>
      <c r="V36" s="18" t="n">
        <v>696.4400000000001</v>
      </c>
      <c r="W36" s="18" t="n">
        <v>696.4400000000001</v>
      </c>
      <c r="X36" s="18" t="n">
        <v>696.4400000000001</v>
      </c>
      <c r="Y36" s="18" t="n">
        <v>4137</v>
      </c>
      <c r="Z36" s="37" t="n">
        <v>4137</v>
      </c>
      <c r="AA36" s="18" t="n">
        <v>8701.889999999999</v>
      </c>
      <c r="AB36" s="19" t="n">
        <v>11693.41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88046.53</v>
      </c>
      <c r="F37" s="37" t="n">
        <v>88046.53</v>
      </c>
      <c r="G37" s="18" t="n">
        <v>98949.91</v>
      </c>
      <c r="H37" s="18" t="n">
        <v>104875.22</v>
      </c>
      <c r="I37" s="18" t="n">
        <v>145490.31</v>
      </c>
      <c r="J37" s="18" t="n">
        <v>172708.85</v>
      </c>
      <c r="K37" s="37" t="n">
        <v>172708.85</v>
      </c>
      <c r="L37" s="18" t="n">
        <v>203982.65</v>
      </c>
      <c r="M37" s="18" t="n">
        <v>235369.12</v>
      </c>
      <c r="N37" s="18" t="n">
        <v>298249.62</v>
      </c>
      <c r="O37" s="18" t="n">
        <v>318467.94</v>
      </c>
      <c r="P37" s="37" t="n">
        <v>318467.94</v>
      </c>
      <c r="Q37" s="18" t="n">
        <v>321725.27</v>
      </c>
      <c r="R37" s="18" t="n">
        <v>343806.87</v>
      </c>
      <c r="S37" s="18" t="n">
        <v>351324.34</v>
      </c>
      <c r="T37" s="18" t="n">
        <v>390081.16</v>
      </c>
      <c r="U37" s="37" t="n">
        <v>390081.16</v>
      </c>
      <c r="V37" s="18" t="n">
        <v>419872.35</v>
      </c>
      <c r="W37" s="18" t="n">
        <v>394074.04</v>
      </c>
      <c r="X37" s="18" t="n">
        <v>394917.62</v>
      </c>
      <c r="Y37" s="18" t="n">
        <v>448358.94</v>
      </c>
      <c r="Z37" s="37" t="n">
        <v>448358.94</v>
      </c>
      <c r="AA37" s="18" t="n">
        <v>490241.86</v>
      </c>
      <c r="AB37" s="19" t="n">
        <v>444883.47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21980.38</v>
      </c>
      <c r="F38" s="37" t="n">
        <v>21980.38</v>
      </c>
      <c r="G38" s="18" t="n">
        <v>21980.38</v>
      </c>
      <c r="H38" s="18" t="n">
        <v>21980.38</v>
      </c>
      <c r="I38" s="18" t="n">
        <v>21980.38</v>
      </c>
      <c r="J38" s="18" t="n">
        <v>21980.38</v>
      </c>
      <c r="K38" s="37" t="n">
        <v>21980.38</v>
      </c>
      <c r="L38" s="18" t="n">
        <v>21980.38</v>
      </c>
      <c r="M38" s="18" t="n">
        <v>21980.38</v>
      </c>
      <c r="N38" s="18" t="n">
        <v>21980.38</v>
      </c>
      <c r="O38" s="18" t="n">
        <v>25954.23</v>
      </c>
      <c r="P38" s="37" t="n">
        <v>25954.23</v>
      </c>
      <c r="Q38" s="18" t="n">
        <v>25954.23</v>
      </c>
      <c r="R38" s="18" t="n">
        <v>25954.23</v>
      </c>
      <c r="S38" s="18" t="n">
        <v>25954.23</v>
      </c>
      <c r="T38" s="18" t="n">
        <v>192789.69</v>
      </c>
      <c r="U38" s="37" t="n">
        <v>192789.69</v>
      </c>
      <c r="V38" s="18" t="n">
        <v>192789.69</v>
      </c>
      <c r="W38" s="18" t="n">
        <v>192789.69</v>
      </c>
      <c r="X38" s="18" t="n">
        <v>192789.69</v>
      </c>
      <c r="Y38" s="18" t="n">
        <v>122789.69</v>
      </c>
      <c r="Z38" s="37" t="n">
        <v>122789.69</v>
      </c>
      <c r="AA38" s="18" t="n">
        <v>122789.69</v>
      </c>
      <c r="AB38" s="19" t="n">
        <v>177321.71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74960.11</v>
      </c>
      <c r="F39" s="37" t="n">
        <v>74960.11</v>
      </c>
      <c r="G39" s="18" t="n">
        <v>74960.11</v>
      </c>
      <c r="H39" s="18" t="n">
        <v>74960.11</v>
      </c>
      <c r="I39" s="18" t="n">
        <v>74960.11</v>
      </c>
      <c r="J39" s="18" t="n">
        <v>74960.11</v>
      </c>
      <c r="K39" s="37" t="n">
        <v>74960.11</v>
      </c>
      <c r="L39" s="18" t="n">
        <v>74960.11</v>
      </c>
      <c r="M39" s="18" t="n">
        <v>74960.11</v>
      </c>
      <c r="N39" s="18" t="n">
        <v>74960.11</v>
      </c>
      <c r="O39" s="18" t="n">
        <v>166835.46</v>
      </c>
      <c r="P39" s="37" t="n">
        <v>166835.46</v>
      </c>
      <c r="Q39" s="18" t="n">
        <v>166835.46</v>
      </c>
      <c r="R39" s="18" t="n">
        <v>166835.46</v>
      </c>
      <c r="S39" s="18" t="n">
        <v>166835.46</v>
      </c>
      <c r="T39" s="18" t="n">
        <v>166835.46</v>
      </c>
      <c r="U39" s="37" t="n">
        <v>166835.46</v>
      </c>
      <c r="V39" s="18" t="n">
        <v>166835.46</v>
      </c>
      <c r="W39" s="18" t="n">
        <v>166835.46</v>
      </c>
      <c r="X39" s="18" t="n">
        <v>166835.46</v>
      </c>
      <c r="Y39" s="18" t="n">
        <v>96835.46000000001</v>
      </c>
      <c r="Z39" s="37" t="n">
        <v>96835.46000000001</v>
      </c>
      <c r="AA39" s="18" t="n">
        <v>96835.46000000001</v>
      </c>
      <c r="AB39" s="19" t="n">
        <v>151014.17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302311.08</v>
      </c>
      <c r="F40" s="37" t="n">
        <v>302311.08</v>
      </c>
      <c r="G40" s="18" t="n">
        <v>299390.5</v>
      </c>
      <c r="H40" s="18" t="n">
        <v>302985.78</v>
      </c>
      <c r="I40" s="18" t="n">
        <v>308079.74</v>
      </c>
      <c r="J40" s="18" t="n">
        <v>299038.94</v>
      </c>
      <c r="K40" s="37" t="n">
        <v>299038.94</v>
      </c>
      <c r="L40" s="18" t="n">
        <v>294376.44</v>
      </c>
      <c r="M40" s="18" t="n">
        <v>303652.93</v>
      </c>
      <c r="N40" s="18" t="n">
        <v>308292.13</v>
      </c>
      <c r="O40" s="18" t="n">
        <v>289114.7</v>
      </c>
      <c r="P40" s="37" t="n">
        <v>289114.7</v>
      </c>
      <c r="Q40" s="18" t="n">
        <v>287756.44</v>
      </c>
      <c r="R40" s="18" t="n">
        <v>299680.2</v>
      </c>
      <c r="S40" s="18" t="n">
        <v>314151.81</v>
      </c>
      <c r="T40" s="18" t="n">
        <v>303177</v>
      </c>
      <c r="U40" s="37" t="n">
        <v>303177</v>
      </c>
      <c r="V40" s="18" t="n">
        <v>321596.98</v>
      </c>
      <c r="W40" s="18" t="n">
        <v>346144.09</v>
      </c>
      <c r="X40" s="18" t="n">
        <v>361935.51</v>
      </c>
      <c r="Y40" s="18" t="n">
        <v>460409.17</v>
      </c>
      <c r="Z40" s="37" t="n">
        <v>460409.17</v>
      </c>
      <c r="AA40" s="18" t="n">
        <v>449602.89</v>
      </c>
      <c r="AB40" s="19" t="n">
        <v>487112.81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-3298.12</v>
      </c>
      <c r="F41" s="37" t="n">
        <v>-3298.12</v>
      </c>
      <c r="G41" s="18" t="n">
        <v>-3433.13</v>
      </c>
      <c r="H41" s="18" t="n">
        <v>-3433.13</v>
      </c>
      <c r="I41" s="18" t="n">
        <v>-3433.13</v>
      </c>
      <c r="J41" s="18" t="n">
        <v>-3434.91</v>
      </c>
      <c r="K41" s="37" t="n">
        <v>-3434.91</v>
      </c>
      <c r="L41" s="18" t="n">
        <v>-3434.91</v>
      </c>
      <c r="M41" s="18" t="n">
        <v>-3434.91</v>
      </c>
      <c r="N41" s="18" t="n">
        <v>-3434.91</v>
      </c>
      <c r="O41" s="18" t="n">
        <v>-2266.08</v>
      </c>
      <c r="P41" s="37" t="n">
        <v>-2266.08</v>
      </c>
      <c r="Q41" s="18" t="n">
        <v>-2269.71</v>
      </c>
      <c r="R41" s="18" t="n">
        <v>-2269.69</v>
      </c>
      <c r="S41" s="18" t="n">
        <v>-2269.55</v>
      </c>
      <c r="T41" s="18" t="n">
        <v>-2264.91</v>
      </c>
      <c r="U41" s="37" t="n">
        <v>-2264.91</v>
      </c>
      <c r="V41" s="18" t="n">
        <v>-2264.91</v>
      </c>
      <c r="W41" s="18" t="n">
        <v>-2264.91</v>
      </c>
      <c r="X41" s="18" t="n">
        <v>-2264.91</v>
      </c>
      <c r="Y41" s="18" t="n">
        <v>-704.91</v>
      </c>
      <c r="Z41" s="37" t="n">
        <v>-704.91</v>
      </c>
      <c r="AA41" s="18" t="n">
        <v>-704.91</v>
      </c>
      <c r="AB41" s="19" t="n">
        <v>-704.91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8538.129999999999</v>
      </c>
      <c r="F42" s="37" t="n">
        <v>8538.129999999999</v>
      </c>
      <c r="G42" s="18" t="n">
        <v>13643.13</v>
      </c>
      <c r="H42" s="18" t="n">
        <v>13643.13</v>
      </c>
      <c r="I42" s="18" t="n">
        <v>13643.13</v>
      </c>
      <c r="J42" s="18" t="n">
        <v>8538.129999999999</v>
      </c>
      <c r="K42" s="37" t="n">
        <v>8538.129999999999</v>
      </c>
      <c r="L42" s="18" t="n">
        <v>8538.129999999999</v>
      </c>
      <c r="M42" s="18" t="n">
        <v>8538.129999999999</v>
      </c>
      <c r="N42" s="18" t="n">
        <v>83249.12</v>
      </c>
      <c r="O42" s="18" t="n">
        <v>-13783.82</v>
      </c>
      <c r="P42" s="37" t="n">
        <v>-13783.82</v>
      </c>
      <c r="Q42" s="18" t="n">
        <v>-13783.82</v>
      </c>
      <c r="R42" s="18" t="n">
        <v>-13783.82</v>
      </c>
      <c r="S42" s="18" t="n">
        <v>-13783.82</v>
      </c>
      <c r="T42" s="18" t="n">
        <v>-13788.53</v>
      </c>
      <c r="U42" s="37" t="n">
        <v>-13788.53</v>
      </c>
      <c r="V42" s="18" t="n">
        <v>-13788.53</v>
      </c>
      <c r="W42" s="18" t="n">
        <v>3579.53</v>
      </c>
      <c r="X42" s="18" t="n">
        <v>3579.53</v>
      </c>
      <c r="Y42" s="18" t="n">
        <v>2169.86</v>
      </c>
      <c r="Z42" s="37" t="n">
        <v>2169.86</v>
      </c>
      <c r="AA42" s="18" t="n">
        <v>13357.88</v>
      </c>
      <c r="AB42" s="19" t="n">
        <v>13658.93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404491.57</v>
      </c>
      <c r="F43" s="37" t="n">
        <v>404491.57</v>
      </c>
      <c r="G43" s="18" t="n">
        <v>401435.99</v>
      </c>
      <c r="H43" s="18" t="n">
        <v>405031.27</v>
      </c>
      <c r="I43" s="18" t="n">
        <v>410125.23</v>
      </c>
      <c r="J43" s="18" t="n">
        <v>401082.64</v>
      </c>
      <c r="K43" s="37" t="n">
        <v>401082.64</v>
      </c>
      <c r="L43" s="18" t="n">
        <v>396420.15</v>
      </c>
      <c r="M43" s="18" t="n">
        <v>405696.64</v>
      </c>
      <c r="N43" s="18" t="n">
        <v>485046.84</v>
      </c>
      <c r="O43" s="18" t="n">
        <v>465854.48</v>
      </c>
      <c r="P43" s="37" t="n">
        <v>465854.48</v>
      </c>
      <c r="Q43" s="18" t="n">
        <v>464492.6</v>
      </c>
      <c r="R43" s="18" t="n">
        <v>476416.37</v>
      </c>
      <c r="S43" s="18" t="n">
        <v>490888.13</v>
      </c>
      <c r="T43" s="18" t="n">
        <v>479913.25</v>
      </c>
      <c r="U43" s="37" t="n">
        <v>479913.25</v>
      </c>
      <c r="V43" s="18" t="n">
        <v>498333.24</v>
      </c>
      <c r="W43" s="18" t="n">
        <v>540248.4</v>
      </c>
      <c r="X43" s="18" t="n">
        <v>556039.8199999999</v>
      </c>
      <c r="Y43" s="18" t="n">
        <v>584663.8</v>
      </c>
      <c r="Z43" s="37" t="n">
        <v>584663.8</v>
      </c>
      <c r="AA43" s="18" t="n">
        <v>585045.55</v>
      </c>
      <c r="AB43" s="19" t="n">
        <v>677388.55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492538.1</v>
      </c>
      <c r="F44" s="37" t="n">
        <v>492538.1</v>
      </c>
      <c r="G44" s="18" t="n">
        <v>500385.9</v>
      </c>
      <c r="H44" s="18" t="n">
        <v>509906.49</v>
      </c>
      <c r="I44" s="18" t="n">
        <v>555615.55</v>
      </c>
      <c r="J44" s="18" t="n">
        <v>573791.49</v>
      </c>
      <c r="K44" s="37" t="n">
        <v>573791.49</v>
      </c>
      <c r="L44" s="18" t="n">
        <v>600402.79</v>
      </c>
      <c r="M44" s="18" t="n">
        <v>641065.76</v>
      </c>
      <c r="N44" s="18" t="n">
        <v>783296.46</v>
      </c>
      <c r="O44" s="18" t="n">
        <v>784322.42</v>
      </c>
      <c r="P44" s="37" t="n">
        <v>784322.42</v>
      </c>
      <c r="Q44" s="18" t="n">
        <v>786217.86</v>
      </c>
      <c r="R44" s="18" t="n">
        <v>820223.24</v>
      </c>
      <c r="S44" s="18" t="n">
        <v>842212.47</v>
      </c>
      <c r="T44" s="18" t="n">
        <v>869994.41</v>
      </c>
      <c r="U44" s="37" t="n">
        <v>869994.41</v>
      </c>
      <c r="V44" s="18" t="n">
        <v>918205.59</v>
      </c>
      <c r="W44" s="18" t="n">
        <v>934322.4399999999</v>
      </c>
      <c r="X44" s="18" t="n">
        <v>950957.45</v>
      </c>
      <c r="Y44" s="18" t="n">
        <v>1033022.74</v>
      </c>
      <c r="Z44" s="37" t="n">
        <v>1033022.74</v>
      </c>
      <c r="AA44" s="18" t="n">
        <v>1075287.41</v>
      </c>
      <c r="AB44" s="19" t="n">
        <v>1122272.02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404491.57</v>
      </c>
      <c r="F45" s="37" t="n">
        <v>404491.57</v>
      </c>
      <c r="G45" s="18" t="n">
        <v>401435.99</v>
      </c>
      <c r="H45" s="18" t="n">
        <v>405031.27</v>
      </c>
      <c r="I45" s="18" t="n">
        <v>410125.23</v>
      </c>
      <c r="J45" s="18" t="n">
        <v>401082.64</v>
      </c>
      <c r="K45" s="37" t="n">
        <v>401082.64</v>
      </c>
      <c r="L45" s="18" t="n">
        <v>396420.15</v>
      </c>
      <c r="M45" s="18" t="n">
        <v>405696.64</v>
      </c>
      <c r="N45" s="18" t="n">
        <v>485046.84</v>
      </c>
      <c r="O45" s="18" t="n">
        <v>465854.48</v>
      </c>
      <c r="P45" s="37" t="n">
        <v>465854.48</v>
      </c>
      <c r="Q45" s="18" t="n">
        <v>464492.6</v>
      </c>
      <c r="R45" s="18" t="n">
        <v>476416.37</v>
      </c>
      <c r="S45" s="18" t="n">
        <v>490888.13</v>
      </c>
      <c r="T45" s="18" t="n">
        <v>479913.25</v>
      </c>
      <c r="U45" s="37" t="n">
        <v>479913.25</v>
      </c>
      <c r="V45" s="18" t="n">
        <v>498333.24</v>
      </c>
      <c r="W45" s="18" t="n">
        <v>540248.4</v>
      </c>
      <c r="X45" s="18" t="n">
        <v>556039.8199999999</v>
      </c>
      <c r="Y45" s="18" t="n">
        <v>584663.8</v>
      </c>
      <c r="Z45" s="37" t="n">
        <v>584663.8</v>
      </c>
      <c r="AA45" s="18" t="n">
        <v>585045.55</v>
      </c>
      <c r="AB45" s="19" t="n">
        <v>677388.55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16015.37</v>
      </c>
      <c r="F46" s="37" t="n">
        <v>16015.37</v>
      </c>
      <c r="G46" s="18" t="n">
        <v>18357.13</v>
      </c>
      <c r="H46" s="18" t="n">
        <v>18592.98</v>
      </c>
      <c r="I46" s="18" t="n">
        <v>46034.75</v>
      </c>
      <c r="J46" s="18" t="n">
        <v>52484.6</v>
      </c>
      <c r="K46" s="37" t="n">
        <v>52484.6</v>
      </c>
      <c r="L46" s="18" t="n">
        <v>63576.36</v>
      </c>
      <c r="M46" s="18" t="n">
        <v>82998.47</v>
      </c>
      <c r="N46" s="18" t="n">
        <v>126142.3</v>
      </c>
      <c r="O46" s="18" t="n">
        <v>125380.06</v>
      </c>
      <c r="P46" s="37" t="n">
        <v>125380.06</v>
      </c>
      <c r="Q46" s="18" t="n">
        <v>108514.01</v>
      </c>
      <c r="R46" s="18" t="n">
        <v>103751.73</v>
      </c>
      <c r="S46" s="18" t="n">
        <v>92697.42999999999</v>
      </c>
      <c r="T46" s="18" t="n">
        <v>63834.75</v>
      </c>
      <c r="U46" s="37" t="n">
        <v>63834.75</v>
      </c>
      <c r="V46" s="18" t="n">
        <v>56209.5</v>
      </c>
      <c r="W46" s="18" t="n">
        <v>54501.66</v>
      </c>
      <c r="X46" s="18" t="n">
        <v>54708.57</v>
      </c>
      <c r="Y46" s="18" t="n">
        <v>103871.73</v>
      </c>
      <c r="Z46" s="37" t="n">
        <v>103871.73</v>
      </c>
      <c r="AA46" s="18" t="n">
        <v>117884.88</v>
      </c>
      <c r="AB46" s="19" t="n">
        <v>135447.94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-55418.94</v>
      </c>
      <c r="F47" s="37" t="n">
        <v>-55418.94</v>
      </c>
      <c r="G47" s="18" t="n">
        <v>-58306.69</v>
      </c>
      <c r="H47" s="18" t="n">
        <v>-7459.39</v>
      </c>
      <c r="I47" s="18" t="n">
        <v>4307.15</v>
      </c>
      <c r="J47" s="18" t="n">
        <v>-8812.309999999999</v>
      </c>
      <c r="K47" s="37" t="n">
        <v>-8812.309999999999</v>
      </c>
      <c r="L47" s="18" t="n">
        <v>25688.34</v>
      </c>
      <c r="M47" s="18" t="n">
        <v>58951.8</v>
      </c>
      <c r="N47" s="18" t="n">
        <v>71251.14</v>
      </c>
      <c r="O47" s="18" t="n">
        <v>51923.73</v>
      </c>
      <c r="P47" s="37" t="n">
        <v>51923.73</v>
      </c>
      <c r="Q47" s="18" t="n">
        <v>59344.28</v>
      </c>
      <c r="R47" s="18" t="n">
        <v>17773.3</v>
      </c>
      <c r="S47" s="18" t="n">
        <v>9291.440000000001</v>
      </c>
      <c r="T47" s="18" t="n">
        <v>3218.68</v>
      </c>
      <c r="U47" s="37" t="n">
        <v>3218.68</v>
      </c>
      <c r="V47" s="18" t="n">
        <v>-54782.13</v>
      </c>
      <c r="W47" s="18" t="n">
        <v>-48741.7</v>
      </c>
      <c r="X47" s="18" t="n">
        <v>-51472.26</v>
      </c>
      <c r="Y47" s="18" t="n">
        <v>38685.1</v>
      </c>
      <c r="Z47" s="37" t="n">
        <v>38685.1</v>
      </c>
      <c r="AA47" s="18" t="n">
        <v>40759.66</v>
      </c>
      <c r="AB47" s="19" t="n">
        <v>54307.91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80018.89</v>
      </c>
      <c r="F48" s="37" t="n">
        <v>80018.89</v>
      </c>
      <c r="G48" s="18" t="n">
        <v>150642.78</v>
      </c>
      <c r="H48" s="18" t="n">
        <v>133469.68</v>
      </c>
      <c r="I48" s="18" t="n">
        <v>149192.67</v>
      </c>
      <c r="J48" s="18" t="n">
        <v>68296.33</v>
      </c>
      <c r="K48" s="37" t="n">
        <v>68296.33</v>
      </c>
      <c r="L48" s="18" t="n">
        <v>42875.59</v>
      </c>
      <c r="M48" s="18" t="n">
        <v>28590.11</v>
      </c>
      <c r="N48" s="18" t="n">
        <v>55375.16</v>
      </c>
      <c r="O48" s="18" t="n">
        <v>73806.33</v>
      </c>
      <c r="P48" s="37" t="n">
        <v>73806.33</v>
      </c>
      <c r="Q48" s="18" t="n">
        <v>49519.73</v>
      </c>
      <c r="R48" s="18" t="n">
        <v>86328.42999999999</v>
      </c>
      <c r="S48" s="18" t="n">
        <v>83755.99000000001</v>
      </c>
      <c r="T48" s="18" t="n">
        <v>88139.64</v>
      </c>
      <c r="U48" s="37" t="n">
        <v>88139.64</v>
      </c>
      <c r="V48" s="18" t="n">
        <v>135673.89</v>
      </c>
      <c r="W48" s="18" t="n">
        <v>130070.51</v>
      </c>
      <c r="X48" s="18" t="n">
        <v>131126.55</v>
      </c>
      <c r="Y48" s="18" t="n">
        <v>88773.33</v>
      </c>
      <c r="Z48" s="37" t="n">
        <v>88773.33</v>
      </c>
      <c r="AA48" s="18" t="n">
        <v>101565.79</v>
      </c>
      <c r="AB48" s="19" t="n">
        <v>104552.4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73141.62</v>
      </c>
      <c r="H49" s="18" t="n">
        <v>43386.74</v>
      </c>
      <c r="I49" s="18" t="n">
        <v>44324.13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장기대여금</t>
        </is>
      </c>
      <c r="F50" s="9" t="n"/>
      <c r="G50" s="18" t="n">
        <v>17707.42</v>
      </c>
      <c r="H50" s="18" t="n">
        <v>47628.12</v>
      </c>
      <c r="I50" s="18" t="n">
        <v>53861.41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매입채무및기타채무</t>
        </is>
      </c>
      <c r="F51" s="9" t="n"/>
      <c r="G51" s="18" t="n">
        <v>58146.85</v>
      </c>
      <c r="H51" s="18" t="n">
        <v>59995.15</v>
      </c>
      <c r="I51" s="18" t="n">
        <v>58243.78</v>
      </c>
      <c r="K51" s="9" t="n"/>
      <c r="L51" s="18" t="n">
        <v>5592.88</v>
      </c>
      <c r="P51" s="9" t="n"/>
      <c r="Q51" s="18" t="n">
        <v>5413.95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G52" s="18" t="n">
        <v>122.41</v>
      </c>
      <c r="H52" s="18" t="n">
        <v>2787.9</v>
      </c>
      <c r="I52" s="18" t="n">
        <v>11360.4</v>
      </c>
      <c r="J52" s="18" t="n">
        <v>271.05</v>
      </c>
      <c r="K52" s="37" t="n">
        <v>271.05</v>
      </c>
      <c r="L52" s="18" t="n">
        <v>477.47</v>
      </c>
      <c r="M52" s="18" t="n">
        <v>97.23</v>
      </c>
      <c r="N52" s="18" t="n">
        <v>929.5700000000001</v>
      </c>
      <c r="P52" s="9" t="n"/>
      <c r="Q52" s="18" t="n">
        <v>1052.65</v>
      </c>
      <c r="R52" s="18" t="n">
        <v>2170.4</v>
      </c>
      <c r="S52" s="18" t="n">
        <v>372.36</v>
      </c>
      <c r="T52" s="18" t="n">
        <v>9973.6</v>
      </c>
      <c r="U52" s="37" t="n">
        <v>9973.6</v>
      </c>
      <c r="V52" s="18" t="n">
        <v>9520.950000000001</v>
      </c>
      <c r="W52" s="18" t="n">
        <v>511.22</v>
      </c>
      <c r="X52" s="18" t="n">
        <v>3659.61</v>
      </c>
      <c r="Y52" s="18" t="n">
        <v>5449.43</v>
      </c>
      <c r="Z52" s="37" t="n">
        <v>5449.43</v>
      </c>
      <c r="AA52" s="18" t="n">
        <v>8400.790000000001</v>
      </c>
      <c r="AB52" s="19" t="n">
        <v>6678.26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단기차입금</t>
        </is>
      </c>
      <c r="F53" s="9" t="n"/>
      <c r="H53" s="18" t="n">
        <v>4000</v>
      </c>
      <c r="I53" s="18" t="n">
        <v>27000</v>
      </c>
      <c r="J53" s="18" t="n">
        <v>37000</v>
      </c>
      <c r="K53" s="37" t="n">
        <v>37000</v>
      </c>
      <c r="L53" s="18" t="n">
        <v>48000</v>
      </c>
      <c r="M53" s="18" t="n">
        <v>65105.91</v>
      </c>
      <c r="N53" s="18" t="n">
        <v>80407.94</v>
      </c>
      <c r="O53" s="18" t="n">
        <v>80651.3</v>
      </c>
      <c r="P53" s="37" t="n">
        <v>80651.3</v>
      </c>
      <c r="Q53" s="18" t="n">
        <v>60185.21</v>
      </c>
      <c r="R53" s="18" t="n">
        <v>57043.33</v>
      </c>
      <c r="S53" s="18" t="n">
        <v>57381.33</v>
      </c>
      <c r="T53" s="18" t="n">
        <v>39840.95</v>
      </c>
      <c r="U53" s="37" t="n">
        <v>39840.95</v>
      </c>
      <c r="V53" s="18" t="n">
        <v>37500</v>
      </c>
      <c r="W53" s="18" t="n">
        <v>20000</v>
      </c>
      <c r="X53" s="18" t="n">
        <v>10000</v>
      </c>
      <c r="Y53" s="18" t="n">
        <v>75000</v>
      </c>
      <c r="Z53" s="37" t="n">
        <v>75000</v>
      </c>
      <c r="AA53" s="18" t="n">
        <v>89000</v>
      </c>
      <c r="AB53" s="19" t="n">
        <v>112000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이연법인세자산</t>
        </is>
      </c>
      <c r="F54" s="9" t="n"/>
      <c r="J54" s="18" t="n">
        <v>1232.07</v>
      </c>
      <c r="K54" s="37" t="n">
        <v>1232.07</v>
      </c>
      <c r="L54" s="18" t="n">
        <v>1903.38</v>
      </c>
      <c r="M54" s="18" t="n">
        <v>865.45</v>
      </c>
      <c r="N54" s="18" t="n">
        <v>47.64</v>
      </c>
      <c r="P54" s="9" t="n"/>
      <c r="U54" s="9" t="n"/>
      <c r="W54" s="18" t="n">
        <v>0</v>
      </c>
      <c r="Y54" s="18" t="n">
        <v>2321.84</v>
      </c>
      <c r="Z54" s="37" t="n">
        <v>2321.84</v>
      </c>
      <c r="AA54" s="18" t="n">
        <v>0</v>
      </c>
      <c r="AB54" s="19" t="n">
        <v>2195.56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80407.94</v>
      </c>
      <c r="O55" s="18" t="n">
        <v>80651.3</v>
      </c>
      <c r="P55" s="37" t="n">
        <v>80651.3</v>
      </c>
      <c r="Q55" s="18" t="n">
        <v>60185.21</v>
      </c>
      <c r="R55" s="18" t="n">
        <v>57043.33</v>
      </c>
      <c r="S55" s="18" t="n">
        <v>57381.33</v>
      </c>
      <c r="T55" s="18" t="n">
        <v>39840.95</v>
      </c>
      <c r="U55" s="37" t="n">
        <v>39840.95</v>
      </c>
      <c r="V55" s="18" t="n">
        <v>37500</v>
      </c>
      <c r="W55" s="18" t="n">
        <v>20000</v>
      </c>
      <c r="X55" s="18" t="n">
        <v>10000</v>
      </c>
      <c r="Y55" s="18" t="n">
        <v>75000</v>
      </c>
      <c r="Z55" s="37" t="n">
        <v>75000</v>
      </c>
      <c r="AA55" s="18" t="n">
        <v>89000</v>
      </c>
      <c r="AB55" s="19" t="n">
        <v>112000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N56" s="18" t="n">
        <v>10000</v>
      </c>
      <c r="O56" s="18" t="n">
        <v>10000</v>
      </c>
      <c r="P56" s="37" t="n">
        <v>10000</v>
      </c>
      <c r="Q56" s="18" t="n">
        <v>10000</v>
      </c>
      <c r="R56" s="18" t="n">
        <v>10000</v>
      </c>
      <c r="S56" s="18" t="n">
        <v>10000</v>
      </c>
      <c r="U56" s="9" t="n"/>
      <c r="W56" s="18" t="n">
        <v>11576.46</v>
      </c>
      <c r="X56" s="18" t="n">
        <v>12567.67</v>
      </c>
      <c r="Y56" s="18" t="n">
        <v>13558.88</v>
      </c>
      <c r="Z56" s="37" t="n">
        <v>13558.88</v>
      </c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O57" s="18" t="n">
        <v>15730.94</v>
      </c>
      <c r="P57" s="37" t="n">
        <v>15730.94</v>
      </c>
      <c r="Q57" s="18" t="n">
        <v>15719.73</v>
      </c>
      <c r="R57" s="18" t="n">
        <v>15708.52</v>
      </c>
      <c r="S57" s="18" t="n">
        <v>15697.31</v>
      </c>
      <c r="T57" s="18" t="n">
        <v>15686.1</v>
      </c>
      <c r="U57" s="37" t="n">
        <v>15686.1</v>
      </c>
      <c r="V57" s="18" t="n">
        <v>15674.89</v>
      </c>
      <c r="W57" s="18" t="n">
        <v>15663.68</v>
      </c>
      <c r="X57" s="18" t="n">
        <v>15652.47</v>
      </c>
      <c r="Y57" s="18" t="n">
        <v>15641.26</v>
      </c>
      <c r="Z57" s="37" t="n">
        <v>15641.26</v>
      </c>
      <c r="AA57" s="18" t="n">
        <v>15630.05</v>
      </c>
      <c r="AB57" s="19" t="n">
        <v>15789.67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19248.9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P59" s="9" t="n"/>
      <c r="T59" s="18" t="n">
        <v>19695.35</v>
      </c>
      <c r="U59" s="37" t="n">
        <v>19695.35</v>
      </c>
      <c r="V59" s="18" t="n">
        <v>11693.26</v>
      </c>
      <c r="W59" s="18" t="n">
        <v>52142.18</v>
      </c>
      <c r="X59" s="18" t="n">
        <v>57482.09</v>
      </c>
      <c r="Y59" s="18" t="n">
        <v>164649.52</v>
      </c>
      <c r="Z59" s="37" t="n">
        <v>164649.52</v>
      </c>
      <c r="AA59" s="18" t="n">
        <v>164064.74</v>
      </c>
      <c r="AB59" s="19" t="n">
        <v>172797.13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보통주자본금</t>
        </is>
      </c>
      <c r="F60" s="9" t="n"/>
      <c r="K60" s="9" t="n"/>
      <c r="P60" s="9" t="n"/>
      <c r="T60" s="18" t="n">
        <v>25954.23</v>
      </c>
      <c r="U60" s="37" t="n">
        <v>25954.23</v>
      </c>
      <c r="V60" s="18" t="n">
        <v>25954.23</v>
      </c>
      <c r="W60" s="18" t="n">
        <v>25954.23</v>
      </c>
      <c r="X60" s="18" t="n">
        <v>25954.23</v>
      </c>
      <c r="Y60" s="18" t="n">
        <v>25954.23</v>
      </c>
      <c r="Z60" s="37" t="n">
        <v>25954.23</v>
      </c>
      <c r="AA60" s="18" t="n">
        <v>25954.23</v>
      </c>
      <c r="AB60" s="19" t="n">
        <v>26307.54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유동파생상품자산</t>
        </is>
      </c>
      <c r="F61" s="9" t="n"/>
      <c r="K61" s="9" t="n"/>
      <c r="P61" s="9" t="n"/>
      <c r="U61" s="9" t="n"/>
      <c r="W61" s="18" t="n">
        <v>8195.09</v>
      </c>
      <c r="X61" s="18" t="n">
        <v>11493.77</v>
      </c>
      <c r="Y61" s="18" t="n">
        <v>9874.65</v>
      </c>
      <c r="Z61" s="37" t="n">
        <v>9874.65</v>
      </c>
      <c r="AA61" s="18" t="n">
        <v>2083.06</v>
      </c>
      <c r="AB61" s="19" t="n">
        <v>1250.21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단기파생상품부채</t>
        </is>
      </c>
      <c r="F62" s="9" t="n"/>
      <c r="K62" s="9" t="n"/>
      <c r="P62" s="9" t="n"/>
      <c r="U62" s="9" t="n"/>
      <c r="W62" s="18" t="n">
        <v>25194.12</v>
      </c>
      <c r="X62" s="18" t="n">
        <v>31772.92</v>
      </c>
      <c r="Y62" s="18" t="n">
        <v>28134.89</v>
      </c>
      <c r="Z62" s="37" t="n">
        <v>28134.89</v>
      </c>
      <c r="AA62" s="18" t="n">
        <v>40085.96</v>
      </c>
      <c r="AB62" s="19" t="n">
        <v>1455.19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79131.27</v>
      </c>
      <c r="F63" s="9" t="n"/>
      <c r="G63" s="18" t="n">
        <v>75323.69</v>
      </c>
      <c r="H63" s="18" t="n">
        <v>64875.39</v>
      </c>
      <c r="I63" s="18" t="n">
        <v>102564.24</v>
      </c>
      <c r="J63" s="18" t="n">
        <v>97444.86</v>
      </c>
      <c r="K63" s="37" t="n">
        <v>340208.18</v>
      </c>
      <c r="L63" s="18" t="n">
        <v>97127.85000000001</v>
      </c>
      <c r="M63" s="18" t="n">
        <v>125767.72</v>
      </c>
      <c r="N63" s="18" t="n">
        <v>152032.53</v>
      </c>
      <c r="O63" s="18" t="n">
        <v>198084.36</v>
      </c>
      <c r="P63" s="37" t="n">
        <v>573012.46</v>
      </c>
      <c r="Q63" s="18" t="n">
        <v>176235.66</v>
      </c>
      <c r="R63" s="18" t="n">
        <v>185261.08</v>
      </c>
      <c r="S63" s="18" t="n">
        <v>162510.94</v>
      </c>
      <c r="T63" s="18" t="n">
        <v>184932.6</v>
      </c>
      <c r="U63" s="37" t="n">
        <v>708940.28</v>
      </c>
      <c r="V63" s="18" t="n">
        <v>214893.09</v>
      </c>
      <c r="W63" s="18" t="n">
        <v>219617.35</v>
      </c>
      <c r="X63" s="18" t="n">
        <v>210154.67</v>
      </c>
      <c r="Y63" s="18" t="n">
        <v>221709.37</v>
      </c>
      <c r="Z63" s="37" t="n">
        <v>866374.48</v>
      </c>
      <c r="AA63" s="18" t="n">
        <v>200112.82</v>
      </c>
      <c r="AB63" s="19" t="n">
        <v>229321.95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68615.11</v>
      </c>
      <c r="F64" s="9" t="n"/>
      <c r="G64" s="18" t="n">
        <v>66051.42</v>
      </c>
      <c r="H64" s="18" t="n">
        <v>55528.96</v>
      </c>
      <c r="I64" s="18" t="n">
        <v>81505.8</v>
      </c>
      <c r="J64" s="18" t="n">
        <v>81624.52</v>
      </c>
      <c r="K64" s="37" t="n">
        <v>284710.7</v>
      </c>
      <c r="L64" s="18" t="n">
        <v>84847.72</v>
      </c>
      <c r="M64" s="18" t="n">
        <v>107544.7</v>
      </c>
      <c r="N64" s="18" t="n">
        <v>135598.4</v>
      </c>
      <c r="O64" s="18" t="n">
        <v>181335.13</v>
      </c>
      <c r="P64" s="37" t="n">
        <v>509325.95</v>
      </c>
      <c r="Q64" s="18" t="n">
        <v>153658.39</v>
      </c>
      <c r="R64" s="18" t="n">
        <v>152105.26</v>
      </c>
      <c r="S64" s="18" t="n">
        <v>137402.04</v>
      </c>
      <c r="T64" s="18" t="n">
        <v>149015.41</v>
      </c>
      <c r="U64" s="37" t="n">
        <v>592181.1</v>
      </c>
      <c r="V64" s="18" t="n">
        <v>165172.88</v>
      </c>
      <c r="W64" s="18" t="n">
        <v>168358.56</v>
      </c>
      <c r="X64" s="18" t="n">
        <v>160132.06</v>
      </c>
      <c r="Y64" s="18" t="n">
        <v>162219.72</v>
      </c>
      <c r="Z64" s="37" t="n">
        <v>655883.22</v>
      </c>
      <c r="AA64" s="18" t="n">
        <v>139002.4</v>
      </c>
      <c r="AB64" s="19" t="n">
        <v>159850.76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10516.15</v>
      </c>
      <c r="F65" s="9" t="n"/>
      <c r="G65" s="18" t="n">
        <v>9272.26</v>
      </c>
      <c r="H65" s="18" t="n">
        <v>9346.43</v>
      </c>
      <c r="I65" s="18" t="n">
        <v>21058.44</v>
      </c>
      <c r="J65" s="18" t="n">
        <v>15820.34</v>
      </c>
      <c r="K65" s="37" t="n">
        <v>55497.47</v>
      </c>
      <c r="L65" s="18" t="n">
        <v>12280.14</v>
      </c>
      <c r="M65" s="18" t="n">
        <v>18223.02</v>
      </c>
      <c r="N65" s="18" t="n">
        <v>16434.13</v>
      </c>
      <c r="O65" s="18" t="n">
        <v>16749.23</v>
      </c>
      <c r="P65" s="37" t="n">
        <v>63686.52</v>
      </c>
      <c r="Q65" s="18" t="n">
        <v>22577.27</v>
      </c>
      <c r="R65" s="18" t="n">
        <v>33155.82</v>
      </c>
      <c r="S65" s="18" t="n">
        <v>25108.89</v>
      </c>
      <c r="T65" s="18" t="n">
        <v>35917.18</v>
      </c>
      <c r="U65" s="37" t="n">
        <v>116759.16</v>
      </c>
      <c r="V65" s="18" t="n">
        <v>49720.2</v>
      </c>
      <c r="W65" s="18" t="n">
        <v>51258.79</v>
      </c>
      <c r="X65" s="18" t="n">
        <v>50022.61</v>
      </c>
      <c r="Y65" s="18" t="n">
        <v>59489.65</v>
      </c>
      <c r="Z65" s="37" t="n">
        <v>210491.25</v>
      </c>
      <c r="AA65" s="18" t="n">
        <v>61110.42</v>
      </c>
      <c r="AB65" s="19" t="n">
        <v>69471.19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6994.43</v>
      </c>
      <c r="F66" s="9" t="n"/>
      <c r="G66" s="18" t="n">
        <v>5793.77</v>
      </c>
      <c r="H66" s="18" t="n">
        <v>6476.92</v>
      </c>
      <c r="I66" s="18" t="n">
        <v>6973.26</v>
      </c>
      <c r="J66" s="18" t="n">
        <v>7534.46</v>
      </c>
      <c r="K66" s="37" t="n">
        <v>26778.41</v>
      </c>
      <c r="L66" s="18" t="n">
        <v>8323.719999999999</v>
      </c>
      <c r="M66" s="18" t="n">
        <v>8192.93</v>
      </c>
      <c r="N66" s="18" t="n">
        <v>9976.82</v>
      </c>
      <c r="O66" s="18" t="n">
        <v>12070.91</v>
      </c>
      <c r="P66" s="37" t="n">
        <v>38564.38</v>
      </c>
      <c r="Q66" s="18" t="n">
        <v>15057.37</v>
      </c>
      <c r="R66" s="18" t="n">
        <v>13951.64</v>
      </c>
      <c r="S66" s="18" t="n">
        <v>16276.27</v>
      </c>
      <c r="T66" s="18" t="n">
        <v>16623.56</v>
      </c>
      <c r="U66" s="37" t="n">
        <v>61908.84</v>
      </c>
      <c r="V66" s="18" t="n">
        <v>16470.92</v>
      </c>
      <c r="W66" s="18" t="n">
        <v>17834.81</v>
      </c>
      <c r="X66" s="18" t="n">
        <v>17216.27</v>
      </c>
      <c r="Y66" s="18" t="n">
        <v>20757.14</v>
      </c>
      <c r="Z66" s="37" t="n">
        <v>72279.14</v>
      </c>
      <c r="AA66" s="18" t="n">
        <v>19537.55</v>
      </c>
      <c r="AB66" s="19" t="n">
        <v>17960.34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3521.71</v>
      </c>
      <c r="F67" s="9" t="n"/>
      <c r="G67" s="18" t="n">
        <v>3478.5</v>
      </c>
      <c r="H67" s="18" t="n">
        <v>2869.51</v>
      </c>
      <c r="I67" s="18" t="n">
        <v>14085.18</v>
      </c>
      <c r="J67" s="18" t="n">
        <v>8285.870000000001</v>
      </c>
      <c r="K67" s="37" t="n">
        <v>28719.06</v>
      </c>
      <c r="L67" s="18" t="n">
        <v>3956.41</v>
      </c>
      <c r="M67" s="18" t="n">
        <v>10030.09</v>
      </c>
      <c r="N67" s="18" t="n">
        <v>6457.31</v>
      </c>
      <c r="O67" s="18" t="n">
        <v>4678.32</v>
      </c>
      <c r="P67" s="37" t="n">
        <v>25122.13</v>
      </c>
      <c r="Q67" s="18" t="n">
        <v>7519.89</v>
      </c>
      <c r="R67" s="18" t="n">
        <v>19204.18</v>
      </c>
      <c r="S67" s="18" t="n">
        <v>8832.629999999999</v>
      </c>
      <c r="T67" s="18" t="n">
        <v>19293.62</v>
      </c>
      <c r="U67" s="37" t="n">
        <v>54850.32</v>
      </c>
      <c r="V67" s="18" t="n">
        <v>33249.29</v>
      </c>
      <c r="W67" s="18" t="n">
        <v>33423.98</v>
      </c>
      <c r="X67" s="18" t="n">
        <v>32806.34</v>
      </c>
      <c r="Y67" s="18" t="n">
        <v>38732.5</v>
      </c>
      <c r="Z67" s="37" t="n">
        <v>138212.11</v>
      </c>
      <c r="AA67" s="18" t="n">
        <v>41572.86</v>
      </c>
      <c r="AB67" s="19" t="n">
        <v>51510.85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8792.84</v>
      </c>
      <c r="F68" s="9" t="n"/>
      <c r="G68" s="18" t="n">
        <v>78.53</v>
      </c>
      <c r="H68" s="18" t="n">
        <v>87.92</v>
      </c>
      <c r="I68" s="18" t="n">
        <v>129</v>
      </c>
      <c r="J68" s="18" t="n">
        <v>124.86</v>
      </c>
      <c r="K68" s="37" t="n">
        <v>420.31</v>
      </c>
      <c r="L68" s="18" t="n">
        <v>85.15000000000001</v>
      </c>
      <c r="M68" s="18" t="n">
        <v>10300.19</v>
      </c>
      <c r="N68" s="18" t="n">
        <v>10534.04</v>
      </c>
      <c r="O68" s="18" t="n">
        <v>322.67</v>
      </c>
      <c r="P68" s="37" t="n">
        <v>21242.05</v>
      </c>
      <c r="Q68" s="18" t="n">
        <v>483.83</v>
      </c>
      <c r="R68" s="18" t="n">
        <v>748.16</v>
      </c>
      <c r="S68" s="18" t="n">
        <v>586.4</v>
      </c>
      <c r="T68" s="18" t="n">
        <v>519.5700000000001</v>
      </c>
      <c r="U68" s="37" t="n">
        <v>2337.96</v>
      </c>
      <c r="V68" s="18" t="n">
        <v>262.66</v>
      </c>
      <c r="W68" s="18" t="n">
        <v>986.49</v>
      </c>
      <c r="X68" s="18" t="n">
        <v>423.6</v>
      </c>
      <c r="Y68" s="18" t="n">
        <v>5009.89</v>
      </c>
      <c r="Z68" s="37" t="n">
        <v>6682.64</v>
      </c>
      <c r="AA68" s="18" t="n">
        <v>385.87</v>
      </c>
      <c r="AB68" s="19" t="n">
        <v>2022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19131.47</v>
      </c>
      <c r="F69" s="9" t="n"/>
      <c r="G69" s="18" t="n">
        <v>25.3</v>
      </c>
      <c r="H69" s="18" t="n">
        <v>31.75</v>
      </c>
      <c r="I69" s="18" t="n">
        <v>36.55</v>
      </c>
      <c r="J69" s="18" t="n">
        <v>8194.860000000001</v>
      </c>
      <c r="K69" s="37" t="n">
        <v>8288.459999999999</v>
      </c>
      <c r="L69" s="18" t="n">
        <v>30.54</v>
      </c>
      <c r="M69" s="18" t="n">
        <v>16852.38</v>
      </c>
      <c r="N69" s="18" t="n">
        <v>1830.56</v>
      </c>
      <c r="O69" s="18" t="n">
        <v>12220.55</v>
      </c>
      <c r="P69" s="37" t="n">
        <v>30934.03</v>
      </c>
      <c r="Q69" s="18" t="n">
        <v>47.75</v>
      </c>
      <c r="R69" s="18" t="n">
        <v>56.09</v>
      </c>
      <c r="S69" s="18" t="n">
        <v>370.95</v>
      </c>
      <c r="T69" s="18" t="n">
        <v>13519.95</v>
      </c>
      <c r="U69" s="37" t="n">
        <v>13994.74</v>
      </c>
      <c r="V69" s="18" t="n">
        <v>1529.14</v>
      </c>
      <c r="W69" s="18" t="n">
        <v>192.63</v>
      </c>
      <c r="X69" s="18" t="n">
        <v>179.94</v>
      </c>
      <c r="Y69" s="18" t="n">
        <v>9796.83</v>
      </c>
      <c r="Z69" s="37" t="n">
        <v>11698.54</v>
      </c>
      <c r="AA69" s="18" t="n">
        <v>125.05</v>
      </c>
      <c r="AB69" s="19" t="n">
        <v>193.57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3275.81</v>
      </c>
      <c r="F70" s="9" t="n"/>
      <c r="G70" s="18" t="n">
        <v>3403.27</v>
      </c>
      <c r="H70" s="18" t="n">
        <v>8515.700000000001</v>
      </c>
      <c r="I70" s="18" t="n">
        <v>11283.18</v>
      </c>
      <c r="J70" s="18" t="n">
        <v>-2033.75</v>
      </c>
      <c r="K70" s="37" t="n">
        <v>21168.4</v>
      </c>
      <c r="L70" s="18" t="n">
        <v>5052.52</v>
      </c>
      <c r="M70" s="18" t="n">
        <v>7012.56</v>
      </c>
      <c r="N70" s="18" t="n">
        <v>4820.31</v>
      </c>
      <c r="O70" s="18" t="n">
        <v>2658.84</v>
      </c>
      <c r="P70" s="37" t="n">
        <v>19544.23</v>
      </c>
      <c r="Q70" s="18" t="n">
        <v>7123.84</v>
      </c>
      <c r="R70" s="18" t="n">
        <v>5299.85</v>
      </c>
      <c r="S70" s="18" t="n">
        <v>4137.4</v>
      </c>
      <c r="T70" s="18" t="n">
        <v>10254.46</v>
      </c>
      <c r="U70" s="37" t="n">
        <v>26815.55</v>
      </c>
      <c r="V70" s="18" t="n">
        <v>7666.95</v>
      </c>
      <c r="W70" s="18" t="n">
        <v>27279.16</v>
      </c>
      <c r="X70" s="18" t="n">
        <v>766.02</v>
      </c>
      <c r="Y70" s="18" t="n">
        <v>7989.56</v>
      </c>
      <c r="Z70" s="37" t="n">
        <v>43701.69</v>
      </c>
      <c r="AA70" s="18" t="n">
        <v>33748.23</v>
      </c>
      <c r="AB70" s="19" t="n">
        <v>12747.05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4388.48</v>
      </c>
      <c r="F71" s="9" t="n"/>
      <c r="G71" s="18" t="n">
        <v>2275.24</v>
      </c>
      <c r="H71" s="18" t="n">
        <v>7592.83</v>
      </c>
      <c r="I71" s="18" t="n">
        <v>18185.49</v>
      </c>
      <c r="J71" s="18" t="n">
        <v>4174.99</v>
      </c>
      <c r="K71" s="37" t="n">
        <v>32228.55</v>
      </c>
      <c r="L71" s="18" t="n">
        <v>7346.16</v>
      </c>
      <c r="M71" s="18" t="n">
        <v>1843.44</v>
      </c>
      <c r="N71" s="18" t="n">
        <v>12215.9</v>
      </c>
      <c r="O71" s="18" t="n">
        <v>9652</v>
      </c>
      <c r="P71" s="37" t="n">
        <v>31057.5</v>
      </c>
      <c r="Q71" s="18" t="n">
        <v>8926.299999999999</v>
      </c>
      <c r="R71" s="18" t="n">
        <v>7337.82</v>
      </c>
      <c r="S71" s="18" t="n">
        <v>299.57</v>
      </c>
      <c r="T71" s="18" t="n">
        <v>29654.27</v>
      </c>
      <c r="U71" s="37" t="n">
        <v>46217.96</v>
      </c>
      <c r="V71" s="18" t="n">
        <v>8333.200000000001</v>
      </c>
      <c r="W71" s="18" t="n">
        <v>22847.91</v>
      </c>
      <c r="X71" s="18" t="n">
        <v>8966.52</v>
      </c>
      <c r="Y71" s="18" t="n">
        <v>7493.25</v>
      </c>
      <c r="Z71" s="37" t="n">
        <v>47640.88</v>
      </c>
      <c r="AA71" s="18" t="n">
        <v>52067.97</v>
      </c>
      <c r="AB71" s="19" t="n">
        <v>15496.97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-7929.59</v>
      </c>
      <c r="F72" s="9" t="n"/>
      <c r="G72" s="18" t="n">
        <v>4659.75</v>
      </c>
      <c r="H72" s="18" t="n">
        <v>3848.54</v>
      </c>
      <c r="I72" s="18" t="n">
        <v>7275.32</v>
      </c>
      <c r="J72" s="18" t="n">
        <v>-5992.87</v>
      </c>
      <c r="K72" s="37" t="n">
        <v>9790.74</v>
      </c>
      <c r="L72" s="18" t="n">
        <v>1717.39</v>
      </c>
      <c r="M72" s="18" t="n">
        <v>8647.02</v>
      </c>
      <c r="N72" s="18" t="n">
        <v>7765.21</v>
      </c>
      <c r="O72" s="18" t="n">
        <v>-14212.73</v>
      </c>
      <c r="P72" s="37" t="n">
        <v>3916.89</v>
      </c>
      <c r="Q72" s="18" t="n">
        <v>6153.52</v>
      </c>
      <c r="R72" s="18" t="n">
        <v>17858.29</v>
      </c>
      <c r="S72" s="18" t="n">
        <v>12885.9</v>
      </c>
      <c r="T72" s="18" t="n">
        <v>-13106.58</v>
      </c>
      <c r="U72" s="37" t="n">
        <v>23791.13</v>
      </c>
      <c r="V72" s="18" t="n">
        <v>31316.56</v>
      </c>
      <c r="W72" s="18" t="n">
        <v>38649.09</v>
      </c>
      <c r="X72" s="18" t="n">
        <v>24849.49</v>
      </c>
      <c r="Y72" s="18" t="n">
        <v>34441.87</v>
      </c>
      <c r="Z72" s="37" t="n">
        <v>129257.01</v>
      </c>
      <c r="AA72" s="18" t="n">
        <v>23513.94</v>
      </c>
      <c r="AB72" s="19" t="n">
        <v>50589.35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4607.41</v>
      </c>
      <c r="F73" s="9" t="n"/>
      <c r="G73" s="18" t="n">
        <v>1015.08</v>
      </c>
      <c r="H73" s="18" t="n">
        <v>989.35</v>
      </c>
      <c r="I73" s="18" t="n">
        <v>2020.25</v>
      </c>
      <c r="J73" s="18" t="n">
        <v>3591.67</v>
      </c>
      <c r="K73" s="37" t="n">
        <v>7616.35</v>
      </c>
      <c r="L73" s="18" t="n">
        <v>964.3099999999999</v>
      </c>
      <c r="M73" s="18" t="n">
        <v>-552.64</v>
      </c>
      <c r="N73" s="18" t="n">
        <v>3253.08</v>
      </c>
      <c r="O73" s="18" t="n">
        <v>2144.01</v>
      </c>
      <c r="P73" s="37" t="n">
        <v>5808.76</v>
      </c>
      <c r="Q73" s="18" t="n">
        <v>1487.95</v>
      </c>
      <c r="R73" s="18" t="n">
        <v>6456.08</v>
      </c>
      <c r="S73" s="18" t="n">
        <v>-1629.87</v>
      </c>
      <c r="T73" s="18" t="n">
        <v>-414.36</v>
      </c>
      <c r="U73" s="37" t="n">
        <v>5899.8</v>
      </c>
      <c r="V73" s="18" t="n">
        <v>6894.5</v>
      </c>
      <c r="W73" s="18" t="n">
        <v>6818.45</v>
      </c>
      <c r="X73" s="18" t="n">
        <v>5614.42</v>
      </c>
      <c r="Y73" s="18" t="n">
        <v>10212.47</v>
      </c>
      <c r="Z73" s="37" t="n">
        <v>29539.84</v>
      </c>
      <c r="AA73" s="18" t="n">
        <v>5514.61</v>
      </c>
      <c r="AB73" s="19" t="n">
        <v>12050.61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-12537</v>
      </c>
      <c r="F74" s="9" t="n"/>
      <c r="G74" s="18" t="n">
        <v>3644.67</v>
      </c>
      <c r="H74" s="18" t="n">
        <v>2859.19</v>
      </c>
      <c r="I74" s="18" t="n">
        <v>5255.07</v>
      </c>
      <c r="J74" s="18" t="n">
        <v>-9584.540000000001</v>
      </c>
      <c r="K74" s="37" t="n">
        <v>2174.39</v>
      </c>
      <c r="L74" s="18" t="n">
        <v>753.08</v>
      </c>
      <c r="M74" s="18" t="n">
        <v>9199.65</v>
      </c>
      <c r="N74" s="18" t="n">
        <v>4512.13</v>
      </c>
      <c r="O74" s="18" t="n">
        <v>-16356.74</v>
      </c>
      <c r="P74" s="37" t="n">
        <v>-1891.88</v>
      </c>
      <c r="Q74" s="18" t="n">
        <v>4665.56</v>
      </c>
      <c r="R74" s="18" t="n">
        <v>11402.21</v>
      </c>
      <c r="S74" s="18" t="n">
        <v>14515.77</v>
      </c>
      <c r="T74" s="18" t="n">
        <v>-12692.22</v>
      </c>
      <c r="U74" s="37" t="n">
        <v>17891.32</v>
      </c>
      <c r="V74" s="18" t="n">
        <v>24422.06</v>
      </c>
      <c r="W74" s="18" t="n">
        <v>31830.64</v>
      </c>
      <c r="X74" s="18" t="n">
        <v>19235.07</v>
      </c>
      <c r="Y74" s="18" t="n">
        <v>24229.41</v>
      </c>
      <c r="Z74" s="37" t="n">
        <v>99717.17999999999</v>
      </c>
      <c r="AA74" s="18" t="n">
        <v>17999.33</v>
      </c>
      <c r="AB74" s="19" t="n">
        <v>38538.74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-11808.79</v>
      </c>
      <c r="F75" s="9" t="n"/>
      <c r="G75" s="18" t="n">
        <v>3397.74</v>
      </c>
      <c r="H75" s="18" t="n">
        <v>3595.28</v>
      </c>
      <c r="I75" s="18" t="n">
        <v>5093.96</v>
      </c>
      <c r="J75" s="18" t="n">
        <v>-9042.59</v>
      </c>
      <c r="K75" s="37" t="n">
        <v>3044.39</v>
      </c>
      <c r="L75" s="18" t="n">
        <v>930.39</v>
      </c>
      <c r="M75" s="18" t="n">
        <v>9276.49</v>
      </c>
      <c r="N75" s="18" t="n">
        <v>4639.2</v>
      </c>
      <c r="O75" s="18" t="n">
        <v>-18008.61</v>
      </c>
      <c r="P75" s="37" t="n">
        <v>-3162.53</v>
      </c>
      <c r="Q75" s="18" t="n">
        <v>4052.07</v>
      </c>
      <c r="R75" s="18" t="n">
        <v>11923.77</v>
      </c>
      <c r="S75" s="18" t="n">
        <v>14471.76</v>
      </c>
      <c r="T75" s="18" t="n">
        <v>-10970.17</v>
      </c>
      <c r="U75" s="37" t="n">
        <v>19477.43</v>
      </c>
      <c r="V75" s="18" t="n">
        <v>24818.29</v>
      </c>
      <c r="W75" s="18" t="n">
        <v>24547.1</v>
      </c>
      <c r="X75" s="18" t="n">
        <v>15791.42</v>
      </c>
      <c r="Y75" s="18" t="n">
        <v>30033.65</v>
      </c>
      <c r="Z75" s="37" t="n">
        <v>95190.46000000001</v>
      </c>
      <c r="AA75" s="18" t="n">
        <v>16499.42</v>
      </c>
      <c r="AB75" s="19" t="n">
        <v>37509.92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-1112.67</v>
      </c>
      <c r="F76" s="9" t="n"/>
      <c r="G76" s="18" t="n">
        <v>1128.03</v>
      </c>
      <c r="H76" s="18" t="n">
        <v>922.87</v>
      </c>
      <c r="I76" s="18" t="n">
        <v>-6902.31</v>
      </c>
      <c r="J76" s="18" t="n">
        <v>-6208.74</v>
      </c>
      <c r="K76" s="37" t="n">
        <v>-11060.15</v>
      </c>
      <c r="L76" s="18" t="n">
        <v>-2293.64</v>
      </c>
      <c r="M76" s="18" t="n">
        <v>5169.12</v>
      </c>
      <c r="N76" s="18" t="n">
        <v>-7395.59</v>
      </c>
      <c r="O76" s="18" t="n">
        <v>-6993.16</v>
      </c>
      <c r="P76" s="37" t="n">
        <v>-11513.27</v>
      </c>
      <c r="Q76" s="18" t="n">
        <v>-1802.46</v>
      </c>
      <c r="R76" s="18" t="n">
        <v>-2037.97</v>
      </c>
      <c r="S76" s="18" t="n">
        <v>3837.83</v>
      </c>
      <c r="T76" s="18" t="n">
        <v>-19399.81</v>
      </c>
      <c r="U76" s="37" t="n">
        <v>-19402.41</v>
      </c>
      <c r="V76" s="18" t="n">
        <v>-666.25</v>
      </c>
      <c r="W76" s="18" t="n">
        <v>4431.25</v>
      </c>
      <c r="X76" s="18" t="n">
        <v>-8200.5</v>
      </c>
      <c r="Y76" s="18" t="n">
        <v>496.31</v>
      </c>
      <c r="Z76" s="37" t="n">
        <v>-3939.19</v>
      </c>
      <c r="AA76" s="18" t="n">
        <v>-18319.74</v>
      </c>
      <c r="AB76" s="19" t="n">
        <v>-2749.92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-10338.63</v>
      </c>
      <c r="F77" s="9" t="n"/>
      <c r="G77" s="18" t="n">
        <v>53.23</v>
      </c>
      <c r="H77" s="18" t="n">
        <v>56.17</v>
      </c>
      <c r="I77" s="18" t="n">
        <v>92.45</v>
      </c>
      <c r="J77" s="18" t="n">
        <v>-8070</v>
      </c>
      <c r="K77" s="37" t="n">
        <v>-7868.15</v>
      </c>
      <c r="L77" s="18" t="n">
        <v>54.61</v>
      </c>
      <c r="M77" s="18" t="n">
        <v>-6552.19</v>
      </c>
      <c r="N77" s="18" t="n">
        <v>8703.48</v>
      </c>
      <c r="O77" s="18" t="n">
        <v>-11897.88</v>
      </c>
      <c r="P77" s="37" t="n">
        <v>-9691.98</v>
      </c>
      <c r="Q77" s="18" t="n">
        <v>436.08</v>
      </c>
      <c r="R77" s="18" t="n">
        <v>692.0700000000001</v>
      </c>
      <c r="S77" s="18" t="n">
        <v>215.45</v>
      </c>
      <c r="T77" s="18" t="n">
        <v>-13000.38</v>
      </c>
      <c r="U77" s="37" t="n">
        <v>-11656.78</v>
      </c>
      <c r="V77" s="18" t="n">
        <v>-1266.48</v>
      </c>
      <c r="W77" s="18" t="n">
        <v>793.86</v>
      </c>
      <c r="X77" s="18" t="n">
        <v>243.66</v>
      </c>
      <c r="Y77" s="18" t="n">
        <v>-4786.94</v>
      </c>
      <c r="Z77" s="37" t="n">
        <v>-5015.9</v>
      </c>
      <c r="AA77" s="18" t="n">
        <v>260.82</v>
      </c>
      <c r="AB77" s="19" t="n">
        <v>1828.43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-12537</v>
      </c>
      <c r="F78" s="9" t="n"/>
      <c r="G78" s="18" t="n">
        <v>3644.67</v>
      </c>
      <c r="H78" s="18" t="n">
        <v>2859.19</v>
      </c>
      <c r="I78" s="18" t="n">
        <v>5255.07</v>
      </c>
      <c r="J78" s="18" t="n">
        <v>-9584.540000000001</v>
      </c>
      <c r="K78" s="37" t="n">
        <v>2174.39</v>
      </c>
      <c r="L78" s="18" t="n">
        <v>753.08</v>
      </c>
      <c r="M78" s="18" t="n">
        <v>9199.65</v>
      </c>
      <c r="N78" s="18" t="n">
        <v>4512.13</v>
      </c>
      <c r="O78" s="18" t="n">
        <v>-16356.74</v>
      </c>
      <c r="P78" s="37" t="n">
        <v>-1891.88</v>
      </c>
      <c r="Q78" s="18" t="n">
        <v>4665.56</v>
      </c>
      <c r="R78" s="18" t="n">
        <v>11402.21</v>
      </c>
      <c r="S78" s="18" t="n">
        <v>14515.77</v>
      </c>
      <c r="T78" s="18" t="n">
        <v>-12692.22</v>
      </c>
      <c r="U78" s="37" t="n">
        <v>17891.32</v>
      </c>
      <c r="V78" s="18" t="n">
        <v>24422.06</v>
      </c>
      <c r="W78" s="18" t="n">
        <v>31830.64</v>
      </c>
      <c r="X78" s="18" t="n">
        <v>19235.07</v>
      </c>
      <c r="Y78" s="18" t="n">
        <v>24229.41</v>
      </c>
      <c r="Z78" s="37" t="n">
        <v>99717.17999999999</v>
      </c>
      <c r="AA78" s="18" t="n">
        <v>17999.33</v>
      </c>
      <c r="AB78" s="19" t="n">
        <v>38538.74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-12537</v>
      </c>
      <c r="F79" s="9" t="n"/>
      <c r="G79" s="18" t="n">
        <v>3644.67</v>
      </c>
      <c r="H79" s="18" t="n">
        <v>2859.19</v>
      </c>
      <c r="I79" s="18" t="n">
        <v>5255.07</v>
      </c>
      <c r="J79" s="18" t="n">
        <v>-9584.540000000001</v>
      </c>
      <c r="K79" s="37" t="n">
        <v>2174.39</v>
      </c>
      <c r="L79" s="18" t="n">
        <v>753.08</v>
      </c>
      <c r="M79" s="18" t="n">
        <v>9199.65</v>
      </c>
      <c r="N79" s="18" t="n">
        <v>4512.13</v>
      </c>
      <c r="O79" s="18" t="n">
        <v>-16356.74</v>
      </c>
      <c r="P79" s="37" t="n">
        <v>-1891.88</v>
      </c>
      <c r="Q79" s="18" t="n">
        <v>4665.56</v>
      </c>
      <c r="R79" s="18" t="n">
        <v>11402.21</v>
      </c>
      <c r="S79" s="18" t="n">
        <v>14515.77</v>
      </c>
      <c r="T79" s="18" t="n">
        <v>-12692.22</v>
      </c>
      <c r="U79" s="37" t="n">
        <v>17891.32</v>
      </c>
      <c r="V79" s="18" t="n">
        <v>24422.06</v>
      </c>
      <c r="W79" s="18" t="n">
        <v>31830.64</v>
      </c>
      <c r="X79" s="18" t="n">
        <v>19235.07</v>
      </c>
      <c r="Y79" s="18" t="n">
        <v>24229.41</v>
      </c>
      <c r="Z79" s="37" t="n">
        <v>99717.17999999999</v>
      </c>
      <c r="AA79" s="18" t="n">
        <v>17999.33</v>
      </c>
      <c r="AB79" s="19" t="n">
        <v>38538.74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-28.67</v>
      </c>
      <c r="F80" s="9" t="n"/>
      <c r="G80" s="18" t="n">
        <v>-2742.04</v>
      </c>
      <c r="H80" s="18" t="n">
        <v>-26761.43</v>
      </c>
      <c r="I80" s="18" t="n">
        <v>206.55</v>
      </c>
      <c r="J80" s="18" t="n">
        <v>31140.97</v>
      </c>
      <c r="K80" s="37" t="n">
        <v>1844.05</v>
      </c>
      <c r="L80" s="18" t="n">
        <v>-25019.58</v>
      </c>
      <c r="M80" s="18" t="n">
        <v>1484.93</v>
      </c>
      <c r="N80" s="18" t="n">
        <v>36321.2</v>
      </c>
      <c r="O80" s="18" t="n">
        <v>44776.24</v>
      </c>
      <c r="P80" s="37" t="n">
        <v>57562.79</v>
      </c>
      <c r="Q80" s="18" t="n">
        <v>14194.39</v>
      </c>
      <c r="R80" s="18" t="n">
        <v>73918.71000000001</v>
      </c>
      <c r="S80" s="18" t="n">
        <v>40038.14</v>
      </c>
      <c r="T80" s="18" t="n">
        <v>26311.53</v>
      </c>
      <c r="U80" s="37" t="n">
        <v>154462.77</v>
      </c>
      <c r="V80" s="18" t="n">
        <v>70896.35000000001</v>
      </c>
      <c r="W80" s="18" t="n">
        <v>28068.7</v>
      </c>
      <c r="X80" s="18" t="n">
        <v>3413.77</v>
      </c>
      <c r="Y80" s="18" t="n">
        <v>33105.22</v>
      </c>
      <c r="Z80" s="37" t="n">
        <v>135484.04</v>
      </c>
      <c r="AA80" s="18" t="n">
        <v>29360.66</v>
      </c>
      <c r="AB80" s="19" t="n">
        <v>39750.85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-59.39</v>
      </c>
      <c r="F81" s="9" t="n"/>
      <c r="G81" s="18" t="n">
        <v>-2697.17</v>
      </c>
      <c r="H81" s="18" t="n">
        <v>-3848.69</v>
      </c>
      <c r="I81" s="18" t="n">
        <v>-2566.11</v>
      </c>
      <c r="J81" s="18" t="n">
        <v>-5170.62</v>
      </c>
      <c r="K81" s="37" t="n">
        <v>-14282.59</v>
      </c>
      <c r="L81" s="18" t="n">
        <v>-2809.08</v>
      </c>
      <c r="M81" s="18" t="n">
        <v>-960.79</v>
      </c>
      <c r="N81" s="18" t="n">
        <v>-1739.55</v>
      </c>
      <c r="O81" s="18" t="n">
        <v>-4141.35</v>
      </c>
      <c r="P81" s="37" t="n">
        <v>-9650.77</v>
      </c>
      <c r="Q81" s="18" t="n">
        <v>-780.38</v>
      </c>
      <c r="R81" s="18" t="n">
        <v>2104.96</v>
      </c>
      <c r="S81" s="18" t="n">
        <v>-923.51</v>
      </c>
      <c r="T81" s="18" t="n">
        <v>-1543.92</v>
      </c>
      <c r="U81" s="37" t="n">
        <v>-1142.85</v>
      </c>
      <c r="V81" s="18" t="n">
        <v>-4705.08</v>
      </c>
      <c r="W81" s="18" t="n">
        <v>-4203.59</v>
      </c>
      <c r="X81" s="18" t="n">
        <v>-5831.03</v>
      </c>
      <c r="Y81" s="18" t="n">
        <v>-319.88</v>
      </c>
      <c r="Z81" s="37" t="n">
        <v>-15059.58</v>
      </c>
      <c r="AA81" s="18" t="n">
        <v>-13851.66</v>
      </c>
      <c r="AB81" s="19" t="n">
        <v>-17219.29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260.85</v>
      </c>
      <c r="F82" s="9" t="n"/>
      <c r="G82" s="18" t="n">
        <v>80.48999999999999</v>
      </c>
      <c r="H82" s="18" t="n">
        <v>644.6799999999999</v>
      </c>
      <c r="I82" s="18" t="n">
        <v>90.19</v>
      </c>
      <c r="J82" s="18" t="n">
        <v>146.97</v>
      </c>
      <c r="K82" s="37" t="n">
        <v>962.33</v>
      </c>
      <c r="L82" s="18" t="n">
        <v>304.32</v>
      </c>
      <c r="M82" s="18" t="n">
        <v>140.14</v>
      </c>
      <c r="N82" s="18" t="n">
        <v>720.71</v>
      </c>
      <c r="O82" s="18" t="n">
        <v>12.9</v>
      </c>
      <c r="P82" s="37" t="n">
        <v>1178.07</v>
      </c>
      <c r="Q82" s="18" t="n">
        <v>55.84</v>
      </c>
      <c r="R82" s="18" t="n">
        <v>11.81</v>
      </c>
      <c r="S82" s="18" t="n">
        <v>172.86</v>
      </c>
      <c r="T82" s="18" t="n">
        <v>35.01</v>
      </c>
      <c r="U82" s="37" t="n">
        <v>275.52</v>
      </c>
      <c r="V82" s="18" t="n">
        <v>28.03</v>
      </c>
      <c r="W82" s="18" t="n">
        <v>112.36</v>
      </c>
      <c r="X82" s="18" t="n">
        <v>242.96</v>
      </c>
      <c r="Y82" s="18" t="n">
        <v>176.95</v>
      </c>
      <c r="Z82" s="37" t="n">
        <v>560.3</v>
      </c>
      <c r="AA82" s="18" t="n">
        <v>925.54</v>
      </c>
      <c r="AB82" s="19" t="n">
        <v>105.44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-2645.38</v>
      </c>
      <c r="F83" s="9" t="n"/>
      <c r="G83" s="18" t="n">
        <v>9141.129999999999</v>
      </c>
      <c r="H83" s="18" t="n">
        <v>-11629.29</v>
      </c>
      <c r="I83" s="18" t="n">
        <v>-5379.92</v>
      </c>
      <c r="J83" s="18" t="n">
        <v>-19645.68</v>
      </c>
      <c r="K83" s="37" t="n">
        <v>-27513.76</v>
      </c>
      <c r="L83" s="18" t="n">
        <v>-9377.639999999999</v>
      </c>
      <c r="M83" s="18" t="n">
        <v>-25641.57</v>
      </c>
      <c r="N83" s="18" t="n">
        <v>-1519.39</v>
      </c>
      <c r="O83" s="18" t="n">
        <v>-23322.07</v>
      </c>
      <c r="P83" s="37" t="n">
        <v>-59860.67</v>
      </c>
      <c r="Q83" s="18" t="n">
        <v>-18279.05</v>
      </c>
      <c r="R83" s="18" t="n">
        <v>-19022.39</v>
      </c>
      <c r="S83" s="18" t="n">
        <v>-27876.48</v>
      </c>
      <c r="T83" s="18" t="n">
        <v>-18090.55</v>
      </c>
      <c r="U83" s="37" t="n">
        <v>-83268.47</v>
      </c>
      <c r="V83" s="18" t="n">
        <v>-12199.42</v>
      </c>
      <c r="W83" s="18" t="n">
        <v>-63264.34</v>
      </c>
      <c r="X83" s="18" t="n">
        <v>-2784.3</v>
      </c>
      <c r="Y83" s="18" t="n">
        <v>-117355.25</v>
      </c>
      <c r="Z83" s="37" t="n">
        <v>-195603.31</v>
      </c>
      <c r="AA83" s="18" t="n">
        <v>-21598.17</v>
      </c>
      <c r="AB83" s="19" t="n">
        <v>-48839.39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0.04</v>
      </c>
      <c r="F84" s="9" t="n"/>
      <c r="G84" s="18" t="n">
        <v>1.64</v>
      </c>
      <c r="H84" s="18" t="n">
        <v>11.22</v>
      </c>
      <c r="I84" s="18" t="n">
        <v>0.02</v>
      </c>
      <c r="J84" s="18" t="n">
        <v>5.57</v>
      </c>
      <c r="K84" s="37" t="n">
        <v>18.45</v>
      </c>
      <c r="L84" s="18" t="n">
        <v>1.98</v>
      </c>
      <c r="M84" s="18" t="n">
        <v>0</v>
      </c>
      <c r="N84" s="18" t="n">
        <v>82.59999999999999</v>
      </c>
      <c r="O84" s="18" t="n">
        <v>105.98</v>
      </c>
      <c r="P84" s="37" t="n">
        <v>190.56</v>
      </c>
      <c r="S84" s="18" t="n">
        <v>509.66</v>
      </c>
      <c r="T84" s="18" t="n">
        <v>5702.17</v>
      </c>
      <c r="U84" s="9" t="n"/>
      <c r="V84" s="18" t="n">
        <v>253.83</v>
      </c>
      <c r="W84" s="18" t="n">
        <v>22.77</v>
      </c>
      <c r="X84" s="18" t="n">
        <v>4.96</v>
      </c>
      <c r="Y84" s="18" t="n">
        <v>110.13</v>
      </c>
      <c r="Z84" s="37" t="n">
        <v>391.69</v>
      </c>
      <c r="AA84" s="18" t="n">
        <v>644.02</v>
      </c>
      <c r="AB84" s="19" t="n">
        <v>12.46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0.04</v>
      </c>
      <c r="F85" s="9" t="n"/>
      <c r="G85" s="18" t="n">
        <v>1.64</v>
      </c>
      <c r="H85" s="18" t="n">
        <v>11.22</v>
      </c>
      <c r="I85" s="18" t="n">
        <v>0.02</v>
      </c>
      <c r="J85" s="18" t="n">
        <v>5.57</v>
      </c>
      <c r="K85" s="37" t="n">
        <v>18.45</v>
      </c>
      <c r="L85" s="18" t="n">
        <v>1.98</v>
      </c>
      <c r="M85" s="18" t="n">
        <v>0</v>
      </c>
      <c r="N85" s="18" t="n">
        <v>82.59999999999999</v>
      </c>
      <c r="O85" s="18" t="n">
        <v>105.98</v>
      </c>
      <c r="P85" s="37" t="n">
        <v>190.56</v>
      </c>
      <c r="S85" s="18" t="n">
        <v>509.66</v>
      </c>
      <c r="T85" s="18" t="n">
        <v>5702.17</v>
      </c>
      <c r="U85" s="9" t="n"/>
      <c r="V85" s="18" t="n">
        <v>253.83</v>
      </c>
      <c r="W85" s="18" t="n">
        <v>22.77</v>
      </c>
      <c r="X85" s="18" t="n">
        <v>4.96</v>
      </c>
      <c r="Y85" s="18" t="n">
        <v>110.13</v>
      </c>
      <c r="Z85" s="37" t="n">
        <v>391.69</v>
      </c>
      <c r="AA85" s="18" t="n">
        <v>644.02</v>
      </c>
      <c r="AB85" s="19" t="n">
        <v>12.46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-742.5599999999999</v>
      </c>
      <c r="F86" s="9" t="n"/>
      <c r="G86" s="18" t="n">
        <v>2105.14</v>
      </c>
      <c r="H86" s="18" t="n">
        <v>-6459.96</v>
      </c>
      <c r="I86" s="18" t="n">
        <v>23694.5</v>
      </c>
      <c r="J86" s="18" t="n">
        <v>9586.309999999999</v>
      </c>
      <c r="K86" s="37" t="n">
        <v>28925.99</v>
      </c>
      <c r="L86" s="18" t="n">
        <v>10659.7</v>
      </c>
      <c r="M86" s="18" t="n">
        <v>13377.61</v>
      </c>
      <c r="N86" s="18" t="n">
        <v>-9611.01</v>
      </c>
      <c r="O86" s="18" t="n">
        <v>-2632.42</v>
      </c>
      <c r="P86" s="37" t="n">
        <v>11793.88</v>
      </c>
      <c r="Q86" s="18" t="n">
        <v>-23559.69</v>
      </c>
      <c r="R86" s="18" t="n">
        <v>-13061.94</v>
      </c>
      <c r="S86" s="18" t="n">
        <v>-13393.9</v>
      </c>
      <c r="T86" s="18" t="n">
        <v>-31405.47</v>
      </c>
      <c r="U86" s="37" t="n">
        <v>-81421</v>
      </c>
      <c r="V86" s="18" t="n">
        <v>-8165.84</v>
      </c>
      <c r="W86" s="18" t="n">
        <v>19673.77</v>
      </c>
      <c r="X86" s="18" t="n">
        <v>-1446.24</v>
      </c>
      <c r="Y86" s="18" t="n">
        <v>47116.11</v>
      </c>
      <c r="Z86" s="37" t="n">
        <v>57177.8</v>
      </c>
      <c r="AA86" s="18" t="n">
        <v>12151.61</v>
      </c>
      <c r="AB86" s="19" t="n">
        <v>13765.2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장기차입금의증가</t>
        </is>
      </c>
      <c r="E87" s="18" t="n">
        <v>0</v>
      </c>
      <c r="F87" s="9" t="n"/>
      <c r="G87" s="18" t="n">
        <v>6105.91</v>
      </c>
      <c r="H87" s="18" t="n">
        <v>0</v>
      </c>
      <c r="I87" s="18" t="n">
        <v>8205.91</v>
      </c>
      <c r="J87" s="18" t="n">
        <v>214</v>
      </c>
      <c r="K87" s="37" t="n">
        <v>14525.82</v>
      </c>
      <c r="L87" s="18" t="n">
        <v>105.91</v>
      </c>
      <c r="M87" s="18" t="n">
        <v>2700</v>
      </c>
      <c r="N87" s="18" t="n">
        <v>4800</v>
      </c>
      <c r="O87" s="18" t="n">
        <v>0</v>
      </c>
      <c r="P87" s="37" t="n">
        <v>7605.91</v>
      </c>
      <c r="Q87" s="18" t="n">
        <v>4500</v>
      </c>
      <c r="R87" s="18" t="n">
        <v>0</v>
      </c>
      <c r="S87" s="18" t="n">
        <v>222</v>
      </c>
      <c r="T87" s="18" t="n">
        <v>892</v>
      </c>
      <c r="U87" s="37" t="n">
        <v>5614</v>
      </c>
      <c r="V87" s="18" t="n">
        <v>0</v>
      </c>
      <c r="W87" s="18" t="n">
        <v>5000</v>
      </c>
      <c r="X87" s="18" t="n">
        <v>0</v>
      </c>
      <c r="Y87" s="18" t="n">
        <v>0</v>
      </c>
      <c r="Z87" s="37" t="n">
        <v>5000</v>
      </c>
      <c r="AA87" s="18" t="n">
        <v>0</v>
      </c>
      <c r="AB87" s="19" t="n">
        <v>12500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130.58</v>
      </c>
      <c r="F88" s="9" t="n"/>
      <c r="G88" s="18" t="n">
        <v>236.63</v>
      </c>
      <c r="H88" s="18" t="n">
        <v>242.15</v>
      </c>
      <c r="I88" s="18" t="n">
        <v>243.67</v>
      </c>
      <c r="J88" s="18" t="n">
        <v>366.81</v>
      </c>
      <c r="K88" s="37" t="n">
        <v>1089.26</v>
      </c>
      <c r="L88" s="18" t="n">
        <v>431.86</v>
      </c>
      <c r="M88" s="18" t="n">
        <v>451.62</v>
      </c>
      <c r="N88" s="18" t="n">
        <v>466.88</v>
      </c>
      <c r="O88" s="18" t="n">
        <v>502.86</v>
      </c>
      <c r="P88" s="37" t="n">
        <v>1853.22</v>
      </c>
      <c r="Q88" s="18" t="n">
        <v>496.57</v>
      </c>
      <c r="R88" s="18" t="n">
        <v>512.92</v>
      </c>
      <c r="S88" s="18" t="n">
        <v>482.52</v>
      </c>
      <c r="T88" s="18" t="n">
        <v>523.87</v>
      </c>
      <c r="U88" s="37" t="n">
        <v>2015.88</v>
      </c>
      <c r="V88" s="18" t="n">
        <v>540.58</v>
      </c>
      <c r="W88" s="18" t="n">
        <v>522.13</v>
      </c>
      <c r="X88" s="18" t="n">
        <v>661.4400000000001</v>
      </c>
      <c r="Y88" s="18" t="n">
        <v>1053.34</v>
      </c>
      <c r="Z88" s="37" t="n">
        <v>2777.49</v>
      </c>
      <c r="AA88" s="18" t="n">
        <v>669.64</v>
      </c>
      <c r="AB88" s="19" t="n">
        <v>1220.32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A89" s="18" t="n">
        <v>0</v>
      </c>
      <c r="AB89" s="19" t="n">
        <v>16117.68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-22131.37</v>
      </c>
      <c r="F90" s="9" t="n"/>
      <c r="G90" s="18" t="n">
        <v>17093.59</v>
      </c>
      <c r="H90" s="18" t="n">
        <v>-89781.16</v>
      </c>
      <c r="I90" s="18" t="n">
        <v>37781.73</v>
      </c>
      <c r="J90" s="18" t="n">
        <v>40223.67</v>
      </c>
      <c r="K90" s="37" t="n">
        <v>5317.83</v>
      </c>
      <c r="L90" s="18" t="n">
        <v>-23769.54</v>
      </c>
      <c r="M90" s="18" t="n">
        <v>-10670.83</v>
      </c>
      <c r="N90" s="18" t="n">
        <v>31144.49</v>
      </c>
      <c r="O90" s="18" t="n">
        <v>18090.02</v>
      </c>
      <c r="P90" s="37" t="n">
        <v>14794.14</v>
      </c>
      <c r="Q90" s="18" t="n">
        <v>-27286.6</v>
      </c>
      <c r="R90" s="18" t="n">
        <v>42094.7</v>
      </c>
      <c r="S90" s="18" t="n">
        <v>-2172.44</v>
      </c>
      <c r="T90" s="18" t="n">
        <v>-22555.92</v>
      </c>
      <c r="U90" s="37" t="n">
        <v>-9920.26</v>
      </c>
      <c r="V90" s="18" t="n">
        <v>50875.56</v>
      </c>
      <c r="W90" s="18" t="n">
        <v>-15943.37</v>
      </c>
      <c r="X90" s="18" t="n">
        <v>-361.2</v>
      </c>
      <c r="Y90" s="18" t="n">
        <v>-37775.08</v>
      </c>
      <c r="Z90" s="37" t="n">
        <v>-3204.09</v>
      </c>
      <c r="AA90" s="18" t="n">
        <v>20230.18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-3916.18</v>
      </c>
      <c r="F91" s="9" t="n"/>
      <c r="G91" s="18" t="n">
        <v>54670.01</v>
      </c>
      <c r="H91" s="18" t="n">
        <v>-41427.23</v>
      </c>
      <c r="I91" s="18" t="n">
        <v>15757.35</v>
      </c>
      <c r="J91" s="18" t="n">
        <v>19142.06</v>
      </c>
      <c r="K91" s="37" t="n">
        <v>48142.19</v>
      </c>
      <c r="L91" s="18" t="n">
        <v>24372.65</v>
      </c>
      <c r="M91" s="18" t="n">
        <v>-10670.83</v>
      </c>
      <c r="N91" s="18" t="n">
        <v>31144.49</v>
      </c>
      <c r="O91" s="18" t="n">
        <v>18090.02</v>
      </c>
      <c r="P91" s="37" t="n">
        <v>62936.33</v>
      </c>
      <c r="Q91" s="18" t="n">
        <v>35649.73</v>
      </c>
      <c r="R91" s="18" t="n">
        <v>42094.7</v>
      </c>
      <c r="S91" s="18" t="n">
        <v>-2172.44</v>
      </c>
      <c r="T91" s="18" t="n">
        <v>-22555.92</v>
      </c>
      <c r="U91" s="37" t="n">
        <v>53016.07</v>
      </c>
      <c r="V91" s="18" t="n">
        <v>103891.63</v>
      </c>
      <c r="W91" s="18" t="n">
        <v>-15943.36</v>
      </c>
      <c r="X91" s="18" t="n">
        <v>-361.21</v>
      </c>
      <c r="Y91" s="18" t="n">
        <v>-37775.08</v>
      </c>
      <c r="Z91" s="37" t="n">
        <v>49811.98</v>
      </c>
      <c r="AA91" s="18" t="n">
        <v>70042.16</v>
      </c>
      <c r="AB91" s="19" t="n">
        <v>4697.66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F92" s="9" t="n"/>
      <c r="G92" s="18" t="n">
        <v>3764.15</v>
      </c>
      <c r="H92" s="18" t="n">
        <v>3764.15</v>
      </c>
      <c r="I92" s="18" t="n">
        <v>3764.15</v>
      </c>
      <c r="K92" s="9" t="n"/>
      <c r="L92" s="18" t="n">
        <v>37000</v>
      </c>
      <c r="M92" s="18" t="n">
        <v>5000</v>
      </c>
      <c r="N92" s="18" t="n">
        <v>25000</v>
      </c>
      <c r="O92" s="18" t="n">
        <v>8305.49</v>
      </c>
      <c r="P92" s="37" t="n">
        <v>75305.49000000001</v>
      </c>
      <c r="Q92" s="18" t="n">
        <v>26463.17</v>
      </c>
      <c r="R92" s="18" t="n">
        <v>5634.17</v>
      </c>
      <c r="S92" s="18" t="n">
        <v>31519.58</v>
      </c>
      <c r="T92" s="18" t="n">
        <v>47413.8</v>
      </c>
      <c r="U92" s="37" t="n">
        <v>111030.72</v>
      </c>
      <c r="V92" s="18" t="n">
        <v>2340.95</v>
      </c>
      <c r="W92" s="18" t="n">
        <v>17500</v>
      </c>
      <c r="X92" s="18" t="n">
        <v>0</v>
      </c>
      <c r="Y92" s="18" t="n">
        <v>0</v>
      </c>
      <c r="Z92" s="37" t="n">
        <v>19840.95</v>
      </c>
      <c r="AA92" s="18" t="n">
        <v>11000</v>
      </c>
      <c r="AB92" s="19" t="n">
        <v>35000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F93" s="9" t="n"/>
      <c r="I93" s="18" t="n">
        <v>23000</v>
      </c>
      <c r="J93" s="18" t="n">
        <v>14000</v>
      </c>
      <c r="K93" s="9" t="n"/>
      <c r="L93" s="18" t="n">
        <v>48000</v>
      </c>
      <c r="M93" s="18" t="n">
        <v>22105.91</v>
      </c>
      <c r="N93" s="18" t="n">
        <v>27000</v>
      </c>
      <c r="O93" s="18" t="n">
        <v>7000</v>
      </c>
      <c r="P93" s="37" t="n">
        <v>104105.91</v>
      </c>
      <c r="T93" s="18" t="n">
        <v>17500</v>
      </c>
      <c r="U93" s="9" t="n"/>
      <c r="V93" s="18" t="n">
        <v>0</v>
      </c>
      <c r="Y93" s="18" t="n">
        <v>65000</v>
      </c>
      <c r="Z93" s="9" t="n"/>
      <c r="AA93" s="18" t="n">
        <v>25000</v>
      </c>
      <c r="AB93" s="19" t="n">
        <v>58000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F94" s="9" t="n"/>
      <c r="K94" s="9" t="n"/>
      <c r="L94" s="18" t="n">
        <v>14.15</v>
      </c>
      <c r="M94" s="18" t="n">
        <v>42.45</v>
      </c>
      <c r="N94" s="18" t="n">
        <v>15.75</v>
      </c>
      <c r="O94" s="18" t="n">
        <v>370.4</v>
      </c>
      <c r="P94" s="37" t="n">
        <v>442.75</v>
      </c>
      <c r="Q94" s="18" t="n">
        <v>899.96</v>
      </c>
      <c r="R94" s="18" t="n">
        <v>1245.4</v>
      </c>
      <c r="S94" s="18" t="n">
        <v>11239.3</v>
      </c>
      <c r="T94" s="18" t="n">
        <v>2214.3</v>
      </c>
      <c r="U94" s="37" t="n">
        <v>15598.96</v>
      </c>
      <c r="V94" s="18" t="n">
        <v>3284.3</v>
      </c>
      <c r="W94" s="18" t="n">
        <v>784.3</v>
      </c>
      <c r="X94" s="18" t="n">
        <v>784.3</v>
      </c>
      <c r="Y94" s="18" t="n">
        <v>3753.05</v>
      </c>
      <c r="Z94" s="37" t="n">
        <v>8605.950000000001</v>
      </c>
      <c r="AA94" s="18" t="n">
        <v>978.05</v>
      </c>
      <c r="AB94" s="19" t="n">
        <v>2609.3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F95" s="9" t="n"/>
      <c r="K95" s="9" t="n"/>
      <c r="N95" s="18" t="n">
        <v>0</v>
      </c>
      <c r="O95" s="18" t="n">
        <v>635.2</v>
      </c>
      <c r="P95" s="9" t="n"/>
      <c r="S95" s="18" t="n">
        <v>375</v>
      </c>
      <c r="T95" s="18" t="n">
        <v>0</v>
      </c>
      <c r="U95" s="9" t="n"/>
      <c r="V95" s="18" t="n">
        <v>2000</v>
      </c>
      <c r="W95" s="18" t="n">
        <v>0</v>
      </c>
      <c r="X95" s="18" t="n">
        <v>0</v>
      </c>
      <c r="Y95" s="18" t="n">
        <v>3075</v>
      </c>
      <c r="Z95" s="37" t="n">
        <v>5075</v>
      </c>
      <c r="AA95" s="18" t="n">
        <v>0</v>
      </c>
      <c r="AB95" s="19" t="n">
        <v>1687.5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1038.35</v>
      </c>
      <c r="P96" s="9" t="n"/>
      <c r="Q96" s="18" t="n">
        <v>882.5700000000001</v>
      </c>
      <c r="R96" s="18" t="n">
        <v>1044.73</v>
      </c>
      <c r="S96" s="18" t="n">
        <v>1035.22</v>
      </c>
      <c r="T96" s="18" t="n">
        <v>986</v>
      </c>
      <c r="U96" s="37" t="n">
        <v>3948.52</v>
      </c>
      <c r="V96" s="18" t="n">
        <v>946.98</v>
      </c>
      <c r="W96" s="18" t="n">
        <v>1140.38</v>
      </c>
      <c r="X96" s="18" t="n">
        <v>873.63</v>
      </c>
      <c r="Y96" s="18" t="n">
        <v>1012.35</v>
      </c>
      <c r="Z96" s="37" t="n">
        <v>3973.34</v>
      </c>
      <c r="AA96" s="18" t="n">
        <v>560.3099999999999</v>
      </c>
      <c r="AB96" s="19" t="n">
        <v>854.41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F97" s="9" t="n"/>
      <c r="K97" s="9" t="n"/>
      <c r="P97" s="9" t="n"/>
      <c r="U97" s="9" t="n"/>
      <c r="X97" s="18" t="n">
        <v>0</v>
      </c>
      <c r="Y97" s="18" t="n">
        <v>0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F98" s="9" t="n"/>
      <c r="K98" s="9" t="n"/>
      <c r="P98" s="9" t="n"/>
      <c r="U98" s="9" t="n"/>
      <c r="Z98" s="9" t="n"/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K99" s="9" t="n"/>
      <c r="P99" s="9" t="n"/>
      <c r="U99" s="9" t="n"/>
      <c r="Z99" s="9" t="n"/>
      <c r="AA99" s="18" t="n">
        <v>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 t="n"/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 t="n"/>
      <c r="R22" s="18">
        <f>IFERROR(VLOOKUP($D22,BS연결,MATCH(R$1,BS연결H,0),0)/100,"")</f>
        <v/>
      </c>
      <c r="S22" s="18" t="n"/>
      <c r="T22" s="18">
        <f>IFERROR(VLOOKUP($D22,BS연결,MATCH(T$1,BS연결H,0),0)/100,"")</f>
        <v/>
      </c>
      <c r="U22" s="37">
        <f>SUM(Q22:T22)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 t="n"/>
      <c r="R31" s="18" t="n"/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SUM(Q31:T31)</f>
        <v/>
      </c>
      <c r="V31" s="18" t="n"/>
      <c r="W31" s="18" t="n"/>
      <c r="X31" s="18">
        <f>IFERROR(VLOOKUP($D31,BS연결,MATCH(X$1,BS연결H,0),0)/100,"")</f>
        <v/>
      </c>
      <c r="Y31" s="18" t="n"/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IFERROR(AC31*(1+변수!AD39),"")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43.022</v>
      </c>
      <c r="F33" s="28">
        <f>E33</f>
        <v/>
      </c>
      <c r="G33" s="27" t="n">
        <v>43.022</v>
      </c>
      <c r="H33" s="27" t="n">
        <v>43.022</v>
      </c>
      <c r="I33" s="27" t="n">
        <v>43.022</v>
      </c>
      <c r="J33" s="27" t="n">
        <v>43.022</v>
      </c>
      <c r="K33" s="28">
        <f>J33</f>
        <v/>
      </c>
      <c r="L33" s="27" t="n">
        <v>43.022</v>
      </c>
      <c r="M33" s="27" t="n">
        <v>43.022</v>
      </c>
      <c r="N33" s="27" t="n">
        <v>41.686</v>
      </c>
      <c r="O33" s="27" t="n">
        <v>49.218</v>
      </c>
      <c r="P33" s="28">
        <f>O33</f>
        <v/>
      </c>
      <c r="Q33" s="27" t="n">
        <v>49.218</v>
      </c>
      <c r="R33" s="27" t="n">
        <v>49.218</v>
      </c>
      <c r="S33" s="27" t="n">
        <v>49.218</v>
      </c>
      <c r="T33" s="27" t="n">
        <v>49.218</v>
      </c>
      <c r="U33" s="28">
        <f>T33</f>
        <v/>
      </c>
      <c r="V33" s="27" t="n">
        <v>49.218</v>
      </c>
      <c r="W33" s="27" t="n">
        <v>50.368</v>
      </c>
      <c r="X33" s="27" t="n">
        <v>50.368</v>
      </c>
      <c r="Y33" s="27" t="n">
        <v>50.368</v>
      </c>
      <c r="Z33" s="28">
        <f>Y33</f>
        <v/>
      </c>
      <c r="AA33" s="27" t="n">
        <v>50.368</v>
      </c>
      <c r="AB33" s="29" t="n">
        <v>51.676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150</v>
      </c>
      <c r="F36" s="37" t="n">
        <v>150</v>
      </c>
      <c r="G36" s="18" t="n"/>
      <c r="H36" s="18" t="n"/>
      <c r="I36" s="18" t="n"/>
      <c r="J36" s="18" t="n">
        <v>130</v>
      </c>
      <c r="K36" s="37">
        <f>SUM(G36:J36)</f>
        <v/>
      </c>
      <c r="L36" s="18" t="n"/>
      <c r="M36" s="18" t="n"/>
      <c r="N36" s="18" t="n"/>
      <c r="O36" s="18" t="n">
        <v>110</v>
      </c>
      <c r="P36" s="37">
        <f>SUM(L36:O36)</f>
        <v/>
      </c>
      <c r="Q36" s="18" t="n"/>
      <c r="R36" s="18" t="n"/>
      <c r="S36" s="18" t="n"/>
      <c r="T36" s="18" t="n">
        <v>130</v>
      </c>
      <c r="U36" s="37">
        <f>SUM(Q36:T36)</f>
        <v/>
      </c>
      <c r="V36" s="18" t="n"/>
      <c r="W36" s="18" t="n"/>
      <c r="X36" s="18" t="n"/>
      <c r="Y36" s="18" t="n">
        <v>320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812.74</v>
      </c>
      <c r="F39" s="37" t="n"/>
      <c r="G39" s="18" t="n">
        <v>777.4299999999999</v>
      </c>
      <c r="H39" s="18" t="n">
        <v>715.66</v>
      </c>
      <c r="I39" s="18" t="n">
        <v>1140.28</v>
      </c>
      <c r="J39" s="18" t="n">
        <v>1059.34</v>
      </c>
      <c r="K39" s="37">
        <f>SUM(G39:J39)</f>
        <v/>
      </c>
      <c r="L39" s="18" t="n">
        <v>1029.92</v>
      </c>
      <c r="M39" s="18" t="n">
        <v>1338.13</v>
      </c>
      <c r="N39" s="18" t="n">
        <v>1556.53</v>
      </c>
      <c r="O39" s="18" t="n">
        <v>2019.59</v>
      </c>
      <c r="P39" s="37">
        <f>SUM(L39:O39)</f>
        <v/>
      </c>
      <c r="Q39" s="18" t="n">
        <v>1827.5</v>
      </c>
      <c r="R39" s="18" t="n">
        <v>1942.12</v>
      </c>
      <c r="S39" s="18" t="n">
        <v>1706.21</v>
      </c>
      <c r="T39" s="18" t="n">
        <v>1941.58</v>
      </c>
      <c r="U39" s="37">
        <f>SUM(Q39:T39)</f>
        <v/>
      </c>
      <c r="V39" s="18" t="n">
        <v>2245.62</v>
      </c>
      <c r="W39" s="18" t="n">
        <v>2312.73</v>
      </c>
      <c r="X39" s="18" t="n">
        <v>2211.32</v>
      </c>
      <c r="Y39" s="18" t="n">
        <v>2318.43</v>
      </c>
      <c r="Z39" s="37">
        <f>SUM(V39:Y39)</f>
        <v/>
      </c>
      <c r="AA39" s="18" t="n">
        <v>2118.22</v>
      </c>
      <c r="AB39" s="19" t="n">
        <v>2433.78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32.77</v>
      </c>
      <c r="F40" s="37" t="n"/>
      <c r="G40" s="18" t="n">
        <v>42.83</v>
      </c>
      <c r="H40" s="18" t="n">
        <v>24.92</v>
      </c>
      <c r="I40" s="18" t="n">
        <v>119.85</v>
      </c>
      <c r="J40" s="18" t="n">
        <v>60.38</v>
      </c>
      <c r="K40" s="37">
        <f>SUM(G40:J40)</f>
        <v/>
      </c>
      <c r="L40" s="18" t="n">
        <v>37.38</v>
      </c>
      <c r="M40" s="18" t="n">
        <v>78.95</v>
      </c>
      <c r="N40" s="18" t="n">
        <v>46.14</v>
      </c>
      <c r="O40" s="18" t="n">
        <v>2.19</v>
      </c>
      <c r="P40" s="37">
        <f>SUM(L40:O40)</f>
        <v/>
      </c>
      <c r="Q40" s="18" t="n">
        <v>26.08</v>
      </c>
      <c r="R40" s="18" t="n">
        <v>177.79</v>
      </c>
      <c r="S40" s="18" t="n">
        <v>76.84</v>
      </c>
      <c r="T40" s="18" t="n">
        <v>173.75</v>
      </c>
      <c r="U40" s="37">
        <f>SUM(Q40:T40)</f>
        <v/>
      </c>
      <c r="V40" s="18" t="n">
        <v>311.07</v>
      </c>
      <c r="W40" s="18" t="n">
        <v>316.44</v>
      </c>
      <c r="X40" s="18" t="n">
        <v>298.63</v>
      </c>
      <c r="Y40" s="18" t="n">
        <v>383.37</v>
      </c>
      <c r="Z40" s="37">
        <f>SUM(V40:Y40)</f>
        <v/>
      </c>
      <c r="AA40" s="18" t="n">
        <v>410.66</v>
      </c>
      <c r="AB40" s="19" t="n">
        <v>504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2372.5</v>
      </c>
    </row>
    <row r="30">
      <c r="C30" s="2" t="inlineStr">
        <is>
          <t>bps_latest</t>
        </is>
      </c>
      <c r="D30" t="n">
        <v>13032.2</v>
      </c>
    </row>
    <row r="31">
      <c r="C31" s="2" t="inlineStr">
        <is>
          <t>per_now</t>
        </is>
      </c>
      <c r="D31" t="n">
        <v>7.76</v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0.182</v>
      </c>
    </row>
    <row r="34">
      <c r="C34" s="2" t="inlineStr">
        <is>
          <t>fair_pbr</t>
        </is>
      </c>
      <c r="D34" t="n">
        <v>2.02</v>
      </c>
    </row>
    <row r="35">
      <c r="C35" s="2" t="inlineStr">
        <is>
          <t>fair_value_pbr</t>
        </is>
      </c>
      <c r="D35" t="n">
        <v>26300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