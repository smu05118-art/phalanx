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174446억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183724억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191578억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191576억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197453억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205545억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214748억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219612억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220188억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174446억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183724억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191578억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191576억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197453억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205545억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214748억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219612억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220188억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2694억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3019억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3411억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3729억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3936억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4313억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2252억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2532억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2694억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3019억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3411억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3729억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3936억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4313억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1.97%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20650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20800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19960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20400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0.44380033</v>
      </c>
      <c r="AE21" s="25" t="n"/>
      <c r="AF21" s="24" t="n">
        <v>0.295387617</v>
      </c>
      <c r="AG21" s="24" t="n">
        <v>0.307318018</v>
      </c>
      <c r="AH21" s="24" t="n">
        <v>0.185872474</v>
      </c>
      <c r="AI21" s="24" t="n">
        <v>0.131880443</v>
      </c>
      <c r="AJ21" s="25" t="n"/>
      <c r="AK21" s="24" t="n">
        <v>0.118772117</v>
      </c>
      <c r="AL21" s="24" t="n">
        <v>0.120944018</v>
      </c>
      <c r="AM21" s="24" t="n">
        <v>0.146342778</v>
      </c>
      <c r="AN21" s="24" t="n">
        <v>0.115144637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0.137673085</v>
      </c>
      <c r="AE23" s="25">
        <f>IFERROR(subQ!AE9/subQ!AE5,"")</f>
        <v/>
      </c>
      <c r="AF23" s="24" t="n">
        <v>0.137675798</v>
      </c>
      <c r="AG23" s="24" t="n">
        <v>0.137673963</v>
      </c>
      <c r="AH23" s="24" t="n">
        <v>0.13767397</v>
      </c>
      <c r="AI23" s="24" t="n">
        <v>0.137674198</v>
      </c>
      <c r="AJ23" s="25">
        <f>IFERROR(subQ!AJ9/subQ!AJ5,"")</f>
        <v/>
      </c>
      <c r="AK23" s="24" t="n">
        <v>0.137673016</v>
      </c>
      <c r="AL23" s="24" t="n">
        <v>0.137674434</v>
      </c>
      <c r="AM23" s="24" t="n">
        <v>0.137675229</v>
      </c>
      <c r="AN23" s="24" t="n">
        <v>0.137673785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-0.005929563</v>
      </c>
      <c r="AD33" s="30" t="n">
        <v>0.002174859</v>
      </c>
      <c r="AE33" s="31" t="n"/>
      <c r="AF33" s="30" t="n">
        <v>0.001638766</v>
      </c>
      <c r="AG33" s="30" t="n">
        <v>165.358815484</v>
      </c>
      <c r="AH33" s="30" t="n">
        <v>-0.001300583</v>
      </c>
      <c r="AI33" s="30" t="n">
        <v>-0.001937498</v>
      </c>
      <c r="AJ33" s="31" t="n"/>
      <c r="AK33" s="30" t="n">
        <v>-0.007868818</v>
      </c>
      <c r="AL33" s="30" t="n">
        <v>165.354432593</v>
      </c>
      <c r="AM33" s="30" t="n">
        <v>0.001252107</v>
      </c>
      <c r="AN33" s="30" t="n">
        <v>0.002333475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-0.005929563</v>
      </c>
      <c r="AD34" s="30" t="n">
        <v>0.002174859</v>
      </c>
      <c r="AE34" s="31" t="n"/>
      <c r="AF34" s="30" t="n">
        <v>0.001638766</v>
      </c>
      <c r="AG34" s="30" t="n">
        <v>165.358815484</v>
      </c>
      <c r="AH34" s="30" t="n">
        <v>-0.001300583</v>
      </c>
      <c r="AI34" s="30" t="n">
        <v>-0.001937498</v>
      </c>
      <c r="AJ34" s="31" t="n"/>
      <c r="AK34" s="30" t="n">
        <v>-0.007868818</v>
      </c>
      <c r="AL34" s="30" t="n">
        <v>165.354432593</v>
      </c>
      <c r="AM34" s="30" t="n">
        <v>0.001252107</v>
      </c>
      <c r="AN34" s="30" t="n">
        <v>0.002333475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1.345808737</v>
      </c>
      <c r="AE36" s="25" t="n"/>
      <c r="AF36" s="24" t="n">
        <v>0.470414549</v>
      </c>
      <c r="AG36" s="24" t="n">
        <v>0.184467238</v>
      </c>
      <c r="AH36" s="24" t="n">
        <v>0.312922025</v>
      </c>
      <c r="AI36" s="24" t="n">
        <v>0.287657464</v>
      </c>
      <c r="AJ36" s="25" t="n"/>
      <c r="AK36" s="24" t="n">
        <v>0.181569036</v>
      </c>
      <c r="AL36" s="24" t="n">
        <v>0.099442558</v>
      </c>
      <c r="AM36" s="24" t="n">
        <v>0.165606716</v>
      </c>
      <c r="AN36" s="24" t="n">
        <v>0.166449676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0.17906251</v>
      </c>
      <c r="AE37" s="25" t="n"/>
      <c r="AF37" s="24" t="n">
        <v>0.124525369</v>
      </c>
      <c r="AG37" s="24" t="n">
        <v>0.063850878</v>
      </c>
      <c r="AH37" s="24" t="n">
        <v>0.120594098</v>
      </c>
      <c r="AI37" s="24" t="n">
        <v>0.129884155</v>
      </c>
      <c r="AJ37" s="25" t="n"/>
      <c r="AK37" s="24" t="n">
        <v>0.09343051600000001</v>
      </c>
      <c r="AL37" s="24" t="n">
        <v>0.055295165</v>
      </c>
      <c r="AM37" s="24" t="n">
        <v>0.09593816500000001</v>
      </c>
      <c r="AN37" s="24" t="n">
        <v>0.102556315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20650</v>
      </c>
      <c r="E45" s="2" t="inlineStr">
        <is>
          <t>원 — 네이버 정규장 종가(aik 확정종가 대조 · aik 20,300원)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20261002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0.2435638522056757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0.09507500296054457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0.01974058893175179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0.0518616734701311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2358.6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8.76</v>
      </c>
    </row>
    <row r="32">
      <c r="C32" s="2" t="inlineStr">
        <is>
          <t>pbr_now</t>
        </is>
      </c>
      <c r="D32" t="n">
        <v>1.58</v>
      </c>
    </row>
    <row r="33">
      <c r="C33" s="2" t="inlineStr">
        <is>
          <t>roe_fwd</t>
        </is>
      </c>
      <c r="D33" t="n">
        <v>0.181</v>
      </c>
    </row>
    <row r="34">
      <c r="C34" s="2" t="inlineStr">
        <is>
          <t>fair_pbr</t>
        </is>
      </c>
      <c r="D34" t="n">
        <v>2.01</v>
      </c>
    </row>
    <row r="35">
      <c r="C35" s="2" t="inlineStr">
        <is>
          <t>fair_value_pbr</t>
        </is>
      </c>
      <c r="D35" t="n">
        <v>26200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