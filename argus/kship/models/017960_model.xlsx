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174446억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183683억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191482억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191426억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197249억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205330억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214538억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219409억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219994억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174446억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183683억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191482억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191426억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197249억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205330억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214538억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219409억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219994억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2532억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2694억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3018억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3728억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3934억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4311억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2252억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2532억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2694억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3018억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3410억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3728억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3934억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4311억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20300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19960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20450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0.44380033</v>
      </c>
      <c r="AE21" s="25" t="n"/>
      <c r="AF21" s="24" t="n">
        <v>0.295099639</v>
      </c>
      <c r="AG21" s="24" t="n">
        <v>0.306660603</v>
      </c>
      <c r="AH21" s="24" t="n">
        <v>0.184940312</v>
      </c>
      <c r="AI21" s="24" t="n">
        <v>0.130712355</v>
      </c>
      <c r="AJ21" s="25" t="n"/>
      <c r="AK21" s="24" t="n">
        <v>0.117847118</v>
      </c>
      <c r="AL21" s="24" t="n">
        <v>0.120410551</v>
      </c>
      <c r="AM21" s="24" t="n">
        <v>0.146185103</v>
      </c>
      <c r="AN21" s="24" t="n">
        <v>0.115313787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0.137673085</v>
      </c>
      <c r="AE23" s="25">
        <f>IFERROR(subQ!AE9/subQ!AE5,"")</f>
        <v/>
      </c>
      <c r="AF23" s="24" t="n">
        <v>0.137673605</v>
      </c>
      <c r="AG23" s="24" t="n">
        <v>0.13767405</v>
      </c>
      <c r="AH23" s="24" t="n">
        <v>0.137674425</v>
      </c>
      <c r="AI23" s="24" t="n">
        <v>0.13767375</v>
      </c>
      <c r="AJ23" s="25">
        <f>IFERROR(subQ!AJ9/subQ!AJ5,"")</f>
        <v/>
      </c>
      <c r="AK23" s="24" t="n">
        <v>0.137674094</v>
      </c>
      <c r="AL23" s="24" t="n">
        <v>0.13767457</v>
      </c>
      <c r="AM23" s="24" t="n">
        <v>0.137675183</v>
      </c>
      <c r="AN23" s="24" t="n">
        <v>0.137674293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-0.004414873</v>
      </c>
      <c r="AD33" s="30" t="n">
        <v>0.00411983</v>
      </c>
      <c r="AE33" s="31" t="n"/>
      <c r="AF33" s="30" t="n">
        <v>-0.004615361</v>
      </c>
      <c r="AG33" s="30" t="n">
        <v>165.364320009</v>
      </c>
      <c r="AH33" s="30" t="n">
        <v>0.002860036</v>
      </c>
      <c r="AI33" s="30" t="n">
        <v>-0.009608205</v>
      </c>
      <c r="AJ33" s="31" t="n"/>
      <c r="AK33" s="30" t="n">
        <v>-0.001577029</v>
      </c>
      <c r="AL33" s="30" t="n">
        <v>165.369565119</v>
      </c>
      <c r="AM33" s="30" t="n">
        <v>0.000282006</v>
      </c>
      <c r="AN33" s="30" t="n">
        <v>0.002677013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-0.004414873</v>
      </c>
      <c r="AD34" s="30" t="n">
        <v>0.00411983</v>
      </c>
      <c r="AE34" s="31" t="n"/>
      <c r="AF34" s="30" t="n">
        <v>-0.004615361</v>
      </c>
      <c r="AG34" s="30" t="n">
        <v>165.364320009</v>
      </c>
      <c r="AH34" s="30" t="n">
        <v>0.002860036</v>
      </c>
      <c r="AI34" s="30" t="n">
        <v>-0.009608205</v>
      </c>
      <c r="AJ34" s="31" t="n"/>
      <c r="AK34" s="30" t="n">
        <v>-0.001577029</v>
      </c>
      <c r="AL34" s="30" t="n">
        <v>165.369565119</v>
      </c>
      <c r="AM34" s="30" t="n">
        <v>0.000282006</v>
      </c>
      <c r="AN34" s="30" t="n">
        <v>0.002677013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1.345808737</v>
      </c>
      <c r="AE36" s="25" t="n"/>
      <c r="AF36" s="24" t="n">
        <v>0.470313889</v>
      </c>
      <c r="AG36" s="24" t="n">
        <v>0.184285894</v>
      </c>
      <c r="AH36" s="24" t="n">
        <v>0.312740866</v>
      </c>
      <c r="AI36" s="24" t="n">
        <v>0.287460001</v>
      </c>
      <c r="AJ36" s="25" t="n"/>
      <c r="AK36" s="24" t="n">
        <v>0.18146837</v>
      </c>
      <c r="AL36" s="24" t="n">
        <v>0.09932835399999999</v>
      </c>
      <c r="AM36" s="24" t="n">
        <v>0.165565007</v>
      </c>
      <c r="AN36" s="24" t="n">
        <v>0.166425667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0.17906251</v>
      </c>
      <c r="AE37" s="25" t="n"/>
      <c r="AF37" s="24" t="n">
        <v>0.124498723</v>
      </c>
      <c r="AG37" s="24" t="n">
        <v>0.063785252</v>
      </c>
      <c r="AH37" s="24" t="n">
        <v>0.120507871</v>
      </c>
      <c r="AI37" s="24" t="n">
        <v>0.129769399</v>
      </c>
      <c r="AJ37" s="25" t="n"/>
      <c r="AK37" s="24" t="n">
        <v>0.093355465</v>
      </c>
      <c r="AL37" s="24" t="n">
        <v>0.055216995</v>
      </c>
      <c r="AM37" s="24" t="n">
        <v>0.095888217</v>
      </c>
      <c r="AN37" s="24" t="n">
        <v>0.102509922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20300</v>
      </c>
      <c r="E45" s="2" t="inlineStr">
        <is>
          <t>원 — 네이버 정규장 종가(aik 확정종가 대조 · aik 20,550원)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0.2435605677859248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0.09507490779402261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0.01974285265580651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0.05186301055542369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2358.1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8.609999999999999</v>
      </c>
    </row>
    <row r="32">
      <c r="C32" s="2" t="inlineStr">
        <is>
          <t>pbr_now</t>
        </is>
      </c>
      <c r="D32" t="n">
        <v>1.56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26200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