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174986억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184874억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191819억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188633억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187969억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186298억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183945억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176262억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164085억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모델값 역산(implied): v / 매출액
매출액 × 판관비율 9.51%(최근 4분기 중위)</t>
      </text>
    </comment>
    <comment ref="AD22" authorId="0" shapeId="0">
      <text>
        <t>모델값 역산(implied): v / 매출액
매출액 × 판관비율 9.51%(최근 4분기 중위)</t>
      </text>
    </comment>
    <comment ref="AF22" authorId="0" shapeId="0">
      <text>
        <t>모델값 역산(implied): v / 매출액
매출액 × 판관비율 9.51%(최근 4분기 중위)</t>
      </text>
    </comment>
    <comment ref="AG22" authorId="0" shapeId="0">
      <text>
        <t>모델값 역산(implied): v / 매출액
매출액 × 판관비율 9.51%(최근 4분기 중위)</t>
      </text>
    </comment>
    <comment ref="AH22" authorId="0" shapeId="0">
      <text>
        <t>모델값 역산(implied): v / 매출액
매출액 × 판관비율 9.51%(최근 4분기 중위)</t>
      </text>
    </comment>
    <comment ref="AI22" authorId="0" shapeId="0">
      <text>
        <t>모델값 역산(implied): v / 매출액
매출액 × 판관비율 9.51%(최근 4분기 중위)</t>
      </text>
    </comment>
    <comment ref="AK22" authorId="0" shapeId="0">
      <text>
        <t>모델값 역산(implied): v / 매출액
매출액 × 판관비율 9.51%(최근 4분기 중위)</t>
      </text>
    </comment>
    <comment ref="AL22" authorId="0" shapeId="0">
      <text>
        <t>모델값 역산(implied): v / 매출액
매출액 × 판관비율 9.51%(최근 4분기 중위)</t>
      </text>
    </comment>
    <comment ref="AM22" authorId="0" shapeId="0">
      <text>
        <t>모델값 역산(implied): v / 매출액
매출액 × 판관비율 9.51%(최근 4분기 중위)</t>
      </text>
    </comment>
    <comment ref="AN22" authorId="0" shapeId="0">
      <text>
        <t>모델값 역산(implied): v / 매출액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v / 전년동기 − 1
최근 8분기 OPM 중위 13.8% 유지</t>
      </text>
    </comment>
    <comment ref="AD24" authorId="0" shapeId="0">
      <text>
        <t>모델값 역산(implied): v / 전년동기 − 1
최근 8분기 OPM 중위 13.8% 유지</t>
      </text>
    </comment>
    <comment ref="AF24" authorId="0" shapeId="0">
      <text>
        <t>모델값 역산(implied): v / 전년동기 − 1
최근 8분기 OPM 중위 13.8% 유지</t>
      </text>
    </comment>
    <comment ref="AG24" authorId="0" shapeId="0">
      <text>
        <t>모델값 역산(implied): v / 전년동기 − 1
최근 8분기 OPM 중위 13.8% 유지</t>
      </text>
    </comment>
    <comment ref="AH24" authorId="0" shapeId="0">
      <text>
        <t>모델값 역산(implied): v / 전년동기 − 1
최근 8분기 OPM 중위 13.8% 유지</t>
      </text>
    </comment>
    <comment ref="AI24" authorId="0" shapeId="0">
      <text>
        <t>모델값 역산(implied): v / 전년동기 − 1
최근 8분기 OPM 중위 13.8% 유지</t>
      </text>
    </comment>
    <comment ref="AK24" authorId="0" shapeId="0">
      <text>
        <t>모델값 역산(implied): v / 전년동기 − 1
최근 8분기 OPM 중위 13.8% 유지</t>
      </text>
    </comment>
    <comment ref="AL24" authorId="0" shapeId="0">
      <text>
        <t>모델값 역산(implied): v / 전년동기 − 1
최근 8분기 OPM 중위 13.8% 유지</t>
      </text>
    </comment>
    <comment ref="AM24" authorId="0" shapeId="0">
      <text>
        <t>모델값 역산(implied): v / 전년동기 − 1
최근 8분기 OPM 중위 13.8% 유지</t>
      </text>
    </comment>
    <comment ref="AN24" authorId="0" shapeId="0">
      <text>
        <t>모델값 역산(implied): v / 전년동기 − 1
최근 8분기 OPM 중위 13.8% 유지</t>
      </text>
    </comment>
    <comment ref="AC25" authorId="0" shapeId="0">
      <text>
        <t>모델값 역산(implied): 모델 v 그대로
이자손익 = 이자발생자산 1640억 × 0.87% − 총차입금 28억 × 14.59% (연율, CF 실측) ÷ 4; 환·평가손익 0 가정</t>
      </text>
    </comment>
    <comment ref="AD25" authorId="0" shapeId="0">
      <text>
        <t>모델값 역산(implied): 모델 v 그대로
이자손익 = 이자발생자산 1910억 × 0.87% − 총차입금 28억 × 14.59% (연율, CF 실측) ÷ 4; 환·평가손익 0 가정</t>
      </text>
    </comment>
    <comment ref="AF25" authorId="0" shapeId="0">
      <text>
        <t>모델값 역산(implied): 모델 v 그대로
이자손익 = 이자발생자산 2250억 × 0.87% − 총차입금 28억 × 14.59% (연율, CF 실측) ÷ 4; 환·평가손익 0 가정</t>
      </text>
    </comment>
    <comment ref="AG25" authorId="0" shapeId="0">
      <text>
        <t>모델값 역산(implied): 모델 v 그대로
이자손익 = 이자발생자산 2530억 × 0.87% − 총차입금 28억 × 14.59% (연율, CF 실측) ÷ 4; 환·평가손익 0 가정</t>
      </text>
    </comment>
    <comment ref="AH25" authorId="0" shapeId="0">
      <text>
        <t>모델값 역산(implied): 모델 v 그대로
이자손익 = 이자발생자산 2688억 × 0.87% − 총차입금 28억 × 14.59% (연율, CF 실측) ÷ 4; 환·평가손익 0 가정</t>
      </text>
    </comment>
    <comment ref="AI25" authorId="0" shapeId="0">
      <text>
        <t>모델값 역산(implied): 모델 v 그대로
이자손익 = 이자발생자산 3004억 × 0.87% − 총차입금 28억 × 14.59% (연율, CF 실측) ÷ 4; 환·평가손익 0 가정</t>
      </text>
    </comment>
    <comment ref="AK25" authorId="0" shapeId="0">
      <text>
        <t>모델값 역산(implied): 모델 v 그대로
이자손익 = 이자발생자산 3371억 × 0.87% − 총차입금 28억 × 14.59% (연율, CF 실측) ÷ 4; 환·평가손익 0 가정</t>
      </text>
    </comment>
    <comment ref="AL25" authorId="0" shapeId="0">
      <text>
        <t>모델값 역산(implied): 모델 v 그대로
이자손익 = 이자발생자산 3655억 × 0.87% − 총차입금 28억 × 14.59% (연율, CF 실측) ÷ 4; 환·평가손익 0 가정</t>
      </text>
    </comment>
    <comment ref="AM25" authorId="0" shapeId="0">
      <text>
        <t>모델값 역산(implied): 모델 v 그대로
이자손익 = 이자발생자산 3802억 × 0.87% − 총차입금 28억 × 14.59% (연율, CF 실측) ÷ 4; 환·평가손익 0 가정</t>
      </text>
    </comment>
    <comment ref="AN25" authorId="0" shapeId="0">
      <text>
        <t>모델값 역산(implied): 모델 v 그대로
이자손익 = 이자발생자산 4099억 × 0.87% − 총차입금 28억 × 14.59%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28.5% → 5~27% 클립)</t>
      </text>
    </comment>
    <comment ref="AD28" authorId="0" shapeId="0">
      <text>
        <t>모델값 역산(implied): v / 세전이익
max(세전, 0) × 세율 27.0%(최근 12분기 유효세율 28.5% → 5~27% 클립)</t>
      </text>
    </comment>
    <comment ref="AF28" authorId="0" shapeId="0">
      <text>
        <t>모델값 역산(implied): v / 세전이익
max(세전, 0) × 세율 27.0%(최근 12분기 유효세율 28.5% → 5~27% 클립)</t>
      </text>
    </comment>
    <comment ref="AG28" authorId="0" shapeId="0">
      <text>
        <t>모델값 역산(implied): v / 세전이익
max(세전, 0) × 세율 27.0%(최근 12분기 유효세율 28.5% → 5~27% 클립)</t>
      </text>
    </comment>
    <comment ref="AH28" authorId="0" shapeId="0">
      <text>
        <t>모델값 역산(implied): v / 세전이익
max(세전, 0) × 세율 27.0%(최근 12분기 유효세율 28.5% → 5~27% 클립)</t>
      </text>
    </comment>
    <comment ref="AI28" authorId="0" shapeId="0">
      <text>
        <t>모델값 역산(implied): v / 세전이익
max(세전, 0) × 세율 27.0%(최근 12분기 유효세율 28.5% → 5~27% 클립)</t>
      </text>
    </comment>
    <comment ref="AK28" authorId="0" shapeId="0">
      <text>
        <t>모델값 역산(implied): v / 세전이익
max(세전, 0) × 세율 27.0%(최근 12분기 유효세율 28.5% → 5~27% 클립)</t>
      </text>
    </comment>
    <comment ref="AL28" authorId="0" shapeId="0">
      <text>
        <t>모델값 역산(implied): v / 세전이익
max(세전, 0) × 세율 27.0%(최근 12분기 유효세율 28.5% → 5~27% 클립)</t>
      </text>
    </comment>
    <comment ref="AM28" authorId="0" shapeId="0">
      <text>
        <t>모델값 역산(implied): v / 세전이익
max(세전, 0) × 세율 27.0%(최근 12분기 유효세율 28.5% → 5~27% 클립)</t>
      </text>
    </comment>
    <comment ref="AN28" authorId="0" shapeId="0">
      <text>
        <t>모델값 역산(implied): v / 세전이익
max(세전, 0) × 세율 27.0%(최근 12분기 유효세율 28.5%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320원 유지</t>
      </text>
    </comment>
    <comment ref="AI41" authorId="0" shapeId="0">
      <text>
        <t>모델값 역산(implied): v / 전년동기 − 1
직전 결산 DPS 320원 유지</t>
      </text>
    </comment>
    <comment ref="AN41" authorId="0" shapeId="0">
      <text>
        <t>모델값 역산(implied): v / 전년동기 − 1
직전 결산 DPS 320원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174986억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184874억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191819억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188633억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187969억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186298억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183945억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176262억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164085억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13.8% 유지
[yoy]</t>
      </text>
    </comment>
    <comment ref="AD10" authorId="0" shapeId="0">
      <text>
        <t>추정: 최근 8분기 OPM 중위 13.8% 유지
[yoy]</t>
      </text>
    </comment>
    <comment ref="AF10" authorId="0" shapeId="0">
      <text>
        <t>추정: 최근 8분기 OPM 중위 13.8% 유지
[yoy]</t>
      </text>
    </comment>
    <comment ref="AG10" authorId="0" shapeId="0">
      <text>
        <t>추정: 최근 8분기 OPM 중위 13.8% 유지
[yoy]</t>
      </text>
    </comment>
    <comment ref="AH10" authorId="0" shapeId="0">
      <text>
        <t>추정: 최근 8분기 OPM 중위 13.8% 유지
[yoy]</t>
      </text>
    </comment>
    <comment ref="AI10" authorId="0" shapeId="0">
      <text>
        <t>추정: 최근 8분기 OPM 중위 13.8% 유지
[yoy]</t>
      </text>
    </comment>
    <comment ref="AK10" authorId="0" shapeId="0">
      <text>
        <t>추정: 최근 8분기 OPM 중위 13.8% 유지
[yoy]</t>
      </text>
    </comment>
    <comment ref="AL10" authorId="0" shapeId="0">
      <text>
        <t>추정: 최근 8분기 OPM 중위 13.8% 유지
[yoy]</t>
      </text>
    </comment>
    <comment ref="AM10" authorId="0" shapeId="0">
      <text>
        <t>추정: 최근 8분기 OPM 중위 13.8% 유지
[yoy]</t>
      </text>
    </comment>
    <comment ref="AN10" authorId="0" shapeId="0">
      <text>
        <t>추정: 최근 8분기 OPM 중위 13.8% 유지
[yoy]</t>
      </text>
    </comment>
    <comment ref="AC11" authorId="0" shapeId="0">
      <text>
        <t>추정: 이자손익 = 이자발생자산 1640억 × 0.87% − 총차입금 28억 × 14.59% (연율, CF 실측) ÷ 4; 환·평가손익 0 가정
[abs]</t>
      </text>
    </comment>
    <comment ref="AD11" authorId="0" shapeId="0">
      <text>
        <t>추정: 이자손익 = 이자발생자산 1910억 × 0.87% − 총차입금 28억 × 14.59% (연율, CF 실측) ÷ 4; 환·평가손익 0 가정
[abs]</t>
      </text>
    </comment>
    <comment ref="AF11" authorId="0" shapeId="0">
      <text>
        <t>추정: 이자손익 = 이자발생자산 2250억 × 0.87% − 총차입금 28억 × 14.59% (연율, CF 실측) ÷ 4; 환·평가손익 0 가정
[abs]</t>
      </text>
    </comment>
    <comment ref="AG11" authorId="0" shapeId="0">
      <text>
        <t>추정: 이자손익 = 이자발생자산 2530억 × 0.87% − 총차입금 28억 × 14.59% (연율, CF 실측) ÷ 4; 환·평가손익 0 가정
[abs]</t>
      </text>
    </comment>
    <comment ref="AH11" authorId="0" shapeId="0">
      <text>
        <t>추정: 이자손익 = 이자발생자산 2688억 × 0.87% − 총차입금 28억 × 14.59% (연율, CF 실측) ÷ 4; 환·평가손익 0 가정
[abs]</t>
      </text>
    </comment>
    <comment ref="AI11" authorId="0" shapeId="0">
      <text>
        <t>추정: 이자손익 = 이자발생자산 3004억 × 0.87% − 총차입금 28억 × 14.59% (연율, CF 실측) ÷ 4; 환·평가손익 0 가정
[abs]</t>
      </text>
    </comment>
    <comment ref="AK11" authorId="0" shapeId="0">
      <text>
        <t>추정: 이자손익 = 이자발생자산 3371억 × 0.87% − 총차입금 28억 × 14.59% (연율, CF 실측) ÷ 4; 환·평가손익 0 가정
[abs]</t>
      </text>
    </comment>
    <comment ref="AL11" authorId="0" shapeId="0">
      <text>
        <t>추정: 이자손익 = 이자발생자산 3655억 × 0.87% − 총차입금 28억 × 14.59% (연율, CF 실측) ÷ 4; 환·평가손익 0 가정
[abs]</t>
      </text>
    </comment>
    <comment ref="AM11" authorId="0" shapeId="0">
      <text>
        <t>추정: 이자손익 = 이자발생자산 3802억 × 0.87% − 총차입금 28억 × 14.59% (연율, CF 실측) ÷ 4; 환·평가손익 0 가정
[abs]</t>
      </text>
    </comment>
    <comment ref="AN11" authorId="0" shapeId="0">
      <text>
        <t>추정: 이자손익 = 이자발생자산 4099억 × 0.87% − 총차입금 28억 × 14.59%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28.5% → 5~27% 클립)
[ratio]</t>
      </text>
    </comment>
    <comment ref="AD15" authorId="0" shapeId="0">
      <text>
        <t>추정: max(세전, 0) × 세율 27.0%(최근 12분기 유효세율 28.5% → 5~27% 클립)
[ratio]</t>
      </text>
    </comment>
    <comment ref="AF15" authorId="0" shapeId="0">
      <text>
        <t>추정: max(세전, 0) × 세율 27.0%(최근 12분기 유효세율 28.5% → 5~27% 클립)
[ratio]</t>
      </text>
    </comment>
    <comment ref="AG15" authorId="0" shapeId="0">
      <text>
        <t>추정: max(세전, 0) × 세율 27.0%(최근 12분기 유효세율 28.5% → 5~27% 클립)
[ratio]</t>
      </text>
    </comment>
    <comment ref="AH15" authorId="0" shapeId="0">
      <text>
        <t>추정: max(세전, 0) × 세율 27.0%(최근 12분기 유효세율 28.5% → 5~27% 클립)
[ratio]</t>
      </text>
    </comment>
    <comment ref="AI15" authorId="0" shapeId="0">
      <text>
        <t>추정: max(세전, 0) × 세율 27.0%(최근 12분기 유효세율 28.5% → 5~27% 클립)
[ratio]</t>
      </text>
    </comment>
    <comment ref="AK15" authorId="0" shapeId="0">
      <text>
        <t>추정: max(세전, 0) × 세율 27.0%(최근 12분기 유효세율 28.5% → 5~27% 클립)
[ratio]</t>
      </text>
    </comment>
    <comment ref="AL15" authorId="0" shapeId="0">
      <text>
        <t>추정: max(세전, 0) × 세율 27.0%(최근 12분기 유효세율 28.5% → 5~27% 클립)
[ratio]</t>
      </text>
    </comment>
    <comment ref="AM15" authorId="0" shapeId="0">
      <text>
        <t>추정: max(세전, 0) × 세율 27.0%(최근 12분기 유효세율 28.5% → 5~27% 클립)
[ratio]</t>
      </text>
    </comment>
    <comment ref="AN15" authorId="0" shapeId="0">
      <text>
        <t>추정: max(세전, 0) × 세율 27.0%(최근 12분기 유효세율 28.5%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L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A18" authorId="0" shapeId="0">
      <text>
        <t>실측(계정 매핑 없음 — 모델값 직접) — fin.cons.is.중단사업이익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320원 유지
[yoy]</t>
      </text>
    </comment>
    <comment ref="AI32" authorId="0" shapeId="0">
      <text>
        <t>추정: 직전 결산 DPS 320원 유지
[yoy]</t>
      </text>
    </comment>
    <comment ref="AN32" authorId="0" shapeId="0">
      <text>
        <t>추정: 직전 결산 DPS 320원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assets/models/017960.json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11.1, "op_wape_pct": 63.7,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13850</v>
      </c>
      <c r="W15" s="18" t="n">
        <v>26200</v>
      </c>
      <c r="X15" s="18" t="n">
        <v>32600</v>
      </c>
      <c r="Y15" s="18" t="n">
        <v>29600</v>
      </c>
      <c r="Z15" s="9" t="n"/>
      <c r="AA15" s="18" t="n">
        <v>39000</v>
      </c>
      <c r="AB15" s="19" t="n">
        <v>26700</v>
      </c>
      <c r="AC15" s="20" t="n">
        <v>20150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39800</v>
      </c>
      <c r="Z16" s="9" t="n"/>
      <c r="AA16" s="18" t="n">
        <v>50800</v>
      </c>
      <c r="AB16" s="19" t="n">
        <v>54100</v>
      </c>
      <c r="AC16" s="20" t="n">
        <v>28400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13600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18400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14243.6</v>
      </c>
      <c r="W18" s="18" t="n">
        <v>20929.3</v>
      </c>
      <c r="X18" s="18" t="n">
        <v>29820</v>
      </c>
      <c r="Y18" s="18" t="n">
        <v>32128</v>
      </c>
      <c r="Z18" s="9" t="n"/>
      <c r="AA18" s="18" t="n">
        <v>38502.5</v>
      </c>
      <c r="AB18" s="19" t="n">
        <v>39848.4</v>
      </c>
      <c r="AC18" s="20" t="n">
        <v>22891.5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0.203118</v>
      </c>
      <c r="AD21" s="24" t="n">
        <v>0.448265</v>
      </c>
      <c r="AE21" s="25" t="n"/>
      <c r="AF21" s="24" t="n">
        <v>0.303503</v>
      </c>
      <c r="AG21" s="24" t="n">
        <v>0.308966</v>
      </c>
      <c r="AH21" s="24" t="n">
        <v>0.167654</v>
      </c>
      <c r="AI21" s="24" t="n">
        <v>0.074197</v>
      </c>
      <c r="AJ21" s="25" t="n"/>
      <c r="AK21" s="24" t="n">
        <v>0.007696</v>
      </c>
      <c r="AL21" s="24" t="n">
        <v>-0.041052</v>
      </c>
      <c r="AM21" s="24" t="n">
        <v>-0.065578</v>
      </c>
      <c r="AN21" s="24" t="n">
        <v>-0.127064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0.095073</v>
      </c>
      <c r="AD22" s="24" t="n">
        <v>0.09507400000000001</v>
      </c>
      <c r="AE22" s="25">
        <f>IFERROR(subQ!AE8/subQ!AE5,"")</f>
        <v/>
      </c>
      <c r="AF22" s="24" t="n">
        <v>0.09507400000000001</v>
      </c>
      <c r="AG22" s="24" t="n">
        <v>0.09507400000000001</v>
      </c>
      <c r="AH22" s="24" t="n">
        <v>0.09507400000000001</v>
      </c>
      <c r="AI22" s="24" t="n">
        <v>0.09507500000000001</v>
      </c>
      <c r="AJ22" s="25">
        <f>IFERROR(subQ!AJ8/subQ!AJ5,"")</f>
        <v/>
      </c>
      <c r="AK22" s="24" t="n">
        <v>0.09507400000000001</v>
      </c>
      <c r="AL22" s="24" t="n">
        <v>0.09507500000000001</v>
      </c>
      <c r="AM22" s="24" t="n">
        <v>0.09507400000000001</v>
      </c>
      <c r="AN22" s="24" t="n">
        <v>0.09507599999999999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</v>
      </c>
      <c r="AD23" s="24" t="n">
        <v>0.137675</v>
      </c>
      <c r="AE23" s="25">
        <f>IFERROR(subQ!AE9/subQ!AE5,"")</f>
        <v/>
      </c>
      <c r="AF23" s="24" t="n">
        <v>0.137673</v>
      </c>
      <c r="AG23" s="24" t="n">
        <v>0.137673</v>
      </c>
      <c r="AH23" s="24" t="n">
        <v>0.137675</v>
      </c>
      <c r="AI23" s="24" t="n">
        <v>0.137675</v>
      </c>
      <c r="AJ23" s="25">
        <f>IFERROR(subQ!AJ9/subQ!AJ5,"")</f>
        <v/>
      </c>
      <c r="AK23" s="24" t="n">
        <v>0.137675</v>
      </c>
      <c r="AL23" s="24" t="n">
        <v>0.137675</v>
      </c>
      <c r="AM23" s="24" t="n">
        <v>0.137674</v>
      </c>
      <c r="AN23" s="24" t="n">
        <v>0.137674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0.02</v>
      </c>
      <c r="AD24" s="24" t="n">
        <v>-0.167473</v>
      </c>
      <c r="AE24" s="25" t="n"/>
      <c r="AF24" s="24" t="n">
        <v>-0.28984</v>
      </c>
      <c r="AG24" s="24" t="n">
        <v>-0.335104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2.54</v>
      </c>
      <c r="AD25" s="29" t="n">
        <v>3.13</v>
      </c>
      <c r="AE25" s="30">
        <f>subQ!AE11</f>
        <v/>
      </c>
      <c r="AF25" s="29" t="n">
        <v>3.86</v>
      </c>
      <c r="AG25" s="29" t="n">
        <v>4.47</v>
      </c>
      <c r="AH25" s="29" t="n">
        <v>4.82</v>
      </c>
      <c r="AI25" s="29" t="n">
        <v>5.51</v>
      </c>
      <c r="AJ25" s="30">
        <f>subQ!AJ11</f>
        <v/>
      </c>
      <c r="AK25" s="29" t="n">
        <v>6.3</v>
      </c>
      <c r="AL25" s="29" t="n">
        <v>6.92</v>
      </c>
      <c r="AM25" s="29" t="n">
        <v>7.24</v>
      </c>
      <c r="AN25" s="29" t="n">
        <v>7.89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0.13</v>
      </c>
      <c r="AD27" s="29" t="n">
        <v>0.13</v>
      </c>
      <c r="AE27" s="30">
        <f>subQ!AE13</f>
        <v/>
      </c>
      <c r="AF27" s="29" t="n">
        <v>0.13</v>
      </c>
      <c r="AG27" s="29" t="n">
        <v>0.13</v>
      </c>
      <c r="AH27" s="29" t="n">
        <v>0.13</v>
      </c>
      <c r="AI27" s="29" t="n">
        <v>0.13</v>
      </c>
      <c r="AJ27" s="30">
        <f>subQ!AJ13</f>
        <v/>
      </c>
      <c r="AK27" s="29" t="n">
        <v>0.13</v>
      </c>
      <c r="AL27" s="29" t="n">
        <v>0.13</v>
      </c>
      <c r="AM27" s="29" t="n">
        <v>0.13</v>
      </c>
      <c r="AN27" s="29" t="n">
        <v>0.13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0.270009</v>
      </c>
      <c r="AD28" s="24" t="n">
        <v>0.269993</v>
      </c>
      <c r="AE28" s="25">
        <f>IFERROR(subQ!AE15/subQ!AE14,"")</f>
        <v/>
      </c>
      <c r="AF28" s="24" t="n">
        <v>0.269987</v>
      </c>
      <c r="AG28" s="24" t="n">
        <v>0.269991</v>
      </c>
      <c r="AH28" s="24" t="n">
        <v>0.269994</v>
      </c>
      <c r="AI28" s="24" t="n">
        <v>0.270012</v>
      </c>
      <c r="AJ28" s="25">
        <f>IFERROR(subQ!AJ15/subQ!AJ14,"")</f>
        <v/>
      </c>
      <c r="AK28" s="24" t="n">
        <v>0.269994</v>
      </c>
      <c r="AL28" s="24" t="n">
        <v>0.269993</v>
      </c>
      <c r="AM28" s="24" t="n">
        <v>0.269993</v>
      </c>
      <c r="AN28" s="24" t="n">
        <v>0.269995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-0.0037</v>
      </c>
      <c r="AD32" s="29" t="n">
        <v>0</v>
      </c>
      <c r="AE32" s="30" t="n"/>
      <c r="AF32" s="29" t="n">
        <v>-0.01</v>
      </c>
      <c r="AG32" s="29" t="n">
        <v>165.37</v>
      </c>
      <c r="AH32" s="29" t="n">
        <v>0.01</v>
      </c>
      <c r="AI32" s="29" t="n">
        <v>0</v>
      </c>
      <c r="AJ32" s="30" t="n"/>
      <c r="AK32" s="29" t="n">
        <v>0</v>
      </c>
      <c r="AL32" s="29" t="n">
        <v>165.36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-0.0037</v>
      </c>
      <c r="AD33" s="29" t="n">
        <v>0</v>
      </c>
      <c r="AE33" s="30" t="n"/>
      <c r="AF33" s="29" t="n">
        <v>-0.01</v>
      </c>
      <c r="AG33" s="29" t="n">
        <v>165.37</v>
      </c>
      <c r="AH33" s="29" t="n">
        <v>0.01</v>
      </c>
      <c r="AI33" s="29" t="n">
        <v>0</v>
      </c>
      <c r="AJ33" s="30" t="n"/>
      <c r="AK33" s="29" t="n">
        <v>0</v>
      </c>
      <c r="AL33" s="29" t="n">
        <v>165.36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-9.6e-05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0.196624</v>
      </c>
      <c r="AD35" s="24" t="n">
        <v>0.207332</v>
      </c>
      <c r="AE35" s="25" t="n"/>
      <c r="AF35" s="24" t="n">
        <v>0.141696</v>
      </c>
      <c r="AG35" s="24" t="n">
        <v>0.070007</v>
      </c>
      <c r="AH35" s="24" t="n">
        <v>0.130642</v>
      </c>
      <c r="AI35" s="24" t="n">
        <v>0.134121</v>
      </c>
      <c r="AJ35" s="25" t="n"/>
      <c r="AK35" s="24" t="n">
        <v>0.091724</v>
      </c>
      <c r="AL35" s="24" t="n">
        <v>0.04338</v>
      </c>
      <c r="AM35" s="24" t="n">
        <v>0.084144</v>
      </c>
      <c r="AN35" s="24" t="n">
        <v>0.084188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0.164194</v>
      </c>
      <c r="AD36" s="24" t="n">
        <v>0.17795</v>
      </c>
      <c r="AE36" s="25" t="n"/>
      <c r="AF36" s="24" t="n">
        <v>0.124653</v>
      </c>
      <c r="AG36" s="24" t="n">
        <v>0.06252000000000001</v>
      </c>
      <c r="AH36" s="24" t="n">
        <v>0.117492</v>
      </c>
      <c r="AI36" s="24" t="n">
        <v>0.122043</v>
      </c>
      <c r="AJ36" s="25" t="n"/>
      <c r="AK36" s="24" t="n">
        <v>0.084357</v>
      </c>
      <c r="AL36" s="24" t="n">
        <v>0.040168</v>
      </c>
      <c r="AM36" s="24" t="n">
        <v>0.078155</v>
      </c>
      <c r="AN36" s="24" t="n">
        <v>0.07863000000000001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-0.603556</v>
      </c>
      <c r="AD42" s="24" t="n">
        <v>-0.427307</v>
      </c>
      <c r="AE42" s="25" t="n"/>
      <c r="AF42" s="24" t="n">
        <v>-0.597441</v>
      </c>
      <c r="AG42" s="24" t="n">
        <v>-0.570922</v>
      </c>
      <c r="AH42" s="24" t="n">
        <v>-0.085202</v>
      </c>
      <c r="AI42" s="24" t="n">
        <v>-0.118102</v>
      </c>
      <c r="AJ42" s="25" t="n"/>
      <c r="AK42" s="24" t="n">
        <v>-0.026895</v>
      </c>
      <c r="AL42" s="24" t="n">
        <v>-0.051948</v>
      </c>
      <c r="AM42" s="24" t="n">
        <v>-0.001225</v>
      </c>
      <c r="AN42" s="24" t="n">
        <v>0.057572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-0.471223</v>
      </c>
      <c r="AD43" s="24" t="n">
        <v>-0.498208</v>
      </c>
      <c r="AE43" s="25" t="n"/>
      <c r="AF43" s="24" t="n">
        <v>-0.595808</v>
      </c>
      <c r="AG43" s="24" t="n">
        <v>-0.568627</v>
      </c>
      <c r="AH43" s="24" t="n">
        <v>-0.136054</v>
      </c>
      <c r="AI43" s="24" t="n">
        <v>-0.135714</v>
      </c>
      <c r="AJ43" s="25" t="n"/>
      <c r="AK43" s="24" t="n">
        <v>-0.133333</v>
      </c>
      <c r="AL43" s="24" t="n">
        <v>-0.128788</v>
      </c>
      <c r="AM43" s="24" t="n">
        <v>-0.11811</v>
      </c>
      <c r="AN43" s="24" t="n">
        <v>-0.107438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0.137674</v>
      </c>
      <c r="AD45" s="24" t="n">
        <v>0.137675</v>
      </c>
      <c r="AE45" s="25">
        <f>IFERROR(subQ!AE36/subQ!AE35,"")</f>
        <v/>
      </c>
      <c r="AF45" s="24" t="n">
        <v>0.137673</v>
      </c>
      <c r="AG45" s="24" t="n">
        <v>0.137673</v>
      </c>
      <c r="AH45" s="24" t="n">
        <v>0.137675</v>
      </c>
      <c r="AI45" s="24" t="n">
        <v>0.137675</v>
      </c>
      <c r="AJ45" s="25">
        <f>IFERROR(subQ!AJ36/subQ!AJ35,"")</f>
        <v/>
      </c>
      <c r="AK45" s="24" t="n">
        <v>0.137675</v>
      </c>
      <c r="AL45" s="24" t="n">
        <v>0.137675</v>
      </c>
      <c r="AM45" s="24" t="n">
        <v>0.137674</v>
      </c>
      <c r="AN45" s="24" t="n">
        <v>0.137674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19880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19.7</v>
      </c>
      <c r="E51" s="2" t="inlineStr">
        <is>
          <t>PER 밴드 하단(배) — hist_quarterly(분기 평균가 ÷ TTM EPS, 13분기, 25/50/75 백분위) · 캡 5~30배 적용(원값 19.7/24.5/38.1)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24.5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30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0.0951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4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4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4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4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4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4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4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4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4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4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4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4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4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4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4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4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4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4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4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4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4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4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4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4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4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4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4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4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4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4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4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4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4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4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4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4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4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4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4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4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4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4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4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4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4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4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4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4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4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4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4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4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4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4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4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4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4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4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4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4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4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4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4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4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4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4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4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4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4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4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4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4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4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4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4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4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4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4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4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4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4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4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4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4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4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4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4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4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4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4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4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4" t="n">
        <v>89232.02</v>
      </c>
      <c r="Q24" s="18" t="n">
        <v>68025.21000000001</v>
      </c>
      <c r="R24" s="18" t="n">
        <v>64811.33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4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4" t="n">
        <v>853.42</v>
      </c>
      <c r="L25" s="18" t="n">
        <v>1398.73</v>
      </c>
      <c r="M25" s="18" t="n">
        <v>2046.89</v>
      </c>
      <c r="P25" s="9" t="n"/>
      <c r="T25" s="18" t="n">
        <v>5930.95</v>
      </c>
      <c r="U25" s="34" t="n">
        <v>5930.95</v>
      </c>
      <c r="V25" s="18" t="n">
        <v>4724.7</v>
      </c>
      <c r="W25" s="18" t="n">
        <v>5518.45</v>
      </c>
      <c r="X25" s="18" t="n">
        <v>6312.2</v>
      </c>
      <c r="Y25" s="18" t="n">
        <v>3912.2</v>
      </c>
      <c r="Z25" s="34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6891.83</v>
      </c>
      <c r="F26" s="34" t="n">
        <v>6891.83</v>
      </c>
      <c r="G26" s="18" t="n">
        <v>5705.33</v>
      </c>
      <c r="H26" s="18" t="n">
        <v>3596.05</v>
      </c>
      <c r="I26" s="18" t="n">
        <v>5480.23</v>
      </c>
      <c r="J26" s="18" t="n">
        <v>5749.73</v>
      </c>
      <c r="K26" s="34" t="n">
        <v>5749.73</v>
      </c>
      <c r="L26" s="18" t="n">
        <v>4736.86</v>
      </c>
      <c r="M26" s="18" t="n">
        <v>2115.17</v>
      </c>
      <c r="N26" s="18" t="n">
        <v>5702.61</v>
      </c>
      <c r="O26" s="18" t="n">
        <v>3077.95</v>
      </c>
      <c r="P26" s="34" t="n">
        <v>3077.95</v>
      </c>
      <c r="Q26" s="18" t="n">
        <v>4661.3</v>
      </c>
      <c r="R26" s="18" t="n">
        <v>14146.44</v>
      </c>
      <c r="S26" s="18" t="n">
        <v>10233.25</v>
      </c>
      <c r="T26" s="18" t="n">
        <v>11687.15</v>
      </c>
      <c r="U26" s="34" t="n">
        <v>11687.15</v>
      </c>
      <c r="V26" s="18" t="n">
        <v>11689.01</v>
      </c>
      <c r="W26" s="18" t="n">
        <v>9771.83</v>
      </c>
      <c r="X26" s="18" t="n">
        <v>13253.1</v>
      </c>
      <c r="Y26" s="18" t="n">
        <v>31494.08</v>
      </c>
      <c r="Z26" s="34" t="n">
        <v>31494.08</v>
      </c>
      <c r="AA26" s="18" t="n">
        <v>28404.72</v>
      </c>
      <c r="AB26" s="19" t="n">
        <v>16973.66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675.65</v>
      </c>
      <c r="F27" s="34" t="n">
        <v>675.65</v>
      </c>
      <c r="G27" s="18" t="n">
        <v>928.51</v>
      </c>
      <c r="H27" s="18" t="n">
        <v>7942.25</v>
      </c>
      <c r="I27" s="18" t="n">
        <v>1025.23</v>
      </c>
      <c r="J27" s="18" t="n">
        <v>1524.44</v>
      </c>
      <c r="K27" s="34" t="n">
        <v>1524.44</v>
      </c>
      <c r="L27" s="18" t="n">
        <v>1522.27</v>
      </c>
      <c r="M27" s="18" t="n">
        <v>1623.35</v>
      </c>
      <c r="N27" s="18" t="n">
        <v>1711.86</v>
      </c>
      <c r="O27" s="18" t="n">
        <v>1560.8</v>
      </c>
      <c r="P27" s="34" t="n">
        <v>1560.8</v>
      </c>
      <c r="Q27" s="18" t="n">
        <v>1876.88</v>
      </c>
      <c r="R27" s="18" t="n">
        <v>1656.07</v>
      </c>
      <c r="S27" s="18" t="n">
        <v>1199.62</v>
      </c>
      <c r="T27" s="18" t="n">
        <v>1647.04</v>
      </c>
      <c r="U27" s="34" t="n">
        <v>1647.04</v>
      </c>
      <c r="V27" s="18" t="n">
        <v>1540.82</v>
      </c>
      <c r="W27" s="18" t="n">
        <v>1468.82</v>
      </c>
      <c r="X27" s="18" t="n">
        <v>3630.41</v>
      </c>
      <c r="Y27" s="18" t="n">
        <v>2361.39</v>
      </c>
      <c r="Z27" s="34" t="n">
        <v>2361.39</v>
      </c>
      <c r="AA27" s="18" t="n">
        <v>3309.38</v>
      </c>
      <c r="AB27" s="19" t="n">
        <v>4237.91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1583.48</v>
      </c>
      <c r="F28" s="34" t="n">
        <v>1583.48</v>
      </c>
      <c r="G28" s="18" t="n">
        <v>1879.25</v>
      </c>
      <c r="H28" s="18" t="n">
        <v>8737.030000000001</v>
      </c>
      <c r="I28" s="18" t="n">
        <v>1980.98</v>
      </c>
      <c r="J28" s="18" t="n">
        <v>2768.12</v>
      </c>
      <c r="K28" s="34" t="n">
        <v>2768.12</v>
      </c>
      <c r="L28" s="18" t="n">
        <v>2616.72</v>
      </c>
      <c r="M28" s="18" t="n">
        <v>2730.01</v>
      </c>
      <c r="N28" s="18" t="n">
        <v>2843.57</v>
      </c>
      <c r="O28" s="18" t="n">
        <v>2552.46</v>
      </c>
      <c r="P28" s="34" t="n">
        <v>2552.46</v>
      </c>
      <c r="Q28" s="18" t="n">
        <v>5490.17</v>
      </c>
      <c r="R28" s="18" t="n">
        <v>5030.76</v>
      </c>
      <c r="S28" s="18" t="n">
        <v>4899.76</v>
      </c>
      <c r="T28" s="18" t="n">
        <v>5174.05</v>
      </c>
      <c r="U28" s="34" t="n">
        <v>5174.05</v>
      </c>
      <c r="V28" s="18" t="n">
        <v>4934.68</v>
      </c>
      <c r="W28" s="18" t="n">
        <v>4825.87</v>
      </c>
      <c r="X28" s="18" t="n">
        <v>9049.57</v>
      </c>
      <c r="Y28" s="18" t="n">
        <v>5851.97</v>
      </c>
      <c r="Z28" s="34" t="n">
        <v>5851.97</v>
      </c>
      <c r="AA28" s="18" t="n">
        <v>7165.51</v>
      </c>
      <c r="AB28" s="19" t="n">
        <v>7975.5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675.65</v>
      </c>
      <c r="F29" s="34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4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4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10483.33</v>
      </c>
      <c r="U29" s="34" t="n">
        <v>10483.33</v>
      </c>
      <c r="V29" s="18" t="n">
        <v>9889.719999999999</v>
      </c>
      <c r="W29" s="18" t="n">
        <v>28628.7</v>
      </c>
      <c r="X29" s="18" t="n">
        <v>39215.6</v>
      </c>
      <c r="Y29" s="18" t="n">
        <v>35816.73</v>
      </c>
      <c r="Z29" s="34" t="n">
        <v>35816.73</v>
      </c>
      <c r="AA29" s="18" t="n">
        <v>53605.11</v>
      </c>
      <c r="AB29" s="19" t="n">
        <v>18289.54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10935.17</v>
      </c>
      <c r="F30" s="34" t="n">
        <v>10935.17</v>
      </c>
      <c r="G30" s="18" t="n">
        <v>10639.42</v>
      </c>
      <c r="H30" s="18" t="n">
        <v>13223.41</v>
      </c>
      <c r="I30" s="18" t="n">
        <v>13219.04</v>
      </c>
      <c r="J30" s="18" t="n">
        <v>30617.17</v>
      </c>
      <c r="K30" s="34" t="n">
        <v>30617.17</v>
      </c>
      <c r="L30" s="18" t="n">
        <v>42970.94</v>
      </c>
      <c r="M30" s="18" t="n">
        <v>55786.23</v>
      </c>
      <c r="N30" s="18" t="n">
        <v>72129.8</v>
      </c>
      <c r="O30" s="18" t="n">
        <v>84883.34</v>
      </c>
      <c r="P30" s="34" t="n">
        <v>84883.34</v>
      </c>
      <c r="Q30" s="18" t="n">
        <v>79767.12</v>
      </c>
      <c r="R30" s="18" t="n">
        <v>105771.63</v>
      </c>
      <c r="S30" s="18" t="n">
        <v>122438.8</v>
      </c>
      <c r="T30" s="18" t="n">
        <v>173791.2</v>
      </c>
      <c r="U30" s="34" t="n">
        <v>173791.2</v>
      </c>
      <c r="V30" s="18" t="n">
        <v>186654.78</v>
      </c>
      <c r="W30" s="18" t="n">
        <v>164353.86</v>
      </c>
      <c r="X30" s="18" t="n">
        <v>150325.64</v>
      </c>
      <c r="Y30" s="18" t="n">
        <v>140999.44</v>
      </c>
      <c r="Z30" s="34" t="n">
        <v>140999.44</v>
      </c>
      <c r="AA30" s="18" t="n">
        <v>140563.77</v>
      </c>
      <c r="AB30" s="19" t="n">
        <v>136649.23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15359.35</v>
      </c>
      <c r="F31" s="34" t="n">
        <v>15359.35</v>
      </c>
      <c r="G31" s="18" t="n">
        <v>21323.69</v>
      </c>
      <c r="H31" s="18" t="n">
        <v>21749.84</v>
      </c>
      <c r="I31" s="18" t="n">
        <v>33045.29</v>
      </c>
      <c r="J31" s="18" t="n">
        <v>24822.46</v>
      </c>
      <c r="K31" s="34" t="n">
        <v>24822.46</v>
      </c>
      <c r="L31" s="18" t="n">
        <v>23782.36</v>
      </c>
      <c r="M31" s="18" t="n">
        <v>21483.22</v>
      </c>
      <c r="N31" s="18" t="n">
        <v>51148.94</v>
      </c>
      <c r="O31" s="18" t="n">
        <v>40402.35</v>
      </c>
      <c r="P31" s="34" t="n">
        <v>40402.35</v>
      </c>
      <c r="Q31" s="18" t="n">
        <v>44481.94</v>
      </c>
      <c r="R31" s="18" t="n">
        <v>43256.4</v>
      </c>
      <c r="S31" s="18" t="n">
        <v>39192.19</v>
      </c>
      <c r="T31" s="18" t="n">
        <v>35506.43</v>
      </c>
      <c r="U31" s="34" t="n">
        <v>35506.43</v>
      </c>
      <c r="V31" s="18" t="n">
        <v>32798.44</v>
      </c>
      <c r="W31" s="18" t="n">
        <v>45717.67</v>
      </c>
      <c r="X31" s="18" t="n">
        <v>50672.82</v>
      </c>
      <c r="Y31" s="18" t="n">
        <v>38969.49</v>
      </c>
      <c r="Z31" s="34" t="n">
        <v>38969.49</v>
      </c>
      <c r="AA31" s="18" t="n">
        <v>33529.84</v>
      </c>
      <c r="AB31" s="19" t="n">
        <v>44865.76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2281.09</v>
      </c>
      <c r="F32" s="34" t="n">
        <v>2281.09</v>
      </c>
      <c r="G32" s="18" t="n">
        <v>8372.85</v>
      </c>
      <c r="H32" s="18" t="n">
        <v>8358.700000000001</v>
      </c>
      <c r="I32" s="18" t="n">
        <v>16091.73</v>
      </c>
      <c r="J32" s="18" t="n">
        <v>15953.5</v>
      </c>
      <c r="K32" s="34" t="n">
        <v>15953.5</v>
      </c>
      <c r="L32" s="18" t="n">
        <v>15499.95</v>
      </c>
      <c r="M32" s="18" t="n">
        <v>16725</v>
      </c>
      <c r="N32" s="18" t="n">
        <v>33348.7</v>
      </c>
      <c r="O32" s="18" t="n">
        <v>21104.8</v>
      </c>
      <c r="P32" s="34" t="n">
        <v>21104.8</v>
      </c>
      <c r="Q32" s="18" t="n">
        <v>22895.5</v>
      </c>
      <c r="R32" s="18" t="n">
        <v>21311.2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907.83</v>
      </c>
      <c r="F33" s="34" t="n">
        <v>907.83</v>
      </c>
      <c r="G33" s="18" t="n">
        <v>950.74</v>
      </c>
      <c r="H33" s="18" t="n">
        <v>794.78</v>
      </c>
      <c r="I33" s="18" t="n">
        <v>955.75</v>
      </c>
      <c r="J33" s="18" t="n">
        <v>1243.68</v>
      </c>
      <c r="K33" s="34" t="n">
        <v>1243.68</v>
      </c>
      <c r="L33" s="18" t="n">
        <v>1094.45</v>
      </c>
      <c r="M33" s="18" t="n">
        <v>1106.66</v>
      </c>
      <c r="N33" s="18" t="n">
        <v>1131.71</v>
      </c>
      <c r="O33" s="18" t="n">
        <v>991.66</v>
      </c>
      <c r="P33" s="34" t="n">
        <v>991.66</v>
      </c>
      <c r="Q33" s="18" t="n">
        <v>3613.29</v>
      </c>
      <c r="R33" s="18" t="n">
        <v>3374.69</v>
      </c>
      <c r="S33" s="18" t="n">
        <v>3700.14</v>
      </c>
      <c r="T33" s="18" t="n">
        <v>3527.01</v>
      </c>
      <c r="U33" s="34" t="n">
        <v>3527.01</v>
      </c>
      <c r="V33" s="18" t="n">
        <v>3393.86</v>
      </c>
      <c r="W33" s="18" t="n">
        <v>3357.05</v>
      </c>
      <c r="X33" s="18" t="n">
        <v>5419.16</v>
      </c>
      <c r="Y33" s="18" t="n">
        <v>3490.58</v>
      </c>
      <c r="Z33" s="34" t="n">
        <v>3490.58</v>
      </c>
      <c r="AA33" s="18" t="n">
        <v>3856.13</v>
      </c>
      <c r="AB33" s="19" t="n">
        <v>3737.59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907.83</v>
      </c>
      <c r="F34" s="34" t="n">
        <v>907.83</v>
      </c>
      <c r="G34" s="18" t="n">
        <v>1073.15</v>
      </c>
      <c r="H34" s="18" t="n">
        <v>3582.68</v>
      </c>
      <c r="I34" s="18" t="n">
        <v>12316.15</v>
      </c>
      <c r="J34" s="18" t="n">
        <v>1514.73</v>
      </c>
      <c r="K34" s="34" t="n">
        <v>1514.73</v>
      </c>
      <c r="L34" s="18" t="n">
        <v>1571.92</v>
      </c>
      <c r="M34" s="18" t="n">
        <v>1203.89</v>
      </c>
      <c r="N34" s="18" t="n">
        <v>2061.28</v>
      </c>
      <c r="O34" s="18" t="n">
        <v>991.66</v>
      </c>
      <c r="P34" s="34" t="n">
        <v>991.66</v>
      </c>
      <c r="Q34" s="18" t="n">
        <v>4665.94</v>
      </c>
      <c r="R34" s="18" t="n">
        <v>5545.09</v>
      </c>
      <c r="S34" s="18" t="n">
        <v>4072.5</v>
      </c>
      <c r="T34" s="18" t="n">
        <v>13500.61</v>
      </c>
      <c r="U34" s="34" t="n">
        <v>13500.61</v>
      </c>
      <c r="V34" s="18" t="n">
        <v>12914.81</v>
      </c>
      <c r="W34" s="18" t="n">
        <v>3868.27</v>
      </c>
      <c r="X34" s="18" t="n">
        <v>9078.77</v>
      </c>
      <c r="Y34" s="18" t="n">
        <v>8940.01</v>
      </c>
      <c r="Z34" s="34" t="n">
        <v>8940.01</v>
      </c>
      <c r="AA34" s="18" t="n">
        <v>12256.92</v>
      </c>
      <c r="AB34" s="19" t="n">
        <v>10415.85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2737.01</v>
      </c>
      <c r="F35" s="34" t="n">
        <v>2737.01</v>
      </c>
      <c r="G35" s="18" t="n">
        <v>3110.59</v>
      </c>
      <c r="H35" s="18" t="n">
        <v>480.06</v>
      </c>
      <c r="I35" s="18" t="n">
        <v>979.05</v>
      </c>
      <c r="J35" s="18" t="n">
        <v>404.81</v>
      </c>
      <c r="K35" s="34" t="n">
        <v>404.81</v>
      </c>
      <c r="L35" s="18" t="n">
        <v>568.3200000000001</v>
      </c>
      <c r="M35" s="18" t="n">
        <v>585.99</v>
      </c>
      <c r="N35" s="18" t="n">
        <v>707.52</v>
      </c>
      <c r="O35" s="18" t="n">
        <v>737.4</v>
      </c>
      <c r="P35" s="34" t="n">
        <v>737.4</v>
      </c>
      <c r="Q35" s="18" t="n">
        <v>712.26</v>
      </c>
      <c r="R35" s="18" t="n">
        <v>903.85</v>
      </c>
      <c r="S35" s="18" t="n">
        <v>525.21</v>
      </c>
      <c r="T35" s="18" t="n">
        <v>349.23</v>
      </c>
      <c r="U35" s="34" t="n">
        <v>349.23</v>
      </c>
      <c r="V35" s="18" t="n">
        <v>363.25</v>
      </c>
      <c r="W35" s="18" t="n">
        <v>3026.23</v>
      </c>
      <c r="X35" s="18" t="n">
        <v>7734.72</v>
      </c>
      <c r="Y35" s="18" t="n">
        <v>590.61</v>
      </c>
      <c r="Z35" s="34" t="n">
        <v>590.61</v>
      </c>
      <c r="AA35" s="18" t="n">
        <v>1435.39</v>
      </c>
      <c r="AB35" s="19" t="n">
        <v>677.97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4153.83</v>
      </c>
      <c r="F36" s="34" t="n">
        <v>4153.83</v>
      </c>
      <c r="G36" s="18" t="n">
        <v>3393.59</v>
      </c>
      <c r="H36" s="18" t="n">
        <v>3179.71</v>
      </c>
      <c r="I36" s="18" t="n">
        <v>1288.92</v>
      </c>
      <c r="K36" s="9" t="n"/>
      <c r="N36" s="18" t="n">
        <v>1103.74</v>
      </c>
      <c r="O36" s="18" t="n">
        <v>4981.12</v>
      </c>
      <c r="P36" s="34" t="n">
        <v>4981.12</v>
      </c>
      <c r="Q36" s="18" t="n">
        <v>4404.5</v>
      </c>
      <c r="R36" s="18" t="n">
        <v>3666.58</v>
      </c>
      <c r="S36" s="18" t="n">
        <v>4796.24</v>
      </c>
      <c r="T36" s="18" t="n">
        <v>2618.95</v>
      </c>
      <c r="U36" s="34" t="n">
        <v>2618.95</v>
      </c>
      <c r="V36" s="18" t="n">
        <v>4550.25</v>
      </c>
      <c r="W36" s="18" t="n">
        <v>8841.01</v>
      </c>
      <c r="X36" s="18" t="n">
        <v>4484.65</v>
      </c>
      <c r="Y36" s="18" t="n">
        <v>0</v>
      </c>
      <c r="Z36" s="34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1510.58</v>
      </c>
      <c r="F37" s="34" t="n">
        <v>1510.58</v>
      </c>
      <c r="G37" s="18" t="n">
        <v>1510.58</v>
      </c>
      <c r="H37" s="18" t="n">
        <v>2213.47</v>
      </c>
      <c r="I37" s="18" t="n">
        <v>2213.47</v>
      </c>
      <c r="J37" s="18" t="n">
        <v>6784.07</v>
      </c>
      <c r="K37" s="34" t="n">
        <v>6784.07</v>
      </c>
      <c r="L37" s="18" t="n">
        <v>5972.26</v>
      </c>
      <c r="M37" s="18" t="n">
        <v>2764.98</v>
      </c>
      <c r="N37" s="18" t="n">
        <v>3473.65</v>
      </c>
      <c r="O37" s="18" t="n">
        <v>2113.34</v>
      </c>
      <c r="P37" s="34" t="n">
        <v>2113.34</v>
      </c>
      <c r="Q37" s="18" t="n">
        <v>1309.25</v>
      </c>
      <c r="R37" s="18" t="n">
        <v>1309.25</v>
      </c>
      <c r="S37" s="18" t="n">
        <v>181.82</v>
      </c>
      <c r="T37" s="18" t="n">
        <v>696.4400000000001</v>
      </c>
      <c r="U37" s="34" t="n">
        <v>696.4400000000001</v>
      </c>
      <c r="V37" s="18" t="n">
        <v>696.4400000000001</v>
      </c>
      <c r="W37" s="18" t="n">
        <v>696.4400000000001</v>
      </c>
      <c r="X37" s="18" t="n">
        <v>696.4400000000001</v>
      </c>
      <c r="Y37" s="18" t="n">
        <v>4137</v>
      </c>
      <c r="Z37" s="34" t="n">
        <v>4137</v>
      </c>
      <c r="AA37" s="18" t="n">
        <v>8701.889999999999</v>
      </c>
      <c r="AB37" s="19" t="n">
        <v>11693.41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109356.56</v>
      </c>
      <c r="F38" s="34" t="n">
        <v>109356.56</v>
      </c>
      <c r="G38" s="18" t="n">
        <v>119832.53</v>
      </c>
      <c r="H38" s="18" t="n">
        <v>122039.82</v>
      </c>
      <c r="I38" s="18" t="n">
        <v>157212.84</v>
      </c>
      <c r="J38" s="18" t="n">
        <v>181165.8</v>
      </c>
      <c r="K38" s="34" t="n">
        <v>181165.8</v>
      </c>
      <c r="L38" s="18" t="n">
        <v>214413.95</v>
      </c>
      <c r="M38" s="18" t="n">
        <v>250963.59</v>
      </c>
      <c r="N38" s="18" t="n">
        <v>318693.07</v>
      </c>
      <c r="O38" s="18" t="n">
        <v>337774.04</v>
      </c>
      <c r="P38" s="34" t="n">
        <v>337774.04</v>
      </c>
      <c r="Q38" s="18" t="n">
        <v>339381.73</v>
      </c>
      <c r="R38" s="18" t="n">
        <v>361740.73</v>
      </c>
      <c r="S38" s="18" t="n">
        <v>365897.73</v>
      </c>
      <c r="T38" s="18" t="n">
        <v>404682.31</v>
      </c>
      <c r="U38" s="34" t="n">
        <v>404682.31</v>
      </c>
      <c r="V38" s="18" t="n">
        <v>433143.96</v>
      </c>
      <c r="W38" s="18" t="n">
        <v>405797.27</v>
      </c>
      <c r="X38" s="18" t="n">
        <v>408245.89</v>
      </c>
      <c r="Y38" s="18" t="n">
        <v>463052.31</v>
      </c>
      <c r="Z38" s="34" t="n">
        <v>463052.31</v>
      </c>
      <c r="AA38" s="18" t="n">
        <v>509744.37</v>
      </c>
      <c r="AB38" s="19" t="n">
        <v>463747.06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388999.34</v>
      </c>
      <c r="F39" s="34" t="n">
        <v>388999.34</v>
      </c>
      <c r="G39" s="18" t="n">
        <v>385558.64</v>
      </c>
      <c r="H39" s="18" t="n">
        <v>397124.57</v>
      </c>
      <c r="I39" s="18" t="n">
        <v>400193.14</v>
      </c>
      <c r="J39" s="18" t="n">
        <v>404167.83</v>
      </c>
      <c r="K39" s="34" t="n">
        <v>404167.83</v>
      </c>
      <c r="L39" s="18" t="n">
        <v>397771.18</v>
      </c>
      <c r="M39" s="18" t="n">
        <v>404724.35</v>
      </c>
      <c r="N39" s="18" t="n">
        <v>476312.89</v>
      </c>
      <c r="O39" s="18" t="n">
        <v>454654.11</v>
      </c>
      <c r="P39" s="34" t="n">
        <v>454654.11</v>
      </c>
      <c r="Q39" s="18" t="n">
        <v>449280.03</v>
      </c>
      <c r="R39" s="18" t="n">
        <v>459231.48</v>
      </c>
      <c r="S39" s="18" t="n">
        <v>470224.38</v>
      </c>
      <c r="T39" s="18" t="n">
        <v>474286.35</v>
      </c>
      <c r="U39" s="34" t="n">
        <v>474286.35</v>
      </c>
      <c r="V39" s="18" t="n">
        <v>488684.96</v>
      </c>
      <c r="W39" s="18" t="n">
        <v>525647.0699999999</v>
      </c>
      <c r="X39" s="18" t="n">
        <v>540336.38</v>
      </c>
      <c r="Y39" s="18" t="n">
        <v>580170.3100000001</v>
      </c>
      <c r="Z39" s="34" t="n">
        <v>580170.3100000001</v>
      </c>
      <c r="AA39" s="18" t="n">
        <v>580592.59</v>
      </c>
      <c r="AB39" s="19" t="n">
        <v>673458.63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21980.38</v>
      </c>
      <c r="F40" s="34" t="n">
        <v>21980.38</v>
      </c>
      <c r="G40" s="18" t="n">
        <v>21980.38</v>
      </c>
      <c r="H40" s="18" t="n">
        <v>21980.38</v>
      </c>
      <c r="I40" s="18" t="n">
        <v>21980.38</v>
      </c>
      <c r="J40" s="18" t="n">
        <v>21980.38</v>
      </c>
      <c r="K40" s="34" t="n">
        <v>21980.38</v>
      </c>
      <c r="L40" s="18" t="n">
        <v>21980.38</v>
      </c>
      <c r="M40" s="18" t="n">
        <v>21980.38</v>
      </c>
      <c r="N40" s="18" t="n">
        <v>21980.38</v>
      </c>
      <c r="O40" s="18" t="n">
        <v>25954.23</v>
      </c>
      <c r="P40" s="34" t="n">
        <v>25954.23</v>
      </c>
      <c r="Q40" s="18" t="n">
        <v>25954.23</v>
      </c>
      <c r="R40" s="18" t="n">
        <v>25954.23</v>
      </c>
      <c r="S40" s="18" t="n">
        <v>25954.23</v>
      </c>
      <c r="T40" s="18" t="n">
        <v>192789.69</v>
      </c>
      <c r="U40" s="34" t="n">
        <v>192789.69</v>
      </c>
      <c r="V40" s="18" t="n">
        <v>192789.69</v>
      </c>
      <c r="W40" s="18" t="n">
        <v>192789.69</v>
      </c>
      <c r="X40" s="18" t="n">
        <v>192789.69</v>
      </c>
      <c r="Y40" s="18" t="n">
        <v>122789.69</v>
      </c>
      <c r="Z40" s="34" t="n">
        <v>122789.69</v>
      </c>
      <c r="AA40" s="18" t="n">
        <v>122789.69</v>
      </c>
      <c r="AB40" s="19" t="n">
        <v>177321.71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74960.11</v>
      </c>
      <c r="F41" s="34" t="n">
        <v>74960.11</v>
      </c>
      <c r="G41" s="18" t="n">
        <v>74960.11</v>
      </c>
      <c r="H41" s="18" t="n">
        <v>74960.11</v>
      </c>
      <c r="I41" s="18" t="n">
        <v>74960.11</v>
      </c>
      <c r="J41" s="18" t="n">
        <v>74960.11</v>
      </c>
      <c r="K41" s="34" t="n">
        <v>74960.11</v>
      </c>
      <c r="L41" s="18" t="n">
        <v>74960.11</v>
      </c>
      <c r="M41" s="18" t="n">
        <v>74960.11</v>
      </c>
      <c r="N41" s="18" t="n">
        <v>74960.11</v>
      </c>
      <c r="O41" s="18" t="n">
        <v>166835.46</v>
      </c>
      <c r="P41" s="34" t="n">
        <v>166835.46</v>
      </c>
      <c r="Q41" s="18" t="n">
        <v>166835.46</v>
      </c>
      <c r="R41" s="18" t="n">
        <v>166835.46</v>
      </c>
      <c r="S41" s="18" t="n">
        <v>166835.46</v>
      </c>
      <c r="T41" s="18" t="n">
        <v>166835.46</v>
      </c>
      <c r="U41" s="34" t="n">
        <v>166835.46</v>
      </c>
      <c r="V41" s="18" t="n">
        <v>166835.46</v>
      </c>
      <c r="W41" s="18" t="n">
        <v>166835.46</v>
      </c>
      <c r="X41" s="18" t="n">
        <v>166835.46</v>
      </c>
      <c r="Y41" s="18" t="n">
        <v>96835.46000000001</v>
      </c>
      <c r="Z41" s="34" t="n">
        <v>96835.46000000001</v>
      </c>
      <c r="AA41" s="18" t="n">
        <v>96835.46000000001</v>
      </c>
      <c r="AB41" s="19" t="n">
        <v>151014.17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284714.2</v>
      </c>
      <c r="F42" s="34" t="n">
        <v>284714.2</v>
      </c>
      <c r="G42" s="18" t="n">
        <v>281255.43</v>
      </c>
      <c r="H42" s="18" t="n">
        <v>291374.79</v>
      </c>
      <c r="I42" s="18" t="n">
        <v>290275.57</v>
      </c>
      <c r="J42" s="18" t="n">
        <v>299947.16</v>
      </c>
      <c r="K42" s="34" t="n">
        <v>299947.16</v>
      </c>
      <c r="L42" s="18" t="n">
        <v>292454.73</v>
      </c>
      <c r="M42" s="18" t="n">
        <v>299507.23</v>
      </c>
      <c r="N42" s="18" t="n">
        <v>298574.07</v>
      </c>
      <c r="O42" s="18" t="n">
        <v>278294.99</v>
      </c>
      <c r="P42" s="34" t="n">
        <v>278294.99</v>
      </c>
      <c r="Q42" s="18" t="n">
        <v>272364.55</v>
      </c>
      <c r="R42" s="18" t="n">
        <v>281552.57</v>
      </c>
      <c r="S42" s="18" t="n">
        <v>293777.41</v>
      </c>
      <c r="T42" s="18" t="n">
        <v>294860.83</v>
      </c>
      <c r="U42" s="34" t="n">
        <v>294860.83</v>
      </c>
      <c r="V42" s="18" t="n">
        <v>310714.61</v>
      </c>
      <c r="W42" s="18" t="n">
        <v>332788.74</v>
      </c>
      <c r="X42" s="18" t="n">
        <v>345007.55</v>
      </c>
      <c r="Y42" s="18" t="n">
        <v>454119.35</v>
      </c>
      <c r="Z42" s="34" t="n">
        <v>454119.35</v>
      </c>
      <c r="AA42" s="18" t="n">
        <v>440836.81</v>
      </c>
      <c r="AB42" s="19" t="n">
        <v>476369.66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-1193.47</v>
      </c>
      <c r="F43" s="34" t="n">
        <v>-1193.47</v>
      </c>
      <c r="G43" s="18" t="n">
        <v>-1175.4</v>
      </c>
      <c r="H43" s="18" t="n">
        <v>271.16</v>
      </c>
      <c r="I43" s="18" t="n">
        <v>4438.95</v>
      </c>
      <c r="J43" s="18" t="n">
        <v>-1257.94</v>
      </c>
      <c r="K43" s="34" t="n">
        <v>-1257.94</v>
      </c>
      <c r="L43" s="18" t="n">
        <v>-162.17</v>
      </c>
      <c r="M43" s="18" t="n">
        <v>-261.49</v>
      </c>
      <c r="N43" s="18" t="n">
        <v>-586.49</v>
      </c>
      <c r="O43" s="18" t="n">
        <v>-719.91</v>
      </c>
      <c r="P43" s="34" t="n">
        <v>-719.91</v>
      </c>
      <c r="Q43" s="18" t="n">
        <v>-163.55</v>
      </c>
      <c r="R43" s="18" t="n">
        <v>599.88</v>
      </c>
      <c r="S43" s="18" t="n">
        <v>-632.05</v>
      </c>
      <c r="T43" s="18" t="n">
        <v>2351.2</v>
      </c>
      <c r="U43" s="34" t="n">
        <v>2351.2</v>
      </c>
      <c r="V43" s="18" t="n">
        <v>896.03</v>
      </c>
      <c r="W43" s="18" t="n">
        <v>-1584.05</v>
      </c>
      <c r="X43" s="18" t="n">
        <v>886.45</v>
      </c>
      <c r="Y43" s="18" t="n">
        <v>3018.25</v>
      </c>
      <c r="Z43" s="34" t="n">
        <v>3018.25</v>
      </c>
      <c r="AA43" s="18" t="n">
        <v>5535.05</v>
      </c>
      <c r="AB43" s="19" t="n">
        <v>8035.16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8538.129999999999</v>
      </c>
      <c r="F44" s="34" t="n">
        <v>8538.129999999999</v>
      </c>
      <c r="G44" s="18" t="n">
        <v>8538.129999999999</v>
      </c>
      <c r="H44" s="18" t="n">
        <v>8538.129999999999</v>
      </c>
      <c r="I44" s="18" t="n">
        <v>8538.129999999999</v>
      </c>
      <c r="J44" s="18" t="n">
        <v>8538.129999999999</v>
      </c>
      <c r="K44" s="34" t="n">
        <v>8538.129999999999</v>
      </c>
      <c r="L44" s="18" t="n">
        <v>8538.129999999999</v>
      </c>
      <c r="M44" s="18" t="n">
        <v>8538.129999999999</v>
      </c>
      <c r="N44" s="18" t="n">
        <v>81384.83</v>
      </c>
      <c r="O44" s="18" t="n">
        <v>-15710.66</v>
      </c>
      <c r="P44" s="34" t="n">
        <v>-15710.66</v>
      </c>
      <c r="Q44" s="18" t="n">
        <v>-15710.66</v>
      </c>
      <c r="R44" s="18" t="n">
        <v>-15710.66</v>
      </c>
      <c r="S44" s="18" t="n">
        <v>-15710.66</v>
      </c>
      <c r="T44" s="18" t="n">
        <v>-15715.36</v>
      </c>
      <c r="U44" s="34" t="n">
        <v>-15715.36</v>
      </c>
      <c r="V44" s="18" t="n">
        <v>-15715.36</v>
      </c>
      <c r="W44" s="18" t="n">
        <v>1652.7</v>
      </c>
      <c r="X44" s="18" t="n">
        <v>1652.7</v>
      </c>
      <c r="Y44" s="18" t="n">
        <v>243.02</v>
      </c>
      <c r="Z44" s="34" t="n">
        <v>243.02</v>
      </c>
      <c r="AA44" s="18" t="n">
        <v>11431.04</v>
      </c>
      <c r="AB44" s="19" t="n">
        <v>11732.1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388999.34</v>
      </c>
      <c r="F45" s="34" t="n">
        <v>388999.34</v>
      </c>
      <c r="G45" s="18" t="n">
        <v>385558.64</v>
      </c>
      <c r="H45" s="18" t="n">
        <v>397124.57</v>
      </c>
      <c r="I45" s="18" t="n">
        <v>400193.14</v>
      </c>
      <c r="J45" s="18" t="n">
        <v>404167.83</v>
      </c>
      <c r="K45" s="34" t="n">
        <v>404167.83</v>
      </c>
      <c r="L45" s="18" t="n">
        <v>397771.18</v>
      </c>
      <c r="M45" s="18" t="n">
        <v>404724.35</v>
      </c>
      <c r="N45" s="18" t="n">
        <v>476312.89</v>
      </c>
      <c r="O45" s="18" t="n">
        <v>454654.11</v>
      </c>
      <c r="P45" s="34" t="n">
        <v>454654.11</v>
      </c>
      <c r="Q45" s="18" t="n">
        <v>449280.03</v>
      </c>
      <c r="R45" s="18" t="n">
        <v>459231.48</v>
      </c>
      <c r="S45" s="18" t="n">
        <v>470224.38</v>
      </c>
      <c r="T45" s="18" t="n">
        <v>474286.35</v>
      </c>
      <c r="U45" s="34" t="n">
        <v>474286.35</v>
      </c>
      <c r="V45" s="18" t="n">
        <v>488684.96</v>
      </c>
      <c r="W45" s="18" t="n">
        <v>525647.0699999999</v>
      </c>
      <c r="X45" s="18" t="n">
        <v>540336.38</v>
      </c>
      <c r="Y45" s="18" t="n">
        <v>580170.3100000001</v>
      </c>
      <c r="Z45" s="34" t="n">
        <v>580170.3100000001</v>
      </c>
      <c r="AA45" s="18" t="n">
        <v>580592.59</v>
      </c>
      <c r="AB45" s="19" t="n">
        <v>673458.63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498355.91</v>
      </c>
      <c r="F46" s="34" t="n">
        <v>498355.91</v>
      </c>
      <c r="G46" s="18" t="n">
        <v>505391.17</v>
      </c>
      <c r="H46" s="18" t="n">
        <v>519164.39</v>
      </c>
      <c r="I46" s="18" t="n">
        <v>557405.98</v>
      </c>
      <c r="J46" s="18" t="n">
        <v>585333.64</v>
      </c>
      <c r="K46" s="34" t="n">
        <v>585333.64</v>
      </c>
      <c r="L46" s="18" t="n">
        <v>612185.13</v>
      </c>
      <c r="M46" s="18" t="n">
        <v>655687.95</v>
      </c>
      <c r="N46" s="18" t="n">
        <v>795005.97</v>
      </c>
      <c r="O46" s="18" t="n">
        <v>792428.14</v>
      </c>
      <c r="P46" s="34" t="n">
        <v>792428.14</v>
      </c>
      <c r="Q46" s="18" t="n">
        <v>788661.75</v>
      </c>
      <c r="R46" s="18" t="n">
        <v>820972.2</v>
      </c>
      <c r="S46" s="18" t="n">
        <v>836122.12</v>
      </c>
      <c r="T46" s="18" t="n">
        <v>878968.66</v>
      </c>
      <c r="U46" s="34" t="n">
        <v>878968.66</v>
      </c>
      <c r="V46" s="18" t="n">
        <v>921828.9300000001</v>
      </c>
      <c r="W46" s="18" t="n">
        <v>931444.35</v>
      </c>
      <c r="X46" s="18" t="n">
        <v>948582.27</v>
      </c>
      <c r="Y46" s="18" t="n">
        <v>1043222.62</v>
      </c>
      <c r="Z46" s="34" t="n">
        <v>1043222.62</v>
      </c>
      <c r="AA46" s="18" t="n">
        <v>1090336.96</v>
      </c>
      <c r="AB46" s="19" t="n">
        <v>1137205.69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25327.66</v>
      </c>
      <c r="F47" s="34" t="n">
        <v>25327.66</v>
      </c>
      <c r="G47" s="18" t="n">
        <v>27472.76</v>
      </c>
      <c r="H47" s="18" t="n">
        <v>20723.8</v>
      </c>
      <c r="I47" s="18" t="n">
        <v>55174.06</v>
      </c>
      <c r="J47" s="18" t="n">
        <v>61124.92</v>
      </c>
      <c r="K47" s="34" t="n">
        <v>61124.92</v>
      </c>
      <c r="L47" s="18" t="n">
        <v>73027.89999999999</v>
      </c>
      <c r="M47" s="18" t="n">
        <v>92631.3</v>
      </c>
      <c r="N47" s="18" t="n">
        <v>133016.14</v>
      </c>
      <c r="O47" s="18" t="n">
        <v>120536.82</v>
      </c>
      <c r="P47" s="34" t="n">
        <v>120536.82</v>
      </c>
      <c r="Q47" s="18" t="n">
        <v>101120.71</v>
      </c>
      <c r="R47" s="18" t="n">
        <v>96322.53</v>
      </c>
      <c r="S47" s="18" t="n">
        <v>10000</v>
      </c>
      <c r="T47" s="18" t="n">
        <v>5930.95</v>
      </c>
      <c r="U47" s="34" t="n">
        <v>5930.95</v>
      </c>
      <c r="V47" s="18" t="n">
        <v>4724.7</v>
      </c>
      <c r="W47" s="18" t="n">
        <v>5518.45</v>
      </c>
      <c r="X47" s="18" t="n">
        <v>16312.2</v>
      </c>
      <c r="Y47" s="18" t="n">
        <v>3912.2</v>
      </c>
      <c r="Z47" s="34" t="n">
        <v>3912.2</v>
      </c>
      <c r="AA47" s="18" t="n">
        <v>18462.28</v>
      </c>
      <c r="AB47" s="19" t="n">
        <v>2826.27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-49927.1</v>
      </c>
      <c r="F48" s="34" t="n">
        <v>-49927.1</v>
      </c>
      <c r="G48" s="18" t="n">
        <v>-50697.24</v>
      </c>
      <c r="H48" s="18" t="n">
        <v>-9677.15</v>
      </c>
      <c r="I48" s="18" t="n">
        <v>8182.81</v>
      </c>
      <c r="J48" s="18" t="n">
        <v>-5621.49</v>
      </c>
      <c r="K48" s="34" t="n">
        <v>-5621.49</v>
      </c>
      <c r="L48" s="18" t="n">
        <v>32470.57</v>
      </c>
      <c r="M48" s="18" t="n">
        <v>61723.66</v>
      </c>
      <c r="N48" s="18" t="n">
        <v>68920.58</v>
      </c>
      <c r="O48" s="18" t="n">
        <v>40816.46</v>
      </c>
      <c r="P48" s="34" t="n">
        <v>40816.46</v>
      </c>
      <c r="Q48" s="18" t="n">
        <v>46214.75</v>
      </c>
      <c r="R48" s="18" t="n">
        <v>5731.63</v>
      </c>
      <c r="S48" s="18" t="n">
        <v>-79334.03999999999</v>
      </c>
      <c r="T48" s="18" t="n">
        <v>-60232.32</v>
      </c>
      <c r="U48" s="34" t="n">
        <v>-60232.32</v>
      </c>
      <c r="V48" s="18" t="n">
        <v>-115398.87</v>
      </c>
      <c r="W48" s="18" t="n">
        <v>-104149.95</v>
      </c>
      <c r="X48" s="18" t="n">
        <v>-105803.09</v>
      </c>
      <c r="Y48" s="18" t="n">
        <v>-90922.60000000001</v>
      </c>
      <c r="Z48" s="34" t="n">
        <v>-90922.60000000001</v>
      </c>
      <c r="AA48" s="18" t="n">
        <v>-92439.83</v>
      </c>
      <c r="AB48" s="19" t="n">
        <v>-136977.82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83858.24000000001</v>
      </c>
      <c r="F49" s="34" t="n">
        <v>83858.24000000001</v>
      </c>
      <c r="G49" s="18" t="n">
        <v>86789.14</v>
      </c>
      <c r="H49" s="18" t="n">
        <v>39034.25</v>
      </c>
      <c r="I49" s="18" t="n">
        <v>53778.22</v>
      </c>
      <c r="J49" s="18" t="n">
        <v>73757.81</v>
      </c>
      <c r="K49" s="34" t="n">
        <v>73757.81</v>
      </c>
      <c r="L49" s="18" t="n">
        <v>45556.88</v>
      </c>
      <c r="M49" s="18" t="n">
        <v>35463.06</v>
      </c>
      <c r="N49" s="18" t="n">
        <v>64579.56</v>
      </c>
      <c r="O49" s="18" t="n">
        <v>80072.36</v>
      </c>
      <c r="P49" s="34" t="n">
        <v>80072.36</v>
      </c>
      <c r="Q49" s="18" t="n">
        <v>55257.96</v>
      </c>
      <c r="R49" s="18" t="n">
        <v>90942.89999999999</v>
      </c>
      <c r="S49" s="18" t="n">
        <v>89686.03999999999</v>
      </c>
      <c r="T49" s="18" t="n">
        <v>94323.89</v>
      </c>
      <c r="U49" s="34" t="n">
        <v>94323.89</v>
      </c>
      <c r="V49" s="18" t="n">
        <v>145586.08</v>
      </c>
      <c r="W49" s="18" t="n">
        <v>137219.09</v>
      </c>
      <c r="X49" s="18" t="n">
        <v>147809.12</v>
      </c>
      <c r="Y49" s="18" t="n">
        <v>119185.46</v>
      </c>
      <c r="Z49" s="34" t="n">
        <v>119185.46</v>
      </c>
      <c r="AA49" s="18" t="n">
        <v>136147.08</v>
      </c>
      <c r="AB49" s="19" t="n">
        <v>164035.33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6453.32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122.41</v>
      </c>
      <c r="H51" s="18" t="n">
        <v>2787.9</v>
      </c>
      <c r="I51" s="18" t="n">
        <v>11360.4</v>
      </c>
      <c r="J51" s="18" t="n">
        <v>271.05</v>
      </c>
      <c r="K51" s="34" t="n">
        <v>271.05</v>
      </c>
      <c r="L51" s="18" t="n">
        <v>477.47</v>
      </c>
      <c r="M51" s="18" t="n">
        <v>97.23</v>
      </c>
      <c r="N51" s="18" t="n">
        <v>929.5700000000001</v>
      </c>
      <c r="P51" s="9" t="n"/>
      <c r="Q51" s="18" t="n">
        <v>1052.65</v>
      </c>
      <c r="R51" s="18" t="n">
        <v>2170.4</v>
      </c>
      <c r="S51" s="18" t="n">
        <v>372.36</v>
      </c>
      <c r="T51" s="18" t="n">
        <v>9973.6</v>
      </c>
      <c r="U51" s="34" t="n">
        <v>9973.6</v>
      </c>
      <c r="V51" s="18" t="n">
        <v>9520.950000000001</v>
      </c>
      <c r="W51" s="18" t="n">
        <v>511.22</v>
      </c>
      <c r="X51" s="18" t="n">
        <v>3659.61</v>
      </c>
      <c r="Y51" s="18" t="n">
        <v>5449.43</v>
      </c>
      <c r="Z51" s="34" t="n">
        <v>5449.43</v>
      </c>
      <c r="AA51" s="18" t="n">
        <v>8400.790000000001</v>
      </c>
      <c r="AB51" s="19" t="n">
        <v>6678.26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F52" s="9" t="n"/>
      <c r="G52" s="18" t="n">
        <v>0</v>
      </c>
      <c r="K52" s="9" t="n"/>
      <c r="P52" s="9" t="n"/>
      <c r="U52" s="9" t="n"/>
      <c r="V52" s="18" t="n">
        <v>0</v>
      </c>
      <c r="W52" s="18" t="n">
        <v>0</v>
      </c>
      <c r="X52" s="18" t="n">
        <v>0</v>
      </c>
      <c r="Y52" s="18" t="n">
        <v>0</v>
      </c>
      <c r="Z52" s="34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89467.44</v>
      </c>
      <c r="O53" s="18" t="n">
        <v>89232.02</v>
      </c>
      <c r="P53" s="34" t="n">
        <v>89232.02</v>
      </c>
      <c r="Q53" s="18" t="n">
        <v>68025.21000000001</v>
      </c>
      <c r="R53" s="18" t="n">
        <v>64811.33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N54" s="18" t="n">
        <v>10200</v>
      </c>
      <c r="O54" s="18" t="n">
        <v>10200</v>
      </c>
      <c r="P54" s="34" t="n">
        <v>10200</v>
      </c>
      <c r="Q54" s="18" t="n">
        <v>10200</v>
      </c>
      <c r="R54" s="18" t="n">
        <v>10200</v>
      </c>
      <c r="S54" s="18" t="n">
        <v>10000</v>
      </c>
      <c r="T54" s="18" t="n">
        <v>0</v>
      </c>
      <c r="U54" s="34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O55" s="18" t="n">
        <v>15730.94</v>
      </c>
      <c r="P55" s="34" t="n">
        <v>15730.94</v>
      </c>
      <c r="Q55" s="18" t="n">
        <v>15719.73</v>
      </c>
      <c r="R55" s="18" t="n">
        <v>9294.34</v>
      </c>
      <c r="S55" s="18" t="n">
        <v>15697.31</v>
      </c>
      <c r="T55" s="18" t="n">
        <v>15686.1</v>
      </c>
      <c r="U55" s="34" t="n">
        <v>15686.1</v>
      </c>
      <c r="V55" s="18" t="n">
        <v>15674.89</v>
      </c>
      <c r="W55" s="18" t="n">
        <v>15663.68</v>
      </c>
      <c r="X55" s="18" t="n">
        <v>15652.47</v>
      </c>
      <c r="Y55" s="18" t="n">
        <v>15641.26</v>
      </c>
      <c r="Z55" s="34" t="n">
        <v>15641.26</v>
      </c>
      <c r="AA55" s="18" t="n">
        <v>15630.05</v>
      </c>
      <c r="AB55" s="19" t="n">
        <v>15789.67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K56" s="9" t="n"/>
      <c r="P56" s="9" t="n"/>
      <c r="R56" s="18" t="n">
        <v>2107.17</v>
      </c>
      <c r="S56" s="18" t="n">
        <v>1849.34</v>
      </c>
      <c r="T56" s="18" t="n">
        <v>1873.72</v>
      </c>
      <c r="U56" s="34" t="n">
        <v>1873.72</v>
      </c>
      <c r="V56" s="18" t="n">
        <v>1760.71</v>
      </c>
      <c r="W56" s="18" t="n">
        <v>1570.29</v>
      </c>
      <c r="X56" s="18" t="n">
        <v>1411.24</v>
      </c>
      <c r="Y56" s="18" t="n">
        <v>2027.81</v>
      </c>
      <c r="Z56" s="34" t="n">
        <v>2027.81</v>
      </c>
      <c r="AA56" s="18" t="n">
        <v>2039.45</v>
      </c>
      <c r="AB56" s="19" t="n">
        <v>217.63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174297.13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8836.290000000001</v>
      </c>
      <c r="U58" s="34" t="n">
        <v>8836.290000000001</v>
      </c>
      <c r="V58" s="18" t="n">
        <v>8348.9</v>
      </c>
      <c r="W58" s="18" t="n">
        <v>1965.76</v>
      </c>
      <c r="X58" s="18" t="n">
        <v>3812.27</v>
      </c>
      <c r="Y58" s="18" t="n">
        <v>5320.45</v>
      </c>
      <c r="Z58" s="34" t="n">
        <v>5320.45</v>
      </c>
      <c r="AA58" s="18" t="n">
        <v>10209.77</v>
      </c>
      <c r="AB58" s="19" t="n">
        <v>12596.44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81273.74000000001</v>
      </c>
      <c r="F63" s="9" t="n"/>
      <c r="G63" s="18" t="n">
        <v>77743.11</v>
      </c>
      <c r="H63" s="18" t="n">
        <v>71565.75</v>
      </c>
      <c r="I63" s="18" t="n">
        <v>114027.69</v>
      </c>
      <c r="J63" s="18" t="n">
        <v>105934.32</v>
      </c>
      <c r="K63" s="34" t="n">
        <v>369270.87</v>
      </c>
      <c r="L63" s="18" t="n">
        <v>102992.29</v>
      </c>
      <c r="M63" s="18" t="n">
        <v>133812.83</v>
      </c>
      <c r="N63" s="18" t="n">
        <v>155652.76</v>
      </c>
      <c r="O63" s="18" t="n">
        <v>201959.49</v>
      </c>
      <c r="P63" s="34" t="n">
        <v>594417.37</v>
      </c>
      <c r="Q63" s="18" t="n">
        <v>182749.95</v>
      </c>
      <c r="R63" s="18" t="n">
        <v>194212.27</v>
      </c>
      <c r="S63" s="18" t="n">
        <v>170620.84</v>
      </c>
      <c r="T63" s="18" t="n">
        <v>194157.79</v>
      </c>
      <c r="U63" s="34" t="n">
        <v>741740.85</v>
      </c>
      <c r="V63" s="18" t="n">
        <v>224561.93</v>
      </c>
      <c r="W63" s="18" t="n">
        <v>231273.16</v>
      </c>
      <c r="X63" s="18" t="n">
        <v>221132.12</v>
      </c>
      <c r="Y63" s="18" t="n">
        <v>231843</v>
      </c>
      <c r="Z63" s="34" t="n">
        <v>908810.21</v>
      </c>
      <c r="AA63" s="18" t="n">
        <v>211821.54</v>
      </c>
      <c r="AB63" s="19" t="n">
        <v>243377.66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70740.96000000001</v>
      </c>
      <c r="F64" s="9" t="n"/>
      <c r="G64" s="18" t="n">
        <v>66986.07000000001</v>
      </c>
      <c r="H64" s="18" t="n">
        <v>61834.85</v>
      </c>
      <c r="I64" s="18" t="n">
        <v>93667.89</v>
      </c>
      <c r="J64" s="18" t="n">
        <v>90708.75</v>
      </c>
      <c r="K64" s="34" t="n">
        <v>313197.56</v>
      </c>
      <c r="L64" s="18" t="n">
        <v>89138.14999999999</v>
      </c>
      <c r="M64" s="18" t="n">
        <v>116028.76</v>
      </c>
      <c r="N64" s="18" t="n">
        <v>139255.84</v>
      </c>
      <c r="O64" s="18" t="n">
        <v>186840.58</v>
      </c>
      <c r="P64" s="34" t="n">
        <v>531263.33</v>
      </c>
      <c r="Q64" s="18" t="n">
        <v>161818.12</v>
      </c>
      <c r="R64" s="18" t="n">
        <v>160110.6</v>
      </c>
      <c r="S64" s="18" t="n">
        <v>144443.56</v>
      </c>
      <c r="T64" s="18" t="n">
        <v>157786.06</v>
      </c>
      <c r="U64" s="34" t="n">
        <v>624158.34</v>
      </c>
      <c r="V64" s="18" t="n">
        <v>174552.63</v>
      </c>
      <c r="W64" s="18" t="n">
        <v>179708.49</v>
      </c>
      <c r="X64" s="18" t="n">
        <v>171776.57</v>
      </c>
      <c r="Y64" s="18" t="n">
        <v>169858.28</v>
      </c>
      <c r="Z64" s="34" t="n">
        <v>695895.97</v>
      </c>
      <c r="AA64" s="18" t="n">
        <v>148676.27</v>
      </c>
      <c r="AB64" s="19" t="n">
        <v>171921.09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10532.78</v>
      </c>
      <c r="F65" s="9" t="n"/>
      <c r="G65" s="18" t="n">
        <v>10757.04</v>
      </c>
      <c r="H65" s="18" t="n">
        <v>9730.9</v>
      </c>
      <c r="I65" s="18" t="n">
        <v>20359.8</v>
      </c>
      <c r="J65" s="18" t="n">
        <v>15225.57</v>
      </c>
      <c r="K65" s="34" t="n">
        <v>56073.31</v>
      </c>
      <c r="L65" s="18" t="n">
        <v>13854.14</v>
      </c>
      <c r="M65" s="18" t="n">
        <v>17784.07</v>
      </c>
      <c r="N65" s="18" t="n">
        <v>16396.93</v>
      </c>
      <c r="O65" s="18" t="n">
        <v>15118.92</v>
      </c>
      <c r="P65" s="34" t="n">
        <v>63154.06</v>
      </c>
      <c r="Q65" s="18" t="n">
        <v>20931.83</v>
      </c>
      <c r="R65" s="18" t="n">
        <v>34101.67</v>
      </c>
      <c r="S65" s="18" t="n">
        <v>26177.28</v>
      </c>
      <c r="T65" s="18" t="n">
        <v>36371.73</v>
      </c>
      <c r="U65" s="34" t="n">
        <v>117582.51</v>
      </c>
      <c r="V65" s="18" t="n">
        <v>50009.3</v>
      </c>
      <c r="W65" s="18" t="n">
        <v>51564.68</v>
      </c>
      <c r="X65" s="18" t="n">
        <v>49355.55</v>
      </c>
      <c r="Y65" s="18" t="n">
        <v>61984.72</v>
      </c>
      <c r="Z65" s="34" t="n">
        <v>212914.25</v>
      </c>
      <c r="AA65" s="18" t="n">
        <v>63145.27</v>
      </c>
      <c r="AB65" s="19" t="n">
        <v>71456.57000000001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7255.59</v>
      </c>
      <c r="F66" s="9" t="n"/>
      <c r="G66" s="18" t="n">
        <v>6473.67</v>
      </c>
      <c r="H66" s="18" t="n">
        <v>7239.26</v>
      </c>
      <c r="I66" s="18" t="n">
        <v>8375.030000000001</v>
      </c>
      <c r="J66" s="18" t="n">
        <v>9187.290000000001</v>
      </c>
      <c r="K66" s="34" t="n">
        <v>31275.25</v>
      </c>
      <c r="L66" s="18" t="n">
        <v>10116.23</v>
      </c>
      <c r="M66" s="18" t="n">
        <v>9889.5</v>
      </c>
      <c r="N66" s="18" t="n">
        <v>11782.62</v>
      </c>
      <c r="O66" s="18" t="n">
        <v>14899.97</v>
      </c>
      <c r="P66" s="34" t="n">
        <v>46688.32</v>
      </c>
      <c r="Q66" s="18" t="n">
        <v>18323.81</v>
      </c>
      <c r="R66" s="18" t="n">
        <v>16322.21</v>
      </c>
      <c r="S66" s="18" t="n">
        <v>18493.15</v>
      </c>
      <c r="T66" s="18" t="n">
        <v>18997.04</v>
      </c>
      <c r="U66" s="34" t="n">
        <v>72136.21000000001</v>
      </c>
      <c r="V66" s="18" t="n">
        <v>18901.91</v>
      </c>
      <c r="W66" s="18" t="n">
        <v>19921.13</v>
      </c>
      <c r="X66" s="18" t="n">
        <v>19493.05</v>
      </c>
      <c r="Y66" s="18" t="n">
        <v>23647.64</v>
      </c>
      <c r="Z66" s="34" t="n">
        <v>81963.73</v>
      </c>
      <c r="AA66" s="18" t="n">
        <v>22079.16</v>
      </c>
      <c r="AB66" s="19" t="n">
        <v>21056.74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3277.2</v>
      </c>
      <c r="F67" s="9" t="n"/>
      <c r="G67" s="18" t="n">
        <v>4283.38</v>
      </c>
      <c r="H67" s="18" t="n">
        <v>2491.64</v>
      </c>
      <c r="I67" s="18" t="n">
        <v>11984.76</v>
      </c>
      <c r="J67" s="18" t="n">
        <v>6038.28</v>
      </c>
      <c r="K67" s="34" t="n">
        <v>24798.06</v>
      </c>
      <c r="L67" s="18" t="n">
        <v>3737.91</v>
      </c>
      <c r="M67" s="18" t="n">
        <v>7894.56</v>
      </c>
      <c r="N67" s="18" t="n">
        <v>4614.3</v>
      </c>
      <c r="O67" s="18" t="n">
        <v>218.94</v>
      </c>
      <c r="P67" s="34" t="n">
        <v>16465.71</v>
      </c>
      <c r="Q67" s="18" t="n">
        <v>2608.02</v>
      </c>
      <c r="R67" s="18" t="n">
        <v>17779.47</v>
      </c>
      <c r="S67" s="18" t="n">
        <v>7684.12</v>
      </c>
      <c r="T67" s="18" t="n">
        <v>17374.69</v>
      </c>
      <c r="U67" s="34" t="n">
        <v>45446.3</v>
      </c>
      <c r="V67" s="18" t="n">
        <v>31107.39</v>
      </c>
      <c r="W67" s="18" t="n">
        <v>31643.55</v>
      </c>
      <c r="X67" s="18" t="n">
        <v>29862.51</v>
      </c>
      <c r="Y67" s="18" t="n">
        <v>38337.08</v>
      </c>
      <c r="Z67" s="34" t="n">
        <v>130950.53</v>
      </c>
      <c r="AA67" s="18" t="n">
        <v>41066.11</v>
      </c>
      <c r="AB67" s="19" t="n">
        <v>50399.83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9480.98</v>
      </c>
      <c r="F68" s="9" t="n"/>
      <c r="G68" s="18" t="n">
        <v>102</v>
      </c>
      <c r="H68" s="18" t="n">
        <v>9016.940000000001</v>
      </c>
      <c r="I68" s="18" t="n">
        <v>766.15</v>
      </c>
      <c r="J68" s="18" t="n">
        <v>-1780.77</v>
      </c>
      <c r="K68" s="34" t="n">
        <v>8104.32</v>
      </c>
      <c r="L68" s="18" t="n">
        <v>109.18</v>
      </c>
      <c r="M68" s="18" t="n">
        <v>10327.58</v>
      </c>
      <c r="N68" s="18" t="n">
        <v>10606.52</v>
      </c>
      <c r="O68" s="18" t="n">
        <v>681.84</v>
      </c>
      <c r="P68" s="34" t="n">
        <v>21725.12</v>
      </c>
      <c r="Q68" s="18" t="n">
        <v>1600.37</v>
      </c>
      <c r="R68" s="18" t="n">
        <v>-70.98999999999999</v>
      </c>
      <c r="S68" s="18" t="n">
        <v>769.98</v>
      </c>
      <c r="T68" s="18" t="n">
        <v>542.7</v>
      </c>
      <c r="U68" s="34" t="n">
        <v>2842.06</v>
      </c>
      <c r="V68" s="18" t="n">
        <v>297.34</v>
      </c>
      <c r="W68" s="18" t="n">
        <v>512.27</v>
      </c>
      <c r="X68" s="18" t="n">
        <v>445.4</v>
      </c>
      <c r="Y68" s="18" t="n">
        <v>5078.61</v>
      </c>
      <c r="Z68" s="34" t="n">
        <v>6333.62</v>
      </c>
      <c r="AA68" s="18" t="n">
        <v>401.44</v>
      </c>
      <c r="AB68" s="19" t="n">
        <v>2046.96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16885.62</v>
      </c>
      <c r="F69" s="9" t="n"/>
      <c r="G69" s="18" t="n">
        <v>26.59</v>
      </c>
      <c r="H69" s="18" t="n">
        <v>32.62</v>
      </c>
      <c r="I69" s="18" t="n">
        <v>37.23</v>
      </c>
      <c r="J69" s="18" t="n">
        <v>54.55</v>
      </c>
      <c r="K69" s="34" t="n">
        <v>150.99</v>
      </c>
      <c r="L69" s="18" t="n">
        <v>33.29</v>
      </c>
      <c r="M69" s="18" t="n">
        <v>16853.91</v>
      </c>
      <c r="N69" s="18" t="n">
        <v>9399.76</v>
      </c>
      <c r="O69" s="18" t="n">
        <v>17926.06</v>
      </c>
      <c r="P69" s="34" t="n">
        <v>44213.02</v>
      </c>
      <c r="Q69" s="18" t="n">
        <v>131.42</v>
      </c>
      <c r="R69" s="18" t="n">
        <v>157.32</v>
      </c>
      <c r="S69" s="18" t="n">
        <v>417.03</v>
      </c>
      <c r="T69" s="18" t="n">
        <v>1012.82</v>
      </c>
      <c r="U69" s="34" t="n">
        <v>1718.59</v>
      </c>
      <c r="V69" s="18" t="n">
        <v>1563.26</v>
      </c>
      <c r="W69" s="18" t="n">
        <v>214.06</v>
      </c>
      <c r="X69" s="18" t="n">
        <v>249.7</v>
      </c>
      <c r="Y69" s="18" t="n">
        <v>447.35</v>
      </c>
      <c r="Z69" s="34" t="n">
        <v>2474.37</v>
      </c>
      <c r="AA69" s="18" t="n">
        <v>373.31</v>
      </c>
      <c r="AB69" s="19" t="n">
        <v>758.78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4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E71" s="18" t="n">
        <v>-1379.92</v>
      </c>
      <c r="F71" s="9" t="n"/>
      <c r="G71" s="18" t="n">
        <v>-147.01</v>
      </c>
      <c r="H71" s="18" t="n">
        <v>118.79</v>
      </c>
      <c r="I71" s="18" t="n">
        <v>168.73</v>
      </c>
      <c r="J71" s="18" t="n">
        <v>-159.87</v>
      </c>
      <c r="K71" s="34" t="n">
        <v>-19.36</v>
      </c>
      <c r="L71" s="18" t="n">
        <v>-592.85</v>
      </c>
      <c r="M71" s="18" t="n">
        <v>-4.99</v>
      </c>
      <c r="O71" s="18" t="n">
        <v>0</v>
      </c>
      <c r="P71" s="9" t="n"/>
      <c r="Q71" s="18" t="n">
        <v>26.38</v>
      </c>
      <c r="R71" s="18" t="n">
        <v>84.69</v>
      </c>
      <c r="S71" s="18" t="n">
        <v>-96.51000000000001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2773.94</v>
      </c>
      <c r="F72" s="9" t="n"/>
      <c r="G72" s="18" t="n">
        <v>2302.86</v>
      </c>
      <c r="H72" s="18" t="n">
        <v>5733.97</v>
      </c>
      <c r="I72" s="18" t="n">
        <v>6341.59</v>
      </c>
      <c r="J72" s="18" t="n">
        <v>2126.71</v>
      </c>
      <c r="K72" s="34" t="n">
        <v>16505.13</v>
      </c>
      <c r="L72" s="18" t="n">
        <v>3299.16</v>
      </c>
      <c r="M72" s="18" t="n">
        <v>6460.19</v>
      </c>
      <c r="N72" s="18" t="n">
        <v>4055.81</v>
      </c>
      <c r="O72" s="18" t="n">
        <v>3381.27</v>
      </c>
      <c r="P72" s="34" t="n">
        <v>17196.43</v>
      </c>
      <c r="Q72" s="18" t="n">
        <v>6095.31</v>
      </c>
      <c r="R72" s="18" t="n">
        <v>4463.38</v>
      </c>
      <c r="S72" s="18" t="n">
        <v>5333.8</v>
      </c>
      <c r="T72" s="18" t="n">
        <v>7707.81</v>
      </c>
      <c r="U72" s="34" t="n">
        <v>23600.3</v>
      </c>
      <c r="V72" s="18" t="n">
        <v>7210.55</v>
      </c>
      <c r="W72" s="18" t="n">
        <v>25333.78</v>
      </c>
      <c r="X72" s="18" t="n">
        <v>1015.75</v>
      </c>
      <c r="Y72" s="18" t="n">
        <v>8144.09</v>
      </c>
      <c r="Z72" s="34" t="n">
        <v>41704.17</v>
      </c>
      <c r="AA72" s="18" t="n">
        <v>33312.07</v>
      </c>
      <c r="AB72" s="19" t="n">
        <v>10724.98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1253.52</v>
      </c>
      <c r="F73" s="9" t="n"/>
      <c r="G73" s="18" t="n">
        <v>2180.22</v>
      </c>
      <c r="H73" s="18" t="n">
        <v>6901.31</v>
      </c>
      <c r="I73" s="18" t="n">
        <v>17240.09</v>
      </c>
      <c r="J73" s="18" t="n">
        <v>-5984.56</v>
      </c>
      <c r="K73" s="34" t="n">
        <v>20337.06</v>
      </c>
      <c r="L73" s="18" t="n">
        <v>7210.52</v>
      </c>
      <c r="M73" s="18" t="n">
        <v>1282.13</v>
      </c>
      <c r="N73" s="18" t="n">
        <v>7440.69</v>
      </c>
      <c r="O73" s="18" t="n">
        <v>1706.49</v>
      </c>
      <c r="P73" s="34" t="n">
        <v>17639.83</v>
      </c>
      <c r="Q73" s="18" t="n">
        <v>8369.49</v>
      </c>
      <c r="R73" s="18" t="n">
        <v>7068.48</v>
      </c>
      <c r="S73" s="18" t="n">
        <v>1419.27</v>
      </c>
      <c r="T73" s="18" t="n">
        <v>24770.87</v>
      </c>
      <c r="U73" s="34" t="n">
        <v>41628.11</v>
      </c>
      <c r="V73" s="18" t="n">
        <v>8121.01</v>
      </c>
      <c r="W73" s="18" t="n">
        <v>21257.65</v>
      </c>
      <c r="X73" s="18" t="n">
        <v>9284.219999999999</v>
      </c>
      <c r="Y73" s="18" t="n">
        <v>6593.01</v>
      </c>
      <c r="Z73" s="34" t="n">
        <v>45255.89</v>
      </c>
      <c r="AA73" s="18" t="n">
        <v>52603.48</v>
      </c>
      <c r="AB73" s="19" t="n">
        <v>13778.26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-3986.95</v>
      </c>
      <c r="F74" s="9" t="n"/>
      <c r="G74" s="18" t="n">
        <v>4334.42</v>
      </c>
      <c r="H74" s="18" t="n">
        <v>10427.41</v>
      </c>
      <c r="I74" s="18" t="n">
        <v>1983.91</v>
      </c>
      <c r="J74" s="18" t="n">
        <v>12154.35</v>
      </c>
      <c r="K74" s="34" t="n">
        <v>28900.09</v>
      </c>
      <c r="L74" s="18" t="n">
        <v>-690.41</v>
      </c>
      <c r="M74" s="18" t="n">
        <v>6541.31</v>
      </c>
      <c r="N74" s="18" t="n">
        <v>2436.18</v>
      </c>
      <c r="O74" s="18" t="n">
        <v>-15350.51</v>
      </c>
      <c r="P74" s="34" t="n">
        <v>-7063.43</v>
      </c>
      <c r="Q74" s="18" t="n">
        <v>1829.18</v>
      </c>
      <c r="R74" s="18" t="n">
        <v>15030.75</v>
      </c>
      <c r="S74" s="18" t="n">
        <v>11855.1</v>
      </c>
      <c r="T74" s="18" t="n">
        <v>-275.82</v>
      </c>
      <c r="U74" s="34" t="n">
        <v>28439.21</v>
      </c>
      <c r="V74" s="18" t="n">
        <v>28893.14</v>
      </c>
      <c r="W74" s="18" t="n">
        <v>35964.98</v>
      </c>
      <c r="X74" s="18" t="n">
        <v>21614.26</v>
      </c>
      <c r="Y74" s="18" t="n">
        <v>45391.23</v>
      </c>
      <c r="Z74" s="34" t="n">
        <v>131863.61</v>
      </c>
      <c r="AA74" s="18" t="n">
        <v>21732.84</v>
      </c>
      <c r="AB74" s="19" t="n">
        <v>48544.14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4695.85</v>
      </c>
      <c r="F75" s="9" t="n"/>
      <c r="G75" s="18" t="n">
        <v>1231.35</v>
      </c>
      <c r="H75" s="18" t="n">
        <v>1490.01</v>
      </c>
      <c r="I75" s="18" t="n">
        <v>2831.9</v>
      </c>
      <c r="J75" s="18" t="n">
        <v>3085.95</v>
      </c>
      <c r="K75" s="34" t="n">
        <v>8639.209999999999</v>
      </c>
      <c r="L75" s="18" t="n">
        <v>1254.02</v>
      </c>
      <c r="M75" s="18" t="n">
        <v>-379.45</v>
      </c>
      <c r="N75" s="18" t="n">
        <v>3496.45</v>
      </c>
      <c r="O75" s="18" t="n">
        <v>2011.86</v>
      </c>
      <c r="P75" s="34" t="n">
        <v>6382.88</v>
      </c>
      <c r="Q75" s="18" t="n">
        <v>1809.05</v>
      </c>
      <c r="R75" s="18" t="n">
        <v>6364.56</v>
      </c>
      <c r="S75" s="18" t="n">
        <v>-413.91</v>
      </c>
      <c r="T75" s="18" t="n">
        <v>355.55</v>
      </c>
      <c r="U75" s="34" t="n">
        <v>8115.25</v>
      </c>
      <c r="V75" s="18" t="n">
        <v>7037.28</v>
      </c>
      <c r="W75" s="18" t="n">
        <v>6607.14</v>
      </c>
      <c r="X75" s="18" t="n">
        <v>5951.8</v>
      </c>
      <c r="Y75" s="18" t="n">
        <v>10523.67</v>
      </c>
      <c r="Z75" s="34" t="n">
        <v>30119.89</v>
      </c>
      <c r="AA75" s="18" t="n">
        <v>6209.77</v>
      </c>
      <c r="AB75" s="19" t="n">
        <v>11982.47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-8682.799999999999</v>
      </c>
      <c r="F76" s="9" t="n"/>
      <c r="G76" s="18" t="n">
        <v>3103.07</v>
      </c>
      <c r="H76" s="18" t="n">
        <v>8937.4</v>
      </c>
      <c r="I76" s="18" t="n">
        <v>-847.99</v>
      </c>
      <c r="J76" s="18" t="n">
        <v>9068.4</v>
      </c>
      <c r="K76" s="34" t="n">
        <v>20260.88</v>
      </c>
      <c r="L76" s="18" t="n">
        <v>-1944.42</v>
      </c>
      <c r="M76" s="18" t="n">
        <v>6920.76</v>
      </c>
      <c r="N76" s="18" t="n">
        <v>-1060.27</v>
      </c>
      <c r="O76" s="18" t="n">
        <v>-17362.37</v>
      </c>
      <c r="P76" s="34" t="n">
        <v>-13446.3</v>
      </c>
      <c r="Q76" s="18" t="n">
        <v>20.14</v>
      </c>
      <c r="R76" s="18" t="n">
        <v>8666.190000000001</v>
      </c>
      <c r="S76" s="18" t="n">
        <v>12269.01</v>
      </c>
      <c r="T76" s="18" t="n">
        <v>-631.38</v>
      </c>
      <c r="U76" s="34" t="n">
        <v>20323.96</v>
      </c>
      <c r="V76" s="18" t="n">
        <v>21855.86</v>
      </c>
      <c r="W76" s="18" t="n">
        <v>29357.84</v>
      </c>
      <c r="X76" s="18" t="n">
        <v>15662.46</v>
      </c>
      <c r="Y76" s="18" t="n">
        <v>34867.56</v>
      </c>
      <c r="Z76" s="34" t="n">
        <v>101743.72</v>
      </c>
      <c r="AA76" s="18" t="n">
        <v>15523.07</v>
      </c>
      <c r="AB76" s="19" t="n">
        <v>36561.67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-8.029999999999999</v>
      </c>
      <c r="F77" s="9" t="n"/>
      <c r="G77" s="18" t="n">
        <v>6.18</v>
      </c>
      <c r="H77" s="18" t="n">
        <v>0.13</v>
      </c>
      <c r="I77" s="18" t="n">
        <v>0.18</v>
      </c>
      <c r="J77" s="18" t="n">
        <v>-6.5</v>
      </c>
      <c r="K77" s="34" t="n">
        <v>-0.01</v>
      </c>
      <c r="L77" s="18" t="n">
        <v>5.99</v>
      </c>
      <c r="M77" s="18" t="n">
        <v>0.09</v>
      </c>
      <c r="N77" s="18" t="n">
        <v>0.03</v>
      </c>
      <c r="O77" s="18" t="n">
        <v>-9.24</v>
      </c>
      <c r="P77" s="34" t="n">
        <v>-3.13</v>
      </c>
      <c r="R77" s="18" t="n">
        <v>0</v>
      </c>
      <c r="T77" s="18" t="n">
        <v>-2.61</v>
      </c>
      <c r="U77" s="9" t="n"/>
      <c r="V77" s="18" t="n">
        <v>0</v>
      </c>
      <c r="W77" s="18" t="n">
        <v>-0.18</v>
      </c>
      <c r="X77" s="18" t="n">
        <v>0</v>
      </c>
      <c r="Y77" s="18" t="n">
        <v>0</v>
      </c>
      <c r="Z77" s="34" t="n">
        <v>-0.18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-8690.83</v>
      </c>
      <c r="F78" s="9" t="n"/>
      <c r="G78" s="18" t="n">
        <v>3109.25</v>
      </c>
      <c r="H78" s="18" t="n">
        <v>8937.530000000001</v>
      </c>
      <c r="I78" s="18" t="n">
        <v>-847.8099999999999</v>
      </c>
      <c r="J78" s="18" t="n">
        <v>9061.9</v>
      </c>
      <c r="K78" s="34" t="n">
        <v>20260.87</v>
      </c>
      <c r="L78" s="18" t="n">
        <v>-1938.44</v>
      </c>
      <c r="M78" s="18" t="n">
        <v>6920.85</v>
      </c>
      <c r="N78" s="18" t="n">
        <v>-1060.24</v>
      </c>
      <c r="O78" s="18" t="n">
        <v>-17371.61</v>
      </c>
      <c r="P78" s="34" t="n">
        <v>-13449.44</v>
      </c>
      <c r="Q78" s="18" t="n">
        <v>20.14</v>
      </c>
      <c r="R78" s="18" t="n">
        <v>8666.190000000001</v>
      </c>
      <c r="S78" s="18" t="n">
        <v>12269.01</v>
      </c>
      <c r="T78" s="18" t="n">
        <v>-633.99</v>
      </c>
      <c r="U78" s="34" t="n">
        <v>20321.35</v>
      </c>
      <c r="V78" s="18" t="n">
        <v>21855.86</v>
      </c>
      <c r="W78" s="18" t="n">
        <v>29357.66</v>
      </c>
      <c r="X78" s="18" t="n">
        <v>15662.46</v>
      </c>
      <c r="Y78" s="18" t="n">
        <v>34867.56</v>
      </c>
      <c r="Z78" s="34" t="n">
        <v>101743.54</v>
      </c>
      <c r="AA78" s="18" t="n">
        <v>15523.07</v>
      </c>
      <c r="AB78" s="19" t="n">
        <v>36561.67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-7959.11</v>
      </c>
      <c r="F79" s="9" t="n"/>
      <c r="G79" s="18" t="n">
        <v>3012.63</v>
      </c>
      <c r="H79" s="18" t="n">
        <v>11565.93</v>
      </c>
      <c r="I79" s="18" t="n">
        <v>3068.57</v>
      </c>
      <c r="J79" s="18" t="n">
        <v>3974.7</v>
      </c>
      <c r="K79" s="34" t="n">
        <v>21621.83</v>
      </c>
      <c r="L79" s="18" t="n">
        <v>-803.78</v>
      </c>
      <c r="M79" s="18" t="n">
        <v>6953.18</v>
      </c>
      <c r="N79" s="18" t="n">
        <v>-1258.17</v>
      </c>
      <c r="O79" s="18" t="n">
        <v>-20412.49</v>
      </c>
      <c r="P79" s="34" t="n">
        <v>-15521.26</v>
      </c>
      <c r="Q79" s="18" t="n">
        <v>39.87</v>
      </c>
      <c r="R79" s="18" t="n">
        <v>9951.450000000001</v>
      </c>
      <c r="S79" s="18" t="n">
        <v>10992.91</v>
      </c>
      <c r="T79" s="18" t="n">
        <v>4066.67</v>
      </c>
      <c r="U79" s="34" t="n">
        <v>25050.9</v>
      </c>
      <c r="V79" s="18" t="n">
        <v>20796.92</v>
      </c>
      <c r="W79" s="18" t="n">
        <v>19594.05</v>
      </c>
      <c r="X79" s="18" t="n">
        <v>14689.3</v>
      </c>
      <c r="Y79" s="18" t="n">
        <v>41243.6</v>
      </c>
      <c r="Z79" s="34" t="n">
        <v>96323.87</v>
      </c>
      <c r="AA79" s="18" t="n">
        <v>16539.96</v>
      </c>
      <c r="AB79" s="19" t="n">
        <v>38032.95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1520.42</v>
      </c>
      <c r="F80" s="9" t="n"/>
      <c r="G80" s="18" t="n">
        <v>122.64</v>
      </c>
      <c r="H80" s="18" t="n">
        <v>-1167.34</v>
      </c>
      <c r="I80" s="18" t="n">
        <v>-10898.5</v>
      </c>
      <c r="J80" s="18" t="n">
        <v>8111.27</v>
      </c>
      <c r="K80" s="34" t="n">
        <v>-3831.93</v>
      </c>
      <c r="L80" s="18" t="n">
        <v>-3911.36</v>
      </c>
      <c r="M80" s="18" t="n">
        <v>5178.06</v>
      </c>
      <c r="N80" s="18" t="n">
        <v>-3384.88</v>
      </c>
      <c r="O80" s="18" t="n">
        <v>1674.78</v>
      </c>
      <c r="P80" s="34" t="n">
        <v>-443.4</v>
      </c>
      <c r="Q80" s="18" t="n">
        <v>-2274.18</v>
      </c>
      <c r="R80" s="18" t="n">
        <v>-2605.1</v>
      </c>
      <c r="S80" s="18" t="n">
        <v>3914.53</v>
      </c>
      <c r="T80" s="18" t="n">
        <v>-17063.06</v>
      </c>
      <c r="U80" s="34" t="n">
        <v>-18027.81</v>
      </c>
      <c r="V80" s="18" t="n">
        <v>-910.46</v>
      </c>
      <c r="W80" s="18" t="n">
        <v>4076.13</v>
      </c>
      <c r="X80" s="18" t="n">
        <v>-8268.469999999999</v>
      </c>
      <c r="Y80" s="18" t="n">
        <v>1551.08</v>
      </c>
      <c r="Z80" s="34" t="n">
        <v>-3551.72</v>
      </c>
      <c r="AA80" s="18" t="n">
        <v>-19291.41</v>
      </c>
      <c r="AB80" s="19" t="n">
        <v>-3053.28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-7404.64</v>
      </c>
      <c r="F81" s="9" t="n"/>
      <c r="G81" s="18" t="n">
        <v>75.41</v>
      </c>
      <c r="H81" s="18" t="n">
        <v>8984.32</v>
      </c>
      <c r="I81" s="18" t="n">
        <v>728.92</v>
      </c>
      <c r="J81" s="18" t="n">
        <v>-1835.32</v>
      </c>
      <c r="K81" s="34" t="n">
        <v>7953.33</v>
      </c>
      <c r="L81" s="18" t="n">
        <v>75.89</v>
      </c>
      <c r="M81" s="18" t="n">
        <v>-6526.33</v>
      </c>
      <c r="N81" s="18" t="n">
        <v>1206.76</v>
      </c>
      <c r="O81" s="18" t="n">
        <v>-17244.22</v>
      </c>
      <c r="P81" s="34" t="n">
        <v>-22487.9</v>
      </c>
      <c r="Q81" s="18" t="n">
        <v>1468.95</v>
      </c>
      <c r="R81" s="18" t="n">
        <v>-228.31</v>
      </c>
      <c r="S81" s="18" t="n">
        <v>352.95</v>
      </c>
      <c r="T81" s="18" t="n">
        <v>-470.12</v>
      </c>
      <c r="U81" s="34" t="n">
        <v>1123.47</v>
      </c>
      <c r="V81" s="18" t="n">
        <v>-1265.92</v>
      </c>
      <c r="W81" s="18" t="n">
        <v>298.21</v>
      </c>
      <c r="X81" s="18" t="n">
        <v>195.7</v>
      </c>
      <c r="Y81" s="18" t="n">
        <v>4631.26</v>
      </c>
      <c r="Z81" s="34" t="n">
        <v>3859.25</v>
      </c>
      <c r="AA81" s="18" t="n">
        <v>28.13</v>
      </c>
      <c r="AB81" s="19" t="n">
        <v>1288.18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-8690.83</v>
      </c>
      <c r="F82" s="9" t="n"/>
      <c r="G82" s="18" t="n">
        <v>3109.25</v>
      </c>
      <c r="H82" s="18" t="n">
        <v>8937.530000000001</v>
      </c>
      <c r="I82" s="18" t="n">
        <v>-847.8099999999999</v>
      </c>
      <c r="J82" s="18" t="n">
        <v>9061.9</v>
      </c>
      <c r="K82" s="34" t="n">
        <v>20260.87</v>
      </c>
      <c r="L82" s="18" t="n">
        <v>-1938.44</v>
      </c>
      <c r="M82" s="18" t="n">
        <v>6920.85</v>
      </c>
      <c r="N82" s="18" t="n">
        <v>-1060.24</v>
      </c>
      <c r="O82" s="18" t="n">
        <v>-17371.61</v>
      </c>
      <c r="P82" s="34" t="n">
        <v>-13449.44</v>
      </c>
      <c r="Q82" s="18" t="n">
        <v>20.14</v>
      </c>
      <c r="R82" s="18" t="n">
        <v>8666.190000000001</v>
      </c>
      <c r="S82" s="18" t="n">
        <v>12269.01</v>
      </c>
      <c r="T82" s="18" t="n">
        <v>-633.99</v>
      </c>
      <c r="U82" s="34" t="n">
        <v>20321.35</v>
      </c>
      <c r="V82" s="18" t="n">
        <v>21855.86</v>
      </c>
      <c r="W82" s="18" t="n">
        <v>29357.66</v>
      </c>
      <c r="X82" s="18" t="n">
        <v>15662.46</v>
      </c>
      <c r="Y82" s="18" t="n">
        <v>34867.56</v>
      </c>
      <c r="Z82" s="34" t="n">
        <v>101743.54</v>
      </c>
      <c r="AA82" s="18" t="n">
        <v>15523.07</v>
      </c>
      <c r="AB82" s="19" t="n">
        <v>36561.67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F83" s="9" t="n"/>
      <c r="K83" s="9" t="n"/>
      <c r="P83" s="9" t="n"/>
      <c r="U83" s="9" t="n"/>
      <c r="V83" s="18" t="n">
        <v>0</v>
      </c>
      <c r="X83" s="18" t="n">
        <v>0</v>
      </c>
      <c r="Y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-530.36</v>
      </c>
      <c r="F84" s="9" t="n"/>
      <c r="G84" s="18" t="n">
        <v>-5034.76</v>
      </c>
      <c r="H84" s="18" t="n">
        <v>-32214.02</v>
      </c>
      <c r="I84" s="18" t="n">
        <v>-2962.09</v>
      </c>
      <c r="J84" s="18" t="n">
        <v>32412.02</v>
      </c>
      <c r="K84" s="34" t="n">
        <v>-7798.85</v>
      </c>
      <c r="L84" s="18" t="n">
        <v>-27449.22</v>
      </c>
      <c r="M84" s="18" t="n">
        <v>-1996.2</v>
      </c>
      <c r="N84" s="18" t="n">
        <v>42214.56</v>
      </c>
      <c r="O84" s="18" t="n">
        <v>43750.73</v>
      </c>
      <c r="P84" s="34" t="n">
        <v>56519.87</v>
      </c>
      <c r="Q84" s="18" t="n">
        <v>13586.72</v>
      </c>
      <c r="R84" s="18" t="n">
        <v>72049.03</v>
      </c>
      <c r="S84" s="18" t="n">
        <v>38931.98</v>
      </c>
      <c r="T84" s="18" t="n">
        <v>25966.46</v>
      </c>
      <c r="U84" s="34" t="n">
        <v>150534.19</v>
      </c>
      <c r="V84" s="18" t="n">
        <v>68777.55</v>
      </c>
      <c r="W84" s="18" t="n">
        <v>24604.77</v>
      </c>
      <c r="X84" s="18" t="n">
        <v>1794.97</v>
      </c>
      <c r="Y84" s="18" t="n">
        <v>36365.7</v>
      </c>
      <c r="Z84" s="34" t="n">
        <v>131542.99</v>
      </c>
      <c r="AA84" s="18" t="n">
        <v>25882.55</v>
      </c>
      <c r="AB84" s="19" t="n">
        <v>42768.85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260.85</v>
      </c>
      <c r="F85" s="9" t="n"/>
      <c r="G85" s="18" t="n">
        <v>80.48999999999999</v>
      </c>
      <c r="H85" s="18" t="n">
        <v>644.6799999999999</v>
      </c>
      <c r="I85" s="18" t="n">
        <v>90.19</v>
      </c>
      <c r="J85" s="18" t="n">
        <v>146.97</v>
      </c>
      <c r="K85" s="34" t="n">
        <v>962.33</v>
      </c>
      <c r="L85" s="18" t="n">
        <v>304.32</v>
      </c>
      <c r="M85" s="18" t="n">
        <v>140.14</v>
      </c>
      <c r="N85" s="18" t="n">
        <v>720.71</v>
      </c>
      <c r="O85" s="18" t="n">
        <v>12.9</v>
      </c>
      <c r="P85" s="34" t="n">
        <v>1178.07</v>
      </c>
      <c r="Q85" s="18" t="n">
        <v>55.84</v>
      </c>
      <c r="R85" s="18" t="n">
        <v>1479.64</v>
      </c>
      <c r="S85" s="18" t="n">
        <v>-1083.53</v>
      </c>
      <c r="T85" s="18" t="n">
        <v>-176.43</v>
      </c>
      <c r="U85" s="34" t="n">
        <v>275.52</v>
      </c>
      <c r="V85" s="18" t="n">
        <v>55.98</v>
      </c>
      <c r="W85" s="18" t="n">
        <v>134.39</v>
      </c>
      <c r="X85" s="18" t="n">
        <v>259.83</v>
      </c>
      <c r="Y85" s="18" t="n">
        <v>176.95</v>
      </c>
      <c r="Z85" s="34" t="n">
        <v>627.15</v>
      </c>
      <c r="AA85" s="18" t="n">
        <v>940.99</v>
      </c>
      <c r="AB85" s="19" t="n">
        <v>105.44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-301.46</v>
      </c>
      <c r="F86" s="9" t="n"/>
      <c r="G86" s="18" t="n">
        <v>-2960.82</v>
      </c>
      <c r="H86" s="18" t="n">
        <v>-4211.69</v>
      </c>
      <c r="I86" s="18" t="n">
        <v>-3071.46</v>
      </c>
      <c r="J86" s="18" t="n">
        <v>-5251.16</v>
      </c>
      <c r="K86" s="34" t="n">
        <v>-15495.13</v>
      </c>
      <c r="L86" s="18" t="n">
        <v>-3022.94</v>
      </c>
      <c r="M86" s="18" t="n">
        <v>-1257.03</v>
      </c>
      <c r="N86" s="18" t="n">
        <v>-1969.93</v>
      </c>
      <c r="O86" s="18" t="n">
        <v>-4375.76</v>
      </c>
      <c r="P86" s="34" t="n">
        <v>-10625.66</v>
      </c>
      <c r="Q86" s="18" t="n">
        <v>-786.66</v>
      </c>
      <c r="R86" s="18" t="n">
        <v>854.3099999999999</v>
      </c>
      <c r="S86" s="18" t="n">
        <v>172.86</v>
      </c>
      <c r="T86" s="18" t="n">
        <v>-1448.94</v>
      </c>
      <c r="U86" s="34" t="n">
        <v>-1208.43</v>
      </c>
      <c r="V86" s="18" t="n">
        <v>-5260.97</v>
      </c>
      <c r="W86" s="18" t="n">
        <v>-4895.9</v>
      </c>
      <c r="X86" s="18" t="n">
        <v>-5833.57</v>
      </c>
      <c r="Y86" s="18" t="n">
        <v>-330.6</v>
      </c>
      <c r="Z86" s="34" t="n">
        <v>-16321.04</v>
      </c>
      <c r="AA86" s="18" t="n">
        <v>-14198.13</v>
      </c>
      <c r="AB86" s="19" t="n">
        <v>-17637.08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-326.98</v>
      </c>
      <c r="F87" s="9" t="n"/>
      <c r="G87" s="18" t="n">
        <v>9328.360000000001</v>
      </c>
      <c r="H87" s="18" t="n">
        <v>-2663.32</v>
      </c>
      <c r="I87" s="18" t="n">
        <v>-4977.9</v>
      </c>
      <c r="J87" s="18" t="n">
        <v>-13212.11</v>
      </c>
      <c r="K87" s="34" t="n">
        <v>-11524.97</v>
      </c>
      <c r="L87" s="18" t="n">
        <v>-11398.89</v>
      </c>
      <c r="M87" s="18" t="n">
        <v>-17625.6</v>
      </c>
      <c r="N87" s="18" t="n">
        <v>4821.83</v>
      </c>
      <c r="O87" s="18" t="n">
        <v>-20225.96</v>
      </c>
      <c r="P87" s="34" t="n">
        <v>-44428.62</v>
      </c>
      <c r="Q87" s="18" t="n">
        <v>-18871.9</v>
      </c>
      <c r="R87" s="18" t="n">
        <v>-14377.61</v>
      </c>
      <c r="S87" s="18" t="n">
        <v>-27945</v>
      </c>
      <c r="T87" s="18" t="n">
        <v>-20412.25</v>
      </c>
      <c r="U87" s="34" t="n">
        <v>-81606.75999999999</v>
      </c>
      <c r="V87" s="18" t="n">
        <v>-7348.66</v>
      </c>
      <c r="W87" s="18" t="n">
        <v>-60375.22</v>
      </c>
      <c r="X87" s="18" t="n">
        <v>5902.09</v>
      </c>
      <c r="Y87" s="18" t="n">
        <v>-126078.18</v>
      </c>
      <c r="Z87" s="34" t="n">
        <v>-187899.97</v>
      </c>
      <c r="AA87" s="18" t="n">
        <v>-28805.59</v>
      </c>
      <c r="AB87" s="19" t="n">
        <v>-10662.14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0.04</v>
      </c>
      <c r="F88" s="9" t="n"/>
      <c r="G88" s="18" t="n">
        <v>1.64</v>
      </c>
      <c r="H88" s="18" t="n">
        <v>11.22</v>
      </c>
      <c r="I88" s="18" t="n">
        <v>0.02</v>
      </c>
      <c r="J88" s="18" t="n">
        <v>92.40000000000001</v>
      </c>
      <c r="K88" s="34" t="n">
        <v>105.28</v>
      </c>
      <c r="L88" s="18" t="n">
        <v>25.62</v>
      </c>
      <c r="M88" s="18" t="n">
        <v>0.15</v>
      </c>
      <c r="N88" s="18" t="n">
        <v>82.59999999999999</v>
      </c>
      <c r="O88" s="18" t="n">
        <v>122.2</v>
      </c>
      <c r="P88" s="34" t="n">
        <v>230.57</v>
      </c>
      <c r="S88" s="18" t="n">
        <v>0</v>
      </c>
      <c r="T88" s="18" t="n">
        <v>6228.67</v>
      </c>
      <c r="U88" s="9" t="n"/>
      <c r="X88" s="18" t="n">
        <v>279.5</v>
      </c>
      <c r="Z88" s="9" t="n"/>
      <c r="AA88" s="18" t="n">
        <v>4.99</v>
      </c>
      <c r="AB88" s="19" t="n">
        <v>654.01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0.04</v>
      </c>
      <c r="F89" s="9" t="n"/>
      <c r="G89" s="18" t="n">
        <v>1.64</v>
      </c>
      <c r="H89" s="18" t="n">
        <v>11.22</v>
      </c>
      <c r="I89" s="18" t="n">
        <v>0.02</v>
      </c>
      <c r="J89" s="18" t="n">
        <v>92.40000000000001</v>
      </c>
      <c r="K89" s="34" t="n">
        <v>105.28</v>
      </c>
      <c r="L89" s="18" t="n">
        <v>25.62</v>
      </c>
      <c r="M89" s="18" t="n">
        <v>0.15</v>
      </c>
      <c r="N89" s="18" t="n">
        <v>82.59999999999999</v>
      </c>
      <c r="O89" s="18" t="n">
        <v>122.2</v>
      </c>
      <c r="P89" s="34" t="n">
        <v>230.57</v>
      </c>
      <c r="S89" s="18" t="n">
        <v>0</v>
      </c>
      <c r="T89" s="18" t="n">
        <v>6228.67</v>
      </c>
      <c r="U89" s="9" t="n"/>
      <c r="X89" s="18" t="n">
        <v>279.5</v>
      </c>
      <c r="Z89" s="9" t="n"/>
      <c r="AA89" s="18" t="n">
        <v>4.99</v>
      </c>
      <c r="AB89" s="19" t="n">
        <v>654.01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-781.5599999999999</v>
      </c>
      <c r="F90" s="9" t="n"/>
      <c r="G90" s="18" t="n">
        <v>1904.43</v>
      </c>
      <c r="H90" s="18" t="n">
        <v>-6445.66</v>
      </c>
      <c r="I90" s="18" t="n">
        <v>27239.18</v>
      </c>
      <c r="J90" s="18" t="n">
        <v>2375.67</v>
      </c>
      <c r="K90" s="34" t="n">
        <v>25073.62</v>
      </c>
      <c r="L90" s="18" t="n">
        <v>11463.74</v>
      </c>
      <c r="M90" s="18" t="n">
        <v>13499.35</v>
      </c>
      <c r="N90" s="18" t="n">
        <v>-27169.08</v>
      </c>
      <c r="O90" s="18" t="n">
        <v>-3057.9</v>
      </c>
      <c r="P90" s="34" t="n">
        <v>-5263.89</v>
      </c>
      <c r="Q90" s="18" t="n">
        <v>-24574.07</v>
      </c>
      <c r="R90" s="18" t="n">
        <v>-13619.22</v>
      </c>
      <c r="S90" s="18" t="n">
        <v>-13939.73</v>
      </c>
      <c r="T90" s="18" t="n">
        <v>-29532.14</v>
      </c>
      <c r="U90" s="34" t="n">
        <v>-81665.16</v>
      </c>
      <c r="V90" s="18" t="n">
        <v>-9148.450000000001</v>
      </c>
      <c r="W90" s="18" t="n">
        <v>18791.52</v>
      </c>
      <c r="X90" s="18" t="n">
        <v>-1132.35</v>
      </c>
      <c r="Y90" s="18" t="n">
        <v>47972.09</v>
      </c>
      <c r="Z90" s="34" t="n">
        <v>56482.81</v>
      </c>
      <c r="AA90" s="18" t="n">
        <v>26592.09</v>
      </c>
      <c r="AB90" s="19" t="n">
        <v>-2354.78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335</v>
      </c>
      <c r="F91" s="9" t="n"/>
      <c r="G91" s="18" t="n">
        <v>296</v>
      </c>
      <c r="H91" s="18" t="n">
        <v>5212</v>
      </c>
      <c r="I91" s="18" t="n">
        <v>23543</v>
      </c>
      <c r="J91" s="18" t="n">
        <v>14494</v>
      </c>
      <c r="K91" s="34" t="n">
        <v>43545</v>
      </c>
      <c r="L91" s="18" t="n">
        <v>49488.22</v>
      </c>
      <c r="M91" s="18" t="n">
        <v>23388.64</v>
      </c>
      <c r="N91" s="18" t="n">
        <v>27481.68</v>
      </c>
      <c r="P91" s="9" t="n"/>
      <c r="Q91" s="18" t="n">
        <v>5043.5</v>
      </c>
      <c r="R91" s="18" t="n">
        <v>1856.5</v>
      </c>
      <c r="S91" s="18" t="n">
        <v>34414.13</v>
      </c>
      <c r="T91" s="18" t="n">
        <v>18561.29</v>
      </c>
      <c r="U91" s="34" t="n">
        <v>59875.42</v>
      </c>
      <c r="V91" s="18" t="n">
        <v>905</v>
      </c>
      <c r="W91" s="18" t="n">
        <v>2040.82</v>
      </c>
      <c r="Y91" s="18" t="n">
        <v>66109.72</v>
      </c>
      <c r="Z91" s="9" t="n"/>
      <c r="AA91" s="18" t="n">
        <v>38870.23</v>
      </c>
      <c r="AB91" s="19" t="n">
        <v>46660.48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6105.91</v>
      </c>
      <c r="H92" s="18" t="n">
        <v>0</v>
      </c>
      <c r="I92" s="18" t="n">
        <v>8205.91</v>
      </c>
      <c r="J92" s="18" t="n">
        <v>214</v>
      </c>
      <c r="K92" s="34" t="n">
        <v>14525.82</v>
      </c>
      <c r="L92" s="18" t="n">
        <v>105.91</v>
      </c>
      <c r="M92" s="18" t="n">
        <v>2700</v>
      </c>
      <c r="N92" s="18" t="n">
        <v>4800</v>
      </c>
      <c r="O92" s="18" t="n">
        <v>0</v>
      </c>
      <c r="P92" s="34" t="n">
        <v>7605.91</v>
      </c>
      <c r="Q92" s="18" t="n">
        <v>4500</v>
      </c>
      <c r="S92" s="18" t="n">
        <v>86.63</v>
      </c>
      <c r="T92" s="18" t="n">
        <v>5446.17</v>
      </c>
      <c r="U92" s="9" t="n"/>
      <c r="V92" s="18" t="n">
        <v>1235.05</v>
      </c>
      <c r="W92" s="18" t="n">
        <v>3764.95</v>
      </c>
      <c r="X92" s="18" t="n">
        <v>0</v>
      </c>
      <c r="Y92" s="18" t="n">
        <v>780</v>
      </c>
      <c r="Z92" s="34" t="n">
        <v>5780</v>
      </c>
      <c r="AA92" s="18" t="n">
        <v>1170</v>
      </c>
      <c r="AB92" s="19" t="n">
        <v>11330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424</v>
      </c>
      <c r="F93" s="9" t="n"/>
      <c r="G93" s="18" t="n">
        <v>461</v>
      </c>
      <c r="H93" s="18" t="n">
        <v>719</v>
      </c>
      <c r="I93" s="18" t="n">
        <v>506</v>
      </c>
      <c r="J93" s="18" t="n">
        <v>4639</v>
      </c>
      <c r="K93" s="34" t="n">
        <v>6325</v>
      </c>
      <c r="L93" s="18" t="n">
        <v>37677</v>
      </c>
      <c r="M93" s="18" t="n">
        <v>5718</v>
      </c>
      <c r="N93" s="18" t="n">
        <v>42967.43</v>
      </c>
      <c r="P93" s="9" t="n"/>
      <c r="Q93" s="18" t="n">
        <v>32446.29</v>
      </c>
      <c r="R93" s="18" t="n">
        <v>7204.16</v>
      </c>
      <c r="S93" s="18" t="n">
        <v>36576.89</v>
      </c>
      <c r="T93" s="18" t="n">
        <v>48034.16</v>
      </c>
      <c r="U93" s="34" t="n">
        <v>124261.5</v>
      </c>
      <c r="V93" s="18" t="n">
        <v>5456.16</v>
      </c>
      <c r="W93" s="18" t="n">
        <v>19180.57</v>
      </c>
      <c r="Y93" s="18" t="n">
        <v>428.11</v>
      </c>
      <c r="Z93" s="9" t="n"/>
      <c r="AA93" s="18" t="n">
        <v>11585</v>
      </c>
      <c r="AB93" s="19" t="n">
        <v>38599.44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130.58</v>
      </c>
      <c r="F94" s="9" t="n"/>
      <c r="G94" s="18" t="n">
        <v>240.67</v>
      </c>
      <c r="H94" s="18" t="n">
        <v>246.2</v>
      </c>
      <c r="I94" s="18" t="n">
        <v>247.73</v>
      </c>
      <c r="J94" s="18" t="n">
        <v>367.51</v>
      </c>
      <c r="K94" s="34" t="n">
        <v>1102.11</v>
      </c>
      <c r="L94" s="18" t="n">
        <v>439.04</v>
      </c>
      <c r="M94" s="18" t="n">
        <v>451.63</v>
      </c>
      <c r="N94" s="18" t="n">
        <v>539.1900000000001</v>
      </c>
      <c r="O94" s="18" t="n">
        <v>510.58</v>
      </c>
      <c r="P94" s="34" t="n">
        <v>1940.44</v>
      </c>
      <c r="Q94" s="18" t="n">
        <v>529.6799999999999</v>
      </c>
      <c r="R94" s="18" t="n">
        <v>611.5700000000001</v>
      </c>
      <c r="S94" s="18" t="n">
        <v>489.8</v>
      </c>
      <c r="T94" s="18" t="n">
        <v>545.64</v>
      </c>
      <c r="U94" s="34" t="n">
        <v>2176.69</v>
      </c>
      <c r="V94" s="18" t="n">
        <v>548.04</v>
      </c>
      <c r="W94" s="18" t="n">
        <v>529.58</v>
      </c>
      <c r="X94" s="18" t="n">
        <v>682.01</v>
      </c>
      <c r="Y94" s="18" t="n">
        <v>878.96</v>
      </c>
      <c r="Z94" s="34" t="n">
        <v>2638.59</v>
      </c>
      <c r="AA94" s="18" t="n">
        <v>684.39</v>
      </c>
      <c r="AB94" s="19" t="n">
        <v>1231.34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S95" s="18" t="n">
        <v>0</v>
      </c>
      <c r="T95" s="18" t="n">
        <v>0</v>
      </c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16117.68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14.15</v>
      </c>
      <c r="F96" s="9" t="n"/>
      <c r="G96" s="18" t="n">
        <v>3795.81</v>
      </c>
      <c r="H96" s="18" t="n">
        <v>4238.81</v>
      </c>
      <c r="I96" s="18" t="n">
        <v>3795.81</v>
      </c>
      <c r="J96" s="18" t="n">
        <v>4118.14</v>
      </c>
      <c r="K96" s="34" t="n">
        <v>15948.57</v>
      </c>
      <c r="L96" s="18" t="n">
        <v>14.15</v>
      </c>
      <c r="M96" s="18" t="n">
        <v>485.44</v>
      </c>
      <c r="N96" s="18" t="n">
        <v>15.75</v>
      </c>
      <c r="O96" s="18" t="n">
        <v>734.37</v>
      </c>
      <c r="P96" s="34" t="n">
        <v>1249.71</v>
      </c>
      <c r="Q96" s="18" t="n">
        <v>941.6</v>
      </c>
      <c r="R96" s="18" t="n">
        <v>1530.16</v>
      </c>
      <c r="S96" s="18" t="n">
        <v>11239.3</v>
      </c>
      <c r="T96" s="18" t="n">
        <v>2514.3</v>
      </c>
      <c r="U96" s="34" t="n">
        <v>16225.36</v>
      </c>
      <c r="V96" s="18" t="n">
        <v>3284.3</v>
      </c>
      <c r="W96" s="18" t="n">
        <v>784.3</v>
      </c>
      <c r="X96" s="18" t="n">
        <v>784.3</v>
      </c>
      <c r="Y96" s="18" t="n">
        <v>3753.05</v>
      </c>
      <c r="Z96" s="34" t="n">
        <v>8605.950000000001</v>
      </c>
      <c r="AA96" s="18" t="n">
        <v>978.05</v>
      </c>
      <c r="AB96" s="19" t="n">
        <v>2609.3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-2151.43</v>
      </c>
      <c r="F97" s="9" t="n"/>
      <c r="G97" s="18" t="n">
        <v>6283.24</v>
      </c>
      <c r="H97" s="18" t="n">
        <v>-41405</v>
      </c>
      <c r="I97" s="18" t="n">
        <v>20029.33</v>
      </c>
      <c r="J97" s="18" t="n">
        <v>19621.16</v>
      </c>
      <c r="K97" s="34" t="n">
        <v>4528.73</v>
      </c>
      <c r="L97" s="18" t="n">
        <v>-27419.12</v>
      </c>
      <c r="M97" s="18" t="n">
        <v>-6009.93</v>
      </c>
      <c r="N97" s="18" t="n">
        <v>26819.41</v>
      </c>
      <c r="O97" s="18" t="n">
        <v>19730.79</v>
      </c>
      <c r="P97" s="34" t="n">
        <v>13121.15</v>
      </c>
      <c r="Q97" s="18" t="n">
        <v>-29499.3</v>
      </c>
      <c r="R97" s="18" t="n">
        <v>44662.52</v>
      </c>
      <c r="S97" s="18" t="n">
        <v>-2094.22</v>
      </c>
      <c r="T97" s="18" t="n">
        <v>-22201.85</v>
      </c>
      <c r="U97" s="34" t="n">
        <v>-9132.85</v>
      </c>
      <c r="V97" s="18" t="n">
        <v>54217.67</v>
      </c>
      <c r="W97" s="18" t="n">
        <v>-18550.06</v>
      </c>
      <c r="X97" s="18" t="n">
        <v>9239.74</v>
      </c>
      <c r="Y97" s="18" t="n">
        <v>-44605.48</v>
      </c>
      <c r="Z97" s="34" t="n">
        <v>301.87</v>
      </c>
      <c r="AA97" s="18" t="n">
        <v>23543.3</v>
      </c>
      <c r="AB97" s="19" t="n">
        <v>29580.97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-2151.43</v>
      </c>
      <c r="F98" s="9" t="n"/>
      <c r="G98" s="18" t="n">
        <v>55331.27</v>
      </c>
      <c r="H98" s="18" t="n">
        <v>-41405</v>
      </c>
      <c r="I98" s="18" t="n">
        <v>20029.33</v>
      </c>
      <c r="J98" s="18" t="n">
        <v>19621.16</v>
      </c>
      <c r="K98" s="34" t="n">
        <v>53576.76</v>
      </c>
      <c r="L98" s="18" t="n">
        <v>26157.63</v>
      </c>
      <c r="M98" s="18" t="n">
        <v>-6009.93</v>
      </c>
      <c r="N98" s="18" t="n">
        <v>26819.42</v>
      </c>
      <c r="O98" s="18" t="n">
        <v>19730.79</v>
      </c>
      <c r="P98" s="34" t="n">
        <v>66697.91</v>
      </c>
      <c r="Q98" s="18" t="n">
        <v>37198.61</v>
      </c>
      <c r="R98" s="18" t="n">
        <v>44662.52</v>
      </c>
      <c r="S98" s="18" t="n">
        <v>-2094.22</v>
      </c>
      <c r="T98" s="18" t="n">
        <v>-22201.85</v>
      </c>
      <c r="U98" s="34" t="n">
        <v>57565.06</v>
      </c>
      <c r="V98" s="18" t="n">
        <v>111782.73</v>
      </c>
      <c r="W98" s="18" t="n">
        <v>-18550.06</v>
      </c>
      <c r="X98" s="18" t="n">
        <v>9239.74</v>
      </c>
      <c r="Y98" s="18" t="n">
        <v>-44605.48</v>
      </c>
      <c r="Z98" s="34" t="n">
        <v>57866.93</v>
      </c>
      <c r="AA98" s="18" t="n">
        <v>81410.23</v>
      </c>
      <c r="AB98" s="19" t="n">
        <v>29580.97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F99" s="9" t="n"/>
      <c r="K99" s="9" t="n"/>
      <c r="N99" s="18" t="n">
        <v>0</v>
      </c>
      <c r="O99" s="18" t="n">
        <v>635.2</v>
      </c>
      <c r="P99" s="9" t="n"/>
      <c r="S99" s="18" t="n">
        <v>135</v>
      </c>
      <c r="T99" s="18" t="n">
        <v>2800</v>
      </c>
      <c r="U99" s="9" t="n"/>
      <c r="V99" s="18" t="n">
        <v>2000</v>
      </c>
      <c r="W99" s="18" t="n">
        <v>0</v>
      </c>
      <c r="X99" s="18" t="n">
        <v>0</v>
      </c>
      <c r="Y99" s="18" t="n">
        <v>3855</v>
      </c>
      <c r="Z99" s="34" t="n">
        <v>5855</v>
      </c>
      <c r="AA99" s="18" t="n">
        <v>0</v>
      </c>
      <c r="AB99" s="19" t="n">
        <v>1687.5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F100" s="9" t="n"/>
      <c r="K100" s="9" t="n"/>
      <c r="O100" s="18" t="n">
        <v>1653.15</v>
      </c>
      <c r="P100" s="9" t="n"/>
      <c r="Q100" s="18" t="n">
        <v>905.77</v>
      </c>
      <c r="R100" s="18" t="n">
        <v>140.92</v>
      </c>
      <c r="S100" s="18" t="n">
        <v>614.15</v>
      </c>
      <c r="T100" s="18" t="n">
        <v>426.33</v>
      </c>
      <c r="U100" s="34" t="n">
        <v>2087.17</v>
      </c>
      <c r="V100" s="18" t="n">
        <v>459.68</v>
      </c>
      <c r="W100" s="18" t="n">
        <v>695.6</v>
      </c>
      <c r="X100" s="18" t="n">
        <v>411.47</v>
      </c>
      <c r="Y100" s="18" t="n">
        <v>616.6799999999999</v>
      </c>
      <c r="Z100" s="34" t="n">
        <v>2183.43</v>
      </c>
      <c r="AA100" s="18" t="n">
        <v>165.24</v>
      </c>
      <c r="AB100" s="19" t="n">
        <v>40.87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K101" s="9" t="n"/>
      <c r="O101" s="18" t="n">
        <v>8.529999999999999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F102" s="9" t="n"/>
      <c r="K102" s="9" t="n"/>
      <c r="P102" s="9" t="n"/>
      <c r="U102" s="9" t="n"/>
      <c r="V102" s="18" t="n">
        <v>-414.64</v>
      </c>
      <c r="W102" s="18" t="n">
        <v>-328.78</v>
      </c>
      <c r="X102" s="18" t="n">
        <v>51</v>
      </c>
      <c r="Y102" s="18" t="n">
        <v>277.42</v>
      </c>
      <c r="Z102" s="34" t="n">
        <v>-415</v>
      </c>
      <c r="AA102" s="18" t="n">
        <v>-1000.75</v>
      </c>
      <c r="AB102" s="19" t="n">
        <v>-184.52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P104" s="9" t="n"/>
      <c r="U104" s="9" t="n"/>
      <c r="Z104" s="9" t="n"/>
      <c r="AA104" s="18" t="n">
        <v>0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4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4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4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4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4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4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4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4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4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4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4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4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4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4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4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4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4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4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4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4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4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4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4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4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4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4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4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4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4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4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4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4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4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4" t="n">
        <v>10.54</v>
      </c>
      <c r="J12" s="18" t="n">
        <v>10.54</v>
      </c>
      <c r="K12" s="34" t="n">
        <v>10.54</v>
      </c>
      <c r="P12" s="9" t="n"/>
      <c r="T12" s="18" t="n">
        <v>0</v>
      </c>
      <c r="U12" s="34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4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4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4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4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4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4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4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4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4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4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4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4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4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4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4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4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4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4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4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4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4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4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4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4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4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4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4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4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4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4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4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4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4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4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4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4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4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4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4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4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4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4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4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4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4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4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4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4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4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4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6264.54</v>
      </c>
      <c r="F23" s="34" t="n">
        <v>6264.54</v>
      </c>
      <c r="G23" s="18" t="n">
        <v>5263.87</v>
      </c>
      <c r="H23" s="18" t="n">
        <v>2853.42</v>
      </c>
      <c r="I23" s="18" t="n">
        <v>4146.91</v>
      </c>
      <c r="J23" s="18" t="n">
        <v>5247.03</v>
      </c>
      <c r="K23" s="34" t="n">
        <v>5247.03</v>
      </c>
      <c r="L23" s="18" t="n">
        <v>4126.83</v>
      </c>
      <c r="M23" s="18" t="n">
        <v>1598.55</v>
      </c>
      <c r="N23" s="18" t="n">
        <v>5135.61</v>
      </c>
      <c r="O23" s="18" t="n">
        <v>2841.17</v>
      </c>
      <c r="P23" s="34" t="n">
        <v>2841.17</v>
      </c>
      <c r="Q23" s="18" t="n">
        <v>3941.08</v>
      </c>
      <c r="R23" s="18" t="n">
        <v>13396.71</v>
      </c>
      <c r="S23" s="18" t="n">
        <v>9700.450000000001</v>
      </c>
      <c r="T23" s="18" t="n">
        <v>10435.32</v>
      </c>
      <c r="U23" s="34" t="n">
        <v>10435.32</v>
      </c>
      <c r="V23" s="18" t="n">
        <v>10812.47</v>
      </c>
      <c r="W23" s="18" t="n">
        <v>9771.879999999999</v>
      </c>
      <c r="X23" s="18" t="n">
        <v>12877.18</v>
      </c>
      <c r="Y23" s="18" t="n">
        <v>30700.86</v>
      </c>
      <c r="Z23" s="34" t="n">
        <v>30700.86</v>
      </c>
      <c r="AA23" s="18" t="n">
        <v>27257.11</v>
      </c>
      <c r="AB23" s="19" t="n">
        <v>16261.52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663.8200000000001</v>
      </c>
      <c r="F24" s="34" t="n">
        <v>663.8200000000001</v>
      </c>
      <c r="G24" s="18" t="n">
        <v>920.64</v>
      </c>
      <c r="H24" s="18" t="n">
        <v>934.38</v>
      </c>
      <c r="I24" s="18" t="n">
        <v>1024.53</v>
      </c>
      <c r="J24" s="18" t="n">
        <v>1524.44</v>
      </c>
      <c r="K24" s="34" t="n">
        <v>1524.44</v>
      </c>
      <c r="L24" s="18" t="n">
        <v>1515.16</v>
      </c>
      <c r="M24" s="18" t="n">
        <v>1619.78</v>
      </c>
      <c r="N24" s="18" t="n">
        <v>1616.28</v>
      </c>
      <c r="O24" s="18" t="n">
        <v>1450.78</v>
      </c>
      <c r="P24" s="34" t="n">
        <v>1450.78</v>
      </c>
      <c r="Q24" s="18" t="n">
        <v>1765.29</v>
      </c>
      <c r="R24" s="18" t="n">
        <v>1542.34</v>
      </c>
      <c r="S24" s="18" t="n">
        <v>1154.71</v>
      </c>
      <c r="T24" s="18" t="n">
        <v>1596.81</v>
      </c>
      <c r="U24" s="34" t="n">
        <v>1596.81</v>
      </c>
      <c r="V24" s="18" t="n">
        <v>1432.28</v>
      </c>
      <c r="W24" s="18" t="n">
        <v>1354.19</v>
      </c>
      <c r="X24" s="18" t="n">
        <v>3514.95</v>
      </c>
      <c r="Y24" s="18" t="n">
        <v>2247.03</v>
      </c>
      <c r="Z24" s="34" t="n">
        <v>2247.03</v>
      </c>
      <c r="AA24" s="18" t="n">
        <v>3193.23</v>
      </c>
      <c r="AB24" s="19" t="n">
        <v>4128.78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1570.81</v>
      </c>
      <c r="F25" s="34" t="n">
        <v>1570.81</v>
      </c>
      <c r="G25" s="18" t="n">
        <v>1870.55</v>
      </c>
      <c r="H25" s="18" t="n">
        <v>1729.16</v>
      </c>
      <c r="I25" s="18" t="n">
        <v>1980.28</v>
      </c>
      <c r="J25" s="18" t="n">
        <v>2768.12</v>
      </c>
      <c r="K25" s="34" t="n">
        <v>2768.12</v>
      </c>
      <c r="L25" s="18" t="n">
        <v>2609.61</v>
      </c>
      <c r="M25" s="18" t="n">
        <v>2726.44</v>
      </c>
      <c r="N25" s="18" t="n">
        <v>2679.6</v>
      </c>
      <c r="O25" s="18" t="n">
        <v>2387.63</v>
      </c>
      <c r="P25" s="34" t="n">
        <v>2387.63</v>
      </c>
      <c r="Q25" s="18" t="n">
        <v>5350.15</v>
      </c>
      <c r="R25" s="18" t="n">
        <v>4914.51</v>
      </c>
      <c r="S25" s="18" t="n">
        <v>4828.08</v>
      </c>
      <c r="T25" s="18" t="n">
        <v>5076.4</v>
      </c>
      <c r="U25" s="34" t="n">
        <v>5076.4</v>
      </c>
      <c r="V25" s="18" t="n">
        <v>4706.69</v>
      </c>
      <c r="W25" s="18" t="n">
        <v>4618.57</v>
      </c>
      <c r="X25" s="18" t="n">
        <v>8857.690000000001</v>
      </c>
      <c r="Y25" s="18" t="n">
        <v>5611.94</v>
      </c>
      <c r="Z25" s="34" t="n">
        <v>5611.94</v>
      </c>
      <c r="AA25" s="18" t="n">
        <v>6901.19</v>
      </c>
      <c r="AB25" s="19" t="n">
        <v>7627.75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663.8200000000001</v>
      </c>
      <c r="F26" s="34" t="n">
        <v>663.8200000000001</v>
      </c>
      <c r="G26" s="18" t="n">
        <v>945.38</v>
      </c>
      <c r="H26" s="18" t="n">
        <v>968.23</v>
      </c>
      <c r="I26" s="18" t="n">
        <v>1056.25</v>
      </c>
      <c r="J26" s="18" t="n">
        <v>1524.44</v>
      </c>
      <c r="K26" s="34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4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10433.1</v>
      </c>
      <c r="U26" s="34" t="n">
        <v>10433.1</v>
      </c>
      <c r="V26" s="18" t="n">
        <v>9781.18</v>
      </c>
      <c r="W26" s="18" t="n">
        <v>28514.07</v>
      </c>
      <c r="X26" s="18" t="n">
        <v>39100.14</v>
      </c>
      <c r="Y26" s="18" t="n">
        <v>35702.37</v>
      </c>
      <c r="Z26" s="34" t="n">
        <v>35702.37</v>
      </c>
      <c r="AA26" s="18" t="n">
        <v>53488.96</v>
      </c>
      <c r="AB26" s="19" t="n">
        <v>18180.41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15056.6</v>
      </c>
      <c r="F27" s="34" t="n">
        <v>15056.6</v>
      </c>
      <c r="G27" s="18" t="n">
        <v>11306.6</v>
      </c>
      <c r="H27" s="18" t="n">
        <v>7556.6</v>
      </c>
      <c r="I27" s="18" t="n">
        <v>3822.35</v>
      </c>
      <c r="J27" s="18" t="n">
        <v>88.09999999999999</v>
      </c>
      <c r="K27" s="34" t="n">
        <v>88.09999999999999</v>
      </c>
      <c r="L27" s="18" t="n">
        <v>633.41</v>
      </c>
      <c r="M27" s="18" t="n">
        <v>1467.56</v>
      </c>
      <c r="P27" s="9" t="n"/>
      <c r="T27" s="18" t="n">
        <v>5930.95</v>
      </c>
      <c r="U27" s="34" t="n">
        <v>5930.95</v>
      </c>
      <c r="V27" s="18" t="n">
        <v>4724.7</v>
      </c>
      <c r="W27" s="18" t="n">
        <v>5518.45</v>
      </c>
      <c r="X27" s="18" t="n">
        <v>6312.2</v>
      </c>
      <c r="Y27" s="18" t="n">
        <v>3912.2</v>
      </c>
      <c r="Z27" s="34" t="n">
        <v>3912.2</v>
      </c>
      <c r="AA27" s="18" t="n">
        <v>18462.28</v>
      </c>
      <c r="AB27" s="19" t="n">
        <v>2826.27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8561.68</v>
      </c>
      <c r="F28" s="34" t="n">
        <v>8561.68</v>
      </c>
      <c r="G28" s="18" t="n">
        <v>7815.64</v>
      </c>
      <c r="H28" s="18" t="n">
        <v>10760.23</v>
      </c>
      <c r="I28" s="18" t="n">
        <v>11630.57</v>
      </c>
      <c r="J28" s="18" t="n">
        <v>29053.57</v>
      </c>
      <c r="K28" s="34" t="n">
        <v>29053.57</v>
      </c>
      <c r="L28" s="18" t="n">
        <v>41870.4</v>
      </c>
      <c r="M28" s="18" t="n">
        <v>55264.14</v>
      </c>
      <c r="N28" s="18" t="n">
        <v>69897.45</v>
      </c>
      <c r="O28" s="18" t="n">
        <v>83196.03</v>
      </c>
      <c r="P28" s="34" t="n">
        <v>83196.03</v>
      </c>
      <c r="Q28" s="18" t="n">
        <v>78209.38</v>
      </c>
      <c r="R28" s="18" t="n">
        <v>104198.39</v>
      </c>
      <c r="S28" s="18" t="n">
        <v>121096.18</v>
      </c>
      <c r="T28" s="18" t="n">
        <v>172425.15</v>
      </c>
      <c r="U28" s="34" t="n">
        <v>172425.15</v>
      </c>
      <c r="V28" s="18" t="n">
        <v>185314.81</v>
      </c>
      <c r="W28" s="18" t="n">
        <v>164090.82</v>
      </c>
      <c r="X28" s="18" t="n">
        <v>149909.03</v>
      </c>
      <c r="Y28" s="18" t="n">
        <v>139830.57</v>
      </c>
      <c r="Z28" s="34" t="n">
        <v>139830.57</v>
      </c>
      <c r="AA28" s="18" t="n">
        <v>139367.11</v>
      </c>
      <c r="AB28" s="19" t="n">
        <v>135291.56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9194.84</v>
      </c>
      <c r="F29" s="34" t="n">
        <v>9194.84</v>
      </c>
      <c r="G29" s="18" t="n">
        <v>14982</v>
      </c>
      <c r="H29" s="18" t="n">
        <v>16184.24</v>
      </c>
      <c r="I29" s="18" t="n">
        <v>31580.88</v>
      </c>
      <c r="J29" s="18" t="n">
        <v>23695.3</v>
      </c>
      <c r="K29" s="34" t="n">
        <v>23695.3</v>
      </c>
      <c r="L29" s="18" t="n">
        <v>22487.13</v>
      </c>
      <c r="M29" s="18" t="n">
        <v>20393.87</v>
      </c>
      <c r="N29" s="18" t="n">
        <v>48549.59</v>
      </c>
      <c r="O29" s="18" t="n">
        <v>38181.27</v>
      </c>
      <c r="P29" s="34" t="n">
        <v>38181.27</v>
      </c>
      <c r="Q29" s="18" t="n">
        <v>42291.92</v>
      </c>
      <c r="R29" s="18" t="n">
        <v>41177.82</v>
      </c>
      <c r="S29" s="18" t="n">
        <v>38797.89</v>
      </c>
      <c r="T29" s="18" t="n">
        <v>35180.66</v>
      </c>
      <c r="U29" s="34" t="n">
        <v>35180.66</v>
      </c>
      <c r="V29" s="18" t="n">
        <v>32390.09</v>
      </c>
      <c r="W29" s="18" t="n">
        <v>45322.48</v>
      </c>
      <c r="X29" s="18" t="n">
        <v>50314.54</v>
      </c>
      <c r="Y29" s="18" t="n">
        <v>38501.48</v>
      </c>
      <c r="Z29" s="34" t="n">
        <v>38501.48</v>
      </c>
      <c r="AA29" s="18" t="n">
        <v>33018.64</v>
      </c>
      <c r="AB29" s="19" t="n">
        <v>44231.64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958.77</v>
      </c>
      <c r="F30" s="34" t="n">
        <v>958.77</v>
      </c>
      <c r="G30" s="18" t="n">
        <v>7050.53</v>
      </c>
      <c r="H30" s="18" t="n">
        <v>7036.38</v>
      </c>
      <c r="I30" s="18" t="n">
        <v>15212.4</v>
      </c>
      <c r="J30" s="18" t="n">
        <v>15396.5</v>
      </c>
      <c r="K30" s="34" t="n">
        <v>15396.5</v>
      </c>
      <c r="L30" s="18" t="n">
        <v>14942.95</v>
      </c>
      <c r="M30" s="18" t="n">
        <v>16425</v>
      </c>
      <c r="N30" s="18" t="n">
        <v>31979.3</v>
      </c>
      <c r="O30" s="18" t="n">
        <v>20104.8</v>
      </c>
      <c r="P30" s="34" t="n">
        <v>20104.8</v>
      </c>
      <c r="Q30" s="18" t="n">
        <v>21895.5</v>
      </c>
      <c r="R30" s="18" t="n">
        <v>20311.2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906.99</v>
      </c>
      <c r="F31" s="34" t="n">
        <v>906.99</v>
      </c>
      <c r="G31" s="18" t="n">
        <v>949.91</v>
      </c>
      <c r="H31" s="18" t="n">
        <v>794.78</v>
      </c>
      <c r="I31" s="18" t="n">
        <v>955.75</v>
      </c>
      <c r="J31" s="18" t="n">
        <v>1243.68</v>
      </c>
      <c r="K31" s="34" t="n">
        <v>1243.68</v>
      </c>
      <c r="L31" s="18" t="n">
        <v>1094.45</v>
      </c>
      <c r="M31" s="18" t="n">
        <v>1106.66</v>
      </c>
      <c r="N31" s="18" t="n">
        <v>1063.32</v>
      </c>
      <c r="O31" s="18" t="n">
        <v>936.85</v>
      </c>
      <c r="P31" s="34" t="n">
        <v>936.85</v>
      </c>
      <c r="Q31" s="18" t="n">
        <v>3584.86</v>
      </c>
      <c r="R31" s="18" t="n">
        <v>3372.17</v>
      </c>
      <c r="S31" s="18" t="n">
        <v>3673.37</v>
      </c>
      <c r="T31" s="18" t="n">
        <v>3479.59</v>
      </c>
      <c r="U31" s="34" t="n">
        <v>3479.59</v>
      </c>
      <c r="V31" s="18" t="n">
        <v>3274.41</v>
      </c>
      <c r="W31" s="18" t="n">
        <v>3264.38</v>
      </c>
      <c r="X31" s="18" t="n">
        <v>5342.74</v>
      </c>
      <c r="Y31" s="18" t="n">
        <v>3364.91</v>
      </c>
      <c r="Z31" s="34" t="n">
        <v>3364.91</v>
      </c>
      <c r="AA31" s="18" t="n">
        <v>3707.96</v>
      </c>
      <c r="AB31" s="19" t="n">
        <v>3498.97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906.99</v>
      </c>
      <c r="F32" s="34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4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4" t="n">
        <v>936.85</v>
      </c>
      <c r="Q32" s="18" t="n">
        <v>3584.86</v>
      </c>
      <c r="R32" s="18" t="n">
        <v>3372.17</v>
      </c>
      <c r="S32" s="18" t="n">
        <v>3673.37</v>
      </c>
      <c r="T32" s="18" t="n">
        <v>13453.19</v>
      </c>
      <c r="U32" s="34" t="n">
        <v>13453.19</v>
      </c>
      <c r="V32" s="18" t="n">
        <v>12795.36</v>
      </c>
      <c r="W32" s="18" t="n">
        <v>3775.6</v>
      </c>
      <c r="X32" s="18" t="n">
        <v>9002.35</v>
      </c>
      <c r="Y32" s="18" t="n">
        <v>8814.34</v>
      </c>
      <c r="Z32" s="34" t="n">
        <v>8814.34</v>
      </c>
      <c r="AA32" s="18" t="n">
        <v>12108.75</v>
      </c>
      <c r="AB32" s="19" t="n">
        <v>10177.23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1664.66</v>
      </c>
      <c r="F33" s="34" t="n">
        <v>1664.66</v>
      </c>
      <c r="G33" s="18" t="n">
        <v>1954.98</v>
      </c>
      <c r="H33" s="18" t="n">
        <v>172</v>
      </c>
      <c r="I33" s="18" t="n">
        <v>549.9400000000001</v>
      </c>
      <c r="K33" s="9" t="n"/>
      <c r="O33" s="18" t="n">
        <v>45.16</v>
      </c>
      <c r="P33" s="34" t="n">
        <v>45.16</v>
      </c>
      <c r="Q33" s="18" t="n">
        <v>45.16</v>
      </c>
      <c r="R33" s="18" t="n">
        <v>348.22</v>
      </c>
      <c r="S33" s="18" t="n">
        <v>525.21</v>
      </c>
      <c r="T33" s="18" t="n">
        <v>349.23</v>
      </c>
      <c r="U33" s="34" t="n">
        <v>349.23</v>
      </c>
      <c r="V33" s="18" t="n">
        <v>363.25</v>
      </c>
      <c r="W33" s="18" t="n">
        <v>625.03</v>
      </c>
      <c r="X33" s="18" t="n">
        <v>705.76</v>
      </c>
      <c r="Y33" s="18" t="n">
        <v>590.61</v>
      </c>
      <c r="Z33" s="34" t="n">
        <v>590.61</v>
      </c>
      <c r="AA33" s="18" t="n">
        <v>677.4400000000001</v>
      </c>
      <c r="AB33" s="19" t="n">
        <v>761.36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4153.83</v>
      </c>
      <c r="F34" s="34" t="n">
        <v>4153.83</v>
      </c>
      <c r="G34" s="18" t="n">
        <v>3393.59</v>
      </c>
      <c r="H34" s="18" t="n">
        <v>3179.71</v>
      </c>
      <c r="I34" s="18" t="n">
        <v>1288.92</v>
      </c>
      <c r="K34" s="9" t="n"/>
      <c r="N34" s="18" t="n">
        <v>1103.74</v>
      </c>
      <c r="O34" s="18" t="n">
        <v>4981.12</v>
      </c>
      <c r="P34" s="34" t="n">
        <v>4981.12</v>
      </c>
      <c r="Q34" s="18" t="n">
        <v>4404.5</v>
      </c>
      <c r="R34" s="18" t="n">
        <v>3666.58</v>
      </c>
      <c r="S34" s="18" t="n">
        <v>4796.24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1510.58</v>
      </c>
      <c r="F35" s="34" t="n">
        <v>1510.58</v>
      </c>
      <c r="G35" s="18" t="n">
        <v>1510.58</v>
      </c>
      <c r="H35" s="18" t="n">
        <v>2213.47</v>
      </c>
      <c r="I35" s="18" t="n">
        <v>2213.47</v>
      </c>
      <c r="J35" s="18" t="n">
        <v>6784.07</v>
      </c>
      <c r="K35" s="34" t="n">
        <v>6784.07</v>
      </c>
      <c r="L35" s="18" t="n">
        <v>5972.26</v>
      </c>
      <c r="M35" s="18" t="n">
        <v>2764.98</v>
      </c>
      <c r="N35" s="18" t="n">
        <v>3473.65</v>
      </c>
      <c r="O35" s="18" t="n">
        <v>2113.34</v>
      </c>
      <c r="P35" s="34" t="n">
        <v>2113.34</v>
      </c>
      <c r="Q35" s="18" t="n">
        <v>1309.25</v>
      </c>
      <c r="R35" s="18" t="n">
        <v>1309.25</v>
      </c>
      <c r="S35" s="18" t="n">
        <v>181.82</v>
      </c>
      <c r="T35" s="18" t="n">
        <v>696.4400000000001</v>
      </c>
      <c r="U35" s="34" t="n">
        <v>696.4400000000001</v>
      </c>
      <c r="V35" s="18" t="n">
        <v>696.4400000000001</v>
      </c>
      <c r="W35" s="18" t="n">
        <v>696.4400000000001</v>
      </c>
      <c r="X35" s="18" t="n">
        <v>696.4400000000001</v>
      </c>
      <c r="Y35" s="18" t="n">
        <v>4137</v>
      </c>
      <c r="Z35" s="34" t="n">
        <v>4137</v>
      </c>
      <c r="AA35" s="18" t="n">
        <v>8701.889999999999</v>
      </c>
      <c r="AB35" s="19" t="n">
        <v>11693.41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88046.53</v>
      </c>
      <c r="F36" s="34" t="n">
        <v>88046.53</v>
      </c>
      <c r="G36" s="18" t="n">
        <v>98949.91</v>
      </c>
      <c r="H36" s="18" t="n">
        <v>104875.22</v>
      </c>
      <c r="I36" s="18" t="n">
        <v>145490.31</v>
      </c>
      <c r="J36" s="18" t="n">
        <v>172708.85</v>
      </c>
      <c r="K36" s="34" t="n">
        <v>172708.85</v>
      </c>
      <c r="L36" s="18" t="n">
        <v>203982.65</v>
      </c>
      <c r="M36" s="18" t="n">
        <v>235369.12</v>
      </c>
      <c r="N36" s="18" t="n">
        <v>298249.62</v>
      </c>
      <c r="O36" s="18" t="n">
        <v>318467.94</v>
      </c>
      <c r="P36" s="34" t="n">
        <v>318467.94</v>
      </c>
      <c r="Q36" s="18" t="n">
        <v>321725.27</v>
      </c>
      <c r="R36" s="18" t="n">
        <v>343806.87</v>
      </c>
      <c r="S36" s="18" t="n">
        <v>351324.34</v>
      </c>
      <c r="T36" s="18" t="n">
        <v>390081.16</v>
      </c>
      <c r="U36" s="34" t="n">
        <v>390081.16</v>
      </c>
      <c r="V36" s="18" t="n">
        <v>419872.35</v>
      </c>
      <c r="W36" s="18" t="n">
        <v>394074.04</v>
      </c>
      <c r="X36" s="18" t="n">
        <v>394917.62</v>
      </c>
      <c r="Y36" s="18" t="n">
        <v>448358.94</v>
      </c>
      <c r="Z36" s="34" t="n">
        <v>448358.94</v>
      </c>
      <c r="AA36" s="18" t="n">
        <v>490241.86</v>
      </c>
      <c r="AB36" s="19" t="n">
        <v>444883.47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21980.38</v>
      </c>
      <c r="F37" s="34" t="n">
        <v>21980.38</v>
      </c>
      <c r="G37" s="18" t="n">
        <v>21980.38</v>
      </c>
      <c r="H37" s="18" t="n">
        <v>21980.38</v>
      </c>
      <c r="I37" s="18" t="n">
        <v>21980.38</v>
      </c>
      <c r="J37" s="18" t="n">
        <v>21980.38</v>
      </c>
      <c r="K37" s="34" t="n">
        <v>21980.38</v>
      </c>
      <c r="L37" s="18" t="n">
        <v>21980.38</v>
      </c>
      <c r="M37" s="18" t="n">
        <v>21980.38</v>
      </c>
      <c r="N37" s="18" t="n">
        <v>21980.38</v>
      </c>
      <c r="O37" s="18" t="n">
        <v>25954.23</v>
      </c>
      <c r="P37" s="34" t="n">
        <v>25954.23</v>
      </c>
      <c r="Q37" s="18" t="n">
        <v>25954.23</v>
      </c>
      <c r="R37" s="18" t="n">
        <v>25954.23</v>
      </c>
      <c r="S37" s="18" t="n">
        <v>25954.23</v>
      </c>
      <c r="T37" s="18" t="n">
        <v>192789.69</v>
      </c>
      <c r="U37" s="34" t="n">
        <v>192789.69</v>
      </c>
      <c r="V37" s="18" t="n">
        <v>192789.69</v>
      </c>
      <c r="W37" s="18" t="n">
        <v>192789.69</v>
      </c>
      <c r="X37" s="18" t="n">
        <v>192789.69</v>
      </c>
      <c r="Y37" s="18" t="n">
        <v>122789.69</v>
      </c>
      <c r="Z37" s="34" t="n">
        <v>122789.69</v>
      </c>
      <c r="AA37" s="18" t="n">
        <v>122789.69</v>
      </c>
      <c r="AB37" s="19" t="n">
        <v>177321.71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74960.11</v>
      </c>
      <c r="F38" s="34" t="n">
        <v>74960.11</v>
      </c>
      <c r="G38" s="18" t="n">
        <v>74960.11</v>
      </c>
      <c r="H38" s="18" t="n">
        <v>74960.11</v>
      </c>
      <c r="I38" s="18" t="n">
        <v>74960.11</v>
      </c>
      <c r="J38" s="18" t="n">
        <v>74960.11</v>
      </c>
      <c r="K38" s="34" t="n">
        <v>74960.11</v>
      </c>
      <c r="L38" s="18" t="n">
        <v>74960.11</v>
      </c>
      <c r="M38" s="18" t="n">
        <v>74960.11</v>
      </c>
      <c r="N38" s="18" t="n">
        <v>74960.11</v>
      </c>
      <c r="O38" s="18" t="n">
        <v>166835.46</v>
      </c>
      <c r="P38" s="34" t="n">
        <v>166835.46</v>
      </c>
      <c r="Q38" s="18" t="n">
        <v>166835.46</v>
      </c>
      <c r="R38" s="18" t="n">
        <v>166835.46</v>
      </c>
      <c r="S38" s="18" t="n">
        <v>166835.46</v>
      </c>
      <c r="T38" s="18" t="n">
        <v>166835.46</v>
      </c>
      <c r="U38" s="34" t="n">
        <v>166835.46</v>
      </c>
      <c r="V38" s="18" t="n">
        <v>166835.46</v>
      </c>
      <c r="W38" s="18" t="n">
        <v>166835.46</v>
      </c>
      <c r="X38" s="18" t="n">
        <v>166835.46</v>
      </c>
      <c r="Y38" s="18" t="n">
        <v>96835.46000000001</v>
      </c>
      <c r="Z38" s="34" t="n">
        <v>96835.46000000001</v>
      </c>
      <c r="AA38" s="18" t="n">
        <v>96835.46000000001</v>
      </c>
      <c r="AB38" s="19" t="n">
        <v>151014.17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302311.08</v>
      </c>
      <c r="F39" s="34" t="n">
        <v>302311.08</v>
      </c>
      <c r="G39" s="18" t="n">
        <v>299390.5</v>
      </c>
      <c r="H39" s="18" t="n">
        <v>302985.78</v>
      </c>
      <c r="I39" s="18" t="n">
        <v>308079.74</v>
      </c>
      <c r="J39" s="18" t="n">
        <v>299038.94</v>
      </c>
      <c r="K39" s="34" t="n">
        <v>299038.94</v>
      </c>
      <c r="L39" s="18" t="n">
        <v>294376.44</v>
      </c>
      <c r="M39" s="18" t="n">
        <v>303652.93</v>
      </c>
      <c r="N39" s="18" t="n">
        <v>308292.13</v>
      </c>
      <c r="O39" s="18" t="n">
        <v>289114.7</v>
      </c>
      <c r="P39" s="34" t="n">
        <v>289114.7</v>
      </c>
      <c r="Q39" s="18" t="n">
        <v>287756.44</v>
      </c>
      <c r="R39" s="18" t="n">
        <v>299680.2</v>
      </c>
      <c r="S39" s="18" t="n">
        <v>314151.81</v>
      </c>
      <c r="T39" s="18" t="n">
        <v>303177</v>
      </c>
      <c r="U39" s="34" t="n">
        <v>303177</v>
      </c>
      <c r="V39" s="18" t="n">
        <v>321596.98</v>
      </c>
      <c r="W39" s="18" t="n">
        <v>346144.09</v>
      </c>
      <c r="X39" s="18" t="n">
        <v>361935.51</v>
      </c>
      <c r="Y39" s="18" t="n">
        <v>460409.17</v>
      </c>
      <c r="Z39" s="34" t="n">
        <v>460409.17</v>
      </c>
      <c r="AA39" s="18" t="n">
        <v>449602.89</v>
      </c>
      <c r="AB39" s="19" t="n">
        <v>487112.81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-3298.12</v>
      </c>
      <c r="F40" s="34" t="n">
        <v>-3298.12</v>
      </c>
      <c r="G40" s="18" t="n">
        <v>-3433.13</v>
      </c>
      <c r="H40" s="18" t="n">
        <v>-3433.13</v>
      </c>
      <c r="I40" s="18" t="n">
        <v>-3433.13</v>
      </c>
      <c r="J40" s="18" t="n">
        <v>-3434.91</v>
      </c>
      <c r="K40" s="34" t="n">
        <v>-3434.91</v>
      </c>
      <c r="L40" s="18" t="n">
        <v>-3434.91</v>
      </c>
      <c r="M40" s="18" t="n">
        <v>-3434.91</v>
      </c>
      <c r="N40" s="18" t="n">
        <v>-3434.91</v>
      </c>
      <c r="O40" s="18" t="n">
        <v>-2266.08</v>
      </c>
      <c r="P40" s="34" t="n">
        <v>-2266.08</v>
      </c>
      <c r="Q40" s="18" t="n">
        <v>-2269.71</v>
      </c>
      <c r="R40" s="18" t="n">
        <v>-2269.69</v>
      </c>
      <c r="S40" s="18" t="n">
        <v>-2269.55</v>
      </c>
      <c r="T40" s="18" t="n">
        <v>-2264.91</v>
      </c>
      <c r="U40" s="34" t="n">
        <v>-2264.91</v>
      </c>
      <c r="V40" s="18" t="n">
        <v>-2264.91</v>
      </c>
      <c r="W40" s="18" t="n">
        <v>-2264.91</v>
      </c>
      <c r="X40" s="18" t="n">
        <v>-2264.91</v>
      </c>
      <c r="Y40" s="18" t="n">
        <v>-704.91</v>
      </c>
      <c r="Z40" s="34" t="n">
        <v>-704.91</v>
      </c>
      <c r="AA40" s="18" t="n">
        <v>-704.91</v>
      </c>
      <c r="AB40" s="19" t="n">
        <v>-704.91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8538.129999999999</v>
      </c>
      <c r="F41" s="34" t="n">
        <v>8538.129999999999</v>
      </c>
      <c r="G41" s="18" t="n">
        <v>13643.13</v>
      </c>
      <c r="H41" s="18" t="n">
        <v>13643.13</v>
      </c>
      <c r="I41" s="18" t="n">
        <v>13643.13</v>
      </c>
      <c r="J41" s="18" t="n">
        <v>8538.129999999999</v>
      </c>
      <c r="K41" s="34" t="n">
        <v>8538.129999999999</v>
      </c>
      <c r="L41" s="18" t="n">
        <v>8538.129999999999</v>
      </c>
      <c r="M41" s="18" t="n">
        <v>8538.129999999999</v>
      </c>
      <c r="N41" s="18" t="n">
        <v>83249.12</v>
      </c>
      <c r="O41" s="18" t="n">
        <v>-13783.82</v>
      </c>
      <c r="P41" s="34" t="n">
        <v>-13783.82</v>
      </c>
      <c r="Q41" s="18" t="n">
        <v>-13783.82</v>
      </c>
      <c r="R41" s="18" t="n">
        <v>-13783.82</v>
      </c>
      <c r="S41" s="18" t="n">
        <v>-13783.82</v>
      </c>
      <c r="T41" s="18" t="n">
        <v>-13788.53</v>
      </c>
      <c r="U41" s="34" t="n">
        <v>-13788.53</v>
      </c>
      <c r="V41" s="18" t="n">
        <v>-13788.53</v>
      </c>
      <c r="W41" s="18" t="n">
        <v>3579.53</v>
      </c>
      <c r="X41" s="18" t="n">
        <v>3579.53</v>
      </c>
      <c r="Y41" s="18" t="n">
        <v>2169.86</v>
      </c>
      <c r="Z41" s="34" t="n">
        <v>2169.86</v>
      </c>
      <c r="AA41" s="18" t="n">
        <v>13357.88</v>
      </c>
      <c r="AB41" s="19" t="n">
        <v>13658.93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404491.57</v>
      </c>
      <c r="F42" s="34" t="n">
        <v>404491.57</v>
      </c>
      <c r="G42" s="18" t="n">
        <v>401435.99</v>
      </c>
      <c r="H42" s="18" t="n">
        <v>405031.27</v>
      </c>
      <c r="I42" s="18" t="n">
        <v>410125.23</v>
      </c>
      <c r="J42" s="18" t="n">
        <v>401082.64</v>
      </c>
      <c r="K42" s="34" t="n">
        <v>401082.64</v>
      </c>
      <c r="L42" s="18" t="n">
        <v>396420.15</v>
      </c>
      <c r="M42" s="18" t="n">
        <v>405696.64</v>
      </c>
      <c r="N42" s="18" t="n">
        <v>485046.84</v>
      </c>
      <c r="O42" s="18" t="n">
        <v>465854.48</v>
      </c>
      <c r="P42" s="34" t="n">
        <v>465854.48</v>
      </c>
      <c r="Q42" s="18" t="n">
        <v>464492.6</v>
      </c>
      <c r="R42" s="18" t="n">
        <v>476416.37</v>
      </c>
      <c r="S42" s="18" t="n">
        <v>490888.13</v>
      </c>
      <c r="T42" s="18" t="n">
        <v>479913.25</v>
      </c>
      <c r="U42" s="34" t="n">
        <v>479913.25</v>
      </c>
      <c r="V42" s="18" t="n">
        <v>498333.24</v>
      </c>
      <c r="W42" s="18" t="n">
        <v>540248.4</v>
      </c>
      <c r="X42" s="18" t="n">
        <v>556039.8199999999</v>
      </c>
      <c r="Y42" s="18" t="n">
        <v>584663.8</v>
      </c>
      <c r="Z42" s="34" t="n">
        <v>584663.8</v>
      </c>
      <c r="AA42" s="18" t="n">
        <v>585045.55</v>
      </c>
      <c r="AB42" s="19" t="n">
        <v>677388.55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492538.1</v>
      </c>
      <c r="F43" s="34" t="n">
        <v>492538.1</v>
      </c>
      <c r="G43" s="18" t="n">
        <v>500385.9</v>
      </c>
      <c r="H43" s="18" t="n">
        <v>509906.49</v>
      </c>
      <c r="I43" s="18" t="n">
        <v>555615.55</v>
      </c>
      <c r="J43" s="18" t="n">
        <v>573791.49</v>
      </c>
      <c r="K43" s="34" t="n">
        <v>573791.49</v>
      </c>
      <c r="L43" s="18" t="n">
        <v>600402.79</v>
      </c>
      <c r="M43" s="18" t="n">
        <v>641065.76</v>
      </c>
      <c r="N43" s="18" t="n">
        <v>783296.46</v>
      </c>
      <c r="O43" s="18" t="n">
        <v>784322.42</v>
      </c>
      <c r="P43" s="34" t="n">
        <v>784322.42</v>
      </c>
      <c r="Q43" s="18" t="n">
        <v>786217.86</v>
      </c>
      <c r="R43" s="18" t="n">
        <v>820223.24</v>
      </c>
      <c r="S43" s="18" t="n">
        <v>842212.47</v>
      </c>
      <c r="T43" s="18" t="n">
        <v>869994.41</v>
      </c>
      <c r="U43" s="34" t="n">
        <v>869994.41</v>
      </c>
      <c r="V43" s="18" t="n">
        <v>918205.59</v>
      </c>
      <c r="W43" s="18" t="n">
        <v>934322.4399999999</v>
      </c>
      <c r="X43" s="18" t="n">
        <v>950957.45</v>
      </c>
      <c r="Y43" s="18" t="n">
        <v>1033022.74</v>
      </c>
      <c r="Z43" s="34" t="n">
        <v>1033022.74</v>
      </c>
      <c r="AA43" s="18" t="n">
        <v>1075287.41</v>
      </c>
      <c r="AB43" s="19" t="n">
        <v>1122272.02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404491.57</v>
      </c>
      <c r="F44" s="34" t="n">
        <v>404491.57</v>
      </c>
      <c r="G44" s="18" t="n">
        <v>401435.99</v>
      </c>
      <c r="H44" s="18" t="n">
        <v>405031.27</v>
      </c>
      <c r="I44" s="18" t="n">
        <v>410125.23</v>
      </c>
      <c r="J44" s="18" t="n">
        <v>401082.64</v>
      </c>
      <c r="K44" s="34" t="n">
        <v>401082.64</v>
      </c>
      <c r="L44" s="18" t="n">
        <v>396420.15</v>
      </c>
      <c r="M44" s="18" t="n">
        <v>405696.64</v>
      </c>
      <c r="N44" s="18" t="n">
        <v>485046.84</v>
      </c>
      <c r="O44" s="18" t="n">
        <v>465854.48</v>
      </c>
      <c r="P44" s="34" t="n">
        <v>465854.48</v>
      </c>
      <c r="Q44" s="18" t="n">
        <v>464492.6</v>
      </c>
      <c r="R44" s="18" t="n">
        <v>476416.37</v>
      </c>
      <c r="S44" s="18" t="n">
        <v>490888.13</v>
      </c>
      <c r="T44" s="18" t="n">
        <v>479913.25</v>
      </c>
      <c r="U44" s="34" t="n">
        <v>479913.25</v>
      </c>
      <c r="V44" s="18" t="n">
        <v>498333.24</v>
      </c>
      <c r="W44" s="18" t="n">
        <v>540248.4</v>
      </c>
      <c r="X44" s="18" t="n">
        <v>556039.8199999999</v>
      </c>
      <c r="Y44" s="18" t="n">
        <v>584663.8</v>
      </c>
      <c r="Z44" s="34" t="n">
        <v>584663.8</v>
      </c>
      <c r="AA44" s="18" t="n">
        <v>585045.55</v>
      </c>
      <c r="AB44" s="19" t="n">
        <v>677388.55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16015.37</v>
      </c>
      <c r="F45" s="34" t="n">
        <v>16015.37</v>
      </c>
      <c r="G45" s="18" t="n">
        <v>18357.13</v>
      </c>
      <c r="H45" s="18" t="n">
        <v>18592.98</v>
      </c>
      <c r="I45" s="18" t="n">
        <v>46034.75</v>
      </c>
      <c r="J45" s="18" t="n">
        <v>52484.6</v>
      </c>
      <c r="K45" s="34" t="n">
        <v>52484.6</v>
      </c>
      <c r="L45" s="18" t="n">
        <v>63576.36</v>
      </c>
      <c r="M45" s="18" t="n">
        <v>82998.47</v>
      </c>
      <c r="N45" s="18" t="n">
        <v>122387.24</v>
      </c>
      <c r="O45" s="18" t="n">
        <v>110756.1</v>
      </c>
      <c r="P45" s="34" t="n">
        <v>110756.1</v>
      </c>
      <c r="Q45" s="18" t="n">
        <v>92080.71000000001</v>
      </c>
      <c r="R45" s="18" t="n">
        <v>87354.53</v>
      </c>
      <c r="S45" s="18" t="n">
        <v>10000</v>
      </c>
      <c r="T45" s="18" t="n">
        <v>5930.95</v>
      </c>
      <c r="U45" s="34" t="n">
        <v>5930.95</v>
      </c>
      <c r="V45" s="18" t="n">
        <v>4724.7</v>
      </c>
      <c r="W45" s="18" t="n">
        <v>5518.45</v>
      </c>
      <c r="X45" s="18" t="n">
        <v>16312.2</v>
      </c>
      <c r="Y45" s="18" t="n">
        <v>3912.2</v>
      </c>
      <c r="Z45" s="34" t="n">
        <v>3912.2</v>
      </c>
      <c r="AA45" s="18" t="n">
        <v>18462.28</v>
      </c>
      <c r="AB45" s="19" t="n">
        <v>2826.27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-55418.94</v>
      </c>
      <c r="F46" s="34" t="n">
        <v>-55418.94</v>
      </c>
      <c r="G46" s="18" t="n">
        <v>-58306.69</v>
      </c>
      <c r="H46" s="18" t="n">
        <v>-7459.39</v>
      </c>
      <c r="I46" s="18" t="n">
        <v>4307.15</v>
      </c>
      <c r="J46" s="18" t="n">
        <v>-8812.309999999999</v>
      </c>
      <c r="K46" s="34" t="n">
        <v>-8812.309999999999</v>
      </c>
      <c r="L46" s="18" t="n">
        <v>25688.34</v>
      </c>
      <c r="M46" s="18" t="n">
        <v>58951.8</v>
      </c>
      <c r="N46" s="18" t="n">
        <v>67496.08</v>
      </c>
      <c r="O46" s="18" t="n">
        <v>37299.77</v>
      </c>
      <c r="P46" s="34" t="n">
        <v>37299.77</v>
      </c>
      <c r="Q46" s="18" t="n">
        <v>42910.98</v>
      </c>
      <c r="R46" s="18" t="n">
        <v>1376.1</v>
      </c>
      <c r="S46" s="18" t="n">
        <v>-73405.99000000001</v>
      </c>
      <c r="T46" s="18" t="n">
        <v>-54685.12</v>
      </c>
      <c r="U46" s="34" t="n">
        <v>-54685.12</v>
      </c>
      <c r="V46" s="18" t="n">
        <v>-106266.93</v>
      </c>
      <c r="W46" s="18" t="n">
        <v>-97724.91</v>
      </c>
      <c r="X46" s="18" t="n">
        <v>-89868.63</v>
      </c>
      <c r="Y46" s="18" t="n">
        <v>-61274.43</v>
      </c>
      <c r="Z46" s="34" t="n">
        <v>-61274.43</v>
      </c>
      <c r="AA46" s="18" t="n">
        <v>-58662.94</v>
      </c>
      <c r="AB46" s="19" t="n">
        <v>-78313.75999999999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80018.89</v>
      </c>
      <c r="F47" s="34" t="n">
        <v>80018.89</v>
      </c>
      <c r="G47" s="18" t="n">
        <v>150642.78</v>
      </c>
      <c r="H47" s="18" t="n">
        <v>133469.68</v>
      </c>
      <c r="I47" s="18" t="n">
        <v>149192.67</v>
      </c>
      <c r="J47" s="18" t="n">
        <v>68296.33</v>
      </c>
      <c r="K47" s="34" t="n">
        <v>68296.33</v>
      </c>
      <c r="L47" s="18" t="n">
        <v>42875.59</v>
      </c>
      <c r="M47" s="18" t="n">
        <v>28590.11</v>
      </c>
      <c r="N47" s="18" t="n">
        <v>55375.16</v>
      </c>
      <c r="O47" s="18" t="n">
        <v>73806.33</v>
      </c>
      <c r="P47" s="34" t="n">
        <v>73806.33</v>
      </c>
      <c r="Q47" s="18" t="n">
        <v>49519.73</v>
      </c>
      <c r="R47" s="18" t="n">
        <v>86328.42999999999</v>
      </c>
      <c r="S47" s="18" t="n">
        <v>83755.99000000001</v>
      </c>
      <c r="T47" s="18" t="n">
        <v>88139.64</v>
      </c>
      <c r="U47" s="34" t="n">
        <v>88139.64</v>
      </c>
      <c r="V47" s="18" t="n">
        <v>135673.89</v>
      </c>
      <c r="W47" s="18" t="n">
        <v>130070.51</v>
      </c>
      <c r="X47" s="18" t="n">
        <v>131126.55</v>
      </c>
      <c r="Y47" s="18" t="n">
        <v>88773.33</v>
      </c>
      <c r="Z47" s="34" t="n">
        <v>88773.33</v>
      </c>
      <c r="AA47" s="18" t="n">
        <v>101565.79</v>
      </c>
      <c r="AB47" s="19" t="n">
        <v>104552.4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기타유동금융자산</t>
        </is>
      </c>
      <c r="F48" s="9" t="n"/>
      <c r="G48" s="18" t="n">
        <v>73141.62</v>
      </c>
      <c r="H48" s="18" t="n">
        <v>43386.74</v>
      </c>
      <c r="I48" s="18" t="n">
        <v>44324.13</v>
      </c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장기대여금</t>
        </is>
      </c>
      <c r="F49" s="9" t="n"/>
      <c r="G49" s="18" t="n">
        <v>17707.42</v>
      </c>
      <c r="H49" s="18" t="n">
        <v>47628.12</v>
      </c>
      <c r="I49" s="18" t="n">
        <v>53861.41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매입채무및기타채무</t>
        </is>
      </c>
      <c r="F50" s="9" t="n"/>
      <c r="G50" s="18" t="n">
        <v>58146.85</v>
      </c>
      <c r="H50" s="18" t="n">
        <v>59995.15</v>
      </c>
      <c r="I50" s="18" t="n">
        <v>58243.78</v>
      </c>
      <c r="K50" s="9" t="n"/>
      <c r="L50" s="18" t="n">
        <v>5592.88</v>
      </c>
      <c r="P50" s="9" t="n"/>
      <c r="Q50" s="18" t="n">
        <v>5413.95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24.74</v>
      </c>
      <c r="H51" s="18" t="n">
        <v>33.85</v>
      </c>
      <c r="I51" s="18" t="n">
        <v>31.72</v>
      </c>
      <c r="K51" s="9" t="n"/>
      <c r="P51" s="9" t="n"/>
      <c r="T51" s="18" t="n">
        <v>8836.290000000001</v>
      </c>
      <c r="U51" s="34" t="n">
        <v>8836.290000000001</v>
      </c>
      <c r="V51" s="18" t="n">
        <v>8348.9</v>
      </c>
      <c r="W51" s="18" t="n">
        <v>1965.76</v>
      </c>
      <c r="X51" s="18" t="n">
        <v>3812.27</v>
      </c>
      <c r="Y51" s="18" t="n">
        <v>5320.45</v>
      </c>
      <c r="Z51" s="34" t="n">
        <v>5320.45</v>
      </c>
      <c r="AA51" s="18" t="n">
        <v>10209.77</v>
      </c>
      <c r="AB51" s="19" t="n">
        <v>12596.44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단기차입금</t>
        </is>
      </c>
      <c r="F52" s="9" t="n"/>
      <c r="H52" s="18" t="n">
        <v>4000</v>
      </c>
      <c r="I52" s="18" t="n">
        <v>27000</v>
      </c>
      <c r="J52" s="18" t="n">
        <v>37000</v>
      </c>
      <c r="K52" s="34" t="n">
        <v>37000</v>
      </c>
      <c r="L52" s="18" t="n">
        <v>48000</v>
      </c>
      <c r="M52" s="18" t="n">
        <v>65105.91</v>
      </c>
      <c r="N52" s="18" t="n">
        <v>80407.94</v>
      </c>
      <c r="O52" s="18" t="n">
        <v>80651.3</v>
      </c>
      <c r="P52" s="34" t="n">
        <v>80651.3</v>
      </c>
      <c r="Q52" s="18" t="n">
        <v>60185.21</v>
      </c>
      <c r="R52" s="18" t="n">
        <v>57043.33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J53" s="18" t="n">
        <v>1232.07</v>
      </c>
      <c r="K53" s="34" t="n">
        <v>1232.07</v>
      </c>
      <c r="L53" s="18" t="n">
        <v>1903.38</v>
      </c>
      <c r="M53" s="18" t="n">
        <v>865.45</v>
      </c>
      <c r="N53" s="18" t="n">
        <v>47.64</v>
      </c>
      <c r="P53" s="9" t="n"/>
      <c r="U53" s="9" t="n"/>
      <c r="W53" s="18" t="n">
        <v>0</v>
      </c>
      <c r="Y53" s="18" t="n">
        <v>2321.84</v>
      </c>
      <c r="Z53" s="34" t="n">
        <v>2321.84</v>
      </c>
      <c r="AA53" s="18" t="n">
        <v>0</v>
      </c>
      <c r="AB53" s="19" t="n">
        <v>2195.56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80407.94</v>
      </c>
      <c r="O54" s="18" t="n">
        <v>80651.3</v>
      </c>
      <c r="P54" s="34" t="n">
        <v>80651.3</v>
      </c>
      <c r="Q54" s="18" t="n">
        <v>60185.21</v>
      </c>
      <c r="R54" s="18" t="n">
        <v>57043.33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10000</v>
      </c>
      <c r="O55" s="18" t="n">
        <v>10000</v>
      </c>
      <c r="P55" s="34" t="n">
        <v>10000</v>
      </c>
      <c r="Q55" s="18" t="n">
        <v>10000</v>
      </c>
      <c r="R55" s="18" t="n">
        <v>10000</v>
      </c>
      <c r="S55" s="18" t="n">
        <v>10000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4" t="n">
        <v>15730.94</v>
      </c>
      <c r="Q56" s="18" t="n">
        <v>15719.73</v>
      </c>
      <c r="R56" s="18" t="n">
        <v>15708.52</v>
      </c>
      <c r="S56" s="18" t="n">
        <v>15697.31</v>
      </c>
      <c r="T56" s="18" t="n">
        <v>15686.1</v>
      </c>
      <c r="U56" s="34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4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P57" s="9" t="n"/>
      <c r="T57" s="18" t="n">
        <v>19695.35</v>
      </c>
      <c r="U57" s="34" t="n">
        <v>19695.35</v>
      </c>
      <c r="V57" s="18" t="n">
        <v>11693.26</v>
      </c>
      <c r="W57" s="18" t="n">
        <v>52142.18</v>
      </c>
      <c r="X57" s="18" t="n">
        <v>57482.09</v>
      </c>
      <c r="Y57" s="18" t="n">
        <v>164649.52</v>
      </c>
      <c r="Z57" s="34" t="n">
        <v>164649.52</v>
      </c>
      <c r="AA57" s="18" t="n">
        <v>164064.74</v>
      </c>
      <c r="AB57" s="19" t="n">
        <v>172797.13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9973.6</v>
      </c>
      <c r="U58" s="34" t="n">
        <v>9973.6</v>
      </c>
      <c r="V58" s="18" t="n">
        <v>9520.950000000001</v>
      </c>
      <c r="W58" s="18" t="n">
        <v>511.22</v>
      </c>
      <c r="X58" s="18" t="n">
        <v>3659.61</v>
      </c>
      <c r="Y58" s="18" t="n">
        <v>5449.43</v>
      </c>
      <c r="Z58" s="34" t="n">
        <v>5449.43</v>
      </c>
      <c r="AA58" s="18" t="n">
        <v>8400.790000000001</v>
      </c>
      <c r="AB58" s="19" t="n">
        <v>6678.26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4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4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4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4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단기사채</t>
        </is>
      </c>
      <c r="F62" s="9" t="n"/>
      <c r="K62" s="9" t="n"/>
      <c r="P62" s="9" t="n"/>
      <c r="U62" s="9" t="n"/>
      <c r="X62" s="18" t="n">
        <v>10000</v>
      </c>
      <c r="Y62" s="18" t="n">
        <v>0</v>
      </c>
      <c r="Z62" s="34" t="n">
        <v>0</v>
      </c>
      <c r="AA62" s="18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4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4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4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4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4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4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4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4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4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4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4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4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4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4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4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4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4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4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4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4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4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4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4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4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4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4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4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4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4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4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4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4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4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4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4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4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4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4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4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4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4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4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4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4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4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4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4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4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4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4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4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4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4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4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4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4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4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4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4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4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4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4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4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4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4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4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4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4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4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4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4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4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4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4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4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4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4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4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4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4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4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4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4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4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4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4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4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4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4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4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4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4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4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4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4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4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4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4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4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4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4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4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4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4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4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4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4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4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4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4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4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4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4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4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4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4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4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4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4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4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0.0403</v>
      </c>
      <c r="F10" s="34" t="n"/>
      <c r="G10" s="18" t="n">
        <v>0.0551</v>
      </c>
      <c r="H10" s="18" t="n">
        <v>0.0348</v>
      </c>
      <c r="I10" s="18" t="n">
        <v>0.1051</v>
      </c>
      <c r="J10" s="18" t="n">
        <v>0.057</v>
      </c>
      <c r="K10" s="34">
        <f>SUM(G10:J10)</f>
        <v/>
      </c>
      <c r="L10" s="18" t="n">
        <v>0.0363</v>
      </c>
      <c r="M10" s="18" t="n">
        <v>0.059</v>
      </c>
      <c r="N10" s="18" t="n">
        <v>0.0296</v>
      </c>
      <c r="O10" s="18" t="n">
        <v>0.0011</v>
      </c>
      <c r="P10" s="34">
        <f>SUM(L10:O10)</f>
        <v/>
      </c>
      <c r="Q10" s="18" t="n">
        <v>0.0143</v>
      </c>
      <c r="R10" s="18" t="n">
        <v>0.0915</v>
      </c>
      <c r="S10" s="18" t="n">
        <v>0.045</v>
      </c>
      <c r="T10" s="18" t="n">
        <v>0.0895</v>
      </c>
      <c r="U10" s="34">
        <f>SUM(Q10:T10)</f>
        <v/>
      </c>
      <c r="V10" s="18" t="n">
        <v>0.1385</v>
      </c>
      <c r="W10" s="18" t="n">
        <v>0.1368</v>
      </c>
      <c r="X10" s="18" t="n">
        <v>0.135</v>
      </c>
      <c r="Y10" s="18" t="n">
        <v>0.1654</v>
      </c>
      <c r="Z10" s="34">
        <f>SUM(V10:Y10)</f>
        <v/>
      </c>
      <c r="AA10" s="18" t="n">
        <v>0.1939</v>
      </c>
      <c r="AB10" s="19" t="n">
        <v>0.2071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 t="n"/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-0.08</v>
      </c>
      <c r="F18" s="34" t="n"/>
      <c r="G18" s="18" t="n">
        <v>0.06</v>
      </c>
      <c r="H18" s="18" t="n">
        <v>0</v>
      </c>
      <c r="I18" s="18" t="n">
        <v>0</v>
      </c>
      <c r="J18" s="18" t="n">
        <v>-0.07000000000000001</v>
      </c>
      <c r="K18" s="34">
        <f>SUM(G18:J18)</f>
        <v/>
      </c>
      <c r="L18" s="18" t="n">
        <v>0.06</v>
      </c>
      <c r="M18" s="18" t="n">
        <v>0</v>
      </c>
      <c r="N18" s="18" t="n">
        <v>0</v>
      </c>
      <c r="O18" s="18" t="n">
        <v>-0.09</v>
      </c>
      <c r="P18" s="34">
        <f>SUM(L18:O18)</f>
        <v/>
      </c>
      <c r="Q18" s="18" t="n"/>
      <c r="R18" s="18" t="n">
        <v>0</v>
      </c>
      <c r="S18" s="18" t="n"/>
      <c r="T18" s="18" t="n">
        <v>-0.03</v>
      </c>
      <c r="U18" s="34">
        <f>SUM(Q18:T18)</f>
        <v/>
      </c>
      <c r="V18" s="18" t="n">
        <v>0</v>
      </c>
      <c r="W18" s="18" t="n">
        <v>-0</v>
      </c>
      <c r="X18" s="18" t="n">
        <v>0</v>
      </c>
      <c r="Y18" s="18" t="n">
        <v>0</v>
      </c>
      <c r="Z18" s="34">
        <f>SUM(V18:Y18)</f>
        <v/>
      </c>
      <c r="AA18" s="18" t="n">
        <v>0</v>
      </c>
      <c r="AB18" s="19" t="n">
        <v>0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 t="n"/>
      <c r="R27" s="18" t="n"/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SUM(Q27:T27)</f>
        <v/>
      </c>
      <c r="V27" s="18" t="n"/>
      <c r="W27" s="18" t="n"/>
      <c r="X27" s="18">
        <f>IFERROR(VLOOKUP($D27,BS연결,MATCH(X$1,BS연결H,0),0)/100,"")</f>
        <v/>
      </c>
      <c r="Y27" s="18" t="n"/>
      <c r="Z27" s="34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-5.3</v>
      </c>
      <c r="F28" s="34" t="n"/>
      <c r="G28" s="18" t="n">
        <v>-50.35</v>
      </c>
      <c r="H28" s="18" t="n">
        <v>-322.14</v>
      </c>
      <c r="I28" s="18" t="n">
        <v>-29.62</v>
      </c>
      <c r="J28" s="18" t="n">
        <v>324.12</v>
      </c>
      <c r="K28" s="34">
        <f>SUM(G28:J28)</f>
        <v/>
      </c>
      <c r="L28" s="18" t="n">
        <v>-274.49</v>
      </c>
      <c r="M28" s="18" t="n">
        <v>-19.96</v>
      </c>
      <c r="N28" s="18" t="n">
        <v>422.15</v>
      </c>
      <c r="O28" s="18" t="n">
        <v>437.51</v>
      </c>
      <c r="P28" s="34">
        <f>SUM(L28:O28)</f>
        <v/>
      </c>
      <c r="Q28" s="18" t="n">
        <v>135.87</v>
      </c>
      <c r="R28" s="18" t="n">
        <v>720.49</v>
      </c>
      <c r="S28" s="18" t="n">
        <v>389.32</v>
      </c>
      <c r="T28" s="18" t="n">
        <v>259.66</v>
      </c>
      <c r="U28" s="34">
        <f>SUM(Q28:T28)</f>
        <v/>
      </c>
      <c r="V28" s="18" t="n">
        <v>687.78</v>
      </c>
      <c r="W28" s="18" t="n">
        <v>246.05</v>
      </c>
      <c r="X28" s="18" t="n">
        <v>17.95</v>
      </c>
      <c r="Y28" s="18" t="n">
        <v>363.66</v>
      </c>
      <c r="Z28" s="34">
        <f>SUM(V28:Y28)</f>
        <v/>
      </c>
      <c r="AA28" s="18" t="n">
        <v>258.83</v>
      </c>
      <c r="AB28" s="19" t="n">
        <v>427.69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43.022</v>
      </c>
      <c r="F29" s="27">
        <f>E29</f>
        <v/>
      </c>
      <c r="G29" s="26" t="n">
        <v>43.022</v>
      </c>
      <c r="H29" s="26" t="n">
        <v>43.022</v>
      </c>
      <c r="I29" s="26" t="n">
        <v>43.022</v>
      </c>
      <c r="J29" s="26" t="n">
        <v>43.022</v>
      </c>
      <c r="K29" s="27">
        <f>J29</f>
        <v/>
      </c>
      <c r="L29" s="26" t="n">
        <v>43.022</v>
      </c>
      <c r="M29" s="26" t="n">
        <v>43.022</v>
      </c>
      <c r="N29" s="26" t="n">
        <v>41.686</v>
      </c>
      <c r="O29" s="26" t="n">
        <v>49.218</v>
      </c>
      <c r="P29" s="27">
        <f>O29</f>
        <v/>
      </c>
      <c r="Q29" s="26" t="n">
        <v>49.218</v>
      </c>
      <c r="R29" s="26" t="n">
        <v>49.218</v>
      </c>
      <c r="S29" s="26" t="n">
        <v>49.218</v>
      </c>
      <c r="T29" s="26" t="n">
        <v>49.218</v>
      </c>
      <c r="U29" s="27">
        <f>T29</f>
        <v/>
      </c>
      <c r="V29" s="26" t="n">
        <v>49.218</v>
      </c>
      <c r="W29" s="26" t="n">
        <v>50.368</v>
      </c>
      <c r="X29" s="26" t="n">
        <v>50.368</v>
      </c>
      <c r="Y29" s="26" t="n">
        <v>50.368</v>
      </c>
      <c r="Z29" s="27">
        <f>Y29</f>
        <v/>
      </c>
      <c r="AA29" s="26" t="n">
        <v>50.368</v>
      </c>
      <c r="AB29" s="28" t="n">
        <v>51.676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150</v>
      </c>
      <c r="F32" s="34" t="n">
        <v>150</v>
      </c>
      <c r="G32" s="18" t="n"/>
      <c r="H32" s="18" t="n"/>
      <c r="I32" s="18" t="n"/>
      <c r="J32" s="18" t="n">
        <v>130</v>
      </c>
      <c r="K32" s="34">
        <f>SUM(G32:J32)</f>
        <v/>
      </c>
      <c r="L32" s="18" t="n"/>
      <c r="M32" s="18" t="n"/>
      <c r="N32" s="18" t="n"/>
      <c r="O32" s="18" t="n">
        <v>110</v>
      </c>
      <c r="P32" s="34">
        <f>SUM(L32:O32)</f>
        <v/>
      </c>
      <c r="Q32" s="18" t="n"/>
      <c r="R32" s="18" t="n"/>
      <c r="S32" s="18" t="n"/>
      <c r="T32" s="18" t="n">
        <v>130</v>
      </c>
      <c r="U32" s="34">
        <f>SUM(Q32:T32)</f>
        <v/>
      </c>
      <c r="V32" s="18" t="n"/>
      <c r="W32" s="18" t="n"/>
      <c r="X32" s="18" t="n"/>
      <c r="Y32" s="18" t="n">
        <v>320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236.91</v>
      </c>
      <c r="J33" s="18" t="n">
        <v>24.51</v>
      </c>
      <c r="K33" s="34">
        <f>SUM(G33:J33)</f>
        <v/>
      </c>
      <c r="L33" s="18" t="n">
        <v>31.92</v>
      </c>
      <c r="M33" s="18" t="n">
        <v>38.07</v>
      </c>
      <c r="N33" s="18" t="n">
        <v>44.64</v>
      </c>
      <c r="O33" s="18" t="n"/>
      <c r="P33" s="34">
        <f>SUM(L33:O33)</f>
        <v/>
      </c>
      <c r="Q33" s="18" t="n"/>
      <c r="R33" s="18" t="n"/>
      <c r="S33" s="18" t="n">
        <v>158.07</v>
      </c>
      <c r="T33" s="18" t="n">
        <v>26.18</v>
      </c>
      <c r="U33" s="34">
        <f>SUM(Q33:T33)</f>
        <v/>
      </c>
      <c r="V33" s="18" t="n">
        <v>16.63</v>
      </c>
      <c r="W33" s="18" t="n">
        <v>16.57</v>
      </c>
      <c r="X33" s="18" t="n">
        <v>22.5</v>
      </c>
      <c r="Y33" s="18" t="n">
        <v>15.82</v>
      </c>
      <c r="Z33" s="34">
        <f>SUM(V33:Y33)</f>
        <v/>
      </c>
      <c r="AA33" s="18" t="n">
        <v>20.32</v>
      </c>
      <c r="AB33" s="19" t="n">
        <v>19.74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1.24</v>
      </c>
      <c r="F34" s="34" t="n">
        <v>1.19</v>
      </c>
      <c r="G34" s="18" t="n">
        <v>1.27</v>
      </c>
      <c r="H34" s="18" t="n">
        <v>1.42</v>
      </c>
      <c r="I34" s="18" t="n">
        <v>1.48</v>
      </c>
      <c r="J34" s="18" t="n">
        <v>1.23</v>
      </c>
      <c r="K34" s="34">
        <f>SUM(G34:J34)</f>
        <v/>
      </c>
      <c r="L34" s="18" t="n">
        <v>1.22</v>
      </c>
      <c r="M34" s="18" t="n">
        <v>1.24</v>
      </c>
      <c r="N34" s="18" t="n">
        <v>1.18</v>
      </c>
      <c r="O34" s="18" t="n">
        <v>1.29</v>
      </c>
      <c r="P34" s="34">
        <f>SUM(L34:O34)</f>
        <v/>
      </c>
      <c r="Q34" s="18" t="n">
        <v>1.17</v>
      </c>
      <c r="R34" s="18" t="n">
        <v>1.16</v>
      </c>
      <c r="S34" s="18" t="n">
        <v>1.2</v>
      </c>
      <c r="T34" s="18" t="n">
        <v>1.12</v>
      </c>
      <c r="U34" s="34">
        <f>SUM(Q34:T34)</f>
        <v/>
      </c>
      <c r="V34" s="18" t="n">
        <v>1.43</v>
      </c>
      <c r="W34" s="18" t="n">
        <v>2.01</v>
      </c>
      <c r="X34" s="18" t="n">
        <v>2.78</v>
      </c>
      <c r="Y34" s="18" t="n">
        <v>2.79</v>
      </c>
      <c r="Z34" s="34">
        <f>SUM(V34:Y34)</f>
        <v/>
      </c>
      <c r="AA34" s="18" t="n">
        <v>3.34</v>
      </c>
      <c r="AB34" s="19" t="n">
        <v>3.06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812.74</v>
      </c>
      <c r="F35" s="34" t="n"/>
      <c r="G35" s="18" t="n">
        <v>777.4299999999999</v>
      </c>
      <c r="H35" s="18" t="n">
        <v>715.66</v>
      </c>
      <c r="I35" s="18" t="n">
        <v>1140.28</v>
      </c>
      <c r="J35" s="18" t="n">
        <v>1059.34</v>
      </c>
      <c r="K35" s="34">
        <f>SUM(G35:J35)</f>
        <v/>
      </c>
      <c r="L35" s="18" t="n">
        <v>1029.92</v>
      </c>
      <c r="M35" s="18" t="n">
        <v>1338.13</v>
      </c>
      <c r="N35" s="18" t="n">
        <v>1556.53</v>
      </c>
      <c r="O35" s="18" t="n">
        <v>2019.59</v>
      </c>
      <c r="P35" s="34">
        <f>SUM(L35:O35)</f>
        <v/>
      </c>
      <c r="Q35" s="18" t="n">
        <v>1827.5</v>
      </c>
      <c r="R35" s="18" t="n">
        <v>1942.12</v>
      </c>
      <c r="S35" s="18" t="n">
        <v>1706.21</v>
      </c>
      <c r="T35" s="18" t="n">
        <v>1941.58</v>
      </c>
      <c r="U35" s="34">
        <f>SUM(Q35:T35)</f>
        <v/>
      </c>
      <c r="V35" s="18" t="n">
        <v>2245.62</v>
      </c>
      <c r="W35" s="18" t="n">
        <v>2312.73</v>
      </c>
      <c r="X35" s="18" t="n">
        <v>2211.32</v>
      </c>
      <c r="Y35" s="18" t="n">
        <v>2318.43</v>
      </c>
      <c r="Z35" s="34">
        <f>SUM(V35:Y35)</f>
        <v/>
      </c>
      <c r="AA35" s="18" t="n">
        <v>2118.22</v>
      </c>
      <c r="AB35" s="19" t="n">
        <v>2433.78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32.77</v>
      </c>
      <c r="F36" s="34" t="n"/>
      <c r="G36" s="18" t="n">
        <v>42.83</v>
      </c>
      <c r="H36" s="18" t="n">
        <v>24.92</v>
      </c>
      <c r="I36" s="18" t="n">
        <v>119.85</v>
      </c>
      <c r="J36" s="18" t="n">
        <v>60.38</v>
      </c>
      <c r="K36" s="34">
        <f>SUM(G36:J36)</f>
        <v/>
      </c>
      <c r="L36" s="18" t="n">
        <v>37.38</v>
      </c>
      <c r="M36" s="18" t="n">
        <v>78.95</v>
      </c>
      <c r="N36" s="18" t="n">
        <v>46.14</v>
      </c>
      <c r="O36" s="18" t="n">
        <v>2.19</v>
      </c>
      <c r="P36" s="34">
        <f>SUM(L36:O36)</f>
        <v/>
      </c>
      <c r="Q36" s="18" t="n">
        <v>26.08</v>
      </c>
      <c r="R36" s="18" t="n">
        <v>177.79</v>
      </c>
      <c r="S36" s="18" t="n">
        <v>76.84</v>
      </c>
      <c r="T36" s="18" t="n">
        <v>173.75</v>
      </c>
      <c r="U36" s="34">
        <f>SUM(Q36:T36)</f>
        <v/>
      </c>
      <c r="V36" s="18" t="n">
        <v>311.07</v>
      </c>
      <c r="W36" s="18" t="n">
        <v>316.44</v>
      </c>
      <c r="X36" s="18" t="n">
        <v>298.63</v>
      </c>
      <c r="Y36" s="18" t="n">
        <v>383.37</v>
      </c>
      <c r="Z36" s="34">
        <f>SUM(V36:Y36)</f>
        <v/>
      </c>
      <c r="AA36" s="18" t="n">
        <v>410.66</v>
      </c>
      <c r="AB36" s="19" t="n">
        <v>504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2347.5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8.470000000000001</v>
      </c>
    </row>
    <row r="32">
      <c r="C32" s="2" t="inlineStr">
        <is>
          <t>pbr_now</t>
        </is>
      </c>
      <c r="D32" t="n">
        <v>1.53</v>
      </c>
    </row>
    <row r="33">
      <c r="C33" s="2" t="inlineStr">
        <is>
          <t>roe_fwd</t>
        </is>
      </c>
      <c r="D33" t="n">
        <v>0.1801</v>
      </c>
    </row>
    <row r="34">
      <c r="C34" s="2" t="inlineStr">
        <is>
          <t>fair_pbr</t>
        </is>
      </c>
      <c r="D34" t="n">
        <v>2</v>
      </c>
    </row>
    <row r="35">
      <c r="C35" s="2" t="inlineStr">
        <is>
          <t>fair_value_pbr</t>
        </is>
      </c>
      <c r="D35" t="n">
        <v>26100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