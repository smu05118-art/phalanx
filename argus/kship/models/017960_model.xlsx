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BS연결!$C$5:$AO$113</definedName>
    <definedName name="BS별도H">BS별도!$C$1:$AO$1</definedName>
    <definedName name="BS별도">BS별도!$C$5:$AO$99</definedName>
    <definedName name="SUBQH">subQ!$A$1:$AO$1</definedName>
    <definedName name="subQ">subQ!$A$5:$AO$44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고객지수 4분기 이동합(t−1) 161549억 × 비례계수 0.0672 × 계절비중 Q3 0.245(계절비중 — 최근 3개 연도(2026, 2025, 2024) 분기/연간 비중 평균; 격자 lag0~4×창8/12/19×수준·YoY·4Q합 중 최대 r=0.97, n=15, 창 19)</t>
      </text>
    </comment>
    <comment ref="AD21" authorId="0" shapeId="0">
      <text>
        <t>모델값 역산(implied): v / 전년동기 − 1
고객지수 4분기 이동합(t−1) 174980억 × 비례계수 0.0672 × 계절비중 Q4 0.286(계절비중 — 최근 3개 연도(2026, 2025, 2024) 분기/연간 비중 평균; 격자 lag0~4×창8/12/19×수준·YoY·4Q합 중 최대 r=0.97, n=15, 창 19)</t>
      </text>
    </comment>
    <comment ref="AF21" authorId="0" shapeId="0">
      <text>
        <t>모델값 역산(implied): v / 전년동기 − 1
고객지수 4분기 이동합(t−1) 185284억 × 비례계수 0.0672 × 계절비중 Q1 0.222(계절비중 — 최근 3개 연도(2026, 2025, 2024) 분기/연간 비중 평균; 격자 lag0~4×창8/12/19×수준·YoY·4Q합 중 최대 r=0.97, n=15, 창 19)</t>
      </text>
    </comment>
    <comment ref="AG21" authorId="0" shapeId="0">
      <text>
        <t>모델값 역산(implied): v / 전년동기 − 1
고객지수 4분기 이동합(t−1) 193756억 × 비례계수 0.0672 × 계절비중 Q2 0.247(계절비중 — 최근 3개 연도(2026, 2025, 2024) 분기/연간 비중 평균; 격자 lag0~4×창8/12/19×수준·YoY·4Q합 중 최대 r=0.97, n=15, 창 19)</t>
      </text>
    </comment>
    <comment ref="AH21" authorId="0" shapeId="0">
      <text>
        <t>모델값 역산(implied): v / 전년동기 − 1
고객지수 4분기 이동합(t−1) 194390억 × 비례계수 0.0672 × 계절비중 Q3 0.245(계절비중 — 최근 3개 연도(2026, 2025, 2024) 분기/연간 비중 평균; 격자 lag0~4×창8/12/19×수준·YoY·4Q합 중 최대 r=0.97, n=15, 창 19)</t>
      </text>
    </comment>
    <comment ref="AI21" authorId="0" shapeId="0">
      <text>
        <t>모델값 역산(implied): v / 전년동기 − 1
고객지수 4분기 이동합(t−1) 200784억 × 비례계수 0.0672 × 계절비중 Q4 0.286(계절비중 — 최근 3개 연도(2026, 2025, 2024) 분기/연간 비중 평균; 격자 lag0~4×창8/12/19×수준·YoY·4Q합 중 최대 r=0.97, n=15, 창 19)</t>
      </text>
    </comment>
    <comment ref="AK21" authorId="0" shapeId="0">
      <text>
        <t>모델값 역산(implied): v / 전년동기 − 1
고객지수 4분기 이동합(t−1) 209642억 × 비례계수 0.0672 × 계절비중 Q1 0.222(계절비중 — 최근 3개 연도(2026, 2025, 2024) 분기/연간 비중 평균; 격자 lag0~4×창8/12/19×수준·YoY·4Q합 중 최대 r=0.97, n=15, 창 19)</t>
      </text>
    </comment>
    <comment ref="AL21" authorId="0" shapeId="0">
      <text>
        <t>모델값 역산(implied): v / 전년동기 − 1
고객지수 4분기 이동합(t−1) 220993억 × 비례계수 0.0672 × 계절비중 Q2 0.247(계절비중 — 최근 3개 연도(2026, 2025, 2024) 분기/연간 비중 평균; 격자 lag0~4×창8/12/19×수준·YoY·4Q합 중 최대 r=0.97, n=15, 창 19)</t>
      </text>
    </comment>
    <comment ref="AM21" authorId="0" shapeId="0">
      <text>
        <t>모델값 역산(implied): v / 전년동기 − 1
고객지수 4분기 이동합(t−1) 229163억 × 비례계수 0.0672 × 계절비중 Q3 0.245(계절비중 — 최근 3개 연도(2026, 2025, 2024) 분기/연간 비중 평균; 격자 lag0~4×창8/12/19×수준·YoY·4Q합 중 최대 r=0.97, n=15, 창 19)</t>
      </text>
    </comment>
    <comment ref="AN21" authorId="0" shapeId="0">
      <text>
        <t>모델값 역산(implied): v / 전년동기 − 1
고객지수 4분기 이동합(t−1) 233969억 × 비례계수 0.0672 × 계절비중 Q4 0.286(계절비중 — 최근 3개 연도(2026, 2025, 2024) 분기/연간 비중 평균; 격자 lag0~4×창8/12/19×수준·YoY·4Q합 중 최대 r=0.97, n=15, 창 19)</t>
      </text>
    </comment>
    <comment ref="AC22" authorId="0" shapeId="0">
      <text>
        <t>3절 스칼라 '판관비율' 참조 — 숫자로 덮어쓰면 이 분기만 바뀐다
매출액 × 판관비율 9.51%(최근 4분기 중위)</t>
      </text>
    </comment>
    <comment ref="AD22" authorId="0" shapeId="0">
      <text>
        <t>3절 스칼라 '판관비율' 참조 — 숫자로 덮어쓰면 이 분기만 바뀐다
매출액 × 판관비율 9.51%(최근 4분기 중위)</t>
      </text>
    </comment>
    <comment ref="AF22" authorId="0" shapeId="0">
      <text>
        <t>3절 스칼라 '판관비율' 참조 — 숫자로 덮어쓰면 이 분기만 바뀐다
매출액 × 판관비율 9.51%(최근 4분기 중위)</t>
      </text>
    </comment>
    <comment ref="AG22" authorId="0" shapeId="0">
      <text>
        <t>3절 스칼라 '판관비율' 참조 — 숫자로 덮어쓰면 이 분기만 바뀐다
매출액 × 판관비율 9.51%(최근 4분기 중위)</t>
      </text>
    </comment>
    <comment ref="AH22" authorId="0" shapeId="0">
      <text>
        <t>3절 스칼라 '판관비율' 참조 — 숫자로 덮어쓰면 이 분기만 바뀐다
매출액 × 판관비율 9.51%(최근 4분기 중위)</t>
      </text>
    </comment>
    <comment ref="AI22" authorId="0" shapeId="0">
      <text>
        <t>3절 스칼라 '판관비율' 참조 — 숫자로 덮어쓰면 이 분기만 바뀐다
매출액 × 판관비율 9.51%(최근 4분기 중위)</t>
      </text>
    </comment>
    <comment ref="AK22" authorId="0" shapeId="0">
      <text>
        <t>3절 스칼라 '판관비율' 참조 — 숫자로 덮어쓰면 이 분기만 바뀐다
매출액 × 판관비율 9.51%(최근 4분기 중위)</t>
      </text>
    </comment>
    <comment ref="AL22" authorId="0" shapeId="0">
      <text>
        <t>3절 스칼라 '판관비율' 참조 — 숫자로 덮어쓰면 이 분기만 바뀐다
매출액 × 판관비율 9.51%(최근 4분기 중위)</t>
      </text>
    </comment>
    <comment ref="AM22" authorId="0" shapeId="0">
      <text>
        <t>3절 스칼라 '판관비율' 참조 — 숫자로 덮어쓰면 이 분기만 바뀐다
매출액 × 판관비율 9.51%(최근 4분기 중위)</t>
      </text>
    </comment>
    <comment ref="AN22" authorId="0" shapeId="0">
      <text>
        <t>3절 스칼라 '판관비율' 참조 — 숫자로 덮어쓰면 이 분기만 바뀐다
매출액 × 판관비율 9.51%(최근 4분기 중위)</t>
      </text>
    </comment>
    <comment ref="AC23" authorId="0" shapeId="0">
      <text>
        <t>모델값 역산(implied): v / 매출액
매출액 × OPM(최근 8분기 OPM 중위 13.8% 유지)</t>
      </text>
    </comment>
    <comment ref="AD23" authorId="0" shapeId="0">
      <text>
        <t>모델값 역산(implied): v / 매출액
매출액 × OPM(최근 8분기 OPM 중위 13.8% 유지)</t>
      </text>
    </comment>
    <comment ref="AF23" authorId="0" shapeId="0">
      <text>
        <t>모델값 역산(implied): v / 매출액
매출액 × OPM(최근 8분기 OPM 중위 13.8% 유지)</t>
      </text>
    </comment>
    <comment ref="AG23" authorId="0" shapeId="0">
      <text>
        <t>모델값 역산(implied): v / 매출액
매출액 × OPM(최근 8분기 OPM 중위 13.8% 유지)</t>
      </text>
    </comment>
    <comment ref="AH23" authorId="0" shapeId="0">
      <text>
        <t>모델값 역산(implied): v / 매출액
매출액 × OPM(최근 8분기 OPM 중위 13.8% 유지)</t>
      </text>
    </comment>
    <comment ref="AI23" authorId="0" shapeId="0">
      <text>
        <t>모델값 역산(implied): v / 매출액
매출액 × OPM(최근 8분기 OPM 중위 13.8% 유지)</t>
      </text>
    </comment>
    <comment ref="AK23" authorId="0" shapeId="0">
      <text>
        <t>모델값 역산(implied): v / 매출액
매출액 × OPM(최근 8분기 OPM 중위 13.8% 유지)</t>
      </text>
    </comment>
    <comment ref="AL23" authorId="0" shapeId="0">
      <text>
        <t>모델값 역산(implied): v / 매출액
매출액 × OPM(최근 8분기 OPM 중위 13.8% 유지)</t>
      </text>
    </comment>
    <comment ref="AM23" authorId="0" shapeId="0">
      <text>
        <t>모델값 역산(implied): v / 매출액
매출액 × OPM(최근 8분기 OPM 중위 13.8% 유지)</t>
      </text>
    </comment>
    <comment ref="AN23" authorId="0" shapeId="0">
      <text>
        <t>모델값 역산(implied): v / 매출액
매출액 × OPM(최근 8분기 OPM 중위 13.8% 유지)</t>
      </text>
    </comment>
    <comment ref="AC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D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F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G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H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I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K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L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M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N24" authorId="0" shapeId="0">
      <text>
        <t>모델값 역산(implied): 모델 v 그대로
외환차손익·외화환산손익 0 가정 — 추정 구간 환율 효과는 조선사 환관련손익 행(공시 노출 × Δ기말환율)에만 둔다(이중 계상 방지)</t>
      </text>
    </comment>
    <comment ref="AC25" authorId="0" shapeId="0">
      <text>
        <t>모델값 역산(implied): 모델 v 그대로
파생상품 평가·거래손익 0 가정</t>
      </text>
    </comment>
    <comment ref="AD25" authorId="0" shapeId="0">
      <text>
        <t>모델값 역산(implied): 모델 v 그대로
파생상품 평가·거래손익 0 가정</t>
      </text>
    </comment>
    <comment ref="AF25" authorId="0" shapeId="0">
      <text>
        <t>모델값 역산(implied): 모델 v 그대로
파생상품 평가·거래손익 0 가정</t>
      </text>
    </comment>
    <comment ref="AG25" authorId="0" shapeId="0">
      <text>
        <t>모델값 역산(implied): 모델 v 그대로
파생상품 평가·거래손익 0 가정</t>
      </text>
    </comment>
    <comment ref="AH25" authorId="0" shapeId="0">
      <text>
        <t>모델값 역산(implied): 모델 v 그대로
파생상품 평가·거래손익 0 가정</t>
      </text>
    </comment>
    <comment ref="AI25" authorId="0" shapeId="0">
      <text>
        <t>모델값 역산(implied): 모델 v 그대로
파생상품 평가·거래손익 0 가정</t>
      </text>
    </comment>
    <comment ref="AK25" authorId="0" shapeId="0">
      <text>
        <t>모델값 역산(implied): 모델 v 그대로
파생상품 평가·거래손익 0 가정</t>
      </text>
    </comment>
    <comment ref="AL25" authorId="0" shapeId="0">
      <text>
        <t>모델값 역산(implied): 모델 v 그대로
파생상품 평가·거래손익 0 가정</t>
      </text>
    </comment>
    <comment ref="AM25" authorId="0" shapeId="0">
      <text>
        <t>모델값 역산(implied): 모델 v 그대로
파생상품 평가·거래손익 0 가정</t>
      </text>
    </comment>
    <comment ref="AN25" authorId="0" shapeId="0">
      <text>
        <t>모델값 역산(implied): 모델 v 그대로
파생상품 평가·거래손익 0 가정</t>
      </text>
    </comment>
    <comment ref="AC26" authorId="0" shapeId="0">
      <text>
        <t>모델값 역산(implied): 모델 v 그대로
최근 4분기 중위 -40.74억이 이자손익 추정 -10.23억의 50% 초과 → 0(경고)</t>
      </text>
    </comment>
    <comment ref="AD26" authorId="0" shapeId="0">
      <text>
        <t>모델값 역산(implied): 모델 v 그대로
최근 4분기 중위 -40.74억이 이자손익 추정 -10.23억의 50% 초과 → 0(경고)</t>
      </text>
    </comment>
    <comment ref="AF26" authorId="0" shapeId="0">
      <text>
        <t>모델값 역산(implied): 모델 v 그대로
최근 4분기 중위 -40.74억이 이자손익 추정 -10.23억의 50% 초과 → 0(경고)</t>
      </text>
    </comment>
    <comment ref="AG26" authorId="0" shapeId="0">
      <text>
        <t>모델값 역산(implied): 모델 v 그대로
최근 4분기 중위 -40.74억이 이자손익 추정 -10.23억의 50% 초과 → 0(경고)</t>
      </text>
    </comment>
    <comment ref="AH26" authorId="0" shapeId="0">
      <text>
        <t>모델값 역산(implied): 모델 v 그대로
최근 4분기 중위 -40.74억이 이자손익 추정 -10.23억의 50% 초과 → 0(경고)</t>
      </text>
    </comment>
    <comment ref="AI26" authorId="0" shapeId="0">
      <text>
        <t>모델값 역산(implied): 모델 v 그대로
최근 4분기 중위 -40.74억이 이자손익 추정 -10.23억의 50% 초과 → 0(경고)</t>
      </text>
    </comment>
    <comment ref="AK26" authorId="0" shapeId="0">
      <text>
        <t>모델값 역산(implied): 모델 v 그대로
최근 4분기 중위 -40.74억이 이자손익 추정 -10.23억의 50% 초과 → 0(경고)</t>
      </text>
    </comment>
    <comment ref="AL26" authorId="0" shapeId="0">
      <text>
        <t>모델값 역산(implied): 모델 v 그대로
최근 4분기 중위 -40.74억이 이자손익 추정 -10.23억의 50% 초과 → 0(경고)</t>
      </text>
    </comment>
    <comment ref="AM26" authorId="0" shapeId="0">
      <text>
        <t>모델값 역산(implied): 모델 v 그대로
최근 4분기 중위 -40.74억이 이자손익 추정 -10.23억의 50% 초과 → 0(경고)</t>
      </text>
    </comment>
    <comment ref="AN26" authorId="0" shapeId="0">
      <text>
        <t>모델값 역산(implied): 모델 v 그대로
최근 4분기 중위 -40.74억이 이자손익 추정 -10.23억의 50% 초과 → 0(경고)</t>
      </text>
    </comment>
    <comment ref="AC27" authorId="0" shapeId="0">
      <text>
        <t>모델값 역산(implied): 모델 v 그대로
일회성 미가정 → 0</t>
      </text>
    </comment>
    <comment ref="AD27" authorId="0" shapeId="0">
      <text>
        <t>모델값 역산(implied): 모델 v 그대로
일회성 미가정 → 0</t>
      </text>
    </comment>
    <comment ref="AF27" authorId="0" shapeId="0">
      <text>
        <t>모델값 역산(implied): 모델 v 그대로
일회성 미가정 → 0</t>
      </text>
    </comment>
    <comment ref="AG27" authorId="0" shapeId="0">
      <text>
        <t>모델값 역산(implied): 모델 v 그대로
일회성 미가정 → 0</t>
      </text>
    </comment>
    <comment ref="AH27" authorId="0" shapeId="0">
      <text>
        <t>모델값 역산(implied): 모델 v 그대로
일회성 미가정 → 0</t>
      </text>
    </comment>
    <comment ref="AI27" authorId="0" shapeId="0">
      <text>
        <t>모델값 역산(implied): 모델 v 그대로
일회성 미가정 → 0</t>
      </text>
    </comment>
    <comment ref="AK27" authorId="0" shapeId="0">
      <text>
        <t>모델값 역산(implied): 모델 v 그대로
일회성 미가정 → 0</t>
      </text>
    </comment>
    <comment ref="AL27" authorId="0" shapeId="0">
      <text>
        <t>모델값 역산(implied): 모델 v 그대로
일회성 미가정 → 0</t>
      </text>
    </comment>
    <comment ref="AM27" authorId="0" shapeId="0">
      <text>
        <t>모델값 역산(implied): 모델 v 그대로
일회성 미가정 → 0</t>
      </text>
    </comment>
    <comment ref="AN27" authorId="0" shapeId="0">
      <text>
        <t>모델값 역산(implied): 모델 v 그대로
일회성 미가정 → 0</t>
      </text>
    </comment>
    <comment ref="AC28" authorId="0" shapeId="0">
      <text>
        <t>모델값 역산(implied): 모델 v 그대로
최근 4분기 중위</t>
      </text>
    </comment>
    <comment ref="AD28" authorId="0" shapeId="0">
      <text>
        <t>모델값 역산(implied): 모델 v 그대로
최근 4분기 중위</t>
      </text>
    </comment>
    <comment ref="AF28" authorId="0" shapeId="0">
      <text>
        <t>모델값 역산(implied): 모델 v 그대로
최근 4분기 중위</t>
      </text>
    </comment>
    <comment ref="AG28" authorId="0" shapeId="0">
      <text>
        <t>모델값 역산(implied): 모델 v 그대로
최근 4분기 중위</t>
      </text>
    </comment>
    <comment ref="AH28" authorId="0" shapeId="0">
      <text>
        <t>모델값 역산(implied): 모델 v 그대로
최근 4분기 중위</t>
      </text>
    </comment>
    <comment ref="AI28" authorId="0" shapeId="0">
      <text>
        <t>모델값 역산(implied): 모델 v 그대로
최근 4분기 중위</t>
      </text>
    </comment>
    <comment ref="AK28" authorId="0" shapeId="0">
      <text>
        <t>모델값 역산(implied): 모델 v 그대로
최근 4분기 중위</t>
      </text>
    </comment>
    <comment ref="AL28" authorId="0" shapeId="0">
      <text>
        <t>모델값 역산(implied): 모델 v 그대로
최근 4분기 중위</t>
      </text>
    </comment>
    <comment ref="AM28" authorId="0" shapeId="0">
      <text>
        <t>모델값 역산(implied): 모델 v 그대로
최근 4분기 중위</t>
      </text>
    </comment>
    <comment ref="AN28" authorId="0" shapeId="0">
      <text>
        <t>모델값 역산(implied): 모델 v 그대로
최근 4분기 중위</t>
      </text>
    </comment>
    <comment ref="AC29" authorId="0" shapeId="0">
      <text>
        <t>3절 스칼라 '세율' 참조 — 숫자로 덮어쓰면 이 분기만 바뀐다
max(세전, 0) × 세율 24.4%(최근 12분기 유효세율 28.5% 가 5~27% 밖 → 클립 대신 최근 8분기 중 세전 &gt; 0 인 7분기(2024Q3~2026Q2)의 법인세/세전 중위 24.4%)</t>
      </text>
    </comment>
    <comment ref="AD29" authorId="0" shapeId="0">
      <text>
        <t>3절 스칼라 '세율' 참조 — 숫자로 덮어쓰면 이 분기만 바뀐다
max(세전, 0) × 세율 24.4%(최근 12분기 유효세율 28.5% 가 5~27% 밖 → 클립 대신 최근 8분기 중 세전 &gt; 0 인 7분기(2024Q3~2026Q2)의 법인세/세전 중위 24.4%)</t>
      </text>
    </comment>
    <comment ref="AF29" authorId="0" shapeId="0">
      <text>
        <t>3절 스칼라 '세율' 참조 — 숫자로 덮어쓰면 이 분기만 바뀐다
max(세전, 0) × 세율 24.4%(최근 12분기 유효세율 28.5% 가 5~27% 밖 → 클립 대신 최근 8분기 중 세전 &gt; 0 인 7분기(2024Q3~2026Q2)의 법인세/세전 중위 24.4%)</t>
      </text>
    </comment>
    <comment ref="AG29" authorId="0" shapeId="0">
      <text>
        <t>3절 스칼라 '세율' 참조 — 숫자로 덮어쓰면 이 분기만 바뀐다
max(세전, 0) × 세율 24.4%(최근 12분기 유효세율 28.5% 가 5~27% 밖 → 클립 대신 최근 8분기 중 세전 &gt; 0 인 7분기(2024Q3~2026Q2)의 법인세/세전 중위 24.4%)</t>
      </text>
    </comment>
    <comment ref="AH29" authorId="0" shapeId="0">
      <text>
        <t>3절 스칼라 '세율' 참조 — 숫자로 덮어쓰면 이 분기만 바뀐다
max(세전, 0) × 세율 24.4%(최근 12분기 유효세율 28.5% 가 5~27% 밖 → 클립 대신 최근 8분기 중 세전 &gt; 0 인 7분기(2024Q3~2026Q2)의 법인세/세전 중위 24.4%)</t>
      </text>
    </comment>
    <comment ref="AI29" authorId="0" shapeId="0">
      <text>
        <t>3절 스칼라 '세율' 참조 — 숫자로 덮어쓰면 이 분기만 바뀐다
max(세전, 0) × 세율 24.4%(최근 12분기 유효세율 28.5% 가 5~27% 밖 → 클립 대신 최근 8분기 중 세전 &gt; 0 인 7분기(2024Q3~2026Q2)의 법인세/세전 중위 24.4%)</t>
      </text>
    </comment>
    <comment ref="AK29" authorId="0" shapeId="0">
      <text>
        <t>3절 스칼라 '세율' 참조 — 숫자로 덮어쓰면 이 분기만 바뀐다
max(세전, 0) × 세율 24.4%(최근 12분기 유효세율 28.5% 가 5~27% 밖 → 클립 대신 최근 8분기 중 세전 &gt; 0 인 7분기(2024Q3~2026Q2)의 법인세/세전 중위 24.4%)</t>
      </text>
    </comment>
    <comment ref="AL29" authorId="0" shapeId="0">
      <text>
        <t>3절 스칼라 '세율' 참조 — 숫자로 덮어쓰면 이 분기만 바뀐다
max(세전, 0) × 세율 24.4%(최근 12분기 유효세율 28.5% 가 5~27% 밖 → 클립 대신 최근 8분기 중 세전 &gt; 0 인 7분기(2024Q3~2026Q2)의 법인세/세전 중위 24.4%)</t>
      </text>
    </comment>
    <comment ref="AM29" authorId="0" shapeId="0">
      <text>
        <t>3절 스칼라 '세율' 참조 — 숫자로 덮어쓰면 이 분기만 바뀐다
max(세전, 0) × 세율 24.4%(최근 12분기 유효세율 28.5% 가 5~27% 밖 → 클립 대신 최근 8분기 중 세전 &gt; 0 인 7분기(2024Q3~2026Q2)의 법인세/세전 중위 24.4%)</t>
      </text>
    </comment>
    <comment ref="AN29" authorId="0" shapeId="0">
      <text>
        <t>3절 스칼라 '세율' 참조 — 숫자로 덮어쓰면 이 분기만 바뀐다
max(세전, 0) × 세율 24.4%(최근 12분기 유효세율 28.5% 가 5~27% 밖 → 클립 대신 최근 8분기 중 세전 &gt; 0 인 7분기(2024Q3~2026Q2)의 법인세/세전 중위 24.4%)</t>
      </text>
    </comment>
    <comment ref="AC30" authorId="0" shapeId="0">
      <text>
        <t>3절 스칼라 '지배주주비중' 참조 — 숫자로 덮어쓰면 이 분기만 바뀐다
당기순이익 × (1 − 비지배 비중 0.0%, 최근 8분기 실측)</t>
      </text>
    </comment>
    <comment ref="AD30" authorId="0" shapeId="0">
      <text>
        <t>3절 스칼라 '지배주주비중' 참조 — 숫자로 덮어쓰면 이 분기만 바뀐다
당기순이익 × (1 − 비지배 비중 0.0%, 최근 8분기 실측)</t>
      </text>
    </comment>
    <comment ref="AF30" authorId="0" shapeId="0">
      <text>
        <t>3절 스칼라 '지배주주비중' 참조 — 숫자로 덮어쓰면 이 분기만 바뀐다
당기순이익 × (1 − 비지배 비중 0.0%, 최근 8분기 실측)</t>
      </text>
    </comment>
    <comment ref="AG30" authorId="0" shapeId="0">
      <text>
        <t>3절 스칼라 '지배주주비중' 참조 — 숫자로 덮어쓰면 이 분기만 바뀐다
당기순이익 × (1 − 비지배 비중 0.0%, 최근 8분기 실측)</t>
      </text>
    </comment>
    <comment ref="AH30" authorId="0" shapeId="0">
      <text>
        <t>3절 스칼라 '지배주주비중' 참조 — 숫자로 덮어쓰면 이 분기만 바뀐다
당기순이익 × (1 − 비지배 비중 0.0%, 최근 8분기 실측)</t>
      </text>
    </comment>
    <comment ref="AI30" authorId="0" shapeId="0">
      <text>
        <t>3절 스칼라 '지배주주비중' 참조 — 숫자로 덮어쓰면 이 분기만 바뀐다
당기순이익 × (1 − 비지배 비중 0.0%, 최근 8분기 실측)</t>
      </text>
    </comment>
    <comment ref="AK30" authorId="0" shapeId="0">
      <text>
        <t>3절 스칼라 '지배주주비중' 참조 — 숫자로 덮어쓰면 이 분기만 바뀐다
당기순이익 × (1 − 비지배 비중 0.0%, 최근 8분기 실측)</t>
      </text>
    </comment>
    <comment ref="AL30" authorId="0" shapeId="0">
      <text>
        <t>3절 스칼라 '지배주주비중' 참조 — 숫자로 덮어쓰면 이 분기만 바뀐다
당기순이익 × (1 − 비지배 비중 0.0%, 최근 8분기 실측)</t>
      </text>
    </comment>
    <comment ref="AM30" authorId="0" shapeId="0">
      <text>
        <t>3절 스칼라 '지배주주비중' 참조 — 숫자로 덮어쓰면 이 분기만 바뀐다
당기순이익 × (1 − 비지배 비중 0.0%, 최근 8분기 실측)</t>
      </text>
    </comment>
    <comment ref="AN30" authorId="0" shapeId="0">
      <text>
        <t>3절 스칼라 '지배주주비중' 참조 — 숫자로 덮어쓰면 이 분기만 바뀐다
당기순이익 × (1 − 비지배 비중 0.0%, 최근 8분기 실측)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AK32" authorId="0" shapeId="0">
      <text>
        <t>모델값 역산(implied): v / 전분기 − 1
마지막 실적 유지(가정)</t>
      </text>
    </comment>
    <comment ref="AL32" authorId="0" shapeId="0">
      <text>
        <t>모델값 역산(implied): v / 전분기 − 1
마지막 실적 유지(가정)</t>
      </text>
    </comment>
    <comment ref="AM32" authorId="0" shapeId="0">
      <text>
        <t>모델값 역산(implied): v / 전분기 − 1
마지막 실적 유지(가정)</t>
      </text>
    </comment>
    <comment ref="AN32" authorId="0" shapeId="0">
      <text>
        <t>모델값 역산(implied): v / 전분기 − 1
마지막 실적 유지(가정)</t>
      </text>
    </comment>
    <comment ref="AC33" authorId="0" shapeId="0">
      <text>
        <t>모델값 역산(implied): 전분기(시트값) + 당기순이익(시트 수식값) − v
전분기 + 당기순이익 − 배당(Q2 지급 가정)</t>
      </text>
    </comment>
    <comment ref="AD33" authorId="0" shapeId="0">
      <text>
        <t>모델값 역산(implied): 전분기(시트값) + 당기순이익(시트 수식값) − v
전분기 + 당기순이익 − 배당(Q2 지급 가정)</t>
      </text>
    </comment>
    <comment ref="AF33" authorId="0" shapeId="0">
      <text>
        <t>모델값 역산(implied): 전분기(시트값) + 당기순이익(시트 수식값) − v
전분기 + 당기순이익 − 배당(Q2 지급 가정)</t>
      </text>
    </comment>
    <comment ref="AG33" authorId="0" shapeId="0">
      <text>
        <t>모델값 역산(implied): 전분기(시트값) + 당기순이익(시트 수식값) − v
전분기 + 당기순이익 − 배당(Q2 지급 가정)</t>
      </text>
    </comment>
    <comment ref="AH33" authorId="0" shapeId="0">
      <text>
        <t>모델값 역산(implied): 전분기(시트값) + 당기순이익(시트 수식값) − v
전분기 + 당기순이익 − 배당(Q2 지급 가정)</t>
      </text>
    </comment>
    <comment ref="AI33" authorId="0" shapeId="0">
      <text>
        <t>모델값 역산(implied): 전분기(시트값) + 당기순이익(시트 수식값) − v
전분기 + 당기순이익 − 배당(Q2 지급 가정)</t>
      </text>
    </comment>
    <comment ref="AK33" authorId="0" shapeId="0">
      <text>
        <t>모델값 역산(implied): 전분기(시트값) + 당기순이익(시트 수식값) − v
전분기 + 당기순이익 − 배당(Q2 지급 가정)</t>
      </text>
    </comment>
    <comment ref="AL33" authorId="0" shapeId="0">
      <text>
        <t>모델값 역산(implied): 전분기(시트값) + 당기순이익(시트 수식값) − v
전분기 + 당기순이익 − 배당(Q2 지급 가정)</t>
      </text>
    </comment>
    <comment ref="AM33" authorId="0" shapeId="0">
      <text>
        <t>모델값 역산(implied): 전분기(시트값) + 당기순이익(시트 수식값) − v
전분기 + 당기순이익 − 배당(Q2 지급 가정)</t>
      </text>
    </comment>
    <comment ref="AN33" authorId="0" shapeId="0">
      <text>
        <t>모델값 역산(implied): 전분기(시트값) + 당기순이익(시트 수식값) − v
전분기 + 당기순이익 − 배당(Q2 지급 가정)</t>
      </text>
    </comment>
    <comment ref="AC34" authorId="0" shapeId="0">
      <text>
        <t>모델값 역산(implied): 전분기(시트값) + 지배주주순이익(시트 수식값) − v
전분기 + 지배주주순이익 − 배당</t>
      </text>
    </comment>
    <comment ref="AD34" authorId="0" shapeId="0">
      <text>
        <t>모델값 역산(implied): 전분기(시트값) + 지배주주순이익(시트 수식값) − v
전분기 + 지배주주순이익 − 배당</t>
      </text>
    </comment>
    <comment ref="AF34" authorId="0" shapeId="0">
      <text>
        <t>모델값 역산(implied): 전분기(시트값) + 지배주주순이익(시트 수식값) − v
전분기 + 지배주주순이익 − 배당</t>
      </text>
    </comment>
    <comment ref="AG34" authorId="0" shapeId="0">
      <text>
        <t>모델값 역산(implied): 전분기(시트값) + 지배주주순이익(시트 수식값) − v
전분기 + 지배주주순이익 − 배당</t>
      </text>
    </comment>
    <comment ref="AH34" authorId="0" shapeId="0">
      <text>
        <t>모델값 역산(implied): 전분기(시트값) + 지배주주순이익(시트 수식값) − v
전분기 + 지배주주순이익 − 배당</t>
      </text>
    </comment>
    <comment ref="AI34" authorId="0" shapeId="0">
      <text>
        <t>모델값 역산(implied): 전분기(시트값) + 지배주주순이익(시트 수식값) − v
전분기 + 지배주주순이익 − 배당</t>
      </text>
    </comment>
    <comment ref="AK34" authorId="0" shapeId="0">
      <text>
        <t>모델값 역산(implied): 전분기(시트값) + 지배주주순이익(시트 수식값) − v
전분기 + 지배주주순이익 − 배당</t>
      </text>
    </comment>
    <comment ref="AL34" authorId="0" shapeId="0">
      <text>
        <t>모델값 역산(implied): 전분기(시트값) + 지배주주순이익(시트 수식값) − v
전분기 + 지배주주순이익 − 배당</t>
      </text>
    </comment>
    <comment ref="AM34" authorId="0" shapeId="0">
      <text>
        <t>모델값 역산(implied): 전분기(시트값) + 지배주주순이익(시트 수식값) − v
전분기 + 지배주주순이익 − 배당</t>
      </text>
    </comment>
    <comment ref="AN34" authorId="0" shapeId="0">
      <text>
        <t>모델값 역산(implied): 전분기(시트값) + 지배주주순이익(시트 수식값) − v
전분기 + 지배주주순이익 − 배당</t>
      </text>
    </comment>
    <comment ref="AC35" authorId="0" shapeId="0">
      <text>
        <t>모델값 역산(implied): v / 전분기 − 1
마지막 실적 유지(가정)</t>
      </text>
    </comment>
    <comment ref="AD35" authorId="0" shapeId="0">
      <text>
        <t>모델값 역산(implied): v / 전분기 − 1
마지막 실적 유지(가정)</t>
      </text>
    </comment>
    <comment ref="AF35" authorId="0" shapeId="0">
      <text>
        <t>모델값 역산(implied): v / 전분기 − 1
마지막 실적 유지(가정)</t>
      </text>
    </comment>
    <comment ref="AG35" authorId="0" shapeId="0">
      <text>
        <t>모델값 역산(implied): v / 전분기 − 1
마지막 실적 유지(가정)</t>
      </text>
    </comment>
    <comment ref="AH35" authorId="0" shapeId="0">
      <text>
        <t>모델값 역산(implied): v / 전분기 − 1
마지막 실적 유지(가정)</t>
      </text>
    </comment>
    <comment ref="AI35" authorId="0" shapeId="0">
      <text>
        <t>모델값 역산(implied): v / 전분기 − 1
마지막 실적 유지(가정)</t>
      </text>
    </comment>
    <comment ref="AK35" authorId="0" shapeId="0">
      <text>
        <t>모델값 역산(implied): v / 전분기 − 1
마지막 실적 유지(가정)</t>
      </text>
    </comment>
    <comment ref="AL35" authorId="0" shapeId="0">
      <text>
        <t>모델값 역산(implied): v / 전분기 − 1
마지막 실적 유지(가정)</t>
      </text>
    </comment>
    <comment ref="AM35" authorId="0" shapeId="0">
      <text>
        <t>모델값 역산(implied): v / 전분기 − 1
마지막 실적 유지(가정)</t>
      </text>
    </comment>
    <comment ref="AN35" authorId="0" shapeId="0">
      <text>
        <t>모델값 역산(implied): v / 전분기 − 1
마지막 실적 유지(가정)</t>
      </text>
    </comment>
    <comment ref="AC36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D36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F36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G36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H36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I36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K36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L36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M36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N36" authorId="0" shapeId="0">
      <text>
        <t>모델값 역산(implied): v / 전분기 − 1
전분기 − FCF 근사[순이익 − 배당(감가상각비 없음 → CAPEX≈감가 가정, CAPEX 중위 5억은 행에만)] (운전자본 불변·총차입금 유지 가정 → 변동은 전부 현금)</t>
      </text>
    </comment>
    <comment ref="AC37" authorId="0" shapeId="0">
      <text>
        <t>모델값 역산(implied): v / 전분기 − 1
전분기 + FCF 근사 — 순차입금 롤과 같은 가정</t>
      </text>
    </comment>
    <comment ref="AD37" authorId="0" shapeId="0">
      <text>
        <t>모델값 역산(implied): v / 전분기 − 1
전분기 + FCF 근사 — 순차입금 롤과 같은 가정</t>
      </text>
    </comment>
    <comment ref="AF37" authorId="0" shapeId="0">
      <text>
        <t>모델값 역산(implied): v / 전분기 − 1
전분기 + FCF 근사 — 순차입금 롤과 같은 가정</t>
      </text>
    </comment>
    <comment ref="AG37" authorId="0" shapeId="0">
      <text>
        <t>모델값 역산(implied): v / 전분기 − 1
전분기 + FCF 근사 — 순차입금 롤과 같은 가정</t>
      </text>
    </comment>
    <comment ref="AH37" authorId="0" shapeId="0">
      <text>
        <t>모델값 역산(implied): v / 전분기 − 1
전분기 + FCF 근사 — 순차입금 롤과 같은 가정</t>
      </text>
    </comment>
    <comment ref="AI37" authorId="0" shapeId="0">
      <text>
        <t>모델값 역산(implied): v / 전분기 − 1
전분기 + FCF 근사 — 순차입금 롤과 같은 가정</t>
      </text>
    </comment>
    <comment ref="AK37" authorId="0" shapeId="0">
      <text>
        <t>모델값 역산(implied): v / 전분기 − 1
전분기 + FCF 근사 — 순차입금 롤과 같은 가정</t>
      </text>
    </comment>
    <comment ref="AL37" authorId="0" shapeId="0">
      <text>
        <t>모델값 역산(implied): v / 전분기 − 1
전분기 + FCF 근사 — 순차입금 롤과 같은 가정</t>
      </text>
    </comment>
    <comment ref="AM37" authorId="0" shapeId="0">
      <text>
        <t>모델값 역산(implied): v / 전분기 − 1
전분기 + FCF 근사 — 순차입금 롤과 같은 가정</t>
      </text>
    </comment>
    <comment ref="AN37" authorId="0" shapeId="0">
      <text>
        <t>모델값 역산(implied): v / 전분기 − 1
전분기 + FCF 근사 — 순차입금 롤과 같은 가정</t>
      </text>
    </comment>
    <comment ref="AC39" authorId="0" shapeId="0">
      <text>
        <t>모델값 역산(implied): v / 전년동기 − 1
최근 4분기(2024Q4~2026Q2) CAPEX 중위 유지 — 순차입금 롤에 미반영(감가상각비 없음 → CAPEX≈감가 가정)</t>
      </text>
    </comment>
    <comment ref="AD39" authorId="0" shapeId="0">
      <text>
        <t>모델값 역산(implied): v / 전분기 − 1 (전년동기 없음 → 전분기 대비)
최근 4분기(2024Q4~2026Q2) CAPEX 중위 유지 — 순차입금 롤에 미반영(감가상각비 없음 → CAPEX≈감가 가정)</t>
      </text>
    </comment>
    <comment ref="AF39" authorId="0" shapeId="0">
      <text>
        <t>모델값 역산(implied): v / 전년동기 − 1
최근 4분기(2024Q4~2026Q2) CAPEX 중위 유지 — 순차입금 롤에 미반영(감가상각비 없음 → CAPEX≈감가 가정)</t>
      </text>
    </comment>
    <comment ref="AG39" authorId="0" shapeId="0">
      <text>
        <t>모델값 역산(implied): v / 전년동기 − 1
최근 4분기(2024Q4~2026Q2) CAPEX 중위 유지 — 순차입금 롤에 미반영(감가상각비 없음 → CAPEX≈감가 가정)</t>
      </text>
    </comment>
    <comment ref="AH39" authorId="0" shapeId="0">
      <text>
        <t>모델값 역산(implied): v / 전년동기 − 1
최근 4분기(2024Q4~2026Q2) CAPEX 중위 유지 — 순차입금 롤에 미반영(감가상각비 없음 → CAPEX≈감가 가정)</t>
      </text>
    </comment>
    <comment ref="AI39" authorId="0" shapeId="0">
      <text>
        <t>모델값 역산(implied): v / 전년동기 − 1
최근 4분기(2024Q4~2026Q2) CAPEX 중위 유지 — 순차입금 롤에 미반영(감가상각비 없음 → CAPEX≈감가 가정)</t>
      </text>
    </comment>
    <comment ref="AK39" authorId="0" shapeId="0">
      <text>
        <t>모델값 역산(implied): v / 전년동기 − 1
최근 4분기(2024Q4~2026Q2) CAPEX 중위 유지 — 순차입금 롤에 미반영(감가상각비 없음 → CAPEX≈감가 가정)</t>
      </text>
    </comment>
    <comment ref="AL39" authorId="0" shapeId="0">
      <text>
        <t>모델값 역산(implied): v / 전년동기 − 1
최근 4분기(2024Q4~2026Q2) CAPEX 중위 유지 — 순차입금 롤에 미반영(감가상각비 없음 → CAPEX≈감가 가정)</t>
      </text>
    </comment>
    <comment ref="AM39" authorId="0" shapeId="0">
      <text>
        <t>모델값 역산(implied): v / 전년동기 − 1
최근 4분기(2024Q4~2026Q2) CAPEX 중위 유지 — 순차입금 롤에 미반영(감가상각비 없음 → CAPEX≈감가 가정)</t>
      </text>
    </comment>
    <comment ref="AN39" authorId="0" shapeId="0">
      <text>
        <t>모델값 역산(implied): v / 전년동기 − 1
최근 4분기(2024Q4~2026Q2) CAPEX 중위 유지 — 순차입금 롤에 미반영(감가상각비 없음 → CAPEX≈감가 가정)</t>
      </text>
    </comment>
    <comment ref="AC41" authorId="0" shapeId="0">
      <text>
        <t>모델값 역산(implied): v / 전분기 − 1
유통주식수 유지 — fin.shares.common_outstanding(2026Q2)</t>
      </text>
    </comment>
    <comment ref="AD41" authorId="0" shapeId="0">
      <text>
        <t>모델값 역산(implied): v / 전분기 − 1
유통주식수 유지 — fin.shares.common_outstanding(2026Q2)</t>
      </text>
    </comment>
    <comment ref="AF41" authorId="0" shapeId="0">
      <text>
        <t>모델값 역산(implied): v / 전분기 − 1
유통주식수 유지 — fin.shares.common_outstanding(2026Q2)</t>
      </text>
    </comment>
    <comment ref="AG41" authorId="0" shapeId="0">
      <text>
        <t>모델값 역산(implied): v / 전분기 − 1
유통주식수 유지 — fin.shares.common_outstanding(2026Q2)</t>
      </text>
    </comment>
    <comment ref="AH41" authorId="0" shapeId="0">
      <text>
        <t>모델값 역산(implied): v / 전분기 − 1
유통주식수 유지 — fin.shares.common_outstanding(2026Q2)</t>
      </text>
    </comment>
    <comment ref="AI41" authorId="0" shapeId="0">
      <text>
        <t>모델값 역산(implied): v / 전분기 − 1
유통주식수 유지 — fin.shares.common_outstanding(2026Q2)</t>
      </text>
    </comment>
    <comment ref="AK41" authorId="0" shapeId="0">
      <text>
        <t>모델값 역산(implied): v / 전분기 − 1
유통주식수 유지 — fin.shares.common_outstanding(2026Q2)</t>
      </text>
    </comment>
    <comment ref="AL41" authorId="0" shapeId="0">
      <text>
        <t>모델값 역산(implied): v / 전분기 − 1
유통주식수 유지 — fin.shares.common_outstanding(2026Q2)</t>
      </text>
    </comment>
    <comment ref="AM41" authorId="0" shapeId="0">
      <text>
        <t>모델값 역산(implied): v / 전분기 − 1
유통주식수 유지 — fin.shares.common_outstanding(2026Q2)</t>
      </text>
    </comment>
    <comment ref="AN41" authorId="0" shapeId="0">
      <text>
        <t>모델값 역산(implied): v / 전분기 − 1
유통주식수 유지 — fin.shares.common_outstanding(2026Q2)</t>
      </text>
    </comment>
    <comment ref="AD42" authorId="0" shapeId="0">
      <text>
        <t>모델값 역산(implied): 모델 v 그대로
직전 결산 DPS 320원 유지</t>
      </text>
    </comment>
    <comment ref="AI42" authorId="0" shapeId="0">
      <text>
        <t>모델값 역산(implied): 모델 v 그대로
직전 결산 DPS 320원 유지</t>
      </text>
    </comment>
    <comment ref="AN42" authorId="0" shapeId="0">
      <text>
        <t>모델값 역산(implied): 모델 v 그대로
직전 결산 DPS 320원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고객지수 4분기 이동합(t−1) 161549억 × 비례계수 0.0672 × 계절비중 Q3 0.245(계절비중 — 최근 3개 연도(2026, 2025, 2024) 분기/연간 비중 평균; 격자 lag0~4×창8/12/19×수준·YoY·4Q합 중 최대 r=0.97, n=15, 창 19)
[yoy]</t>
      </text>
    </comment>
    <comment ref="AD5" authorId="0" shapeId="0">
      <text>
        <t>추정: 고객지수 4분기 이동합(t−1) 174980억 × 비례계수 0.0672 × 계절비중 Q4 0.286(계절비중 — 최근 3개 연도(2026, 2025, 2024) 분기/연간 비중 평균; 격자 lag0~4×창8/12/19×수준·YoY·4Q합 중 최대 r=0.97, n=15, 창 19)
[yoy]</t>
      </text>
    </comment>
    <comment ref="AF5" authorId="0" shapeId="0">
      <text>
        <t>추정: 고객지수 4분기 이동합(t−1) 185284억 × 비례계수 0.0672 × 계절비중 Q1 0.222(계절비중 — 최근 3개 연도(2026, 2025, 2024) 분기/연간 비중 평균; 격자 lag0~4×창8/12/19×수준·YoY·4Q합 중 최대 r=0.97, n=15, 창 19)
[yoy]</t>
      </text>
    </comment>
    <comment ref="AG5" authorId="0" shapeId="0">
      <text>
        <t>추정: 고객지수 4분기 이동합(t−1) 193756억 × 비례계수 0.0672 × 계절비중 Q2 0.247(계절비중 — 최근 3개 연도(2026, 2025, 2024) 분기/연간 비중 평균; 격자 lag0~4×창8/12/19×수준·YoY·4Q합 중 최대 r=0.97, n=15, 창 19)
[yoy]</t>
      </text>
    </comment>
    <comment ref="AH5" authorId="0" shapeId="0">
      <text>
        <t>추정: 고객지수 4분기 이동합(t−1) 194390억 × 비례계수 0.0672 × 계절비중 Q3 0.245(계절비중 — 최근 3개 연도(2026, 2025, 2024) 분기/연간 비중 평균; 격자 lag0~4×창8/12/19×수준·YoY·4Q합 중 최대 r=0.97, n=15, 창 19)
[yoy]</t>
      </text>
    </comment>
    <comment ref="AI5" authorId="0" shapeId="0">
      <text>
        <t>추정: 고객지수 4분기 이동합(t−1) 200784억 × 비례계수 0.0672 × 계절비중 Q4 0.286(계절비중 — 최근 3개 연도(2026, 2025, 2024) 분기/연간 비중 평균; 격자 lag0~4×창8/12/19×수준·YoY·4Q합 중 최대 r=0.97, n=15, 창 19)
[yoy]</t>
      </text>
    </comment>
    <comment ref="AK5" authorId="0" shapeId="0">
      <text>
        <t>추정: 고객지수 4분기 이동합(t−1) 209642억 × 비례계수 0.0672 × 계절비중 Q1 0.222(계절비중 — 최근 3개 연도(2026, 2025, 2024) 분기/연간 비중 평균; 격자 lag0~4×창8/12/19×수준·YoY·4Q합 중 최대 r=0.97, n=15, 창 19)
[yoy]</t>
      </text>
    </comment>
    <comment ref="AL5" authorId="0" shapeId="0">
      <text>
        <t>추정: 고객지수 4분기 이동합(t−1) 220993억 × 비례계수 0.0672 × 계절비중 Q2 0.247(계절비중 — 최근 3개 연도(2026, 2025, 2024) 분기/연간 비중 평균; 격자 lag0~4×창8/12/19×수준·YoY·4Q합 중 최대 r=0.97, n=15, 창 19)
[yoy]</t>
      </text>
    </comment>
    <comment ref="AM5" authorId="0" shapeId="0">
      <text>
        <t>추정: 고객지수 4분기 이동합(t−1) 229163억 × 비례계수 0.0672 × 계절비중 Q3 0.245(계절비중 — 최근 3개 연도(2026, 2025, 2024) 분기/연간 비중 평균; 격자 lag0~4×창8/12/19×수준·YoY·4Q합 중 최대 r=0.97, n=15, 창 19)
[yoy]</t>
      </text>
    </comment>
    <comment ref="AN5" authorId="0" shapeId="0">
      <text>
        <t>추정: 고객지수 4분기 이동합(t−1) 233969억 × 비례계수 0.0672 × 계절비중 Q4 0.286(계절비중 — 최근 3개 연도(2026, 2025, 2024) 분기/연간 비중 평균; 격자 lag0~4×창8/12/19×수준·YoY·4Q합 중 최대 r=0.97, n=15, 창 19)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9.51%(최근 4분기 중위)
[ratio]</t>
      </text>
    </comment>
    <comment ref="AD8" authorId="0" shapeId="0">
      <text>
        <t>추정: 매출액 × 판관비율 9.51%(최근 4분기 중위)
[ratio]</t>
      </text>
    </comment>
    <comment ref="AF8" authorId="0" shapeId="0">
      <text>
        <t>추정: 매출액 × 판관비율 9.51%(최근 4분기 중위)
[ratio]</t>
      </text>
    </comment>
    <comment ref="AG8" authorId="0" shapeId="0">
      <text>
        <t>추정: 매출액 × 판관비율 9.51%(최근 4분기 중위)
[ratio]</t>
      </text>
    </comment>
    <comment ref="AH8" authorId="0" shapeId="0">
      <text>
        <t>추정: 매출액 × 판관비율 9.51%(최근 4분기 중위)
[ratio]</t>
      </text>
    </comment>
    <comment ref="AI8" authorId="0" shapeId="0">
      <text>
        <t>추정: 매출액 × 판관비율 9.51%(최근 4분기 중위)
[ratio]</t>
      </text>
    </comment>
    <comment ref="AK8" authorId="0" shapeId="0">
      <text>
        <t>추정: 매출액 × 판관비율 9.51%(최근 4분기 중위)
[ratio]</t>
      </text>
    </comment>
    <comment ref="AL8" authorId="0" shapeId="0">
      <text>
        <t>추정: 매출액 × 판관비율 9.51%(최근 4분기 중위)
[ratio]</t>
      </text>
    </comment>
    <comment ref="AM8" authorId="0" shapeId="0">
      <text>
        <t>추정: 매출액 × 판관비율 9.51%(최근 4분기 중위)
[ratio]</t>
      </text>
    </comment>
    <comment ref="AN8" authorId="0" shapeId="0">
      <text>
        <t>추정: 매출액 × 판관비율 9.51%(최근 4분기 중위)
[ratio]</t>
      </text>
    </comment>
    <comment ref="AC9" authorId="0" shapeId="0">
      <text>
        <t>추정: 매출액 × OPM(최근 8분기 OPM 중위 13.8% 유지)
[ratio]</t>
      </text>
    </comment>
    <comment ref="AD9" authorId="0" shapeId="0">
      <text>
        <t>추정: 매출액 × OPM(최근 8분기 OPM 중위 13.8% 유지)
[ratio]</t>
      </text>
    </comment>
    <comment ref="AF9" authorId="0" shapeId="0">
      <text>
        <t>추정: 매출액 × OPM(최근 8분기 OPM 중위 13.8% 유지)
[ratio]</t>
      </text>
    </comment>
    <comment ref="AG9" authorId="0" shapeId="0">
      <text>
        <t>추정: 매출액 × OPM(최근 8분기 OPM 중위 13.8% 유지)
[ratio]</t>
      </text>
    </comment>
    <comment ref="AH9" authorId="0" shapeId="0">
      <text>
        <t>추정: 매출액 × OPM(최근 8분기 OPM 중위 13.8% 유지)
[ratio]</t>
      </text>
    </comment>
    <comment ref="AI9" authorId="0" shapeId="0">
      <text>
        <t>추정: 매출액 × OPM(최근 8분기 OPM 중위 13.8% 유지)
[ratio]</t>
      </text>
    </comment>
    <comment ref="AK9" authorId="0" shapeId="0">
      <text>
        <t>추정: 매출액 × OPM(최근 8분기 OPM 중위 13.8% 유지)
[ratio]</t>
      </text>
    </comment>
    <comment ref="AL9" authorId="0" shapeId="0">
      <text>
        <t>추정: 매출액 × OPM(최근 8분기 OPM 중위 13.8% 유지)
[ratio]</t>
      </text>
    </comment>
    <comment ref="AM9" authorId="0" shapeId="0">
      <text>
        <t>추정: 매출액 × OPM(최근 8분기 OPM 중위 13.8% 유지)
[ratio]</t>
      </text>
    </comment>
    <comment ref="AN9" authorId="0" shapeId="0">
      <text>
        <t>추정: 매출액 × OPM(최근 8분기 OPM 중위 13.8% 유지)
[ratio]</t>
      </text>
    </comment>
    <comment ref="AC10" authorId="0" shapeId="0">
      <text>
        <t>추정: 최근 8분기 OPM 중위 13.8% 유지
[divide]</t>
      </text>
    </comment>
    <comment ref="AD10" authorId="0" shapeId="0">
      <text>
        <t>추정: 최근 8분기 OPM 중위 13.8% 유지
[divide]</t>
      </text>
    </comment>
    <comment ref="AF10" authorId="0" shapeId="0">
      <text>
        <t>추정: 최근 8분기 OPM 중위 13.8% 유지
[divide]</t>
      </text>
    </comment>
    <comment ref="AG10" authorId="0" shapeId="0">
      <text>
        <t>추정: 최근 8분기 OPM 중위 13.8% 유지
[divide]</t>
      </text>
    </comment>
    <comment ref="AH10" authorId="0" shapeId="0">
      <text>
        <t>추정: 최근 8분기 OPM 중위 13.8% 유지
[divide]</t>
      </text>
    </comment>
    <comment ref="AI10" authorId="0" shapeId="0">
      <text>
        <t>추정: 최근 8분기 OPM 중위 13.8% 유지
[divide]</t>
      </text>
    </comment>
    <comment ref="AK10" authorId="0" shapeId="0">
      <text>
        <t>추정: 최근 8분기 OPM 중위 13.8% 유지
[divide]</t>
      </text>
    </comment>
    <comment ref="AL10" authorId="0" shapeId="0">
      <text>
        <t>추정: 최근 8분기 OPM 중위 13.8% 유지
[divide]</t>
      </text>
    </comment>
    <comment ref="AM10" authorId="0" shapeId="0">
      <text>
        <t>추정: 최근 8분기 OPM 중위 13.8% 유지
[divide]</t>
      </text>
    </comment>
    <comment ref="AN10" authorId="0" shapeId="0">
      <text>
        <t>추정: 최근 8분기 OPM 중위 13.8% 유지
[divide]</t>
      </text>
    </comment>
    <comment ref="AC11" authorId="0" shapeId="0">
      <text>
        <t>추정: 이자손익 + 외환손익 0 + 파생상품손익 0 + 기타금융손익 +0.00억(최근 4분기 중위 -40.74억이 이자손익 추정 -10.23억의 50% 초과 → 0(경고)) (항등식); 이자손익 = 이자발생자산 1640억 × 1.97%(주석 이자수익 ÷ 평균 이자발생자산(2025Q3~2026Q2)) − 총차입금 1413억 × 5.19%(주석 이자비용 ÷ 평균 총차입금(2025Q3~2026Q2)) (연율) ÷ 4; 환율 효과는 환관련손익 행 별도
[identity]</t>
      </text>
    </comment>
    <comment ref="AD11" authorId="0" shapeId="0">
      <text>
        <t>추정: 이자손익 + 외환손익 0 + 파생상품손익 0 + 기타금융손익 +0.00억(최근 4분기 중위 -40.74억이 이자손익 추정 -10.23억의 50% 초과 → 0(경고)) (항등식); 이자손익 = 이자발생자산 1910억 × 1.97%(주석 이자수익 ÷ 평균 이자발생자산(2025Q3~2026Q2)) − 총차입금 1413억 × 5.19%(주석 이자비용 ÷ 평균 총차입금(2025Q3~2026Q2)) (연율) ÷ 4; 환율 효과는 환관련손익 행 별도
[identity]</t>
      </text>
    </comment>
    <comment ref="AF11" authorId="0" shapeId="0">
      <text>
        <t>추정: 이자손익 + 외환손익 0 + 파생상품손익 0 + 기타금융손익 +0.00억(최근 4분기 중위 -40.74억이 이자손익 추정 -10.23억의 50% 초과 → 0(경고)) (항등식); 이자손익 = 이자발생자산 2253억 × 1.97%(주석 이자수익 ÷ 평균 이자발생자산(2025Q3~2026Q2)) − 총차입금 1413억 × 5.19%(주석 이자비용 ÷ 평균 총차입금(2025Q3~2026Q2)) (연율) ÷ 4; 환율 효과는 환관련손익 행 별도
[identity]</t>
      </text>
    </comment>
    <comment ref="AG11" authorId="0" shapeId="0">
      <text>
        <t>추정: 이자손익 + 외환손익 0 + 파생상품손익 0 + 기타금융손익 +0.00억(최근 4분기 중위 -40.74억이 이자손익 추정 -10.23억의 50% 초과 → 0(경고)) (항등식); 이자손익 = 이자발생자산 2536억 × 1.97%(주석 이자수익 ÷ 평균 이자발생자산(2025Q3~2026Q2)) − 총차입금 1413억 × 5.19%(주석 이자비용 ÷ 평균 총차입금(2025Q3~2026Q2)) (연율) ÷ 4; 환율 효과는 환관련손익 행 별도
[identity]</t>
      </text>
    </comment>
    <comment ref="AH11" authorId="0" shapeId="0">
      <text>
        <t>추정: 이자손익 + 외환손익 0 + 파생상품손익 0 + 기타금융손익 +0.00억(최근 4분기 중위 -40.74억이 이자손익 추정 -10.23억의 50% 초과 → 0(경고)) (항등식); 이자손익 = 이자발생자산 2701억 × 1.97%(주석 이자수익 ÷ 평균 이자발생자산(2025Q3~2026Q2)) − 총차입금 1413억 × 5.19%(주석 이자비용 ÷ 평균 총차입금(2025Q3~2026Q2)) (연율) ÷ 4; 환율 효과는 환관련손익 행 별도
[identity]</t>
      </text>
    </comment>
    <comment ref="AI11" authorId="0" shapeId="0">
      <text>
        <t>추정: 이자손익 + 외환손익 0 + 파생상품손익 0 + 기타금융손익 +0.00억(최근 4분기 중위 -40.74억이 이자손익 추정 -10.23억의 50% 초과 → 0(경고)) (항등식); 이자손익 = 이자발생자산 3031억 × 1.97%(주석 이자수익 ÷ 평균 이자발생자산(2025Q3~2026Q2)) − 총차입금 1413억 × 5.19%(주석 이자비용 ÷ 평균 총차입금(2025Q3~2026Q2)) (연율) ÷ 4; 환율 효과는 환관련손익 행 별도
[identity]</t>
      </text>
    </comment>
    <comment ref="AK11" authorId="0" shapeId="0">
      <text>
        <t>추정: 이자손익 + 외환손익 0 + 파생상품손익 0 + 기타금융손익 +0.00억(최근 4분기 중위 -40.74억이 이자손익 추정 -10.23억의 50% 초과 → 0(경고)) (항등식); 이자손익 = 이자발생자산 3430억 × 1.97%(주석 이자수익 ÷ 평균 이자발생자산(2025Q3~2026Q2)) − 총차입금 1413억 × 5.19%(주석 이자비용 ÷ 평균 총차입금(2025Q3~2026Q2)) (연율) ÷ 4; 환율 효과는 환관련손익 행 별도
[identity]</t>
      </text>
    </comment>
    <comment ref="AL11" authorId="0" shapeId="0">
      <text>
        <t>추정: 이자손익 + 외환손익 0 + 파생상품손익 0 + 기타금융손익 +0.00억(최근 4분기 중위 -40.74억이 이자손익 추정 -10.23억의 50% 초과 → 0(경고)) (항등식); 이자손익 = 이자발생자산 3755억 × 1.97%(주석 이자수익 ÷ 평균 이자발생자산(2025Q3~2026Q2)) − 총차입금 1413억 × 5.19%(주석 이자비용 ÷ 평균 총차입금(2025Q3~2026Q2)) (연율) ÷ 4; 환율 효과는 환관련손익 행 별도
[identity]</t>
      </text>
    </comment>
    <comment ref="AM11" authorId="0" shapeId="0">
      <text>
        <t>추정: 이자손익 + 외환손익 0 + 파생상품손익 0 + 기타금융손익 +0.00억(최근 4분기 중위 -40.74억이 이자손익 추정 -10.23억의 50% 초과 → 0(경고)) (항등식); 이자손익 = 이자발생자산 3972억 × 1.97%(주석 이자수익 ÷ 평균 이자발생자산(2025Q3~2026Q2)) − 총차입금 1413억 × 5.19%(주석 이자비용 ÷ 평균 총차입금(2025Q3~2026Q2)) (연율) ÷ 4; 환율 효과는 환관련손익 행 별도
[identity]</t>
      </text>
    </comment>
    <comment ref="AN11" authorId="0" shapeId="0">
      <text>
        <t>추정: 이자손익 + 외환손익 0 + 파생상품손익 0 + 기타금융손익 +0.00억(최근 4분기 중위 -40.74억이 이자손익 추정 -10.23억의 50% 초과 → 0(경고)) (항등식); 이자손익 = 이자발생자산 4366억 × 1.97%(주석 이자수익 ÷ 평균 이자발생자산(2025Q3~2026Q2)) − 총차입금 1413억 × 5.19%(주석 이자비용 ÷ 평균 총차입금(2025Q3~2026Q2)) (연율) ÷ 4; 환율 효과는 환관련손익 행 별도
[identity]</t>
      </text>
    </comment>
    <comment ref="AC12" authorId="0" shapeId="0">
      <text>
        <t>추정: 이자발생자산 1640억 × 1.97%(주석 이자수익 ÷ 평균 이자발생자산(2025Q3~2026Q2)) − 총차입금 1413억 × 5.19%(주석 이자비용 ÷ 평균 총차입금(2025Q3~2026Q2)) (연율) ÷ 4
[interest]</t>
      </text>
    </comment>
    <comment ref="AD12" authorId="0" shapeId="0">
      <text>
        <t>추정: 이자발생자산 1910억 × 1.97%(주석 이자수익 ÷ 평균 이자발생자산(2025Q3~2026Q2)) − 총차입금 1413억 × 5.19%(주석 이자비용 ÷ 평균 총차입금(2025Q3~2026Q2)) (연율) ÷ 4
[interest]</t>
      </text>
    </comment>
    <comment ref="AF12" authorId="0" shapeId="0">
      <text>
        <t>추정: 이자발생자산 2253억 × 1.97%(주석 이자수익 ÷ 평균 이자발생자산(2025Q3~2026Q2)) − 총차입금 1413억 × 5.19%(주석 이자비용 ÷ 평균 총차입금(2025Q3~2026Q2)) (연율) ÷ 4
[interest]</t>
      </text>
    </comment>
    <comment ref="AG12" authorId="0" shapeId="0">
      <text>
        <t>추정: 이자발생자산 2536억 × 1.97%(주석 이자수익 ÷ 평균 이자발생자산(2025Q3~2026Q2)) − 총차입금 1413억 × 5.19%(주석 이자비용 ÷ 평균 총차입금(2025Q3~2026Q2)) (연율) ÷ 4
[interest]</t>
      </text>
    </comment>
    <comment ref="AH12" authorId="0" shapeId="0">
      <text>
        <t>추정: 이자발생자산 2701억 × 1.97%(주석 이자수익 ÷ 평균 이자발생자산(2025Q3~2026Q2)) − 총차입금 1413억 × 5.19%(주석 이자비용 ÷ 평균 총차입금(2025Q3~2026Q2)) (연율) ÷ 4
[interest]</t>
      </text>
    </comment>
    <comment ref="AI12" authorId="0" shapeId="0">
      <text>
        <t>추정: 이자발생자산 3031억 × 1.97%(주석 이자수익 ÷ 평균 이자발생자산(2025Q3~2026Q2)) − 총차입금 1413억 × 5.19%(주석 이자비용 ÷ 평균 총차입금(2025Q3~2026Q2)) (연율) ÷ 4
[interest]</t>
      </text>
    </comment>
    <comment ref="AK12" authorId="0" shapeId="0">
      <text>
        <t>추정: 이자발생자산 3430억 × 1.97%(주석 이자수익 ÷ 평균 이자발생자산(2025Q3~2026Q2)) − 총차입금 1413억 × 5.19%(주석 이자비용 ÷ 평균 총차입금(2025Q3~2026Q2)) (연율) ÷ 4
[interest]</t>
      </text>
    </comment>
    <comment ref="AL12" authorId="0" shapeId="0">
      <text>
        <t>추정: 이자발생자산 3755억 × 1.97%(주석 이자수익 ÷ 평균 이자발생자산(2025Q3~2026Q2)) − 총차입금 1413억 × 5.19%(주석 이자비용 ÷ 평균 총차입금(2025Q3~2026Q2)) (연율) ÷ 4
[interest]</t>
      </text>
    </comment>
    <comment ref="AM12" authorId="0" shapeId="0">
      <text>
        <t>추정: 이자발생자산 3972억 × 1.97%(주석 이자수익 ÷ 평균 이자발생자산(2025Q3~2026Q2)) − 총차입금 1413억 × 5.19%(주석 이자비용 ÷ 평균 총차입금(2025Q3~2026Q2)) (연율) ÷ 4
[interest]</t>
      </text>
    </comment>
    <comment ref="AN12" authorId="0" shapeId="0">
      <text>
        <t>추정: 이자발생자산 4366억 × 1.97%(주석 이자수익 ÷ 평균 이자발생자산(2025Q3~2026Q2)) − 총차입금 1413억 × 5.19%(주석 이자비용 ÷ 평균 총차입금(2025Q3~2026Q2)) (연율) ÷ 4
[interest]</t>
      </text>
    </comment>
    <comment ref="H13" authorId="0" shapeId="0">
      <text>
        <t>BS 계정 합·차: +외환차익 -외환차손 +외화환산이익 -외화환산손실</t>
      </text>
    </comment>
    <comment ref="L13" authorId="0" shapeId="0">
      <text>
        <t>BS 계정 합·차: +외환차익 -외환차손 +외화환산이익 -외화환산손실</t>
      </text>
    </comment>
    <comment ref="M13" authorId="0" shapeId="0">
      <text>
        <t>BS 계정 합·차: +외환차익 -외환차손 +외화환산이익 -외화환산손실</t>
      </text>
    </comment>
    <comment ref="N13" authorId="0" shapeId="0">
      <text>
        <t>BS 계정 합·차: +외환차익 -외환차손 +외화환산이익 -외화환산손실</t>
      </text>
    </comment>
    <comment ref="O13" authorId="0" shapeId="0">
      <text>
        <t>BS 계정 합·차: +외환차익 -외환차손 +외화환산이익 -외화환산손실</t>
      </text>
    </comment>
    <comment ref="Q13" authorId="0" shapeId="0">
      <text>
        <t>BS 계정 합·차: +외환차익 -외환차손 +외화환산이익 -외화환산손실</t>
      </text>
    </comment>
    <comment ref="R13" authorId="0" shapeId="0">
      <text>
        <t>BS 계정 합·차: +외환차익 -외환차손 +외화환산이익 -외화환산손실</t>
      </text>
    </comment>
    <comment ref="S13" authorId="0" shapeId="0">
      <text>
        <t>BS 계정 합·차: +외환차익 -외환차손 +외화환산이익 -외화환산손실</t>
      </text>
    </comment>
    <comment ref="T13" authorId="0" shapeId="0">
      <text>
        <t>BS 계정 합·차: +외환차익 -외환차손 +외화환산이익 -외화환산손실</t>
      </text>
    </comment>
    <comment ref="V13" authorId="0" shapeId="0">
      <text>
        <t>BS 계정 합·차: +외환차익 -외환차손 +외화환산이익 -외화환산손실</t>
      </text>
    </comment>
    <comment ref="W13" authorId="0" shapeId="0">
      <text>
        <t>BS 계정 합·차: +외환차익 -외환차손 +외화환산이익 -외화환산손실</t>
      </text>
    </comment>
    <comment ref="X13" authorId="0" shapeId="0">
      <text>
        <t>BS 계정 합·차: +외환차익 -외환차손 +외화환산이익 -외화환산손실</t>
      </text>
    </comment>
    <comment ref="Y13" authorId="0" shapeId="0">
      <text>
        <t>BS 계정 합·차: +외환차익 -외환차손 +외화환산이익 -외화환산손실</t>
      </text>
    </comment>
    <comment ref="AA13" authorId="0" shapeId="0">
      <text>
        <t>BS 계정 합·차: +외환차익 -외환차손 +외화환산이익 -외화환산손실</t>
      </text>
    </comment>
    <comment ref="AB13" authorId="0" shapeId="0">
      <text>
        <t>BS 계정 합·차: +외환차익 -외환차손 +외화환산이익 -외화환산손실</t>
      </text>
    </comment>
    <comment ref="AC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D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F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G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H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I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K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L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M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AN13" authorId="0" shapeId="0">
      <text>
        <t>추정: 외환차손익·외화환산손익 0 가정 — 추정 구간 환율 효과는 조선사 환관련손익 행(공시 노출 × Δ기말환율)에만 둔다(이중 계상 방지)
[abs]</t>
      </text>
    </comment>
    <comment ref="W14" authorId="0" shapeId="0">
      <text>
        <t>BS 계정 합·차: +파생상품이익 -파생상품손실</t>
      </text>
    </comment>
    <comment ref="X14" authorId="0" shapeId="0">
      <text>
        <t>BS 계정 합·차: +파생상품이익 -파생상품손실</t>
      </text>
    </comment>
    <comment ref="Y14" authorId="0" shapeId="0">
      <text>
        <t>BS 계정 합·차: +파생상품이익 -파생상품손실</t>
      </text>
    </comment>
    <comment ref="AA14" authorId="0" shapeId="0">
      <text>
        <t>BS 계정 합·차: +파생상품이익 -파생상품손실</t>
      </text>
    </comment>
    <comment ref="AB14" authorId="0" shapeId="0">
      <text>
        <t>BS 계정 합·차: +파생상품이익 -파생상품손실</t>
      </text>
    </comment>
    <comment ref="AC14" authorId="0" shapeId="0">
      <text>
        <t>추정: 파생상품 평가·거래손익 0 가정
[abs]</t>
      </text>
    </comment>
    <comment ref="AD14" authorId="0" shapeId="0">
      <text>
        <t>추정: 파생상품 평가·거래손익 0 가정
[abs]</t>
      </text>
    </comment>
    <comment ref="AF14" authorId="0" shapeId="0">
      <text>
        <t>추정: 파생상품 평가·거래손익 0 가정
[abs]</t>
      </text>
    </comment>
    <comment ref="AG14" authorId="0" shapeId="0">
      <text>
        <t>추정: 파생상품 평가·거래손익 0 가정
[abs]</t>
      </text>
    </comment>
    <comment ref="AH14" authorId="0" shapeId="0">
      <text>
        <t>추정: 파생상품 평가·거래손익 0 가정
[abs]</t>
      </text>
    </comment>
    <comment ref="AI14" authorId="0" shapeId="0">
      <text>
        <t>추정: 파생상품 평가·거래손익 0 가정
[abs]</t>
      </text>
    </comment>
    <comment ref="AK14" authorId="0" shapeId="0">
      <text>
        <t>추정: 파생상품 평가·거래손익 0 가정
[abs]</t>
      </text>
    </comment>
    <comment ref="AL14" authorId="0" shapeId="0">
      <text>
        <t>추정: 파생상품 평가·거래손익 0 가정
[abs]</t>
      </text>
    </comment>
    <comment ref="AM14" authorId="0" shapeId="0">
      <text>
        <t>추정: 파생상품 평가·거래손익 0 가정
[abs]</t>
      </text>
    </comment>
    <comment ref="AN14" authorId="0" shapeId="0">
      <text>
        <t>추정: 파생상품 평가·거래손익 0 가정
[abs]</t>
      </text>
    </comment>
    <comment ref="AC15" authorId="0" shapeId="0">
      <text>
        <t>추정: 최근 4분기 중위 -40.74억이 이자손익 추정 -10.23억의 50% 초과 → 0(경고)
[abs]</t>
      </text>
    </comment>
    <comment ref="AD15" authorId="0" shapeId="0">
      <text>
        <t>추정: 최근 4분기 중위 -40.74억이 이자손익 추정 -10.23억의 50% 초과 → 0(경고)
[abs]</t>
      </text>
    </comment>
    <comment ref="AF15" authorId="0" shapeId="0">
      <text>
        <t>추정: 최근 4분기 중위 -40.74억이 이자손익 추정 -10.23억의 50% 초과 → 0(경고)
[abs]</t>
      </text>
    </comment>
    <comment ref="AG15" authorId="0" shapeId="0">
      <text>
        <t>추정: 최근 4분기 중위 -40.74억이 이자손익 추정 -10.23억의 50% 초과 → 0(경고)
[abs]</t>
      </text>
    </comment>
    <comment ref="AH15" authorId="0" shapeId="0">
      <text>
        <t>추정: 최근 4분기 중위 -40.74억이 이자손익 추정 -10.23억의 50% 초과 → 0(경고)
[abs]</t>
      </text>
    </comment>
    <comment ref="AI15" authorId="0" shapeId="0">
      <text>
        <t>추정: 최근 4분기 중위 -40.74억이 이자손익 추정 -10.23억의 50% 초과 → 0(경고)
[abs]</t>
      </text>
    </comment>
    <comment ref="AK15" authorId="0" shapeId="0">
      <text>
        <t>추정: 최근 4분기 중위 -40.74억이 이자손익 추정 -10.23억의 50% 초과 → 0(경고)
[abs]</t>
      </text>
    </comment>
    <comment ref="AL15" authorId="0" shapeId="0">
      <text>
        <t>추정: 최근 4분기 중위 -40.74억이 이자손익 추정 -10.23억의 50% 초과 → 0(경고)
[abs]</t>
      </text>
    </comment>
    <comment ref="AM15" authorId="0" shapeId="0">
      <text>
        <t>추정: 최근 4분기 중위 -40.74억이 이자손익 추정 -10.23억의 50% 초과 → 0(경고)
[abs]</t>
      </text>
    </comment>
    <comment ref="AN15" authorId="0" shapeId="0">
      <text>
        <t>추정: 최근 4분기 중위 -40.74억이 이자손익 추정 -10.23억의 50% 초과 → 0(경고)
[abs]</t>
      </text>
    </comment>
    <comment ref="AC16" authorId="0" shapeId="0">
      <text>
        <t>추정: 일회성 미가정 → 0
[abs]</t>
      </text>
    </comment>
    <comment ref="AD16" authorId="0" shapeId="0">
      <text>
        <t>추정: 일회성 미가정 → 0
[abs]</t>
      </text>
    </comment>
    <comment ref="AF16" authorId="0" shapeId="0">
      <text>
        <t>추정: 일회성 미가정 → 0
[abs]</t>
      </text>
    </comment>
    <comment ref="AG16" authorId="0" shapeId="0">
      <text>
        <t>추정: 일회성 미가정 → 0
[abs]</t>
      </text>
    </comment>
    <comment ref="AH16" authorId="0" shapeId="0">
      <text>
        <t>추정: 일회성 미가정 → 0
[abs]</t>
      </text>
    </comment>
    <comment ref="AI16" authorId="0" shapeId="0">
      <text>
        <t>추정: 일회성 미가정 → 0
[abs]</t>
      </text>
    </comment>
    <comment ref="AK16" authorId="0" shapeId="0">
      <text>
        <t>추정: 일회성 미가정 → 0
[abs]</t>
      </text>
    </comment>
    <comment ref="AL16" authorId="0" shapeId="0">
      <text>
        <t>추정: 일회성 미가정 → 0
[abs]</t>
      </text>
    </comment>
    <comment ref="AM16" authorId="0" shapeId="0">
      <text>
        <t>추정: 일회성 미가정 → 0
[abs]</t>
      </text>
    </comment>
    <comment ref="AN16" authorId="0" shapeId="0">
      <text>
        <t>추정: 일회성 미가정 → 0
[abs]</t>
      </text>
    </comment>
    <comment ref="AC17" authorId="0" shapeId="0">
      <text>
        <t>추정: 최근 4분기 중위
[abs]</t>
      </text>
    </comment>
    <comment ref="AD17" authorId="0" shapeId="0">
      <text>
        <t>추정: 최근 4분기 중위
[abs]</t>
      </text>
    </comment>
    <comment ref="AF17" authorId="0" shapeId="0">
      <text>
        <t>추정: 최근 4분기 중위
[abs]</t>
      </text>
    </comment>
    <comment ref="AG17" authorId="0" shapeId="0">
      <text>
        <t>추정: 최근 4분기 중위
[abs]</t>
      </text>
    </comment>
    <comment ref="AH17" authorId="0" shapeId="0">
      <text>
        <t>추정: 최근 4분기 중위
[abs]</t>
      </text>
    </comment>
    <comment ref="AI17" authorId="0" shapeId="0">
      <text>
        <t>추정: 최근 4분기 중위
[abs]</t>
      </text>
    </comment>
    <comment ref="AK17" authorId="0" shapeId="0">
      <text>
        <t>추정: 최근 4분기 중위
[abs]</t>
      </text>
    </comment>
    <comment ref="AL17" authorId="0" shapeId="0">
      <text>
        <t>추정: 최근 4분기 중위
[abs]</t>
      </text>
    </comment>
    <comment ref="AM17" authorId="0" shapeId="0">
      <text>
        <t>추정: 최근 4분기 중위
[abs]</t>
      </text>
    </comment>
    <comment ref="AN17" authorId="0" shapeId="0">
      <text>
        <t>추정: 최근 4분기 중위
[abs]</t>
      </text>
    </comment>
    <comment ref="AC18" authorId="0" shapeId="0">
      <text>
        <t>추정: 영업이익 + 금융손익 + 기타영업외 + 지분법 + 환관련(항등식)
[identity]</t>
      </text>
    </comment>
    <comment ref="AD18" authorId="0" shapeId="0">
      <text>
        <t>추정: 영업이익 + 금융손익 + 기타영업외 + 지분법 + 환관련(항등식)
[identity]</t>
      </text>
    </comment>
    <comment ref="AF18" authorId="0" shapeId="0">
      <text>
        <t>추정: 영업이익 + 금융손익 + 기타영업외 + 지분법 + 환관련(항등식)
[identity]</t>
      </text>
    </comment>
    <comment ref="AG18" authorId="0" shapeId="0">
      <text>
        <t>추정: 영업이익 + 금융손익 + 기타영업외 + 지분법 + 환관련(항등식)
[identity]</t>
      </text>
    </comment>
    <comment ref="AH18" authorId="0" shapeId="0">
      <text>
        <t>추정: 영업이익 + 금융손익 + 기타영업외 + 지분법 + 환관련(항등식)
[identity]</t>
      </text>
    </comment>
    <comment ref="AI18" authorId="0" shapeId="0">
      <text>
        <t>추정: 영업이익 + 금융손익 + 기타영업외 + 지분법 + 환관련(항등식)
[identity]</t>
      </text>
    </comment>
    <comment ref="AK18" authorId="0" shapeId="0">
      <text>
        <t>추정: 영업이익 + 금융손익 + 기타영업외 + 지분법 + 환관련(항등식)
[identity]</t>
      </text>
    </comment>
    <comment ref="AL18" authorId="0" shapeId="0">
      <text>
        <t>추정: 영업이익 + 금융손익 + 기타영업외 + 지분법 + 환관련(항등식)
[identity]</t>
      </text>
    </comment>
    <comment ref="AM18" authorId="0" shapeId="0">
      <text>
        <t>추정: 영업이익 + 금융손익 + 기타영업외 + 지분법 + 환관련(항등식)
[identity]</t>
      </text>
    </comment>
    <comment ref="AN18" authorId="0" shapeId="0">
      <text>
        <t>추정: 영업이익 + 금융손익 + 기타영업외 + 지분법 + 환관련(항등식)
[identity]</t>
      </text>
    </comment>
    <comment ref="AC19" authorId="0" shapeId="0">
      <text>
        <t>추정: max(세전, 0) × 세율 24.4%(최근 12분기 유효세율 28.5% 가 5~27% 밖 → 클립 대신 최근 8분기 중 세전 &gt; 0 인 7분기(2024Q3~2026Q2)의 법인세/세전 중위 24.4%)
[tax]</t>
      </text>
    </comment>
    <comment ref="AD19" authorId="0" shapeId="0">
      <text>
        <t>추정: max(세전, 0) × 세율 24.4%(최근 12분기 유효세율 28.5% 가 5~27% 밖 → 클립 대신 최근 8분기 중 세전 &gt; 0 인 7분기(2024Q3~2026Q2)의 법인세/세전 중위 24.4%)
[tax]</t>
      </text>
    </comment>
    <comment ref="AF19" authorId="0" shapeId="0">
      <text>
        <t>추정: max(세전, 0) × 세율 24.4%(최근 12분기 유효세율 28.5% 가 5~27% 밖 → 클립 대신 최근 8분기 중 세전 &gt; 0 인 7분기(2024Q3~2026Q2)의 법인세/세전 중위 24.4%)
[tax]</t>
      </text>
    </comment>
    <comment ref="AG19" authorId="0" shapeId="0">
      <text>
        <t>추정: max(세전, 0) × 세율 24.4%(최근 12분기 유효세율 28.5% 가 5~27% 밖 → 클립 대신 최근 8분기 중 세전 &gt; 0 인 7분기(2024Q3~2026Q2)의 법인세/세전 중위 24.4%)
[tax]</t>
      </text>
    </comment>
    <comment ref="AH19" authorId="0" shapeId="0">
      <text>
        <t>추정: max(세전, 0) × 세율 24.4%(최근 12분기 유효세율 28.5% 가 5~27% 밖 → 클립 대신 최근 8분기 중 세전 &gt; 0 인 7분기(2024Q3~2026Q2)의 법인세/세전 중위 24.4%)
[tax]</t>
      </text>
    </comment>
    <comment ref="AI19" authorId="0" shapeId="0">
      <text>
        <t>추정: max(세전, 0) × 세율 24.4%(최근 12분기 유효세율 28.5% 가 5~27% 밖 → 클립 대신 최근 8분기 중 세전 &gt; 0 인 7분기(2024Q3~2026Q2)의 법인세/세전 중위 24.4%)
[tax]</t>
      </text>
    </comment>
    <comment ref="AK19" authorId="0" shapeId="0">
      <text>
        <t>추정: max(세전, 0) × 세율 24.4%(최근 12분기 유효세율 28.5% 가 5~27% 밖 → 클립 대신 최근 8분기 중 세전 &gt; 0 인 7분기(2024Q3~2026Q2)의 법인세/세전 중위 24.4%)
[tax]</t>
      </text>
    </comment>
    <comment ref="AL19" authorId="0" shapeId="0">
      <text>
        <t>추정: max(세전, 0) × 세율 24.4%(최근 12분기 유효세율 28.5% 가 5~27% 밖 → 클립 대신 최근 8분기 중 세전 &gt; 0 인 7분기(2024Q3~2026Q2)의 법인세/세전 중위 24.4%)
[tax]</t>
      </text>
    </comment>
    <comment ref="AM19" authorId="0" shapeId="0">
      <text>
        <t>추정: max(세전, 0) × 세율 24.4%(최근 12분기 유효세율 28.5% 가 5~27% 밖 → 클립 대신 최근 8분기 중 세전 &gt; 0 인 7분기(2024Q3~2026Q2)의 법인세/세전 중위 24.4%)
[tax]</t>
      </text>
    </comment>
    <comment ref="AN19" authorId="0" shapeId="0">
      <text>
        <t>추정: max(세전, 0) × 세율 24.4%(최근 12분기 유효세율 28.5% 가 5~27% 밖 → 클립 대신 최근 8분기 중 세전 &gt; 0 인 7분기(2024Q3~2026Q2)의 법인세/세전 중위 24.4%)
[tax]</t>
      </text>
    </comment>
    <comment ref="AC20" authorId="0" shapeId="0">
      <text>
        <t>추정: 세전이익 − 법인세비용(항등식)
[identity]</t>
      </text>
    </comment>
    <comment ref="AD20" authorId="0" shapeId="0">
      <text>
        <t>추정: 세전이익 − 법인세비용(항등식)
[identity]</t>
      </text>
    </comment>
    <comment ref="AF20" authorId="0" shapeId="0">
      <text>
        <t>추정: 세전이익 − 법인세비용(항등식)
[identity]</t>
      </text>
    </comment>
    <comment ref="AG20" authorId="0" shapeId="0">
      <text>
        <t>추정: 세전이익 − 법인세비용(항등식)
[identity]</t>
      </text>
    </comment>
    <comment ref="AH20" authorId="0" shapeId="0">
      <text>
        <t>추정: 세전이익 − 법인세비용(항등식)
[identity]</t>
      </text>
    </comment>
    <comment ref="AI20" authorId="0" shapeId="0">
      <text>
        <t>추정: 세전이익 − 법인세비용(항등식)
[identity]</t>
      </text>
    </comment>
    <comment ref="AK20" authorId="0" shapeId="0">
      <text>
        <t>추정: 세전이익 − 법인세비용(항등식)
[identity]</t>
      </text>
    </comment>
    <comment ref="AL20" authorId="0" shapeId="0">
      <text>
        <t>추정: 세전이익 − 법인세비용(항등식)
[identity]</t>
      </text>
    </comment>
    <comment ref="AM20" authorId="0" shapeId="0">
      <text>
        <t>추정: 세전이익 − 법인세비용(항등식)
[identity]</t>
      </text>
    </comment>
    <comment ref="AN20" authorId="0" shapeId="0">
      <text>
        <t>추정: 세전이익 − 법인세비용(항등식)
[identity]</t>
      </text>
    </comment>
    <comment ref="AC21" authorId="0" shapeId="0">
      <text>
        <t>추정: 당기순이익 × (1 − 비지배 비중 0.0%, 최근 8분기 실측)
[ratio]</t>
      </text>
    </comment>
    <comment ref="AD21" authorId="0" shapeId="0">
      <text>
        <t>추정: 당기순이익 × (1 − 비지배 비중 0.0%, 최근 8분기 실측)
[ratio]</t>
      </text>
    </comment>
    <comment ref="AF21" authorId="0" shapeId="0">
      <text>
        <t>추정: 당기순이익 × (1 − 비지배 비중 0.0%, 최근 8분기 실측)
[ratio]</t>
      </text>
    </comment>
    <comment ref="AG21" authorId="0" shapeId="0">
      <text>
        <t>추정: 당기순이익 × (1 − 비지배 비중 0.0%, 최근 8분기 실측)
[ratio]</t>
      </text>
    </comment>
    <comment ref="AH21" authorId="0" shapeId="0">
      <text>
        <t>추정: 당기순이익 × (1 − 비지배 비중 0.0%, 최근 8분기 실측)
[ratio]</t>
      </text>
    </comment>
    <comment ref="AI21" authorId="0" shapeId="0">
      <text>
        <t>추정: 당기순이익 × (1 − 비지배 비중 0.0%, 최근 8분기 실측)
[ratio]</t>
      </text>
    </comment>
    <comment ref="AK21" authorId="0" shapeId="0">
      <text>
        <t>추정: 당기순이익 × (1 − 비지배 비중 0.0%, 최근 8분기 실측)
[ratio]</t>
      </text>
    </comment>
    <comment ref="AL21" authorId="0" shapeId="0">
      <text>
        <t>추정: 당기순이익 × (1 − 비지배 비중 0.0%, 최근 8분기 실측)
[ratio]</t>
      </text>
    </comment>
    <comment ref="AM21" authorId="0" shapeId="0">
      <text>
        <t>추정: 당기순이익 × (1 − 비지배 비중 0.0%, 최근 8분기 실측)
[ratio]</t>
      </text>
    </comment>
    <comment ref="AN21" authorId="0" shapeId="0">
      <text>
        <t>추정: 당기순이익 × (1 − 비지배 비중 0.0%, 최근 8분기 실측)
[ratio]</t>
      </text>
    </comment>
    <comment ref="AC23" authorId="0" shapeId="0">
      <text>
        <t>추정: 부채총계 + 자본총계(항등식)
[identity]</t>
      </text>
    </comment>
    <comment ref="AD23" authorId="0" shapeId="0">
      <text>
        <t>추정: 부채총계 + 자본총계(항등식)
[identity]</t>
      </text>
    </comment>
    <comment ref="AF23" authorId="0" shapeId="0">
      <text>
        <t>추정: 부채총계 + 자본총계(항등식)
[identity]</t>
      </text>
    </comment>
    <comment ref="AG23" authorId="0" shapeId="0">
      <text>
        <t>추정: 부채총계 + 자본총계(항등식)
[identity]</t>
      </text>
    </comment>
    <comment ref="AH23" authorId="0" shapeId="0">
      <text>
        <t>추정: 부채총계 + 자본총계(항등식)
[identity]</t>
      </text>
    </comment>
    <comment ref="AI23" authorId="0" shapeId="0">
      <text>
        <t>추정: 부채총계 + 자본총계(항등식)
[identity]</t>
      </text>
    </comment>
    <comment ref="AK23" authorId="0" shapeId="0">
      <text>
        <t>추정: 부채총계 + 자본총계(항등식)
[identity]</t>
      </text>
    </comment>
    <comment ref="AL23" authorId="0" shapeId="0">
      <text>
        <t>추정: 부채총계 + 자본총계(항등식)
[identity]</t>
      </text>
    </comment>
    <comment ref="AM23" authorId="0" shapeId="0">
      <text>
        <t>추정: 부채총계 + 자본총계(항등식)
[identity]</t>
      </text>
    </comment>
    <comment ref="AN23" authorId="0" shapeId="0">
      <text>
        <t>추정: 부채총계 + 자본총계(항등식)
[identity]</t>
      </text>
    </comment>
    <comment ref="AC24" authorId="0" shapeId="0">
      <text>
        <t>추정: 마지막 실적 유지(가정)
[qoq]</t>
      </text>
    </comment>
    <comment ref="AD24" authorId="0" shapeId="0">
      <text>
        <t>추정: 마지막 실적 유지(가정)
[qoq]</t>
      </text>
    </comment>
    <comment ref="AF24" authorId="0" shapeId="0">
      <text>
        <t>추정: 마지막 실적 유지(가정)
[qoq]</t>
      </text>
    </comment>
    <comment ref="AG24" authorId="0" shapeId="0">
      <text>
        <t>추정: 마지막 실적 유지(가정)
[qoq]</t>
      </text>
    </comment>
    <comment ref="AH24" authorId="0" shapeId="0">
      <text>
        <t>추정: 마지막 실적 유지(가정)
[qoq]</t>
      </text>
    </comment>
    <comment ref="AI24" authorId="0" shapeId="0">
      <text>
        <t>추정: 마지막 실적 유지(가정)
[qoq]</t>
      </text>
    </comment>
    <comment ref="AK24" authorId="0" shapeId="0">
      <text>
        <t>추정: 마지막 실적 유지(가정)
[qoq]</t>
      </text>
    </comment>
    <comment ref="AL24" authorId="0" shapeId="0">
      <text>
        <t>추정: 마지막 실적 유지(가정)
[qoq]</t>
      </text>
    </comment>
    <comment ref="AM24" authorId="0" shapeId="0">
      <text>
        <t>추정: 마지막 실적 유지(가정)
[qoq]</t>
      </text>
    </comment>
    <comment ref="AN24" authorId="0" shapeId="0">
      <text>
        <t>추정: 마지막 실적 유지(가정)
[qoq]</t>
      </text>
    </comment>
    <comment ref="AC25" authorId="0" shapeId="0">
      <text>
        <t>추정: 전분기 + 당기순이익 − 배당(Q2 지급 가정)
[roll]</t>
      </text>
    </comment>
    <comment ref="AD25" authorId="0" shapeId="0">
      <text>
        <t>추정: 전분기 + 당기순이익 − 배당(Q2 지급 가정)
[roll]</t>
      </text>
    </comment>
    <comment ref="AF25" authorId="0" shapeId="0">
      <text>
        <t>추정: 전분기 + 당기순이익 − 배당(Q2 지급 가정)
[roll]</t>
      </text>
    </comment>
    <comment ref="AG25" authorId="0" shapeId="0">
      <text>
        <t>추정: 전분기 + 당기순이익 − 배당(Q2 지급 가정)
[roll]</t>
      </text>
    </comment>
    <comment ref="AH25" authorId="0" shapeId="0">
      <text>
        <t>추정: 전분기 + 당기순이익 − 배당(Q2 지급 가정)
[roll]</t>
      </text>
    </comment>
    <comment ref="AI25" authorId="0" shapeId="0">
      <text>
        <t>추정: 전분기 + 당기순이익 − 배당(Q2 지급 가정)
[roll]</t>
      </text>
    </comment>
    <comment ref="AK25" authorId="0" shapeId="0">
      <text>
        <t>추정: 전분기 + 당기순이익 − 배당(Q2 지급 가정)
[roll]</t>
      </text>
    </comment>
    <comment ref="AL25" authorId="0" shapeId="0">
      <text>
        <t>추정: 전분기 + 당기순이익 − 배당(Q2 지급 가정)
[roll]</t>
      </text>
    </comment>
    <comment ref="AM25" authorId="0" shapeId="0">
      <text>
        <t>추정: 전분기 + 당기순이익 − 배당(Q2 지급 가정)
[roll]</t>
      </text>
    </comment>
    <comment ref="AN25" authorId="0" shapeId="0">
      <text>
        <t>추정: 전분기 + 당기순이익 − 배당(Q2 지급 가정)
[roll]</t>
      </text>
    </comment>
    <comment ref="AC26" authorId="0" shapeId="0">
      <text>
        <t>추정: 전분기 + 지배주주순이익 − 배당
[roll]</t>
      </text>
    </comment>
    <comment ref="AD26" authorId="0" shapeId="0">
      <text>
        <t>추정: 전분기 + 지배주주순이익 − 배당
[roll]</t>
      </text>
    </comment>
    <comment ref="AF26" authorId="0" shapeId="0">
      <text>
        <t>추정: 전분기 + 지배주주순이익 − 배당
[roll]</t>
      </text>
    </comment>
    <comment ref="AG26" authorId="0" shapeId="0">
      <text>
        <t>추정: 전분기 + 지배주주순이익 − 배당
[roll]</t>
      </text>
    </comment>
    <comment ref="AH26" authorId="0" shapeId="0">
      <text>
        <t>추정: 전분기 + 지배주주순이익 − 배당
[roll]</t>
      </text>
    </comment>
    <comment ref="AI26" authorId="0" shapeId="0">
      <text>
        <t>추정: 전분기 + 지배주주순이익 − 배당
[roll]</t>
      </text>
    </comment>
    <comment ref="AK26" authorId="0" shapeId="0">
      <text>
        <t>추정: 전분기 + 지배주주순이익 − 배당
[roll]</t>
      </text>
    </comment>
    <comment ref="AL26" authorId="0" shapeId="0">
      <text>
        <t>추정: 전분기 + 지배주주순이익 − 배당
[roll]</t>
      </text>
    </comment>
    <comment ref="AM26" authorId="0" shapeId="0">
      <text>
        <t>추정: 전분기 + 지배주주순이익 − 배당
[roll]</t>
      </text>
    </comment>
    <comment ref="AN26" authorId="0" shapeId="0">
      <text>
        <t>추정: 전분기 + 지배주주순이익 − 배당
[roll]</t>
      </text>
    </comment>
    <comment ref="AC27" authorId="0" shapeId="0">
      <text>
        <t>추정: 마지막 실적 유지(가정)
[qoq]</t>
      </text>
    </comment>
    <comment ref="AD27" authorId="0" shapeId="0">
      <text>
        <t>추정: 마지막 실적 유지(가정)
[qoq]</t>
      </text>
    </comment>
    <comment ref="AF27" authorId="0" shapeId="0">
      <text>
        <t>추정: 마지막 실적 유지(가정)
[qoq]</t>
      </text>
    </comment>
    <comment ref="AG27" authorId="0" shapeId="0">
      <text>
        <t>추정: 마지막 실적 유지(가정)
[qoq]</t>
      </text>
    </comment>
    <comment ref="AH27" authorId="0" shapeId="0">
      <text>
        <t>추정: 마지막 실적 유지(가정)
[qoq]</t>
      </text>
    </comment>
    <comment ref="AI27" authorId="0" shapeId="0">
      <text>
        <t>추정: 마지막 실적 유지(가정)
[qoq]</t>
      </text>
    </comment>
    <comment ref="AK27" authorId="0" shapeId="0">
      <text>
        <t>추정: 마지막 실적 유지(가정)
[qoq]</t>
      </text>
    </comment>
    <comment ref="AL27" authorId="0" shapeId="0">
      <text>
        <t>추정: 마지막 실적 유지(가정)
[qoq]</t>
      </text>
    </comment>
    <comment ref="AM27" authorId="0" shapeId="0">
      <text>
        <t>추정: 마지막 실적 유지(가정)
[qoq]</t>
      </text>
    </comment>
    <comment ref="AN27" authorId="0" shapeId="0">
      <text>
        <t>추정: 마지막 실적 유지(가정)
[qoq]</t>
      </text>
    </comment>
    <comment ref="AC28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D28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F28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G28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H28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I28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K28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L28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M28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N28" authorId="0" shapeId="0">
      <text>
        <t>추정: 전분기 − FCF 근사[순이익 − 배당(감가상각비 없음 → CAPEX≈감가 가정, CAPEX 중위 5억은 행에만)] (운전자본 불변·총차입금 유지 가정 → 변동은 전부 현금)
[qoq]</t>
      </text>
    </comment>
    <comment ref="AC29" authorId="0" shapeId="0">
      <text>
        <t>추정: 전분기 + FCF 근사 — 순차입금 롤과 같은 가정
[qoq]</t>
      </text>
    </comment>
    <comment ref="AD29" authorId="0" shapeId="0">
      <text>
        <t>추정: 전분기 + FCF 근사 — 순차입금 롤과 같은 가정
[qoq]</t>
      </text>
    </comment>
    <comment ref="AF29" authorId="0" shapeId="0">
      <text>
        <t>추정: 전분기 + FCF 근사 — 순차입금 롤과 같은 가정
[qoq]</t>
      </text>
    </comment>
    <comment ref="AG29" authorId="0" shapeId="0">
      <text>
        <t>추정: 전분기 + FCF 근사 — 순차입금 롤과 같은 가정
[qoq]</t>
      </text>
    </comment>
    <comment ref="AH29" authorId="0" shapeId="0">
      <text>
        <t>추정: 전분기 + FCF 근사 — 순차입금 롤과 같은 가정
[qoq]</t>
      </text>
    </comment>
    <comment ref="AI29" authorId="0" shapeId="0">
      <text>
        <t>추정: 전분기 + FCF 근사 — 순차입금 롤과 같은 가정
[qoq]</t>
      </text>
    </comment>
    <comment ref="AK29" authorId="0" shapeId="0">
      <text>
        <t>추정: 전분기 + FCF 근사 — 순차입금 롤과 같은 가정
[qoq]</t>
      </text>
    </comment>
    <comment ref="AL29" authorId="0" shapeId="0">
      <text>
        <t>추정: 전분기 + FCF 근사 — 순차입금 롤과 같은 가정
[qoq]</t>
      </text>
    </comment>
    <comment ref="AM29" authorId="0" shapeId="0">
      <text>
        <t>추정: 전분기 + FCF 근사 — 순차입금 롤과 같은 가정
[qoq]</t>
      </text>
    </comment>
    <comment ref="AN29" authorId="0" shapeId="0">
      <text>
        <t>추정: 전분기 + FCF 근사 — 순차입금 롤과 같은 가정
[qoq]</t>
      </text>
    </comment>
    <comment ref="AC31" authorId="0" shapeId="0">
      <text>
        <t>추정: 최근 4분기(2024Q4~2026Q2) CAPEX 중위 유지 — 순차입금 롤에 미반영(감가상각비 없음 → CAPEX≈감가 가정)
[yoy]</t>
      </text>
    </comment>
    <comment ref="AD31" authorId="0" shapeId="0">
      <text>
        <t>추정: 최근 4분기(2024Q4~2026Q2) CAPEX 중위 유지 — 순차입금 롤에 미반영(감가상각비 없음 → CAPEX≈감가 가정)
[yoy]</t>
      </text>
    </comment>
    <comment ref="AF31" authorId="0" shapeId="0">
      <text>
        <t>추정: 최근 4분기(2024Q4~2026Q2) CAPEX 중위 유지 — 순차입금 롤에 미반영(감가상각비 없음 → CAPEX≈감가 가정)
[yoy]</t>
      </text>
    </comment>
    <comment ref="AG31" authorId="0" shapeId="0">
      <text>
        <t>추정: 최근 4분기(2024Q4~2026Q2) CAPEX 중위 유지 — 순차입금 롤에 미반영(감가상각비 없음 → CAPEX≈감가 가정)
[yoy]</t>
      </text>
    </comment>
    <comment ref="AH31" authorId="0" shapeId="0">
      <text>
        <t>추정: 최근 4분기(2024Q4~2026Q2) CAPEX 중위 유지 — 순차입금 롤에 미반영(감가상각비 없음 → CAPEX≈감가 가정)
[yoy]</t>
      </text>
    </comment>
    <comment ref="AI31" authorId="0" shapeId="0">
      <text>
        <t>추정: 최근 4분기(2024Q4~2026Q2) CAPEX 중위 유지 — 순차입금 롤에 미반영(감가상각비 없음 → CAPEX≈감가 가정)
[yoy]</t>
      </text>
    </comment>
    <comment ref="AK31" authorId="0" shapeId="0">
      <text>
        <t>추정: 최근 4분기(2024Q4~2026Q2) CAPEX 중위 유지 — 순차입금 롤에 미반영(감가상각비 없음 → CAPEX≈감가 가정)
[yoy]</t>
      </text>
    </comment>
    <comment ref="AL31" authorId="0" shapeId="0">
      <text>
        <t>추정: 최근 4분기(2024Q4~2026Q2) CAPEX 중위 유지 — 순차입금 롤에 미반영(감가상각비 없음 → CAPEX≈감가 가정)
[yoy]</t>
      </text>
    </comment>
    <comment ref="AM31" authorId="0" shapeId="0">
      <text>
        <t>추정: 최근 4분기(2024Q4~2026Q2) CAPEX 중위 유지 — 순차입금 롤에 미반영(감가상각비 없음 → CAPEX≈감가 가정)
[yoy]</t>
      </text>
    </comment>
    <comment ref="AN31" authorId="0" shapeId="0">
      <text>
        <t>추정: 최근 4분기(2024Q4~2026Q2) CAPEX 중위 유지 — 순차입금 롤에 미반영(감가상각비 없음 → CAPEX≈감가 가정)
[yoy]</t>
      </text>
    </comment>
    <comment ref="E33" authorId="0" shapeId="0">
      <text>
        <t>실측(계정 매핑 없음(파생·부문·시세 행) — 모델값 직접) — fin.shares.common_outstanding</t>
      </text>
    </comment>
    <comment ref="G33" authorId="0" shapeId="0">
      <text>
        <t>실측(계정 매핑 없음(파생·부문·시세 행) — 모델값 직접) — fin.shares.common_outstanding</t>
      </text>
    </comment>
    <comment ref="H33" authorId="0" shapeId="0">
      <text>
        <t>실측(계정 매핑 없음(파생·부문·시세 행) — 모델값 직접) — fin.shares.common_outstanding</t>
      </text>
    </comment>
    <comment ref="I33" authorId="0" shapeId="0">
      <text>
        <t>실측(계정 매핑 없음(파생·부문·시세 행) — 모델값 직접) — fin.shares.common_outstanding</t>
      </text>
    </comment>
    <comment ref="J33" authorId="0" shapeId="0">
      <text>
        <t>실측(계정 매핑 없음(파생·부문·시세 행) — 모델값 직접) — fin.shares.common_outstanding</t>
      </text>
    </comment>
    <comment ref="L33" authorId="0" shapeId="0">
      <text>
        <t>실측(계정 매핑 없음(파생·부문·시세 행) — 모델값 직접) — fin.shares.common_outstanding</t>
      </text>
    </comment>
    <comment ref="M33" authorId="0" shapeId="0">
      <text>
        <t>실측(계정 매핑 없음(파생·부문·시세 행) — 모델값 직접) — fin.shares.common_outstanding</t>
      </text>
    </comment>
    <comment ref="N33" authorId="0" shapeId="0">
      <text>
        <t>실측(계정 매핑 없음(파생·부문·시세 행) — 모델값 직접) — fin.shares.common_outstanding</t>
      </text>
    </comment>
    <comment ref="O33" authorId="0" shapeId="0">
      <text>
        <t>실측(계정 매핑 없음(파생·부문·시세 행) — 모델값 직접) — fin.shares.common_outstanding</t>
      </text>
    </comment>
    <comment ref="Q33" authorId="0" shapeId="0">
      <text>
        <t>실측(계정 매핑 없음(파생·부문·시세 행) — 모델값 직접) — fin.shares.common_outstanding</t>
      </text>
    </comment>
    <comment ref="R33" authorId="0" shapeId="0">
      <text>
        <t>실측(계정 매핑 없음(파생·부문·시세 행) — 모델값 직접) — fin.shares.common_outstanding</t>
      </text>
    </comment>
    <comment ref="S33" authorId="0" shapeId="0">
      <text>
        <t>실측(계정 매핑 없음(파생·부문·시세 행) — 모델값 직접) — fin.shares.common_outstanding</t>
      </text>
    </comment>
    <comment ref="T33" authorId="0" shapeId="0">
      <text>
        <t>실측(계정 매핑 없음(파생·부문·시세 행) — 모델값 직접) — fin.shares.common_outstanding</t>
      </text>
    </comment>
    <comment ref="V33" authorId="0" shapeId="0">
      <text>
        <t>실측(계정 매핑 없음(파생·부문·시세 행) — 모델값 직접) — fin.shares.common_outstanding</t>
      </text>
    </comment>
    <comment ref="W33" authorId="0" shapeId="0">
      <text>
        <t>실측(계정 매핑 없음(파생·부문·시세 행) — 모델값 직접) — fin.shares.common_outstanding</t>
      </text>
    </comment>
    <comment ref="X33" authorId="0" shapeId="0">
      <text>
        <t>실측(계정 매핑 없음(파생·부문·시세 행) — 모델값 직접) — fin.shares.common_outstanding</t>
      </text>
    </comment>
    <comment ref="Y33" authorId="0" shapeId="0">
      <text>
        <t>실측(계정 매핑 없음(파생·부문·시세 행) — 모델값 직접) — fin.shares.common_outstanding</t>
      </text>
    </comment>
    <comment ref="AA33" authorId="0" shapeId="0">
      <text>
        <t>실측(계정 매핑 없음(파생·부문·시세 행) — 모델값 직접) — fin.shares.common_outstanding</t>
      </text>
    </comment>
    <comment ref="AB33" authorId="0" shapeId="0">
      <text>
        <t>실측(계정 매핑 없음(파생·부문·시세 행) — 모델값 직접) — fin.shares.common_outstanding</t>
      </text>
    </comment>
    <comment ref="AC33" authorId="0" shapeId="0">
      <text>
        <t>추정: 유통주식수 유지 — fin.shares.common_outstanding(2026Q2)
[qoq]</t>
      </text>
    </comment>
    <comment ref="AD33" authorId="0" shapeId="0">
      <text>
        <t>추정: 유통주식수 유지 — fin.shares.common_outstanding(2026Q2)
[qoq]</t>
      </text>
    </comment>
    <comment ref="AF33" authorId="0" shapeId="0">
      <text>
        <t>추정: 유통주식수 유지 — fin.shares.common_outstanding(2026Q2)
[qoq]</t>
      </text>
    </comment>
    <comment ref="AG33" authorId="0" shapeId="0">
      <text>
        <t>추정: 유통주식수 유지 — fin.shares.common_outstanding(2026Q2)
[qoq]</t>
      </text>
    </comment>
    <comment ref="AH33" authorId="0" shapeId="0">
      <text>
        <t>추정: 유통주식수 유지 — fin.shares.common_outstanding(2026Q2)
[qoq]</t>
      </text>
    </comment>
    <comment ref="AI33" authorId="0" shapeId="0">
      <text>
        <t>추정: 유통주식수 유지 — fin.shares.common_outstanding(2026Q2)
[qoq]</t>
      </text>
    </comment>
    <comment ref="AK33" authorId="0" shapeId="0">
      <text>
        <t>추정: 유통주식수 유지 — fin.shares.common_outstanding(2026Q2)
[qoq]</t>
      </text>
    </comment>
    <comment ref="AL33" authorId="0" shapeId="0">
      <text>
        <t>추정: 유통주식수 유지 — fin.shares.common_outstanding(2026Q2)
[qoq]</t>
      </text>
    </comment>
    <comment ref="AM33" authorId="0" shapeId="0">
      <text>
        <t>추정: 유통주식수 유지 — fin.shares.common_outstanding(2026Q2)
[qoq]</t>
      </text>
    </comment>
    <comment ref="AN33" authorId="0" shapeId="0">
      <text>
        <t>추정: 유통주식수 유지 — fin.shares.common_outstanding(2026Q2)
[qoq]</t>
      </text>
    </comment>
    <comment ref="AC34" authorId="0" shapeId="0">
      <text>
        <t>추정: 지배주주순이익 ÷ 유통주식수
[per_share]</t>
      </text>
    </comment>
    <comment ref="AD34" authorId="0" shapeId="0">
      <text>
        <t>추정: 지배주주순이익 ÷ 유통주식수
[per_share]</t>
      </text>
    </comment>
    <comment ref="AF34" authorId="0" shapeId="0">
      <text>
        <t>추정: 지배주주순이익 ÷ 유통주식수
[per_share]</t>
      </text>
    </comment>
    <comment ref="AG34" authorId="0" shapeId="0">
      <text>
        <t>추정: 지배주주순이익 ÷ 유통주식수
[per_share]</t>
      </text>
    </comment>
    <comment ref="AH34" authorId="0" shapeId="0">
      <text>
        <t>추정: 지배주주순이익 ÷ 유통주식수
[per_share]</t>
      </text>
    </comment>
    <comment ref="AI34" authorId="0" shapeId="0">
      <text>
        <t>추정: 지배주주순이익 ÷ 유통주식수
[per_share]</t>
      </text>
    </comment>
    <comment ref="AK34" authorId="0" shapeId="0">
      <text>
        <t>추정: 지배주주순이익 ÷ 유통주식수
[per_share]</t>
      </text>
    </comment>
    <comment ref="AL34" authorId="0" shapeId="0">
      <text>
        <t>추정: 지배주주순이익 ÷ 유통주식수
[per_share]</t>
      </text>
    </comment>
    <comment ref="AM34" authorId="0" shapeId="0">
      <text>
        <t>추정: 지배주주순이익 ÷ 유통주식수
[per_share]</t>
      </text>
    </comment>
    <comment ref="AN34" authorId="0" shapeId="0">
      <text>
        <t>추정: 지배주주순이익 ÷ 유통주식수
[per_share]</t>
      </text>
    </comment>
    <comment ref="AC35" authorId="0" shapeId="0">
      <text>
        <t>추정: 지배주주지분 ÷ 유통주식수
[per_share]</t>
      </text>
    </comment>
    <comment ref="AD35" authorId="0" shapeId="0">
      <text>
        <t>추정: 지배주주지분 ÷ 유통주식수
[per_share]</t>
      </text>
    </comment>
    <comment ref="AF35" authorId="0" shapeId="0">
      <text>
        <t>추정: 지배주주지분 ÷ 유통주식수
[per_share]</t>
      </text>
    </comment>
    <comment ref="AG35" authorId="0" shapeId="0">
      <text>
        <t>추정: 지배주주지분 ÷ 유통주식수
[per_share]</t>
      </text>
    </comment>
    <comment ref="AH35" authorId="0" shapeId="0">
      <text>
        <t>추정: 지배주주지분 ÷ 유통주식수
[per_share]</t>
      </text>
    </comment>
    <comment ref="AI35" authorId="0" shapeId="0">
      <text>
        <t>추정: 지배주주지분 ÷ 유통주식수
[per_share]</t>
      </text>
    </comment>
    <comment ref="AK35" authorId="0" shapeId="0">
      <text>
        <t>추정: 지배주주지분 ÷ 유통주식수
[per_share]</t>
      </text>
    </comment>
    <comment ref="AL35" authorId="0" shapeId="0">
      <text>
        <t>추정: 지배주주지분 ÷ 유통주식수
[per_share]</t>
      </text>
    </comment>
    <comment ref="AM35" authorId="0" shapeId="0">
      <text>
        <t>추정: 지배주주지분 ÷ 유통주식수
[per_share]</t>
      </text>
    </comment>
    <comment ref="AN35" authorId="0" shapeId="0">
      <text>
        <t>추정: 지배주주지분 ÷ 유통주식수
[per_share]</t>
      </text>
    </comment>
    <comment ref="E36" authorId="0" shapeId="0">
      <text>
        <t>실측(계정 매핑 없음(파생·부문·시세 행) — 모델값 직접) — fin.dividend.dps_common(연간, Q4 에 표기)</t>
      </text>
    </comment>
    <comment ref="F36" authorId="0" shapeId="0">
      <text>
        <t>연간(actual) — 분기 미완 연도, 모델 a 값 직접</t>
      </text>
    </comment>
    <comment ref="J36" authorId="0" shapeId="0">
      <text>
        <t>실측(계정 매핑 없음(파생·부문·시세 행) — 모델값 직접) — fin.dividend.dps_common(연간, Q4 에 표기)</t>
      </text>
    </comment>
    <comment ref="O36" authorId="0" shapeId="0">
      <text>
        <t>실측(계정 매핑 없음(파생·부문·시세 행) — 모델값 직접) — fin.dividend.dps_common(연간, Q4 에 표기)</t>
      </text>
    </comment>
    <comment ref="T36" authorId="0" shapeId="0">
      <text>
        <t>실측(계정 매핑 없음(파생·부문·시세 행) — 모델값 직접) — fin.dividend.dps_common(연간, Q4 에 표기)</t>
      </text>
    </comment>
    <comment ref="Y36" authorId="0" shapeId="0">
      <text>
        <t>실측(계정 매핑 없음(파생·부문·시세 행) — 모델값 직접) — fin.dividend.dps_common(연간, Q4 에 표기)</t>
      </text>
    </comment>
    <comment ref="AD36" authorId="0" shapeId="0">
      <text>
        <t>추정: 직전 결산 DPS 320원 유지
[abs]</t>
      </text>
    </comment>
    <comment ref="AI36" authorId="0" shapeId="0">
      <text>
        <t>추정: 직전 결산 DPS 320원 유지
[abs]</t>
      </text>
    </comment>
    <comment ref="AN36" authorId="0" shapeId="0">
      <text>
        <t>추정: 직전 결산 DPS 320원 유지
[abs]</t>
      </text>
    </comment>
    <comment ref="AC37" authorId="0" shapeId="0">
      <text>
        <t>추정: 현재 종가 ÷ TTM EPS(추정 포함)
[valuation]</t>
      </text>
    </comment>
    <comment ref="AD37" authorId="0" shapeId="0">
      <text>
        <t>추정: 현재 종가 ÷ TTM EPS(추정 포함)
[valuation]</t>
      </text>
    </comment>
    <comment ref="AF37" authorId="0" shapeId="0">
      <text>
        <t>추정: 현재 종가 ÷ TTM EPS(추정 포함)
[valuation]</t>
      </text>
    </comment>
    <comment ref="AG37" authorId="0" shapeId="0">
      <text>
        <t>추정: 현재 종가 ÷ TTM EPS(추정 포함)
[valuation]</t>
      </text>
    </comment>
    <comment ref="AH37" authorId="0" shapeId="0">
      <text>
        <t>추정: 현재 종가 ÷ TTM EPS(추정 포함)
[valuation]</t>
      </text>
    </comment>
    <comment ref="AI37" authorId="0" shapeId="0">
      <text>
        <t>추정: 현재 종가 ÷ TTM EPS(추정 포함)
[valuation]</t>
      </text>
    </comment>
    <comment ref="AK37" authorId="0" shapeId="0">
      <text>
        <t>추정: 현재 종가 ÷ TTM EPS(추정 포함)
[valuation]</t>
      </text>
    </comment>
    <comment ref="AL37" authorId="0" shapeId="0">
      <text>
        <t>추정: 현재 종가 ÷ TTM EPS(추정 포함)
[valuation]</t>
      </text>
    </comment>
    <comment ref="AM37" authorId="0" shapeId="0">
      <text>
        <t>추정: 현재 종가 ÷ TTM EPS(추정 포함)
[valuation]</t>
      </text>
    </comment>
    <comment ref="AN37" authorId="0" shapeId="0">
      <text>
        <t>추정: 현재 종가 ÷ TTM EPS(추정 포함)
[valuation]</t>
      </text>
    </comment>
    <comment ref="AC38" authorId="0" shapeId="0">
      <text>
        <t>추정: 현재 종가 ÷ BPS(추정 포함)
[valuation]</t>
      </text>
    </comment>
    <comment ref="AD38" authorId="0" shapeId="0">
      <text>
        <t>추정: 현재 종가 ÷ BPS(추정 포함)
[valuation]</t>
      </text>
    </comment>
    <comment ref="AF38" authorId="0" shapeId="0">
      <text>
        <t>추정: 현재 종가 ÷ BPS(추정 포함)
[valuation]</t>
      </text>
    </comment>
    <comment ref="AG38" authorId="0" shapeId="0">
      <text>
        <t>추정: 현재 종가 ÷ BPS(추정 포함)
[valuation]</t>
      </text>
    </comment>
    <comment ref="AH38" authorId="0" shapeId="0">
      <text>
        <t>추정: 현재 종가 ÷ BPS(추정 포함)
[valuation]</t>
      </text>
    </comment>
    <comment ref="AI38" authorId="0" shapeId="0">
      <text>
        <t>추정: 현재 종가 ÷ BPS(추정 포함)
[valuation]</t>
      </text>
    </comment>
    <comment ref="AK38" authorId="0" shapeId="0">
      <text>
        <t>추정: 현재 종가 ÷ BPS(추정 포함)
[valuation]</t>
      </text>
    </comment>
    <comment ref="AL38" authorId="0" shapeId="0">
      <text>
        <t>추정: 현재 종가 ÷ BPS(추정 포함)
[valuation]</t>
      </text>
    </comment>
    <comment ref="AM38" authorId="0" shapeId="0">
      <text>
        <t>추정: 현재 종가 ÷ BPS(추정 포함)
[valuation]</t>
      </text>
    </comment>
    <comment ref="AN38" authorId="0" shapeId="0">
      <text>
        <t>추정: 현재 종가 ÷ BPS(추정 포함)
[valuation]</t>
      </text>
    </comment>
    <comment ref="E39" authorId="0" shapeId="0">
      <text>
        <t>실측(계정 매핑 없음(파생·부문·시세 행) — 모델값 직접) — = 매출액(부문 미분리)</t>
      </text>
    </comment>
    <comment ref="G39" authorId="0" shapeId="0">
      <text>
        <t>실측(계정 매핑 없음(파생·부문·시세 행) — 모델값 직접) — = 매출액(부문 미분리)</t>
      </text>
    </comment>
    <comment ref="H39" authorId="0" shapeId="0">
      <text>
        <t>실측(계정 매핑 없음(파생·부문·시세 행) — 모델값 직접) — = 매출액(부문 미분리)</t>
      </text>
    </comment>
    <comment ref="I39" authorId="0" shapeId="0">
      <text>
        <t>실측(계정 매핑 없음(파생·부문·시세 행) — 모델값 직접) — = 매출액(부문 미분리)</t>
      </text>
    </comment>
    <comment ref="J39" authorId="0" shapeId="0">
      <text>
        <t>실측(계정 매핑 없음(파생·부문·시세 행) — 모델값 직접) — = 매출액(부문 미분리)</t>
      </text>
    </comment>
    <comment ref="L39" authorId="0" shapeId="0">
      <text>
        <t>실측(계정 매핑 없음(파생·부문·시세 행) — 모델값 직접) — = 매출액(부문 미분리)</t>
      </text>
    </comment>
    <comment ref="M39" authorId="0" shapeId="0">
      <text>
        <t>실측(계정 매핑 없음(파생·부문·시세 행) — 모델값 직접) — = 매출액(부문 미분리)</t>
      </text>
    </comment>
    <comment ref="N39" authorId="0" shapeId="0">
      <text>
        <t>실측(계정 매핑 없음(파생·부문·시세 행) — 모델값 직접) — = 매출액(부문 미분리)</t>
      </text>
    </comment>
    <comment ref="O39" authorId="0" shapeId="0">
      <text>
        <t>실측(계정 매핑 없음(파생·부문·시세 행) — 모델값 직접) — = 매출액(부문 미분리)</t>
      </text>
    </comment>
    <comment ref="Q39" authorId="0" shapeId="0">
      <text>
        <t>실측(계정 매핑 없음(파생·부문·시세 행) — 모델값 직접) — = 매출액(부문 미분리)</t>
      </text>
    </comment>
    <comment ref="R39" authorId="0" shapeId="0">
      <text>
        <t>실측(계정 매핑 없음(파생·부문·시세 행) — 모델값 직접) — = 매출액(부문 미분리)</t>
      </text>
    </comment>
    <comment ref="S39" authorId="0" shapeId="0">
      <text>
        <t>실측(계정 매핑 없음(파생·부문·시세 행) — 모델값 직접) — = 매출액(부문 미분리)</t>
      </text>
    </comment>
    <comment ref="T39" authorId="0" shapeId="0">
      <text>
        <t>실측(계정 매핑 없음(파생·부문·시세 행) — 모델값 직접) — = 매출액(부문 미분리)</t>
      </text>
    </comment>
    <comment ref="V39" authorId="0" shapeId="0">
      <text>
        <t>실측(계정 매핑 없음(파생·부문·시세 행) — 모델값 직접) — = 매출액(부문 미분리)</t>
      </text>
    </comment>
    <comment ref="W39" authorId="0" shapeId="0">
      <text>
        <t>실측(계정 매핑 없음(파생·부문·시세 행) — 모델값 직접) — = 매출액(부문 미분리)</t>
      </text>
    </comment>
    <comment ref="X39" authorId="0" shapeId="0">
      <text>
        <t>실측(계정 매핑 없음(파생·부문·시세 행) — 모델값 직접) — = 매출액(부문 미분리)</t>
      </text>
    </comment>
    <comment ref="Y39" authorId="0" shapeId="0">
      <text>
        <t>실측(계정 매핑 없음(파생·부문·시세 행) — 모델값 직접) — = 매출액(부문 미분리)</t>
      </text>
    </comment>
    <comment ref="AA39" authorId="0" shapeId="0">
      <text>
        <t>실측(계정 매핑 없음(파생·부문·시세 행) — 모델값 직접) — = 매출액(부문 미분리)</t>
      </text>
    </comment>
    <comment ref="AB39" authorId="0" shapeId="0">
      <text>
        <t>실측(계정 매핑 없음(파생·부문·시세 행) — 모델값 직접) — = 매출액(부문 미분리)</t>
      </text>
    </comment>
    <comment ref="AC39" authorId="0" shapeId="0">
      <text>
        <t>추정: = 매출액 추정(부문 미분리)
[identity]</t>
      </text>
    </comment>
    <comment ref="AD39" authorId="0" shapeId="0">
      <text>
        <t>추정: = 매출액 추정(부문 미분리)
[identity]</t>
      </text>
    </comment>
    <comment ref="AF39" authorId="0" shapeId="0">
      <text>
        <t>추정: = 매출액 추정(부문 미분리)
[identity]</t>
      </text>
    </comment>
    <comment ref="AG39" authorId="0" shapeId="0">
      <text>
        <t>추정: = 매출액 추정(부문 미분리)
[identity]</t>
      </text>
    </comment>
    <comment ref="AH39" authorId="0" shapeId="0">
      <text>
        <t>추정: = 매출액 추정(부문 미분리)
[identity]</t>
      </text>
    </comment>
    <comment ref="AI39" authorId="0" shapeId="0">
      <text>
        <t>추정: = 매출액 추정(부문 미분리)
[identity]</t>
      </text>
    </comment>
    <comment ref="AK39" authorId="0" shapeId="0">
      <text>
        <t>추정: = 매출액 추정(부문 미분리)
[identity]</t>
      </text>
    </comment>
    <comment ref="AL39" authorId="0" shapeId="0">
      <text>
        <t>추정: = 매출액 추정(부문 미분리)
[identity]</t>
      </text>
    </comment>
    <comment ref="AM39" authorId="0" shapeId="0">
      <text>
        <t>추정: = 매출액 추정(부문 미분리)
[identity]</t>
      </text>
    </comment>
    <comment ref="AN39" authorId="0" shapeId="0">
      <text>
        <t>추정: = 매출액 추정(부문 미분리)
[identity]</t>
      </text>
    </comment>
    <comment ref="E40" authorId="0" shapeId="0">
      <text>
        <t>실측(계정 매핑 없음(파생·부문·시세 행) — 모델값 직접) — = 영업이익(부문 미분리)</t>
      </text>
    </comment>
    <comment ref="G40" authorId="0" shapeId="0">
      <text>
        <t>실측(계정 매핑 없음(파생·부문·시세 행) — 모델값 직접) — = 영업이익(부문 미분리)</t>
      </text>
    </comment>
    <comment ref="H40" authorId="0" shapeId="0">
      <text>
        <t>실측(계정 매핑 없음(파생·부문·시세 행) — 모델값 직접) — = 영업이익(부문 미분리)</t>
      </text>
    </comment>
    <comment ref="I40" authorId="0" shapeId="0">
      <text>
        <t>실측(계정 매핑 없음(파생·부문·시세 행) — 모델값 직접) — = 영업이익(부문 미분리)</t>
      </text>
    </comment>
    <comment ref="J40" authorId="0" shapeId="0">
      <text>
        <t>실측(계정 매핑 없음(파생·부문·시세 행) — 모델값 직접) — = 영업이익(부문 미분리)</t>
      </text>
    </comment>
    <comment ref="L40" authorId="0" shapeId="0">
      <text>
        <t>실측(계정 매핑 없음(파생·부문·시세 행) — 모델값 직접) — = 영업이익(부문 미분리)</t>
      </text>
    </comment>
    <comment ref="M40" authorId="0" shapeId="0">
      <text>
        <t>실측(계정 매핑 없음(파생·부문·시세 행) — 모델값 직접) — = 영업이익(부문 미분리)</t>
      </text>
    </comment>
    <comment ref="N40" authorId="0" shapeId="0">
      <text>
        <t>실측(계정 매핑 없음(파생·부문·시세 행) — 모델값 직접) — = 영업이익(부문 미분리)</t>
      </text>
    </comment>
    <comment ref="O40" authorId="0" shapeId="0">
      <text>
        <t>실측(계정 매핑 없음(파생·부문·시세 행) — 모델값 직접) — = 영업이익(부문 미분리)</t>
      </text>
    </comment>
    <comment ref="Q40" authorId="0" shapeId="0">
      <text>
        <t>실측(계정 매핑 없음(파생·부문·시세 행) — 모델값 직접) — = 영업이익(부문 미분리)</t>
      </text>
    </comment>
    <comment ref="R40" authorId="0" shapeId="0">
      <text>
        <t>실측(계정 매핑 없음(파생·부문·시세 행) — 모델값 직접) — = 영업이익(부문 미분리)</t>
      </text>
    </comment>
    <comment ref="S40" authorId="0" shapeId="0">
      <text>
        <t>실측(계정 매핑 없음(파생·부문·시세 행) — 모델값 직접) — = 영업이익(부문 미분리)</t>
      </text>
    </comment>
    <comment ref="T40" authorId="0" shapeId="0">
      <text>
        <t>실측(계정 매핑 없음(파생·부문·시세 행) — 모델값 직접) — = 영업이익(부문 미분리)</t>
      </text>
    </comment>
    <comment ref="V40" authorId="0" shapeId="0">
      <text>
        <t>실측(계정 매핑 없음(파생·부문·시세 행) — 모델값 직접) — = 영업이익(부문 미분리)</t>
      </text>
    </comment>
    <comment ref="W40" authorId="0" shapeId="0">
      <text>
        <t>실측(계정 매핑 없음(파생·부문·시세 행) — 모델값 직접) — = 영업이익(부문 미분리)</t>
      </text>
    </comment>
    <comment ref="X40" authorId="0" shapeId="0">
      <text>
        <t>실측(계정 매핑 없음(파생·부문·시세 행) — 모델값 직접) — = 영업이익(부문 미분리)</t>
      </text>
    </comment>
    <comment ref="Y40" authorId="0" shapeId="0">
      <text>
        <t>실측(계정 매핑 없음(파생·부문·시세 행) — 모델값 직접) — = 영업이익(부문 미분리)</t>
      </text>
    </comment>
    <comment ref="AA40" authorId="0" shapeId="0">
      <text>
        <t>실측(계정 매핑 없음(파생·부문·시세 행) — 모델값 직접) — = 영업이익(부문 미분리)</t>
      </text>
    </comment>
    <comment ref="AB40" authorId="0" shapeId="0">
      <text>
        <t>실측(계정 매핑 없음(파생·부문·시세 행) — 모델값 직접) — = 영업이익(부문 미분리)</t>
      </text>
    </comment>
    <comment ref="AC40" authorId="0" shapeId="0">
      <text>
        <t>추정: = 매출액 × OPM(부문 미분리)
[identity]</t>
      </text>
    </comment>
    <comment ref="AD40" authorId="0" shapeId="0">
      <text>
        <t>추정: = 매출액 × OPM(부문 미분리)
[identity]</t>
      </text>
    </comment>
    <comment ref="AF40" authorId="0" shapeId="0">
      <text>
        <t>추정: = 매출액 × OPM(부문 미분리)
[identity]</t>
      </text>
    </comment>
    <comment ref="AG40" authorId="0" shapeId="0">
      <text>
        <t>추정: = 매출액 × OPM(부문 미분리)
[identity]</t>
      </text>
    </comment>
    <comment ref="AH40" authorId="0" shapeId="0">
      <text>
        <t>추정: = 매출액 × OPM(부문 미분리)
[identity]</t>
      </text>
    </comment>
    <comment ref="AI40" authorId="0" shapeId="0">
      <text>
        <t>추정: = 매출액 × OPM(부문 미분리)
[identity]</t>
      </text>
    </comment>
    <comment ref="AK40" authorId="0" shapeId="0">
      <text>
        <t>추정: = 매출액 × OPM(부문 미분리)
[identity]</t>
      </text>
    </comment>
    <comment ref="AL40" authorId="0" shapeId="0">
      <text>
        <t>추정: = 매출액 × OPM(부문 미분리)
[identity]</t>
      </text>
    </comment>
    <comment ref="AM40" authorId="0" shapeId="0">
      <text>
        <t>추정: = 매출액 × OPM(부문 미분리)
[identity]</t>
      </text>
    </comment>
    <comment ref="AN40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한국카본(017960) 실적 모델 — ARGUS 한국조선</t>
        </is>
      </c>
    </row>
    <row r="2">
      <c r="A2" t="inlineStr">
        <is>
          <t>기준 분기 2026Q2 · 마지막 실적 2026Q2 · 생성 2026-10-11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24.36% — 법인세 = MAX(세전,0) × 세율, 추정 전 분기 연결(Σ법인세/Σmax(세전,0) 역산, 재현 오차 ≤ 0.05억). 모델 가정 24.36% · 근거: 최근 12분기 유효세율 28.5% 가 5~27% 밖 → 클립 대신 최근 8분기 중 세전 &gt; 0 인 7분기(2024Q3~2026Q2)의 법인세/세전 중위 24.4%</t>
        </is>
      </c>
    </row>
    <row r="23">
      <c r="A23" t="inlineStr">
        <is>
          <t>· 판관비율 9.51%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1.97% / 부채 5.19% — 이자손익 = (전분기 이자발생자산 × 자산이자율 − 전분기 총차입금 × 부채이자율)/4, 최소자승 역산(모델 assumptions [0.0197, 0.0519]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19.7/24.5/30.0배(hist_quarterly(분기 평균가 ÷ TTM EPS, 13분기, 25/50/75 백분위) · 캡 5~30배 적용(원값 19.7/24.5/38.1))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assets/models/017960.json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이자발생자산 이자율: 주석 연율 2.0% 가 CF 연율 0.9% 의 2.3배 — 최근 4분기 연속 주석이라 유지(차입금 외 이자 포함 가능 — 주석 확인). 클립 조건: stale 또는 &gt; 20% / 총차입금 이자율: 주석 연율 5.2% 가 CF 연율 1.4% 의 3.8배 — 최근 4분기 연속 주석이라 유지(차입금 외 이자 포함 가능 — 주석 확인). 클립 조건: stale 또는 &gt; 20% / 감가상각비가 face·CF 에 없음(주석 미파싱) → EBITDA·EV/EBITDA 미산출 / 기타금융손익(금융손익 − 이자 − 외환 − 파생 잔차) 최근 4분기 중위 -40.7억이 이자손익 추정 -10.2억의 50% 초과 → 추정 0 — 평가손익·재분류 여부는 주석 확인 / 금융손익 실적→추정 단절: 최근 4분기 실적 -83/+16/-193/-31(중위 -57억) → 추정 2026Q3 -10억(차 +46억, +82%)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11.1, "op_wape_pct": 63.7, "n": 4, "note": "단일 회사 4분기 — 통계 아님", "driver_at_freeze": "customer_yard_revenue_weighted", "selection_oos_at_freeze": {"freeze": "2024Q2", "n": 4, "wape_link": 27.5, "wape_trend": 34.3, "adopted": true, "decision": "adopted"},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2265.3, "rev_act": 2211.32, "op_pred": 152.37, "op_act": 298.63}, {"q": "2025Q4", "rev_pred": 2533.53, "rev_act": 2318.43, "op_pred": 170.41, "op_act": 383.37}, {"q": "2026Q1", "rev_pred": 1831.63, "rev_act": 2118.22, "op_pred": 123.2, "op_act": 410.66}, {"q": "2026Q2", "rev_pred": 1982.74, "rev_act": 2433.78, "op_pred": 133.36, "op_act": 504.0}]}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1345.14</v>
      </c>
      <c r="AE6" s="17" t="n">
        <v>1457.21</v>
      </c>
      <c r="AF6" s="16" t="n">
        <v>1341.49</v>
      </c>
      <c r="AG6" s="16" t="n">
        <v>1341.49</v>
      </c>
      <c r="AH6" s="16" t="n">
        <v>1341.49</v>
      </c>
      <c r="AI6" s="16" t="n">
        <v>1341.49</v>
      </c>
      <c r="AJ6" s="11" t="n"/>
      <c r="AK6" s="16" t="n">
        <v>1341.49</v>
      </c>
      <c r="AL6" s="16" t="n">
        <v>1341.49</v>
      </c>
      <c r="AM6" s="16" t="n">
        <v>1341.49</v>
      </c>
      <c r="AN6" s="16" t="n">
        <v>1341.49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1341.49</v>
      </c>
      <c r="AE7" s="17" t="n">
        <v>1341.49</v>
      </c>
      <c r="AF7" s="16" t="n">
        <v>1341.49</v>
      </c>
      <c r="AG7" s="16" t="n">
        <v>1341.49</v>
      </c>
      <c r="AH7" s="16" t="n">
        <v>1341.49</v>
      </c>
      <c r="AI7" s="16" t="n">
        <v>1341.49</v>
      </c>
      <c r="AJ7" s="11" t="n"/>
      <c r="AK7" s="16" t="n">
        <v>1341.49</v>
      </c>
      <c r="AL7" s="16" t="n">
        <v>1341.49</v>
      </c>
      <c r="AM7" s="16" t="n">
        <v>1341.49</v>
      </c>
      <c r="AN7" s="16" t="n">
        <v>1341.49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850.79</v>
      </c>
      <c r="AE8" s="17" t="n">
        <v>919.21</v>
      </c>
      <c r="AF8" s="16" t="n">
        <v>847.7</v>
      </c>
      <c r="AG8" s="16" t="n">
        <v>847.7</v>
      </c>
      <c r="AH8" s="16" t="n">
        <v>847.7</v>
      </c>
      <c r="AI8" s="16" t="n">
        <v>847.7</v>
      </c>
      <c r="AJ8" s="11" t="n"/>
      <c r="AK8" s="16" t="n">
        <v>847.7</v>
      </c>
      <c r="AL8" s="16" t="n">
        <v>847.7</v>
      </c>
      <c r="AM8" s="16" t="n">
        <v>847.7</v>
      </c>
      <c r="AN8" s="16" t="n">
        <v>847.7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847.7</v>
      </c>
      <c r="AE9" s="17" t="n">
        <v>847.7</v>
      </c>
      <c r="AF9" s="16" t="n">
        <v>847.7</v>
      </c>
      <c r="AG9" s="16" t="n">
        <v>847.7</v>
      </c>
      <c r="AH9" s="16" t="n">
        <v>847.7</v>
      </c>
      <c r="AI9" s="16" t="n">
        <v>847.7</v>
      </c>
      <c r="AJ9" s="11" t="n"/>
      <c r="AK9" s="16" t="n">
        <v>847.7</v>
      </c>
      <c r="AL9" s="16" t="n">
        <v>847.7</v>
      </c>
      <c r="AM9" s="16" t="n">
        <v>847.7</v>
      </c>
      <c r="AN9" s="16" t="n">
        <v>847.7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1509.74</v>
      </c>
      <c r="AE10" s="17" t="n">
        <v>1689.95</v>
      </c>
      <c r="AF10" s="16" t="n">
        <v>1503.27</v>
      </c>
      <c r="AG10" s="16" t="n">
        <v>1503.27</v>
      </c>
      <c r="AH10" s="16" t="n">
        <v>1503.27</v>
      </c>
      <c r="AI10" s="16" t="n">
        <v>1503.27</v>
      </c>
      <c r="AJ10" s="11" t="n"/>
      <c r="AK10" s="16" t="n">
        <v>1503.27</v>
      </c>
      <c r="AL10" s="16" t="n">
        <v>1503.27</v>
      </c>
      <c r="AM10" s="16" t="n">
        <v>1503.27</v>
      </c>
      <c r="AN10" s="16" t="n">
        <v>1503.27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1503.27</v>
      </c>
      <c r="AE11" s="17" t="n">
        <v>1503.27</v>
      </c>
      <c r="AF11" s="16" t="n">
        <v>1503.27</v>
      </c>
      <c r="AG11" s="16" t="n">
        <v>1503.27</v>
      </c>
      <c r="AH11" s="16" t="n">
        <v>1503.27</v>
      </c>
      <c r="AI11" s="16" t="n">
        <v>1503.27</v>
      </c>
      <c r="AJ11" s="11" t="n"/>
      <c r="AK11" s="16" t="n">
        <v>1503.27</v>
      </c>
      <c r="AL11" s="16" t="n">
        <v>1503.27</v>
      </c>
      <c r="AM11" s="16" t="n">
        <v>1503.27</v>
      </c>
      <c r="AN11" s="16" t="n">
        <v>1503.27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200.69</v>
      </c>
      <c r="AE12" s="17" t="n">
        <v>213.75</v>
      </c>
      <c r="AF12" s="16" t="n">
        <v>200.46</v>
      </c>
      <c r="AG12" s="16" t="n">
        <v>200.46</v>
      </c>
      <c r="AH12" s="16" t="n">
        <v>200.46</v>
      </c>
      <c r="AI12" s="16" t="n">
        <v>200.46</v>
      </c>
      <c r="AJ12" s="11" t="n"/>
      <c r="AK12" s="16" t="n">
        <v>200.46</v>
      </c>
      <c r="AL12" s="16" t="n">
        <v>200.46</v>
      </c>
      <c r="AM12" s="16" t="n">
        <v>200.46</v>
      </c>
      <c r="AN12" s="16" t="n">
        <v>200.46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200.46</v>
      </c>
      <c r="AE13" s="17" t="n">
        <v>200.46</v>
      </c>
      <c r="AF13" s="16" t="n">
        <v>200.46</v>
      </c>
      <c r="AG13" s="16" t="n">
        <v>200.46</v>
      </c>
      <c r="AH13" s="16" t="n">
        <v>200.46</v>
      </c>
      <c r="AI13" s="16" t="n">
        <v>200.46</v>
      </c>
      <c r="AJ13" s="11" t="n"/>
      <c r="AK13" s="16" t="n">
        <v>200.46</v>
      </c>
      <c r="AL13" s="16" t="n">
        <v>200.46</v>
      </c>
      <c r="AM13" s="16" t="n">
        <v>200.46</v>
      </c>
      <c r="AN13" s="16" t="n">
        <v>200.46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10750</v>
      </c>
      <c r="F15" s="9" t="n"/>
      <c r="G15" s="18" t="n">
        <v>11750</v>
      </c>
      <c r="H15" s="18" t="n">
        <v>14600</v>
      </c>
      <c r="I15" s="18" t="n">
        <v>11900</v>
      </c>
      <c r="J15" s="18" t="n">
        <v>11050</v>
      </c>
      <c r="K15" s="9" t="n"/>
      <c r="L15" s="18" t="n">
        <v>12280</v>
      </c>
      <c r="M15" s="18" t="n">
        <v>11650</v>
      </c>
      <c r="N15" s="18" t="n">
        <v>12550</v>
      </c>
      <c r="O15" s="18" t="n">
        <v>11640</v>
      </c>
      <c r="P15" s="9" t="n"/>
      <c r="Q15" s="18" t="n">
        <v>10730</v>
      </c>
      <c r="R15" s="18" t="n">
        <v>10730</v>
      </c>
      <c r="S15" s="18" t="n">
        <v>10810</v>
      </c>
      <c r="T15" s="18" t="n">
        <v>11750</v>
      </c>
      <c r="U15" s="9" t="n"/>
      <c r="V15" s="18" t="n">
        <v>13540</v>
      </c>
      <c r="W15" s="18" t="n">
        <v>26000</v>
      </c>
      <c r="X15" s="18" t="n">
        <v>32700</v>
      </c>
      <c r="Y15" s="18" t="n">
        <v>29850</v>
      </c>
      <c r="Z15" s="9" t="n"/>
      <c r="AA15" s="18" t="n">
        <v>38850</v>
      </c>
      <c r="AB15" s="19" t="n">
        <v>26700</v>
      </c>
      <c r="AC15" s="20" t="n">
        <v>20100</v>
      </c>
      <c r="AD15" s="20" t="n">
        <v>19260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13500</v>
      </c>
      <c r="F16" s="9" t="n"/>
      <c r="G16" s="18" t="n">
        <v>12900</v>
      </c>
      <c r="H16" s="18" t="n">
        <v>15350</v>
      </c>
      <c r="I16" s="18" t="n">
        <v>16200</v>
      </c>
      <c r="J16" s="18" t="n">
        <v>12800</v>
      </c>
      <c r="K16" s="9" t="n"/>
      <c r="L16" s="18" t="n">
        <v>12380</v>
      </c>
      <c r="M16" s="18" t="n">
        <v>12980</v>
      </c>
      <c r="N16" s="18" t="n">
        <v>15240</v>
      </c>
      <c r="O16" s="18" t="n">
        <v>12840</v>
      </c>
      <c r="P16" s="9" t="n"/>
      <c r="Q16" s="18" t="n">
        <v>11760</v>
      </c>
      <c r="R16" s="18" t="n">
        <v>11940</v>
      </c>
      <c r="S16" s="18" t="n">
        <v>13350</v>
      </c>
      <c r="T16" s="18" t="n">
        <v>11930</v>
      </c>
      <c r="U16" s="9" t="n"/>
      <c r="V16" s="18" t="n">
        <v>16930</v>
      </c>
      <c r="W16" s="18" t="n">
        <v>26850</v>
      </c>
      <c r="X16" s="18" t="n">
        <v>35850</v>
      </c>
      <c r="Y16" s="18" t="n">
        <v>39300</v>
      </c>
      <c r="Z16" s="9" t="n"/>
      <c r="AA16" s="18" t="n">
        <v>50800</v>
      </c>
      <c r="AB16" s="19" t="n">
        <v>54100</v>
      </c>
      <c r="AC16" s="20" t="n">
        <v>27950</v>
      </c>
      <c r="AD16" s="20" t="n">
        <v>21100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9100</v>
      </c>
      <c r="F17" s="9" t="n"/>
      <c r="G17" s="18" t="n">
        <v>9950</v>
      </c>
      <c r="H17" s="18" t="n">
        <v>10750</v>
      </c>
      <c r="I17" s="18" t="n">
        <v>11450</v>
      </c>
      <c r="J17" s="18" t="n">
        <v>10450</v>
      </c>
      <c r="K17" s="9" t="n"/>
      <c r="L17" s="18" t="n">
        <v>10300</v>
      </c>
      <c r="M17" s="18" t="n">
        <v>10820</v>
      </c>
      <c r="N17" s="18" t="n">
        <v>11540</v>
      </c>
      <c r="O17" s="18" t="n">
        <v>11000</v>
      </c>
      <c r="P17" s="9" t="n"/>
      <c r="Q17" s="18" t="n">
        <v>9870</v>
      </c>
      <c r="R17" s="18" t="n">
        <v>10050</v>
      </c>
      <c r="S17" s="18" t="n">
        <v>10230</v>
      </c>
      <c r="T17" s="18" t="n">
        <v>9400</v>
      </c>
      <c r="U17" s="9" t="n"/>
      <c r="V17" s="18" t="n">
        <v>11600</v>
      </c>
      <c r="W17" s="18" t="n">
        <v>13870</v>
      </c>
      <c r="X17" s="18" t="n">
        <v>22200</v>
      </c>
      <c r="Y17" s="18" t="n">
        <v>25800</v>
      </c>
      <c r="Z17" s="9" t="n"/>
      <c r="AA17" s="18" t="n">
        <v>27450</v>
      </c>
      <c r="AB17" s="19" t="n">
        <v>25050</v>
      </c>
      <c r="AC17" s="20" t="n">
        <v>18530</v>
      </c>
      <c r="AD17" s="20" t="n">
        <v>19150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11223.7</v>
      </c>
      <c r="F18" s="9" t="n"/>
      <c r="G18" s="18" t="n">
        <v>11368.1</v>
      </c>
      <c r="H18" s="18" t="n">
        <v>13100.8</v>
      </c>
      <c r="I18" s="18" t="n">
        <v>13811.9</v>
      </c>
      <c r="J18" s="18" t="n">
        <v>11543.5</v>
      </c>
      <c r="K18" s="9" t="n"/>
      <c r="L18" s="18" t="n">
        <v>11282.3</v>
      </c>
      <c r="M18" s="18" t="n">
        <v>11674.8</v>
      </c>
      <c r="N18" s="18" t="n">
        <v>13436.3</v>
      </c>
      <c r="O18" s="18" t="n">
        <v>11875.5</v>
      </c>
      <c r="P18" s="9" t="n"/>
      <c r="Q18" s="18" t="n">
        <v>10720</v>
      </c>
      <c r="R18" s="18" t="n">
        <v>10857</v>
      </c>
      <c r="S18" s="18" t="n">
        <v>11507.3</v>
      </c>
      <c r="T18" s="18" t="n">
        <v>10811.5</v>
      </c>
      <c r="U18" s="9" t="n"/>
      <c r="V18" s="18" t="n">
        <v>14238.3</v>
      </c>
      <c r="W18" s="18" t="n">
        <v>20896.3</v>
      </c>
      <c r="X18" s="18" t="n">
        <v>29762.3</v>
      </c>
      <c r="Y18" s="18" t="n">
        <v>32022</v>
      </c>
      <c r="Z18" s="9" t="n"/>
      <c r="AA18" s="18" t="n">
        <v>38489</v>
      </c>
      <c r="AB18" s="19" t="n">
        <v>39775.4</v>
      </c>
      <c r="AC18" s="20" t="n">
        <v>22833.4</v>
      </c>
      <c r="AD18" s="20" t="n">
        <v>20212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0.203117846</v>
      </c>
      <c r="AD21" s="24" t="n">
        <v>0.448221426</v>
      </c>
      <c r="AE21" s="25" t="n"/>
      <c r="AF21" s="24" t="n">
        <v>0.306387443</v>
      </c>
      <c r="AG21" s="24" t="n">
        <v>0.322179694</v>
      </c>
      <c r="AH21" s="24" t="n">
        <v>0.203290384</v>
      </c>
      <c r="AI21" s="24" t="n">
        <v>0.147462473</v>
      </c>
      <c r="AJ21" s="25" t="n"/>
      <c r="AK21" s="24" t="n">
        <v>0.131464544</v>
      </c>
      <c r="AL21" s="24" t="n">
        <v>0.140576589</v>
      </c>
      <c r="AM21" s="24" t="n">
        <v>0.178885026</v>
      </c>
      <c r="AN21" s="24" t="n">
        <v>0.165278037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$D$53</f>
        <v/>
      </c>
      <c r="AD22" s="26">
        <f>$D$53</f>
        <v/>
      </c>
      <c r="AE22" s="25">
        <f>IFERROR(subQ!AE8/subQ!AE5,"")</f>
        <v/>
      </c>
      <c r="AF22" s="26">
        <f>$D$53</f>
        <v/>
      </c>
      <c r="AG22" s="26">
        <f>$D$53</f>
        <v/>
      </c>
      <c r="AH22" s="26">
        <f>$D$53</f>
        <v/>
      </c>
      <c r="AI22" s="26">
        <f>$D$53</f>
        <v/>
      </c>
      <c r="AJ22" s="25">
        <f>IFERROR(subQ!AJ8/subQ!AJ5,"")</f>
        <v/>
      </c>
      <c r="AK22" s="26">
        <f>$D$53</f>
        <v/>
      </c>
      <c r="AL22" s="26">
        <f>$D$53</f>
        <v/>
      </c>
      <c r="AM22" s="26">
        <f>$D$53</f>
        <v/>
      </c>
      <c r="AN22" s="26">
        <f>$D$53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0.137674405</v>
      </c>
      <c r="AD23" s="24" t="n">
        <v>0.137672742</v>
      </c>
      <c r="AE23" s="25">
        <f>IFERROR(subQ!AE9/subQ!AE5,"")</f>
        <v/>
      </c>
      <c r="AF23" s="24" t="n">
        <v>0.137672963</v>
      </c>
      <c r="AG23" s="24" t="n">
        <v>0.137674066</v>
      </c>
      <c r="AH23" s="24" t="n">
        <v>0.137674029</v>
      </c>
      <c r="AI23" s="24" t="n">
        <v>0.137674163</v>
      </c>
      <c r="AJ23" s="25">
        <f>IFERROR(subQ!AJ9/subQ!AJ5,"")</f>
        <v/>
      </c>
      <c r="AK23" s="24" t="n">
        <v>0.137674864</v>
      </c>
      <c r="AL23" s="24" t="n">
        <v>0.137674545</v>
      </c>
      <c r="AM23" s="24" t="n">
        <v>0.137673556</v>
      </c>
      <c r="AN23" s="24" t="n">
        <v>0.137674881</v>
      </c>
      <c r="AO23" s="25">
        <f>IFERROR(subQ!AO9/subQ!AO5,"")</f>
        <v/>
      </c>
    </row>
    <row r="24">
      <c r="A24" s="12" t="inlineStr">
        <is>
          <t>drv:외환손익</t>
        </is>
      </c>
      <c r="B24" s="2" t="inlineStr">
        <is>
          <t>abs</t>
        </is>
      </c>
      <c r="C24" t="inlineStr">
        <is>
          <t>외환손익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drv:파생상품손익</t>
        </is>
      </c>
      <c r="B25" s="2" t="inlineStr">
        <is>
          <t>abs</t>
        </is>
      </c>
      <c r="C25" t="inlineStr">
        <is>
          <t>파생상품손익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drv:기타금융손익</t>
        </is>
      </c>
      <c r="B26" s="2" t="inlineStr">
        <is>
          <t>abs</t>
        </is>
      </c>
      <c r="C26" t="inlineStr">
        <is>
          <t>기타금융손익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drv:기타영업외손익</t>
        </is>
      </c>
      <c r="B27" s="2" t="inlineStr">
        <is>
          <t>abs</t>
        </is>
      </c>
      <c r="C27" t="inlineStr">
        <is>
          <t>기타영업외손익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0</v>
      </c>
      <c r="AD27" s="30" t="n">
        <v>0</v>
      </c>
      <c r="AE27" s="31">
        <f>subQ!AE16</f>
        <v/>
      </c>
      <c r="AF27" s="30" t="n">
        <v>0</v>
      </c>
      <c r="AG27" s="30" t="n">
        <v>0</v>
      </c>
      <c r="AH27" s="30" t="n">
        <v>0</v>
      </c>
      <c r="AI27" s="30" t="n">
        <v>0</v>
      </c>
      <c r="AJ27" s="31">
        <f>subQ!AJ16</f>
        <v/>
      </c>
      <c r="AK27" s="30" t="n">
        <v>0</v>
      </c>
      <c r="AL27" s="30" t="n">
        <v>0</v>
      </c>
      <c r="AM27" s="30" t="n">
        <v>0</v>
      </c>
      <c r="AN27" s="30" t="n">
        <v>0</v>
      </c>
      <c r="AO27" s="31">
        <f>subQ!AO16</f>
        <v/>
      </c>
    </row>
    <row r="28">
      <c r="A28" s="12" t="inlineStr">
        <is>
          <t>drv:지분법손익</t>
        </is>
      </c>
      <c r="B28" s="2" t="inlineStr">
        <is>
          <t>abs</t>
        </is>
      </c>
      <c r="C28" t="inlineStr">
        <is>
          <t>지분법손익 (가정, 억원)</t>
        </is>
      </c>
      <c r="E28" s="27">
        <f>subQ!E17</f>
        <v/>
      </c>
      <c r="F28" s="28">
        <f>subQ!F17</f>
        <v/>
      </c>
      <c r="G28" s="27">
        <f>subQ!G17</f>
        <v/>
      </c>
      <c r="H28" s="27">
        <f>subQ!H17</f>
        <v/>
      </c>
      <c r="I28" s="27">
        <f>subQ!I17</f>
        <v/>
      </c>
      <c r="J28" s="27">
        <f>subQ!J17</f>
        <v/>
      </c>
      <c r="K28" s="28">
        <f>subQ!K17</f>
        <v/>
      </c>
      <c r="L28" s="27">
        <f>subQ!L17</f>
        <v/>
      </c>
      <c r="M28" s="27">
        <f>subQ!M17</f>
        <v/>
      </c>
      <c r="N28" s="27">
        <f>subQ!N17</f>
        <v/>
      </c>
      <c r="O28" s="27">
        <f>subQ!O17</f>
        <v/>
      </c>
      <c r="P28" s="28">
        <f>subQ!P17</f>
        <v/>
      </c>
      <c r="Q28" s="27">
        <f>subQ!Q17</f>
        <v/>
      </c>
      <c r="R28" s="27">
        <f>subQ!R17</f>
        <v/>
      </c>
      <c r="S28" s="27">
        <f>subQ!S17</f>
        <v/>
      </c>
      <c r="T28" s="27">
        <f>subQ!T17</f>
        <v/>
      </c>
      <c r="U28" s="28">
        <f>subQ!U17</f>
        <v/>
      </c>
      <c r="V28" s="27">
        <f>subQ!V17</f>
        <v/>
      </c>
      <c r="W28" s="27">
        <f>subQ!W17</f>
        <v/>
      </c>
      <c r="X28" s="27">
        <f>subQ!X17</f>
        <v/>
      </c>
      <c r="Y28" s="27">
        <f>subQ!Y17</f>
        <v/>
      </c>
      <c r="Z28" s="28">
        <f>subQ!Z17</f>
        <v/>
      </c>
      <c r="AA28" s="27">
        <f>subQ!AA17</f>
        <v/>
      </c>
      <c r="AB28" s="29">
        <f>subQ!AB17</f>
        <v/>
      </c>
      <c r="AC28" s="30" t="n">
        <v>0.13</v>
      </c>
      <c r="AD28" s="30" t="n">
        <v>0.13</v>
      </c>
      <c r="AE28" s="31">
        <f>subQ!AE17</f>
        <v/>
      </c>
      <c r="AF28" s="30" t="n">
        <v>0.13</v>
      </c>
      <c r="AG28" s="30" t="n">
        <v>0.13</v>
      </c>
      <c r="AH28" s="30" t="n">
        <v>0.13</v>
      </c>
      <c r="AI28" s="30" t="n">
        <v>0.13</v>
      </c>
      <c r="AJ28" s="31">
        <f>subQ!AJ17</f>
        <v/>
      </c>
      <c r="AK28" s="30" t="n">
        <v>0.13</v>
      </c>
      <c r="AL28" s="30" t="n">
        <v>0.13</v>
      </c>
      <c r="AM28" s="30" t="n">
        <v>0.13</v>
      </c>
      <c r="AN28" s="30" t="n">
        <v>0.13</v>
      </c>
      <c r="AO28" s="31">
        <f>subQ!AO17</f>
        <v/>
      </c>
    </row>
    <row r="29">
      <c r="A29" s="12" t="inlineStr">
        <is>
          <t>drv:법인세비용</t>
        </is>
      </c>
      <c r="B29" s="2" t="inlineStr">
        <is>
          <t>tax</t>
        </is>
      </c>
      <c r="C29" t="inlineStr">
        <is>
          <t>법인세율(/세전) — 법인세 = MAX(세전,0) × 세율</t>
        </is>
      </c>
      <c r="E29" s="21">
        <f>IFERROR(subQ!E19/subQ!E18,"")</f>
        <v/>
      </c>
      <c r="F29" s="22">
        <f>IFERROR(subQ!F19/subQ!F18,"")</f>
        <v/>
      </c>
      <c r="G29" s="21">
        <f>IFERROR(subQ!G19/subQ!G18,"")</f>
        <v/>
      </c>
      <c r="H29" s="21">
        <f>IFERROR(subQ!H19/subQ!H18,"")</f>
        <v/>
      </c>
      <c r="I29" s="21">
        <f>IFERROR(subQ!I19/subQ!I18,"")</f>
        <v/>
      </c>
      <c r="J29" s="21">
        <f>IFERROR(subQ!J19/subQ!J18,"")</f>
        <v/>
      </c>
      <c r="K29" s="22">
        <f>IFERROR(subQ!K19/subQ!K18,"")</f>
        <v/>
      </c>
      <c r="L29" s="21">
        <f>IFERROR(subQ!L19/subQ!L18,"")</f>
        <v/>
      </c>
      <c r="M29" s="21">
        <f>IFERROR(subQ!M19/subQ!M18,"")</f>
        <v/>
      </c>
      <c r="N29" s="21">
        <f>IFERROR(subQ!N19/subQ!N18,"")</f>
        <v/>
      </c>
      <c r="O29" s="21">
        <f>IFERROR(subQ!O19/subQ!O18,"")</f>
        <v/>
      </c>
      <c r="P29" s="22">
        <f>IFERROR(subQ!P19/subQ!P18,"")</f>
        <v/>
      </c>
      <c r="Q29" s="21">
        <f>IFERROR(subQ!Q19/subQ!Q18,"")</f>
        <v/>
      </c>
      <c r="R29" s="21">
        <f>IFERROR(subQ!R19/subQ!R18,"")</f>
        <v/>
      </c>
      <c r="S29" s="21">
        <f>IFERROR(subQ!S19/subQ!S18,"")</f>
        <v/>
      </c>
      <c r="T29" s="21">
        <f>IFERROR(subQ!T19/subQ!T18,"")</f>
        <v/>
      </c>
      <c r="U29" s="22">
        <f>IFERROR(subQ!U19/subQ!U18,"")</f>
        <v/>
      </c>
      <c r="V29" s="21">
        <f>IFERROR(subQ!V19/subQ!V18,"")</f>
        <v/>
      </c>
      <c r="W29" s="21">
        <f>IFERROR(subQ!W19/subQ!W18,"")</f>
        <v/>
      </c>
      <c r="X29" s="21">
        <f>IFERROR(subQ!X19/subQ!X18,"")</f>
        <v/>
      </c>
      <c r="Y29" s="21">
        <f>IFERROR(subQ!Y19/subQ!Y18,"")</f>
        <v/>
      </c>
      <c r="Z29" s="22">
        <f>IFERROR(subQ!Z19/subQ!Z18,"")</f>
        <v/>
      </c>
      <c r="AA29" s="21">
        <f>IFERROR(subQ!AA19/subQ!AA18,"")</f>
        <v/>
      </c>
      <c r="AB29" s="23">
        <f>IFERROR(subQ!AB19/subQ!AB18,"")</f>
        <v/>
      </c>
      <c r="AC29" s="26">
        <f>$D$52</f>
        <v/>
      </c>
      <c r="AD29" s="26">
        <f>$D$52</f>
        <v/>
      </c>
      <c r="AE29" s="25">
        <f>IFERROR(subQ!AE19/subQ!AE18,"")</f>
        <v/>
      </c>
      <c r="AF29" s="26">
        <f>$D$52</f>
        <v/>
      </c>
      <c r="AG29" s="26">
        <f>$D$52</f>
        <v/>
      </c>
      <c r="AH29" s="26">
        <f>$D$52</f>
        <v/>
      </c>
      <c r="AI29" s="26">
        <f>$D$52</f>
        <v/>
      </c>
      <c r="AJ29" s="25">
        <f>IFERROR(subQ!AJ19/subQ!AJ18,"")</f>
        <v/>
      </c>
      <c r="AK29" s="26">
        <f>$D$52</f>
        <v/>
      </c>
      <c r="AL29" s="26">
        <f>$D$52</f>
        <v/>
      </c>
      <c r="AM29" s="26">
        <f>$D$52</f>
        <v/>
      </c>
      <c r="AN29" s="26">
        <f>$D$52</f>
        <v/>
      </c>
      <c r="AO29" s="25">
        <f>IFERROR(subQ!AO19/subQ!AO18,"")</f>
        <v/>
      </c>
    </row>
    <row r="30">
      <c r="A30" s="12" t="inlineStr">
        <is>
          <t>drv:지배주주순이익</t>
        </is>
      </c>
      <c r="B30" s="2" t="inlineStr">
        <is>
          <t>ratio</t>
        </is>
      </c>
      <c r="C30" t="inlineStr">
        <is>
          <t>지배주주 비중(/당기순이익)</t>
        </is>
      </c>
      <c r="E30" s="21">
        <f>IFERROR(subQ!E21/subQ!E20,"")</f>
        <v/>
      </c>
      <c r="F30" s="22">
        <f>IFERROR(subQ!F21/subQ!F20,"")</f>
        <v/>
      </c>
      <c r="G30" s="21">
        <f>IFERROR(subQ!G21/subQ!G20,"")</f>
        <v/>
      </c>
      <c r="H30" s="21">
        <f>IFERROR(subQ!H21/subQ!H20,"")</f>
        <v/>
      </c>
      <c r="I30" s="21">
        <f>IFERROR(subQ!I21/subQ!I20,"")</f>
        <v/>
      </c>
      <c r="J30" s="21">
        <f>IFERROR(subQ!J21/subQ!J20,"")</f>
        <v/>
      </c>
      <c r="K30" s="22">
        <f>IFERROR(subQ!K21/subQ!K20,"")</f>
        <v/>
      </c>
      <c r="L30" s="21">
        <f>IFERROR(subQ!L21/subQ!L20,"")</f>
        <v/>
      </c>
      <c r="M30" s="21">
        <f>IFERROR(subQ!M21/subQ!M20,"")</f>
        <v/>
      </c>
      <c r="N30" s="21">
        <f>IFERROR(subQ!N21/subQ!N20,"")</f>
        <v/>
      </c>
      <c r="O30" s="21">
        <f>IFERROR(subQ!O21/subQ!O20,"")</f>
        <v/>
      </c>
      <c r="P30" s="22">
        <f>IFERROR(subQ!P21/subQ!P20,"")</f>
        <v/>
      </c>
      <c r="Q30" s="21">
        <f>IFERROR(subQ!Q21/subQ!Q20,"")</f>
        <v/>
      </c>
      <c r="R30" s="21">
        <f>IFERROR(subQ!R21/subQ!R20,"")</f>
        <v/>
      </c>
      <c r="S30" s="21">
        <f>IFERROR(subQ!S21/subQ!S20,"")</f>
        <v/>
      </c>
      <c r="T30" s="21">
        <f>IFERROR(subQ!T21/subQ!T20,"")</f>
        <v/>
      </c>
      <c r="U30" s="22">
        <f>IFERROR(subQ!U21/subQ!U20,"")</f>
        <v/>
      </c>
      <c r="V30" s="21">
        <f>IFERROR(subQ!V21/subQ!V20,"")</f>
        <v/>
      </c>
      <c r="W30" s="21">
        <f>IFERROR(subQ!W21/subQ!W20,"")</f>
        <v/>
      </c>
      <c r="X30" s="21">
        <f>IFERROR(subQ!X21/subQ!X20,"")</f>
        <v/>
      </c>
      <c r="Y30" s="21">
        <f>IFERROR(subQ!Y21/subQ!Y20,"")</f>
        <v/>
      </c>
      <c r="Z30" s="22">
        <f>IFERROR(subQ!Z21/subQ!Z20,"")</f>
        <v/>
      </c>
      <c r="AA30" s="21">
        <f>IFERROR(subQ!AA21/subQ!AA20,"")</f>
        <v/>
      </c>
      <c r="AB30" s="23">
        <f>IFERROR(subQ!AB21/subQ!AB20,"")</f>
        <v/>
      </c>
      <c r="AC30" s="26">
        <f>$D$54</f>
        <v/>
      </c>
      <c r="AD30" s="26">
        <f>$D$54</f>
        <v/>
      </c>
      <c r="AE30" s="25">
        <f>IFERROR(subQ!AE21/subQ!AE20,"")</f>
        <v/>
      </c>
      <c r="AF30" s="26">
        <f>$D$54</f>
        <v/>
      </c>
      <c r="AG30" s="26">
        <f>$D$54</f>
        <v/>
      </c>
      <c r="AH30" s="26">
        <f>$D$54</f>
        <v/>
      </c>
      <c r="AI30" s="26">
        <f>$D$54</f>
        <v/>
      </c>
      <c r="AJ30" s="25">
        <f>IFERROR(subQ!AJ21/subQ!AJ20,"")</f>
        <v/>
      </c>
      <c r="AK30" s="26">
        <f>$D$54</f>
        <v/>
      </c>
      <c r="AL30" s="26">
        <f>$D$54</f>
        <v/>
      </c>
      <c r="AM30" s="26">
        <f>$D$54</f>
        <v/>
      </c>
      <c r="AN30" s="26">
        <f>$D$54</f>
        <v/>
      </c>
      <c r="AO30" s="25">
        <f>IFERROR(subQ!AO21/subQ!AO20,"")</f>
        <v/>
      </c>
    </row>
    <row r="31">
      <c r="A31" s="12" t="inlineStr">
        <is>
          <t>drv:중단사업이익</t>
        </is>
      </c>
      <c r="B31" s="2" t="inlineStr">
        <is>
          <t>abs</t>
        </is>
      </c>
      <c r="C31" t="inlineStr">
        <is>
          <t>중단사업이익 (가정, 억원)</t>
        </is>
      </c>
      <c r="E31" s="27">
        <f>subQ!E22</f>
        <v/>
      </c>
      <c r="F31" s="28">
        <f>subQ!F22</f>
        <v/>
      </c>
      <c r="G31" s="27">
        <f>subQ!G22</f>
        <v/>
      </c>
      <c r="H31" s="27">
        <f>subQ!H22</f>
        <v/>
      </c>
      <c r="I31" s="27">
        <f>subQ!I22</f>
        <v/>
      </c>
      <c r="J31" s="27">
        <f>subQ!J22</f>
        <v/>
      </c>
      <c r="K31" s="28">
        <f>subQ!K22</f>
        <v/>
      </c>
      <c r="L31" s="27">
        <f>subQ!L22</f>
        <v/>
      </c>
      <c r="M31" s="27">
        <f>subQ!M22</f>
        <v/>
      </c>
      <c r="N31" s="27">
        <f>subQ!N22</f>
        <v/>
      </c>
      <c r="O31" s="27">
        <f>subQ!O22</f>
        <v/>
      </c>
      <c r="P31" s="28">
        <f>subQ!P22</f>
        <v/>
      </c>
      <c r="Q31" s="27">
        <f>subQ!Q22</f>
        <v/>
      </c>
      <c r="R31" s="27">
        <f>subQ!R22</f>
        <v/>
      </c>
      <c r="S31" s="27">
        <f>subQ!S22</f>
        <v/>
      </c>
      <c r="T31" s="27">
        <f>subQ!T22</f>
        <v/>
      </c>
      <c r="U31" s="28">
        <f>subQ!U22</f>
        <v/>
      </c>
      <c r="V31" s="27">
        <f>subQ!V22</f>
        <v/>
      </c>
      <c r="W31" s="27">
        <f>subQ!W22</f>
        <v/>
      </c>
      <c r="X31" s="27">
        <f>subQ!X22</f>
        <v/>
      </c>
      <c r="Y31" s="27">
        <f>subQ!Y22</f>
        <v/>
      </c>
      <c r="Z31" s="28">
        <f>subQ!Z22</f>
        <v/>
      </c>
      <c r="AA31" s="27">
        <f>subQ!AA22</f>
        <v/>
      </c>
      <c r="AB31" s="29">
        <f>subQ!AB22</f>
        <v/>
      </c>
      <c r="AC31" s="32" t="n"/>
      <c r="AD31" s="32" t="n"/>
      <c r="AE31" s="31">
        <f>subQ!AE22</f>
        <v/>
      </c>
      <c r="AF31" s="32" t="n"/>
      <c r="AG31" s="32" t="n"/>
      <c r="AH31" s="32" t="n"/>
      <c r="AI31" s="32" t="n"/>
      <c r="AJ31" s="31">
        <f>subQ!AJ22</f>
        <v/>
      </c>
      <c r="AK31" s="32" t="n"/>
      <c r="AL31" s="32" t="n"/>
      <c r="AM31" s="32" t="n"/>
      <c r="AN31" s="32" t="n"/>
      <c r="AO31" s="31">
        <f>subQ!AO22</f>
        <v/>
      </c>
    </row>
    <row r="32">
      <c r="A32" s="12" t="inlineStr">
        <is>
          <t>drv:부채총계</t>
        </is>
      </c>
      <c r="B32" s="2" t="inlineStr">
        <is>
          <t>qoq</t>
        </is>
      </c>
      <c r="C32" t="inlineStr">
        <is>
          <t>부채총계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1">
        <f>IFERROR(subQ!W24/subQ!V24-1,"")</f>
        <v/>
      </c>
      <c r="X32" s="21">
        <f>IFERROR(subQ!X24/subQ!W24-1,"")</f>
        <v/>
      </c>
      <c r="Y32" s="21">
        <f>IFERROR(subQ!Y24/subQ!X24-1,"")</f>
        <v/>
      </c>
      <c r="Z32" s="22" t="n"/>
      <c r="AA32" s="21">
        <f>IFERROR(subQ!AA24/subQ!Y24-1,"")</f>
        <v/>
      </c>
      <c r="AB32" s="23">
        <f>IFERROR(subQ!AB24/subQ!AA24-1,"")</f>
        <v/>
      </c>
      <c r="AC32" s="24" t="n">
        <v>-1.29e-07</v>
      </c>
      <c r="AD32" s="24" t="n">
        <v>0</v>
      </c>
      <c r="AE32" s="25" t="n"/>
      <c r="AF32" s="24" t="n">
        <v>0</v>
      </c>
      <c r="AG32" s="24" t="n">
        <v>0</v>
      </c>
      <c r="AH32" s="24" t="n">
        <v>0</v>
      </c>
      <c r="AI32" s="24" t="n">
        <v>0</v>
      </c>
      <c r="AJ32" s="25" t="n"/>
      <c r="AK32" s="24" t="n">
        <v>0</v>
      </c>
      <c r="AL32" s="24" t="n">
        <v>0</v>
      </c>
      <c r="AM32" s="24" t="n">
        <v>0</v>
      </c>
      <c r="AN32" s="24" t="n">
        <v>0</v>
      </c>
      <c r="AO32" s="25" t="n"/>
    </row>
    <row r="33">
      <c r="A33" s="12" t="inlineStr">
        <is>
          <t>drv:자본총계</t>
        </is>
      </c>
      <c r="B33" s="2" t="inlineStr">
        <is>
          <t>roll</t>
        </is>
      </c>
      <c r="C33" t="inlineStr">
        <is>
          <t>자본총계 기타변동(배당 등, 억원)</t>
        </is>
      </c>
      <c r="E33" s="27" t="n"/>
      <c r="F33" s="28" t="n"/>
      <c r="G33" s="27">
        <f>IFERROR(subQ!E25+subQ!G20-subQ!G25,"")</f>
        <v/>
      </c>
      <c r="H33" s="27">
        <f>IFERROR(subQ!G25+subQ!H20-subQ!H25,"")</f>
        <v/>
      </c>
      <c r="I33" s="27">
        <f>IFERROR(subQ!H25+subQ!I20-subQ!I25,"")</f>
        <v/>
      </c>
      <c r="J33" s="27">
        <f>IFERROR(subQ!I25+subQ!J20-subQ!J25,"")</f>
        <v/>
      </c>
      <c r="K33" s="28" t="n"/>
      <c r="L33" s="27">
        <f>IFERROR(subQ!J25+subQ!L20-subQ!L25,"")</f>
        <v/>
      </c>
      <c r="M33" s="27">
        <f>IFERROR(subQ!L25+subQ!M20-subQ!M25,"")</f>
        <v/>
      </c>
      <c r="N33" s="27">
        <f>IFERROR(subQ!M25+subQ!N20-subQ!N25,"")</f>
        <v/>
      </c>
      <c r="O33" s="27">
        <f>IFERROR(subQ!N25+subQ!O20-subQ!O25,"")</f>
        <v/>
      </c>
      <c r="P33" s="28" t="n"/>
      <c r="Q33" s="27">
        <f>IFERROR(subQ!O25+subQ!Q20-subQ!Q25,"")</f>
        <v/>
      </c>
      <c r="R33" s="27">
        <f>IFERROR(subQ!Q25+subQ!R20-subQ!R25,"")</f>
        <v/>
      </c>
      <c r="S33" s="27">
        <f>IFERROR(subQ!R25+subQ!S20-subQ!S25,"")</f>
        <v/>
      </c>
      <c r="T33" s="27">
        <f>IFERROR(subQ!S25+subQ!T20-subQ!T25,"")</f>
        <v/>
      </c>
      <c r="U33" s="28" t="n"/>
      <c r="V33" s="27">
        <f>IFERROR(subQ!T25+subQ!V20-subQ!V25,"")</f>
        <v/>
      </c>
      <c r="W33" s="27">
        <f>IFERROR(subQ!V25+subQ!W20-subQ!W25,"")</f>
        <v/>
      </c>
      <c r="X33" s="27">
        <f>IFERROR(subQ!W25+subQ!X20-subQ!X25,"")</f>
        <v/>
      </c>
      <c r="Y33" s="27">
        <f>IFERROR(subQ!X25+subQ!Y20-subQ!Y25,"")</f>
        <v/>
      </c>
      <c r="Z33" s="28" t="n"/>
      <c r="AA33" s="27">
        <f>IFERROR(subQ!Y25+subQ!AA20-subQ!AA25,"")</f>
        <v/>
      </c>
      <c r="AB33" s="29">
        <f>IFERROR(subQ!AA25+subQ!AB20-subQ!AB25,"")</f>
        <v/>
      </c>
      <c r="AC33" s="30" t="n">
        <v>-0.004330132</v>
      </c>
      <c r="AD33" s="30" t="n">
        <v>0.001043259</v>
      </c>
      <c r="AE33" s="31" t="n"/>
      <c r="AF33" s="30" t="n">
        <v>-0.001711291</v>
      </c>
      <c r="AG33" s="30" t="n">
        <v>165.36150829</v>
      </c>
      <c r="AH33" s="30" t="n">
        <v>0.004605395</v>
      </c>
      <c r="AI33" s="30" t="n">
        <v>-0.006652731</v>
      </c>
      <c r="AJ33" s="31" t="n"/>
      <c r="AK33" s="30" t="n">
        <v>0.002243721</v>
      </c>
      <c r="AL33" s="30" t="n">
        <v>165.364349152</v>
      </c>
      <c r="AM33" s="30" t="n">
        <v>0.007007229</v>
      </c>
      <c r="AN33" s="30" t="n">
        <v>-0.004456199</v>
      </c>
      <c r="AO33" s="31" t="n"/>
    </row>
    <row r="34">
      <c r="A34" s="12" t="inlineStr">
        <is>
          <t>drv:지배주주지분</t>
        </is>
      </c>
      <c r="B34" s="2" t="inlineStr">
        <is>
          <t>roll</t>
        </is>
      </c>
      <c r="C34" t="inlineStr">
        <is>
          <t>지배주주지분 기타변동(배당 등, 억원)</t>
        </is>
      </c>
      <c r="E34" s="27" t="n"/>
      <c r="F34" s="28" t="n"/>
      <c r="G34" s="27">
        <f>IFERROR(subQ!E26+subQ!G21-subQ!G26,"")</f>
        <v/>
      </c>
      <c r="H34" s="27">
        <f>IFERROR(subQ!G26+subQ!H21-subQ!H26,"")</f>
        <v/>
      </c>
      <c r="I34" s="27">
        <f>IFERROR(subQ!H26+subQ!I21-subQ!I26,"")</f>
        <v/>
      </c>
      <c r="J34" s="27">
        <f>IFERROR(subQ!I26+subQ!J21-subQ!J26,"")</f>
        <v/>
      </c>
      <c r="K34" s="28" t="n"/>
      <c r="L34" s="27">
        <f>IFERROR(subQ!J26+subQ!L21-subQ!L26,"")</f>
        <v/>
      </c>
      <c r="M34" s="27">
        <f>IFERROR(subQ!L26+subQ!M21-subQ!M26,"")</f>
        <v/>
      </c>
      <c r="N34" s="27">
        <f>IFERROR(subQ!M26+subQ!N21-subQ!N26,"")</f>
        <v/>
      </c>
      <c r="O34" s="27">
        <f>IFERROR(subQ!N26+subQ!O21-subQ!O26,"")</f>
        <v/>
      </c>
      <c r="P34" s="28" t="n"/>
      <c r="Q34" s="27">
        <f>IFERROR(subQ!O26+subQ!Q21-subQ!Q26,"")</f>
        <v/>
      </c>
      <c r="R34" s="27">
        <f>IFERROR(subQ!Q26+subQ!R21-subQ!R26,"")</f>
        <v/>
      </c>
      <c r="S34" s="27">
        <f>IFERROR(subQ!R26+subQ!S21-subQ!S26,"")</f>
        <v/>
      </c>
      <c r="T34" s="27">
        <f>IFERROR(subQ!S26+subQ!T21-subQ!T26,"")</f>
        <v/>
      </c>
      <c r="U34" s="28" t="n"/>
      <c r="V34" s="27">
        <f>IFERROR(subQ!T26+subQ!V21-subQ!V26,"")</f>
        <v/>
      </c>
      <c r="W34" s="27">
        <f>IFERROR(subQ!V26+subQ!W21-subQ!W26,"")</f>
        <v/>
      </c>
      <c r="X34" s="27">
        <f>IFERROR(subQ!W26+subQ!X21-subQ!X26,"")</f>
        <v/>
      </c>
      <c r="Y34" s="27">
        <f>IFERROR(subQ!X26+subQ!Y21-subQ!Y26,"")</f>
        <v/>
      </c>
      <c r="Z34" s="28" t="n"/>
      <c r="AA34" s="27">
        <f>IFERROR(subQ!Y26+subQ!AA21-subQ!AA26,"")</f>
        <v/>
      </c>
      <c r="AB34" s="29">
        <f>IFERROR(subQ!AA26+subQ!AB21-subQ!AB26,"")</f>
        <v/>
      </c>
      <c r="AC34" s="30" t="n">
        <v>-0.004330132</v>
      </c>
      <c r="AD34" s="30" t="n">
        <v>0.001043259</v>
      </c>
      <c r="AE34" s="31" t="n"/>
      <c r="AF34" s="30" t="n">
        <v>-0.001711291</v>
      </c>
      <c r="AG34" s="30" t="n">
        <v>165.36150829</v>
      </c>
      <c r="AH34" s="30" t="n">
        <v>0.004605395</v>
      </c>
      <c r="AI34" s="30" t="n">
        <v>-0.006652731</v>
      </c>
      <c r="AJ34" s="31" t="n"/>
      <c r="AK34" s="30" t="n">
        <v>0.002243721</v>
      </c>
      <c r="AL34" s="30" t="n">
        <v>165.364349152</v>
      </c>
      <c r="AM34" s="30" t="n">
        <v>0.007007229</v>
      </c>
      <c r="AN34" s="30" t="n">
        <v>-0.004456199</v>
      </c>
      <c r="AO34" s="31" t="n"/>
    </row>
    <row r="35">
      <c r="A35" s="12" t="inlineStr">
        <is>
          <t>drv:총차입금</t>
        </is>
      </c>
      <c r="B35" s="2" t="inlineStr">
        <is>
          <t>qoq</t>
        </is>
      </c>
      <c r="C35" t="inlineStr">
        <is>
          <t>총차입금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1">
        <f>IFERROR(subQ!W27/subQ!V27-1,"")</f>
        <v/>
      </c>
      <c r="X35" s="21">
        <f>IFERROR(subQ!X27/subQ!W27-1,"")</f>
        <v/>
      </c>
      <c r="Y35" s="21">
        <f>IFERROR(subQ!Y27/subQ!X27-1,"")</f>
        <v/>
      </c>
      <c r="Z35" s="22" t="n"/>
      <c r="AA35" s="21">
        <f>IFERROR(subQ!AA27/subQ!Y27-1,"")</f>
        <v/>
      </c>
      <c r="AB35" s="23">
        <f>IFERROR(subQ!AB27/subQ!AA27-1,"")</f>
        <v/>
      </c>
      <c r="AC35" s="24" t="n">
        <v>7.1e-08</v>
      </c>
      <c r="AD35" s="24" t="n">
        <v>0</v>
      </c>
      <c r="AE35" s="25" t="n"/>
      <c r="AF35" s="24" t="n">
        <v>0</v>
      </c>
      <c r="AG35" s="24" t="n">
        <v>0</v>
      </c>
      <c r="AH35" s="24" t="n">
        <v>0</v>
      </c>
      <c r="AI35" s="24" t="n">
        <v>0</v>
      </c>
      <c r="AJ35" s="25" t="n"/>
      <c r="AK35" s="24" t="n">
        <v>0</v>
      </c>
      <c r="AL35" s="24" t="n">
        <v>0</v>
      </c>
      <c r="AM35" s="24" t="n">
        <v>0</v>
      </c>
      <c r="AN35" s="24" t="n">
        <v>0</v>
      </c>
      <c r="AO35" s="25" t="n"/>
    </row>
    <row r="36">
      <c r="A36" s="12" t="inlineStr">
        <is>
          <t>drv:순차입금</t>
        </is>
      </c>
      <c r="B36" s="2" t="inlineStr">
        <is>
          <t>qoq</t>
        </is>
      </c>
      <c r="C36" t="inlineStr">
        <is>
          <t>순차입금 QoQ</t>
        </is>
      </c>
      <c r="E36" s="21" t="n"/>
      <c r="F36" s="22" t="n"/>
      <c r="G36" s="21">
        <f>IFERROR(subQ!G28/subQ!E28-1,"")</f>
        <v/>
      </c>
      <c r="H36" s="21">
        <f>IFERROR(subQ!H28/subQ!G28-1,"")</f>
        <v/>
      </c>
      <c r="I36" s="21">
        <f>IFERROR(subQ!I28/subQ!H28-1,"")</f>
        <v/>
      </c>
      <c r="J36" s="21">
        <f>IFERROR(subQ!J28/subQ!I28-1,"")</f>
        <v/>
      </c>
      <c r="K36" s="22" t="n"/>
      <c r="L36" s="21">
        <f>IFERROR(subQ!L28/subQ!J28-1,"")</f>
        <v/>
      </c>
      <c r="M36" s="21">
        <f>IFERROR(subQ!M28/subQ!L28-1,"")</f>
        <v/>
      </c>
      <c r="N36" s="21">
        <f>IFERROR(subQ!N28/subQ!M28-1,"")</f>
        <v/>
      </c>
      <c r="O36" s="21">
        <f>IFERROR(subQ!O28/subQ!N28-1,"")</f>
        <v/>
      </c>
      <c r="P36" s="22" t="n"/>
      <c r="Q36" s="21">
        <f>IFERROR(subQ!Q28/subQ!O28-1,"")</f>
        <v/>
      </c>
      <c r="R36" s="21">
        <f>IFERROR(subQ!R28/subQ!Q28-1,"")</f>
        <v/>
      </c>
      <c r="S36" s="21">
        <f>IFERROR(subQ!S28/subQ!R28-1,"")</f>
        <v/>
      </c>
      <c r="T36" s="21">
        <f>IFERROR(subQ!T28/subQ!S28-1,"")</f>
        <v/>
      </c>
      <c r="U36" s="22" t="n"/>
      <c r="V36" s="21">
        <f>IFERROR(subQ!V28/subQ!T28-1,"")</f>
        <v/>
      </c>
      <c r="W36" s="21">
        <f>IFERROR(subQ!W28/subQ!V28-1,"")</f>
        <v/>
      </c>
      <c r="X36" s="21">
        <f>IFERROR(subQ!X28/subQ!W28-1,"")</f>
        <v/>
      </c>
      <c r="Y36" s="21">
        <f>IFERROR(subQ!Y28/subQ!X28-1,"")</f>
        <v/>
      </c>
      <c r="Z36" s="22" t="n"/>
      <c r="AA36" s="21">
        <f>IFERROR(subQ!AA28/subQ!Y28-1,"")</f>
        <v/>
      </c>
      <c r="AB36" s="23">
        <f>IFERROR(subQ!AB28/subQ!AA28-1,"")</f>
        <v/>
      </c>
      <c r="AC36" s="24" t="n">
        <v>-17.576423772</v>
      </c>
      <c r="AD36" s="24" t="n">
        <v>1.350019677</v>
      </c>
      <c r="AE36" s="25" t="n"/>
      <c r="AF36" s="24" t="n">
        <v>0.473641022</v>
      </c>
      <c r="AG36" s="24" t="n">
        <v>0.188017773</v>
      </c>
      <c r="AH36" s="24" t="n">
        <v>0.31539477</v>
      </c>
      <c r="AI36" s="24" t="n">
        <v>0.289992292</v>
      </c>
      <c r="AJ36" s="25" t="n"/>
      <c r="AK36" s="24" t="n">
        <v>0.183272075</v>
      </c>
      <c r="AL36" s="24" t="n">
        <v>0.103438255</v>
      </c>
      <c r="AM36" s="24" t="n">
        <v>0.170153056</v>
      </c>
      <c r="AN36" s="24" t="n">
        <v>0.173445254</v>
      </c>
      <c r="AO36" s="25" t="n"/>
    </row>
    <row r="37">
      <c r="A37" s="12" t="inlineStr">
        <is>
          <t>drv:이자발생자산</t>
        </is>
      </c>
      <c r="B37" s="2" t="inlineStr">
        <is>
          <t>qoq</t>
        </is>
      </c>
      <c r="C37" t="inlineStr">
        <is>
          <t>이자발생자산 QoQ</t>
        </is>
      </c>
      <c r="E37" s="21" t="n"/>
      <c r="F37" s="22" t="n"/>
      <c r="G37" s="21">
        <f>IFERROR(subQ!G29/subQ!E29-1,"")</f>
        <v/>
      </c>
      <c r="H37" s="21">
        <f>IFERROR(subQ!H29/subQ!G29-1,"")</f>
        <v/>
      </c>
      <c r="I37" s="21">
        <f>IFERROR(subQ!I29/subQ!H29-1,"")</f>
        <v/>
      </c>
      <c r="J37" s="21">
        <f>IFERROR(subQ!J29/subQ!I29-1,"")</f>
        <v/>
      </c>
      <c r="K37" s="22" t="n"/>
      <c r="L37" s="21">
        <f>IFERROR(subQ!L29/subQ!J29-1,"")</f>
        <v/>
      </c>
      <c r="M37" s="21">
        <f>IFERROR(subQ!M29/subQ!L29-1,"")</f>
        <v/>
      </c>
      <c r="N37" s="21">
        <f>IFERROR(subQ!N29/subQ!M29-1,"")</f>
        <v/>
      </c>
      <c r="O37" s="21">
        <f>IFERROR(subQ!O29/subQ!N29-1,"")</f>
        <v/>
      </c>
      <c r="P37" s="22" t="n"/>
      <c r="Q37" s="21">
        <f>IFERROR(subQ!Q29/subQ!O29-1,"")</f>
        <v/>
      </c>
      <c r="R37" s="21">
        <f>IFERROR(subQ!R29/subQ!Q29-1,"")</f>
        <v/>
      </c>
      <c r="S37" s="21">
        <f>IFERROR(subQ!S29/subQ!R29-1,"")</f>
        <v/>
      </c>
      <c r="T37" s="21">
        <f>IFERROR(subQ!T29/subQ!S29-1,"")</f>
        <v/>
      </c>
      <c r="U37" s="22" t="n"/>
      <c r="V37" s="21">
        <f>IFERROR(subQ!V29/subQ!T29-1,"")</f>
        <v/>
      </c>
      <c r="W37" s="21">
        <f>IFERROR(subQ!W29/subQ!V29-1,"")</f>
        <v/>
      </c>
      <c r="X37" s="21">
        <f>IFERROR(subQ!X29/subQ!W29-1,"")</f>
        <v/>
      </c>
      <c r="Y37" s="21">
        <f>IFERROR(subQ!Y29/subQ!X29-1,"")</f>
        <v/>
      </c>
      <c r="Z37" s="22" t="n"/>
      <c r="AA37" s="21">
        <f>IFERROR(subQ!AA29/subQ!Y29-1,"")</f>
        <v/>
      </c>
      <c r="AB37" s="23">
        <f>IFERROR(subQ!AB29/subQ!AA29-1,"")</f>
        <v/>
      </c>
      <c r="AC37" s="24" t="n">
        <v>0.164249189</v>
      </c>
      <c r="AD37" s="24" t="n">
        <v>0.179622784</v>
      </c>
      <c r="AE37" s="25" t="n"/>
      <c r="AF37" s="24" t="n">
        <v>0.125544873</v>
      </c>
      <c r="AG37" s="24" t="n">
        <v>0.065253485</v>
      </c>
      <c r="AH37" s="24" t="n">
        <v>0.122064633</v>
      </c>
      <c r="AI37" s="24" t="n">
        <v>0.131574953</v>
      </c>
      <c r="AJ37" s="25" t="n"/>
      <c r="AK37" s="24" t="n">
        <v>0.09479531099999999</v>
      </c>
      <c r="AL37" s="24" t="n">
        <v>0.057826037</v>
      </c>
      <c r="AM37" s="24" t="n">
        <v>0.099223783</v>
      </c>
      <c r="AN37" s="24" t="n">
        <v>0.107670073</v>
      </c>
      <c r="AO37" s="25" t="n"/>
    </row>
    <row r="38">
      <c r="A38" s="12" t="inlineStr">
        <is>
          <t>drv:현금및현금성자산</t>
        </is>
      </c>
      <c r="B38" s="2" t="inlineStr">
        <is>
          <t>qoq</t>
        </is>
      </c>
      <c r="C38" t="inlineStr">
        <is>
          <t>현금및현금성자산 QoQ</t>
        </is>
      </c>
      <c r="E38" s="21" t="n"/>
      <c r="F38" s="22" t="n"/>
      <c r="G38" s="21">
        <f>IFERROR(subQ!G30/subQ!E30-1,"")</f>
        <v/>
      </c>
      <c r="H38" s="21">
        <f>IFERROR(subQ!H30/subQ!G30-1,"")</f>
        <v/>
      </c>
      <c r="I38" s="21">
        <f>IFERROR(subQ!I30/subQ!H30-1,"")</f>
        <v/>
      </c>
      <c r="J38" s="21">
        <f>IFERROR(subQ!J30/subQ!I30-1,"")</f>
        <v/>
      </c>
      <c r="K38" s="22" t="n"/>
      <c r="L38" s="21">
        <f>IFERROR(subQ!L30/subQ!J30-1,"")</f>
        <v/>
      </c>
      <c r="M38" s="21">
        <f>IFERROR(subQ!M30/subQ!L30-1,"")</f>
        <v/>
      </c>
      <c r="N38" s="21">
        <f>IFERROR(subQ!N30/subQ!M30-1,"")</f>
        <v/>
      </c>
      <c r="O38" s="21">
        <f>IFERROR(subQ!O30/subQ!N30-1,"")</f>
        <v/>
      </c>
      <c r="P38" s="22" t="n"/>
      <c r="Q38" s="21">
        <f>IFERROR(subQ!Q30/subQ!O30-1,"")</f>
        <v/>
      </c>
      <c r="R38" s="21">
        <f>IFERROR(subQ!R30/subQ!Q30-1,"")</f>
        <v/>
      </c>
      <c r="S38" s="21">
        <f>IFERROR(subQ!S30/subQ!R30-1,"")</f>
        <v/>
      </c>
      <c r="T38" s="21">
        <f>IFERROR(subQ!T30/subQ!S30-1,"")</f>
        <v/>
      </c>
      <c r="U38" s="22" t="n"/>
      <c r="V38" s="21">
        <f>IFERROR(subQ!V30/subQ!T30-1,"")</f>
        <v/>
      </c>
      <c r="W38" s="21">
        <f>IFERROR(subQ!W30/subQ!V30-1,"")</f>
        <v/>
      </c>
      <c r="X38" s="21">
        <f>IFERROR(subQ!X30/subQ!W30-1,"")</f>
        <v/>
      </c>
      <c r="Y38" s="21">
        <f>IFERROR(subQ!Y30/subQ!X30-1,"")</f>
        <v/>
      </c>
      <c r="Z38" s="22" t="n"/>
      <c r="AA38" s="21">
        <f>IFERROR(subQ!AA30/subQ!Y30-1,"")</f>
        <v/>
      </c>
      <c r="AB38" s="23">
        <f>IFERROR(subQ!AB30/subQ!AA30-1,"")</f>
        <v/>
      </c>
      <c r="AC38" s="33" t="n"/>
      <c r="AD38" s="33" t="n"/>
      <c r="AE38" s="25" t="n"/>
      <c r="AF38" s="33" t="n"/>
      <c r="AG38" s="33" t="n"/>
      <c r="AH38" s="33" t="n"/>
      <c r="AI38" s="33" t="n"/>
      <c r="AJ38" s="25" t="n"/>
      <c r="AK38" s="33" t="n"/>
      <c r="AL38" s="33" t="n"/>
      <c r="AM38" s="33" t="n"/>
      <c r="AN38" s="33" t="n"/>
      <c r="AO38" s="25" t="n"/>
    </row>
    <row r="39">
      <c r="A39" s="12" t="inlineStr">
        <is>
          <t>drv:CAPEX</t>
        </is>
      </c>
      <c r="B39" s="2" t="inlineStr">
        <is>
          <t>yoy</t>
        </is>
      </c>
      <c r="C39" t="inlineStr">
        <is>
          <t>CAPEX YoY</t>
        </is>
      </c>
      <c r="E39" s="21" t="n"/>
      <c r="F39" s="22" t="n"/>
      <c r="G39" s="21" t="n"/>
      <c r="H39" s="21" t="n"/>
      <c r="I39" s="21" t="n"/>
      <c r="J39" s="21">
        <f>IFERROR(subQ!J31/subQ!E31-1,"")</f>
        <v/>
      </c>
      <c r="K39" s="22" t="n"/>
      <c r="L39" s="21">
        <f>IFERROR(subQ!L31/subQ!G31-1,"")</f>
        <v/>
      </c>
      <c r="M39" s="21">
        <f>IFERROR(subQ!M31/subQ!H31-1,"")</f>
        <v/>
      </c>
      <c r="N39" s="21">
        <f>IFERROR(subQ!N31/subQ!I31-1,"")</f>
        <v/>
      </c>
      <c r="O39" s="21">
        <f>IFERROR(subQ!O31/subQ!J31-1,"")</f>
        <v/>
      </c>
      <c r="P39" s="22" t="n"/>
      <c r="Q39" s="21">
        <f>IFERROR(subQ!Q31/subQ!L31-1,"")</f>
        <v/>
      </c>
      <c r="R39" s="21">
        <f>IFERROR(subQ!R31/subQ!M31-1,"")</f>
        <v/>
      </c>
      <c r="S39" s="21">
        <f>IFERROR(subQ!S31/subQ!N31-1,"")</f>
        <v/>
      </c>
      <c r="T39" s="21">
        <f>IFERROR(subQ!T31/subQ!O31-1,"")</f>
        <v/>
      </c>
      <c r="U39" s="22" t="n"/>
      <c r="V39" s="21">
        <f>IFERROR(subQ!V31/subQ!Q31-1,"")</f>
        <v/>
      </c>
      <c r="W39" s="21">
        <f>IFERROR(subQ!W31/subQ!R31-1,"")</f>
        <v/>
      </c>
      <c r="X39" s="21">
        <f>IFERROR(subQ!X31/subQ!S31-1,"")</f>
        <v/>
      </c>
      <c r="Y39" s="21">
        <f>IFERROR(subQ!Y31/subQ!T31-1,"")</f>
        <v/>
      </c>
      <c r="Z39" s="22" t="n"/>
      <c r="AA39" s="21">
        <f>IFERROR(subQ!AA31/subQ!V31-1,"")</f>
        <v/>
      </c>
      <c r="AB39" s="23">
        <f>IFERROR(subQ!AB31/subQ!W31-1,"")</f>
        <v/>
      </c>
      <c r="AC39" s="24" t="n">
        <v>0.670840787</v>
      </c>
      <c r="AD39" s="24" t="n">
        <v>0</v>
      </c>
      <c r="AE39" s="25" t="n"/>
      <c r="AF39" s="24" t="n">
        <v>92.58717434899999</v>
      </c>
      <c r="AG39" s="24" t="n">
        <v>-0.28594364</v>
      </c>
      <c r="AH39" s="24" t="n">
        <v>0</v>
      </c>
      <c r="AI39" s="24" t="n">
        <v>0</v>
      </c>
      <c r="AJ39" s="25" t="n"/>
      <c r="AK39" s="24" t="n">
        <v>0</v>
      </c>
      <c r="AL39" s="24" t="n">
        <v>0</v>
      </c>
      <c r="AM39" s="24" t="n">
        <v>0</v>
      </c>
      <c r="AN39" s="24" t="n">
        <v>0</v>
      </c>
      <c r="AO39" s="25" t="n"/>
    </row>
    <row r="40">
      <c r="A40" s="12" t="inlineStr">
        <is>
          <t>drv:영업활동현금흐름</t>
        </is>
      </c>
      <c r="B40" s="2" t="inlineStr">
        <is>
          <t>yoy</t>
        </is>
      </c>
      <c r="C40" t="inlineStr">
        <is>
          <t>영업활동현금흐름 YoY</t>
        </is>
      </c>
      <c r="E40" s="21" t="n"/>
      <c r="F40" s="22" t="n"/>
      <c r="G40" s="21" t="n"/>
      <c r="H40" s="21" t="n"/>
      <c r="I40" s="21" t="n"/>
      <c r="J40" s="21">
        <f>IFERROR(subQ!J32/subQ!E32-1,"")</f>
        <v/>
      </c>
      <c r="K40" s="22" t="n"/>
      <c r="L40" s="21">
        <f>IFERROR(subQ!L32/subQ!G32-1,"")</f>
        <v/>
      </c>
      <c r="M40" s="21">
        <f>IFERROR(subQ!M32/subQ!H32-1,"")</f>
        <v/>
      </c>
      <c r="N40" s="21">
        <f>IFERROR(subQ!N32/subQ!I32-1,"")</f>
        <v/>
      </c>
      <c r="O40" s="21">
        <f>IFERROR(subQ!O32/subQ!J32-1,"")</f>
        <v/>
      </c>
      <c r="P40" s="22" t="n"/>
      <c r="Q40" s="21">
        <f>IFERROR(subQ!Q32/subQ!L32-1,"")</f>
        <v/>
      </c>
      <c r="R40" s="21">
        <f>IFERROR(subQ!R32/subQ!M32-1,"")</f>
        <v/>
      </c>
      <c r="S40" s="21">
        <f>IFERROR(subQ!S32/subQ!N32-1,"")</f>
        <v/>
      </c>
      <c r="T40" s="21">
        <f>IFERROR(subQ!T32/subQ!O32-1,"")</f>
        <v/>
      </c>
      <c r="U40" s="22" t="n"/>
      <c r="V40" s="21">
        <f>IFERROR(subQ!V32/subQ!Q32-1,"")</f>
        <v/>
      </c>
      <c r="W40" s="21">
        <f>IFERROR(subQ!W32/subQ!R32-1,"")</f>
        <v/>
      </c>
      <c r="X40" s="21">
        <f>IFERROR(subQ!X32/subQ!S32-1,"")</f>
        <v/>
      </c>
      <c r="Y40" s="21">
        <f>IFERROR(subQ!Y32/subQ!T32-1,"")</f>
        <v/>
      </c>
      <c r="Z40" s="22" t="n"/>
      <c r="AA40" s="21">
        <f>IFERROR(subQ!AA32/subQ!V32-1,"")</f>
        <v/>
      </c>
      <c r="AB40" s="23">
        <f>IFERROR(subQ!AB32/subQ!W32-1,"")</f>
        <v/>
      </c>
      <c r="AC40" s="33" t="n"/>
      <c r="AD40" s="33" t="n"/>
      <c r="AE40" s="25" t="n"/>
      <c r="AF40" s="33" t="n"/>
      <c r="AG40" s="33" t="n"/>
      <c r="AH40" s="33" t="n"/>
      <c r="AI40" s="33" t="n"/>
      <c r="AJ40" s="25" t="n"/>
      <c r="AK40" s="33" t="n"/>
      <c r="AL40" s="33" t="n"/>
      <c r="AM40" s="33" t="n"/>
      <c r="AN40" s="33" t="n"/>
      <c r="AO40" s="25" t="n"/>
    </row>
    <row r="41">
      <c r="A41" s="12" t="inlineStr">
        <is>
          <t>drv:주식수</t>
        </is>
      </c>
      <c r="B41" s="2" t="inlineStr">
        <is>
          <t>qoq</t>
        </is>
      </c>
      <c r="C41" t="inlineStr">
        <is>
          <t>주식수 QoQ</t>
        </is>
      </c>
      <c r="E41" s="21" t="n"/>
      <c r="F41" s="22" t="n"/>
      <c r="G41" s="21">
        <f>IFERROR(subQ!G33/subQ!E33-1,"")</f>
        <v/>
      </c>
      <c r="H41" s="21">
        <f>IFERROR(subQ!H33/subQ!G33-1,"")</f>
        <v/>
      </c>
      <c r="I41" s="21">
        <f>IFERROR(subQ!I33/subQ!H33-1,"")</f>
        <v/>
      </c>
      <c r="J41" s="21">
        <f>IFERROR(subQ!J33/subQ!I33-1,"")</f>
        <v/>
      </c>
      <c r="K41" s="22" t="n"/>
      <c r="L41" s="21">
        <f>IFERROR(subQ!L33/subQ!J33-1,"")</f>
        <v/>
      </c>
      <c r="M41" s="21">
        <f>IFERROR(subQ!M33/subQ!L33-1,"")</f>
        <v/>
      </c>
      <c r="N41" s="21">
        <f>IFERROR(subQ!N33/subQ!M33-1,"")</f>
        <v/>
      </c>
      <c r="O41" s="21">
        <f>IFERROR(subQ!O33/subQ!N33-1,"")</f>
        <v/>
      </c>
      <c r="P41" s="22" t="n"/>
      <c r="Q41" s="21">
        <f>IFERROR(subQ!Q33/subQ!O33-1,"")</f>
        <v/>
      </c>
      <c r="R41" s="21">
        <f>IFERROR(subQ!R33/subQ!Q33-1,"")</f>
        <v/>
      </c>
      <c r="S41" s="21">
        <f>IFERROR(subQ!S33/subQ!R33-1,"")</f>
        <v/>
      </c>
      <c r="T41" s="21">
        <f>IFERROR(subQ!T33/subQ!S33-1,"")</f>
        <v/>
      </c>
      <c r="U41" s="22" t="n"/>
      <c r="V41" s="21">
        <f>IFERROR(subQ!V33/subQ!T33-1,"")</f>
        <v/>
      </c>
      <c r="W41" s="21">
        <f>IFERROR(subQ!W33/subQ!V33-1,"")</f>
        <v/>
      </c>
      <c r="X41" s="21">
        <f>IFERROR(subQ!X33/subQ!W33-1,"")</f>
        <v/>
      </c>
      <c r="Y41" s="21">
        <f>IFERROR(subQ!Y33/subQ!X33-1,"")</f>
        <v/>
      </c>
      <c r="Z41" s="22" t="n"/>
      <c r="AA41" s="21">
        <f>IFERROR(subQ!AA33/subQ!Y33-1,"")</f>
        <v/>
      </c>
      <c r="AB41" s="23">
        <f>IFERROR(subQ!AB33/subQ!AA33-1,"")</f>
        <v/>
      </c>
      <c r="AC41" s="24" t="n">
        <v>0</v>
      </c>
      <c r="AD41" s="24" t="n">
        <v>0</v>
      </c>
      <c r="AE41" s="25" t="n"/>
      <c r="AF41" s="24" t="n">
        <v>0</v>
      </c>
      <c r="AG41" s="24" t="n">
        <v>0</v>
      </c>
      <c r="AH41" s="24" t="n">
        <v>0</v>
      </c>
      <c r="AI41" s="24" t="n">
        <v>0</v>
      </c>
      <c r="AJ41" s="25" t="n"/>
      <c r="AK41" s="24" t="n">
        <v>0</v>
      </c>
      <c r="AL41" s="24" t="n">
        <v>0</v>
      </c>
      <c r="AM41" s="24" t="n">
        <v>0</v>
      </c>
      <c r="AN41" s="24" t="n">
        <v>0</v>
      </c>
      <c r="AO41" s="25" t="n"/>
    </row>
    <row r="42">
      <c r="A42" s="12" t="inlineStr">
        <is>
          <t>drv:DPS</t>
        </is>
      </c>
      <c r="B42" s="2" t="inlineStr">
        <is>
          <t>abs</t>
        </is>
      </c>
      <c r="C42" t="inlineStr">
        <is>
          <t>DPS (가정, 원)</t>
        </is>
      </c>
      <c r="E42" s="27">
        <f>subQ!E36</f>
        <v/>
      </c>
      <c r="F42" s="28">
        <f>subQ!F36</f>
        <v/>
      </c>
      <c r="G42" s="27">
        <f>subQ!G36</f>
        <v/>
      </c>
      <c r="H42" s="27">
        <f>subQ!H36</f>
        <v/>
      </c>
      <c r="I42" s="27">
        <f>subQ!I36</f>
        <v/>
      </c>
      <c r="J42" s="27">
        <f>subQ!J36</f>
        <v/>
      </c>
      <c r="K42" s="28">
        <f>subQ!K36</f>
        <v/>
      </c>
      <c r="L42" s="27">
        <f>subQ!L36</f>
        <v/>
      </c>
      <c r="M42" s="27">
        <f>subQ!M36</f>
        <v/>
      </c>
      <c r="N42" s="27">
        <f>subQ!N36</f>
        <v/>
      </c>
      <c r="O42" s="27">
        <f>subQ!O36</f>
        <v/>
      </c>
      <c r="P42" s="28">
        <f>subQ!P36</f>
        <v/>
      </c>
      <c r="Q42" s="27">
        <f>subQ!Q36</f>
        <v/>
      </c>
      <c r="R42" s="27">
        <f>subQ!R36</f>
        <v/>
      </c>
      <c r="S42" s="27">
        <f>subQ!S36</f>
        <v/>
      </c>
      <c r="T42" s="27">
        <f>subQ!T36</f>
        <v/>
      </c>
      <c r="U42" s="28">
        <f>subQ!U36</f>
        <v/>
      </c>
      <c r="V42" s="27">
        <f>subQ!V36</f>
        <v/>
      </c>
      <c r="W42" s="27">
        <f>subQ!W36</f>
        <v/>
      </c>
      <c r="X42" s="27">
        <f>subQ!X36</f>
        <v/>
      </c>
      <c r="Y42" s="27">
        <f>subQ!Y36</f>
        <v/>
      </c>
      <c r="Z42" s="28">
        <f>subQ!Z36</f>
        <v/>
      </c>
      <c r="AA42" s="27">
        <f>subQ!AA36</f>
        <v/>
      </c>
      <c r="AB42" s="29">
        <f>subQ!AB36</f>
        <v/>
      </c>
      <c r="AC42" s="32" t="n"/>
      <c r="AD42" s="30" t="n">
        <v>320</v>
      </c>
      <c r="AE42" s="31">
        <f>subQ!AE36</f>
        <v/>
      </c>
      <c r="AF42" s="32" t="n"/>
      <c r="AG42" s="32" t="n"/>
      <c r="AH42" s="32" t="n"/>
      <c r="AI42" s="30" t="n">
        <v>320</v>
      </c>
      <c r="AJ42" s="31">
        <f>subQ!AJ36</f>
        <v/>
      </c>
      <c r="AK42" s="32" t="n"/>
      <c r="AL42" s="32" t="n"/>
      <c r="AM42" s="32" t="n"/>
      <c r="AN42" s="30" t="n">
        <v>320</v>
      </c>
      <c r="AO42" s="31">
        <f>subQ!AO36</f>
        <v/>
      </c>
    </row>
    <row r="43"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B44" s="1" t="inlineStr">
        <is>
          <t>3. 밸류에이션·스칼라</t>
        </is>
      </c>
      <c r="C44" s="2" t="inlineStr">
        <is>
          <t>노란 셀 = 가정. '연결' 표시는 추정 전 분기 수식이 이 셀을 참조한다는 뜻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sc:종가</t>
        </is>
      </c>
      <c r="C45" t="inlineStr">
        <is>
          <t>종가</t>
        </is>
      </c>
      <c r="D45" s="34" t="n">
        <v>19260</v>
      </c>
      <c r="E45" s="2" t="inlineStr">
        <is>
          <t>원 — 네이버 정규장 종가(aik 확정종가 대조 · aik 20,250원)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sc:기준일</t>
        </is>
      </c>
      <c r="C46" t="inlineStr">
        <is>
          <t>기준일</t>
        </is>
      </c>
      <c r="D46" s="35" t="inlineStr">
        <is>
          <t>20261008</t>
        </is>
      </c>
      <c r="E46" s="2" t="inlineStr">
        <is>
          <t>종가 기준일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sc:COE</t>
        </is>
      </c>
      <c r="C47" t="inlineStr">
        <is>
          <t>COE</t>
        </is>
      </c>
      <c r="D47" s="24" t="n">
        <v>0.09</v>
      </c>
      <c r="E47" s="2" t="inlineStr">
        <is>
          <t>자기자본비용(가정) — TP 적정 PBR = ROE/COE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sc:PER_lo</t>
        </is>
      </c>
      <c r="C48" t="inlineStr">
        <is>
          <t>PER_lo</t>
        </is>
      </c>
      <c r="D48" s="30" t="n">
        <v>19.7</v>
      </c>
      <c r="E48" s="2" t="inlineStr">
        <is>
          <t>PER 밴드 하단(배) — hist_quarterly(분기 평균가 ÷ TTM EPS, 13분기, 25/50/75 백분위) · 캡 5~30배 적용(원값 19.7/24.5/38.1)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sc:PER_mid</t>
        </is>
      </c>
      <c r="C49" t="inlineStr">
        <is>
          <t>PER_mid</t>
        </is>
      </c>
      <c r="D49" s="30" t="n">
        <v>24.5</v>
      </c>
      <c r="E49" s="2" t="inlineStr">
        <is>
          <t>PER 밴드 중단(배)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sc:PER_hi</t>
        </is>
      </c>
      <c r="C50" t="inlineStr">
        <is>
          <t>PER_hi</t>
        </is>
      </c>
      <c r="D50" s="30" t="n">
        <v>30</v>
      </c>
      <c r="E50" s="2" t="inlineStr">
        <is>
          <t>PER 밴드 상단(배)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sc:EPS_Y1가중</t>
        </is>
      </c>
      <c r="C51" t="inlineStr">
        <is>
          <t>EPS_Y1가중</t>
        </is>
      </c>
      <c r="D51" s="24" t="n">
        <v>0.5</v>
      </c>
      <c r="E51" s="2" t="inlineStr">
        <is>
          <t>12M fwd EPS = FY(last_actual연도)E × w + FY+1E × (1−w) — 기준 분기 2Q 이면 0.5(가정)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sc:세율</t>
        </is>
      </c>
      <c r="C52" t="inlineStr">
        <is>
          <t>세율</t>
        </is>
      </c>
      <c r="D52" s="36" t="n">
        <v>0.2435583374804798</v>
      </c>
      <c r="E52" s="2" t="inlineStr">
        <is>
          <t>연결 — 법인세 = MAX(세전,0) × 세율(역산, 재현 오차 ≤ 0.05억 · 모델 assumptions 0.2436) · 최근 12분기 유효세율 28.5% 가 5~27% 밖 → 클립 대신 최근 8분기 중 세전 &gt; 0 인 7분기(2024Q3~2026Q2)의 법인세/세전 중위 24.4%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sc:판관비율</t>
        </is>
      </c>
      <c r="C53" t="inlineStr">
        <is>
          <t>판관비율</t>
        </is>
      </c>
      <c r="D53" s="36" t="n">
        <v>0.09507481543416162</v>
      </c>
      <c r="E53" s="2" t="inlineStr">
        <is>
          <t>연결 — 판관비 = 매출액 × 판관비율(역산, 재현 오차 ≤ 0.05억 · 모델 assumptions 0.0951)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sc:지배주주비중</t>
        </is>
      </c>
      <c r="C54" t="inlineStr">
        <is>
          <t>지배주주비중</t>
        </is>
      </c>
      <c r="D54" s="36" t="n">
        <v>1</v>
      </c>
      <c r="E54" s="2" t="inlineStr">
        <is>
          <t>연결 — 지배주주순이익 = 당기순이익 × 비중(역산, 재현 오차 ≤ 0.05억)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sc:이자율_자산</t>
        </is>
      </c>
      <c r="C55" t="inlineStr">
        <is>
          <t>이자율_자산</t>
        </is>
      </c>
      <c r="D55" s="36" t="n">
        <v>0.01974371293044709</v>
      </c>
      <c r="E55" s="2" t="inlineStr">
        <is>
          <t>연결 — 이자손익 = (전분기 이자발생자산 × 자산이자율 − 전분기 총차입금 × 부채이자율)/4(역산, 재현 오차 ≤ 0.05억 · 모델 assumptions 0.0197)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sc:이자율_부채</t>
        </is>
      </c>
      <c r="C56" t="inlineStr">
        <is>
          <t>이자율_부채</t>
        </is>
      </c>
      <c r="D56" s="36" t="n">
        <v>0.05186666404455141</v>
      </c>
      <c r="E56" s="2" t="inlineStr">
        <is>
          <t>연결 — 같은 수식의 부채 쪽(총차입금 행이 없으면 0)(역산, 재현 오차 ≤ 0.05억 · 모델 assumptions 0.0519)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sc:배당성향</t>
        </is>
      </c>
      <c r="C57" t="inlineStr">
        <is>
          <t>배당성향</t>
        </is>
      </c>
      <c r="D57" s="24" t="n">
        <v>0.1625</v>
      </c>
      <c r="E57" s="2" t="inlineStr">
        <is>
          <t>배당성향(참고 — 모델은 직전 DPS 유지·Q2 지급 가정)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sc:외화순노출_백만$</t>
        </is>
      </c>
      <c r="C58" t="inlineStr">
        <is>
          <t>외화순노출_백만$</t>
        </is>
      </c>
      <c r="D58" s="30" t="n"/>
      <c r="E58" s="2" t="inlineStr">
        <is>
          <t>외화 순노출 × Δ기말환율 (외화 시트 방식) — 외화 순노출 미공시(face) → 0 + 표기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sc:헤지비율</t>
        </is>
      </c>
      <c r="C59" t="inlineStr">
        <is>
          <t>헤지비율</t>
        </is>
      </c>
      <c r="D59" s="24" t="n"/>
      <c r="E59" s="2" t="inlineStr">
        <is>
          <t>sls 없음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s="12" t="inlineStr">
        <is>
          <t>sc:헤지환율_약정</t>
        </is>
      </c>
      <c r="C60" t="inlineStr">
        <is>
          <t>헤지환율_약정</t>
        </is>
      </c>
      <c r="D60" s="16" t="n"/>
      <c r="E60" s="2" t="inlineStr">
        <is>
          <t>sls 없음</t>
        </is>
      </c>
      <c r="F60" s="9" t="n"/>
      <c r="K60" s="9" t="n"/>
      <c r="P60" s="9" t="n"/>
      <c r="U60" s="9" t="n"/>
      <c r="Z60" s="9" t="n"/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한국카본(연)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247791.87</v>
      </c>
      <c r="F5" s="37" t="n">
        <v>247791.87</v>
      </c>
      <c r="G5" s="18" t="n">
        <v>255393.39</v>
      </c>
      <c r="H5" s="18" t="n">
        <v>230238.29</v>
      </c>
      <c r="I5" s="18" t="n">
        <v>264928.44</v>
      </c>
      <c r="J5" s="18" t="n">
        <v>289163.54</v>
      </c>
      <c r="K5" s="37" t="n">
        <v>289163.54</v>
      </c>
      <c r="L5" s="18" t="n">
        <v>315524.09</v>
      </c>
      <c r="M5" s="18" t="n">
        <v>355804.32</v>
      </c>
      <c r="N5" s="18" t="n">
        <v>400684.73</v>
      </c>
      <c r="O5" s="18" t="n">
        <v>398231.47</v>
      </c>
      <c r="P5" s="37" t="n">
        <v>398231.47</v>
      </c>
      <c r="Q5" s="18" t="n">
        <v>381207.48</v>
      </c>
      <c r="R5" s="18" t="n">
        <v>403917.09</v>
      </c>
      <c r="S5" s="18" t="n">
        <v>430381.52</v>
      </c>
      <c r="T5" s="18" t="n">
        <v>460860.28</v>
      </c>
      <c r="U5" s="37" t="n">
        <v>460860.28</v>
      </c>
      <c r="V5" s="18" t="n">
        <v>500085.88</v>
      </c>
      <c r="W5" s="18" t="n">
        <v>502890.88</v>
      </c>
      <c r="X5" s="18" t="n">
        <v>514786.25</v>
      </c>
      <c r="Y5" s="18" t="n">
        <v>607406.72</v>
      </c>
      <c r="Z5" s="37" t="n">
        <v>607406.72</v>
      </c>
      <c r="AA5" s="18" t="n">
        <v>639843.9399999999</v>
      </c>
      <c r="AB5" s="19" t="n">
        <v>681631.77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49048.03</v>
      </c>
      <c r="F6" s="37" t="n">
        <v>49048.03</v>
      </c>
      <c r="G6" s="18" t="n">
        <v>55331.27</v>
      </c>
      <c r="H6" s="18" t="n">
        <v>13926.27</v>
      </c>
      <c r="I6" s="18" t="n">
        <v>33955.6</v>
      </c>
      <c r="J6" s="18" t="n">
        <v>53576.76</v>
      </c>
      <c r="K6" s="37" t="n">
        <v>53576.76</v>
      </c>
      <c r="L6" s="18" t="n">
        <v>26157.63</v>
      </c>
      <c r="M6" s="18" t="n">
        <v>20147.7</v>
      </c>
      <c r="N6" s="18" t="n">
        <v>46967.12</v>
      </c>
      <c r="O6" s="18" t="n">
        <v>66697.91</v>
      </c>
      <c r="P6" s="37" t="n">
        <v>66697.91</v>
      </c>
      <c r="Q6" s="18" t="n">
        <v>37198.61</v>
      </c>
      <c r="R6" s="18" t="n">
        <v>81861.13</v>
      </c>
      <c r="S6" s="18" t="n">
        <v>79766.91</v>
      </c>
      <c r="T6" s="18" t="n">
        <v>57565.06</v>
      </c>
      <c r="U6" s="37" t="n">
        <v>57565.06</v>
      </c>
      <c r="V6" s="18" t="n">
        <v>111782.73</v>
      </c>
      <c r="W6" s="18" t="n">
        <v>93232.67</v>
      </c>
      <c r="X6" s="18" t="n">
        <v>102472.41</v>
      </c>
      <c r="Y6" s="18" t="n">
        <v>57866.93</v>
      </c>
      <c r="Z6" s="37" t="n">
        <v>57866.93</v>
      </c>
      <c r="AA6" s="18" t="n">
        <v>81410.23</v>
      </c>
      <c r="AB6" s="19" t="n">
        <v>110991.2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15572.82</v>
      </c>
      <c r="F7" s="37" t="n">
        <v>15572.82</v>
      </c>
      <c r="G7" s="18" t="n">
        <v>15064.68</v>
      </c>
      <c r="H7" s="18" t="n">
        <v>13889.3</v>
      </c>
      <c r="I7" s="18" t="n">
        <v>13035.65</v>
      </c>
      <c r="J7" s="18" t="n">
        <v>13165.04</v>
      </c>
      <c r="K7" s="37" t="n">
        <v>13165.04</v>
      </c>
      <c r="L7" s="18" t="n">
        <v>12386.95</v>
      </c>
      <c r="M7" s="18" t="n">
        <v>10759.94</v>
      </c>
      <c r="N7" s="18" t="n">
        <v>17128.44</v>
      </c>
      <c r="O7" s="18" t="n">
        <v>13022.45</v>
      </c>
      <c r="P7" s="37" t="n">
        <v>13022.45</v>
      </c>
      <c r="Q7" s="18" t="n">
        <v>17707.35</v>
      </c>
      <c r="R7" s="18" t="n">
        <v>8729.77</v>
      </c>
      <c r="S7" s="18" t="n">
        <v>9567.129999999999</v>
      </c>
      <c r="T7" s="18" t="n">
        <v>8598.209999999999</v>
      </c>
      <c r="U7" s="37" t="n">
        <v>8598.209999999999</v>
      </c>
      <c r="V7" s="18" t="n">
        <v>8340.84</v>
      </c>
      <c r="W7" s="18" t="n">
        <v>8240.639999999999</v>
      </c>
      <c r="X7" s="18" t="n">
        <v>8149.11</v>
      </c>
      <c r="Y7" s="18" t="n">
        <v>27093.22</v>
      </c>
      <c r="Z7" s="37" t="n">
        <v>27093.22</v>
      </c>
      <c r="AA7" s="18" t="n">
        <v>27408.82</v>
      </c>
      <c r="AB7" s="19" t="n">
        <v>27562.68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26206.73</v>
      </c>
      <c r="F8" s="37" t="n">
        <v>26206.73</v>
      </c>
      <c r="G8" s="18" t="n">
        <v>22838.73</v>
      </c>
      <c r="H8" s="18" t="n">
        <v>16474.68</v>
      </c>
      <c r="I8" s="18" t="n">
        <v>13035.65</v>
      </c>
      <c r="J8" s="18" t="n">
        <v>13169.65</v>
      </c>
      <c r="K8" s="37" t="n">
        <v>13169.65</v>
      </c>
      <c r="L8" s="18" t="n">
        <v>14399.7</v>
      </c>
      <c r="M8" s="18" t="n">
        <v>10759.94</v>
      </c>
      <c r="N8" s="18" t="n">
        <v>17128.44</v>
      </c>
      <c r="O8" s="18" t="n">
        <v>13022.45</v>
      </c>
      <c r="P8" s="37" t="n">
        <v>13022.45</v>
      </c>
      <c r="Q8" s="18" t="n">
        <v>17707.35</v>
      </c>
      <c r="R8" s="18" t="n">
        <v>8729.77</v>
      </c>
      <c r="S8" s="18" t="n">
        <v>9567.129999999999</v>
      </c>
      <c r="T8" s="18" t="n">
        <v>8598.209999999999</v>
      </c>
      <c r="U8" s="37" t="n">
        <v>8598.209999999999</v>
      </c>
      <c r="V8" s="18" t="n">
        <v>8340.84</v>
      </c>
      <c r="W8" s="18" t="n">
        <v>16435.73</v>
      </c>
      <c r="X8" s="18" t="n">
        <v>19642.88</v>
      </c>
      <c r="Y8" s="18" t="n">
        <v>36967.87</v>
      </c>
      <c r="Z8" s="37" t="n">
        <v>36967.87</v>
      </c>
      <c r="AA8" s="18" t="n">
        <v>29491.88</v>
      </c>
      <c r="AB8" s="19" t="n">
        <v>28812.89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34456.94</v>
      </c>
      <c r="F9" s="37" t="n">
        <v>34456.94</v>
      </c>
      <c r="G9" s="18" t="n">
        <v>36331.24</v>
      </c>
      <c r="H9" s="18" t="n">
        <v>43570.72</v>
      </c>
      <c r="I9" s="18" t="n">
        <v>53976.75</v>
      </c>
      <c r="J9" s="18" t="n">
        <v>39272.3</v>
      </c>
      <c r="K9" s="37" t="n">
        <v>39272.3</v>
      </c>
      <c r="L9" s="18" t="n">
        <v>58037.62</v>
      </c>
      <c r="M9" s="18" t="n">
        <v>74541.64</v>
      </c>
      <c r="N9" s="18" t="n">
        <v>83221.64999999999</v>
      </c>
      <c r="O9" s="18" t="n">
        <v>101111.57</v>
      </c>
      <c r="P9" s="37" t="n">
        <v>101111.57</v>
      </c>
      <c r="Q9" s="18" t="n">
        <v>110410.89</v>
      </c>
      <c r="R9" s="18" t="n">
        <v>85661.03</v>
      </c>
      <c r="S9" s="18" t="n">
        <v>75401.14999999999</v>
      </c>
      <c r="U9" s="9" t="n"/>
      <c r="Z9" s="9" t="n"/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90813.55</v>
      </c>
      <c r="F10" s="37" t="n">
        <v>90813.55</v>
      </c>
      <c r="G10" s="18" t="n">
        <v>102484.78</v>
      </c>
      <c r="H10" s="18" t="n">
        <v>134818.99</v>
      </c>
      <c r="I10" s="18" t="n">
        <v>139265.44</v>
      </c>
      <c r="J10" s="18" t="n">
        <v>156268.22</v>
      </c>
      <c r="K10" s="37" t="n">
        <v>156268.22</v>
      </c>
      <c r="L10" s="18" t="n">
        <v>186248.38</v>
      </c>
      <c r="M10" s="18" t="n">
        <v>193333.2</v>
      </c>
      <c r="N10" s="18" t="n">
        <v>220871.23</v>
      </c>
      <c r="O10" s="18" t="n">
        <v>180213.74</v>
      </c>
      <c r="P10" s="37" t="n">
        <v>180213.74</v>
      </c>
      <c r="Q10" s="18" t="n">
        <v>183181.59</v>
      </c>
      <c r="R10" s="18" t="n">
        <v>183391.46</v>
      </c>
      <c r="S10" s="18" t="n">
        <v>195244.82</v>
      </c>
      <c r="T10" s="18" t="n">
        <v>197476.02</v>
      </c>
      <c r="U10" s="37" t="n">
        <v>197476.02</v>
      </c>
      <c r="V10" s="18" t="n">
        <v>190637.47</v>
      </c>
      <c r="W10" s="18" t="n">
        <v>187215.75</v>
      </c>
      <c r="X10" s="18" t="n">
        <v>190217.71</v>
      </c>
      <c r="Y10" s="18" t="n">
        <v>197614.58</v>
      </c>
      <c r="Z10" s="37" t="n">
        <v>197614.58</v>
      </c>
      <c r="AA10" s="18" t="n">
        <v>204378.89</v>
      </c>
      <c r="AB10" s="19" t="n">
        <v>211457.85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당기법인세자산(선급법인세)</t>
        </is>
      </c>
      <c r="E11" s="18" t="n">
        <v>1.5</v>
      </c>
      <c r="F11" s="37" t="n">
        <v>1.5</v>
      </c>
      <c r="G11" s="18" t="n">
        <v>2.02</v>
      </c>
      <c r="H11" s="18" t="n">
        <v>0.87</v>
      </c>
      <c r="I11" s="18" t="n">
        <v>1.03</v>
      </c>
      <c r="J11" s="18" t="n">
        <v>1.49</v>
      </c>
      <c r="K11" s="37" t="n">
        <v>1.49</v>
      </c>
      <c r="L11" s="18" t="n">
        <v>1.65</v>
      </c>
      <c r="M11" s="18" t="n">
        <v>0.73</v>
      </c>
      <c r="N11" s="18" t="n">
        <v>1.37</v>
      </c>
      <c r="O11" s="18" t="n">
        <v>2.91</v>
      </c>
      <c r="P11" s="37" t="n">
        <v>2.91</v>
      </c>
      <c r="Q11" s="18" t="n">
        <v>3.35</v>
      </c>
      <c r="R11" s="18" t="n">
        <v>3.5</v>
      </c>
      <c r="S11" s="18" t="n">
        <v>4.6</v>
      </c>
      <c r="T11" s="18" t="n">
        <v>6</v>
      </c>
      <c r="U11" s="37" t="n">
        <v>6</v>
      </c>
      <c r="V11" s="18" t="n">
        <v>7.29</v>
      </c>
      <c r="W11" s="18" t="n">
        <v>2.32</v>
      </c>
      <c r="X11" s="18" t="n">
        <v>4.79</v>
      </c>
      <c r="Y11" s="18" t="n">
        <v>15.32</v>
      </c>
      <c r="Z11" s="37" t="n">
        <v>15.32</v>
      </c>
      <c r="AA11" s="18" t="n">
        <v>15.02</v>
      </c>
      <c r="AB11" s="19" t="n">
        <v>2.17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기타유동자산</t>
        </is>
      </c>
      <c r="E12" s="18" t="n">
        <v>4638.21</v>
      </c>
      <c r="F12" s="37" t="n">
        <v>4638.21</v>
      </c>
      <c r="G12" s="18" t="n">
        <v>3281.96</v>
      </c>
      <c r="H12" s="18" t="n">
        <v>5579.23</v>
      </c>
      <c r="I12" s="18" t="n">
        <v>6464.49</v>
      </c>
      <c r="J12" s="18" t="n">
        <v>7442.53</v>
      </c>
      <c r="K12" s="37" t="n">
        <v>7442.53</v>
      </c>
      <c r="L12" s="18" t="n">
        <v>8361.440000000001</v>
      </c>
      <c r="M12" s="18" t="n">
        <v>12632.03</v>
      </c>
      <c r="N12" s="18" t="n">
        <v>16787.66</v>
      </c>
      <c r="O12" s="18" t="n">
        <v>12638.85</v>
      </c>
      <c r="P12" s="37" t="n">
        <v>12638.85</v>
      </c>
      <c r="Q12" s="18" t="n">
        <v>15366.64</v>
      </c>
      <c r="R12" s="18" t="n">
        <v>18008.01</v>
      </c>
      <c r="S12" s="18" t="n">
        <v>15415.61</v>
      </c>
      <c r="T12" s="18" t="n">
        <v>15033.64</v>
      </c>
      <c r="U12" s="37" t="n">
        <v>15033.64</v>
      </c>
      <c r="V12" s="18" t="n">
        <v>18208.04</v>
      </c>
      <c r="W12" s="18" t="n">
        <v>21927.4</v>
      </c>
      <c r="X12" s="18" t="n">
        <v>22418.53</v>
      </c>
      <c r="Y12" s="18" t="n">
        <v>18096.17</v>
      </c>
      <c r="Z12" s="37" t="n">
        <v>18096.17</v>
      </c>
      <c r="AA12" s="18" t="n">
        <v>32566.7</v>
      </c>
      <c r="AB12" s="19" t="n">
        <v>29001.05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매각예정비유동자산및처분자산</t>
        </is>
      </c>
      <c r="E13" s="18" t="n">
        <v>17.52</v>
      </c>
      <c r="F13" s="37" t="n">
        <v>17.52</v>
      </c>
      <c r="G13" s="18" t="n">
        <v>17.64</v>
      </c>
      <c r="H13" s="18" t="n">
        <v>18.1</v>
      </c>
      <c r="I13" s="18" t="n">
        <v>18.93</v>
      </c>
      <c r="J13" s="18" t="n">
        <v>17.98</v>
      </c>
      <c r="K13" s="37" t="n">
        <v>17.98</v>
      </c>
      <c r="L13" s="18" t="n">
        <v>7.08</v>
      </c>
      <c r="M13" s="18" t="n">
        <v>7.14</v>
      </c>
      <c r="N13" s="18" t="n">
        <v>7.33</v>
      </c>
      <c r="O13" s="18" t="n">
        <v>4.47</v>
      </c>
      <c r="P13" s="37" t="n">
        <v>4.47</v>
      </c>
      <c r="Q13" s="18" t="n">
        <v>4.66</v>
      </c>
      <c r="R13" s="18" t="n">
        <v>4.81</v>
      </c>
      <c r="S13" s="18" t="n">
        <v>4.59</v>
      </c>
      <c r="U13" s="9" t="n"/>
      <c r="Z13" s="9" t="n"/>
      <c r="AB13" s="5" t="n"/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비유동자산</t>
        </is>
      </c>
      <c r="E14" s="18" t="n">
        <v>250546.52</v>
      </c>
      <c r="F14" s="37" t="n">
        <v>250546.52</v>
      </c>
      <c r="G14" s="18" t="n">
        <v>249980.14</v>
      </c>
      <c r="H14" s="18" t="n">
        <v>288907.99</v>
      </c>
      <c r="I14" s="18" t="n">
        <v>292458.61</v>
      </c>
      <c r="J14" s="18" t="n">
        <v>296152.11</v>
      </c>
      <c r="K14" s="37" t="n">
        <v>296152.11</v>
      </c>
      <c r="L14" s="18" t="n">
        <v>296653.95</v>
      </c>
      <c r="M14" s="18" t="n">
        <v>299876.49</v>
      </c>
      <c r="N14" s="18" t="n">
        <v>394313.91</v>
      </c>
      <c r="O14" s="18" t="n">
        <v>394192.2</v>
      </c>
      <c r="P14" s="37" t="n">
        <v>394192.2</v>
      </c>
      <c r="Q14" s="18" t="n">
        <v>407449.62</v>
      </c>
      <c r="R14" s="18" t="n">
        <v>417050.3</v>
      </c>
      <c r="S14" s="18" t="n">
        <v>405736</v>
      </c>
      <c r="T14" s="18" t="n">
        <v>418106.15</v>
      </c>
      <c r="U14" s="37" t="n">
        <v>418106.15</v>
      </c>
      <c r="V14" s="18" t="n">
        <v>421740.83</v>
      </c>
      <c r="W14" s="18" t="n">
        <v>428551.6</v>
      </c>
      <c r="X14" s="18" t="n">
        <v>433794.09</v>
      </c>
      <c r="Y14" s="18" t="n">
        <v>435813.92</v>
      </c>
      <c r="Z14" s="37" t="n">
        <v>435813.92</v>
      </c>
      <c r="AA14" s="18" t="n">
        <v>450490.95</v>
      </c>
      <c r="AB14" s="19" t="n">
        <v>455571.8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8603.48</v>
      </c>
      <c r="F15" s="37" t="n">
        <v>8603.48</v>
      </c>
      <c r="G15" s="18" t="n">
        <v>8619.139999999999</v>
      </c>
      <c r="H15" s="18" t="n">
        <v>8633.299999999999</v>
      </c>
      <c r="I15" s="18" t="n">
        <v>6786.97</v>
      </c>
      <c r="J15" s="18" t="n">
        <v>7011.4</v>
      </c>
      <c r="K15" s="37" t="n">
        <v>7011.4</v>
      </c>
      <c r="L15" s="18" t="n">
        <v>4999.55</v>
      </c>
      <c r="M15" s="18" t="n">
        <v>4555.42</v>
      </c>
      <c r="N15" s="18" t="n">
        <v>484</v>
      </c>
      <c r="O15" s="18" t="n">
        <v>352</v>
      </c>
      <c r="P15" s="37" t="n">
        <v>352</v>
      </c>
      <c r="Q15" s="18" t="n">
        <v>352</v>
      </c>
      <c r="R15" s="18" t="n">
        <v>352</v>
      </c>
      <c r="S15" s="18" t="n">
        <v>352</v>
      </c>
      <c r="T15" s="18" t="n">
        <v>28160.62</v>
      </c>
      <c r="U15" s="37" t="n">
        <v>28160.62</v>
      </c>
      <c r="V15" s="18" t="n">
        <v>25462.51</v>
      </c>
      <c r="W15" s="18" t="n">
        <v>27550.69</v>
      </c>
      <c r="X15" s="18" t="n">
        <v>25693.83</v>
      </c>
      <c r="Y15" s="18" t="n">
        <v>24350.66</v>
      </c>
      <c r="Z15" s="37" t="n">
        <v>24350.66</v>
      </c>
      <c r="AA15" s="18" t="n">
        <v>25244.97</v>
      </c>
      <c r="AB15" s="19" t="n">
        <v>24231.24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8603.48</v>
      </c>
      <c r="F16" s="37" t="n">
        <v>8603.48</v>
      </c>
      <c r="G16" s="18" t="n">
        <v>8619.139999999999</v>
      </c>
      <c r="H16" s="18" t="n">
        <v>8633.299999999999</v>
      </c>
      <c r="I16" s="18" t="n">
        <v>6786.97</v>
      </c>
      <c r="J16" s="18" t="n">
        <v>7011.4</v>
      </c>
      <c r="K16" s="37" t="n">
        <v>7011.4</v>
      </c>
      <c r="L16" s="18" t="n">
        <v>4999.55</v>
      </c>
      <c r="M16" s="18" t="n">
        <v>4555.42</v>
      </c>
      <c r="N16" s="18" t="n">
        <v>484</v>
      </c>
      <c r="O16" s="18" t="n">
        <v>352</v>
      </c>
      <c r="P16" s="37" t="n">
        <v>352</v>
      </c>
      <c r="Q16" s="18" t="n">
        <v>352</v>
      </c>
      <c r="R16" s="18" t="n">
        <v>2459.17</v>
      </c>
      <c r="S16" s="18" t="n">
        <v>2201.34</v>
      </c>
      <c r="T16" s="18" t="n">
        <v>30034.34</v>
      </c>
      <c r="U16" s="37" t="n">
        <v>30034.34</v>
      </c>
      <c r="V16" s="18" t="n">
        <v>27223.22</v>
      </c>
      <c r="W16" s="18" t="n">
        <v>29120.98</v>
      </c>
      <c r="X16" s="18" t="n">
        <v>27105.07</v>
      </c>
      <c r="Y16" s="18" t="n">
        <v>26378.47</v>
      </c>
      <c r="Z16" s="37" t="n">
        <v>26378.47</v>
      </c>
      <c r="AA16" s="18" t="n">
        <v>27284.42</v>
      </c>
      <c r="AB16" s="19" t="n">
        <v>24448.87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유형자산</t>
        </is>
      </c>
      <c r="E17" s="18" t="n">
        <v>184644.78</v>
      </c>
      <c r="F17" s="37" t="n">
        <v>184644.78</v>
      </c>
      <c r="G17" s="18" t="n">
        <v>188799.2</v>
      </c>
      <c r="H17" s="18" t="n">
        <v>203871.73</v>
      </c>
      <c r="I17" s="18" t="n">
        <v>210828.11</v>
      </c>
      <c r="J17" s="18" t="n">
        <v>212463.84</v>
      </c>
      <c r="K17" s="37" t="n">
        <v>212463.84</v>
      </c>
      <c r="L17" s="18" t="n">
        <v>216939.52</v>
      </c>
      <c r="M17" s="18" t="n">
        <v>220144.48</v>
      </c>
      <c r="N17" s="18" t="n">
        <v>272351.99</v>
      </c>
      <c r="O17" s="18" t="n">
        <v>271300.75</v>
      </c>
      <c r="P17" s="37" t="n">
        <v>271300.75</v>
      </c>
      <c r="Q17" s="18" t="n">
        <v>282316.44</v>
      </c>
      <c r="R17" s="18" t="n">
        <v>293636.26</v>
      </c>
      <c r="S17" s="18" t="n">
        <v>304656.7</v>
      </c>
      <c r="T17" s="18" t="n">
        <v>312075.75</v>
      </c>
      <c r="U17" s="37" t="n">
        <v>312075.75</v>
      </c>
      <c r="V17" s="18" t="n">
        <v>319612.24</v>
      </c>
      <c r="W17" s="18" t="n">
        <v>330343.11</v>
      </c>
      <c r="X17" s="18" t="n">
        <v>333503.58</v>
      </c>
      <c r="Y17" s="18" t="n">
        <v>335053.95</v>
      </c>
      <c r="Z17" s="37" t="n">
        <v>335053.95</v>
      </c>
      <c r="AA17" s="18" t="n">
        <v>344413.76</v>
      </c>
      <c r="AB17" s="19" t="n">
        <v>352503.89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사용권자산</t>
        </is>
      </c>
      <c r="E18" s="18" t="n">
        <v>4645.89</v>
      </c>
      <c r="F18" s="37" t="n">
        <v>4645.89</v>
      </c>
      <c r="G18" s="18" t="n">
        <v>5065.46</v>
      </c>
      <c r="H18" s="18" t="n">
        <v>5000.07</v>
      </c>
      <c r="I18" s="18" t="n">
        <v>5450.99</v>
      </c>
      <c r="J18" s="18" t="n">
        <v>5837.24</v>
      </c>
      <c r="K18" s="37" t="n">
        <v>5837.24</v>
      </c>
      <c r="L18" s="18" t="n">
        <v>5723.6</v>
      </c>
      <c r="M18" s="18" t="n">
        <v>5853.86</v>
      </c>
      <c r="N18" s="18" t="n">
        <v>5875.01</v>
      </c>
      <c r="O18" s="18" t="n">
        <v>6090.91</v>
      </c>
      <c r="P18" s="37" t="n">
        <v>6090.91</v>
      </c>
      <c r="Q18" s="18" t="n">
        <v>9756.110000000001</v>
      </c>
      <c r="R18" s="18" t="n">
        <v>15708.52</v>
      </c>
      <c r="S18" s="18" t="n">
        <v>8986.02</v>
      </c>
      <c r="T18" s="18" t="n">
        <v>9518.709999999999</v>
      </c>
      <c r="U18" s="37" t="n">
        <v>9518.709999999999</v>
      </c>
      <c r="V18" s="18" t="n">
        <v>9170.110000000001</v>
      </c>
      <c r="W18" s="18" t="n">
        <v>8680.700000000001</v>
      </c>
      <c r="X18" s="18" t="n">
        <v>12931.26</v>
      </c>
      <c r="Y18" s="18" t="n">
        <v>9752.51</v>
      </c>
      <c r="Z18" s="37" t="n">
        <v>9752.51</v>
      </c>
      <c r="AA18" s="18" t="n">
        <v>10981.77</v>
      </c>
      <c r="AB18" s="19" t="n">
        <v>11831.01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기타비유동자산</t>
        </is>
      </c>
      <c r="E19" s="18" t="n">
        <v>5525.31</v>
      </c>
      <c r="F19" s="37" t="n">
        <v>5525.31</v>
      </c>
      <c r="G19" s="18" t="n">
        <v>5927.03</v>
      </c>
      <c r="H19" s="18" t="n">
        <v>5860.87</v>
      </c>
      <c r="I19" s="18" t="n">
        <v>6378.43</v>
      </c>
      <c r="J19" s="18" t="n">
        <v>9312.02</v>
      </c>
      <c r="K19" s="37" t="n">
        <v>9312.02</v>
      </c>
      <c r="L19" s="18" t="n">
        <v>9305.07</v>
      </c>
      <c r="M19" s="18" t="n">
        <v>9392.120000000001</v>
      </c>
      <c r="N19" s="18" t="n">
        <v>9509.02</v>
      </c>
      <c r="O19" s="18" t="n">
        <v>8941.309999999999</v>
      </c>
      <c r="P19" s="37" t="n">
        <v>8941.309999999999</v>
      </c>
      <c r="Q19" s="18" t="n">
        <v>11742.4</v>
      </c>
      <c r="R19" s="18" t="n">
        <v>18659.96</v>
      </c>
      <c r="S19" s="18" t="n">
        <v>11660.56</v>
      </c>
      <c r="T19" s="18" t="n">
        <v>10447.46</v>
      </c>
      <c r="U19" s="37" t="n">
        <v>10447.46</v>
      </c>
      <c r="V19" s="18" t="n">
        <v>10078.95</v>
      </c>
      <c r="W19" s="18" t="n">
        <v>9602.07</v>
      </c>
      <c r="X19" s="18" t="n">
        <v>13910.28</v>
      </c>
      <c r="Y19" s="18" t="n">
        <v>10834.44</v>
      </c>
      <c r="Z19" s="37" t="n">
        <v>10834.44</v>
      </c>
      <c r="AA19" s="18" t="n">
        <v>11388.72</v>
      </c>
      <c r="AB19" s="19" t="n">
        <v>12331.47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무형자산</t>
        </is>
      </c>
      <c r="E20" s="18" t="n">
        <v>2288.39</v>
      </c>
      <c r="F20" s="37" t="n">
        <v>2288.39</v>
      </c>
      <c r="G20" s="18" t="n">
        <v>2267.03</v>
      </c>
      <c r="H20" s="18" t="n">
        <v>2296.01</v>
      </c>
      <c r="I20" s="18" t="n">
        <v>2268.27</v>
      </c>
      <c r="J20" s="18" t="n">
        <v>2254.49</v>
      </c>
      <c r="K20" s="37" t="n">
        <v>2254.49</v>
      </c>
      <c r="L20" s="18" t="n">
        <v>2227.83</v>
      </c>
      <c r="M20" s="18" t="n">
        <v>2203.03</v>
      </c>
      <c r="N20" s="18" t="n">
        <v>37272.64</v>
      </c>
      <c r="O20" s="18" t="n">
        <v>39710.47</v>
      </c>
      <c r="P20" s="37" t="n">
        <v>39710.47</v>
      </c>
      <c r="Q20" s="18" t="n">
        <v>39007.07</v>
      </c>
      <c r="R20" s="18" t="n">
        <v>38318.23</v>
      </c>
      <c r="S20" s="18" t="n">
        <v>38121.11</v>
      </c>
      <c r="T20" s="18" t="n">
        <v>42412.51</v>
      </c>
      <c r="U20" s="37" t="n">
        <v>42412.51</v>
      </c>
      <c r="V20" s="18" t="n">
        <v>41821.46</v>
      </c>
      <c r="W20" s="18" t="n">
        <v>40877.61</v>
      </c>
      <c r="X20" s="18" t="n">
        <v>40040.88</v>
      </c>
      <c r="Y20" s="18" t="n">
        <v>39341.74</v>
      </c>
      <c r="Z20" s="37" t="n">
        <v>39341.74</v>
      </c>
      <c r="AA20" s="18" t="n">
        <v>39145.24</v>
      </c>
      <c r="AB20" s="19" t="n">
        <v>42032.88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이연법인세자산</t>
        </is>
      </c>
      <c r="E21" s="18" t="n">
        <v>1569.61</v>
      </c>
      <c r="F21" s="37" t="n">
        <v>1569.61</v>
      </c>
      <c r="G21" s="18" t="n">
        <v>1430.64</v>
      </c>
      <c r="H21" s="18" t="n">
        <v>1595.32</v>
      </c>
      <c r="I21" s="18" t="n">
        <v>1879.55</v>
      </c>
      <c r="J21" s="18" t="n">
        <v>2866.8</v>
      </c>
      <c r="K21" s="37" t="n">
        <v>2866.8</v>
      </c>
      <c r="L21" s="18" t="n">
        <v>3569.43</v>
      </c>
      <c r="M21" s="18" t="n">
        <v>2562.05</v>
      </c>
      <c r="N21" s="18" t="n">
        <v>1781.31</v>
      </c>
      <c r="O21" s="18" t="n">
        <v>1768.48</v>
      </c>
      <c r="P21" s="37" t="n">
        <v>1768.48</v>
      </c>
      <c r="Q21" s="18" t="n">
        <v>1938.86</v>
      </c>
      <c r="R21" s="18" t="n">
        <v>1840.37</v>
      </c>
      <c r="S21" s="18" t="n">
        <v>565.8200000000001</v>
      </c>
      <c r="U21" s="9" t="n"/>
      <c r="Z21" s="9" t="n"/>
      <c r="AB21" s="5" t="n"/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498355.91</v>
      </c>
      <c r="F22" s="37" t="n">
        <v>498355.91</v>
      </c>
      <c r="G22" s="18" t="n">
        <v>505391.17</v>
      </c>
      <c r="H22" s="18" t="n">
        <v>519164.39</v>
      </c>
      <c r="I22" s="18" t="n">
        <v>557405.98</v>
      </c>
      <c r="J22" s="18" t="n">
        <v>585333.64</v>
      </c>
      <c r="K22" s="37" t="n">
        <v>585333.64</v>
      </c>
      <c r="L22" s="18" t="n">
        <v>612185.13</v>
      </c>
      <c r="M22" s="18" t="n">
        <v>655687.95</v>
      </c>
      <c r="N22" s="18" t="n">
        <v>795005.97</v>
      </c>
      <c r="O22" s="18" t="n">
        <v>792428.14</v>
      </c>
      <c r="P22" s="37" t="n">
        <v>792428.14</v>
      </c>
      <c r="Q22" s="18" t="n">
        <v>788661.75</v>
      </c>
      <c r="R22" s="18" t="n">
        <v>820972.2</v>
      </c>
      <c r="S22" s="18" t="n">
        <v>836122.12</v>
      </c>
      <c r="T22" s="18" t="n">
        <v>878968.66</v>
      </c>
      <c r="U22" s="37" t="n">
        <v>878968.66</v>
      </c>
      <c r="V22" s="18" t="n">
        <v>921828.9300000001</v>
      </c>
      <c r="W22" s="18" t="n">
        <v>931444.35</v>
      </c>
      <c r="X22" s="18" t="n">
        <v>948582.27</v>
      </c>
      <c r="Y22" s="18" t="n">
        <v>1043222.62</v>
      </c>
      <c r="Z22" s="37" t="n">
        <v>1043222.62</v>
      </c>
      <c r="AA22" s="18" t="n">
        <v>1090336.96</v>
      </c>
      <c r="AB22" s="19" t="n">
        <v>1137205.69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93991.13</v>
      </c>
      <c r="F23" s="37" t="n">
        <v>93991.13</v>
      </c>
      <c r="G23" s="18" t="n">
        <v>98508.84</v>
      </c>
      <c r="H23" s="18" t="n">
        <v>100289.98</v>
      </c>
      <c r="I23" s="18" t="n">
        <v>124167.55</v>
      </c>
      <c r="J23" s="18" t="n">
        <v>156336.84</v>
      </c>
      <c r="K23" s="37" t="n">
        <v>156336.84</v>
      </c>
      <c r="L23" s="18" t="n">
        <v>190631.59</v>
      </c>
      <c r="M23" s="18" t="n">
        <v>229480.38</v>
      </c>
      <c r="N23" s="18" t="n">
        <v>267544.14</v>
      </c>
      <c r="O23" s="18" t="n">
        <v>297365.08</v>
      </c>
      <c r="P23" s="37" t="n">
        <v>297365.08</v>
      </c>
      <c r="Q23" s="18" t="n">
        <v>294892.91</v>
      </c>
      <c r="R23" s="18" t="n">
        <v>318477.21</v>
      </c>
      <c r="S23" s="18" t="n">
        <v>326698.75</v>
      </c>
      <c r="T23" s="18" t="n">
        <v>369168.31</v>
      </c>
      <c r="U23" s="37" t="n">
        <v>369168.31</v>
      </c>
      <c r="V23" s="18" t="n">
        <v>400337.98</v>
      </c>
      <c r="W23" s="18" t="n">
        <v>360072.68</v>
      </c>
      <c r="X23" s="18" t="n">
        <v>357565.87</v>
      </c>
      <c r="Y23" s="18" t="n">
        <v>424075.43</v>
      </c>
      <c r="Z23" s="37" t="n">
        <v>424075.43</v>
      </c>
      <c r="AA23" s="18" t="n">
        <v>476206.81</v>
      </c>
      <c r="AB23" s="19" t="n">
        <v>418873.44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단기차입금</t>
        </is>
      </c>
      <c r="E24" s="18" t="n">
        <v>7098</v>
      </c>
      <c r="F24" s="37" t="n">
        <v>7098</v>
      </c>
      <c r="G24" s="18" t="n">
        <v>6933</v>
      </c>
      <c r="H24" s="18" t="n">
        <v>11426</v>
      </c>
      <c r="I24" s="18" t="n">
        <v>34463</v>
      </c>
      <c r="J24" s="18" t="n">
        <v>44318</v>
      </c>
      <c r="K24" s="37" t="n">
        <v>44318</v>
      </c>
      <c r="L24" s="18" t="n">
        <v>56129.22</v>
      </c>
      <c r="M24" s="18" t="n">
        <v>73859.41</v>
      </c>
      <c r="N24" s="18" t="n">
        <v>89467.44</v>
      </c>
      <c r="O24" s="18" t="n">
        <v>89232.02</v>
      </c>
      <c r="P24" s="37" t="n">
        <v>89232.02</v>
      </c>
      <c r="Q24" s="18" t="n">
        <v>68025.21000000001</v>
      </c>
      <c r="R24" s="18" t="n">
        <v>64811.33</v>
      </c>
      <c r="S24" s="18" t="n">
        <v>64507.15</v>
      </c>
      <c r="T24" s="18" t="n">
        <v>47232.3</v>
      </c>
      <c r="U24" s="37" t="n">
        <v>47232.3</v>
      </c>
      <c r="V24" s="18" t="n">
        <v>42758</v>
      </c>
      <c r="W24" s="18" t="n">
        <v>25210.4</v>
      </c>
      <c r="X24" s="18" t="n">
        <v>15969.34</v>
      </c>
      <c r="Y24" s="18" t="n">
        <v>81871.44</v>
      </c>
      <c r="Z24" s="37" t="n">
        <v>81871.44</v>
      </c>
      <c r="AA24" s="18" t="n">
        <v>99511.75</v>
      </c>
      <c r="AB24" s="19" t="n">
        <v>117889.05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유동성장기부채</t>
        </is>
      </c>
      <c r="E25" s="18" t="n">
        <v>15948.57</v>
      </c>
      <c r="F25" s="37" t="n">
        <v>15948.57</v>
      </c>
      <c r="G25" s="18" t="n">
        <v>12166.91</v>
      </c>
      <c r="H25" s="18" t="n">
        <v>939.1</v>
      </c>
      <c r="I25" s="18" t="n">
        <v>4619.33</v>
      </c>
      <c r="J25" s="18" t="n">
        <v>853.42</v>
      </c>
      <c r="K25" s="37" t="n">
        <v>853.42</v>
      </c>
      <c r="L25" s="18" t="n">
        <v>1398.73</v>
      </c>
      <c r="M25" s="18" t="n">
        <v>2046.89</v>
      </c>
      <c r="N25" s="18" t="n">
        <v>4376.03</v>
      </c>
      <c r="O25" s="18" t="n">
        <v>15250.36</v>
      </c>
      <c r="P25" s="37" t="n">
        <v>15250.36</v>
      </c>
      <c r="Q25" s="18" t="n">
        <v>17018.06</v>
      </c>
      <c r="R25" s="18" t="n">
        <v>16697.2</v>
      </c>
      <c r="S25" s="18" t="n">
        <v>6367.2</v>
      </c>
      <c r="T25" s="18" t="n">
        <v>5930.95</v>
      </c>
      <c r="U25" s="37" t="n">
        <v>5930.95</v>
      </c>
      <c r="V25" s="18" t="n">
        <v>4724.7</v>
      </c>
      <c r="W25" s="18" t="n">
        <v>5518.45</v>
      </c>
      <c r="X25" s="18" t="n">
        <v>16312.2</v>
      </c>
      <c r="Y25" s="18" t="n">
        <v>3912.2</v>
      </c>
      <c r="Z25" s="37" t="n">
        <v>3912.2</v>
      </c>
      <c r="AA25" s="18" t="n">
        <v>18462.28</v>
      </c>
      <c r="AB25" s="19" t="n">
        <v>2826.27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기타유동금융부채</t>
        </is>
      </c>
      <c r="E26" s="18" t="n">
        <v>391.38</v>
      </c>
      <c r="F26" s="37" t="n">
        <v>391.38</v>
      </c>
      <c r="G26" s="18" t="n">
        <v>489.57</v>
      </c>
      <c r="H26" s="18" t="n">
        <v>2557.35</v>
      </c>
      <c r="I26" s="18" t="n">
        <v>8009.58</v>
      </c>
      <c r="J26" s="18" t="n">
        <v>1801.08</v>
      </c>
      <c r="K26" s="37" t="n">
        <v>1801.08</v>
      </c>
      <c r="L26" s="18" t="n">
        <v>2916.01</v>
      </c>
      <c r="M26" s="18" t="n">
        <v>2856.94</v>
      </c>
      <c r="N26" s="18" t="n">
        <v>3516.42</v>
      </c>
      <c r="O26" s="18" t="n">
        <v>1059.06</v>
      </c>
      <c r="P26" s="37" t="n">
        <v>1059.06</v>
      </c>
      <c r="Q26" s="18" t="n">
        <v>2527.98</v>
      </c>
      <c r="R26" s="18" t="n">
        <v>3985.62</v>
      </c>
      <c r="S26" s="18" t="n">
        <v>815.26</v>
      </c>
      <c r="T26" s="18" t="n">
        <v>8836.290000000001</v>
      </c>
      <c r="U26" s="37" t="n">
        <v>8836.290000000001</v>
      </c>
      <c r="V26" s="18" t="n">
        <v>8348.9</v>
      </c>
      <c r="W26" s="18" t="n">
        <v>1965.76</v>
      </c>
      <c r="X26" s="18" t="n">
        <v>3812.27</v>
      </c>
      <c r="Y26" s="18" t="n">
        <v>5320.45</v>
      </c>
      <c r="Z26" s="37" t="n">
        <v>5320.45</v>
      </c>
      <c r="AA26" s="18" t="n">
        <v>10209.77</v>
      </c>
      <c r="AB26" s="19" t="n">
        <v>12596.44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단기금융부채</t>
        </is>
      </c>
      <c r="E27" s="18" t="n">
        <v>1067.03</v>
      </c>
      <c r="F27" s="37" t="n">
        <v>1067.03</v>
      </c>
      <c r="G27" s="18" t="n">
        <v>1418.08</v>
      </c>
      <c r="H27" s="18" t="n">
        <v>10499.6</v>
      </c>
      <c r="I27" s="18" t="n">
        <v>9034.809999999999</v>
      </c>
      <c r="J27" s="18" t="n">
        <v>3325.52</v>
      </c>
      <c r="K27" s="37" t="n">
        <v>3325.52</v>
      </c>
      <c r="L27" s="18" t="n">
        <v>4438.28</v>
      </c>
      <c r="M27" s="18" t="n">
        <v>4480.29</v>
      </c>
      <c r="N27" s="18" t="n">
        <v>5228.28</v>
      </c>
      <c r="O27" s="18" t="n">
        <v>2619.86</v>
      </c>
      <c r="P27" s="37" t="n">
        <v>2619.86</v>
      </c>
      <c r="Q27" s="18" t="n">
        <v>4404.86</v>
      </c>
      <c r="R27" s="18" t="n">
        <v>5641.69</v>
      </c>
      <c r="S27" s="18" t="n">
        <v>2014.88</v>
      </c>
      <c r="T27" s="18" t="n">
        <v>10483.33</v>
      </c>
      <c r="U27" s="37" t="n">
        <v>10483.33</v>
      </c>
      <c r="V27" s="18" t="n">
        <v>9889.719999999999</v>
      </c>
      <c r="W27" s="18" t="n">
        <v>28628.7</v>
      </c>
      <c r="X27" s="18" t="n">
        <v>39215.6</v>
      </c>
      <c r="Y27" s="18" t="n">
        <v>35816.73</v>
      </c>
      <c r="Z27" s="37" t="n">
        <v>35816.73</v>
      </c>
      <c r="AA27" s="18" t="n">
        <v>53605.11</v>
      </c>
      <c r="AB27" s="19" t="n">
        <v>18289.54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당기법인세부채(미지급법인세)</t>
        </is>
      </c>
      <c r="E28" s="18" t="n">
        <v>6891.83</v>
      </c>
      <c r="F28" s="37" t="n">
        <v>6891.83</v>
      </c>
      <c r="G28" s="18" t="n">
        <v>5705.33</v>
      </c>
      <c r="H28" s="18" t="n">
        <v>3596.05</v>
      </c>
      <c r="I28" s="18" t="n">
        <v>5480.23</v>
      </c>
      <c r="J28" s="18" t="n">
        <v>5749.73</v>
      </c>
      <c r="K28" s="37" t="n">
        <v>5749.73</v>
      </c>
      <c r="L28" s="18" t="n">
        <v>4736.86</v>
      </c>
      <c r="M28" s="18" t="n">
        <v>2115.17</v>
      </c>
      <c r="N28" s="18" t="n">
        <v>5702.61</v>
      </c>
      <c r="O28" s="18" t="n">
        <v>3077.95</v>
      </c>
      <c r="P28" s="37" t="n">
        <v>3077.95</v>
      </c>
      <c r="Q28" s="18" t="n">
        <v>4661.3</v>
      </c>
      <c r="R28" s="18" t="n">
        <v>14146.44</v>
      </c>
      <c r="S28" s="18" t="n">
        <v>10233.25</v>
      </c>
      <c r="T28" s="18" t="n">
        <v>11687.15</v>
      </c>
      <c r="U28" s="37" t="n">
        <v>11687.15</v>
      </c>
      <c r="V28" s="18" t="n">
        <v>11689.01</v>
      </c>
      <c r="W28" s="18" t="n">
        <v>9771.83</v>
      </c>
      <c r="X28" s="18" t="n">
        <v>13253.1</v>
      </c>
      <c r="Y28" s="18" t="n">
        <v>31494.08</v>
      </c>
      <c r="Z28" s="37" t="n">
        <v>31494.08</v>
      </c>
      <c r="AA28" s="18" t="n">
        <v>28404.72</v>
      </c>
      <c r="AB28" s="19" t="n">
        <v>16973.66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유동리스부채</t>
        </is>
      </c>
      <c r="E29" s="18" t="n">
        <v>675.65</v>
      </c>
      <c r="F29" s="37" t="n">
        <v>675.65</v>
      </c>
      <c r="G29" s="18" t="n">
        <v>928.51</v>
      </c>
      <c r="H29" s="18" t="n">
        <v>7942.25</v>
      </c>
      <c r="I29" s="18" t="n">
        <v>1025.23</v>
      </c>
      <c r="J29" s="18" t="n">
        <v>1524.44</v>
      </c>
      <c r="K29" s="37" t="n">
        <v>1524.44</v>
      </c>
      <c r="L29" s="18" t="n">
        <v>1522.27</v>
      </c>
      <c r="M29" s="18" t="n">
        <v>1623.35</v>
      </c>
      <c r="N29" s="18" t="n">
        <v>1711.86</v>
      </c>
      <c r="O29" s="18" t="n">
        <v>1560.8</v>
      </c>
      <c r="P29" s="37" t="n">
        <v>1560.8</v>
      </c>
      <c r="Q29" s="18" t="n">
        <v>1876.88</v>
      </c>
      <c r="R29" s="18" t="n">
        <v>1656.07</v>
      </c>
      <c r="S29" s="18" t="n">
        <v>1199.62</v>
      </c>
      <c r="T29" s="18" t="n">
        <v>1647.04</v>
      </c>
      <c r="U29" s="37" t="n">
        <v>1647.04</v>
      </c>
      <c r="V29" s="18" t="n">
        <v>1540.82</v>
      </c>
      <c r="W29" s="18" t="n">
        <v>1468.82</v>
      </c>
      <c r="X29" s="18" t="n">
        <v>3630.41</v>
      </c>
      <c r="Y29" s="18" t="n">
        <v>2361.39</v>
      </c>
      <c r="Z29" s="37" t="n">
        <v>2361.39</v>
      </c>
      <c r="AA29" s="18" t="n">
        <v>3309.38</v>
      </c>
      <c r="AB29" s="19" t="n">
        <v>4237.91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리스부채</t>
        </is>
      </c>
      <c r="E30" s="18" t="n">
        <v>1583.48</v>
      </c>
      <c r="F30" s="37" t="n">
        <v>1583.48</v>
      </c>
      <c r="G30" s="18" t="n">
        <v>1879.25</v>
      </c>
      <c r="H30" s="18" t="n">
        <v>8737.030000000001</v>
      </c>
      <c r="I30" s="18" t="n">
        <v>1980.98</v>
      </c>
      <c r="J30" s="18" t="n">
        <v>2768.12</v>
      </c>
      <c r="K30" s="37" t="n">
        <v>2768.12</v>
      </c>
      <c r="L30" s="18" t="n">
        <v>2616.72</v>
      </c>
      <c r="M30" s="18" t="n">
        <v>2730.01</v>
      </c>
      <c r="N30" s="18" t="n">
        <v>2843.57</v>
      </c>
      <c r="O30" s="18" t="n">
        <v>2552.46</v>
      </c>
      <c r="P30" s="37" t="n">
        <v>2552.46</v>
      </c>
      <c r="Q30" s="18" t="n">
        <v>5490.17</v>
      </c>
      <c r="R30" s="18" t="n">
        <v>5030.76</v>
      </c>
      <c r="S30" s="18" t="n">
        <v>4899.76</v>
      </c>
      <c r="T30" s="18" t="n">
        <v>5174.05</v>
      </c>
      <c r="U30" s="37" t="n">
        <v>5174.05</v>
      </c>
      <c r="V30" s="18" t="n">
        <v>4934.68</v>
      </c>
      <c r="W30" s="18" t="n">
        <v>4825.87</v>
      </c>
      <c r="X30" s="18" t="n">
        <v>9049.57</v>
      </c>
      <c r="Y30" s="18" t="n">
        <v>5851.97</v>
      </c>
      <c r="Z30" s="37" t="n">
        <v>5851.97</v>
      </c>
      <c r="AA30" s="18" t="n">
        <v>7165.51</v>
      </c>
      <c r="AB30" s="19" t="n">
        <v>7975.5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기타유동부채</t>
        </is>
      </c>
      <c r="E31" s="18" t="n">
        <v>10935.17</v>
      </c>
      <c r="F31" s="37" t="n">
        <v>10935.17</v>
      </c>
      <c r="G31" s="18" t="n">
        <v>10639.42</v>
      </c>
      <c r="H31" s="18" t="n">
        <v>13223.41</v>
      </c>
      <c r="I31" s="18" t="n">
        <v>13219.04</v>
      </c>
      <c r="J31" s="18" t="n">
        <v>30617.17</v>
      </c>
      <c r="K31" s="37" t="n">
        <v>30617.17</v>
      </c>
      <c r="L31" s="18" t="n">
        <v>42970.94</v>
      </c>
      <c r="M31" s="18" t="n">
        <v>55786.23</v>
      </c>
      <c r="N31" s="18" t="n">
        <v>72129.8</v>
      </c>
      <c r="O31" s="18" t="n">
        <v>84883.34</v>
      </c>
      <c r="P31" s="37" t="n">
        <v>84883.34</v>
      </c>
      <c r="Q31" s="18" t="n">
        <v>79767.12</v>
      </c>
      <c r="R31" s="18" t="n">
        <v>105771.63</v>
      </c>
      <c r="S31" s="18" t="n">
        <v>122438.8</v>
      </c>
      <c r="T31" s="18" t="n">
        <v>173791.2</v>
      </c>
      <c r="U31" s="37" t="n">
        <v>173791.2</v>
      </c>
      <c r="V31" s="18" t="n">
        <v>186654.78</v>
      </c>
      <c r="W31" s="18" t="n">
        <v>164353.86</v>
      </c>
      <c r="X31" s="18" t="n">
        <v>150325.64</v>
      </c>
      <c r="Y31" s="18" t="n">
        <v>140999.44</v>
      </c>
      <c r="Z31" s="37" t="n">
        <v>140999.44</v>
      </c>
      <c r="AA31" s="18" t="n">
        <v>140563.77</v>
      </c>
      <c r="AB31" s="19" t="n">
        <v>136649.23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비유동부채</t>
        </is>
      </c>
      <c r="E32" s="18" t="n">
        <v>15359.35</v>
      </c>
      <c r="F32" s="37" t="n">
        <v>15359.35</v>
      </c>
      <c r="G32" s="18" t="n">
        <v>21323.69</v>
      </c>
      <c r="H32" s="18" t="n">
        <v>21749.84</v>
      </c>
      <c r="I32" s="18" t="n">
        <v>33045.29</v>
      </c>
      <c r="J32" s="18" t="n">
        <v>24822.46</v>
      </c>
      <c r="K32" s="37" t="n">
        <v>24822.46</v>
      </c>
      <c r="L32" s="18" t="n">
        <v>23782.36</v>
      </c>
      <c r="M32" s="18" t="n">
        <v>21483.22</v>
      </c>
      <c r="N32" s="18" t="n">
        <v>51148.94</v>
      </c>
      <c r="O32" s="18" t="n">
        <v>40402.35</v>
      </c>
      <c r="P32" s="37" t="n">
        <v>40402.35</v>
      </c>
      <c r="Q32" s="18" t="n">
        <v>44481.94</v>
      </c>
      <c r="R32" s="18" t="n">
        <v>43256.4</v>
      </c>
      <c r="S32" s="18" t="n">
        <v>39192.19</v>
      </c>
      <c r="T32" s="18" t="n">
        <v>35506.43</v>
      </c>
      <c r="U32" s="37" t="n">
        <v>35506.43</v>
      </c>
      <c r="V32" s="18" t="n">
        <v>32798.44</v>
      </c>
      <c r="W32" s="18" t="n">
        <v>45717.67</v>
      </c>
      <c r="X32" s="18" t="n">
        <v>50672.82</v>
      </c>
      <c r="Y32" s="18" t="n">
        <v>38969.49</v>
      </c>
      <c r="Z32" s="37" t="n">
        <v>38969.49</v>
      </c>
      <c r="AA32" s="18" t="n">
        <v>33529.84</v>
      </c>
      <c r="AB32" s="19" t="n">
        <v>44865.76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장기차입금</t>
        </is>
      </c>
      <c r="E33" s="18" t="n">
        <v>2281.09</v>
      </c>
      <c r="F33" s="37" t="n">
        <v>2281.09</v>
      </c>
      <c r="G33" s="18" t="n">
        <v>8372.85</v>
      </c>
      <c r="H33" s="18" t="n">
        <v>8358.700000000001</v>
      </c>
      <c r="I33" s="18" t="n">
        <v>16091.73</v>
      </c>
      <c r="J33" s="18" t="n">
        <v>15953.5</v>
      </c>
      <c r="K33" s="37" t="n">
        <v>15953.5</v>
      </c>
      <c r="L33" s="18" t="n">
        <v>15499.95</v>
      </c>
      <c r="M33" s="18" t="n">
        <v>16725</v>
      </c>
      <c r="N33" s="18" t="n">
        <v>33348.7</v>
      </c>
      <c r="O33" s="18" t="n">
        <v>21104.8</v>
      </c>
      <c r="P33" s="37" t="n">
        <v>21104.8</v>
      </c>
      <c r="Q33" s="18" t="n">
        <v>22895.5</v>
      </c>
      <c r="R33" s="18" t="n">
        <v>21311.2</v>
      </c>
      <c r="S33" s="18" t="n">
        <v>19348.9</v>
      </c>
      <c r="T33" s="18" t="n">
        <v>18062.85</v>
      </c>
      <c r="U33" s="37" t="n">
        <v>18062.85</v>
      </c>
      <c r="V33" s="18" t="n">
        <v>13984.8</v>
      </c>
      <c r="W33" s="18" t="n">
        <v>17406.75</v>
      </c>
      <c r="X33" s="18" t="n">
        <v>15793.34</v>
      </c>
      <c r="Y33" s="18" t="n">
        <v>11400.65</v>
      </c>
      <c r="Z33" s="37" t="n">
        <v>11400.65</v>
      </c>
      <c r="AA33" s="18" t="n">
        <v>10422.6</v>
      </c>
      <c r="AB33" s="19" t="n">
        <v>20621.67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비유동리스부채</t>
        </is>
      </c>
      <c r="E34" s="18" t="n">
        <v>907.83</v>
      </c>
      <c r="F34" s="37" t="n">
        <v>907.83</v>
      </c>
      <c r="G34" s="18" t="n">
        <v>950.74</v>
      </c>
      <c r="H34" s="18" t="n">
        <v>794.78</v>
      </c>
      <c r="I34" s="18" t="n">
        <v>955.75</v>
      </c>
      <c r="J34" s="18" t="n">
        <v>1243.68</v>
      </c>
      <c r="K34" s="37" t="n">
        <v>1243.68</v>
      </c>
      <c r="L34" s="18" t="n">
        <v>1094.45</v>
      </c>
      <c r="M34" s="18" t="n">
        <v>1106.66</v>
      </c>
      <c r="N34" s="18" t="n">
        <v>1131.71</v>
      </c>
      <c r="O34" s="18" t="n">
        <v>991.66</v>
      </c>
      <c r="P34" s="37" t="n">
        <v>991.66</v>
      </c>
      <c r="Q34" s="18" t="n">
        <v>3613.29</v>
      </c>
      <c r="R34" s="18" t="n">
        <v>3374.69</v>
      </c>
      <c r="S34" s="18" t="n">
        <v>3700.14</v>
      </c>
      <c r="T34" s="18" t="n">
        <v>3527.01</v>
      </c>
      <c r="U34" s="37" t="n">
        <v>3527.01</v>
      </c>
      <c r="V34" s="18" t="n">
        <v>3393.86</v>
      </c>
      <c r="W34" s="18" t="n">
        <v>3357.05</v>
      </c>
      <c r="X34" s="18" t="n">
        <v>5419.16</v>
      </c>
      <c r="Y34" s="18" t="n">
        <v>3490.58</v>
      </c>
      <c r="Z34" s="37" t="n">
        <v>3490.58</v>
      </c>
      <c r="AA34" s="18" t="n">
        <v>3856.13</v>
      </c>
      <c r="AB34" s="19" t="n">
        <v>3737.59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장기금융부채</t>
        </is>
      </c>
      <c r="E35" s="18" t="n">
        <v>907.83</v>
      </c>
      <c r="F35" s="37" t="n">
        <v>907.83</v>
      </c>
      <c r="G35" s="18" t="n">
        <v>1073.15</v>
      </c>
      <c r="H35" s="18" t="n">
        <v>3582.68</v>
      </c>
      <c r="I35" s="18" t="n">
        <v>12316.15</v>
      </c>
      <c r="J35" s="18" t="n">
        <v>1514.73</v>
      </c>
      <c r="K35" s="37" t="n">
        <v>1514.73</v>
      </c>
      <c r="L35" s="18" t="n">
        <v>1571.92</v>
      </c>
      <c r="M35" s="18" t="n">
        <v>1203.89</v>
      </c>
      <c r="N35" s="18" t="n">
        <v>2061.28</v>
      </c>
      <c r="O35" s="18" t="n">
        <v>991.66</v>
      </c>
      <c r="P35" s="37" t="n">
        <v>991.66</v>
      </c>
      <c r="Q35" s="18" t="n">
        <v>4665.94</v>
      </c>
      <c r="R35" s="18" t="n">
        <v>5545.09</v>
      </c>
      <c r="S35" s="18" t="n">
        <v>4072.5</v>
      </c>
      <c r="T35" s="18" t="n">
        <v>13500.61</v>
      </c>
      <c r="U35" s="37" t="n">
        <v>13500.61</v>
      </c>
      <c r="V35" s="18" t="n">
        <v>12914.81</v>
      </c>
      <c r="W35" s="18" t="n">
        <v>3868.27</v>
      </c>
      <c r="X35" s="18" t="n">
        <v>9078.77</v>
      </c>
      <c r="Y35" s="18" t="n">
        <v>8940.01</v>
      </c>
      <c r="Z35" s="37" t="n">
        <v>8940.01</v>
      </c>
      <c r="AA35" s="18" t="n">
        <v>12256.92</v>
      </c>
      <c r="AB35" s="19" t="n">
        <v>10415.85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확정급여부채</t>
        </is>
      </c>
      <c r="E36" s="18" t="n">
        <v>2737.01</v>
      </c>
      <c r="F36" s="37" t="n">
        <v>2737.01</v>
      </c>
      <c r="G36" s="18" t="n">
        <v>3110.59</v>
      </c>
      <c r="H36" s="18" t="n">
        <v>480.06</v>
      </c>
      <c r="I36" s="18" t="n">
        <v>979.05</v>
      </c>
      <c r="J36" s="18" t="n">
        <v>404.81</v>
      </c>
      <c r="K36" s="37" t="n">
        <v>404.81</v>
      </c>
      <c r="L36" s="18" t="n">
        <v>568.3200000000001</v>
      </c>
      <c r="M36" s="18" t="n">
        <v>585.99</v>
      </c>
      <c r="N36" s="18" t="n">
        <v>707.52</v>
      </c>
      <c r="O36" s="18" t="n">
        <v>737.4</v>
      </c>
      <c r="P36" s="37" t="n">
        <v>737.4</v>
      </c>
      <c r="Q36" s="18" t="n">
        <v>712.26</v>
      </c>
      <c r="R36" s="18" t="n">
        <v>903.85</v>
      </c>
      <c r="S36" s="18" t="n">
        <v>525.21</v>
      </c>
      <c r="T36" s="18" t="n">
        <v>349.23</v>
      </c>
      <c r="U36" s="37" t="n">
        <v>349.23</v>
      </c>
      <c r="V36" s="18" t="n">
        <v>363.25</v>
      </c>
      <c r="W36" s="18" t="n">
        <v>3026.23</v>
      </c>
      <c r="X36" s="18" t="n">
        <v>7734.72</v>
      </c>
      <c r="Y36" s="18" t="n">
        <v>590.61</v>
      </c>
      <c r="Z36" s="37" t="n">
        <v>590.61</v>
      </c>
      <c r="AA36" s="18" t="n">
        <v>1435.39</v>
      </c>
      <c r="AB36" s="19" t="n">
        <v>677.97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이연법인세부채</t>
        </is>
      </c>
      <c r="E37" s="18" t="n">
        <v>4153.83</v>
      </c>
      <c r="F37" s="37" t="n">
        <v>4153.83</v>
      </c>
      <c r="G37" s="18" t="n">
        <v>3393.59</v>
      </c>
      <c r="H37" s="18" t="n">
        <v>3179.71</v>
      </c>
      <c r="I37" s="18" t="n">
        <v>1288.92</v>
      </c>
      <c r="K37" s="9" t="n"/>
      <c r="N37" s="18" t="n">
        <v>1103.74</v>
      </c>
      <c r="O37" s="18" t="n">
        <v>4981.12</v>
      </c>
      <c r="P37" s="37" t="n">
        <v>4981.12</v>
      </c>
      <c r="Q37" s="18" t="n">
        <v>4404.5</v>
      </c>
      <c r="R37" s="18" t="n">
        <v>3666.58</v>
      </c>
      <c r="S37" s="18" t="n">
        <v>4796.24</v>
      </c>
      <c r="T37" s="18" t="n">
        <v>2618.95</v>
      </c>
      <c r="U37" s="37" t="n">
        <v>2618.95</v>
      </c>
      <c r="V37" s="18" t="n">
        <v>4550.25</v>
      </c>
      <c r="W37" s="18" t="n">
        <v>8841.01</v>
      </c>
      <c r="X37" s="18" t="n">
        <v>4484.65</v>
      </c>
      <c r="Y37" s="18" t="n">
        <v>0</v>
      </c>
      <c r="Z37" s="37" t="n">
        <v>0</v>
      </c>
      <c r="AA37" s="18" t="n">
        <v>0</v>
      </c>
      <c r="AB37" s="5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기타비유동부채</t>
        </is>
      </c>
      <c r="E38" s="18" t="n">
        <v>1510.58</v>
      </c>
      <c r="F38" s="37" t="n">
        <v>1510.58</v>
      </c>
      <c r="G38" s="18" t="n">
        <v>1510.58</v>
      </c>
      <c r="H38" s="18" t="n">
        <v>2213.47</v>
      </c>
      <c r="I38" s="18" t="n">
        <v>2213.47</v>
      </c>
      <c r="J38" s="18" t="n">
        <v>6784.07</v>
      </c>
      <c r="K38" s="37" t="n">
        <v>6784.07</v>
      </c>
      <c r="L38" s="18" t="n">
        <v>5972.26</v>
      </c>
      <c r="M38" s="18" t="n">
        <v>2764.98</v>
      </c>
      <c r="N38" s="18" t="n">
        <v>3473.65</v>
      </c>
      <c r="O38" s="18" t="n">
        <v>2113.34</v>
      </c>
      <c r="P38" s="37" t="n">
        <v>2113.34</v>
      </c>
      <c r="Q38" s="18" t="n">
        <v>1309.25</v>
      </c>
      <c r="R38" s="18" t="n">
        <v>1309.25</v>
      </c>
      <c r="S38" s="18" t="n">
        <v>181.82</v>
      </c>
      <c r="T38" s="18" t="n">
        <v>696.4400000000001</v>
      </c>
      <c r="U38" s="37" t="n">
        <v>696.4400000000001</v>
      </c>
      <c r="V38" s="18" t="n">
        <v>696.4400000000001</v>
      </c>
      <c r="W38" s="18" t="n">
        <v>696.4400000000001</v>
      </c>
      <c r="X38" s="18" t="n">
        <v>696.4400000000001</v>
      </c>
      <c r="Y38" s="18" t="n">
        <v>4137</v>
      </c>
      <c r="Z38" s="37" t="n">
        <v>4137</v>
      </c>
      <c r="AA38" s="18" t="n">
        <v>8701.889999999999</v>
      </c>
      <c r="AB38" s="19" t="n">
        <v>11693.41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부채총계</t>
        </is>
      </c>
      <c r="E39" s="18" t="n">
        <v>109356.56</v>
      </c>
      <c r="F39" s="37" t="n">
        <v>109356.56</v>
      </c>
      <c r="G39" s="18" t="n">
        <v>119832.53</v>
      </c>
      <c r="H39" s="18" t="n">
        <v>122039.82</v>
      </c>
      <c r="I39" s="18" t="n">
        <v>157212.84</v>
      </c>
      <c r="J39" s="18" t="n">
        <v>181165.8</v>
      </c>
      <c r="K39" s="37" t="n">
        <v>181165.8</v>
      </c>
      <c r="L39" s="18" t="n">
        <v>214413.95</v>
      </c>
      <c r="M39" s="18" t="n">
        <v>250963.59</v>
      </c>
      <c r="N39" s="18" t="n">
        <v>318693.07</v>
      </c>
      <c r="O39" s="18" t="n">
        <v>337774.04</v>
      </c>
      <c r="P39" s="37" t="n">
        <v>337774.04</v>
      </c>
      <c r="Q39" s="18" t="n">
        <v>339381.73</v>
      </c>
      <c r="R39" s="18" t="n">
        <v>361740.73</v>
      </c>
      <c r="S39" s="18" t="n">
        <v>365897.73</v>
      </c>
      <c r="T39" s="18" t="n">
        <v>404682.31</v>
      </c>
      <c r="U39" s="37" t="n">
        <v>404682.31</v>
      </c>
      <c r="V39" s="18" t="n">
        <v>433143.96</v>
      </c>
      <c r="W39" s="18" t="n">
        <v>405797.27</v>
      </c>
      <c r="X39" s="18" t="n">
        <v>408245.89</v>
      </c>
      <c r="Y39" s="18" t="n">
        <v>463052.31</v>
      </c>
      <c r="Z39" s="37" t="n">
        <v>463052.31</v>
      </c>
      <c r="AA39" s="18" t="n">
        <v>509744.37</v>
      </c>
      <c r="AB39" s="19" t="n">
        <v>463747.06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지배주주지분</t>
        </is>
      </c>
      <c r="E40" s="18" t="n">
        <v>388999.34</v>
      </c>
      <c r="F40" s="37" t="n">
        <v>388999.34</v>
      </c>
      <c r="G40" s="18" t="n">
        <v>385558.64</v>
      </c>
      <c r="H40" s="18" t="n">
        <v>397124.57</v>
      </c>
      <c r="I40" s="18" t="n">
        <v>400193.14</v>
      </c>
      <c r="J40" s="18" t="n">
        <v>404167.83</v>
      </c>
      <c r="K40" s="37" t="n">
        <v>404167.83</v>
      </c>
      <c r="L40" s="18" t="n">
        <v>397771.18</v>
      </c>
      <c r="M40" s="18" t="n">
        <v>404724.35</v>
      </c>
      <c r="N40" s="18" t="n">
        <v>476312.89</v>
      </c>
      <c r="O40" s="18" t="n">
        <v>454654.11</v>
      </c>
      <c r="P40" s="37" t="n">
        <v>454654.11</v>
      </c>
      <c r="Q40" s="18" t="n">
        <v>449280.03</v>
      </c>
      <c r="R40" s="18" t="n">
        <v>459231.48</v>
      </c>
      <c r="S40" s="18" t="n">
        <v>470224.38</v>
      </c>
      <c r="T40" s="18" t="n">
        <v>474286.35</v>
      </c>
      <c r="U40" s="37" t="n">
        <v>474286.35</v>
      </c>
      <c r="V40" s="18" t="n">
        <v>488684.96</v>
      </c>
      <c r="W40" s="18" t="n">
        <v>525647.0699999999</v>
      </c>
      <c r="X40" s="18" t="n">
        <v>540336.38</v>
      </c>
      <c r="Y40" s="18" t="n">
        <v>580170.3100000001</v>
      </c>
      <c r="Z40" s="37" t="n">
        <v>580170.3100000001</v>
      </c>
      <c r="AA40" s="18" t="n">
        <v>580592.59</v>
      </c>
      <c r="AB40" s="19" t="n">
        <v>673458.63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자본금</t>
        </is>
      </c>
      <c r="E41" s="18" t="n">
        <v>21980.38</v>
      </c>
      <c r="F41" s="37" t="n">
        <v>21980.38</v>
      </c>
      <c r="G41" s="18" t="n">
        <v>21980.38</v>
      </c>
      <c r="H41" s="18" t="n">
        <v>21980.38</v>
      </c>
      <c r="I41" s="18" t="n">
        <v>21980.38</v>
      </c>
      <c r="J41" s="18" t="n">
        <v>21980.38</v>
      </c>
      <c r="K41" s="37" t="n">
        <v>21980.38</v>
      </c>
      <c r="L41" s="18" t="n">
        <v>21980.38</v>
      </c>
      <c r="M41" s="18" t="n">
        <v>21980.38</v>
      </c>
      <c r="N41" s="18" t="n">
        <v>21980.38</v>
      </c>
      <c r="O41" s="18" t="n">
        <v>25954.23</v>
      </c>
      <c r="P41" s="37" t="n">
        <v>25954.23</v>
      </c>
      <c r="Q41" s="18" t="n">
        <v>25954.23</v>
      </c>
      <c r="R41" s="18" t="n">
        <v>25954.23</v>
      </c>
      <c r="S41" s="18" t="n">
        <v>25954.23</v>
      </c>
      <c r="T41" s="18" t="n">
        <v>192789.69</v>
      </c>
      <c r="U41" s="37" t="n">
        <v>192789.69</v>
      </c>
      <c r="V41" s="18" t="n">
        <v>192789.69</v>
      </c>
      <c r="W41" s="18" t="n">
        <v>192789.69</v>
      </c>
      <c r="X41" s="18" t="n">
        <v>192789.69</v>
      </c>
      <c r="Y41" s="18" t="n">
        <v>122789.69</v>
      </c>
      <c r="Z41" s="37" t="n">
        <v>122789.69</v>
      </c>
      <c r="AA41" s="18" t="n">
        <v>122789.69</v>
      </c>
      <c r="AB41" s="19" t="n">
        <v>177321.71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자본잉여금</t>
        </is>
      </c>
      <c r="E42" s="18" t="n">
        <v>74960.11</v>
      </c>
      <c r="F42" s="37" t="n">
        <v>74960.11</v>
      </c>
      <c r="G42" s="18" t="n">
        <v>74960.11</v>
      </c>
      <c r="H42" s="18" t="n">
        <v>74960.11</v>
      </c>
      <c r="I42" s="18" t="n">
        <v>74960.11</v>
      </c>
      <c r="J42" s="18" t="n">
        <v>74960.11</v>
      </c>
      <c r="K42" s="37" t="n">
        <v>74960.11</v>
      </c>
      <c r="L42" s="18" t="n">
        <v>74960.11</v>
      </c>
      <c r="M42" s="18" t="n">
        <v>74960.11</v>
      </c>
      <c r="N42" s="18" t="n">
        <v>74960.11</v>
      </c>
      <c r="O42" s="18" t="n">
        <v>166835.46</v>
      </c>
      <c r="P42" s="37" t="n">
        <v>166835.46</v>
      </c>
      <c r="Q42" s="18" t="n">
        <v>166835.46</v>
      </c>
      <c r="R42" s="18" t="n">
        <v>166835.46</v>
      </c>
      <c r="S42" s="18" t="n">
        <v>166835.46</v>
      </c>
      <c r="T42" s="18" t="n">
        <v>166835.46</v>
      </c>
      <c r="U42" s="37" t="n">
        <v>166835.46</v>
      </c>
      <c r="V42" s="18" t="n">
        <v>166835.46</v>
      </c>
      <c r="W42" s="18" t="n">
        <v>166835.46</v>
      </c>
      <c r="X42" s="18" t="n">
        <v>166835.46</v>
      </c>
      <c r="Y42" s="18" t="n">
        <v>96835.46000000001</v>
      </c>
      <c r="Z42" s="37" t="n">
        <v>96835.46000000001</v>
      </c>
      <c r="AA42" s="18" t="n">
        <v>96835.46000000001</v>
      </c>
      <c r="AB42" s="19" t="n">
        <v>151014.17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이익잉여금</t>
        </is>
      </c>
      <c r="E43" s="18" t="n">
        <v>284714.2</v>
      </c>
      <c r="F43" s="37" t="n">
        <v>284714.2</v>
      </c>
      <c r="G43" s="18" t="n">
        <v>281255.43</v>
      </c>
      <c r="H43" s="18" t="n">
        <v>291374.79</v>
      </c>
      <c r="I43" s="18" t="n">
        <v>290275.57</v>
      </c>
      <c r="J43" s="18" t="n">
        <v>299947.16</v>
      </c>
      <c r="K43" s="37" t="n">
        <v>299947.16</v>
      </c>
      <c r="L43" s="18" t="n">
        <v>292454.73</v>
      </c>
      <c r="M43" s="18" t="n">
        <v>299507.23</v>
      </c>
      <c r="N43" s="18" t="n">
        <v>298574.07</v>
      </c>
      <c r="O43" s="18" t="n">
        <v>278294.99</v>
      </c>
      <c r="P43" s="37" t="n">
        <v>278294.99</v>
      </c>
      <c r="Q43" s="18" t="n">
        <v>272364.55</v>
      </c>
      <c r="R43" s="18" t="n">
        <v>281552.57</v>
      </c>
      <c r="S43" s="18" t="n">
        <v>293777.41</v>
      </c>
      <c r="T43" s="18" t="n">
        <v>294860.83</v>
      </c>
      <c r="U43" s="37" t="n">
        <v>294860.83</v>
      </c>
      <c r="V43" s="18" t="n">
        <v>310714.61</v>
      </c>
      <c r="W43" s="18" t="n">
        <v>332788.74</v>
      </c>
      <c r="X43" s="18" t="n">
        <v>345007.55</v>
      </c>
      <c r="Y43" s="18" t="n">
        <v>454119.35</v>
      </c>
      <c r="Z43" s="37" t="n">
        <v>454119.35</v>
      </c>
      <c r="AA43" s="18" t="n">
        <v>440836.81</v>
      </c>
      <c r="AB43" s="19" t="n">
        <v>476369.66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기타포괄이익누계액</t>
        </is>
      </c>
      <c r="E44" s="18" t="n">
        <v>-1193.47</v>
      </c>
      <c r="F44" s="37" t="n">
        <v>-1193.47</v>
      </c>
      <c r="G44" s="18" t="n">
        <v>-1175.4</v>
      </c>
      <c r="H44" s="18" t="n">
        <v>271.16</v>
      </c>
      <c r="I44" s="18" t="n">
        <v>4438.95</v>
      </c>
      <c r="J44" s="18" t="n">
        <v>-1257.94</v>
      </c>
      <c r="K44" s="37" t="n">
        <v>-1257.94</v>
      </c>
      <c r="L44" s="18" t="n">
        <v>-162.17</v>
      </c>
      <c r="M44" s="18" t="n">
        <v>-261.49</v>
      </c>
      <c r="N44" s="18" t="n">
        <v>-586.49</v>
      </c>
      <c r="O44" s="18" t="n">
        <v>-719.91</v>
      </c>
      <c r="P44" s="37" t="n">
        <v>-719.91</v>
      </c>
      <c r="Q44" s="18" t="n">
        <v>-163.55</v>
      </c>
      <c r="R44" s="18" t="n">
        <v>599.88</v>
      </c>
      <c r="S44" s="18" t="n">
        <v>-632.05</v>
      </c>
      <c r="T44" s="18" t="n">
        <v>2351.2</v>
      </c>
      <c r="U44" s="37" t="n">
        <v>2351.2</v>
      </c>
      <c r="V44" s="18" t="n">
        <v>896.03</v>
      </c>
      <c r="W44" s="18" t="n">
        <v>-1584.05</v>
      </c>
      <c r="X44" s="18" t="n">
        <v>886.45</v>
      </c>
      <c r="Y44" s="18" t="n">
        <v>3018.25</v>
      </c>
      <c r="Z44" s="37" t="n">
        <v>3018.25</v>
      </c>
      <c r="AA44" s="18" t="n">
        <v>5535.05</v>
      </c>
      <c r="AB44" s="19" t="n">
        <v>8035.16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기타자본</t>
        </is>
      </c>
      <c r="E45" s="18" t="n">
        <v>8538.129999999999</v>
      </c>
      <c r="F45" s="37" t="n">
        <v>8538.129999999999</v>
      </c>
      <c r="G45" s="18" t="n">
        <v>8538.129999999999</v>
      </c>
      <c r="H45" s="18" t="n">
        <v>8538.129999999999</v>
      </c>
      <c r="I45" s="18" t="n">
        <v>8538.129999999999</v>
      </c>
      <c r="J45" s="18" t="n">
        <v>8538.129999999999</v>
      </c>
      <c r="K45" s="37" t="n">
        <v>8538.129999999999</v>
      </c>
      <c r="L45" s="18" t="n">
        <v>8538.129999999999</v>
      </c>
      <c r="M45" s="18" t="n">
        <v>8538.129999999999</v>
      </c>
      <c r="N45" s="18" t="n">
        <v>81384.83</v>
      </c>
      <c r="O45" s="18" t="n">
        <v>-15710.66</v>
      </c>
      <c r="P45" s="37" t="n">
        <v>-15710.66</v>
      </c>
      <c r="Q45" s="18" t="n">
        <v>-15710.66</v>
      </c>
      <c r="R45" s="18" t="n">
        <v>-15710.66</v>
      </c>
      <c r="S45" s="18" t="n">
        <v>-15710.66</v>
      </c>
      <c r="T45" s="18" t="n">
        <v>-15715.36</v>
      </c>
      <c r="U45" s="37" t="n">
        <v>-15715.36</v>
      </c>
      <c r="V45" s="18" t="n">
        <v>-15715.36</v>
      </c>
      <c r="W45" s="18" t="n">
        <v>1652.7</v>
      </c>
      <c r="X45" s="18" t="n">
        <v>1652.7</v>
      </c>
      <c r="Y45" s="18" t="n">
        <v>243.02</v>
      </c>
      <c r="Z45" s="37" t="n">
        <v>243.02</v>
      </c>
      <c r="AA45" s="18" t="n">
        <v>11431.04</v>
      </c>
      <c r="AB45" s="19" t="n">
        <v>11732.1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자본총계</t>
        </is>
      </c>
      <c r="E46" s="18" t="n">
        <v>388999.34</v>
      </c>
      <c r="F46" s="37" t="n">
        <v>388999.34</v>
      </c>
      <c r="G46" s="18" t="n">
        <v>385558.64</v>
      </c>
      <c r="H46" s="18" t="n">
        <v>397124.57</v>
      </c>
      <c r="I46" s="18" t="n">
        <v>400193.14</v>
      </c>
      <c r="J46" s="18" t="n">
        <v>404167.83</v>
      </c>
      <c r="K46" s="37" t="n">
        <v>404167.83</v>
      </c>
      <c r="L46" s="18" t="n">
        <v>397771.18</v>
      </c>
      <c r="M46" s="18" t="n">
        <v>404724.35</v>
      </c>
      <c r="N46" s="18" t="n">
        <v>476312.89</v>
      </c>
      <c r="O46" s="18" t="n">
        <v>454654.11</v>
      </c>
      <c r="P46" s="37" t="n">
        <v>454654.11</v>
      </c>
      <c r="Q46" s="18" t="n">
        <v>449280.03</v>
      </c>
      <c r="R46" s="18" t="n">
        <v>459231.48</v>
      </c>
      <c r="S46" s="18" t="n">
        <v>470224.38</v>
      </c>
      <c r="T46" s="18" t="n">
        <v>474286.35</v>
      </c>
      <c r="U46" s="37" t="n">
        <v>474286.35</v>
      </c>
      <c r="V46" s="18" t="n">
        <v>488684.96</v>
      </c>
      <c r="W46" s="18" t="n">
        <v>525647.0699999999</v>
      </c>
      <c r="X46" s="18" t="n">
        <v>540336.38</v>
      </c>
      <c r="Y46" s="18" t="n">
        <v>580170.3100000001</v>
      </c>
      <c r="Z46" s="37" t="n">
        <v>580170.3100000001</v>
      </c>
      <c r="AA46" s="18" t="n">
        <v>580592.59</v>
      </c>
      <c r="AB46" s="19" t="n">
        <v>673458.63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부채와자본총계</t>
        </is>
      </c>
      <c r="E47" s="18" t="n">
        <v>498355.91</v>
      </c>
      <c r="F47" s="37" t="n">
        <v>498355.91</v>
      </c>
      <c r="G47" s="18" t="n">
        <v>505391.17</v>
      </c>
      <c r="H47" s="18" t="n">
        <v>519164.39</v>
      </c>
      <c r="I47" s="18" t="n">
        <v>557405.98</v>
      </c>
      <c r="J47" s="18" t="n">
        <v>585333.64</v>
      </c>
      <c r="K47" s="37" t="n">
        <v>585333.64</v>
      </c>
      <c r="L47" s="18" t="n">
        <v>612185.13</v>
      </c>
      <c r="M47" s="18" t="n">
        <v>655687.95</v>
      </c>
      <c r="N47" s="18" t="n">
        <v>795005.97</v>
      </c>
      <c r="O47" s="18" t="n">
        <v>792428.14</v>
      </c>
      <c r="P47" s="37" t="n">
        <v>792428.14</v>
      </c>
      <c r="Q47" s="18" t="n">
        <v>788661.75</v>
      </c>
      <c r="R47" s="18" t="n">
        <v>820972.2</v>
      </c>
      <c r="S47" s="18" t="n">
        <v>836122.12</v>
      </c>
      <c r="T47" s="18" t="n">
        <v>878968.66</v>
      </c>
      <c r="U47" s="37" t="n">
        <v>878968.66</v>
      </c>
      <c r="V47" s="18" t="n">
        <v>921828.9300000001</v>
      </c>
      <c r="W47" s="18" t="n">
        <v>931444.35</v>
      </c>
      <c r="X47" s="18" t="n">
        <v>948582.27</v>
      </c>
      <c r="Y47" s="18" t="n">
        <v>1043222.62</v>
      </c>
      <c r="Z47" s="37" t="n">
        <v>1043222.62</v>
      </c>
      <c r="AA47" s="18" t="n">
        <v>1090336.96</v>
      </c>
      <c r="AB47" s="19" t="n">
        <v>1137205.69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총차입금</t>
        </is>
      </c>
      <c r="E48" s="18" t="n">
        <v>25327.66</v>
      </c>
      <c r="F48" s="37" t="n">
        <v>25327.66</v>
      </c>
      <c r="G48" s="18" t="n">
        <v>27472.76</v>
      </c>
      <c r="H48" s="18" t="n">
        <v>20723.8</v>
      </c>
      <c r="I48" s="18" t="n">
        <v>55174.06</v>
      </c>
      <c r="J48" s="18" t="n">
        <v>61124.92</v>
      </c>
      <c r="K48" s="37" t="n">
        <v>61124.92</v>
      </c>
      <c r="L48" s="18" t="n">
        <v>73027.89999999999</v>
      </c>
      <c r="M48" s="18" t="n">
        <v>92631.3</v>
      </c>
      <c r="N48" s="18" t="n">
        <v>137392.17</v>
      </c>
      <c r="O48" s="18" t="n">
        <v>135787.18</v>
      </c>
      <c r="P48" s="37" t="n">
        <v>135787.18</v>
      </c>
      <c r="Q48" s="18" t="n">
        <v>118138.77</v>
      </c>
      <c r="R48" s="18" t="n">
        <v>113019.73</v>
      </c>
      <c r="S48" s="18" t="n">
        <v>100223.25</v>
      </c>
      <c r="T48" s="18" t="n">
        <v>71226.10000000001</v>
      </c>
      <c r="U48" s="37" t="n">
        <v>71226.10000000001</v>
      </c>
      <c r="V48" s="18" t="n">
        <v>61467.5</v>
      </c>
      <c r="W48" s="18" t="n">
        <v>59712.06</v>
      </c>
      <c r="X48" s="18" t="n">
        <v>60642.55</v>
      </c>
      <c r="Y48" s="18" t="n">
        <v>110743.17</v>
      </c>
      <c r="Z48" s="37" t="n">
        <v>110743.17</v>
      </c>
      <c r="AA48" s="18" t="n">
        <v>128396.63</v>
      </c>
      <c r="AB48" s="19" t="n">
        <v>141336.99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순차입금</t>
        </is>
      </c>
      <c r="E49" s="18" t="n">
        <v>-49927.1</v>
      </c>
      <c r="F49" s="37" t="n">
        <v>-49927.1</v>
      </c>
      <c r="G49" s="18" t="n">
        <v>-50697.24</v>
      </c>
      <c r="H49" s="18" t="n">
        <v>-9677.15</v>
      </c>
      <c r="I49" s="18" t="n">
        <v>8182.81</v>
      </c>
      <c r="J49" s="18" t="n">
        <v>-5621.49</v>
      </c>
      <c r="K49" s="37" t="n">
        <v>-5621.49</v>
      </c>
      <c r="L49" s="18" t="n">
        <v>32470.57</v>
      </c>
      <c r="M49" s="18" t="n">
        <v>61723.66</v>
      </c>
      <c r="N49" s="18" t="n">
        <v>73296.61</v>
      </c>
      <c r="O49" s="18" t="n">
        <v>56066.82</v>
      </c>
      <c r="P49" s="37" t="n">
        <v>56066.82</v>
      </c>
      <c r="Q49" s="18" t="n">
        <v>63232.81</v>
      </c>
      <c r="R49" s="18" t="n">
        <v>22428.83</v>
      </c>
      <c r="S49" s="18" t="n">
        <v>10889.21</v>
      </c>
      <c r="T49" s="18" t="n">
        <v>5062.83</v>
      </c>
      <c r="U49" s="37" t="n">
        <v>5062.83</v>
      </c>
      <c r="V49" s="18" t="n">
        <v>-58656.07</v>
      </c>
      <c r="W49" s="18" t="n">
        <v>-49956.34</v>
      </c>
      <c r="X49" s="18" t="n">
        <v>-61472.74</v>
      </c>
      <c r="Y49" s="18" t="n">
        <v>15908.37</v>
      </c>
      <c r="Z49" s="37" t="n">
        <v>15908.37</v>
      </c>
      <c r="AA49" s="18" t="n">
        <v>17494.52</v>
      </c>
      <c r="AB49" s="19" t="n">
        <v>1532.9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이자발생자산</t>
        </is>
      </c>
      <c r="E50" s="18" t="n">
        <v>83858.24000000001</v>
      </c>
      <c r="F50" s="37" t="n">
        <v>83858.24000000001</v>
      </c>
      <c r="G50" s="18" t="n">
        <v>86789.14</v>
      </c>
      <c r="H50" s="18" t="n">
        <v>39034.25</v>
      </c>
      <c r="I50" s="18" t="n">
        <v>53778.22</v>
      </c>
      <c r="J50" s="18" t="n">
        <v>73757.81</v>
      </c>
      <c r="K50" s="37" t="n">
        <v>73757.81</v>
      </c>
      <c r="L50" s="18" t="n">
        <v>45556.88</v>
      </c>
      <c r="M50" s="18" t="n">
        <v>35463.06</v>
      </c>
      <c r="N50" s="18" t="n">
        <v>64579.56</v>
      </c>
      <c r="O50" s="18" t="n">
        <v>80072.36</v>
      </c>
      <c r="P50" s="37" t="n">
        <v>80072.36</v>
      </c>
      <c r="Q50" s="18" t="n">
        <v>55257.96</v>
      </c>
      <c r="R50" s="18" t="n">
        <v>90942.89999999999</v>
      </c>
      <c r="S50" s="18" t="n">
        <v>89686.03999999999</v>
      </c>
      <c r="T50" s="18" t="n">
        <v>94323.89</v>
      </c>
      <c r="U50" s="37" t="n">
        <v>94323.89</v>
      </c>
      <c r="V50" s="18" t="n">
        <v>145586.08</v>
      </c>
      <c r="W50" s="18" t="n">
        <v>137219.09</v>
      </c>
      <c r="X50" s="18" t="n">
        <v>147809.12</v>
      </c>
      <c r="Y50" s="18" t="n">
        <v>119185.46</v>
      </c>
      <c r="Z50" s="37" t="n">
        <v>119185.46</v>
      </c>
      <c r="AA50" s="18" t="n">
        <v>136147.08</v>
      </c>
      <c r="AB50" s="19" t="n">
        <v>164035.33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매입채무및기타채무</t>
        </is>
      </c>
      <c r="F51" s="9" t="n"/>
      <c r="G51" s="18" t="n">
        <v>6453.32</v>
      </c>
      <c r="K51" s="9" t="n"/>
      <c r="L51" s="18" t="n">
        <v>5592.88</v>
      </c>
      <c r="P51" s="9" t="n"/>
      <c r="Q51" s="18" t="n">
        <v>5413.95</v>
      </c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기타비유동금융부채</t>
        </is>
      </c>
      <c r="F52" s="9" t="n"/>
      <c r="G52" s="18" t="n">
        <v>122.41</v>
      </c>
      <c r="H52" s="18" t="n">
        <v>2787.9</v>
      </c>
      <c r="I52" s="18" t="n">
        <v>11360.4</v>
      </c>
      <c r="J52" s="18" t="n">
        <v>271.05</v>
      </c>
      <c r="K52" s="37" t="n">
        <v>271.05</v>
      </c>
      <c r="L52" s="18" t="n">
        <v>477.47</v>
      </c>
      <c r="M52" s="18" t="n">
        <v>97.23</v>
      </c>
      <c r="N52" s="18" t="n">
        <v>929.5700000000001</v>
      </c>
      <c r="P52" s="9" t="n"/>
      <c r="Q52" s="18" t="n">
        <v>1052.65</v>
      </c>
      <c r="R52" s="18" t="n">
        <v>2170.4</v>
      </c>
      <c r="S52" s="18" t="n">
        <v>372.36</v>
      </c>
      <c r="T52" s="18" t="n">
        <v>9973.6</v>
      </c>
      <c r="U52" s="37" t="n">
        <v>9973.6</v>
      </c>
      <c r="V52" s="18" t="n">
        <v>9520.950000000001</v>
      </c>
      <c r="W52" s="18" t="n">
        <v>511.22</v>
      </c>
      <c r="X52" s="18" t="n">
        <v>3659.61</v>
      </c>
      <c r="Y52" s="18" t="n">
        <v>5449.43</v>
      </c>
      <c r="Z52" s="37" t="n">
        <v>5449.43</v>
      </c>
      <c r="AA52" s="18" t="n">
        <v>8400.790000000001</v>
      </c>
      <c r="AB52" s="19" t="n">
        <v>6678.26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비지배주주지분</t>
        </is>
      </c>
      <c r="F53" s="9" t="n"/>
      <c r="G53" s="18" t="n">
        <v>0</v>
      </c>
      <c r="K53" s="9" t="n"/>
      <c r="P53" s="9" t="n"/>
      <c r="U53" s="9" t="n"/>
      <c r="V53" s="18" t="n">
        <v>0</v>
      </c>
      <c r="W53" s="18" t="n">
        <v>0</v>
      </c>
      <c r="X53" s="18" t="n">
        <v>0</v>
      </c>
      <c r="Y53" s="18" t="n">
        <v>0</v>
      </c>
      <c r="Z53" s="37" t="n">
        <v>0</v>
      </c>
      <c r="AA53" s="18" t="n">
        <v>0</v>
      </c>
      <c r="AB53" s="19" t="n">
        <v>0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단기금융부채(face)</t>
        </is>
      </c>
      <c r="F54" s="9" t="n"/>
      <c r="K54" s="9" t="n"/>
      <c r="N54" s="18" t="n">
        <v>89467.44</v>
      </c>
      <c r="O54" s="18" t="n">
        <v>89232.02</v>
      </c>
      <c r="P54" s="37" t="n">
        <v>89232.02</v>
      </c>
      <c r="Q54" s="18" t="n">
        <v>68025.21000000001</v>
      </c>
      <c r="R54" s="18" t="n">
        <v>64811.33</v>
      </c>
      <c r="S54" s="18" t="n">
        <v>64507.15</v>
      </c>
      <c r="T54" s="18" t="n">
        <v>47232.3</v>
      </c>
      <c r="U54" s="37" t="n">
        <v>47232.3</v>
      </c>
      <c r="V54" s="18" t="n">
        <v>42758</v>
      </c>
      <c r="W54" s="18" t="n">
        <v>25210.4</v>
      </c>
      <c r="X54" s="18" t="n">
        <v>15969.34</v>
      </c>
      <c r="Y54" s="18" t="n">
        <v>81871.44</v>
      </c>
      <c r="Z54" s="37" t="n">
        <v>81871.44</v>
      </c>
      <c r="AA54" s="18" t="n">
        <v>99511.75</v>
      </c>
      <c r="AB54" s="19" t="n">
        <v>117889.05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사채</t>
        </is>
      </c>
      <c r="F55" s="9" t="n"/>
      <c r="K55" s="9" t="n"/>
      <c r="N55" s="18" t="n">
        <v>10200</v>
      </c>
      <c r="O55" s="18" t="n">
        <v>10200</v>
      </c>
      <c r="P55" s="37" t="n">
        <v>10200</v>
      </c>
      <c r="Q55" s="18" t="n">
        <v>10200</v>
      </c>
      <c r="R55" s="18" t="n">
        <v>10200</v>
      </c>
      <c r="S55" s="18" t="n">
        <v>10000</v>
      </c>
      <c r="T55" s="18" t="n">
        <v>0</v>
      </c>
      <c r="U55" s="37" t="n">
        <v>0</v>
      </c>
      <c r="W55" s="18" t="n">
        <v>11576.46</v>
      </c>
      <c r="X55" s="18" t="n">
        <v>12567.67</v>
      </c>
      <c r="Y55" s="18" t="n">
        <v>13558.88</v>
      </c>
      <c r="Z55" s="37" t="n">
        <v>13558.88</v>
      </c>
      <c r="AA55" s="18" t="n">
        <v>0</v>
      </c>
      <c r="AB55" s="19" t="n">
        <v>0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투자부동산</t>
        </is>
      </c>
      <c r="F56" s="9" t="n"/>
      <c r="K56" s="9" t="n"/>
      <c r="O56" s="18" t="n">
        <v>15730.94</v>
      </c>
      <c r="P56" s="37" t="n">
        <v>15730.94</v>
      </c>
      <c r="Q56" s="18" t="n">
        <v>15719.73</v>
      </c>
      <c r="R56" s="18" t="n">
        <v>9294.34</v>
      </c>
      <c r="S56" s="18" t="n">
        <v>15697.31</v>
      </c>
      <c r="T56" s="18" t="n">
        <v>15686.1</v>
      </c>
      <c r="U56" s="37" t="n">
        <v>15686.1</v>
      </c>
      <c r="V56" s="18" t="n">
        <v>15674.89</v>
      </c>
      <c r="W56" s="18" t="n">
        <v>15663.68</v>
      </c>
      <c r="X56" s="18" t="n">
        <v>15652.47</v>
      </c>
      <c r="Y56" s="18" t="n">
        <v>15641.26</v>
      </c>
      <c r="Z56" s="37" t="n">
        <v>15641.26</v>
      </c>
      <c r="AA56" s="18" t="n">
        <v>15630.05</v>
      </c>
      <c r="AB56" s="19" t="n">
        <v>15789.67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종속기업및관계기업투자</t>
        </is>
      </c>
      <c r="F57" s="9" t="n"/>
      <c r="K57" s="9" t="n"/>
      <c r="P57" s="9" t="n"/>
      <c r="R57" s="18" t="n">
        <v>2107.17</v>
      </c>
      <c r="S57" s="18" t="n">
        <v>1849.34</v>
      </c>
      <c r="T57" s="18" t="n">
        <v>1873.72</v>
      </c>
      <c r="U57" s="37" t="n">
        <v>1873.72</v>
      </c>
      <c r="V57" s="18" t="n">
        <v>1760.71</v>
      </c>
      <c r="W57" s="18" t="n">
        <v>1570.29</v>
      </c>
      <c r="X57" s="18" t="n">
        <v>1411.24</v>
      </c>
      <c r="Y57" s="18" t="n">
        <v>2027.81</v>
      </c>
      <c r="Z57" s="37" t="n">
        <v>2027.81</v>
      </c>
      <c r="AA57" s="18" t="n">
        <v>2039.45</v>
      </c>
      <c r="AB57" s="19" t="n">
        <v>217.63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단기투자자산(공정가치)</t>
        </is>
      </c>
      <c r="F58" s="9" t="n"/>
      <c r="K58" s="9" t="n"/>
      <c r="P58" s="9" t="n"/>
      <c r="T58" s="18" t="n">
        <v>19695.35</v>
      </c>
      <c r="U58" s="37" t="n">
        <v>19695.35</v>
      </c>
      <c r="V58" s="18" t="n">
        <v>11693.26</v>
      </c>
      <c r="W58" s="18" t="n">
        <v>52142.18</v>
      </c>
      <c r="X58" s="18" t="n">
        <v>57482.09</v>
      </c>
      <c r="Y58" s="18" t="n">
        <v>164649.52</v>
      </c>
      <c r="Z58" s="37" t="n">
        <v>164649.52</v>
      </c>
      <c r="AA58" s="18" t="n">
        <v>164064.74</v>
      </c>
      <c r="AB58" s="19" t="n">
        <v>174297.13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보통주자본금</t>
        </is>
      </c>
      <c r="F59" s="9" t="n"/>
      <c r="K59" s="9" t="n"/>
      <c r="P59" s="9" t="n"/>
      <c r="T59" s="18" t="n">
        <v>25954.23</v>
      </c>
      <c r="U59" s="37" t="n">
        <v>25954.23</v>
      </c>
      <c r="V59" s="18" t="n">
        <v>25954.23</v>
      </c>
      <c r="W59" s="18" t="n">
        <v>25954.23</v>
      </c>
      <c r="X59" s="18" t="n">
        <v>25954.23</v>
      </c>
      <c r="Y59" s="18" t="n">
        <v>25954.23</v>
      </c>
      <c r="Z59" s="37" t="n">
        <v>25954.23</v>
      </c>
      <c r="AA59" s="18" t="n">
        <v>25954.23</v>
      </c>
      <c r="AB59" s="19" t="n">
        <v>26307.54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유동파생상품자산</t>
        </is>
      </c>
      <c r="F60" s="9" t="n"/>
      <c r="K60" s="9" t="n"/>
      <c r="P60" s="9" t="n"/>
      <c r="U60" s="9" t="n"/>
      <c r="W60" s="18" t="n">
        <v>8195.09</v>
      </c>
      <c r="X60" s="18" t="n">
        <v>11493.77</v>
      </c>
      <c r="Y60" s="18" t="n">
        <v>9874.65</v>
      </c>
      <c r="Z60" s="37" t="n">
        <v>9874.65</v>
      </c>
      <c r="AA60" s="18" t="n">
        <v>2083.06</v>
      </c>
      <c r="AB60" s="19" t="n">
        <v>1250.21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단기파생상품부채</t>
        </is>
      </c>
      <c r="F61" s="9" t="n"/>
      <c r="K61" s="9" t="n"/>
      <c r="P61" s="9" t="n"/>
      <c r="U61" s="9" t="n"/>
      <c r="W61" s="18" t="n">
        <v>25194.12</v>
      </c>
      <c r="X61" s="18" t="n">
        <v>31772.92</v>
      </c>
      <c r="Y61" s="18" t="n">
        <v>28134.89</v>
      </c>
      <c r="Z61" s="37" t="n">
        <v>28134.89</v>
      </c>
      <c r="AA61" s="18" t="n">
        <v>40085.96</v>
      </c>
      <c r="AB61" s="19" t="n">
        <v>1455.19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매출액(수익)</t>
        </is>
      </c>
      <c r="E62" s="18" t="n">
        <v>81273.74000000001</v>
      </c>
      <c r="F62" s="9" t="n"/>
      <c r="G62" s="18" t="n">
        <v>77743.11</v>
      </c>
      <c r="H62" s="18" t="n">
        <v>71565.75</v>
      </c>
      <c r="I62" s="18" t="n">
        <v>114027.69</v>
      </c>
      <c r="J62" s="18" t="n">
        <v>105934.32</v>
      </c>
      <c r="K62" s="37" t="n">
        <v>369270.87</v>
      </c>
      <c r="L62" s="18" t="n">
        <v>102992.29</v>
      </c>
      <c r="M62" s="18" t="n">
        <v>133812.83</v>
      </c>
      <c r="N62" s="18" t="n">
        <v>155652.76</v>
      </c>
      <c r="O62" s="18" t="n">
        <v>201959.49</v>
      </c>
      <c r="P62" s="37" t="n">
        <v>594417.37</v>
      </c>
      <c r="Q62" s="18" t="n">
        <v>182749.95</v>
      </c>
      <c r="R62" s="18" t="n">
        <v>194212.27</v>
      </c>
      <c r="S62" s="18" t="n">
        <v>170620.84</v>
      </c>
      <c r="T62" s="18" t="n">
        <v>194157.79</v>
      </c>
      <c r="U62" s="37" t="n">
        <v>741740.85</v>
      </c>
      <c r="V62" s="18" t="n">
        <v>224561.93</v>
      </c>
      <c r="W62" s="18" t="n">
        <v>231273.16</v>
      </c>
      <c r="X62" s="18" t="n">
        <v>221132.12</v>
      </c>
      <c r="Y62" s="18" t="n">
        <v>231843</v>
      </c>
      <c r="Z62" s="37" t="n">
        <v>908810.21</v>
      </c>
      <c r="AA62" s="18" t="n">
        <v>211821.54</v>
      </c>
      <c r="AB62" s="19" t="n">
        <v>243377.66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매출원가</t>
        </is>
      </c>
      <c r="E63" s="18" t="n">
        <v>70740.96000000001</v>
      </c>
      <c r="F63" s="9" t="n"/>
      <c r="G63" s="18" t="n">
        <v>66986.07000000001</v>
      </c>
      <c r="H63" s="18" t="n">
        <v>61834.85</v>
      </c>
      <c r="I63" s="18" t="n">
        <v>93667.89</v>
      </c>
      <c r="J63" s="18" t="n">
        <v>90708.75</v>
      </c>
      <c r="K63" s="37" t="n">
        <v>313197.56</v>
      </c>
      <c r="L63" s="18" t="n">
        <v>89138.14999999999</v>
      </c>
      <c r="M63" s="18" t="n">
        <v>116028.76</v>
      </c>
      <c r="N63" s="18" t="n">
        <v>139255.84</v>
      </c>
      <c r="O63" s="18" t="n">
        <v>186840.58</v>
      </c>
      <c r="P63" s="37" t="n">
        <v>531263.33</v>
      </c>
      <c r="Q63" s="18" t="n">
        <v>161818.12</v>
      </c>
      <c r="R63" s="18" t="n">
        <v>160110.6</v>
      </c>
      <c r="S63" s="18" t="n">
        <v>144443.56</v>
      </c>
      <c r="T63" s="18" t="n">
        <v>157786.06</v>
      </c>
      <c r="U63" s="37" t="n">
        <v>624158.34</v>
      </c>
      <c r="V63" s="18" t="n">
        <v>174552.63</v>
      </c>
      <c r="W63" s="18" t="n">
        <v>179708.49</v>
      </c>
      <c r="X63" s="18" t="n">
        <v>171776.57</v>
      </c>
      <c r="Y63" s="18" t="n">
        <v>169858.28</v>
      </c>
      <c r="Z63" s="37" t="n">
        <v>695895.97</v>
      </c>
      <c r="AA63" s="18" t="n">
        <v>148676.27</v>
      </c>
      <c r="AB63" s="19" t="n">
        <v>171921.09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매출총이익</t>
        </is>
      </c>
      <c r="E64" s="18" t="n">
        <v>10532.78</v>
      </c>
      <c r="F64" s="9" t="n"/>
      <c r="G64" s="18" t="n">
        <v>10757.04</v>
      </c>
      <c r="H64" s="18" t="n">
        <v>9730.9</v>
      </c>
      <c r="I64" s="18" t="n">
        <v>20359.8</v>
      </c>
      <c r="J64" s="18" t="n">
        <v>15225.57</v>
      </c>
      <c r="K64" s="37" t="n">
        <v>56073.31</v>
      </c>
      <c r="L64" s="18" t="n">
        <v>13854.14</v>
      </c>
      <c r="M64" s="18" t="n">
        <v>17784.07</v>
      </c>
      <c r="N64" s="18" t="n">
        <v>16396.93</v>
      </c>
      <c r="O64" s="18" t="n">
        <v>15118.92</v>
      </c>
      <c r="P64" s="37" t="n">
        <v>63154.06</v>
      </c>
      <c r="Q64" s="18" t="n">
        <v>20931.83</v>
      </c>
      <c r="R64" s="18" t="n">
        <v>34101.67</v>
      </c>
      <c r="S64" s="18" t="n">
        <v>26177.28</v>
      </c>
      <c r="T64" s="18" t="n">
        <v>36371.73</v>
      </c>
      <c r="U64" s="37" t="n">
        <v>117582.51</v>
      </c>
      <c r="V64" s="18" t="n">
        <v>50009.3</v>
      </c>
      <c r="W64" s="18" t="n">
        <v>51564.68</v>
      </c>
      <c r="X64" s="18" t="n">
        <v>49355.55</v>
      </c>
      <c r="Y64" s="18" t="n">
        <v>61984.72</v>
      </c>
      <c r="Z64" s="37" t="n">
        <v>212914.25</v>
      </c>
      <c r="AA64" s="18" t="n">
        <v>63145.27</v>
      </c>
      <c r="AB64" s="19" t="n">
        <v>71456.57000000001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판관비</t>
        </is>
      </c>
      <c r="E65" s="18" t="n">
        <v>7255.59</v>
      </c>
      <c r="F65" s="9" t="n"/>
      <c r="G65" s="18" t="n">
        <v>6473.67</v>
      </c>
      <c r="H65" s="18" t="n">
        <v>7239.26</v>
      </c>
      <c r="I65" s="18" t="n">
        <v>8375.030000000001</v>
      </c>
      <c r="J65" s="18" t="n">
        <v>9187.290000000001</v>
      </c>
      <c r="K65" s="37" t="n">
        <v>31275.25</v>
      </c>
      <c r="L65" s="18" t="n">
        <v>10116.23</v>
      </c>
      <c r="M65" s="18" t="n">
        <v>9889.5</v>
      </c>
      <c r="N65" s="18" t="n">
        <v>11782.62</v>
      </c>
      <c r="O65" s="18" t="n">
        <v>14899.97</v>
      </c>
      <c r="P65" s="37" t="n">
        <v>46688.32</v>
      </c>
      <c r="Q65" s="18" t="n">
        <v>18323.81</v>
      </c>
      <c r="R65" s="18" t="n">
        <v>16322.21</v>
      </c>
      <c r="S65" s="18" t="n">
        <v>18493.15</v>
      </c>
      <c r="T65" s="18" t="n">
        <v>18997.04</v>
      </c>
      <c r="U65" s="37" t="n">
        <v>72136.21000000001</v>
      </c>
      <c r="V65" s="18" t="n">
        <v>18901.91</v>
      </c>
      <c r="W65" s="18" t="n">
        <v>19921.13</v>
      </c>
      <c r="X65" s="18" t="n">
        <v>19493.05</v>
      </c>
      <c r="Y65" s="18" t="n">
        <v>23647.64</v>
      </c>
      <c r="Z65" s="37" t="n">
        <v>81963.73</v>
      </c>
      <c r="AA65" s="18" t="n">
        <v>22079.16</v>
      </c>
      <c r="AB65" s="19" t="n">
        <v>21056.74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영업이익</t>
        </is>
      </c>
      <c r="E66" s="18" t="n">
        <v>3277.2</v>
      </c>
      <c r="F66" s="9" t="n"/>
      <c r="G66" s="18" t="n">
        <v>4283.38</v>
      </c>
      <c r="H66" s="18" t="n">
        <v>2491.64</v>
      </c>
      <c r="I66" s="18" t="n">
        <v>11984.76</v>
      </c>
      <c r="J66" s="18" t="n">
        <v>6038.28</v>
      </c>
      <c r="K66" s="37" t="n">
        <v>24798.06</v>
      </c>
      <c r="L66" s="18" t="n">
        <v>3737.91</v>
      </c>
      <c r="M66" s="18" t="n">
        <v>7894.56</v>
      </c>
      <c r="N66" s="18" t="n">
        <v>4614.3</v>
      </c>
      <c r="O66" s="18" t="n">
        <v>218.94</v>
      </c>
      <c r="P66" s="37" t="n">
        <v>16465.71</v>
      </c>
      <c r="Q66" s="18" t="n">
        <v>2608.02</v>
      </c>
      <c r="R66" s="18" t="n">
        <v>17779.47</v>
      </c>
      <c r="S66" s="18" t="n">
        <v>7684.12</v>
      </c>
      <c r="T66" s="18" t="n">
        <v>17374.69</v>
      </c>
      <c r="U66" s="37" t="n">
        <v>45446.3</v>
      </c>
      <c r="V66" s="18" t="n">
        <v>31107.39</v>
      </c>
      <c r="W66" s="18" t="n">
        <v>31643.55</v>
      </c>
      <c r="X66" s="18" t="n">
        <v>29862.51</v>
      </c>
      <c r="Y66" s="18" t="n">
        <v>38337.08</v>
      </c>
      <c r="Z66" s="37" t="n">
        <v>130950.53</v>
      </c>
      <c r="AA66" s="18" t="n">
        <v>41066.11</v>
      </c>
      <c r="AB66" s="19" t="n">
        <v>50399.83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기타영업외수익</t>
        </is>
      </c>
      <c r="E67" s="18" t="n">
        <v>9480.98</v>
      </c>
      <c r="F67" s="9" t="n"/>
      <c r="G67" s="18" t="n">
        <v>102</v>
      </c>
      <c r="H67" s="18" t="n">
        <v>9016.940000000001</v>
      </c>
      <c r="I67" s="18" t="n">
        <v>766.15</v>
      </c>
      <c r="J67" s="18" t="n">
        <v>-1780.77</v>
      </c>
      <c r="K67" s="37" t="n">
        <v>8104.32</v>
      </c>
      <c r="L67" s="18" t="n">
        <v>109.18</v>
      </c>
      <c r="M67" s="18" t="n">
        <v>10327.58</v>
      </c>
      <c r="N67" s="18" t="n">
        <v>10606.52</v>
      </c>
      <c r="O67" s="18" t="n">
        <v>681.84</v>
      </c>
      <c r="P67" s="37" t="n">
        <v>21725.12</v>
      </c>
      <c r="Q67" s="18" t="n">
        <v>1600.37</v>
      </c>
      <c r="R67" s="18" t="n">
        <v>-70.98999999999999</v>
      </c>
      <c r="S67" s="18" t="n">
        <v>769.98</v>
      </c>
      <c r="T67" s="18" t="n">
        <v>542.7</v>
      </c>
      <c r="U67" s="37" t="n">
        <v>2842.06</v>
      </c>
      <c r="V67" s="18" t="n">
        <v>297.34</v>
      </c>
      <c r="W67" s="18" t="n">
        <v>512.27</v>
      </c>
      <c r="X67" s="18" t="n">
        <v>445.4</v>
      </c>
      <c r="Y67" s="18" t="n">
        <v>5078.61</v>
      </c>
      <c r="Z67" s="37" t="n">
        <v>6333.62</v>
      </c>
      <c r="AA67" s="18" t="n">
        <v>401.44</v>
      </c>
      <c r="AB67" s="19" t="n">
        <v>2046.96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기타영업외비용</t>
        </is>
      </c>
      <c r="E68" s="18" t="n">
        <v>16885.62</v>
      </c>
      <c r="F68" s="9" t="n"/>
      <c r="G68" s="18" t="n">
        <v>26.59</v>
      </c>
      <c r="H68" s="18" t="n">
        <v>32.62</v>
      </c>
      <c r="I68" s="18" t="n">
        <v>37.23</v>
      </c>
      <c r="J68" s="18" t="n">
        <v>54.55</v>
      </c>
      <c r="K68" s="37" t="n">
        <v>150.99</v>
      </c>
      <c r="L68" s="18" t="n">
        <v>33.29</v>
      </c>
      <c r="M68" s="18" t="n">
        <v>16853.91</v>
      </c>
      <c r="N68" s="18" t="n">
        <v>9399.76</v>
      </c>
      <c r="O68" s="18" t="n">
        <v>17926.06</v>
      </c>
      <c r="P68" s="37" t="n">
        <v>44213.02</v>
      </c>
      <c r="Q68" s="18" t="n">
        <v>131.42</v>
      </c>
      <c r="R68" s="18" t="n">
        <v>157.32</v>
      </c>
      <c r="S68" s="18" t="n">
        <v>417.03</v>
      </c>
      <c r="T68" s="18" t="n">
        <v>1012.82</v>
      </c>
      <c r="U68" s="37" t="n">
        <v>1718.59</v>
      </c>
      <c r="V68" s="18" t="n">
        <v>1563.26</v>
      </c>
      <c r="W68" s="18" t="n">
        <v>214.06</v>
      </c>
      <c r="X68" s="18" t="n">
        <v>249.7</v>
      </c>
      <c r="Y68" s="18" t="n">
        <v>447.35</v>
      </c>
      <c r="Z68" s="37" t="n">
        <v>2474.37</v>
      </c>
      <c r="AA68" s="18" t="n">
        <v>373.31</v>
      </c>
      <c r="AB68" s="19" t="n">
        <v>758.78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종속기업,공동지배기업및관계기업관련손익</t>
        </is>
      </c>
      <c r="E69" s="18" t="n">
        <v>-1379.92</v>
      </c>
      <c r="F69" s="9" t="n"/>
      <c r="G69" s="18" t="n">
        <v>-147.01</v>
      </c>
      <c r="H69" s="18" t="n">
        <v>118.79</v>
      </c>
      <c r="I69" s="18" t="n">
        <v>168.73</v>
      </c>
      <c r="J69" s="18" t="n">
        <v>-159.87</v>
      </c>
      <c r="K69" s="37" t="n">
        <v>-19.36</v>
      </c>
      <c r="L69" s="18" t="n">
        <v>-592.85</v>
      </c>
      <c r="M69" s="18" t="n">
        <v>-4.99</v>
      </c>
      <c r="O69" s="18" t="n">
        <v>0</v>
      </c>
      <c r="P69" s="9" t="n"/>
      <c r="Q69" s="18" t="n">
        <v>26.38</v>
      </c>
      <c r="R69" s="18" t="n">
        <v>84.69</v>
      </c>
      <c r="S69" s="18" t="n">
        <v>-96.51000000000001</v>
      </c>
      <c r="U69" s="9" t="n"/>
      <c r="Z69" s="9" t="n"/>
      <c r="AB69" s="5" t="n"/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지분법관련손익</t>
        </is>
      </c>
      <c r="E70" s="18" t="n">
        <v>-1379.92</v>
      </c>
      <c r="F70" s="9" t="n"/>
      <c r="G70" s="18" t="n">
        <v>-147.01</v>
      </c>
      <c r="H70" s="18" t="n">
        <v>118.79</v>
      </c>
      <c r="I70" s="18" t="n">
        <v>168.73</v>
      </c>
      <c r="J70" s="18" t="n">
        <v>-159.87</v>
      </c>
      <c r="K70" s="37" t="n">
        <v>-19.36</v>
      </c>
      <c r="L70" s="18" t="n">
        <v>-592.85</v>
      </c>
      <c r="M70" s="18" t="n">
        <v>-4.99</v>
      </c>
      <c r="O70" s="18" t="n">
        <v>0</v>
      </c>
      <c r="P70" s="9" t="n"/>
      <c r="Q70" s="18" t="n">
        <v>26.38</v>
      </c>
      <c r="R70" s="18" t="n">
        <v>84.69</v>
      </c>
      <c r="S70" s="18" t="n">
        <v>-96.51000000000001</v>
      </c>
      <c r="U70" s="9" t="n"/>
      <c r="Z70" s="9" t="n"/>
      <c r="AB70" s="5" t="n"/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금융수익</t>
        </is>
      </c>
      <c r="E71" s="18" t="n">
        <v>2773.94</v>
      </c>
      <c r="F71" s="9" t="n"/>
      <c r="G71" s="18" t="n">
        <v>2302.86</v>
      </c>
      <c r="H71" s="18" t="n">
        <v>5733.97</v>
      </c>
      <c r="I71" s="18" t="n">
        <v>6341.59</v>
      </c>
      <c r="J71" s="18" t="n">
        <v>2126.71</v>
      </c>
      <c r="K71" s="37" t="n">
        <v>16505.13</v>
      </c>
      <c r="L71" s="18" t="n">
        <v>3299.16</v>
      </c>
      <c r="M71" s="18" t="n">
        <v>6460.19</v>
      </c>
      <c r="N71" s="18" t="n">
        <v>4055.81</v>
      </c>
      <c r="O71" s="18" t="n">
        <v>3381.27</v>
      </c>
      <c r="P71" s="37" t="n">
        <v>17196.43</v>
      </c>
      <c r="Q71" s="18" t="n">
        <v>6095.31</v>
      </c>
      <c r="R71" s="18" t="n">
        <v>4463.38</v>
      </c>
      <c r="S71" s="18" t="n">
        <v>5333.8</v>
      </c>
      <c r="T71" s="18" t="n">
        <v>7707.81</v>
      </c>
      <c r="U71" s="37" t="n">
        <v>23600.3</v>
      </c>
      <c r="V71" s="18" t="n">
        <v>7210.55</v>
      </c>
      <c r="W71" s="18" t="n">
        <v>25333.78</v>
      </c>
      <c r="X71" s="18" t="n">
        <v>1015.75</v>
      </c>
      <c r="Y71" s="18" t="n">
        <v>8144.09</v>
      </c>
      <c r="Z71" s="37" t="n">
        <v>41704.17</v>
      </c>
      <c r="AA71" s="18" t="n">
        <v>33312.07</v>
      </c>
      <c r="AB71" s="19" t="n">
        <v>10724.98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금융비용</t>
        </is>
      </c>
      <c r="E72" s="18" t="n">
        <v>1253.52</v>
      </c>
      <c r="F72" s="9" t="n"/>
      <c r="G72" s="18" t="n">
        <v>2180.22</v>
      </c>
      <c r="H72" s="18" t="n">
        <v>6901.31</v>
      </c>
      <c r="I72" s="18" t="n">
        <v>17240.09</v>
      </c>
      <c r="J72" s="18" t="n">
        <v>-5984.56</v>
      </c>
      <c r="K72" s="37" t="n">
        <v>20337.06</v>
      </c>
      <c r="L72" s="18" t="n">
        <v>7210.52</v>
      </c>
      <c r="M72" s="18" t="n">
        <v>1282.13</v>
      </c>
      <c r="N72" s="18" t="n">
        <v>7440.69</v>
      </c>
      <c r="O72" s="18" t="n">
        <v>1706.49</v>
      </c>
      <c r="P72" s="37" t="n">
        <v>17639.83</v>
      </c>
      <c r="Q72" s="18" t="n">
        <v>8369.49</v>
      </c>
      <c r="R72" s="18" t="n">
        <v>7068.48</v>
      </c>
      <c r="S72" s="18" t="n">
        <v>1419.27</v>
      </c>
      <c r="T72" s="18" t="n">
        <v>24770.87</v>
      </c>
      <c r="U72" s="37" t="n">
        <v>41628.11</v>
      </c>
      <c r="V72" s="18" t="n">
        <v>8121.01</v>
      </c>
      <c r="W72" s="18" t="n">
        <v>21257.65</v>
      </c>
      <c r="X72" s="18" t="n">
        <v>9284.219999999999</v>
      </c>
      <c r="Y72" s="18" t="n">
        <v>6593.01</v>
      </c>
      <c r="Z72" s="37" t="n">
        <v>45255.89</v>
      </c>
      <c r="AA72" s="18" t="n">
        <v>52603.48</v>
      </c>
      <c r="AB72" s="19" t="n">
        <v>13778.26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법인세비용차감전계속사업이익</t>
        </is>
      </c>
      <c r="E73" s="18" t="n">
        <v>-3986.95</v>
      </c>
      <c r="F73" s="9" t="n"/>
      <c r="G73" s="18" t="n">
        <v>4334.42</v>
      </c>
      <c r="H73" s="18" t="n">
        <v>10427.41</v>
      </c>
      <c r="I73" s="18" t="n">
        <v>1983.91</v>
      </c>
      <c r="J73" s="18" t="n">
        <v>12154.35</v>
      </c>
      <c r="K73" s="37" t="n">
        <v>28900.09</v>
      </c>
      <c r="L73" s="18" t="n">
        <v>-690.41</v>
      </c>
      <c r="M73" s="18" t="n">
        <v>6541.31</v>
      </c>
      <c r="N73" s="18" t="n">
        <v>2436.18</v>
      </c>
      <c r="O73" s="18" t="n">
        <v>-15350.51</v>
      </c>
      <c r="P73" s="37" t="n">
        <v>-7063.43</v>
      </c>
      <c r="Q73" s="18" t="n">
        <v>1829.18</v>
      </c>
      <c r="R73" s="18" t="n">
        <v>15030.75</v>
      </c>
      <c r="S73" s="18" t="n">
        <v>11855.1</v>
      </c>
      <c r="T73" s="18" t="n">
        <v>-275.82</v>
      </c>
      <c r="U73" s="37" t="n">
        <v>28439.21</v>
      </c>
      <c r="V73" s="18" t="n">
        <v>28893.14</v>
      </c>
      <c r="W73" s="18" t="n">
        <v>35964.98</v>
      </c>
      <c r="X73" s="18" t="n">
        <v>21614.26</v>
      </c>
      <c r="Y73" s="18" t="n">
        <v>45391.23</v>
      </c>
      <c r="Z73" s="37" t="n">
        <v>131863.61</v>
      </c>
      <c r="AA73" s="18" t="n">
        <v>21732.84</v>
      </c>
      <c r="AB73" s="19" t="n">
        <v>48544.14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법인세비용</t>
        </is>
      </c>
      <c r="E74" s="18" t="n">
        <v>4695.85</v>
      </c>
      <c r="F74" s="9" t="n"/>
      <c r="G74" s="18" t="n">
        <v>1231.35</v>
      </c>
      <c r="H74" s="18" t="n">
        <v>1490.01</v>
      </c>
      <c r="I74" s="18" t="n">
        <v>2831.9</v>
      </c>
      <c r="J74" s="18" t="n">
        <v>3085.95</v>
      </c>
      <c r="K74" s="37" t="n">
        <v>8639.209999999999</v>
      </c>
      <c r="L74" s="18" t="n">
        <v>1254.02</v>
      </c>
      <c r="M74" s="18" t="n">
        <v>-379.45</v>
      </c>
      <c r="N74" s="18" t="n">
        <v>3496.45</v>
      </c>
      <c r="O74" s="18" t="n">
        <v>2011.86</v>
      </c>
      <c r="P74" s="37" t="n">
        <v>6382.88</v>
      </c>
      <c r="Q74" s="18" t="n">
        <v>1809.05</v>
      </c>
      <c r="R74" s="18" t="n">
        <v>6364.56</v>
      </c>
      <c r="S74" s="18" t="n">
        <v>-413.91</v>
      </c>
      <c r="T74" s="18" t="n">
        <v>355.55</v>
      </c>
      <c r="U74" s="37" t="n">
        <v>8115.25</v>
      </c>
      <c r="V74" s="18" t="n">
        <v>7037.28</v>
      </c>
      <c r="W74" s="18" t="n">
        <v>6607.14</v>
      </c>
      <c r="X74" s="18" t="n">
        <v>5951.8</v>
      </c>
      <c r="Y74" s="18" t="n">
        <v>10523.67</v>
      </c>
      <c r="Z74" s="37" t="n">
        <v>30119.89</v>
      </c>
      <c r="AA74" s="18" t="n">
        <v>6209.77</v>
      </c>
      <c r="AB74" s="19" t="n">
        <v>11982.47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계속사업이익</t>
        </is>
      </c>
      <c r="E75" s="18" t="n">
        <v>-8682.799999999999</v>
      </c>
      <c r="F75" s="9" t="n"/>
      <c r="G75" s="18" t="n">
        <v>3103.07</v>
      </c>
      <c r="H75" s="18" t="n">
        <v>8937.4</v>
      </c>
      <c r="I75" s="18" t="n">
        <v>-847.99</v>
      </c>
      <c r="J75" s="18" t="n">
        <v>9068.4</v>
      </c>
      <c r="K75" s="37" t="n">
        <v>20260.88</v>
      </c>
      <c r="L75" s="18" t="n">
        <v>-1944.42</v>
      </c>
      <c r="M75" s="18" t="n">
        <v>6920.76</v>
      </c>
      <c r="N75" s="18" t="n">
        <v>-1060.27</v>
      </c>
      <c r="O75" s="18" t="n">
        <v>-17362.37</v>
      </c>
      <c r="P75" s="37" t="n">
        <v>-13446.3</v>
      </c>
      <c r="Q75" s="18" t="n">
        <v>20.14</v>
      </c>
      <c r="R75" s="18" t="n">
        <v>8666.190000000001</v>
      </c>
      <c r="S75" s="18" t="n">
        <v>12269.01</v>
      </c>
      <c r="T75" s="18" t="n">
        <v>-631.38</v>
      </c>
      <c r="U75" s="37" t="n">
        <v>20323.96</v>
      </c>
      <c r="V75" s="18" t="n">
        <v>21855.86</v>
      </c>
      <c r="W75" s="18" t="n">
        <v>29357.84</v>
      </c>
      <c r="X75" s="18" t="n">
        <v>15662.46</v>
      </c>
      <c r="Y75" s="18" t="n">
        <v>34867.56</v>
      </c>
      <c r="Z75" s="37" t="n">
        <v>101743.72</v>
      </c>
      <c r="AA75" s="18" t="n">
        <v>15523.07</v>
      </c>
      <c r="AB75" s="19" t="n">
        <v>36561.67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중단사업이익</t>
        </is>
      </c>
      <c r="E76" s="18" t="n">
        <v>-8.029999999999999</v>
      </c>
      <c r="F76" s="9" t="n"/>
      <c r="G76" s="18" t="n">
        <v>6.18</v>
      </c>
      <c r="H76" s="18" t="n">
        <v>0.13</v>
      </c>
      <c r="I76" s="18" t="n">
        <v>0.18</v>
      </c>
      <c r="J76" s="18" t="n">
        <v>-6.5</v>
      </c>
      <c r="K76" s="37" t="n">
        <v>-0.01</v>
      </c>
      <c r="L76" s="18" t="n">
        <v>5.99</v>
      </c>
      <c r="M76" s="18" t="n">
        <v>0.09</v>
      </c>
      <c r="N76" s="18" t="n">
        <v>0.03</v>
      </c>
      <c r="O76" s="18" t="n">
        <v>-9.24</v>
      </c>
      <c r="P76" s="37" t="n">
        <v>-3.13</v>
      </c>
      <c r="R76" s="18" t="n">
        <v>0</v>
      </c>
      <c r="T76" s="18" t="n">
        <v>-2.61</v>
      </c>
      <c r="U76" s="9" t="n"/>
      <c r="V76" s="18" t="n">
        <v>0</v>
      </c>
      <c r="W76" s="18" t="n">
        <v>-0.18</v>
      </c>
      <c r="X76" s="18" t="n">
        <v>0</v>
      </c>
      <c r="Y76" s="18" t="n">
        <v>0</v>
      </c>
      <c r="Z76" s="37" t="n">
        <v>-0.18</v>
      </c>
      <c r="AA76" s="18" t="n">
        <v>0</v>
      </c>
      <c r="AB76" s="19" t="n">
        <v>0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당기순이익</t>
        </is>
      </c>
      <c r="E77" s="18" t="n">
        <v>-8690.83</v>
      </c>
      <c r="F77" s="9" t="n"/>
      <c r="G77" s="18" t="n">
        <v>3109.25</v>
      </c>
      <c r="H77" s="18" t="n">
        <v>8937.530000000001</v>
      </c>
      <c r="I77" s="18" t="n">
        <v>-847.8099999999999</v>
      </c>
      <c r="J77" s="18" t="n">
        <v>9061.9</v>
      </c>
      <c r="K77" s="37" t="n">
        <v>20260.87</v>
      </c>
      <c r="L77" s="18" t="n">
        <v>-1938.44</v>
      </c>
      <c r="M77" s="18" t="n">
        <v>6920.85</v>
      </c>
      <c r="N77" s="18" t="n">
        <v>-1060.24</v>
      </c>
      <c r="O77" s="18" t="n">
        <v>-17371.61</v>
      </c>
      <c r="P77" s="37" t="n">
        <v>-13449.44</v>
      </c>
      <c r="Q77" s="18" t="n">
        <v>20.14</v>
      </c>
      <c r="R77" s="18" t="n">
        <v>8666.190000000001</v>
      </c>
      <c r="S77" s="18" t="n">
        <v>12269.01</v>
      </c>
      <c r="T77" s="18" t="n">
        <v>-633.99</v>
      </c>
      <c r="U77" s="37" t="n">
        <v>20321.35</v>
      </c>
      <c r="V77" s="18" t="n">
        <v>21855.86</v>
      </c>
      <c r="W77" s="18" t="n">
        <v>29357.66</v>
      </c>
      <c r="X77" s="18" t="n">
        <v>15662.46</v>
      </c>
      <c r="Y77" s="18" t="n">
        <v>34867.56</v>
      </c>
      <c r="Z77" s="37" t="n">
        <v>101743.54</v>
      </c>
      <c r="AA77" s="18" t="n">
        <v>15523.07</v>
      </c>
      <c r="AB77" s="19" t="n">
        <v>36561.67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총포괄손익</t>
        </is>
      </c>
      <c r="E78" s="18" t="n">
        <v>-7959.11</v>
      </c>
      <c r="F78" s="9" t="n"/>
      <c r="G78" s="18" t="n">
        <v>3012.63</v>
      </c>
      <c r="H78" s="18" t="n">
        <v>11565.93</v>
      </c>
      <c r="I78" s="18" t="n">
        <v>3068.57</v>
      </c>
      <c r="J78" s="18" t="n">
        <v>3974.7</v>
      </c>
      <c r="K78" s="37" t="n">
        <v>21621.83</v>
      </c>
      <c r="L78" s="18" t="n">
        <v>-803.78</v>
      </c>
      <c r="M78" s="18" t="n">
        <v>6953.18</v>
      </c>
      <c r="N78" s="18" t="n">
        <v>-1258.17</v>
      </c>
      <c r="O78" s="18" t="n">
        <v>-20412.49</v>
      </c>
      <c r="P78" s="37" t="n">
        <v>-15521.26</v>
      </c>
      <c r="Q78" s="18" t="n">
        <v>39.87</v>
      </c>
      <c r="R78" s="18" t="n">
        <v>9951.450000000001</v>
      </c>
      <c r="S78" s="18" t="n">
        <v>10992.91</v>
      </c>
      <c r="T78" s="18" t="n">
        <v>4066.67</v>
      </c>
      <c r="U78" s="37" t="n">
        <v>25050.9</v>
      </c>
      <c r="V78" s="18" t="n">
        <v>20796.92</v>
      </c>
      <c r="W78" s="18" t="n">
        <v>19594.05</v>
      </c>
      <c r="X78" s="18" t="n">
        <v>14689.3</v>
      </c>
      <c r="Y78" s="18" t="n">
        <v>41243.6</v>
      </c>
      <c r="Z78" s="37" t="n">
        <v>96323.87</v>
      </c>
      <c r="AA78" s="18" t="n">
        <v>16539.96</v>
      </c>
      <c r="AB78" s="19" t="n">
        <v>38032.95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금융손익</t>
        </is>
      </c>
      <c r="E79" s="18" t="n">
        <v>1520.42</v>
      </c>
      <c r="F79" s="9" t="n"/>
      <c r="G79" s="18" t="n">
        <v>122.64</v>
      </c>
      <c r="H79" s="18" t="n">
        <v>-1167.34</v>
      </c>
      <c r="I79" s="18" t="n">
        <v>-10898.5</v>
      </c>
      <c r="J79" s="18" t="n">
        <v>8111.27</v>
      </c>
      <c r="K79" s="37" t="n">
        <v>-3831.93</v>
      </c>
      <c r="L79" s="18" t="n">
        <v>-3911.36</v>
      </c>
      <c r="M79" s="18" t="n">
        <v>5178.06</v>
      </c>
      <c r="N79" s="18" t="n">
        <v>-3384.88</v>
      </c>
      <c r="O79" s="18" t="n">
        <v>1674.78</v>
      </c>
      <c r="P79" s="37" t="n">
        <v>-443.4</v>
      </c>
      <c r="Q79" s="18" t="n">
        <v>-2274.18</v>
      </c>
      <c r="R79" s="18" t="n">
        <v>-2605.1</v>
      </c>
      <c r="S79" s="18" t="n">
        <v>3914.53</v>
      </c>
      <c r="T79" s="18" t="n">
        <v>-17063.06</v>
      </c>
      <c r="U79" s="37" t="n">
        <v>-18027.81</v>
      </c>
      <c r="V79" s="18" t="n">
        <v>-910.46</v>
      </c>
      <c r="W79" s="18" t="n">
        <v>4076.13</v>
      </c>
      <c r="X79" s="18" t="n">
        <v>-8268.469999999999</v>
      </c>
      <c r="Y79" s="18" t="n">
        <v>1551.08</v>
      </c>
      <c r="Z79" s="37" t="n">
        <v>-3551.72</v>
      </c>
      <c r="AA79" s="18" t="n">
        <v>-19291.41</v>
      </c>
      <c r="AB79" s="19" t="n">
        <v>-3053.28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기타영업외손익</t>
        </is>
      </c>
      <c r="E80" s="18" t="n">
        <v>-7404.64</v>
      </c>
      <c r="F80" s="9" t="n"/>
      <c r="G80" s="18" t="n">
        <v>75.41</v>
      </c>
      <c r="H80" s="18" t="n">
        <v>8984.32</v>
      </c>
      <c r="I80" s="18" t="n">
        <v>728.92</v>
      </c>
      <c r="J80" s="18" t="n">
        <v>-1835.32</v>
      </c>
      <c r="K80" s="37" t="n">
        <v>7953.33</v>
      </c>
      <c r="L80" s="18" t="n">
        <v>75.89</v>
      </c>
      <c r="M80" s="18" t="n">
        <v>-6526.33</v>
      </c>
      <c r="N80" s="18" t="n">
        <v>1206.76</v>
      </c>
      <c r="O80" s="18" t="n">
        <v>-17244.22</v>
      </c>
      <c r="P80" s="37" t="n">
        <v>-22487.9</v>
      </c>
      <c r="Q80" s="18" t="n">
        <v>1468.95</v>
      </c>
      <c r="R80" s="18" t="n">
        <v>-228.31</v>
      </c>
      <c r="S80" s="18" t="n">
        <v>352.95</v>
      </c>
      <c r="T80" s="18" t="n">
        <v>-470.12</v>
      </c>
      <c r="U80" s="37" t="n">
        <v>1123.47</v>
      </c>
      <c r="V80" s="18" t="n">
        <v>-1265.92</v>
      </c>
      <c r="W80" s="18" t="n">
        <v>298.21</v>
      </c>
      <c r="X80" s="18" t="n">
        <v>195.7</v>
      </c>
      <c r="Y80" s="18" t="n">
        <v>4631.26</v>
      </c>
      <c r="Z80" s="37" t="n">
        <v>3859.25</v>
      </c>
      <c r="AA80" s="18" t="n">
        <v>28.13</v>
      </c>
      <c r="AB80" s="19" t="n">
        <v>1288.18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(지배주주지분)당기순이익</t>
        </is>
      </c>
      <c r="E81" s="18" t="n">
        <v>-8690.83</v>
      </c>
      <c r="F81" s="9" t="n"/>
      <c r="G81" s="18" t="n">
        <v>3109.25</v>
      </c>
      <c r="H81" s="18" t="n">
        <v>8937.530000000001</v>
      </c>
      <c r="I81" s="18" t="n">
        <v>-847.8099999999999</v>
      </c>
      <c r="J81" s="18" t="n">
        <v>9061.9</v>
      </c>
      <c r="K81" s="37" t="n">
        <v>20260.87</v>
      </c>
      <c r="L81" s="18" t="n">
        <v>-1938.44</v>
      </c>
      <c r="M81" s="18" t="n">
        <v>6920.85</v>
      </c>
      <c r="N81" s="18" t="n">
        <v>-1060.24</v>
      </c>
      <c r="O81" s="18" t="n">
        <v>-17371.61</v>
      </c>
      <c r="P81" s="37" t="n">
        <v>-13449.44</v>
      </c>
      <c r="Q81" s="18" t="n">
        <v>20.14</v>
      </c>
      <c r="R81" s="18" t="n">
        <v>8666.190000000001</v>
      </c>
      <c r="S81" s="18" t="n">
        <v>12269.01</v>
      </c>
      <c r="T81" s="18" t="n">
        <v>-633.99</v>
      </c>
      <c r="U81" s="37" t="n">
        <v>20321.35</v>
      </c>
      <c r="V81" s="18" t="n">
        <v>21855.86</v>
      </c>
      <c r="W81" s="18" t="n">
        <v>29357.66</v>
      </c>
      <c r="X81" s="18" t="n">
        <v>15662.46</v>
      </c>
      <c r="Y81" s="18" t="n">
        <v>34867.56</v>
      </c>
      <c r="Z81" s="37" t="n">
        <v>101743.54</v>
      </c>
      <c r="AA81" s="18" t="n">
        <v>15523.07</v>
      </c>
      <c r="AB81" s="19" t="n">
        <v>36561.67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이자수익</t>
        </is>
      </c>
      <c r="F82" s="9" t="n"/>
      <c r="G82" s="18" t="n">
        <v>369.45</v>
      </c>
      <c r="H82" s="18" t="n">
        <v>386.72</v>
      </c>
      <c r="I82" s="18" t="n">
        <v>486.91</v>
      </c>
      <c r="J82" s="18" t="n">
        <v>702.3099999999999</v>
      </c>
      <c r="K82" s="37" t="n">
        <v>1945.39</v>
      </c>
      <c r="L82" s="18" t="n">
        <v>797.34</v>
      </c>
      <c r="M82" s="18" t="n">
        <v>795.96</v>
      </c>
      <c r="N82" s="18" t="n">
        <v>1338.48</v>
      </c>
      <c r="O82" s="18" t="n">
        <v>1372.57</v>
      </c>
      <c r="P82" s="37" t="n">
        <v>4304.35</v>
      </c>
      <c r="Q82" s="18" t="n">
        <v>1273.5</v>
      </c>
      <c r="R82" s="18" t="n">
        <v>1137.14</v>
      </c>
      <c r="S82" s="18" t="n">
        <v>1473.11</v>
      </c>
      <c r="T82" s="18" t="n">
        <v>1198.9</v>
      </c>
      <c r="U82" s="37" t="n">
        <v>5082.65</v>
      </c>
      <c r="V82" s="18" t="n">
        <v>1270.42</v>
      </c>
      <c r="W82" s="18" t="n">
        <v>1282.52</v>
      </c>
      <c r="X82" s="18" t="n">
        <v>1014.47</v>
      </c>
      <c r="Y82" s="18" t="n">
        <v>787.12</v>
      </c>
      <c r="Z82" s="37" t="n">
        <v>4354.53</v>
      </c>
      <c r="AA82" s="18" t="n">
        <v>541.73</v>
      </c>
      <c r="AB82" s="19" t="n">
        <v>456.22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이자비용</t>
        </is>
      </c>
      <c r="F83" s="9" t="n"/>
      <c r="G83" s="18" t="n">
        <v>209.11</v>
      </c>
      <c r="H83" s="18" t="n">
        <v>190.68</v>
      </c>
      <c r="I83" s="18" t="n">
        <v>628.13</v>
      </c>
      <c r="J83" s="18" t="n">
        <v>-114.39</v>
      </c>
      <c r="K83" s="37" t="n">
        <v>913.53</v>
      </c>
      <c r="L83" s="18" t="n">
        <v>562.38</v>
      </c>
      <c r="M83" s="18" t="n">
        <v>751.46</v>
      </c>
      <c r="N83" s="18" t="n">
        <v>1461.77</v>
      </c>
      <c r="O83" s="18" t="n">
        <v>1750.71</v>
      </c>
      <c r="P83" s="37" t="n">
        <v>4526.32</v>
      </c>
      <c r="Q83" s="18" t="n">
        <v>1516.6</v>
      </c>
      <c r="R83" s="18" t="n">
        <v>1317.15</v>
      </c>
      <c r="S83" s="18" t="n">
        <v>1437.56</v>
      </c>
      <c r="T83" s="18" t="n">
        <v>786.4400000000001</v>
      </c>
      <c r="U83" s="37" t="n">
        <v>5057.75</v>
      </c>
      <c r="V83" s="18" t="n">
        <v>893.55</v>
      </c>
      <c r="W83" s="18" t="n">
        <v>2089.03</v>
      </c>
      <c r="X83" s="18" t="n">
        <v>1596.08</v>
      </c>
      <c r="Y83" s="18" t="n">
        <v>1513.43</v>
      </c>
      <c r="Z83" s="37" t="n">
        <v>6092.09</v>
      </c>
      <c r="AA83" s="18" t="n">
        <v>1859.84</v>
      </c>
      <c r="AB83" s="19" t="n">
        <v>750.21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외환차익</t>
        </is>
      </c>
      <c r="F84" s="9" t="n"/>
      <c r="G84" s="18" t="n">
        <v>597.34</v>
      </c>
      <c r="H84" s="18" t="n">
        <v>2275.53</v>
      </c>
      <c r="I84" s="18" t="n">
        <v>2703.01</v>
      </c>
      <c r="J84" s="18" t="n">
        <v>1780.26</v>
      </c>
      <c r="K84" s="37" t="n">
        <v>7356.14</v>
      </c>
      <c r="L84" s="18" t="n">
        <v>1528.26</v>
      </c>
      <c r="M84" s="18" t="n">
        <v>1250.52</v>
      </c>
      <c r="N84" s="18" t="n">
        <v>2553.91</v>
      </c>
      <c r="O84" s="18" t="n">
        <v>1169.56</v>
      </c>
      <c r="P84" s="37" t="n">
        <v>6502.25</v>
      </c>
      <c r="Q84" s="18" t="n">
        <v>2302.92</v>
      </c>
      <c r="R84" s="18" t="n">
        <v>3024.79</v>
      </c>
      <c r="S84" s="18" t="n">
        <v>1326.81</v>
      </c>
      <c r="T84" s="18" t="n">
        <v>5114.12</v>
      </c>
      <c r="U84" s="37" t="n">
        <v>11768.64</v>
      </c>
      <c r="V84" s="18" t="n">
        <v>3427.68</v>
      </c>
      <c r="W84" s="18" t="n">
        <v>3023.88</v>
      </c>
      <c r="X84" s="18" t="n">
        <v>2493.72</v>
      </c>
      <c r="Y84" s="18" t="n">
        <v>7209.12</v>
      </c>
      <c r="Z84" s="37" t="n">
        <v>16154.4</v>
      </c>
      <c r="AA84" s="18" t="n">
        <v>7662.48</v>
      </c>
      <c r="AB84" s="19" t="n">
        <v>7573.53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외환차손</t>
        </is>
      </c>
      <c r="F85" s="9" t="n"/>
      <c r="G85" s="18" t="n">
        <v>140.59</v>
      </c>
      <c r="H85" s="18" t="n">
        <v>856.79</v>
      </c>
      <c r="I85" s="18" t="n">
        <v>838.38</v>
      </c>
      <c r="J85" s="18" t="n">
        <v>4123.68</v>
      </c>
      <c r="K85" s="37" t="n">
        <v>5959.44</v>
      </c>
      <c r="L85" s="18" t="n">
        <v>1307.42</v>
      </c>
      <c r="M85" s="18" t="n">
        <v>474.57</v>
      </c>
      <c r="N85" s="18" t="n">
        <v>1264.85</v>
      </c>
      <c r="O85" s="18" t="n">
        <v>2476.11</v>
      </c>
      <c r="P85" s="37" t="n">
        <v>5522.95</v>
      </c>
      <c r="Q85" s="18" t="n">
        <v>653.64</v>
      </c>
      <c r="R85" s="18" t="n">
        <v>986.3099999999999</v>
      </c>
      <c r="S85" s="18" t="n">
        <v>2163.78</v>
      </c>
      <c r="T85" s="18" t="n">
        <v>1728.18</v>
      </c>
      <c r="U85" s="37" t="n">
        <v>5531.91</v>
      </c>
      <c r="V85" s="18" t="n">
        <v>3698.64</v>
      </c>
      <c r="W85" s="18" t="n">
        <v>6173.31</v>
      </c>
      <c r="X85" s="18" t="n">
        <v>1845</v>
      </c>
      <c r="Y85" s="18" t="n">
        <v>5523.74</v>
      </c>
      <c r="Z85" s="37" t="n">
        <v>17240.69</v>
      </c>
      <c r="AA85" s="18" t="n">
        <v>3579.48</v>
      </c>
      <c r="AB85" s="19" t="n">
        <v>6319.09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외화환산이익</t>
        </is>
      </c>
      <c r="F86" s="9" t="n"/>
      <c r="G86" s="18" t="n">
        <v>307.2</v>
      </c>
      <c r="H86" s="18" t="n">
        <v>102.65</v>
      </c>
      <c r="I86" s="18" t="n">
        <v>1295.17</v>
      </c>
      <c r="J86" s="18" t="n">
        <v>-1310.99</v>
      </c>
      <c r="K86" s="37" t="n">
        <v>394.03</v>
      </c>
      <c r="L86" s="18" t="n">
        <v>173.54</v>
      </c>
      <c r="M86" s="18" t="n">
        <v>748.29</v>
      </c>
      <c r="N86" s="18" t="n">
        <v>-31.19</v>
      </c>
      <c r="O86" s="18" t="n">
        <v>-697.26</v>
      </c>
      <c r="P86" s="37" t="n">
        <v>193.38</v>
      </c>
      <c r="Q86" s="18" t="n">
        <v>1097.53</v>
      </c>
      <c r="R86" s="18" t="n">
        <v>-384.29</v>
      </c>
      <c r="S86" s="18" t="n">
        <v>-440.06</v>
      </c>
      <c r="T86" s="18" t="n">
        <v>648.27</v>
      </c>
      <c r="U86" s="37" t="n">
        <v>921.45</v>
      </c>
      <c r="V86" s="18" t="n">
        <v>845.34</v>
      </c>
      <c r="W86" s="18" t="n">
        <v>-804.9</v>
      </c>
      <c r="X86" s="18" t="n">
        <v>370.97</v>
      </c>
      <c r="Y86" s="18" t="n">
        <v>19.58</v>
      </c>
      <c r="Z86" s="37" t="n">
        <v>430.99</v>
      </c>
      <c r="AA86" s="18" t="n">
        <v>2644.71</v>
      </c>
      <c r="AB86" s="19" t="n">
        <v>-1258.81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이자손익</t>
        </is>
      </c>
      <c r="F87" s="9" t="n"/>
      <c r="G87" s="18" t="n">
        <v>160.34</v>
      </c>
      <c r="H87" s="18" t="n">
        <v>196.04</v>
      </c>
      <c r="I87" s="18" t="n">
        <v>-141.22</v>
      </c>
      <c r="J87" s="18" t="n">
        <v>816.7</v>
      </c>
      <c r="K87" s="37" t="n">
        <v>1031.86</v>
      </c>
      <c r="L87" s="18" t="n">
        <v>234.96</v>
      </c>
      <c r="M87" s="18" t="n">
        <v>44.5</v>
      </c>
      <c r="N87" s="18" t="n">
        <v>-123.29</v>
      </c>
      <c r="O87" s="18" t="n">
        <v>-378.14</v>
      </c>
      <c r="P87" s="37" t="n">
        <v>-221.97</v>
      </c>
      <c r="Q87" s="18" t="n">
        <v>-243.1</v>
      </c>
      <c r="R87" s="18" t="n">
        <v>-180.01</v>
      </c>
      <c r="S87" s="18" t="n">
        <v>35.55</v>
      </c>
      <c r="T87" s="18" t="n">
        <v>412.46</v>
      </c>
      <c r="U87" s="37" t="n">
        <v>24.9</v>
      </c>
      <c r="V87" s="18" t="n">
        <v>376.87</v>
      </c>
      <c r="W87" s="18" t="n">
        <v>-806.51</v>
      </c>
      <c r="X87" s="18" t="n">
        <v>-581.61</v>
      </c>
      <c r="Y87" s="18" t="n">
        <v>-726.3099999999999</v>
      </c>
      <c r="Z87" s="37" t="n">
        <v>-1737.56</v>
      </c>
      <c r="AA87" s="18" t="n">
        <v>-1318.11</v>
      </c>
      <c r="AB87" s="19" t="n">
        <v>-293.99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외화환산손실</t>
        </is>
      </c>
      <c r="F88" s="9" t="n"/>
      <c r="H88" s="18" t="n">
        <v>139.03</v>
      </c>
      <c r="K88" s="9" t="n"/>
      <c r="L88" s="18" t="n">
        <v>42.15</v>
      </c>
      <c r="M88" s="18" t="n">
        <v>-7.7</v>
      </c>
      <c r="N88" s="18" t="n">
        <v>260.2</v>
      </c>
      <c r="O88" s="18" t="n">
        <v>392.34</v>
      </c>
      <c r="P88" s="37" t="n">
        <v>686.99</v>
      </c>
      <c r="Q88" s="18" t="n">
        <v>240.67</v>
      </c>
      <c r="R88" s="18" t="n">
        <v>84.62</v>
      </c>
      <c r="S88" s="18" t="n">
        <v>217.37</v>
      </c>
      <c r="T88" s="18" t="n">
        <v>236.82</v>
      </c>
      <c r="U88" s="37" t="n">
        <v>779.48</v>
      </c>
      <c r="V88" s="18" t="n">
        <v>550.86</v>
      </c>
      <c r="W88" s="18" t="n">
        <v>343.49</v>
      </c>
      <c r="X88" s="18" t="n">
        <v>10.95</v>
      </c>
      <c r="Y88" s="18" t="n">
        <v>930.51</v>
      </c>
      <c r="Z88" s="37" t="n">
        <v>1835.81</v>
      </c>
      <c r="AA88" s="18" t="n">
        <v>2223.97</v>
      </c>
      <c r="AB88" s="19" t="n">
        <v>-711.33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(비지배주주지분)당기순이익</t>
        </is>
      </c>
      <c r="F89" s="9" t="n"/>
      <c r="K89" s="9" t="n"/>
      <c r="P89" s="9" t="n"/>
      <c r="U89" s="9" t="n"/>
      <c r="V89" s="18" t="n">
        <v>0</v>
      </c>
      <c r="X89" s="18" t="n">
        <v>0</v>
      </c>
      <c r="Y89" s="18" t="n">
        <v>0</v>
      </c>
      <c r="Z89" s="9" t="n"/>
      <c r="AA89" s="18" t="n">
        <v>0</v>
      </c>
      <c r="AB89" s="19" t="n">
        <v>0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배당금수익</t>
        </is>
      </c>
      <c r="F90" s="9" t="n"/>
      <c r="K90" s="9" t="n"/>
      <c r="P90" s="9" t="n"/>
      <c r="U90" s="9" t="n"/>
      <c r="V90" s="18" t="n">
        <v>28.03</v>
      </c>
      <c r="W90" s="18" t="n">
        <v>118.37</v>
      </c>
      <c r="X90" s="18" t="n">
        <v>242.96</v>
      </c>
      <c r="Y90" s="18" t="n">
        <v>176.95</v>
      </c>
      <c r="Z90" s="37" t="n">
        <v>566.3099999999999</v>
      </c>
      <c r="AA90" s="18" t="n">
        <v>925.54</v>
      </c>
      <c r="AB90" s="19" t="n">
        <v>105.44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파생상품이익</t>
        </is>
      </c>
      <c r="F91" s="9" t="n"/>
      <c r="K91" s="9" t="n"/>
      <c r="P91" s="9" t="n"/>
      <c r="U91" s="9" t="n"/>
      <c r="W91" s="18" t="n">
        <v>4985.2</v>
      </c>
      <c r="X91" s="18" t="n">
        <v>3298.69</v>
      </c>
      <c r="Y91" s="18" t="n">
        <v>-1619.12</v>
      </c>
      <c r="Z91" s="9" t="n"/>
      <c r="AA91" s="18" t="n">
        <v>8887.469999999999</v>
      </c>
      <c r="AB91" s="19" t="n">
        <v>-832.85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파생상품손실</t>
        </is>
      </c>
      <c r="F92" s="9" t="n"/>
      <c r="K92" s="9" t="n"/>
      <c r="P92" s="9" t="n"/>
      <c r="U92" s="9" t="n"/>
      <c r="W92" s="18" t="n">
        <v>12569.47</v>
      </c>
      <c r="X92" s="18" t="n">
        <v>6578.81</v>
      </c>
      <c r="Y92" s="18" t="n">
        <v>-19146.35</v>
      </c>
      <c r="Z92" s="9" t="n"/>
      <c r="AA92" s="18" t="n">
        <v>28630.13</v>
      </c>
      <c r="AB92" s="19" t="n">
        <v>2484.26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영업활동으로인한현금흐름</t>
        </is>
      </c>
      <c r="E93" s="18" t="n">
        <v>-530.36</v>
      </c>
      <c r="F93" s="9" t="n"/>
      <c r="G93" s="18" t="n">
        <v>-5034.76</v>
      </c>
      <c r="H93" s="18" t="n">
        <v>-32214.02</v>
      </c>
      <c r="I93" s="18" t="n">
        <v>-2962.09</v>
      </c>
      <c r="J93" s="18" t="n">
        <v>32412.02</v>
      </c>
      <c r="K93" s="37" t="n">
        <v>-7798.85</v>
      </c>
      <c r="L93" s="18" t="n">
        <v>-27449.22</v>
      </c>
      <c r="M93" s="18" t="n">
        <v>-1996.2</v>
      </c>
      <c r="N93" s="18" t="n">
        <v>42214.56</v>
      </c>
      <c r="O93" s="18" t="n">
        <v>43750.73</v>
      </c>
      <c r="P93" s="37" t="n">
        <v>56519.87</v>
      </c>
      <c r="Q93" s="18" t="n">
        <v>13586.72</v>
      </c>
      <c r="R93" s="18" t="n">
        <v>72049.03</v>
      </c>
      <c r="S93" s="18" t="n">
        <v>38931.98</v>
      </c>
      <c r="T93" s="18" t="n">
        <v>25966.46</v>
      </c>
      <c r="U93" s="37" t="n">
        <v>150534.19</v>
      </c>
      <c r="V93" s="18" t="n">
        <v>68777.55</v>
      </c>
      <c r="W93" s="18" t="n">
        <v>24604.77</v>
      </c>
      <c r="X93" s="18" t="n">
        <v>1794.97</v>
      </c>
      <c r="Y93" s="18" t="n">
        <v>36365.7</v>
      </c>
      <c r="Z93" s="37" t="n">
        <v>131542.99</v>
      </c>
      <c r="AA93" s="18" t="n">
        <v>25882.55</v>
      </c>
      <c r="AB93" s="19" t="n">
        <v>42768.85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배당금수취(CF)</t>
        </is>
      </c>
      <c r="E94" s="18" t="n">
        <v>260.85</v>
      </c>
      <c r="F94" s="9" t="n"/>
      <c r="G94" s="18" t="n">
        <v>80.48999999999999</v>
      </c>
      <c r="H94" s="18" t="n">
        <v>644.6799999999999</v>
      </c>
      <c r="I94" s="18" t="n">
        <v>90.19</v>
      </c>
      <c r="J94" s="18" t="n">
        <v>146.97</v>
      </c>
      <c r="K94" s="37" t="n">
        <v>962.33</v>
      </c>
      <c r="L94" s="18" t="n">
        <v>304.32</v>
      </c>
      <c r="M94" s="18" t="n">
        <v>140.14</v>
      </c>
      <c r="N94" s="18" t="n">
        <v>720.71</v>
      </c>
      <c r="O94" s="18" t="n">
        <v>12.9</v>
      </c>
      <c r="P94" s="37" t="n">
        <v>1178.07</v>
      </c>
      <c r="Q94" s="18" t="n">
        <v>55.84</v>
      </c>
      <c r="R94" s="18" t="n">
        <v>1479.64</v>
      </c>
      <c r="S94" s="18" t="n">
        <v>-1083.53</v>
      </c>
      <c r="T94" s="18" t="n">
        <v>-176.43</v>
      </c>
      <c r="U94" s="37" t="n">
        <v>275.52</v>
      </c>
      <c r="V94" s="18" t="n">
        <v>55.98</v>
      </c>
      <c r="W94" s="18" t="n">
        <v>134.39</v>
      </c>
      <c r="X94" s="18" t="n">
        <v>259.83</v>
      </c>
      <c r="Y94" s="18" t="n">
        <v>176.95</v>
      </c>
      <c r="Z94" s="37" t="n">
        <v>627.15</v>
      </c>
      <c r="AA94" s="18" t="n">
        <v>940.99</v>
      </c>
      <c r="AB94" s="19" t="n">
        <v>105.44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법인세납부(CF)</t>
        </is>
      </c>
      <c r="E95" s="18" t="n">
        <v>-301.46</v>
      </c>
      <c r="F95" s="9" t="n"/>
      <c r="G95" s="18" t="n">
        <v>-2960.82</v>
      </c>
      <c r="H95" s="18" t="n">
        <v>-4211.69</v>
      </c>
      <c r="I95" s="18" t="n">
        <v>-3071.46</v>
      </c>
      <c r="J95" s="18" t="n">
        <v>-5251.16</v>
      </c>
      <c r="K95" s="37" t="n">
        <v>-15495.13</v>
      </c>
      <c r="L95" s="18" t="n">
        <v>-3022.94</v>
      </c>
      <c r="M95" s="18" t="n">
        <v>-1257.03</v>
      </c>
      <c r="N95" s="18" t="n">
        <v>-1969.93</v>
      </c>
      <c r="O95" s="18" t="n">
        <v>-4375.76</v>
      </c>
      <c r="P95" s="37" t="n">
        <v>-10625.66</v>
      </c>
      <c r="Q95" s="18" t="n">
        <v>-786.66</v>
      </c>
      <c r="R95" s="18" t="n">
        <v>854.3099999999999</v>
      </c>
      <c r="S95" s="18" t="n">
        <v>172.86</v>
      </c>
      <c r="T95" s="18" t="n">
        <v>-1448.94</v>
      </c>
      <c r="U95" s="37" t="n">
        <v>-1208.43</v>
      </c>
      <c r="V95" s="18" t="n">
        <v>-5260.97</v>
      </c>
      <c r="W95" s="18" t="n">
        <v>-4895.9</v>
      </c>
      <c r="X95" s="18" t="n">
        <v>-5833.57</v>
      </c>
      <c r="Y95" s="18" t="n">
        <v>-330.6</v>
      </c>
      <c r="Z95" s="37" t="n">
        <v>-16321.04</v>
      </c>
      <c r="AA95" s="18" t="n">
        <v>-14198.13</v>
      </c>
      <c r="AB95" s="19" t="n">
        <v>-17637.08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투자활동으로인한현금흐름</t>
        </is>
      </c>
      <c r="E96" s="18" t="n">
        <v>-326.98</v>
      </c>
      <c r="F96" s="9" t="n"/>
      <c r="G96" s="18" t="n">
        <v>9328.360000000001</v>
      </c>
      <c r="H96" s="18" t="n">
        <v>-2663.32</v>
      </c>
      <c r="I96" s="18" t="n">
        <v>-4977.9</v>
      </c>
      <c r="J96" s="18" t="n">
        <v>-13212.11</v>
      </c>
      <c r="K96" s="37" t="n">
        <v>-11524.97</v>
      </c>
      <c r="L96" s="18" t="n">
        <v>-11398.89</v>
      </c>
      <c r="M96" s="18" t="n">
        <v>-17625.6</v>
      </c>
      <c r="N96" s="18" t="n">
        <v>4821.83</v>
      </c>
      <c r="O96" s="18" t="n">
        <v>-20225.96</v>
      </c>
      <c r="P96" s="37" t="n">
        <v>-44428.62</v>
      </c>
      <c r="Q96" s="18" t="n">
        <v>-18871.9</v>
      </c>
      <c r="R96" s="18" t="n">
        <v>-14377.61</v>
      </c>
      <c r="S96" s="18" t="n">
        <v>-27945</v>
      </c>
      <c r="T96" s="18" t="n">
        <v>-20412.25</v>
      </c>
      <c r="U96" s="37" t="n">
        <v>-81606.75999999999</v>
      </c>
      <c r="V96" s="18" t="n">
        <v>-7348.66</v>
      </c>
      <c r="W96" s="18" t="n">
        <v>-60375.22</v>
      </c>
      <c r="X96" s="18" t="n">
        <v>5902.09</v>
      </c>
      <c r="Y96" s="18" t="n">
        <v>-126078.18</v>
      </c>
      <c r="Z96" s="37" t="n">
        <v>-187899.97</v>
      </c>
      <c r="AA96" s="18" t="n">
        <v>-28805.59</v>
      </c>
      <c r="AB96" s="19" t="n">
        <v>-10662.14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무형자산의증가</t>
        </is>
      </c>
      <c r="E97" s="18" t="n">
        <v>0.04</v>
      </c>
      <c r="F97" s="9" t="n"/>
      <c r="G97" s="18" t="n">
        <v>1.64</v>
      </c>
      <c r="H97" s="18" t="n">
        <v>11.22</v>
      </c>
      <c r="I97" s="18" t="n">
        <v>0.02</v>
      </c>
      <c r="J97" s="18" t="n">
        <v>92.40000000000001</v>
      </c>
      <c r="K97" s="37" t="n">
        <v>105.28</v>
      </c>
      <c r="L97" s="18" t="n">
        <v>25.62</v>
      </c>
      <c r="M97" s="18" t="n">
        <v>0.15</v>
      </c>
      <c r="N97" s="18" t="n">
        <v>82.59999999999999</v>
      </c>
      <c r="O97" s="18" t="n">
        <v>122.2</v>
      </c>
      <c r="P97" s="37" t="n">
        <v>230.57</v>
      </c>
      <c r="S97" s="18" t="n">
        <v>0</v>
      </c>
      <c r="T97" s="18" t="n">
        <v>6228.67</v>
      </c>
      <c r="U97" s="9" t="n"/>
      <c r="X97" s="18" t="n">
        <v>279.5</v>
      </c>
      <c r="Z97" s="9" t="n"/>
      <c r="AA97" s="18" t="n">
        <v>4.99</v>
      </c>
      <c r="AB97" s="19" t="n">
        <v>654.01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CAPEX</t>
        </is>
      </c>
      <c r="E98" s="18" t="n">
        <v>0.04</v>
      </c>
      <c r="F98" s="9" t="n"/>
      <c r="G98" s="18" t="n">
        <v>1.64</v>
      </c>
      <c r="H98" s="18" t="n">
        <v>11.22</v>
      </c>
      <c r="I98" s="18" t="n">
        <v>0.02</v>
      </c>
      <c r="J98" s="18" t="n">
        <v>92.40000000000001</v>
      </c>
      <c r="K98" s="37" t="n">
        <v>105.28</v>
      </c>
      <c r="L98" s="18" t="n">
        <v>25.62</v>
      </c>
      <c r="M98" s="18" t="n">
        <v>0.15</v>
      </c>
      <c r="N98" s="18" t="n">
        <v>82.59999999999999</v>
      </c>
      <c r="O98" s="18" t="n">
        <v>122.2</v>
      </c>
      <c r="P98" s="37" t="n">
        <v>230.57</v>
      </c>
      <c r="S98" s="18" t="n">
        <v>0</v>
      </c>
      <c r="T98" s="18" t="n">
        <v>6228.67</v>
      </c>
      <c r="U98" s="9" t="n"/>
      <c r="X98" s="18" t="n">
        <v>279.5</v>
      </c>
      <c r="Z98" s="9" t="n"/>
      <c r="AA98" s="18" t="n">
        <v>4.99</v>
      </c>
      <c r="AB98" s="19" t="n">
        <v>654.01</v>
      </c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재무활동으로인한현금흐름</t>
        </is>
      </c>
      <c r="E99" s="18" t="n">
        <v>-781.5599999999999</v>
      </c>
      <c r="F99" s="9" t="n"/>
      <c r="G99" s="18" t="n">
        <v>1904.43</v>
      </c>
      <c r="H99" s="18" t="n">
        <v>-6445.66</v>
      </c>
      <c r="I99" s="18" t="n">
        <v>27239.18</v>
      </c>
      <c r="J99" s="18" t="n">
        <v>2375.67</v>
      </c>
      <c r="K99" s="37" t="n">
        <v>25073.62</v>
      </c>
      <c r="L99" s="18" t="n">
        <v>11463.74</v>
      </c>
      <c r="M99" s="18" t="n">
        <v>13499.35</v>
      </c>
      <c r="N99" s="18" t="n">
        <v>-27169.08</v>
      </c>
      <c r="O99" s="18" t="n">
        <v>-3057.9</v>
      </c>
      <c r="P99" s="37" t="n">
        <v>-5263.89</v>
      </c>
      <c r="Q99" s="18" t="n">
        <v>-24574.07</v>
      </c>
      <c r="R99" s="18" t="n">
        <v>-13619.22</v>
      </c>
      <c r="S99" s="18" t="n">
        <v>-13939.73</v>
      </c>
      <c r="T99" s="18" t="n">
        <v>-29532.14</v>
      </c>
      <c r="U99" s="37" t="n">
        <v>-81665.16</v>
      </c>
      <c r="V99" s="18" t="n">
        <v>-9148.450000000001</v>
      </c>
      <c r="W99" s="18" t="n">
        <v>18791.52</v>
      </c>
      <c r="X99" s="18" t="n">
        <v>-1132.35</v>
      </c>
      <c r="Y99" s="18" t="n">
        <v>47972.09</v>
      </c>
      <c r="Z99" s="37" t="n">
        <v>56482.81</v>
      </c>
      <c r="AA99" s="18" t="n">
        <v>26592.09</v>
      </c>
      <c r="AB99" s="19" t="n">
        <v>-2354.78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단기차입금의증가</t>
        </is>
      </c>
      <c r="E100" s="18" t="n">
        <v>335</v>
      </c>
      <c r="F100" s="9" t="n"/>
      <c r="G100" s="18" t="n">
        <v>296</v>
      </c>
      <c r="H100" s="18" t="n">
        <v>5212</v>
      </c>
      <c r="I100" s="18" t="n">
        <v>23543</v>
      </c>
      <c r="J100" s="18" t="n">
        <v>14494</v>
      </c>
      <c r="K100" s="37" t="n">
        <v>43545</v>
      </c>
      <c r="L100" s="18" t="n">
        <v>49488.22</v>
      </c>
      <c r="M100" s="18" t="n">
        <v>23388.64</v>
      </c>
      <c r="N100" s="18" t="n">
        <v>27481.68</v>
      </c>
      <c r="P100" s="9" t="n"/>
      <c r="Q100" s="18" t="n">
        <v>5043.5</v>
      </c>
      <c r="R100" s="18" t="n">
        <v>1856.5</v>
      </c>
      <c r="S100" s="18" t="n">
        <v>34414.13</v>
      </c>
      <c r="T100" s="18" t="n">
        <v>18561.29</v>
      </c>
      <c r="U100" s="37" t="n">
        <v>59875.42</v>
      </c>
      <c r="V100" s="18" t="n">
        <v>905</v>
      </c>
      <c r="W100" s="18" t="n">
        <v>2040.82</v>
      </c>
      <c r="Y100" s="18" t="n">
        <v>66109.72</v>
      </c>
      <c r="Z100" s="9" t="n"/>
      <c r="AA100" s="18" t="n">
        <v>38870.23</v>
      </c>
      <c r="AB100" s="19" t="n">
        <v>46660.48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장기차입금의증가</t>
        </is>
      </c>
      <c r="E101" s="18" t="n">
        <v>0</v>
      </c>
      <c r="F101" s="9" t="n"/>
      <c r="G101" s="18" t="n">
        <v>6105.91</v>
      </c>
      <c r="H101" s="18" t="n">
        <v>0</v>
      </c>
      <c r="I101" s="18" t="n">
        <v>8205.91</v>
      </c>
      <c r="J101" s="18" t="n">
        <v>214</v>
      </c>
      <c r="K101" s="37" t="n">
        <v>14525.82</v>
      </c>
      <c r="L101" s="18" t="n">
        <v>105.91</v>
      </c>
      <c r="M101" s="18" t="n">
        <v>2700</v>
      </c>
      <c r="N101" s="18" t="n">
        <v>4800</v>
      </c>
      <c r="O101" s="18" t="n">
        <v>0</v>
      </c>
      <c r="P101" s="37" t="n">
        <v>7605.91</v>
      </c>
      <c r="Q101" s="18" t="n">
        <v>4500</v>
      </c>
      <c r="S101" s="18" t="n">
        <v>86.63</v>
      </c>
      <c r="T101" s="18" t="n">
        <v>5446.17</v>
      </c>
      <c r="U101" s="9" t="n"/>
      <c r="V101" s="18" t="n">
        <v>1235.05</v>
      </c>
      <c r="W101" s="18" t="n">
        <v>3764.95</v>
      </c>
      <c r="X101" s="18" t="n">
        <v>0</v>
      </c>
      <c r="Y101" s="18" t="n">
        <v>780</v>
      </c>
      <c r="Z101" s="37" t="n">
        <v>5780</v>
      </c>
      <c r="AA101" s="18" t="n">
        <v>1170</v>
      </c>
      <c r="AB101" s="19" t="n">
        <v>11330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단기차입금의감소</t>
        </is>
      </c>
      <c r="E102" s="18" t="n">
        <v>424</v>
      </c>
      <c r="F102" s="9" t="n"/>
      <c r="G102" s="18" t="n">
        <v>461</v>
      </c>
      <c r="H102" s="18" t="n">
        <v>719</v>
      </c>
      <c r="I102" s="18" t="n">
        <v>506</v>
      </c>
      <c r="J102" s="18" t="n">
        <v>4639</v>
      </c>
      <c r="K102" s="37" t="n">
        <v>6325</v>
      </c>
      <c r="L102" s="18" t="n">
        <v>37677</v>
      </c>
      <c r="M102" s="18" t="n">
        <v>5718</v>
      </c>
      <c r="N102" s="18" t="n">
        <v>42967.43</v>
      </c>
      <c r="P102" s="9" t="n"/>
      <c r="Q102" s="18" t="n">
        <v>32446.29</v>
      </c>
      <c r="R102" s="18" t="n">
        <v>7204.16</v>
      </c>
      <c r="S102" s="18" t="n">
        <v>36576.89</v>
      </c>
      <c r="T102" s="18" t="n">
        <v>48034.16</v>
      </c>
      <c r="U102" s="37" t="n">
        <v>124261.5</v>
      </c>
      <c r="V102" s="18" t="n">
        <v>5456.16</v>
      </c>
      <c r="W102" s="18" t="n">
        <v>19180.57</v>
      </c>
      <c r="Y102" s="18" t="n">
        <v>428.11</v>
      </c>
      <c r="Z102" s="9" t="n"/>
      <c r="AA102" s="18" t="n">
        <v>11585</v>
      </c>
      <c r="AB102" s="19" t="n">
        <v>38599.44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리스부채의상환</t>
        </is>
      </c>
      <c r="E103" s="18" t="n">
        <v>130.58</v>
      </c>
      <c r="F103" s="9" t="n"/>
      <c r="G103" s="18" t="n">
        <v>240.67</v>
      </c>
      <c r="H103" s="18" t="n">
        <v>246.2</v>
      </c>
      <c r="I103" s="18" t="n">
        <v>247.73</v>
      </c>
      <c r="J103" s="18" t="n">
        <v>367.51</v>
      </c>
      <c r="K103" s="37" t="n">
        <v>1102.11</v>
      </c>
      <c r="L103" s="18" t="n">
        <v>439.04</v>
      </c>
      <c r="M103" s="18" t="n">
        <v>451.63</v>
      </c>
      <c r="N103" s="18" t="n">
        <v>539.1900000000001</v>
      </c>
      <c r="O103" s="18" t="n">
        <v>510.58</v>
      </c>
      <c r="P103" s="37" t="n">
        <v>1940.44</v>
      </c>
      <c r="Q103" s="18" t="n">
        <v>529.6799999999999</v>
      </c>
      <c r="R103" s="18" t="n">
        <v>611.5700000000001</v>
      </c>
      <c r="S103" s="18" t="n">
        <v>489.8</v>
      </c>
      <c r="T103" s="18" t="n">
        <v>545.64</v>
      </c>
      <c r="U103" s="37" t="n">
        <v>2176.69</v>
      </c>
      <c r="V103" s="18" t="n">
        <v>548.04</v>
      </c>
      <c r="W103" s="18" t="n">
        <v>529.58</v>
      </c>
      <c r="X103" s="18" t="n">
        <v>682.01</v>
      </c>
      <c r="Y103" s="18" t="n">
        <v>878.96</v>
      </c>
      <c r="Z103" s="37" t="n">
        <v>2638.59</v>
      </c>
      <c r="AA103" s="18" t="n">
        <v>684.39</v>
      </c>
      <c r="AB103" s="19" t="n">
        <v>1231.34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배당금지급</t>
        </is>
      </c>
      <c r="E104" s="18" t="n">
        <v>0</v>
      </c>
      <c r="F104" s="9" t="n"/>
      <c r="I104" s="18" t="n">
        <v>0</v>
      </c>
      <c r="J104" s="18" t="n">
        <v>0</v>
      </c>
      <c r="K104" s="9" t="n"/>
      <c r="N104" s="18" t="n">
        <v>0</v>
      </c>
      <c r="O104" s="18" t="n">
        <v>0</v>
      </c>
      <c r="P104" s="9" t="n"/>
      <c r="S104" s="18" t="n">
        <v>0</v>
      </c>
      <c r="T104" s="18" t="n">
        <v>0</v>
      </c>
      <c r="U104" s="9" t="n"/>
      <c r="X104" s="18" t="n">
        <v>0</v>
      </c>
      <c r="Y104" s="18" t="n">
        <v>0</v>
      </c>
      <c r="Z104" s="9" t="n"/>
      <c r="AA104" s="18" t="n">
        <v>0</v>
      </c>
      <c r="AB104" s="19" t="n">
        <v>16117.68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유동성장기부채의감소</t>
        </is>
      </c>
      <c r="E105" s="18" t="n">
        <v>14.15</v>
      </c>
      <c r="F105" s="9" t="n"/>
      <c r="G105" s="18" t="n">
        <v>3795.81</v>
      </c>
      <c r="H105" s="18" t="n">
        <v>4238.81</v>
      </c>
      <c r="I105" s="18" t="n">
        <v>3795.81</v>
      </c>
      <c r="J105" s="18" t="n">
        <v>4118.14</v>
      </c>
      <c r="K105" s="37" t="n">
        <v>15948.57</v>
      </c>
      <c r="L105" s="18" t="n">
        <v>14.15</v>
      </c>
      <c r="M105" s="18" t="n">
        <v>485.44</v>
      </c>
      <c r="N105" s="18" t="n">
        <v>15.75</v>
      </c>
      <c r="O105" s="18" t="n">
        <v>734.37</v>
      </c>
      <c r="P105" s="37" t="n">
        <v>1249.71</v>
      </c>
      <c r="Q105" s="18" t="n">
        <v>941.6</v>
      </c>
      <c r="R105" s="18" t="n">
        <v>1530.16</v>
      </c>
      <c r="S105" s="18" t="n">
        <v>11239.3</v>
      </c>
      <c r="T105" s="18" t="n">
        <v>2514.3</v>
      </c>
      <c r="U105" s="37" t="n">
        <v>16225.36</v>
      </c>
      <c r="V105" s="18" t="n">
        <v>3284.3</v>
      </c>
      <c r="W105" s="18" t="n">
        <v>784.3</v>
      </c>
      <c r="X105" s="18" t="n">
        <v>784.3</v>
      </c>
      <c r="Y105" s="18" t="n">
        <v>3753.05</v>
      </c>
      <c r="Z105" s="37" t="n">
        <v>8605.950000000001</v>
      </c>
      <c r="AA105" s="18" t="n">
        <v>978.05</v>
      </c>
      <c r="AB105" s="19" t="n">
        <v>2609.3</v>
      </c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현금및현금성자산의증감</t>
        </is>
      </c>
      <c r="E106" s="18" t="n">
        <v>-2151.43</v>
      </c>
      <c r="F106" s="9" t="n"/>
      <c r="G106" s="18" t="n">
        <v>6283.24</v>
      </c>
      <c r="H106" s="18" t="n">
        <v>-41405</v>
      </c>
      <c r="I106" s="18" t="n">
        <v>20029.33</v>
      </c>
      <c r="J106" s="18" t="n">
        <v>19621.16</v>
      </c>
      <c r="K106" s="37" t="n">
        <v>4528.73</v>
      </c>
      <c r="L106" s="18" t="n">
        <v>-27419.12</v>
      </c>
      <c r="M106" s="18" t="n">
        <v>-6009.93</v>
      </c>
      <c r="N106" s="18" t="n">
        <v>26819.41</v>
      </c>
      <c r="O106" s="18" t="n">
        <v>19730.79</v>
      </c>
      <c r="P106" s="37" t="n">
        <v>13121.15</v>
      </c>
      <c r="Q106" s="18" t="n">
        <v>-29499.3</v>
      </c>
      <c r="R106" s="18" t="n">
        <v>44662.52</v>
      </c>
      <c r="S106" s="18" t="n">
        <v>-2094.22</v>
      </c>
      <c r="T106" s="18" t="n">
        <v>-22201.85</v>
      </c>
      <c r="U106" s="37" t="n">
        <v>-9132.85</v>
      </c>
      <c r="V106" s="18" t="n">
        <v>54217.67</v>
      </c>
      <c r="W106" s="18" t="n">
        <v>-18550.06</v>
      </c>
      <c r="X106" s="18" t="n">
        <v>9239.74</v>
      </c>
      <c r="Y106" s="18" t="n">
        <v>-44605.48</v>
      </c>
      <c r="Z106" s="37" t="n">
        <v>301.87</v>
      </c>
      <c r="AA106" s="18" t="n">
        <v>23543.3</v>
      </c>
      <c r="AB106" s="19" t="n">
        <v>29580.97</v>
      </c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기말현금및현금성자산</t>
        </is>
      </c>
      <c r="E107" s="18" t="n">
        <v>-2151.43</v>
      </c>
      <c r="F107" s="9" t="n"/>
      <c r="G107" s="18" t="n">
        <v>55331.27</v>
      </c>
      <c r="H107" s="18" t="n">
        <v>-41405</v>
      </c>
      <c r="I107" s="18" t="n">
        <v>20029.33</v>
      </c>
      <c r="J107" s="18" t="n">
        <v>19621.16</v>
      </c>
      <c r="K107" s="37" t="n">
        <v>53576.76</v>
      </c>
      <c r="L107" s="18" t="n">
        <v>26157.63</v>
      </c>
      <c r="M107" s="18" t="n">
        <v>-6009.93</v>
      </c>
      <c r="N107" s="18" t="n">
        <v>26819.42</v>
      </c>
      <c r="O107" s="18" t="n">
        <v>19730.79</v>
      </c>
      <c r="P107" s="37" t="n">
        <v>66697.91</v>
      </c>
      <c r="Q107" s="18" t="n">
        <v>37198.61</v>
      </c>
      <c r="R107" s="18" t="n">
        <v>44662.52</v>
      </c>
      <c r="S107" s="18" t="n">
        <v>-2094.22</v>
      </c>
      <c r="T107" s="18" t="n">
        <v>-22201.85</v>
      </c>
      <c r="U107" s="37" t="n">
        <v>57565.06</v>
      </c>
      <c r="V107" s="18" t="n">
        <v>111782.73</v>
      </c>
      <c r="W107" s="18" t="n">
        <v>-18550.06</v>
      </c>
      <c r="X107" s="18" t="n">
        <v>9239.74</v>
      </c>
      <c r="Y107" s="18" t="n">
        <v>-44605.48</v>
      </c>
      <c r="Z107" s="37" t="n">
        <v>57866.93</v>
      </c>
      <c r="AA107" s="18" t="n">
        <v>81410.23</v>
      </c>
      <c r="AB107" s="19" t="n">
        <v>29580.97</v>
      </c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  <row r="108">
      <c r="A108" t="n">
        <v>1</v>
      </c>
      <c r="C108" t="inlineStr">
        <is>
          <t>장기차입금의감소</t>
        </is>
      </c>
      <c r="F108" s="9" t="n"/>
      <c r="K108" s="9" t="n"/>
      <c r="N108" s="18" t="n">
        <v>0</v>
      </c>
      <c r="O108" s="18" t="n">
        <v>635.2</v>
      </c>
      <c r="P108" s="9" t="n"/>
      <c r="S108" s="18" t="n">
        <v>135</v>
      </c>
      <c r="T108" s="18" t="n">
        <v>2800</v>
      </c>
      <c r="U108" s="9" t="n"/>
      <c r="V108" s="18" t="n">
        <v>2000</v>
      </c>
      <c r="W108" s="18" t="n">
        <v>0</v>
      </c>
      <c r="X108" s="18" t="n">
        <v>0</v>
      </c>
      <c r="Y108" s="18" t="n">
        <v>3855</v>
      </c>
      <c r="Z108" s="37" t="n">
        <v>5855</v>
      </c>
      <c r="AA108" s="18" t="n">
        <v>0</v>
      </c>
      <c r="AB108" s="19" t="n">
        <v>1687.5</v>
      </c>
      <c r="AC108" s="10" t="n"/>
      <c r="AD108" s="10" t="n"/>
      <c r="AE108" s="11" t="n"/>
      <c r="AF108" s="10" t="n"/>
      <c r="AG108" s="10" t="n"/>
      <c r="AH108" s="10" t="n"/>
      <c r="AI108" s="10" t="n"/>
      <c r="AJ108" s="11" t="n"/>
      <c r="AK108" s="10" t="n"/>
      <c r="AL108" s="10" t="n"/>
      <c r="AM108" s="10" t="n"/>
      <c r="AN108" s="10" t="n"/>
      <c r="AO108" s="11" t="n"/>
    </row>
    <row r="109">
      <c r="A109" t="n">
        <v>1</v>
      </c>
      <c r="C109" t="inlineStr">
        <is>
          <t>이자수취(CF)</t>
        </is>
      </c>
      <c r="F109" s="9" t="n"/>
      <c r="K109" s="9" t="n"/>
      <c r="O109" s="18" t="n">
        <v>1653.15</v>
      </c>
      <c r="P109" s="9" t="n"/>
      <c r="Q109" s="18" t="n">
        <v>905.77</v>
      </c>
      <c r="R109" s="18" t="n">
        <v>140.92</v>
      </c>
      <c r="S109" s="18" t="n">
        <v>614.15</v>
      </c>
      <c r="T109" s="18" t="n">
        <v>426.33</v>
      </c>
      <c r="U109" s="37" t="n">
        <v>2087.17</v>
      </c>
      <c r="V109" s="18" t="n">
        <v>459.68</v>
      </c>
      <c r="W109" s="18" t="n">
        <v>695.6</v>
      </c>
      <c r="X109" s="18" t="n">
        <v>411.47</v>
      </c>
      <c r="Y109" s="18" t="n">
        <v>616.6799999999999</v>
      </c>
      <c r="Z109" s="37" t="n">
        <v>2183.43</v>
      </c>
      <c r="AA109" s="18" t="n">
        <v>165.24</v>
      </c>
      <c r="AB109" s="19" t="n">
        <v>40.87</v>
      </c>
      <c r="AC109" s="10" t="n"/>
      <c r="AD109" s="10" t="n"/>
      <c r="AE109" s="11" t="n"/>
      <c r="AF109" s="10" t="n"/>
      <c r="AG109" s="10" t="n"/>
      <c r="AH109" s="10" t="n"/>
      <c r="AI109" s="10" t="n"/>
      <c r="AJ109" s="11" t="n"/>
      <c r="AK109" s="10" t="n"/>
      <c r="AL109" s="10" t="n"/>
      <c r="AM109" s="10" t="n"/>
      <c r="AN109" s="10" t="n"/>
      <c r="AO109" s="11" t="n"/>
    </row>
    <row r="110">
      <c r="A110" t="n">
        <v>1</v>
      </c>
      <c r="C110" t="inlineStr">
        <is>
          <t>자기주식의취득</t>
        </is>
      </c>
      <c r="F110" s="9" t="n"/>
      <c r="K110" s="9" t="n"/>
      <c r="O110" s="18" t="n">
        <v>8.529999999999999</v>
      </c>
      <c r="P110" s="9" t="n"/>
      <c r="U110" s="9" t="n"/>
      <c r="Z110" s="9" t="n"/>
      <c r="AB110" s="5" t="n"/>
      <c r="AC110" s="10" t="n"/>
      <c r="AD110" s="10" t="n"/>
      <c r="AE110" s="11" t="n"/>
      <c r="AF110" s="10" t="n"/>
      <c r="AG110" s="10" t="n"/>
      <c r="AH110" s="10" t="n"/>
      <c r="AI110" s="10" t="n"/>
      <c r="AJ110" s="11" t="n"/>
      <c r="AK110" s="10" t="n"/>
      <c r="AL110" s="10" t="n"/>
      <c r="AM110" s="10" t="n"/>
      <c r="AN110" s="10" t="n"/>
      <c r="AO110" s="11" t="n"/>
    </row>
    <row r="111">
      <c r="A111" t="n">
        <v>1</v>
      </c>
      <c r="C111" t="inlineStr">
        <is>
          <t>이자지급(CF)</t>
        </is>
      </c>
      <c r="F111" s="9" t="n"/>
      <c r="K111" s="9" t="n"/>
      <c r="P111" s="9" t="n"/>
      <c r="U111" s="9" t="n"/>
      <c r="V111" s="18" t="n">
        <v>-414.64</v>
      </c>
      <c r="W111" s="18" t="n">
        <v>-328.78</v>
      </c>
      <c r="X111" s="18" t="n">
        <v>51</v>
      </c>
      <c r="Y111" s="18" t="n">
        <v>277.42</v>
      </c>
      <c r="Z111" s="37" t="n">
        <v>-415</v>
      </c>
      <c r="AA111" s="18" t="n">
        <v>-1000.75</v>
      </c>
      <c r="AB111" s="19" t="n">
        <v>-184.52</v>
      </c>
      <c r="AC111" s="10" t="n"/>
      <c r="AD111" s="10" t="n"/>
      <c r="AE111" s="11" t="n"/>
      <c r="AF111" s="10" t="n"/>
      <c r="AG111" s="10" t="n"/>
      <c r="AH111" s="10" t="n"/>
      <c r="AI111" s="10" t="n"/>
      <c r="AJ111" s="11" t="n"/>
      <c r="AK111" s="10" t="n"/>
      <c r="AL111" s="10" t="n"/>
      <c r="AM111" s="10" t="n"/>
      <c r="AN111" s="10" t="n"/>
      <c r="AO111" s="11" t="n"/>
    </row>
    <row r="112">
      <c r="A112" t="n">
        <v>1</v>
      </c>
      <c r="C112" t="inlineStr">
        <is>
          <t>무형자산의감소</t>
        </is>
      </c>
      <c r="F112" s="9" t="n"/>
      <c r="K112" s="9" t="n"/>
      <c r="P112" s="9" t="n"/>
      <c r="U112" s="9" t="n"/>
      <c r="X112" s="18" t="n">
        <v>0</v>
      </c>
      <c r="Y112" s="18" t="n">
        <v>0</v>
      </c>
      <c r="Z112" s="9" t="n"/>
      <c r="AA112" s="18" t="n">
        <v>0</v>
      </c>
      <c r="AB112" s="19" t="n">
        <v>0</v>
      </c>
      <c r="AC112" s="10" t="n"/>
      <c r="AD112" s="10" t="n"/>
      <c r="AE112" s="11" t="n"/>
      <c r="AF112" s="10" t="n"/>
      <c r="AG112" s="10" t="n"/>
      <c r="AH112" s="10" t="n"/>
      <c r="AI112" s="10" t="n"/>
      <c r="AJ112" s="11" t="n"/>
      <c r="AK112" s="10" t="n"/>
      <c r="AL112" s="10" t="n"/>
      <c r="AM112" s="10" t="n"/>
      <c r="AN112" s="10" t="n"/>
      <c r="AO112" s="11" t="n"/>
    </row>
    <row r="113">
      <c r="A113" t="n">
        <v>1</v>
      </c>
      <c r="C113" t="inlineStr">
        <is>
          <t>사채의감소</t>
        </is>
      </c>
      <c r="F113" s="9" t="n"/>
      <c r="K113" s="9" t="n"/>
      <c r="P113" s="9" t="n"/>
      <c r="U113" s="9" t="n"/>
      <c r="Z113" s="9" t="n"/>
      <c r="AA113" s="18" t="n">
        <v>0</v>
      </c>
      <c r="AB113" s="5" t="n"/>
      <c r="AC113" s="10" t="n"/>
      <c r="AD113" s="10" t="n"/>
      <c r="AE113" s="11" t="n"/>
      <c r="AF113" s="10" t="n"/>
      <c r="AG113" s="10" t="n"/>
      <c r="AH113" s="10" t="n"/>
      <c r="AI113" s="10" t="n"/>
      <c r="AJ113" s="11" t="n"/>
      <c r="AK113" s="10" t="n"/>
      <c r="AL113" s="10" t="n"/>
      <c r="AM113" s="10" t="n"/>
      <c r="AN113" s="10" t="n"/>
      <c r="AO113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한국카본(별)</t>
        </is>
      </c>
      <c r="C3" s="2" t="inlineStr">
        <is>
          <t>UPDATE: 26-10-11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248746.45</v>
      </c>
      <c r="F5" s="37" t="n">
        <v>248746.45</v>
      </c>
      <c r="G5" s="18" t="n">
        <v>257896.46</v>
      </c>
      <c r="H5" s="18" t="n">
        <v>218944.53</v>
      </c>
      <c r="I5" s="18" t="n">
        <v>253621.5</v>
      </c>
      <c r="J5" s="18" t="n">
        <v>280713.61</v>
      </c>
      <c r="K5" s="37" t="n">
        <v>280713.61</v>
      </c>
      <c r="L5" s="18" t="n">
        <v>306166.07</v>
      </c>
      <c r="M5" s="18" t="n">
        <v>339276.94</v>
      </c>
      <c r="N5" s="18" t="n">
        <v>373051.38</v>
      </c>
      <c r="O5" s="18" t="n">
        <v>367149.03</v>
      </c>
      <c r="P5" s="37" t="n">
        <v>367149.03</v>
      </c>
      <c r="Q5" s="18" t="n">
        <v>353683.87</v>
      </c>
      <c r="R5" s="18" t="n">
        <v>376731.18</v>
      </c>
      <c r="S5" s="18" t="n">
        <v>403039.96</v>
      </c>
      <c r="T5" s="18" t="n">
        <v>432718.6</v>
      </c>
      <c r="U5" s="37" t="n">
        <v>432718.6</v>
      </c>
      <c r="V5" s="18" t="n">
        <v>471861.71</v>
      </c>
      <c r="W5" s="18" t="n">
        <v>477678.27</v>
      </c>
      <c r="X5" s="18" t="n">
        <v>480158.59</v>
      </c>
      <c r="Y5" s="18" t="n">
        <v>555940.26</v>
      </c>
      <c r="Z5" s="37" t="n">
        <v>555940.26</v>
      </c>
      <c r="AA5" s="18" t="n">
        <v>581644.71</v>
      </c>
      <c r="AB5" s="19" t="n">
        <v>597758.17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46080.64</v>
      </c>
      <c r="F6" s="37" t="n">
        <v>46080.64</v>
      </c>
      <c r="G6" s="18" t="n">
        <v>54670.01</v>
      </c>
      <c r="H6" s="18" t="n">
        <v>9739.52</v>
      </c>
      <c r="I6" s="18" t="n">
        <v>29000.13</v>
      </c>
      <c r="J6" s="18" t="n">
        <v>48142.19</v>
      </c>
      <c r="K6" s="37" t="n">
        <v>48142.19</v>
      </c>
      <c r="L6" s="18" t="n">
        <v>24372.65</v>
      </c>
      <c r="M6" s="18" t="n">
        <v>13701.82</v>
      </c>
      <c r="N6" s="18" t="n">
        <v>44846.31</v>
      </c>
      <c r="O6" s="18" t="n">
        <v>62936.33</v>
      </c>
      <c r="P6" s="37" t="n">
        <v>62936.33</v>
      </c>
      <c r="Q6" s="18" t="n">
        <v>35649.73</v>
      </c>
      <c r="R6" s="18" t="n">
        <v>77744.42999999999</v>
      </c>
      <c r="S6" s="18" t="n">
        <v>75571.99000000001</v>
      </c>
      <c r="T6" s="18" t="n">
        <v>53016.07</v>
      </c>
      <c r="U6" s="37" t="n">
        <v>53016.07</v>
      </c>
      <c r="V6" s="18" t="n">
        <v>103891.63</v>
      </c>
      <c r="W6" s="18" t="n">
        <v>87948.27</v>
      </c>
      <c r="X6" s="18" t="n">
        <v>87587.06</v>
      </c>
      <c r="Y6" s="18" t="n">
        <v>49811.98</v>
      </c>
      <c r="Z6" s="37" t="n">
        <v>49811.98</v>
      </c>
      <c r="AA6" s="18" t="n">
        <v>70042.16</v>
      </c>
      <c r="AB6" s="19" t="n">
        <v>74739.82000000001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14719.76</v>
      </c>
      <c r="F7" s="37" t="n">
        <v>14719.76</v>
      </c>
      <c r="G7" s="18" t="n">
        <v>14219.76</v>
      </c>
      <c r="H7" s="18" t="n">
        <v>13727.47</v>
      </c>
      <c r="I7" s="18" t="n">
        <v>12727.47</v>
      </c>
      <c r="J7" s="18" t="n">
        <v>13150.11</v>
      </c>
      <c r="K7" s="37" t="n">
        <v>13150.11</v>
      </c>
      <c r="L7" s="18" t="n">
        <v>11502.62</v>
      </c>
      <c r="M7" s="18" t="n">
        <v>10344.85</v>
      </c>
      <c r="N7" s="18" t="n">
        <v>10044.85</v>
      </c>
      <c r="O7" s="18" t="n">
        <v>10520</v>
      </c>
      <c r="P7" s="37" t="n">
        <v>10520</v>
      </c>
      <c r="Q7" s="18" t="n">
        <v>13520</v>
      </c>
      <c r="R7" s="18" t="n">
        <v>8234</v>
      </c>
      <c r="S7" s="18" t="n">
        <v>7834</v>
      </c>
      <c r="T7" s="18" t="n">
        <v>7600</v>
      </c>
      <c r="U7" s="37" t="n">
        <v>7600</v>
      </c>
      <c r="V7" s="18" t="n">
        <v>7100</v>
      </c>
      <c r="W7" s="18" t="n">
        <v>7100</v>
      </c>
      <c r="X7" s="18" t="n">
        <v>7100</v>
      </c>
      <c r="Y7" s="18" t="n">
        <v>5500</v>
      </c>
      <c r="Z7" s="37" t="n">
        <v>5500</v>
      </c>
      <c r="AA7" s="18" t="n">
        <v>5000</v>
      </c>
      <c r="AB7" s="19" t="n">
        <v>5150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25353.67</v>
      </c>
      <c r="F8" s="37" t="n">
        <v>25353.67</v>
      </c>
      <c r="G8" s="18" t="n">
        <v>21993.81</v>
      </c>
      <c r="H8" s="18" t="n">
        <v>16312.85</v>
      </c>
      <c r="I8" s="18" t="n">
        <v>12727.47</v>
      </c>
      <c r="J8" s="18" t="n">
        <v>13154.72</v>
      </c>
      <c r="K8" s="37" t="n">
        <v>13154.72</v>
      </c>
      <c r="L8" s="18" t="n">
        <v>13515.37</v>
      </c>
      <c r="M8" s="18" t="n">
        <v>10344.85</v>
      </c>
      <c r="N8" s="18" t="n">
        <v>10044.85</v>
      </c>
      <c r="O8" s="18" t="n">
        <v>10520</v>
      </c>
      <c r="P8" s="37" t="n">
        <v>10520</v>
      </c>
      <c r="Q8" s="18" t="n">
        <v>13520</v>
      </c>
      <c r="R8" s="18" t="n">
        <v>8234</v>
      </c>
      <c r="S8" s="18" t="n">
        <v>7834</v>
      </c>
      <c r="T8" s="18" t="n">
        <v>7600</v>
      </c>
      <c r="U8" s="37" t="n">
        <v>7600</v>
      </c>
      <c r="V8" s="18" t="n">
        <v>7100</v>
      </c>
      <c r="W8" s="18" t="n">
        <v>15295.09</v>
      </c>
      <c r="X8" s="18" t="n">
        <v>18593.77</v>
      </c>
      <c r="Y8" s="18" t="n">
        <v>15374.65</v>
      </c>
      <c r="Z8" s="37" t="n">
        <v>15374.65</v>
      </c>
      <c r="AA8" s="18" t="n">
        <v>7083.06</v>
      </c>
      <c r="AB8" s="19" t="n">
        <v>6400.21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32524.46</v>
      </c>
      <c r="F9" s="37" t="n">
        <v>32524.46</v>
      </c>
      <c r="G9" s="18" t="n">
        <v>34702.48</v>
      </c>
      <c r="H9" s="18" t="n">
        <v>37535.83</v>
      </c>
      <c r="I9" s="18" t="n">
        <v>46786.29</v>
      </c>
      <c r="J9" s="18" t="n">
        <v>35262.81</v>
      </c>
      <c r="K9" s="37" t="n">
        <v>35262.81</v>
      </c>
      <c r="L9" s="18" t="n">
        <v>54868.91</v>
      </c>
      <c r="M9" s="18" t="n">
        <v>70167.13</v>
      </c>
      <c r="N9" s="18" t="n">
        <v>76449.10000000001</v>
      </c>
      <c r="O9" s="18" t="n">
        <v>94009.52</v>
      </c>
      <c r="P9" s="37" t="n">
        <v>94009.52</v>
      </c>
      <c r="Q9" s="18" t="n">
        <v>105242.86</v>
      </c>
      <c r="R9" s="18" t="n">
        <v>78377.46000000001</v>
      </c>
      <c r="S9" s="18" t="n">
        <v>68769.25999999999</v>
      </c>
      <c r="U9" s="9" t="n"/>
      <c r="Z9" s="9" t="n"/>
      <c r="AB9" s="5" t="n"/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재고자산</t>
        </is>
      </c>
      <c r="E10" s="18" t="n">
        <v>85499.77</v>
      </c>
      <c r="F10" s="37" t="n">
        <v>85499.77</v>
      </c>
      <c r="G10" s="18" t="n">
        <v>92992.14</v>
      </c>
      <c r="H10" s="18" t="n">
        <v>123394.54</v>
      </c>
      <c r="I10" s="18" t="n">
        <v>128635.18</v>
      </c>
      <c r="J10" s="18" t="n">
        <v>147190.92</v>
      </c>
      <c r="K10" s="37" t="n">
        <v>147190.92</v>
      </c>
      <c r="L10" s="18" t="n">
        <v>172634.95</v>
      </c>
      <c r="M10" s="18" t="n">
        <v>180981.37</v>
      </c>
      <c r="N10" s="18" t="n">
        <v>201213.14</v>
      </c>
      <c r="O10" s="18" t="n">
        <v>163568.6</v>
      </c>
      <c r="P10" s="37" t="n">
        <v>163568.6</v>
      </c>
      <c r="Q10" s="18" t="n">
        <v>167932.89</v>
      </c>
      <c r="R10" s="18" t="n">
        <v>169678.73</v>
      </c>
      <c r="S10" s="18" t="n">
        <v>180748.87</v>
      </c>
      <c r="T10" s="18" t="n">
        <v>182171.9</v>
      </c>
      <c r="U10" s="37" t="n">
        <v>182171.9</v>
      </c>
      <c r="V10" s="18" t="n">
        <v>176804.66</v>
      </c>
      <c r="W10" s="18" t="n">
        <v>174801.55</v>
      </c>
      <c r="X10" s="18" t="n">
        <v>176997.82</v>
      </c>
      <c r="Y10" s="18" t="n">
        <v>182288.52</v>
      </c>
      <c r="Z10" s="37" t="n">
        <v>182288.52</v>
      </c>
      <c r="AA10" s="18" t="n">
        <v>186964.1</v>
      </c>
      <c r="AB10" s="19" t="n">
        <v>189634.93</v>
      </c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기타유동자산</t>
        </is>
      </c>
      <c r="E11" s="18" t="n">
        <v>2215.81</v>
      </c>
      <c r="F11" s="37" t="n">
        <v>2215.81</v>
      </c>
      <c r="G11" s="18" t="n">
        <v>2390.22</v>
      </c>
      <c r="H11" s="18" t="n">
        <v>4887.9</v>
      </c>
      <c r="I11" s="18" t="n">
        <v>4875.78</v>
      </c>
      <c r="J11" s="18" t="n">
        <v>5826.38</v>
      </c>
      <c r="K11" s="37" t="n">
        <v>5826.38</v>
      </c>
      <c r="L11" s="18" t="n">
        <v>7190.99</v>
      </c>
      <c r="M11" s="18" t="n">
        <v>8892.450000000001</v>
      </c>
      <c r="N11" s="18" t="n">
        <v>13114.42</v>
      </c>
      <c r="O11" s="18" t="n">
        <v>9022.23</v>
      </c>
      <c r="P11" s="37" t="n">
        <v>9022.23</v>
      </c>
      <c r="Q11" s="18" t="n">
        <v>11395.21</v>
      </c>
      <c r="R11" s="18" t="n">
        <v>13116.5</v>
      </c>
      <c r="S11" s="18" t="n">
        <v>11168.74</v>
      </c>
      <c r="T11" s="18" t="n">
        <v>11697.65</v>
      </c>
      <c r="U11" s="37" t="n">
        <v>11697.65</v>
      </c>
      <c r="V11" s="18" t="n">
        <v>15563.66</v>
      </c>
      <c r="W11" s="18" t="n">
        <v>18886.01</v>
      </c>
      <c r="X11" s="18" t="n">
        <v>19227.14</v>
      </c>
      <c r="Y11" s="18" t="n">
        <v>14684.72</v>
      </c>
      <c r="Z11" s="37" t="n">
        <v>14684.72</v>
      </c>
      <c r="AA11" s="18" t="n">
        <v>22663.69</v>
      </c>
      <c r="AB11" s="19" t="n">
        <v>23608.04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매각예정비유동자산및처분자산</t>
        </is>
      </c>
      <c r="E12" s="18" t="n">
        <v>10.54</v>
      </c>
      <c r="F12" s="37" t="n">
        <v>10.54</v>
      </c>
      <c r="J12" s="18" t="n">
        <v>10.54</v>
      </c>
      <c r="K12" s="37" t="n">
        <v>10.54</v>
      </c>
      <c r="P12" s="9" t="n"/>
      <c r="T12" s="18" t="n">
        <v>0</v>
      </c>
      <c r="U12" s="37" t="n">
        <v>0</v>
      </c>
      <c r="Z12" s="9" t="n"/>
      <c r="AB12" s="5" t="n"/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243781.11</v>
      </c>
      <c r="F13" s="37" t="n">
        <v>243781.11</v>
      </c>
      <c r="G13" s="18" t="n">
        <v>242478.9</v>
      </c>
      <c r="H13" s="18" t="n">
        <v>290951.43</v>
      </c>
      <c r="I13" s="18" t="n">
        <v>301983.51</v>
      </c>
      <c r="J13" s="18" t="n">
        <v>293067.35</v>
      </c>
      <c r="K13" s="37" t="n">
        <v>293067.35</v>
      </c>
      <c r="L13" s="18" t="n">
        <v>294236.72</v>
      </c>
      <c r="M13" s="18" t="n">
        <v>301788.82</v>
      </c>
      <c r="N13" s="18" t="n">
        <v>410245.08</v>
      </c>
      <c r="O13" s="18" t="n">
        <v>417173.4</v>
      </c>
      <c r="P13" s="37" t="n">
        <v>417173.4</v>
      </c>
      <c r="Q13" s="18" t="n">
        <v>432534</v>
      </c>
      <c r="R13" s="18" t="n">
        <v>443492.06</v>
      </c>
      <c r="S13" s="18" t="n">
        <v>439172.51</v>
      </c>
      <c r="T13" s="18" t="n">
        <v>437275.81</v>
      </c>
      <c r="U13" s="37" t="n">
        <v>437275.81</v>
      </c>
      <c r="V13" s="18" t="n">
        <v>446343.88</v>
      </c>
      <c r="W13" s="18" t="n">
        <v>456644.18</v>
      </c>
      <c r="X13" s="18" t="n">
        <v>470798.85</v>
      </c>
      <c r="Y13" s="18" t="n">
        <v>477082.48</v>
      </c>
      <c r="Z13" s="37" t="n">
        <v>477082.48</v>
      </c>
      <c r="AA13" s="18" t="n">
        <v>493642.7</v>
      </c>
      <c r="AB13" s="19" t="n">
        <v>524513.85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장기금융자산</t>
        </is>
      </c>
      <c r="E14" s="18" t="n">
        <v>8584.58</v>
      </c>
      <c r="F14" s="37" t="n">
        <v>8584.58</v>
      </c>
      <c r="G14" s="18" t="n">
        <v>73978.96000000001</v>
      </c>
      <c r="H14" s="18" t="n">
        <v>107417.31</v>
      </c>
      <c r="I14" s="18" t="n">
        <v>107465.07</v>
      </c>
      <c r="J14" s="18" t="n">
        <v>6999.42</v>
      </c>
      <c r="K14" s="37" t="n">
        <v>6999.42</v>
      </c>
      <c r="L14" s="18" t="n">
        <v>4987.57</v>
      </c>
      <c r="M14" s="18" t="n">
        <v>4543.44</v>
      </c>
      <c r="N14" s="18" t="n">
        <v>484</v>
      </c>
      <c r="O14" s="18" t="n">
        <v>350</v>
      </c>
      <c r="P14" s="37" t="n">
        <v>350</v>
      </c>
      <c r="Q14" s="18" t="n">
        <v>350</v>
      </c>
      <c r="R14" s="18" t="n">
        <v>350</v>
      </c>
      <c r="S14" s="18" t="n">
        <v>350</v>
      </c>
      <c r="T14" s="18" t="n">
        <v>27523.57</v>
      </c>
      <c r="U14" s="37" t="n">
        <v>27523.57</v>
      </c>
      <c r="V14" s="18" t="n">
        <v>24682.26</v>
      </c>
      <c r="W14" s="18" t="n">
        <v>26827.15</v>
      </c>
      <c r="X14" s="18" t="n">
        <v>24945.72</v>
      </c>
      <c r="Y14" s="18" t="n">
        <v>23586.7</v>
      </c>
      <c r="Z14" s="37" t="n">
        <v>23586.7</v>
      </c>
      <c r="AA14" s="18" t="n">
        <v>24440.57</v>
      </c>
      <c r="AB14" s="19" t="n">
        <v>23412.37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투자자산</t>
        </is>
      </c>
      <c r="E15" s="18" t="n">
        <v>12532.01</v>
      </c>
      <c r="F15" s="37" t="n">
        <v>12532.01</v>
      </c>
      <c r="G15" s="18" t="n">
        <v>99581.24000000001</v>
      </c>
      <c r="H15" s="18" t="n">
        <v>188034.21</v>
      </c>
      <c r="I15" s="18" t="n">
        <v>200650.36</v>
      </c>
      <c r="J15" s="18" t="n">
        <v>21792.81</v>
      </c>
      <c r="K15" s="37" t="n">
        <v>21792.81</v>
      </c>
      <c r="L15" s="18" t="n">
        <v>19780.96</v>
      </c>
      <c r="M15" s="18" t="n">
        <v>40622.01</v>
      </c>
      <c r="N15" s="18" t="n">
        <v>56816.71</v>
      </c>
      <c r="O15" s="18" t="n">
        <v>45799.16</v>
      </c>
      <c r="P15" s="37" t="n">
        <v>45799.16</v>
      </c>
      <c r="Q15" s="18" t="n">
        <v>47353.47</v>
      </c>
      <c r="R15" s="18" t="n">
        <v>1401.38</v>
      </c>
      <c r="S15" s="18" t="n">
        <v>1401.38</v>
      </c>
      <c r="T15" s="18" t="n">
        <v>64241.24</v>
      </c>
      <c r="U15" s="37" t="n">
        <v>64241.24</v>
      </c>
      <c r="V15" s="18" t="n">
        <v>68225.39</v>
      </c>
      <c r="W15" s="18" t="n">
        <v>70370.28</v>
      </c>
      <c r="X15" s="18" t="n">
        <v>78469.32000000001</v>
      </c>
      <c r="Y15" s="18" t="n">
        <v>81011.58</v>
      </c>
      <c r="Z15" s="37" t="n">
        <v>81011.58</v>
      </c>
      <c r="AA15" s="18" t="n">
        <v>89516.62</v>
      </c>
      <c r="AB15" s="19" t="n">
        <v>23412.37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종속기업및관계기업투자</t>
        </is>
      </c>
      <c r="E16" s="18" t="n">
        <v>3947.43</v>
      </c>
      <c r="F16" s="37" t="n">
        <v>3947.43</v>
      </c>
      <c r="G16" s="18" t="n">
        <v>7894.86</v>
      </c>
      <c r="H16" s="18" t="n">
        <v>32988.78</v>
      </c>
      <c r="I16" s="18" t="n">
        <v>39323.88</v>
      </c>
      <c r="J16" s="18" t="n">
        <v>14793.39</v>
      </c>
      <c r="K16" s="37" t="n">
        <v>14793.39</v>
      </c>
      <c r="L16" s="18" t="n">
        <v>14793.39</v>
      </c>
      <c r="M16" s="18" t="n">
        <v>36078.57</v>
      </c>
      <c r="N16" s="18" t="n">
        <v>56332.71</v>
      </c>
      <c r="O16" s="18" t="n">
        <v>45449.16</v>
      </c>
      <c r="P16" s="37" t="n">
        <v>45449.16</v>
      </c>
      <c r="Q16" s="18" t="n">
        <v>47003.47</v>
      </c>
      <c r="R16" s="18" t="n">
        <v>1051.38</v>
      </c>
      <c r="S16" s="18" t="n">
        <v>1051.38</v>
      </c>
      <c r="T16" s="18" t="n">
        <v>36717.67</v>
      </c>
      <c r="U16" s="37" t="n">
        <v>36717.67</v>
      </c>
      <c r="V16" s="18" t="n">
        <v>43543.13</v>
      </c>
      <c r="W16" s="18" t="n">
        <v>43543.13</v>
      </c>
      <c r="X16" s="18" t="n">
        <v>53523.6</v>
      </c>
      <c r="Y16" s="18" t="n">
        <v>57424.88</v>
      </c>
      <c r="Z16" s="37" t="n">
        <v>57424.88</v>
      </c>
      <c r="AA16" s="18" t="n">
        <v>65076.05</v>
      </c>
      <c r="AB16" s="5" t="n"/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유형자산</t>
        </is>
      </c>
      <c r="E17" s="18" t="n">
        <v>165615.79</v>
      </c>
      <c r="F17" s="37" t="n">
        <v>165615.79</v>
      </c>
      <c r="G17" s="18" t="n">
        <v>168139.11</v>
      </c>
      <c r="H17" s="18" t="n">
        <v>170828.77</v>
      </c>
      <c r="I17" s="18" t="n">
        <v>176590.04</v>
      </c>
      <c r="J17" s="18" t="n">
        <v>183353.36</v>
      </c>
      <c r="K17" s="37" t="n">
        <v>183353.36</v>
      </c>
      <c r="L17" s="18" t="n">
        <v>186215.93</v>
      </c>
      <c r="M17" s="18" t="n">
        <v>189963.46</v>
      </c>
      <c r="N17" s="18" t="n">
        <v>228162.59</v>
      </c>
      <c r="O17" s="18" t="n">
        <v>243360.55</v>
      </c>
      <c r="P17" s="37" t="n">
        <v>243360.55</v>
      </c>
      <c r="Q17" s="18" t="n">
        <v>255029.94</v>
      </c>
      <c r="R17" s="18" t="n">
        <v>267278.82</v>
      </c>
      <c r="S17" s="18" t="n">
        <v>280062.19</v>
      </c>
      <c r="T17" s="18" t="n">
        <v>287326.5</v>
      </c>
      <c r="U17" s="37" t="n">
        <v>287326.5</v>
      </c>
      <c r="V17" s="18" t="n">
        <v>294531.33</v>
      </c>
      <c r="W17" s="18" t="n">
        <v>308117.49</v>
      </c>
      <c r="X17" s="18" t="n">
        <v>310938.03</v>
      </c>
      <c r="Y17" s="18" t="n">
        <v>313132.91</v>
      </c>
      <c r="Z17" s="37" t="n">
        <v>313132.91</v>
      </c>
      <c r="AA17" s="18" t="n">
        <v>313735.48</v>
      </c>
      <c r="AB17" s="19" t="n">
        <v>322609.85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사용권자산</t>
        </is>
      </c>
      <c r="E18" s="18" t="n">
        <v>1732.77</v>
      </c>
      <c r="F18" s="37" t="n">
        <v>1732.77</v>
      </c>
      <c r="G18" s="18" t="n">
        <v>2122.97</v>
      </c>
      <c r="H18" s="18" t="n">
        <v>1935.21</v>
      </c>
      <c r="I18" s="18" t="n">
        <v>2155.97</v>
      </c>
      <c r="J18" s="18" t="n">
        <v>2915.76</v>
      </c>
      <c r="K18" s="37" t="n">
        <v>2915.76</v>
      </c>
      <c r="L18" s="18" t="n">
        <v>2714.91</v>
      </c>
      <c r="M18" s="18" t="n">
        <v>2855.7</v>
      </c>
      <c r="N18" s="18" t="n">
        <v>2761.39</v>
      </c>
      <c r="O18" s="18" t="n">
        <v>2428.69</v>
      </c>
      <c r="P18" s="37" t="n">
        <v>2428.69</v>
      </c>
      <c r="Q18" s="18" t="n">
        <v>6066.96</v>
      </c>
      <c r="R18" s="18" t="n">
        <v>5631.85</v>
      </c>
      <c r="S18" s="18" t="n">
        <v>5458.32</v>
      </c>
      <c r="T18" s="18" t="n">
        <v>5708.11</v>
      </c>
      <c r="U18" s="37" t="n">
        <v>5708.11</v>
      </c>
      <c r="V18" s="18" t="n">
        <v>5281.24</v>
      </c>
      <c r="W18" s="18" t="n">
        <v>5187.47</v>
      </c>
      <c r="X18" s="18" t="n">
        <v>9404.629999999999</v>
      </c>
      <c r="Y18" s="18" t="n">
        <v>6102.41</v>
      </c>
      <c r="Z18" s="37" t="n">
        <v>6102.41</v>
      </c>
      <c r="AA18" s="18" t="n">
        <v>7156.09</v>
      </c>
      <c r="AB18" s="19" t="n">
        <v>7886.45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기타비유동자산</t>
        </is>
      </c>
      <c r="E19" s="18" t="n">
        <v>2449.14</v>
      </c>
      <c r="F19" s="37" t="n">
        <v>2449.14</v>
      </c>
      <c r="G19" s="18" t="n">
        <v>2839.34</v>
      </c>
      <c r="H19" s="18" t="n">
        <v>2651.58</v>
      </c>
      <c r="I19" s="18" t="n">
        <v>2872.34</v>
      </c>
      <c r="J19" s="18" t="n">
        <v>6249.36</v>
      </c>
      <c r="K19" s="37" t="n">
        <v>6249.36</v>
      </c>
      <c r="L19" s="18" t="n">
        <v>6161.08</v>
      </c>
      <c r="M19" s="18" t="n">
        <v>6283.8</v>
      </c>
      <c r="N19" s="18" t="n">
        <v>6241.68</v>
      </c>
      <c r="O19" s="18" t="n">
        <v>5106.94</v>
      </c>
      <c r="P19" s="37" t="n">
        <v>5106.94</v>
      </c>
      <c r="Q19" s="18" t="n">
        <v>7783.44</v>
      </c>
      <c r="R19" s="18" t="n">
        <v>8320.790000000001</v>
      </c>
      <c r="S19" s="18" t="n">
        <v>7902.6</v>
      </c>
      <c r="T19" s="18" t="n">
        <v>6424.48</v>
      </c>
      <c r="U19" s="37" t="n">
        <v>6424.48</v>
      </c>
      <c r="V19" s="18" t="n">
        <v>5997.61</v>
      </c>
      <c r="W19" s="18" t="n">
        <v>5903.84</v>
      </c>
      <c r="X19" s="18" t="n">
        <v>10121</v>
      </c>
      <c r="Y19" s="18" t="n">
        <v>6818.78</v>
      </c>
      <c r="Z19" s="37" t="n">
        <v>6818.78</v>
      </c>
      <c r="AA19" s="18" t="n">
        <v>7156.09</v>
      </c>
      <c r="AB19" s="19" t="n">
        <v>7886.45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무형자산</t>
        </is>
      </c>
      <c r="E20" s="18" t="n">
        <v>2184.22</v>
      </c>
      <c r="F20" s="37" t="n">
        <v>2184.22</v>
      </c>
      <c r="G20" s="18" t="n">
        <v>2174.31</v>
      </c>
      <c r="H20" s="18" t="n">
        <v>2173.79</v>
      </c>
      <c r="I20" s="18" t="n">
        <v>2162.19</v>
      </c>
      <c r="J20" s="18" t="n">
        <v>2156.19</v>
      </c>
      <c r="K20" s="37" t="n">
        <v>2156.19</v>
      </c>
      <c r="L20" s="18" t="n">
        <v>2146.74</v>
      </c>
      <c r="M20" s="18" t="n">
        <v>2135.36</v>
      </c>
      <c r="N20" s="18" t="n">
        <v>37987.56</v>
      </c>
      <c r="O20" s="18" t="n">
        <v>41796.7</v>
      </c>
      <c r="P20" s="37" t="n">
        <v>41796.7</v>
      </c>
      <c r="Q20" s="18" t="n">
        <v>41100.43</v>
      </c>
      <c r="R20" s="18" t="n">
        <v>40417.4</v>
      </c>
      <c r="S20" s="18" t="n">
        <v>40230.45</v>
      </c>
      <c r="T20" s="18" t="n">
        <v>44496.83</v>
      </c>
      <c r="U20" s="37" t="n">
        <v>44496.83</v>
      </c>
      <c r="V20" s="18" t="n">
        <v>43914.07</v>
      </c>
      <c r="W20" s="18" t="n">
        <v>42974.18</v>
      </c>
      <c r="X20" s="18" t="n">
        <v>42142.16</v>
      </c>
      <c r="Y20" s="18" t="n">
        <v>41415.16</v>
      </c>
      <c r="Z20" s="37" t="n">
        <v>41415.16</v>
      </c>
      <c r="AA20" s="18" t="n">
        <v>41216.51</v>
      </c>
      <c r="AB20" s="19" t="n">
        <v>40374.84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자산총계</t>
        </is>
      </c>
      <c r="E21" s="18" t="n">
        <v>492538.1</v>
      </c>
      <c r="F21" s="37" t="n">
        <v>492538.1</v>
      </c>
      <c r="G21" s="18" t="n">
        <v>500385.9</v>
      </c>
      <c r="H21" s="18" t="n">
        <v>509906.49</v>
      </c>
      <c r="I21" s="18" t="n">
        <v>555615.55</v>
      </c>
      <c r="J21" s="18" t="n">
        <v>573791.49</v>
      </c>
      <c r="K21" s="37" t="n">
        <v>573791.49</v>
      </c>
      <c r="L21" s="18" t="n">
        <v>600402.79</v>
      </c>
      <c r="M21" s="18" t="n">
        <v>641065.76</v>
      </c>
      <c r="N21" s="18" t="n">
        <v>783296.46</v>
      </c>
      <c r="O21" s="18" t="n">
        <v>784322.42</v>
      </c>
      <c r="P21" s="37" t="n">
        <v>784322.42</v>
      </c>
      <c r="Q21" s="18" t="n">
        <v>786217.86</v>
      </c>
      <c r="R21" s="18" t="n">
        <v>820223.24</v>
      </c>
      <c r="S21" s="18" t="n">
        <v>842212.47</v>
      </c>
      <c r="T21" s="18" t="n">
        <v>869994.41</v>
      </c>
      <c r="U21" s="37" t="n">
        <v>869994.41</v>
      </c>
      <c r="V21" s="18" t="n">
        <v>918205.59</v>
      </c>
      <c r="W21" s="18" t="n">
        <v>934322.4399999999</v>
      </c>
      <c r="X21" s="18" t="n">
        <v>950957.45</v>
      </c>
      <c r="Y21" s="18" t="n">
        <v>1033022.74</v>
      </c>
      <c r="Z21" s="37" t="n">
        <v>1033022.74</v>
      </c>
      <c r="AA21" s="18" t="n">
        <v>1075287.41</v>
      </c>
      <c r="AB21" s="19" t="n">
        <v>1122272.02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유동부채</t>
        </is>
      </c>
      <c r="E22" s="18" t="n">
        <v>78851.69</v>
      </c>
      <c r="F22" s="37" t="n">
        <v>78851.69</v>
      </c>
      <c r="G22" s="18" t="n">
        <v>83967.89999999999</v>
      </c>
      <c r="H22" s="18" t="n">
        <v>88690.98</v>
      </c>
      <c r="I22" s="18" t="n">
        <v>113909.44</v>
      </c>
      <c r="J22" s="18" t="n">
        <v>149013.55</v>
      </c>
      <c r="K22" s="37" t="n">
        <v>149013.55</v>
      </c>
      <c r="L22" s="18" t="n">
        <v>181495.52</v>
      </c>
      <c r="M22" s="18" t="n">
        <v>214975.25</v>
      </c>
      <c r="N22" s="18" t="n">
        <v>249700.03</v>
      </c>
      <c r="O22" s="18" t="n">
        <v>280286.67</v>
      </c>
      <c r="P22" s="37" t="n">
        <v>280286.67</v>
      </c>
      <c r="Q22" s="18" t="n">
        <v>279433.35</v>
      </c>
      <c r="R22" s="18" t="n">
        <v>302629.05</v>
      </c>
      <c r="S22" s="18" t="n">
        <v>312526.45</v>
      </c>
      <c r="T22" s="18" t="n">
        <v>354900.49</v>
      </c>
      <c r="U22" s="37" t="n">
        <v>354900.49</v>
      </c>
      <c r="V22" s="18" t="n">
        <v>387482.26</v>
      </c>
      <c r="W22" s="18" t="n">
        <v>348751.57</v>
      </c>
      <c r="X22" s="18" t="n">
        <v>344603.09</v>
      </c>
      <c r="Y22" s="18" t="n">
        <v>409857.46</v>
      </c>
      <c r="Z22" s="37" t="n">
        <v>409857.46</v>
      </c>
      <c r="AA22" s="18" t="n">
        <v>457223.22</v>
      </c>
      <c r="AB22" s="19" t="n">
        <v>400651.83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기타유동금융부채</t>
        </is>
      </c>
      <c r="E23" s="18" t="n">
        <v>391.38</v>
      </c>
      <c r="F23" s="37" t="n">
        <v>391.38</v>
      </c>
      <c r="G23" s="18" t="n">
        <v>514.3099999999999</v>
      </c>
      <c r="H23" s="18" t="n">
        <v>2591.2</v>
      </c>
      <c r="I23" s="18" t="n">
        <v>8041.3</v>
      </c>
      <c r="J23" s="18" t="n">
        <v>1801.08</v>
      </c>
      <c r="K23" s="37" t="n">
        <v>1801.08</v>
      </c>
      <c r="L23" s="18" t="n">
        <v>2916.01</v>
      </c>
      <c r="M23" s="18" t="n">
        <v>2856.94</v>
      </c>
      <c r="N23" s="18" t="n">
        <v>3516.42</v>
      </c>
      <c r="O23" s="18" t="n">
        <v>1059.06</v>
      </c>
      <c r="P23" s="37" t="n">
        <v>1059.06</v>
      </c>
      <c r="Q23" s="18" t="n">
        <v>2527.98</v>
      </c>
      <c r="R23" s="18" t="n">
        <v>3985.62</v>
      </c>
      <c r="S23" s="18" t="n">
        <v>815.26</v>
      </c>
      <c r="T23" s="18" t="n">
        <v>8836.290000000001</v>
      </c>
      <c r="U23" s="37" t="n">
        <v>8836.290000000001</v>
      </c>
      <c r="V23" s="18" t="n">
        <v>8348.9</v>
      </c>
      <c r="W23" s="18" t="n">
        <v>1965.76</v>
      </c>
      <c r="X23" s="18" t="n">
        <v>3812.27</v>
      </c>
      <c r="Y23" s="18" t="n">
        <v>5320.45</v>
      </c>
      <c r="Z23" s="37" t="n">
        <v>5320.45</v>
      </c>
      <c r="AA23" s="18" t="n">
        <v>10209.77</v>
      </c>
      <c r="AB23" s="19" t="n">
        <v>12596.44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단기금융부채</t>
        </is>
      </c>
      <c r="E24" s="18" t="n">
        <v>1055.2</v>
      </c>
      <c r="F24" s="37" t="n">
        <v>1055.2</v>
      </c>
      <c r="G24" s="18" t="n">
        <v>1434.95</v>
      </c>
      <c r="H24" s="18" t="n">
        <v>3525.58</v>
      </c>
      <c r="I24" s="18" t="n">
        <v>9065.83</v>
      </c>
      <c r="J24" s="18" t="n">
        <v>3325.52</v>
      </c>
      <c r="K24" s="37" t="n">
        <v>3325.52</v>
      </c>
      <c r="L24" s="18" t="n">
        <v>4431.17</v>
      </c>
      <c r="M24" s="18" t="n">
        <v>4476.72</v>
      </c>
      <c r="N24" s="18" t="n">
        <v>5132.7</v>
      </c>
      <c r="O24" s="18" t="n">
        <v>2509.84</v>
      </c>
      <c r="P24" s="37" t="n">
        <v>2509.84</v>
      </c>
      <c r="Q24" s="18" t="n">
        <v>4293.27</v>
      </c>
      <c r="R24" s="18" t="n">
        <v>5527.96</v>
      </c>
      <c r="S24" s="18" t="n">
        <v>1969.97</v>
      </c>
      <c r="T24" s="18" t="n">
        <v>10433.1</v>
      </c>
      <c r="U24" s="37" t="n">
        <v>10433.1</v>
      </c>
      <c r="V24" s="18" t="n">
        <v>9781.18</v>
      </c>
      <c r="W24" s="18" t="n">
        <v>28514.07</v>
      </c>
      <c r="X24" s="18" t="n">
        <v>39100.14</v>
      </c>
      <c r="Y24" s="18" t="n">
        <v>35702.37</v>
      </c>
      <c r="Z24" s="37" t="n">
        <v>35702.37</v>
      </c>
      <c r="AA24" s="18" t="n">
        <v>53488.96</v>
      </c>
      <c r="AB24" s="19" t="n">
        <v>18180.41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당기법인세부채(미지급법인세)</t>
        </is>
      </c>
      <c r="E25" s="18" t="n">
        <v>6264.54</v>
      </c>
      <c r="F25" s="37" t="n">
        <v>6264.54</v>
      </c>
      <c r="G25" s="18" t="n">
        <v>5263.87</v>
      </c>
      <c r="H25" s="18" t="n">
        <v>2853.42</v>
      </c>
      <c r="I25" s="18" t="n">
        <v>4146.91</v>
      </c>
      <c r="J25" s="18" t="n">
        <v>5247.03</v>
      </c>
      <c r="K25" s="37" t="n">
        <v>5247.03</v>
      </c>
      <c r="L25" s="18" t="n">
        <v>4126.83</v>
      </c>
      <c r="M25" s="18" t="n">
        <v>1598.55</v>
      </c>
      <c r="N25" s="18" t="n">
        <v>5135.61</v>
      </c>
      <c r="O25" s="18" t="n">
        <v>2841.17</v>
      </c>
      <c r="P25" s="37" t="n">
        <v>2841.17</v>
      </c>
      <c r="Q25" s="18" t="n">
        <v>3941.08</v>
      </c>
      <c r="R25" s="18" t="n">
        <v>13396.71</v>
      </c>
      <c r="S25" s="18" t="n">
        <v>9700.450000000001</v>
      </c>
      <c r="T25" s="18" t="n">
        <v>10435.32</v>
      </c>
      <c r="U25" s="37" t="n">
        <v>10435.32</v>
      </c>
      <c r="V25" s="18" t="n">
        <v>10812.47</v>
      </c>
      <c r="W25" s="18" t="n">
        <v>9771.879999999999</v>
      </c>
      <c r="X25" s="18" t="n">
        <v>12877.18</v>
      </c>
      <c r="Y25" s="18" t="n">
        <v>30700.86</v>
      </c>
      <c r="Z25" s="37" t="n">
        <v>30700.86</v>
      </c>
      <c r="AA25" s="18" t="n">
        <v>27257.11</v>
      </c>
      <c r="AB25" s="19" t="n">
        <v>16261.52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유동리스부채</t>
        </is>
      </c>
      <c r="E26" s="18" t="n">
        <v>663.8200000000001</v>
      </c>
      <c r="F26" s="37" t="n">
        <v>663.8200000000001</v>
      </c>
      <c r="G26" s="18" t="n">
        <v>920.64</v>
      </c>
      <c r="H26" s="18" t="n">
        <v>934.38</v>
      </c>
      <c r="I26" s="18" t="n">
        <v>1024.53</v>
      </c>
      <c r="J26" s="18" t="n">
        <v>1524.44</v>
      </c>
      <c r="K26" s="37" t="n">
        <v>1524.44</v>
      </c>
      <c r="L26" s="18" t="n">
        <v>1515.16</v>
      </c>
      <c r="M26" s="18" t="n">
        <v>1619.78</v>
      </c>
      <c r="N26" s="18" t="n">
        <v>1616.28</v>
      </c>
      <c r="O26" s="18" t="n">
        <v>1450.78</v>
      </c>
      <c r="P26" s="37" t="n">
        <v>1450.78</v>
      </c>
      <c r="Q26" s="18" t="n">
        <v>1765.29</v>
      </c>
      <c r="R26" s="18" t="n">
        <v>1542.34</v>
      </c>
      <c r="S26" s="18" t="n">
        <v>1154.71</v>
      </c>
      <c r="T26" s="18" t="n">
        <v>1596.81</v>
      </c>
      <c r="U26" s="37" t="n">
        <v>1596.81</v>
      </c>
      <c r="V26" s="18" t="n">
        <v>1432.28</v>
      </c>
      <c r="W26" s="18" t="n">
        <v>1354.19</v>
      </c>
      <c r="X26" s="18" t="n">
        <v>3514.95</v>
      </c>
      <c r="Y26" s="18" t="n">
        <v>2247.03</v>
      </c>
      <c r="Z26" s="37" t="n">
        <v>2247.03</v>
      </c>
      <c r="AA26" s="18" t="n">
        <v>3193.23</v>
      </c>
      <c r="AB26" s="19" t="n">
        <v>4128.78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리스부채</t>
        </is>
      </c>
      <c r="E27" s="18" t="n">
        <v>1570.81</v>
      </c>
      <c r="F27" s="37" t="n">
        <v>1570.81</v>
      </c>
      <c r="G27" s="18" t="n">
        <v>1870.55</v>
      </c>
      <c r="H27" s="18" t="n">
        <v>1729.16</v>
      </c>
      <c r="I27" s="18" t="n">
        <v>1980.28</v>
      </c>
      <c r="J27" s="18" t="n">
        <v>2768.12</v>
      </c>
      <c r="K27" s="37" t="n">
        <v>2768.12</v>
      </c>
      <c r="L27" s="18" t="n">
        <v>2609.61</v>
      </c>
      <c r="M27" s="18" t="n">
        <v>2726.44</v>
      </c>
      <c r="N27" s="18" t="n">
        <v>2679.6</v>
      </c>
      <c r="O27" s="18" t="n">
        <v>2387.63</v>
      </c>
      <c r="P27" s="37" t="n">
        <v>2387.63</v>
      </c>
      <c r="Q27" s="18" t="n">
        <v>5350.15</v>
      </c>
      <c r="R27" s="18" t="n">
        <v>4914.51</v>
      </c>
      <c r="S27" s="18" t="n">
        <v>4828.08</v>
      </c>
      <c r="T27" s="18" t="n">
        <v>5076.4</v>
      </c>
      <c r="U27" s="37" t="n">
        <v>5076.4</v>
      </c>
      <c r="V27" s="18" t="n">
        <v>4706.69</v>
      </c>
      <c r="W27" s="18" t="n">
        <v>4618.57</v>
      </c>
      <c r="X27" s="18" t="n">
        <v>8857.690000000001</v>
      </c>
      <c r="Y27" s="18" t="n">
        <v>5611.94</v>
      </c>
      <c r="Z27" s="37" t="n">
        <v>5611.94</v>
      </c>
      <c r="AA27" s="18" t="n">
        <v>6901.19</v>
      </c>
      <c r="AB27" s="19" t="n">
        <v>7627.75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유동성장기부채</t>
        </is>
      </c>
      <c r="E28" s="18" t="n">
        <v>15056.6</v>
      </c>
      <c r="F28" s="37" t="n">
        <v>15056.6</v>
      </c>
      <c r="G28" s="18" t="n">
        <v>11306.6</v>
      </c>
      <c r="H28" s="18" t="n">
        <v>7556.6</v>
      </c>
      <c r="I28" s="18" t="n">
        <v>3822.35</v>
      </c>
      <c r="J28" s="18" t="n">
        <v>88.09999999999999</v>
      </c>
      <c r="K28" s="37" t="n">
        <v>88.09999999999999</v>
      </c>
      <c r="L28" s="18" t="n">
        <v>633.41</v>
      </c>
      <c r="M28" s="18" t="n">
        <v>1467.56</v>
      </c>
      <c r="N28" s="18" t="n">
        <v>3755.06</v>
      </c>
      <c r="O28" s="18" t="n">
        <v>14623.96</v>
      </c>
      <c r="P28" s="37" t="n">
        <v>14623.96</v>
      </c>
      <c r="Q28" s="18" t="n">
        <v>16433.3</v>
      </c>
      <c r="R28" s="18" t="n">
        <v>16397.2</v>
      </c>
      <c r="S28" s="18" t="n">
        <v>6067.2</v>
      </c>
      <c r="T28" s="18" t="n">
        <v>5930.95</v>
      </c>
      <c r="U28" s="37" t="n">
        <v>5930.95</v>
      </c>
      <c r="V28" s="18" t="n">
        <v>4724.7</v>
      </c>
      <c r="W28" s="18" t="n">
        <v>5518.45</v>
      </c>
      <c r="X28" s="18" t="n">
        <v>16312.2</v>
      </c>
      <c r="Y28" s="18" t="n">
        <v>3912.2</v>
      </c>
      <c r="Z28" s="37" t="n">
        <v>3912.2</v>
      </c>
      <c r="AA28" s="18" t="n">
        <v>18462.28</v>
      </c>
      <c r="AB28" s="19" t="n">
        <v>2826.27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기타유동부채</t>
        </is>
      </c>
      <c r="E29" s="18" t="n">
        <v>8561.68</v>
      </c>
      <c r="F29" s="37" t="n">
        <v>8561.68</v>
      </c>
      <c r="G29" s="18" t="n">
        <v>7815.64</v>
      </c>
      <c r="H29" s="18" t="n">
        <v>10760.23</v>
      </c>
      <c r="I29" s="18" t="n">
        <v>11630.57</v>
      </c>
      <c r="J29" s="18" t="n">
        <v>29053.57</v>
      </c>
      <c r="K29" s="37" t="n">
        <v>29053.57</v>
      </c>
      <c r="L29" s="18" t="n">
        <v>41870.4</v>
      </c>
      <c r="M29" s="18" t="n">
        <v>55264.14</v>
      </c>
      <c r="N29" s="18" t="n">
        <v>69897.45</v>
      </c>
      <c r="O29" s="18" t="n">
        <v>83196.03</v>
      </c>
      <c r="P29" s="37" t="n">
        <v>83196.03</v>
      </c>
      <c r="Q29" s="18" t="n">
        <v>78209.38</v>
      </c>
      <c r="R29" s="18" t="n">
        <v>104198.39</v>
      </c>
      <c r="S29" s="18" t="n">
        <v>121096.18</v>
      </c>
      <c r="T29" s="18" t="n">
        <v>172425.15</v>
      </c>
      <c r="U29" s="37" t="n">
        <v>172425.15</v>
      </c>
      <c r="V29" s="18" t="n">
        <v>185314.81</v>
      </c>
      <c r="W29" s="18" t="n">
        <v>164090.82</v>
      </c>
      <c r="X29" s="18" t="n">
        <v>149909.03</v>
      </c>
      <c r="Y29" s="18" t="n">
        <v>139830.57</v>
      </c>
      <c r="Z29" s="37" t="n">
        <v>139830.57</v>
      </c>
      <c r="AA29" s="18" t="n">
        <v>139367.11</v>
      </c>
      <c r="AB29" s="19" t="n">
        <v>135291.56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비유동부채</t>
        </is>
      </c>
      <c r="E30" s="18" t="n">
        <v>9194.84</v>
      </c>
      <c r="F30" s="37" t="n">
        <v>9194.84</v>
      </c>
      <c r="G30" s="18" t="n">
        <v>14982</v>
      </c>
      <c r="H30" s="18" t="n">
        <v>16184.24</v>
      </c>
      <c r="I30" s="18" t="n">
        <v>31580.88</v>
      </c>
      <c r="J30" s="18" t="n">
        <v>23695.3</v>
      </c>
      <c r="K30" s="37" t="n">
        <v>23695.3</v>
      </c>
      <c r="L30" s="18" t="n">
        <v>22487.13</v>
      </c>
      <c r="M30" s="18" t="n">
        <v>20393.87</v>
      </c>
      <c r="N30" s="18" t="n">
        <v>48549.59</v>
      </c>
      <c r="O30" s="18" t="n">
        <v>38181.27</v>
      </c>
      <c r="P30" s="37" t="n">
        <v>38181.27</v>
      </c>
      <c r="Q30" s="18" t="n">
        <v>42291.92</v>
      </c>
      <c r="R30" s="18" t="n">
        <v>41177.82</v>
      </c>
      <c r="S30" s="18" t="n">
        <v>38797.89</v>
      </c>
      <c r="T30" s="18" t="n">
        <v>35180.66</v>
      </c>
      <c r="U30" s="37" t="n">
        <v>35180.66</v>
      </c>
      <c r="V30" s="18" t="n">
        <v>32390.09</v>
      </c>
      <c r="W30" s="18" t="n">
        <v>45322.48</v>
      </c>
      <c r="X30" s="18" t="n">
        <v>50314.54</v>
      </c>
      <c r="Y30" s="18" t="n">
        <v>38501.48</v>
      </c>
      <c r="Z30" s="37" t="n">
        <v>38501.48</v>
      </c>
      <c r="AA30" s="18" t="n">
        <v>33018.64</v>
      </c>
      <c r="AB30" s="19" t="n">
        <v>44231.64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장기차입금</t>
        </is>
      </c>
      <c r="E31" s="18" t="n">
        <v>958.77</v>
      </c>
      <c r="F31" s="37" t="n">
        <v>958.77</v>
      </c>
      <c r="G31" s="18" t="n">
        <v>7050.53</v>
      </c>
      <c r="H31" s="18" t="n">
        <v>7036.38</v>
      </c>
      <c r="I31" s="18" t="n">
        <v>15212.4</v>
      </c>
      <c r="J31" s="18" t="n">
        <v>15396.5</v>
      </c>
      <c r="K31" s="37" t="n">
        <v>15396.5</v>
      </c>
      <c r="L31" s="18" t="n">
        <v>14942.95</v>
      </c>
      <c r="M31" s="18" t="n">
        <v>16425</v>
      </c>
      <c r="N31" s="18" t="n">
        <v>31979.3</v>
      </c>
      <c r="O31" s="18" t="n">
        <v>20104.8</v>
      </c>
      <c r="P31" s="37" t="n">
        <v>20104.8</v>
      </c>
      <c r="Q31" s="18" t="n">
        <v>21895.5</v>
      </c>
      <c r="R31" s="18" t="n">
        <v>20311.2</v>
      </c>
      <c r="S31" s="18" t="n">
        <v>19248.9</v>
      </c>
      <c r="T31" s="18" t="n">
        <v>18062.85</v>
      </c>
      <c r="U31" s="37" t="n">
        <v>18062.85</v>
      </c>
      <c r="V31" s="18" t="n">
        <v>13984.8</v>
      </c>
      <c r="W31" s="18" t="n">
        <v>17406.75</v>
      </c>
      <c r="X31" s="18" t="n">
        <v>15828.7</v>
      </c>
      <c r="Y31" s="18" t="n">
        <v>11400.65</v>
      </c>
      <c r="Z31" s="37" t="n">
        <v>11400.65</v>
      </c>
      <c r="AA31" s="18" t="n">
        <v>10422.6</v>
      </c>
      <c r="AB31" s="19" t="n">
        <v>20621.67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비유동리스부채</t>
        </is>
      </c>
      <c r="E32" s="18" t="n">
        <v>906.99</v>
      </c>
      <c r="F32" s="37" t="n">
        <v>906.99</v>
      </c>
      <c r="G32" s="18" t="n">
        <v>949.91</v>
      </c>
      <c r="H32" s="18" t="n">
        <v>794.78</v>
      </c>
      <c r="I32" s="18" t="n">
        <v>955.75</v>
      </c>
      <c r="J32" s="18" t="n">
        <v>1243.68</v>
      </c>
      <c r="K32" s="37" t="n">
        <v>1243.68</v>
      </c>
      <c r="L32" s="18" t="n">
        <v>1094.45</v>
      </c>
      <c r="M32" s="18" t="n">
        <v>1106.66</v>
      </c>
      <c r="N32" s="18" t="n">
        <v>1063.32</v>
      </c>
      <c r="O32" s="18" t="n">
        <v>936.85</v>
      </c>
      <c r="P32" s="37" t="n">
        <v>936.85</v>
      </c>
      <c r="Q32" s="18" t="n">
        <v>3584.86</v>
      </c>
      <c r="R32" s="18" t="n">
        <v>3372.17</v>
      </c>
      <c r="S32" s="18" t="n">
        <v>3673.37</v>
      </c>
      <c r="T32" s="18" t="n">
        <v>3479.59</v>
      </c>
      <c r="U32" s="37" t="n">
        <v>3479.59</v>
      </c>
      <c r="V32" s="18" t="n">
        <v>3274.41</v>
      </c>
      <c r="W32" s="18" t="n">
        <v>3264.38</v>
      </c>
      <c r="X32" s="18" t="n">
        <v>5342.74</v>
      </c>
      <c r="Y32" s="18" t="n">
        <v>3364.91</v>
      </c>
      <c r="Z32" s="37" t="n">
        <v>3364.91</v>
      </c>
      <c r="AA32" s="18" t="n">
        <v>3707.96</v>
      </c>
      <c r="AB32" s="19" t="n">
        <v>3498.97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장기금융부채</t>
        </is>
      </c>
      <c r="E33" s="18" t="n">
        <v>906.99</v>
      </c>
      <c r="F33" s="37" t="n">
        <v>906.99</v>
      </c>
      <c r="G33" s="18" t="n">
        <v>1072.32</v>
      </c>
      <c r="H33" s="18" t="n">
        <v>3582.68</v>
      </c>
      <c r="I33" s="18" t="n">
        <v>12316.15</v>
      </c>
      <c r="J33" s="18" t="n">
        <v>1514.73</v>
      </c>
      <c r="K33" s="37" t="n">
        <v>1514.73</v>
      </c>
      <c r="L33" s="18" t="n">
        <v>1571.92</v>
      </c>
      <c r="M33" s="18" t="n">
        <v>1203.89</v>
      </c>
      <c r="N33" s="18" t="n">
        <v>1992.89</v>
      </c>
      <c r="O33" s="18" t="n">
        <v>936.85</v>
      </c>
      <c r="P33" s="37" t="n">
        <v>936.85</v>
      </c>
      <c r="Q33" s="18" t="n">
        <v>4637.51</v>
      </c>
      <c r="R33" s="18" t="n">
        <v>5542.57</v>
      </c>
      <c r="S33" s="18" t="n">
        <v>4045.73</v>
      </c>
      <c r="T33" s="18" t="n">
        <v>13453.19</v>
      </c>
      <c r="U33" s="37" t="n">
        <v>13453.19</v>
      </c>
      <c r="V33" s="18" t="n">
        <v>12795.36</v>
      </c>
      <c r="W33" s="18" t="n">
        <v>3775.6</v>
      </c>
      <c r="X33" s="18" t="n">
        <v>9002.35</v>
      </c>
      <c r="Y33" s="18" t="n">
        <v>8814.34</v>
      </c>
      <c r="Z33" s="37" t="n">
        <v>8814.34</v>
      </c>
      <c r="AA33" s="18" t="n">
        <v>12108.75</v>
      </c>
      <c r="AB33" s="19" t="n">
        <v>10177.23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확정급여부채</t>
        </is>
      </c>
      <c r="E34" s="18" t="n">
        <v>1664.66</v>
      </c>
      <c r="F34" s="37" t="n">
        <v>1664.66</v>
      </c>
      <c r="G34" s="18" t="n">
        <v>1954.98</v>
      </c>
      <c r="H34" s="18" t="n">
        <v>172</v>
      </c>
      <c r="I34" s="18" t="n">
        <v>549.9400000000001</v>
      </c>
      <c r="K34" s="9" t="n"/>
      <c r="O34" s="18" t="n">
        <v>45.16</v>
      </c>
      <c r="P34" s="37" t="n">
        <v>45.16</v>
      </c>
      <c r="Q34" s="18" t="n">
        <v>45.16</v>
      </c>
      <c r="R34" s="18" t="n">
        <v>348.22</v>
      </c>
      <c r="S34" s="18" t="n">
        <v>525.21</v>
      </c>
      <c r="T34" s="18" t="n">
        <v>349.23</v>
      </c>
      <c r="U34" s="37" t="n">
        <v>349.23</v>
      </c>
      <c r="V34" s="18" t="n">
        <v>363.25</v>
      </c>
      <c r="W34" s="18" t="n">
        <v>625.03</v>
      </c>
      <c r="X34" s="18" t="n">
        <v>705.76</v>
      </c>
      <c r="Y34" s="18" t="n">
        <v>590.61</v>
      </c>
      <c r="Z34" s="37" t="n">
        <v>590.61</v>
      </c>
      <c r="AA34" s="18" t="n">
        <v>677.4400000000001</v>
      </c>
      <c r="AB34" s="19" t="n">
        <v>761.36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이연법인세부채</t>
        </is>
      </c>
      <c r="E35" s="18" t="n">
        <v>4153.83</v>
      </c>
      <c r="F35" s="37" t="n">
        <v>4153.83</v>
      </c>
      <c r="G35" s="18" t="n">
        <v>3393.59</v>
      </c>
      <c r="H35" s="18" t="n">
        <v>3179.71</v>
      </c>
      <c r="I35" s="18" t="n">
        <v>1288.92</v>
      </c>
      <c r="K35" s="9" t="n"/>
      <c r="N35" s="18" t="n">
        <v>1103.74</v>
      </c>
      <c r="O35" s="18" t="n">
        <v>4981.12</v>
      </c>
      <c r="P35" s="37" t="n">
        <v>4981.12</v>
      </c>
      <c r="Q35" s="18" t="n">
        <v>4404.5</v>
      </c>
      <c r="R35" s="18" t="n">
        <v>3666.58</v>
      </c>
      <c r="S35" s="18" t="n">
        <v>4796.24</v>
      </c>
      <c r="U35" s="9" t="n"/>
      <c r="Z35" s="9" t="n"/>
      <c r="AB35" s="5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기타비유동부채</t>
        </is>
      </c>
      <c r="E36" s="18" t="n">
        <v>1510.58</v>
      </c>
      <c r="F36" s="37" t="n">
        <v>1510.58</v>
      </c>
      <c r="G36" s="18" t="n">
        <v>1510.58</v>
      </c>
      <c r="H36" s="18" t="n">
        <v>2213.47</v>
      </c>
      <c r="I36" s="18" t="n">
        <v>2213.47</v>
      </c>
      <c r="J36" s="18" t="n">
        <v>6784.07</v>
      </c>
      <c r="K36" s="37" t="n">
        <v>6784.07</v>
      </c>
      <c r="L36" s="18" t="n">
        <v>5972.26</v>
      </c>
      <c r="M36" s="18" t="n">
        <v>2764.98</v>
      </c>
      <c r="N36" s="18" t="n">
        <v>3473.65</v>
      </c>
      <c r="O36" s="18" t="n">
        <v>2113.34</v>
      </c>
      <c r="P36" s="37" t="n">
        <v>2113.34</v>
      </c>
      <c r="Q36" s="18" t="n">
        <v>1309.25</v>
      </c>
      <c r="R36" s="18" t="n">
        <v>1309.25</v>
      </c>
      <c r="S36" s="18" t="n">
        <v>181.82</v>
      </c>
      <c r="T36" s="18" t="n">
        <v>696.4400000000001</v>
      </c>
      <c r="U36" s="37" t="n">
        <v>696.4400000000001</v>
      </c>
      <c r="V36" s="18" t="n">
        <v>696.4400000000001</v>
      </c>
      <c r="W36" s="18" t="n">
        <v>696.4400000000001</v>
      </c>
      <c r="X36" s="18" t="n">
        <v>696.4400000000001</v>
      </c>
      <c r="Y36" s="18" t="n">
        <v>4137</v>
      </c>
      <c r="Z36" s="37" t="n">
        <v>4137</v>
      </c>
      <c r="AA36" s="18" t="n">
        <v>8701.889999999999</v>
      </c>
      <c r="AB36" s="19" t="n">
        <v>11693.41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부채총계</t>
        </is>
      </c>
      <c r="E37" s="18" t="n">
        <v>88046.53</v>
      </c>
      <c r="F37" s="37" t="n">
        <v>88046.53</v>
      </c>
      <c r="G37" s="18" t="n">
        <v>98949.91</v>
      </c>
      <c r="H37" s="18" t="n">
        <v>104875.22</v>
      </c>
      <c r="I37" s="18" t="n">
        <v>145490.31</v>
      </c>
      <c r="J37" s="18" t="n">
        <v>172708.85</v>
      </c>
      <c r="K37" s="37" t="n">
        <v>172708.85</v>
      </c>
      <c r="L37" s="18" t="n">
        <v>203982.65</v>
      </c>
      <c r="M37" s="18" t="n">
        <v>235369.12</v>
      </c>
      <c r="N37" s="18" t="n">
        <v>298249.62</v>
      </c>
      <c r="O37" s="18" t="n">
        <v>318467.94</v>
      </c>
      <c r="P37" s="37" t="n">
        <v>318467.94</v>
      </c>
      <c r="Q37" s="18" t="n">
        <v>321725.27</v>
      </c>
      <c r="R37" s="18" t="n">
        <v>343806.87</v>
      </c>
      <c r="S37" s="18" t="n">
        <v>351324.34</v>
      </c>
      <c r="T37" s="18" t="n">
        <v>390081.16</v>
      </c>
      <c r="U37" s="37" t="n">
        <v>390081.16</v>
      </c>
      <c r="V37" s="18" t="n">
        <v>419872.35</v>
      </c>
      <c r="W37" s="18" t="n">
        <v>394074.04</v>
      </c>
      <c r="X37" s="18" t="n">
        <v>394917.62</v>
      </c>
      <c r="Y37" s="18" t="n">
        <v>448358.94</v>
      </c>
      <c r="Z37" s="37" t="n">
        <v>448358.94</v>
      </c>
      <c r="AA37" s="18" t="n">
        <v>490241.86</v>
      </c>
      <c r="AB37" s="19" t="n">
        <v>444883.47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자본금</t>
        </is>
      </c>
      <c r="E38" s="18" t="n">
        <v>21980.38</v>
      </c>
      <c r="F38" s="37" t="n">
        <v>21980.38</v>
      </c>
      <c r="G38" s="18" t="n">
        <v>21980.38</v>
      </c>
      <c r="H38" s="18" t="n">
        <v>21980.38</v>
      </c>
      <c r="I38" s="18" t="n">
        <v>21980.38</v>
      </c>
      <c r="J38" s="18" t="n">
        <v>21980.38</v>
      </c>
      <c r="K38" s="37" t="n">
        <v>21980.38</v>
      </c>
      <c r="L38" s="18" t="n">
        <v>21980.38</v>
      </c>
      <c r="M38" s="18" t="n">
        <v>21980.38</v>
      </c>
      <c r="N38" s="18" t="n">
        <v>21980.38</v>
      </c>
      <c r="O38" s="18" t="n">
        <v>25954.23</v>
      </c>
      <c r="P38" s="37" t="n">
        <v>25954.23</v>
      </c>
      <c r="Q38" s="18" t="n">
        <v>25954.23</v>
      </c>
      <c r="R38" s="18" t="n">
        <v>25954.23</v>
      </c>
      <c r="S38" s="18" t="n">
        <v>25954.23</v>
      </c>
      <c r="T38" s="18" t="n">
        <v>192789.69</v>
      </c>
      <c r="U38" s="37" t="n">
        <v>192789.69</v>
      </c>
      <c r="V38" s="18" t="n">
        <v>192789.69</v>
      </c>
      <c r="W38" s="18" t="n">
        <v>192789.69</v>
      </c>
      <c r="X38" s="18" t="n">
        <v>192789.69</v>
      </c>
      <c r="Y38" s="18" t="n">
        <v>122789.69</v>
      </c>
      <c r="Z38" s="37" t="n">
        <v>122789.69</v>
      </c>
      <c r="AA38" s="18" t="n">
        <v>122789.69</v>
      </c>
      <c r="AB38" s="19" t="n">
        <v>177321.71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자본잉여금</t>
        </is>
      </c>
      <c r="E39" s="18" t="n">
        <v>74960.11</v>
      </c>
      <c r="F39" s="37" t="n">
        <v>74960.11</v>
      </c>
      <c r="G39" s="18" t="n">
        <v>74960.11</v>
      </c>
      <c r="H39" s="18" t="n">
        <v>74960.11</v>
      </c>
      <c r="I39" s="18" t="n">
        <v>74960.11</v>
      </c>
      <c r="J39" s="18" t="n">
        <v>74960.11</v>
      </c>
      <c r="K39" s="37" t="n">
        <v>74960.11</v>
      </c>
      <c r="L39" s="18" t="n">
        <v>74960.11</v>
      </c>
      <c r="M39" s="18" t="n">
        <v>74960.11</v>
      </c>
      <c r="N39" s="18" t="n">
        <v>74960.11</v>
      </c>
      <c r="O39" s="18" t="n">
        <v>166835.46</v>
      </c>
      <c r="P39" s="37" t="n">
        <v>166835.46</v>
      </c>
      <c r="Q39" s="18" t="n">
        <v>166835.46</v>
      </c>
      <c r="R39" s="18" t="n">
        <v>166835.46</v>
      </c>
      <c r="S39" s="18" t="n">
        <v>166835.46</v>
      </c>
      <c r="T39" s="18" t="n">
        <v>166835.46</v>
      </c>
      <c r="U39" s="37" t="n">
        <v>166835.46</v>
      </c>
      <c r="V39" s="18" t="n">
        <v>166835.46</v>
      </c>
      <c r="W39" s="18" t="n">
        <v>166835.46</v>
      </c>
      <c r="X39" s="18" t="n">
        <v>166835.46</v>
      </c>
      <c r="Y39" s="18" t="n">
        <v>96835.46000000001</v>
      </c>
      <c r="Z39" s="37" t="n">
        <v>96835.46000000001</v>
      </c>
      <c r="AA39" s="18" t="n">
        <v>96835.46000000001</v>
      </c>
      <c r="AB39" s="19" t="n">
        <v>151014.17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이익잉여금</t>
        </is>
      </c>
      <c r="E40" s="18" t="n">
        <v>302311.08</v>
      </c>
      <c r="F40" s="37" t="n">
        <v>302311.08</v>
      </c>
      <c r="G40" s="18" t="n">
        <v>299390.5</v>
      </c>
      <c r="H40" s="18" t="n">
        <v>302985.78</v>
      </c>
      <c r="I40" s="18" t="n">
        <v>308079.74</v>
      </c>
      <c r="J40" s="18" t="n">
        <v>299038.94</v>
      </c>
      <c r="K40" s="37" t="n">
        <v>299038.94</v>
      </c>
      <c r="L40" s="18" t="n">
        <v>294376.44</v>
      </c>
      <c r="M40" s="18" t="n">
        <v>303652.93</v>
      </c>
      <c r="N40" s="18" t="n">
        <v>308292.13</v>
      </c>
      <c r="O40" s="18" t="n">
        <v>289114.7</v>
      </c>
      <c r="P40" s="37" t="n">
        <v>289114.7</v>
      </c>
      <c r="Q40" s="18" t="n">
        <v>287756.44</v>
      </c>
      <c r="R40" s="18" t="n">
        <v>299680.2</v>
      </c>
      <c r="S40" s="18" t="n">
        <v>314151.81</v>
      </c>
      <c r="T40" s="18" t="n">
        <v>303177</v>
      </c>
      <c r="U40" s="37" t="n">
        <v>303177</v>
      </c>
      <c r="V40" s="18" t="n">
        <v>321596.98</v>
      </c>
      <c r="W40" s="18" t="n">
        <v>346144.09</v>
      </c>
      <c r="X40" s="18" t="n">
        <v>361935.51</v>
      </c>
      <c r="Y40" s="18" t="n">
        <v>460409.17</v>
      </c>
      <c r="Z40" s="37" t="n">
        <v>460409.17</v>
      </c>
      <c r="AA40" s="18" t="n">
        <v>449602.89</v>
      </c>
      <c r="AB40" s="19" t="n">
        <v>487112.81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기타포괄이익누계액</t>
        </is>
      </c>
      <c r="E41" s="18" t="n">
        <v>-3298.12</v>
      </c>
      <c r="F41" s="37" t="n">
        <v>-3298.12</v>
      </c>
      <c r="G41" s="18" t="n">
        <v>-3433.13</v>
      </c>
      <c r="H41" s="18" t="n">
        <v>-3433.13</v>
      </c>
      <c r="I41" s="18" t="n">
        <v>-3433.13</v>
      </c>
      <c r="J41" s="18" t="n">
        <v>-3434.91</v>
      </c>
      <c r="K41" s="37" t="n">
        <v>-3434.91</v>
      </c>
      <c r="L41" s="18" t="n">
        <v>-3434.91</v>
      </c>
      <c r="M41" s="18" t="n">
        <v>-3434.91</v>
      </c>
      <c r="N41" s="18" t="n">
        <v>-3434.91</v>
      </c>
      <c r="O41" s="18" t="n">
        <v>-2266.08</v>
      </c>
      <c r="P41" s="37" t="n">
        <v>-2266.08</v>
      </c>
      <c r="Q41" s="18" t="n">
        <v>-2269.71</v>
      </c>
      <c r="R41" s="18" t="n">
        <v>-2269.69</v>
      </c>
      <c r="S41" s="18" t="n">
        <v>-2269.55</v>
      </c>
      <c r="T41" s="18" t="n">
        <v>-2264.91</v>
      </c>
      <c r="U41" s="37" t="n">
        <v>-2264.91</v>
      </c>
      <c r="V41" s="18" t="n">
        <v>-2264.91</v>
      </c>
      <c r="W41" s="18" t="n">
        <v>-2264.91</v>
      </c>
      <c r="X41" s="18" t="n">
        <v>-2264.91</v>
      </c>
      <c r="Y41" s="18" t="n">
        <v>-704.91</v>
      </c>
      <c r="Z41" s="37" t="n">
        <v>-704.91</v>
      </c>
      <c r="AA41" s="18" t="n">
        <v>-704.91</v>
      </c>
      <c r="AB41" s="19" t="n">
        <v>-704.91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기타자본</t>
        </is>
      </c>
      <c r="E42" s="18" t="n">
        <v>8538.129999999999</v>
      </c>
      <c r="F42" s="37" t="n">
        <v>8538.129999999999</v>
      </c>
      <c r="G42" s="18" t="n">
        <v>13643.13</v>
      </c>
      <c r="H42" s="18" t="n">
        <v>13643.13</v>
      </c>
      <c r="I42" s="18" t="n">
        <v>13643.13</v>
      </c>
      <c r="J42" s="18" t="n">
        <v>8538.129999999999</v>
      </c>
      <c r="K42" s="37" t="n">
        <v>8538.129999999999</v>
      </c>
      <c r="L42" s="18" t="n">
        <v>8538.129999999999</v>
      </c>
      <c r="M42" s="18" t="n">
        <v>8538.129999999999</v>
      </c>
      <c r="N42" s="18" t="n">
        <v>83249.12</v>
      </c>
      <c r="O42" s="18" t="n">
        <v>-13783.82</v>
      </c>
      <c r="P42" s="37" t="n">
        <v>-13783.82</v>
      </c>
      <c r="Q42" s="18" t="n">
        <v>-13783.82</v>
      </c>
      <c r="R42" s="18" t="n">
        <v>-13783.82</v>
      </c>
      <c r="S42" s="18" t="n">
        <v>-13783.82</v>
      </c>
      <c r="T42" s="18" t="n">
        <v>-13788.53</v>
      </c>
      <c r="U42" s="37" t="n">
        <v>-13788.53</v>
      </c>
      <c r="V42" s="18" t="n">
        <v>-13788.53</v>
      </c>
      <c r="W42" s="18" t="n">
        <v>3579.53</v>
      </c>
      <c r="X42" s="18" t="n">
        <v>3579.53</v>
      </c>
      <c r="Y42" s="18" t="n">
        <v>2169.86</v>
      </c>
      <c r="Z42" s="37" t="n">
        <v>2169.86</v>
      </c>
      <c r="AA42" s="18" t="n">
        <v>13357.88</v>
      </c>
      <c r="AB42" s="19" t="n">
        <v>13658.93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자본총계</t>
        </is>
      </c>
      <c r="E43" s="18" t="n">
        <v>404491.57</v>
      </c>
      <c r="F43" s="37" t="n">
        <v>404491.57</v>
      </c>
      <c r="G43" s="18" t="n">
        <v>401435.99</v>
      </c>
      <c r="H43" s="18" t="n">
        <v>405031.27</v>
      </c>
      <c r="I43" s="18" t="n">
        <v>410125.23</v>
      </c>
      <c r="J43" s="18" t="n">
        <v>401082.64</v>
      </c>
      <c r="K43" s="37" t="n">
        <v>401082.64</v>
      </c>
      <c r="L43" s="18" t="n">
        <v>396420.15</v>
      </c>
      <c r="M43" s="18" t="n">
        <v>405696.64</v>
      </c>
      <c r="N43" s="18" t="n">
        <v>485046.84</v>
      </c>
      <c r="O43" s="18" t="n">
        <v>465854.48</v>
      </c>
      <c r="P43" s="37" t="n">
        <v>465854.48</v>
      </c>
      <c r="Q43" s="18" t="n">
        <v>464492.6</v>
      </c>
      <c r="R43" s="18" t="n">
        <v>476416.37</v>
      </c>
      <c r="S43" s="18" t="n">
        <v>490888.13</v>
      </c>
      <c r="T43" s="18" t="n">
        <v>479913.25</v>
      </c>
      <c r="U43" s="37" t="n">
        <v>479913.25</v>
      </c>
      <c r="V43" s="18" t="n">
        <v>498333.24</v>
      </c>
      <c r="W43" s="18" t="n">
        <v>540248.4</v>
      </c>
      <c r="X43" s="18" t="n">
        <v>556039.8199999999</v>
      </c>
      <c r="Y43" s="18" t="n">
        <v>584663.8</v>
      </c>
      <c r="Z43" s="37" t="n">
        <v>584663.8</v>
      </c>
      <c r="AA43" s="18" t="n">
        <v>585045.55</v>
      </c>
      <c r="AB43" s="19" t="n">
        <v>677388.55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부채와자본총계</t>
        </is>
      </c>
      <c r="E44" s="18" t="n">
        <v>492538.1</v>
      </c>
      <c r="F44" s="37" t="n">
        <v>492538.1</v>
      </c>
      <c r="G44" s="18" t="n">
        <v>500385.9</v>
      </c>
      <c r="H44" s="18" t="n">
        <v>509906.49</v>
      </c>
      <c r="I44" s="18" t="n">
        <v>555615.55</v>
      </c>
      <c r="J44" s="18" t="n">
        <v>573791.49</v>
      </c>
      <c r="K44" s="37" t="n">
        <v>573791.49</v>
      </c>
      <c r="L44" s="18" t="n">
        <v>600402.79</v>
      </c>
      <c r="M44" s="18" t="n">
        <v>641065.76</v>
      </c>
      <c r="N44" s="18" t="n">
        <v>783296.46</v>
      </c>
      <c r="O44" s="18" t="n">
        <v>784322.42</v>
      </c>
      <c r="P44" s="37" t="n">
        <v>784322.42</v>
      </c>
      <c r="Q44" s="18" t="n">
        <v>786217.86</v>
      </c>
      <c r="R44" s="18" t="n">
        <v>820223.24</v>
      </c>
      <c r="S44" s="18" t="n">
        <v>842212.47</v>
      </c>
      <c r="T44" s="18" t="n">
        <v>869994.41</v>
      </c>
      <c r="U44" s="37" t="n">
        <v>869994.41</v>
      </c>
      <c r="V44" s="18" t="n">
        <v>918205.59</v>
      </c>
      <c r="W44" s="18" t="n">
        <v>934322.4399999999</v>
      </c>
      <c r="X44" s="18" t="n">
        <v>950957.45</v>
      </c>
      <c r="Y44" s="18" t="n">
        <v>1033022.74</v>
      </c>
      <c r="Z44" s="37" t="n">
        <v>1033022.74</v>
      </c>
      <c r="AA44" s="18" t="n">
        <v>1075287.41</v>
      </c>
      <c r="AB44" s="19" t="n">
        <v>1122272.02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지배주주지분</t>
        </is>
      </c>
      <c r="E45" s="18" t="n">
        <v>404491.57</v>
      </c>
      <c r="F45" s="37" t="n">
        <v>404491.57</v>
      </c>
      <c r="G45" s="18" t="n">
        <v>401435.99</v>
      </c>
      <c r="H45" s="18" t="n">
        <v>405031.27</v>
      </c>
      <c r="I45" s="18" t="n">
        <v>410125.23</v>
      </c>
      <c r="J45" s="18" t="n">
        <v>401082.64</v>
      </c>
      <c r="K45" s="37" t="n">
        <v>401082.64</v>
      </c>
      <c r="L45" s="18" t="n">
        <v>396420.15</v>
      </c>
      <c r="M45" s="18" t="n">
        <v>405696.64</v>
      </c>
      <c r="N45" s="18" t="n">
        <v>485046.84</v>
      </c>
      <c r="O45" s="18" t="n">
        <v>465854.48</v>
      </c>
      <c r="P45" s="37" t="n">
        <v>465854.48</v>
      </c>
      <c r="Q45" s="18" t="n">
        <v>464492.6</v>
      </c>
      <c r="R45" s="18" t="n">
        <v>476416.37</v>
      </c>
      <c r="S45" s="18" t="n">
        <v>490888.13</v>
      </c>
      <c r="T45" s="18" t="n">
        <v>479913.25</v>
      </c>
      <c r="U45" s="37" t="n">
        <v>479913.25</v>
      </c>
      <c r="V45" s="18" t="n">
        <v>498333.24</v>
      </c>
      <c r="W45" s="18" t="n">
        <v>540248.4</v>
      </c>
      <c r="X45" s="18" t="n">
        <v>556039.8199999999</v>
      </c>
      <c r="Y45" s="18" t="n">
        <v>584663.8</v>
      </c>
      <c r="Z45" s="37" t="n">
        <v>584663.8</v>
      </c>
      <c r="AA45" s="18" t="n">
        <v>585045.55</v>
      </c>
      <c r="AB45" s="19" t="n">
        <v>677388.55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총차입금</t>
        </is>
      </c>
      <c r="E46" s="18" t="n">
        <v>16015.37</v>
      </c>
      <c r="F46" s="37" t="n">
        <v>16015.37</v>
      </c>
      <c r="G46" s="18" t="n">
        <v>18357.13</v>
      </c>
      <c r="H46" s="18" t="n">
        <v>18592.98</v>
      </c>
      <c r="I46" s="18" t="n">
        <v>46034.75</v>
      </c>
      <c r="J46" s="18" t="n">
        <v>52484.6</v>
      </c>
      <c r="K46" s="37" t="n">
        <v>52484.6</v>
      </c>
      <c r="L46" s="18" t="n">
        <v>63576.36</v>
      </c>
      <c r="M46" s="18" t="n">
        <v>82998.47</v>
      </c>
      <c r="N46" s="18" t="n">
        <v>126142.3</v>
      </c>
      <c r="O46" s="18" t="n">
        <v>125380.06</v>
      </c>
      <c r="P46" s="37" t="n">
        <v>125380.06</v>
      </c>
      <c r="Q46" s="18" t="n">
        <v>108514.01</v>
      </c>
      <c r="R46" s="18" t="n">
        <v>103751.73</v>
      </c>
      <c r="S46" s="18" t="n">
        <v>92697.42999999999</v>
      </c>
      <c r="T46" s="18" t="n">
        <v>63834.75</v>
      </c>
      <c r="U46" s="37" t="n">
        <v>63834.75</v>
      </c>
      <c r="V46" s="18" t="n">
        <v>56209.5</v>
      </c>
      <c r="W46" s="18" t="n">
        <v>54501.66</v>
      </c>
      <c r="X46" s="18" t="n">
        <v>54708.57</v>
      </c>
      <c r="Y46" s="18" t="n">
        <v>103871.73</v>
      </c>
      <c r="Z46" s="37" t="n">
        <v>103871.73</v>
      </c>
      <c r="AA46" s="18" t="n">
        <v>117884.88</v>
      </c>
      <c r="AB46" s="19" t="n">
        <v>135447.94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순차입금</t>
        </is>
      </c>
      <c r="E47" s="18" t="n">
        <v>-55418.94</v>
      </c>
      <c r="F47" s="37" t="n">
        <v>-55418.94</v>
      </c>
      <c r="G47" s="18" t="n">
        <v>-58306.69</v>
      </c>
      <c r="H47" s="18" t="n">
        <v>-7459.39</v>
      </c>
      <c r="I47" s="18" t="n">
        <v>4307.15</v>
      </c>
      <c r="J47" s="18" t="n">
        <v>-8812.309999999999</v>
      </c>
      <c r="K47" s="37" t="n">
        <v>-8812.309999999999</v>
      </c>
      <c r="L47" s="18" t="n">
        <v>25688.34</v>
      </c>
      <c r="M47" s="18" t="n">
        <v>58951.8</v>
      </c>
      <c r="N47" s="18" t="n">
        <v>71251.14</v>
      </c>
      <c r="O47" s="18" t="n">
        <v>51923.73</v>
      </c>
      <c r="P47" s="37" t="n">
        <v>51923.73</v>
      </c>
      <c r="Q47" s="18" t="n">
        <v>59344.28</v>
      </c>
      <c r="R47" s="18" t="n">
        <v>17773.3</v>
      </c>
      <c r="S47" s="18" t="n">
        <v>9291.440000000001</v>
      </c>
      <c r="T47" s="18" t="n">
        <v>3218.68</v>
      </c>
      <c r="U47" s="37" t="n">
        <v>3218.68</v>
      </c>
      <c r="V47" s="18" t="n">
        <v>-54782.13</v>
      </c>
      <c r="W47" s="18" t="n">
        <v>-48741.7</v>
      </c>
      <c r="X47" s="18" t="n">
        <v>-51472.26</v>
      </c>
      <c r="Y47" s="18" t="n">
        <v>38685.1</v>
      </c>
      <c r="Z47" s="37" t="n">
        <v>38685.1</v>
      </c>
      <c r="AA47" s="18" t="n">
        <v>40759.66</v>
      </c>
      <c r="AB47" s="19" t="n">
        <v>54307.91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이자발생자산</t>
        </is>
      </c>
      <c r="E48" s="18" t="n">
        <v>80018.89</v>
      </c>
      <c r="F48" s="37" t="n">
        <v>80018.89</v>
      </c>
      <c r="G48" s="18" t="n">
        <v>150642.78</v>
      </c>
      <c r="H48" s="18" t="n">
        <v>133469.68</v>
      </c>
      <c r="I48" s="18" t="n">
        <v>149192.67</v>
      </c>
      <c r="J48" s="18" t="n">
        <v>68296.33</v>
      </c>
      <c r="K48" s="37" t="n">
        <v>68296.33</v>
      </c>
      <c r="L48" s="18" t="n">
        <v>42875.59</v>
      </c>
      <c r="M48" s="18" t="n">
        <v>28590.11</v>
      </c>
      <c r="N48" s="18" t="n">
        <v>55375.16</v>
      </c>
      <c r="O48" s="18" t="n">
        <v>73806.33</v>
      </c>
      <c r="P48" s="37" t="n">
        <v>73806.33</v>
      </c>
      <c r="Q48" s="18" t="n">
        <v>49519.73</v>
      </c>
      <c r="R48" s="18" t="n">
        <v>86328.42999999999</v>
      </c>
      <c r="S48" s="18" t="n">
        <v>83755.99000000001</v>
      </c>
      <c r="T48" s="18" t="n">
        <v>88139.64</v>
      </c>
      <c r="U48" s="37" t="n">
        <v>88139.64</v>
      </c>
      <c r="V48" s="18" t="n">
        <v>135673.89</v>
      </c>
      <c r="W48" s="18" t="n">
        <v>130070.51</v>
      </c>
      <c r="X48" s="18" t="n">
        <v>131126.55</v>
      </c>
      <c r="Y48" s="18" t="n">
        <v>88773.33</v>
      </c>
      <c r="Z48" s="37" t="n">
        <v>88773.33</v>
      </c>
      <c r="AA48" s="18" t="n">
        <v>101565.79</v>
      </c>
      <c r="AB48" s="19" t="n">
        <v>104552.4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기타유동금융자산</t>
        </is>
      </c>
      <c r="F49" s="9" t="n"/>
      <c r="G49" s="18" t="n">
        <v>73141.62</v>
      </c>
      <c r="H49" s="18" t="n">
        <v>43386.74</v>
      </c>
      <c r="I49" s="18" t="n">
        <v>44324.13</v>
      </c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장기대여금</t>
        </is>
      </c>
      <c r="F50" s="9" t="n"/>
      <c r="G50" s="18" t="n">
        <v>17707.42</v>
      </c>
      <c r="H50" s="18" t="n">
        <v>47628.12</v>
      </c>
      <c r="I50" s="18" t="n">
        <v>53861.41</v>
      </c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매입채무및기타채무</t>
        </is>
      </c>
      <c r="F51" s="9" t="n"/>
      <c r="G51" s="18" t="n">
        <v>58146.85</v>
      </c>
      <c r="H51" s="18" t="n">
        <v>59995.15</v>
      </c>
      <c r="I51" s="18" t="n">
        <v>58243.78</v>
      </c>
      <c r="K51" s="9" t="n"/>
      <c r="L51" s="18" t="n">
        <v>5592.88</v>
      </c>
      <c r="P51" s="9" t="n"/>
      <c r="Q51" s="18" t="n">
        <v>5413.95</v>
      </c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기타비유동금융부채</t>
        </is>
      </c>
      <c r="F52" s="9" t="n"/>
      <c r="G52" s="18" t="n">
        <v>122.41</v>
      </c>
      <c r="H52" s="18" t="n">
        <v>2787.9</v>
      </c>
      <c r="I52" s="18" t="n">
        <v>11360.4</v>
      </c>
      <c r="J52" s="18" t="n">
        <v>271.05</v>
      </c>
      <c r="K52" s="37" t="n">
        <v>271.05</v>
      </c>
      <c r="L52" s="18" t="n">
        <v>477.47</v>
      </c>
      <c r="M52" s="18" t="n">
        <v>97.23</v>
      </c>
      <c r="N52" s="18" t="n">
        <v>929.5700000000001</v>
      </c>
      <c r="P52" s="9" t="n"/>
      <c r="Q52" s="18" t="n">
        <v>1052.65</v>
      </c>
      <c r="R52" s="18" t="n">
        <v>2170.4</v>
      </c>
      <c r="S52" s="18" t="n">
        <v>372.36</v>
      </c>
      <c r="T52" s="18" t="n">
        <v>9973.6</v>
      </c>
      <c r="U52" s="37" t="n">
        <v>9973.6</v>
      </c>
      <c r="V52" s="18" t="n">
        <v>9520.950000000001</v>
      </c>
      <c r="W52" s="18" t="n">
        <v>511.22</v>
      </c>
      <c r="X52" s="18" t="n">
        <v>3659.61</v>
      </c>
      <c r="Y52" s="18" t="n">
        <v>5449.43</v>
      </c>
      <c r="Z52" s="37" t="n">
        <v>5449.43</v>
      </c>
      <c r="AA52" s="18" t="n">
        <v>8400.790000000001</v>
      </c>
      <c r="AB52" s="19" t="n">
        <v>6678.26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단기차입금</t>
        </is>
      </c>
      <c r="F53" s="9" t="n"/>
      <c r="H53" s="18" t="n">
        <v>4000</v>
      </c>
      <c r="I53" s="18" t="n">
        <v>27000</v>
      </c>
      <c r="J53" s="18" t="n">
        <v>37000</v>
      </c>
      <c r="K53" s="37" t="n">
        <v>37000</v>
      </c>
      <c r="L53" s="18" t="n">
        <v>48000</v>
      </c>
      <c r="M53" s="18" t="n">
        <v>65105.91</v>
      </c>
      <c r="N53" s="18" t="n">
        <v>80407.94</v>
      </c>
      <c r="O53" s="18" t="n">
        <v>80651.3</v>
      </c>
      <c r="P53" s="37" t="n">
        <v>80651.3</v>
      </c>
      <c r="Q53" s="18" t="n">
        <v>60185.21</v>
      </c>
      <c r="R53" s="18" t="n">
        <v>57043.33</v>
      </c>
      <c r="S53" s="18" t="n">
        <v>57381.33</v>
      </c>
      <c r="T53" s="18" t="n">
        <v>39840.95</v>
      </c>
      <c r="U53" s="37" t="n">
        <v>39840.95</v>
      </c>
      <c r="V53" s="18" t="n">
        <v>37500</v>
      </c>
      <c r="W53" s="18" t="n">
        <v>20000</v>
      </c>
      <c r="X53" s="18" t="n">
        <v>10000</v>
      </c>
      <c r="Y53" s="18" t="n">
        <v>75000</v>
      </c>
      <c r="Z53" s="37" t="n">
        <v>75000</v>
      </c>
      <c r="AA53" s="18" t="n">
        <v>89000</v>
      </c>
      <c r="AB53" s="19" t="n">
        <v>112000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이연법인세자산</t>
        </is>
      </c>
      <c r="F54" s="9" t="n"/>
      <c r="J54" s="18" t="n">
        <v>1232.07</v>
      </c>
      <c r="K54" s="37" t="n">
        <v>1232.07</v>
      </c>
      <c r="L54" s="18" t="n">
        <v>1903.38</v>
      </c>
      <c r="M54" s="18" t="n">
        <v>865.45</v>
      </c>
      <c r="N54" s="18" t="n">
        <v>47.64</v>
      </c>
      <c r="P54" s="9" t="n"/>
      <c r="U54" s="9" t="n"/>
      <c r="W54" s="18" t="n">
        <v>0</v>
      </c>
      <c r="Y54" s="18" t="n">
        <v>2321.84</v>
      </c>
      <c r="Z54" s="37" t="n">
        <v>2321.84</v>
      </c>
      <c r="AA54" s="18" t="n">
        <v>0</v>
      </c>
      <c r="AB54" s="19" t="n">
        <v>2195.56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단기금융부채(face)</t>
        </is>
      </c>
      <c r="F55" s="9" t="n"/>
      <c r="K55" s="9" t="n"/>
      <c r="N55" s="18" t="n">
        <v>80407.94</v>
      </c>
      <c r="O55" s="18" t="n">
        <v>80651.3</v>
      </c>
      <c r="P55" s="37" t="n">
        <v>80651.3</v>
      </c>
      <c r="Q55" s="18" t="n">
        <v>60185.21</v>
      </c>
      <c r="R55" s="18" t="n">
        <v>57043.33</v>
      </c>
      <c r="S55" s="18" t="n">
        <v>57381.33</v>
      </c>
      <c r="T55" s="18" t="n">
        <v>39840.95</v>
      </c>
      <c r="U55" s="37" t="n">
        <v>39840.95</v>
      </c>
      <c r="V55" s="18" t="n">
        <v>37500</v>
      </c>
      <c r="W55" s="18" t="n">
        <v>20000</v>
      </c>
      <c r="X55" s="18" t="n">
        <v>10000</v>
      </c>
      <c r="Y55" s="18" t="n">
        <v>75000</v>
      </c>
      <c r="Z55" s="37" t="n">
        <v>75000</v>
      </c>
      <c r="AA55" s="18" t="n">
        <v>89000</v>
      </c>
      <c r="AB55" s="19" t="n">
        <v>112000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사채</t>
        </is>
      </c>
      <c r="F56" s="9" t="n"/>
      <c r="K56" s="9" t="n"/>
      <c r="N56" s="18" t="n">
        <v>10000</v>
      </c>
      <c r="O56" s="18" t="n">
        <v>10000</v>
      </c>
      <c r="P56" s="37" t="n">
        <v>10000</v>
      </c>
      <c r="Q56" s="18" t="n">
        <v>10000</v>
      </c>
      <c r="R56" s="18" t="n">
        <v>10000</v>
      </c>
      <c r="S56" s="18" t="n">
        <v>10000</v>
      </c>
      <c r="U56" s="9" t="n"/>
      <c r="W56" s="18" t="n">
        <v>11576.46</v>
      </c>
      <c r="X56" s="18" t="n">
        <v>12567.67</v>
      </c>
      <c r="Y56" s="18" t="n">
        <v>13558.88</v>
      </c>
      <c r="Z56" s="37" t="n">
        <v>13558.88</v>
      </c>
      <c r="AA56" s="18" t="n">
        <v>0</v>
      </c>
      <c r="AB56" s="19" t="n">
        <v>0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투자부동산</t>
        </is>
      </c>
      <c r="F57" s="9" t="n"/>
      <c r="K57" s="9" t="n"/>
      <c r="O57" s="18" t="n">
        <v>15730.94</v>
      </c>
      <c r="P57" s="37" t="n">
        <v>15730.94</v>
      </c>
      <c r="Q57" s="18" t="n">
        <v>15719.73</v>
      </c>
      <c r="R57" s="18" t="n">
        <v>15708.52</v>
      </c>
      <c r="S57" s="18" t="n">
        <v>15697.31</v>
      </c>
      <c r="T57" s="18" t="n">
        <v>15686.1</v>
      </c>
      <c r="U57" s="37" t="n">
        <v>15686.1</v>
      </c>
      <c r="V57" s="18" t="n">
        <v>15674.89</v>
      </c>
      <c r="W57" s="18" t="n">
        <v>15663.68</v>
      </c>
      <c r="X57" s="18" t="n">
        <v>15652.47</v>
      </c>
      <c r="Y57" s="18" t="n">
        <v>15641.26</v>
      </c>
      <c r="Z57" s="37" t="n">
        <v>15641.26</v>
      </c>
      <c r="AA57" s="18" t="n">
        <v>15630.05</v>
      </c>
      <c r="AB57" s="19" t="n">
        <v>15789.67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장기금융부채(face)</t>
        </is>
      </c>
      <c r="F58" s="9" t="n"/>
      <c r="K58" s="9" t="n"/>
      <c r="P58" s="9" t="n"/>
      <c r="S58" s="18" t="n">
        <v>19248.9</v>
      </c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단기투자자산(공정가치)</t>
        </is>
      </c>
      <c r="F59" s="9" t="n"/>
      <c r="K59" s="9" t="n"/>
      <c r="P59" s="9" t="n"/>
      <c r="T59" s="18" t="n">
        <v>19695.35</v>
      </c>
      <c r="U59" s="37" t="n">
        <v>19695.35</v>
      </c>
      <c r="V59" s="18" t="n">
        <v>11693.26</v>
      </c>
      <c r="W59" s="18" t="n">
        <v>52142.18</v>
      </c>
      <c r="X59" s="18" t="n">
        <v>57482.09</v>
      </c>
      <c r="Y59" s="18" t="n">
        <v>164649.52</v>
      </c>
      <c r="Z59" s="37" t="n">
        <v>164649.52</v>
      </c>
      <c r="AA59" s="18" t="n">
        <v>164064.74</v>
      </c>
      <c r="AB59" s="19" t="n">
        <v>172797.13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보통주자본금</t>
        </is>
      </c>
      <c r="F60" s="9" t="n"/>
      <c r="K60" s="9" t="n"/>
      <c r="P60" s="9" t="n"/>
      <c r="T60" s="18" t="n">
        <v>25954.23</v>
      </c>
      <c r="U60" s="37" t="n">
        <v>25954.23</v>
      </c>
      <c r="V60" s="18" t="n">
        <v>25954.23</v>
      </c>
      <c r="W60" s="18" t="n">
        <v>25954.23</v>
      </c>
      <c r="X60" s="18" t="n">
        <v>25954.23</v>
      </c>
      <c r="Y60" s="18" t="n">
        <v>25954.23</v>
      </c>
      <c r="Z60" s="37" t="n">
        <v>25954.23</v>
      </c>
      <c r="AA60" s="18" t="n">
        <v>25954.23</v>
      </c>
      <c r="AB60" s="19" t="n">
        <v>26307.54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유동파생상품자산</t>
        </is>
      </c>
      <c r="F61" s="9" t="n"/>
      <c r="K61" s="9" t="n"/>
      <c r="P61" s="9" t="n"/>
      <c r="U61" s="9" t="n"/>
      <c r="W61" s="18" t="n">
        <v>8195.09</v>
      </c>
      <c r="X61" s="18" t="n">
        <v>11493.77</v>
      </c>
      <c r="Y61" s="18" t="n">
        <v>9874.65</v>
      </c>
      <c r="Z61" s="37" t="n">
        <v>9874.65</v>
      </c>
      <c r="AA61" s="18" t="n">
        <v>2083.06</v>
      </c>
      <c r="AB61" s="19" t="n">
        <v>1250.21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단기파생상품부채</t>
        </is>
      </c>
      <c r="F62" s="9" t="n"/>
      <c r="K62" s="9" t="n"/>
      <c r="P62" s="9" t="n"/>
      <c r="U62" s="9" t="n"/>
      <c r="W62" s="18" t="n">
        <v>25194.12</v>
      </c>
      <c r="X62" s="18" t="n">
        <v>31772.92</v>
      </c>
      <c r="Y62" s="18" t="n">
        <v>28134.89</v>
      </c>
      <c r="Z62" s="37" t="n">
        <v>28134.89</v>
      </c>
      <c r="AA62" s="18" t="n">
        <v>40085.96</v>
      </c>
      <c r="AB62" s="19" t="n">
        <v>1455.19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매출액(수익)</t>
        </is>
      </c>
      <c r="E63" s="18" t="n">
        <v>79131.27</v>
      </c>
      <c r="F63" s="9" t="n"/>
      <c r="G63" s="18" t="n">
        <v>75323.69</v>
      </c>
      <c r="H63" s="18" t="n">
        <v>64875.39</v>
      </c>
      <c r="I63" s="18" t="n">
        <v>102564.24</v>
      </c>
      <c r="J63" s="18" t="n">
        <v>97444.86</v>
      </c>
      <c r="K63" s="37" t="n">
        <v>340208.18</v>
      </c>
      <c r="L63" s="18" t="n">
        <v>97127.85000000001</v>
      </c>
      <c r="M63" s="18" t="n">
        <v>125767.72</v>
      </c>
      <c r="N63" s="18" t="n">
        <v>152032.53</v>
      </c>
      <c r="O63" s="18" t="n">
        <v>198084.36</v>
      </c>
      <c r="P63" s="37" t="n">
        <v>573012.46</v>
      </c>
      <c r="Q63" s="18" t="n">
        <v>176235.66</v>
      </c>
      <c r="R63" s="18" t="n">
        <v>185261.08</v>
      </c>
      <c r="S63" s="18" t="n">
        <v>162510.94</v>
      </c>
      <c r="T63" s="18" t="n">
        <v>184932.6</v>
      </c>
      <c r="U63" s="37" t="n">
        <v>708940.28</v>
      </c>
      <c r="V63" s="18" t="n">
        <v>214893.09</v>
      </c>
      <c r="W63" s="18" t="n">
        <v>219617.35</v>
      </c>
      <c r="X63" s="18" t="n">
        <v>210154.67</v>
      </c>
      <c r="Y63" s="18" t="n">
        <v>221709.37</v>
      </c>
      <c r="Z63" s="37" t="n">
        <v>866374.48</v>
      </c>
      <c r="AA63" s="18" t="n">
        <v>200112.82</v>
      </c>
      <c r="AB63" s="19" t="n">
        <v>229321.95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매출원가</t>
        </is>
      </c>
      <c r="E64" s="18" t="n">
        <v>68615.11</v>
      </c>
      <c r="F64" s="9" t="n"/>
      <c r="G64" s="18" t="n">
        <v>66051.42</v>
      </c>
      <c r="H64" s="18" t="n">
        <v>55528.96</v>
      </c>
      <c r="I64" s="18" t="n">
        <v>81505.8</v>
      </c>
      <c r="J64" s="18" t="n">
        <v>81624.52</v>
      </c>
      <c r="K64" s="37" t="n">
        <v>284710.7</v>
      </c>
      <c r="L64" s="18" t="n">
        <v>84847.72</v>
      </c>
      <c r="M64" s="18" t="n">
        <v>107544.7</v>
      </c>
      <c r="N64" s="18" t="n">
        <v>135598.4</v>
      </c>
      <c r="O64" s="18" t="n">
        <v>181335.13</v>
      </c>
      <c r="P64" s="37" t="n">
        <v>509325.95</v>
      </c>
      <c r="Q64" s="18" t="n">
        <v>153658.39</v>
      </c>
      <c r="R64" s="18" t="n">
        <v>152105.26</v>
      </c>
      <c r="S64" s="18" t="n">
        <v>137402.04</v>
      </c>
      <c r="T64" s="18" t="n">
        <v>149015.41</v>
      </c>
      <c r="U64" s="37" t="n">
        <v>592181.1</v>
      </c>
      <c r="V64" s="18" t="n">
        <v>165172.88</v>
      </c>
      <c r="W64" s="18" t="n">
        <v>168358.56</v>
      </c>
      <c r="X64" s="18" t="n">
        <v>160132.06</v>
      </c>
      <c r="Y64" s="18" t="n">
        <v>162219.72</v>
      </c>
      <c r="Z64" s="37" t="n">
        <v>655883.22</v>
      </c>
      <c r="AA64" s="18" t="n">
        <v>139002.4</v>
      </c>
      <c r="AB64" s="19" t="n">
        <v>159850.76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매출총이익</t>
        </is>
      </c>
      <c r="E65" s="18" t="n">
        <v>10516.15</v>
      </c>
      <c r="F65" s="9" t="n"/>
      <c r="G65" s="18" t="n">
        <v>9272.26</v>
      </c>
      <c r="H65" s="18" t="n">
        <v>9346.43</v>
      </c>
      <c r="I65" s="18" t="n">
        <v>21058.44</v>
      </c>
      <c r="J65" s="18" t="n">
        <v>15820.34</v>
      </c>
      <c r="K65" s="37" t="n">
        <v>55497.47</v>
      </c>
      <c r="L65" s="18" t="n">
        <v>12280.14</v>
      </c>
      <c r="M65" s="18" t="n">
        <v>18223.02</v>
      </c>
      <c r="N65" s="18" t="n">
        <v>16434.13</v>
      </c>
      <c r="O65" s="18" t="n">
        <v>16749.23</v>
      </c>
      <c r="P65" s="37" t="n">
        <v>63686.52</v>
      </c>
      <c r="Q65" s="18" t="n">
        <v>22577.27</v>
      </c>
      <c r="R65" s="18" t="n">
        <v>33155.82</v>
      </c>
      <c r="S65" s="18" t="n">
        <v>25108.89</v>
      </c>
      <c r="T65" s="18" t="n">
        <v>35917.18</v>
      </c>
      <c r="U65" s="37" t="n">
        <v>116759.16</v>
      </c>
      <c r="V65" s="18" t="n">
        <v>49720.2</v>
      </c>
      <c r="W65" s="18" t="n">
        <v>51258.79</v>
      </c>
      <c r="X65" s="18" t="n">
        <v>50022.61</v>
      </c>
      <c r="Y65" s="18" t="n">
        <v>59489.65</v>
      </c>
      <c r="Z65" s="37" t="n">
        <v>210491.25</v>
      </c>
      <c r="AA65" s="18" t="n">
        <v>61110.42</v>
      </c>
      <c r="AB65" s="19" t="n">
        <v>69471.19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판관비</t>
        </is>
      </c>
      <c r="E66" s="18" t="n">
        <v>6994.43</v>
      </c>
      <c r="F66" s="9" t="n"/>
      <c r="G66" s="18" t="n">
        <v>5793.77</v>
      </c>
      <c r="H66" s="18" t="n">
        <v>6476.92</v>
      </c>
      <c r="I66" s="18" t="n">
        <v>6973.26</v>
      </c>
      <c r="J66" s="18" t="n">
        <v>7534.46</v>
      </c>
      <c r="K66" s="37" t="n">
        <v>26778.41</v>
      </c>
      <c r="L66" s="18" t="n">
        <v>8323.719999999999</v>
      </c>
      <c r="M66" s="18" t="n">
        <v>8192.93</v>
      </c>
      <c r="N66" s="18" t="n">
        <v>9976.82</v>
      </c>
      <c r="O66" s="18" t="n">
        <v>12070.91</v>
      </c>
      <c r="P66" s="37" t="n">
        <v>38564.38</v>
      </c>
      <c r="Q66" s="18" t="n">
        <v>15057.37</v>
      </c>
      <c r="R66" s="18" t="n">
        <v>13951.64</v>
      </c>
      <c r="S66" s="18" t="n">
        <v>16276.27</v>
      </c>
      <c r="T66" s="18" t="n">
        <v>16623.56</v>
      </c>
      <c r="U66" s="37" t="n">
        <v>61908.84</v>
      </c>
      <c r="V66" s="18" t="n">
        <v>16470.92</v>
      </c>
      <c r="W66" s="18" t="n">
        <v>17834.81</v>
      </c>
      <c r="X66" s="18" t="n">
        <v>17216.27</v>
      </c>
      <c r="Y66" s="18" t="n">
        <v>20757.14</v>
      </c>
      <c r="Z66" s="37" t="n">
        <v>72279.14</v>
      </c>
      <c r="AA66" s="18" t="n">
        <v>19537.55</v>
      </c>
      <c r="AB66" s="19" t="n">
        <v>17960.34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영업이익</t>
        </is>
      </c>
      <c r="E67" s="18" t="n">
        <v>3521.71</v>
      </c>
      <c r="F67" s="9" t="n"/>
      <c r="G67" s="18" t="n">
        <v>3478.5</v>
      </c>
      <c r="H67" s="18" t="n">
        <v>2869.51</v>
      </c>
      <c r="I67" s="18" t="n">
        <v>14085.18</v>
      </c>
      <c r="J67" s="18" t="n">
        <v>8285.870000000001</v>
      </c>
      <c r="K67" s="37" t="n">
        <v>28719.06</v>
      </c>
      <c r="L67" s="18" t="n">
        <v>3956.41</v>
      </c>
      <c r="M67" s="18" t="n">
        <v>10030.09</v>
      </c>
      <c r="N67" s="18" t="n">
        <v>6457.31</v>
      </c>
      <c r="O67" s="18" t="n">
        <v>4678.32</v>
      </c>
      <c r="P67" s="37" t="n">
        <v>25122.13</v>
      </c>
      <c r="Q67" s="18" t="n">
        <v>7519.89</v>
      </c>
      <c r="R67" s="18" t="n">
        <v>19204.18</v>
      </c>
      <c r="S67" s="18" t="n">
        <v>8832.629999999999</v>
      </c>
      <c r="T67" s="18" t="n">
        <v>19293.62</v>
      </c>
      <c r="U67" s="37" t="n">
        <v>54850.32</v>
      </c>
      <c r="V67" s="18" t="n">
        <v>33249.29</v>
      </c>
      <c r="W67" s="18" t="n">
        <v>33423.98</v>
      </c>
      <c r="X67" s="18" t="n">
        <v>32806.34</v>
      </c>
      <c r="Y67" s="18" t="n">
        <v>38732.5</v>
      </c>
      <c r="Z67" s="37" t="n">
        <v>138212.11</v>
      </c>
      <c r="AA67" s="18" t="n">
        <v>41572.86</v>
      </c>
      <c r="AB67" s="19" t="n">
        <v>51510.85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기타영업외수익</t>
        </is>
      </c>
      <c r="E68" s="18" t="n">
        <v>8792.84</v>
      </c>
      <c r="F68" s="9" t="n"/>
      <c r="G68" s="18" t="n">
        <v>78.53</v>
      </c>
      <c r="H68" s="18" t="n">
        <v>87.92</v>
      </c>
      <c r="I68" s="18" t="n">
        <v>129</v>
      </c>
      <c r="J68" s="18" t="n">
        <v>124.86</v>
      </c>
      <c r="K68" s="37" t="n">
        <v>420.31</v>
      </c>
      <c r="L68" s="18" t="n">
        <v>85.15000000000001</v>
      </c>
      <c r="M68" s="18" t="n">
        <v>10300.19</v>
      </c>
      <c r="N68" s="18" t="n">
        <v>10534.04</v>
      </c>
      <c r="O68" s="18" t="n">
        <v>322.67</v>
      </c>
      <c r="P68" s="37" t="n">
        <v>21242.05</v>
      </c>
      <c r="Q68" s="18" t="n">
        <v>483.83</v>
      </c>
      <c r="R68" s="18" t="n">
        <v>748.16</v>
      </c>
      <c r="S68" s="18" t="n">
        <v>586.4</v>
      </c>
      <c r="T68" s="18" t="n">
        <v>519.5700000000001</v>
      </c>
      <c r="U68" s="37" t="n">
        <v>2337.96</v>
      </c>
      <c r="V68" s="18" t="n">
        <v>262.66</v>
      </c>
      <c r="W68" s="18" t="n">
        <v>986.49</v>
      </c>
      <c r="X68" s="18" t="n">
        <v>423.6</v>
      </c>
      <c r="Y68" s="18" t="n">
        <v>5009.89</v>
      </c>
      <c r="Z68" s="37" t="n">
        <v>6682.64</v>
      </c>
      <c r="AA68" s="18" t="n">
        <v>385.87</v>
      </c>
      <c r="AB68" s="19" t="n">
        <v>2022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기타영업외비용</t>
        </is>
      </c>
      <c r="E69" s="18" t="n">
        <v>19131.47</v>
      </c>
      <c r="F69" s="9" t="n"/>
      <c r="G69" s="18" t="n">
        <v>25.3</v>
      </c>
      <c r="H69" s="18" t="n">
        <v>31.75</v>
      </c>
      <c r="I69" s="18" t="n">
        <v>36.55</v>
      </c>
      <c r="J69" s="18" t="n">
        <v>8194.860000000001</v>
      </c>
      <c r="K69" s="37" t="n">
        <v>8288.459999999999</v>
      </c>
      <c r="L69" s="18" t="n">
        <v>30.54</v>
      </c>
      <c r="M69" s="18" t="n">
        <v>16852.38</v>
      </c>
      <c r="N69" s="18" t="n">
        <v>1830.56</v>
      </c>
      <c r="O69" s="18" t="n">
        <v>12220.55</v>
      </c>
      <c r="P69" s="37" t="n">
        <v>30934.03</v>
      </c>
      <c r="Q69" s="18" t="n">
        <v>47.75</v>
      </c>
      <c r="R69" s="18" t="n">
        <v>56.09</v>
      </c>
      <c r="S69" s="18" t="n">
        <v>370.95</v>
      </c>
      <c r="T69" s="18" t="n">
        <v>13519.95</v>
      </c>
      <c r="U69" s="37" t="n">
        <v>13994.74</v>
      </c>
      <c r="V69" s="18" t="n">
        <v>1529.14</v>
      </c>
      <c r="W69" s="18" t="n">
        <v>192.63</v>
      </c>
      <c r="X69" s="18" t="n">
        <v>179.94</v>
      </c>
      <c r="Y69" s="18" t="n">
        <v>9796.83</v>
      </c>
      <c r="Z69" s="37" t="n">
        <v>11698.54</v>
      </c>
      <c r="AA69" s="18" t="n">
        <v>125.05</v>
      </c>
      <c r="AB69" s="19" t="n">
        <v>193.57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금융수익</t>
        </is>
      </c>
      <c r="E70" s="18" t="n">
        <v>3275.81</v>
      </c>
      <c r="F70" s="9" t="n"/>
      <c r="G70" s="18" t="n">
        <v>3403.27</v>
      </c>
      <c r="H70" s="18" t="n">
        <v>8515.700000000001</v>
      </c>
      <c r="I70" s="18" t="n">
        <v>11283.18</v>
      </c>
      <c r="J70" s="18" t="n">
        <v>-2033.75</v>
      </c>
      <c r="K70" s="37" t="n">
        <v>21168.4</v>
      </c>
      <c r="L70" s="18" t="n">
        <v>5052.52</v>
      </c>
      <c r="M70" s="18" t="n">
        <v>7012.56</v>
      </c>
      <c r="N70" s="18" t="n">
        <v>4820.31</v>
      </c>
      <c r="O70" s="18" t="n">
        <v>2658.84</v>
      </c>
      <c r="P70" s="37" t="n">
        <v>19544.23</v>
      </c>
      <c r="Q70" s="18" t="n">
        <v>7123.84</v>
      </c>
      <c r="R70" s="18" t="n">
        <v>5299.85</v>
      </c>
      <c r="S70" s="18" t="n">
        <v>4137.4</v>
      </c>
      <c r="T70" s="18" t="n">
        <v>10254.46</v>
      </c>
      <c r="U70" s="37" t="n">
        <v>26815.55</v>
      </c>
      <c r="V70" s="18" t="n">
        <v>7666.95</v>
      </c>
      <c r="W70" s="18" t="n">
        <v>27279.16</v>
      </c>
      <c r="X70" s="18" t="n">
        <v>766.02</v>
      </c>
      <c r="Y70" s="18" t="n">
        <v>7989.56</v>
      </c>
      <c r="Z70" s="37" t="n">
        <v>43701.69</v>
      </c>
      <c r="AA70" s="18" t="n">
        <v>33748.23</v>
      </c>
      <c r="AB70" s="19" t="n">
        <v>12747.05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금융비용</t>
        </is>
      </c>
      <c r="E71" s="18" t="n">
        <v>4388.48</v>
      </c>
      <c r="F71" s="9" t="n"/>
      <c r="G71" s="18" t="n">
        <v>2275.24</v>
      </c>
      <c r="H71" s="18" t="n">
        <v>7592.83</v>
      </c>
      <c r="I71" s="18" t="n">
        <v>18185.49</v>
      </c>
      <c r="J71" s="18" t="n">
        <v>4174.99</v>
      </c>
      <c r="K71" s="37" t="n">
        <v>32228.55</v>
      </c>
      <c r="L71" s="18" t="n">
        <v>7346.16</v>
      </c>
      <c r="M71" s="18" t="n">
        <v>1843.44</v>
      </c>
      <c r="N71" s="18" t="n">
        <v>12215.9</v>
      </c>
      <c r="O71" s="18" t="n">
        <v>9652</v>
      </c>
      <c r="P71" s="37" t="n">
        <v>31057.5</v>
      </c>
      <c r="Q71" s="18" t="n">
        <v>8926.299999999999</v>
      </c>
      <c r="R71" s="18" t="n">
        <v>7337.82</v>
      </c>
      <c r="S71" s="18" t="n">
        <v>299.57</v>
      </c>
      <c r="T71" s="18" t="n">
        <v>29654.27</v>
      </c>
      <c r="U71" s="37" t="n">
        <v>46217.96</v>
      </c>
      <c r="V71" s="18" t="n">
        <v>8333.200000000001</v>
      </c>
      <c r="W71" s="18" t="n">
        <v>22847.91</v>
      </c>
      <c r="X71" s="18" t="n">
        <v>8966.52</v>
      </c>
      <c r="Y71" s="18" t="n">
        <v>7493.25</v>
      </c>
      <c r="Z71" s="37" t="n">
        <v>47640.88</v>
      </c>
      <c r="AA71" s="18" t="n">
        <v>52067.97</v>
      </c>
      <c r="AB71" s="19" t="n">
        <v>15496.97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법인세비용차감전계속사업이익</t>
        </is>
      </c>
      <c r="E72" s="18" t="n">
        <v>-7929.59</v>
      </c>
      <c r="F72" s="9" t="n"/>
      <c r="G72" s="18" t="n">
        <v>4659.75</v>
      </c>
      <c r="H72" s="18" t="n">
        <v>3848.54</v>
      </c>
      <c r="I72" s="18" t="n">
        <v>7275.32</v>
      </c>
      <c r="J72" s="18" t="n">
        <v>-5992.87</v>
      </c>
      <c r="K72" s="37" t="n">
        <v>9790.74</v>
      </c>
      <c r="L72" s="18" t="n">
        <v>1717.39</v>
      </c>
      <c r="M72" s="18" t="n">
        <v>8647.02</v>
      </c>
      <c r="N72" s="18" t="n">
        <v>7765.21</v>
      </c>
      <c r="O72" s="18" t="n">
        <v>-14212.73</v>
      </c>
      <c r="P72" s="37" t="n">
        <v>3916.89</v>
      </c>
      <c r="Q72" s="18" t="n">
        <v>6153.52</v>
      </c>
      <c r="R72" s="18" t="n">
        <v>17858.29</v>
      </c>
      <c r="S72" s="18" t="n">
        <v>12885.9</v>
      </c>
      <c r="T72" s="18" t="n">
        <v>-13106.58</v>
      </c>
      <c r="U72" s="37" t="n">
        <v>23791.13</v>
      </c>
      <c r="V72" s="18" t="n">
        <v>31316.56</v>
      </c>
      <c r="W72" s="18" t="n">
        <v>38649.09</v>
      </c>
      <c r="X72" s="18" t="n">
        <v>24849.49</v>
      </c>
      <c r="Y72" s="18" t="n">
        <v>34441.87</v>
      </c>
      <c r="Z72" s="37" t="n">
        <v>129257.01</v>
      </c>
      <c r="AA72" s="18" t="n">
        <v>23513.94</v>
      </c>
      <c r="AB72" s="19" t="n">
        <v>50589.35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법인세비용</t>
        </is>
      </c>
      <c r="E73" s="18" t="n">
        <v>4607.41</v>
      </c>
      <c r="F73" s="9" t="n"/>
      <c r="G73" s="18" t="n">
        <v>1015.08</v>
      </c>
      <c r="H73" s="18" t="n">
        <v>989.35</v>
      </c>
      <c r="I73" s="18" t="n">
        <v>2020.25</v>
      </c>
      <c r="J73" s="18" t="n">
        <v>3591.67</v>
      </c>
      <c r="K73" s="37" t="n">
        <v>7616.35</v>
      </c>
      <c r="L73" s="18" t="n">
        <v>964.3099999999999</v>
      </c>
      <c r="M73" s="18" t="n">
        <v>-552.64</v>
      </c>
      <c r="N73" s="18" t="n">
        <v>3253.08</v>
      </c>
      <c r="O73" s="18" t="n">
        <v>2144.01</v>
      </c>
      <c r="P73" s="37" t="n">
        <v>5808.76</v>
      </c>
      <c r="Q73" s="18" t="n">
        <v>1487.95</v>
      </c>
      <c r="R73" s="18" t="n">
        <v>6456.08</v>
      </c>
      <c r="S73" s="18" t="n">
        <v>-1629.87</v>
      </c>
      <c r="T73" s="18" t="n">
        <v>-414.36</v>
      </c>
      <c r="U73" s="37" t="n">
        <v>5899.8</v>
      </c>
      <c r="V73" s="18" t="n">
        <v>6894.5</v>
      </c>
      <c r="W73" s="18" t="n">
        <v>6818.45</v>
      </c>
      <c r="X73" s="18" t="n">
        <v>5614.42</v>
      </c>
      <c r="Y73" s="18" t="n">
        <v>10212.47</v>
      </c>
      <c r="Z73" s="37" t="n">
        <v>29539.84</v>
      </c>
      <c r="AA73" s="18" t="n">
        <v>5514.61</v>
      </c>
      <c r="AB73" s="19" t="n">
        <v>12050.61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당기순이익</t>
        </is>
      </c>
      <c r="E74" s="18" t="n">
        <v>-12537</v>
      </c>
      <c r="F74" s="9" t="n"/>
      <c r="G74" s="18" t="n">
        <v>3644.67</v>
      </c>
      <c r="H74" s="18" t="n">
        <v>2859.19</v>
      </c>
      <c r="I74" s="18" t="n">
        <v>5255.07</v>
      </c>
      <c r="J74" s="18" t="n">
        <v>-9584.540000000001</v>
      </c>
      <c r="K74" s="37" t="n">
        <v>2174.39</v>
      </c>
      <c r="L74" s="18" t="n">
        <v>753.08</v>
      </c>
      <c r="M74" s="18" t="n">
        <v>9199.65</v>
      </c>
      <c r="N74" s="18" t="n">
        <v>4512.13</v>
      </c>
      <c r="O74" s="18" t="n">
        <v>-16356.74</v>
      </c>
      <c r="P74" s="37" t="n">
        <v>-1891.88</v>
      </c>
      <c r="Q74" s="18" t="n">
        <v>4665.56</v>
      </c>
      <c r="R74" s="18" t="n">
        <v>11402.21</v>
      </c>
      <c r="S74" s="18" t="n">
        <v>14515.77</v>
      </c>
      <c r="T74" s="18" t="n">
        <v>-12692.22</v>
      </c>
      <c r="U74" s="37" t="n">
        <v>17891.32</v>
      </c>
      <c r="V74" s="18" t="n">
        <v>24422.06</v>
      </c>
      <c r="W74" s="18" t="n">
        <v>31830.64</v>
      </c>
      <c r="X74" s="18" t="n">
        <v>19235.07</v>
      </c>
      <c r="Y74" s="18" t="n">
        <v>24229.41</v>
      </c>
      <c r="Z74" s="37" t="n">
        <v>99717.17999999999</v>
      </c>
      <c r="AA74" s="18" t="n">
        <v>17999.33</v>
      </c>
      <c r="AB74" s="19" t="n">
        <v>38538.74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총포괄손익</t>
        </is>
      </c>
      <c r="E75" s="18" t="n">
        <v>-11808.79</v>
      </c>
      <c r="F75" s="9" t="n"/>
      <c r="G75" s="18" t="n">
        <v>3397.74</v>
      </c>
      <c r="H75" s="18" t="n">
        <v>3595.28</v>
      </c>
      <c r="I75" s="18" t="n">
        <v>5093.96</v>
      </c>
      <c r="J75" s="18" t="n">
        <v>-9042.59</v>
      </c>
      <c r="K75" s="37" t="n">
        <v>3044.39</v>
      </c>
      <c r="L75" s="18" t="n">
        <v>930.39</v>
      </c>
      <c r="M75" s="18" t="n">
        <v>9276.49</v>
      </c>
      <c r="N75" s="18" t="n">
        <v>4639.2</v>
      </c>
      <c r="O75" s="18" t="n">
        <v>-18008.61</v>
      </c>
      <c r="P75" s="37" t="n">
        <v>-3162.53</v>
      </c>
      <c r="Q75" s="18" t="n">
        <v>4052.07</v>
      </c>
      <c r="R75" s="18" t="n">
        <v>11923.77</v>
      </c>
      <c r="S75" s="18" t="n">
        <v>14471.76</v>
      </c>
      <c r="T75" s="18" t="n">
        <v>-10970.17</v>
      </c>
      <c r="U75" s="37" t="n">
        <v>19477.43</v>
      </c>
      <c r="V75" s="18" t="n">
        <v>24818.29</v>
      </c>
      <c r="W75" s="18" t="n">
        <v>24547.1</v>
      </c>
      <c r="X75" s="18" t="n">
        <v>15791.42</v>
      </c>
      <c r="Y75" s="18" t="n">
        <v>30033.65</v>
      </c>
      <c r="Z75" s="37" t="n">
        <v>95190.46000000001</v>
      </c>
      <c r="AA75" s="18" t="n">
        <v>16499.42</v>
      </c>
      <c r="AB75" s="19" t="n">
        <v>37509.92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금융손익</t>
        </is>
      </c>
      <c r="E76" s="18" t="n">
        <v>-1112.67</v>
      </c>
      <c r="F76" s="9" t="n"/>
      <c r="G76" s="18" t="n">
        <v>1128.03</v>
      </c>
      <c r="H76" s="18" t="n">
        <v>922.87</v>
      </c>
      <c r="I76" s="18" t="n">
        <v>-6902.31</v>
      </c>
      <c r="J76" s="18" t="n">
        <v>-6208.74</v>
      </c>
      <c r="K76" s="37" t="n">
        <v>-11060.15</v>
      </c>
      <c r="L76" s="18" t="n">
        <v>-2293.64</v>
      </c>
      <c r="M76" s="18" t="n">
        <v>5169.12</v>
      </c>
      <c r="N76" s="18" t="n">
        <v>-7395.59</v>
      </c>
      <c r="O76" s="18" t="n">
        <v>-6993.16</v>
      </c>
      <c r="P76" s="37" t="n">
        <v>-11513.27</v>
      </c>
      <c r="Q76" s="18" t="n">
        <v>-1802.46</v>
      </c>
      <c r="R76" s="18" t="n">
        <v>-2037.97</v>
      </c>
      <c r="S76" s="18" t="n">
        <v>3837.83</v>
      </c>
      <c r="T76" s="18" t="n">
        <v>-19399.81</v>
      </c>
      <c r="U76" s="37" t="n">
        <v>-19402.41</v>
      </c>
      <c r="V76" s="18" t="n">
        <v>-666.25</v>
      </c>
      <c r="W76" s="18" t="n">
        <v>4431.25</v>
      </c>
      <c r="X76" s="18" t="n">
        <v>-8200.5</v>
      </c>
      <c r="Y76" s="18" t="n">
        <v>496.31</v>
      </c>
      <c r="Z76" s="37" t="n">
        <v>-3939.19</v>
      </c>
      <c r="AA76" s="18" t="n">
        <v>-18319.74</v>
      </c>
      <c r="AB76" s="19" t="n">
        <v>-2749.92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기타영업외손익</t>
        </is>
      </c>
      <c r="E77" s="18" t="n">
        <v>-10338.63</v>
      </c>
      <c r="F77" s="9" t="n"/>
      <c r="G77" s="18" t="n">
        <v>53.23</v>
      </c>
      <c r="H77" s="18" t="n">
        <v>56.17</v>
      </c>
      <c r="I77" s="18" t="n">
        <v>92.45</v>
      </c>
      <c r="J77" s="18" t="n">
        <v>-8070</v>
      </c>
      <c r="K77" s="37" t="n">
        <v>-7868.15</v>
      </c>
      <c r="L77" s="18" t="n">
        <v>54.61</v>
      </c>
      <c r="M77" s="18" t="n">
        <v>-6552.19</v>
      </c>
      <c r="N77" s="18" t="n">
        <v>8703.48</v>
      </c>
      <c r="O77" s="18" t="n">
        <v>-11897.88</v>
      </c>
      <c r="P77" s="37" t="n">
        <v>-9691.98</v>
      </c>
      <c r="Q77" s="18" t="n">
        <v>436.08</v>
      </c>
      <c r="R77" s="18" t="n">
        <v>692.0700000000001</v>
      </c>
      <c r="S77" s="18" t="n">
        <v>215.45</v>
      </c>
      <c r="T77" s="18" t="n">
        <v>-13000.38</v>
      </c>
      <c r="U77" s="37" t="n">
        <v>-11656.78</v>
      </c>
      <c r="V77" s="18" t="n">
        <v>-1266.48</v>
      </c>
      <c r="W77" s="18" t="n">
        <v>793.86</v>
      </c>
      <c r="X77" s="18" t="n">
        <v>243.66</v>
      </c>
      <c r="Y77" s="18" t="n">
        <v>-4786.94</v>
      </c>
      <c r="Z77" s="37" t="n">
        <v>-5015.9</v>
      </c>
      <c r="AA77" s="18" t="n">
        <v>260.82</v>
      </c>
      <c r="AB77" s="19" t="n">
        <v>1828.43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(지배주주지분)당기순이익</t>
        </is>
      </c>
      <c r="E78" s="18" t="n">
        <v>-12537</v>
      </c>
      <c r="F78" s="9" t="n"/>
      <c r="G78" s="18" t="n">
        <v>3644.67</v>
      </c>
      <c r="H78" s="18" t="n">
        <v>2859.19</v>
      </c>
      <c r="I78" s="18" t="n">
        <v>5255.07</v>
      </c>
      <c r="J78" s="18" t="n">
        <v>-9584.540000000001</v>
      </c>
      <c r="K78" s="37" t="n">
        <v>2174.39</v>
      </c>
      <c r="L78" s="18" t="n">
        <v>753.08</v>
      </c>
      <c r="M78" s="18" t="n">
        <v>9199.65</v>
      </c>
      <c r="N78" s="18" t="n">
        <v>4512.13</v>
      </c>
      <c r="O78" s="18" t="n">
        <v>-16356.74</v>
      </c>
      <c r="P78" s="37" t="n">
        <v>-1891.88</v>
      </c>
      <c r="Q78" s="18" t="n">
        <v>4665.56</v>
      </c>
      <c r="R78" s="18" t="n">
        <v>11402.21</v>
      </c>
      <c r="S78" s="18" t="n">
        <v>14515.77</v>
      </c>
      <c r="T78" s="18" t="n">
        <v>-12692.22</v>
      </c>
      <c r="U78" s="37" t="n">
        <v>17891.32</v>
      </c>
      <c r="V78" s="18" t="n">
        <v>24422.06</v>
      </c>
      <c r="W78" s="18" t="n">
        <v>31830.64</v>
      </c>
      <c r="X78" s="18" t="n">
        <v>19235.07</v>
      </c>
      <c r="Y78" s="18" t="n">
        <v>24229.41</v>
      </c>
      <c r="Z78" s="37" t="n">
        <v>99717.17999999999</v>
      </c>
      <c r="AA78" s="18" t="n">
        <v>17999.33</v>
      </c>
      <c r="AB78" s="19" t="n">
        <v>38538.74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계속사업이익</t>
        </is>
      </c>
      <c r="E79" s="18" t="n">
        <v>-12537</v>
      </c>
      <c r="F79" s="9" t="n"/>
      <c r="G79" s="18" t="n">
        <v>3644.67</v>
      </c>
      <c r="H79" s="18" t="n">
        <v>2859.19</v>
      </c>
      <c r="I79" s="18" t="n">
        <v>5255.07</v>
      </c>
      <c r="J79" s="18" t="n">
        <v>-9584.540000000001</v>
      </c>
      <c r="K79" s="37" t="n">
        <v>2174.39</v>
      </c>
      <c r="L79" s="18" t="n">
        <v>753.08</v>
      </c>
      <c r="M79" s="18" t="n">
        <v>9199.65</v>
      </c>
      <c r="N79" s="18" t="n">
        <v>4512.13</v>
      </c>
      <c r="O79" s="18" t="n">
        <v>-16356.74</v>
      </c>
      <c r="P79" s="37" t="n">
        <v>-1891.88</v>
      </c>
      <c r="Q79" s="18" t="n">
        <v>4665.56</v>
      </c>
      <c r="R79" s="18" t="n">
        <v>11402.21</v>
      </c>
      <c r="S79" s="18" t="n">
        <v>14515.77</v>
      </c>
      <c r="T79" s="18" t="n">
        <v>-12692.22</v>
      </c>
      <c r="U79" s="37" t="n">
        <v>17891.32</v>
      </c>
      <c r="V79" s="18" t="n">
        <v>24422.06</v>
      </c>
      <c r="W79" s="18" t="n">
        <v>31830.64</v>
      </c>
      <c r="X79" s="18" t="n">
        <v>19235.07</v>
      </c>
      <c r="Y79" s="18" t="n">
        <v>24229.41</v>
      </c>
      <c r="Z79" s="37" t="n">
        <v>99717.17999999999</v>
      </c>
      <c r="AA79" s="18" t="n">
        <v>17999.33</v>
      </c>
      <c r="AB79" s="19" t="n">
        <v>38538.74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영업활동으로인한현금흐름</t>
        </is>
      </c>
      <c r="E80" s="18" t="n">
        <v>-28.67</v>
      </c>
      <c r="F80" s="9" t="n"/>
      <c r="G80" s="18" t="n">
        <v>-2742.04</v>
      </c>
      <c r="H80" s="18" t="n">
        <v>-26761.43</v>
      </c>
      <c r="I80" s="18" t="n">
        <v>206.55</v>
      </c>
      <c r="J80" s="18" t="n">
        <v>31140.97</v>
      </c>
      <c r="K80" s="37" t="n">
        <v>1844.05</v>
      </c>
      <c r="L80" s="18" t="n">
        <v>-25019.58</v>
      </c>
      <c r="M80" s="18" t="n">
        <v>1484.93</v>
      </c>
      <c r="N80" s="18" t="n">
        <v>36321.2</v>
      </c>
      <c r="O80" s="18" t="n">
        <v>44776.24</v>
      </c>
      <c r="P80" s="37" t="n">
        <v>57562.79</v>
      </c>
      <c r="Q80" s="18" t="n">
        <v>14194.39</v>
      </c>
      <c r="R80" s="18" t="n">
        <v>73918.71000000001</v>
      </c>
      <c r="S80" s="18" t="n">
        <v>40038.14</v>
      </c>
      <c r="T80" s="18" t="n">
        <v>26311.53</v>
      </c>
      <c r="U80" s="37" t="n">
        <v>154462.77</v>
      </c>
      <c r="V80" s="18" t="n">
        <v>70896.35000000001</v>
      </c>
      <c r="W80" s="18" t="n">
        <v>28068.7</v>
      </c>
      <c r="X80" s="18" t="n">
        <v>3413.77</v>
      </c>
      <c r="Y80" s="18" t="n">
        <v>33105.22</v>
      </c>
      <c r="Z80" s="37" t="n">
        <v>135484.04</v>
      </c>
      <c r="AA80" s="18" t="n">
        <v>29360.66</v>
      </c>
      <c r="AB80" s="19" t="n">
        <v>39750.85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법인세납부(CF)</t>
        </is>
      </c>
      <c r="E81" s="18" t="n">
        <v>-59.39</v>
      </c>
      <c r="F81" s="9" t="n"/>
      <c r="G81" s="18" t="n">
        <v>-2697.17</v>
      </c>
      <c r="H81" s="18" t="n">
        <v>-3848.69</v>
      </c>
      <c r="I81" s="18" t="n">
        <v>-2566.11</v>
      </c>
      <c r="J81" s="18" t="n">
        <v>-5170.62</v>
      </c>
      <c r="K81" s="37" t="n">
        <v>-14282.59</v>
      </c>
      <c r="L81" s="18" t="n">
        <v>-2809.08</v>
      </c>
      <c r="M81" s="18" t="n">
        <v>-960.79</v>
      </c>
      <c r="N81" s="18" t="n">
        <v>-1739.55</v>
      </c>
      <c r="O81" s="18" t="n">
        <v>-4141.35</v>
      </c>
      <c r="P81" s="37" t="n">
        <v>-9650.77</v>
      </c>
      <c r="Q81" s="18" t="n">
        <v>-780.38</v>
      </c>
      <c r="R81" s="18" t="n">
        <v>2104.96</v>
      </c>
      <c r="S81" s="18" t="n">
        <v>-923.51</v>
      </c>
      <c r="T81" s="18" t="n">
        <v>-1543.92</v>
      </c>
      <c r="U81" s="37" t="n">
        <v>-1142.85</v>
      </c>
      <c r="V81" s="18" t="n">
        <v>-4705.08</v>
      </c>
      <c r="W81" s="18" t="n">
        <v>-4203.59</v>
      </c>
      <c r="X81" s="18" t="n">
        <v>-5831.03</v>
      </c>
      <c r="Y81" s="18" t="n">
        <v>-319.88</v>
      </c>
      <c r="Z81" s="37" t="n">
        <v>-15059.58</v>
      </c>
      <c r="AA81" s="18" t="n">
        <v>-13851.66</v>
      </c>
      <c r="AB81" s="19" t="n">
        <v>-17219.29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배당금수취(CF)</t>
        </is>
      </c>
      <c r="E82" s="18" t="n">
        <v>260.85</v>
      </c>
      <c r="F82" s="9" t="n"/>
      <c r="G82" s="18" t="n">
        <v>80.48999999999999</v>
      </c>
      <c r="H82" s="18" t="n">
        <v>644.6799999999999</v>
      </c>
      <c r="I82" s="18" t="n">
        <v>90.19</v>
      </c>
      <c r="J82" s="18" t="n">
        <v>146.97</v>
      </c>
      <c r="K82" s="37" t="n">
        <v>962.33</v>
      </c>
      <c r="L82" s="18" t="n">
        <v>304.32</v>
      </c>
      <c r="M82" s="18" t="n">
        <v>140.14</v>
      </c>
      <c r="N82" s="18" t="n">
        <v>720.71</v>
      </c>
      <c r="O82" s="18" t="n">
        <v>12.9</v>
      </c>
      <c r="P82" s="37" t="n">
        <v>1178.07</v>
      </c>
      <c r="Q82" s="18" t="n">
        <v>55.84</v>
      </c>
      <c r="R82" s="18" t="n">
        <v>11.81</v>
      </c>
      <c r="S82" s="18" t="n">
        <v>172.86</v>
      </c>
      <c r="T82" s="18" t="n">
        <v>35.01</v>
      </c>
      <c r="U82" s="37" t="n">
        <v>275.52</v>
      </c>
      <c r="V82" s="18" t="n">
        <v>28.03</v>
      </c>
      <c r="W82" s="18" t="n">
        <v>112.36</v>
      </c>
      <c r="X82" s="18" t="n">
        <v>242.96</v>
      </c>
      <c r="Y82" s="18" t="n">
        <v>176.95</v>
      </c>
      <c r="Z82" s="37" t="n">
        <v>560.3</v>
      </c>
      <c r="AA82" s="18" t="n">
        <v>925.54</v>
      </c>
      <c r="AB82" s="19" t="n">
        <v>105.44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투자활동으로인한현금흐름</t>
        </is>
      </c>
      <c r="E83" s="18" t="n">
        <v>-2645.38</v>
      </c>
      <c r="F83" s="9" t="n"/>
      <c r="G83" s="18" t="n">
        <v>9141.129999999999</v>
      </c>
      <c r="H83" s="18" t="n">
        <v>-11629.29</v>
      </c>
      <c r="I83" s="18" t="n">
        <v>-5379.92</v>
      </c>
      <c r="J83" s="18" t="n">
        <v>-19645.68</v>
      </c>
      <c r="K83" s="37" t="n">
        <v>-27513.76</v>
      </c>
      <c r="L83" s="18" t="n">
        <v>-9377.639999999999</v>
      </c>
      <c r="M83" s="18" t="n">
        <v>-25641.57</v>
      </c>
      <c r="N83" s="18" t="n">
        <v>-1519.39</v>
      </c>
      <c r="O83" s="18" t="n">
        <v>-23322.07</v>
      </c>
      <c r="P83" s="37" t="n">
        <v>-59860.67</v>
      </c>
      <c r="Q83" s="18" t="n">
        <v>-18279.05</v>
      </c>
      <c r="R83" s="18" t="n">
        <v>-19022.39</v>
      </c>
      <c r="S83" s="18" t="n">
        <v>-27876.48</v>
      </c>
      <c r="T83" s="18" t="n">
        <v>-18090.55</v>
      </c>
      <c r="U83" s="37" t="n">
        <v>-83268.47</v>
      </c>
      <c r="V83" s="18" t="n">
        <v>-12199.42</v>
      </c>
      <c r="W83" s="18" t="n">
        <v>-63264.34</v>
      </c>
      <c r="X83" s="18" t="n">
        <v>-2784.3</v>
      </c>
      <c r="Y83" s="18" t="n">
        <v>-117355.25</v>
      </c>
      <c r="Z83" s="37" t="n">
        <v>-195603.31</v>
      </c>
      <c r="AA83" s="18" t="n">
        <v>-21598.17</v>
      </c>
      <c r="AB83" s="19" t="n">
        <v>-48839.39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무형자산의증가</t>
        </is>
      </c>
      <c r="E84" s="18" t="n">
        <v>0.04</v>
      </c>
      <c r="F84" s="9" t="n"/>
      <c r="G84" s="18" t="n">
        <v>1.64</v>
      </c>
      <c r="H84" s="18" t="n">
        <v>11.22</v>
      </c>
      <c r="I84" s="18" t="n">
        <v>0.02</v>
      </c>
      <c r="J84" s="18" t="n">
        <v>5.57</v>
      </c>
      <c r="K84" s="37" t="n">
        <v>18.45</v>
      </c>
      <c r="L84" s="18" t="n">
        <v>1.98</v>
      </c>
      <c r="M84" s="18" t="n">
        <v>0</v>
      </c>
      <c r="N84" s="18" t="n">
        <v>82.59999999999999</v>
      </c>
      <c r="O84" s="18" t="n">
        <v>105.98</v>
      </c>
      <c r="P84" s="37" t="n">
        <v>190.56</v>
      </c>
      <c r="S84" s="18" t="n">
        <v>509.66</v>
      </c>
      <c r="T84" s="18" t="n">
        <v>5702.17</v>
      </c>
      <c r="U84" s="9" t="n"/>
      <c r="V84" s="18" t="n">
        <v>253.83</v>
      </c>
      <c r="W84" s="18" t="n">
        <v>22.77</v>
      </c>
      <c r="X84" s="18" t="n">
        <v>4.96</v>
      </c>
      <c r="Y84" s="18" t="n">
        <v>110.13</v>
      </c>
      <c r="Z84" s="37" t="n">
        <v>391.69</v>
      </c>
      <c r="AA84" s="18" t="n">
        <v>644.02</v>
      </c>
      <c r="AB84" s="19" t="n">
        <v>12.46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CAPEX</t>
        </is>
      </c>
      <c r="E85" s="18" t="n">
        <v>0.04</v>
      </c>
      <c r="F85" s="9" t="n"/>
      <c r="G85" s="18" t="n">
        <v>1.64</v>
      </c>
      <c r="H85" s="18" t="n">
        <v>11.22</v>
      </c>
      <c r="I85" s="18" t="n">
        <v>0.02</v>
      </c>
      <c r="J85" s="18" t="n">
        <v>5.57</v>
      </c>
      <c r="K85" s="37" t="n">
        <v>18.45</v>
      </c>
      <c r="L85" s="18" t="n">
        <v>1.98</v>
      </c>
      <c r="M85" s="18" t="n">
        <v>0</v>
      </c>
      <c r="N85" s="18" t="n">
        <v>82.59999999999999</v>
      </c>
      <c r="O85" s="18" t="n">
        <v>105.98</v>
      </c>
      <c r="P85" s="37" t="n">
        <v>190.56</v>
      </c>
      <c r="S85" s="18" t="n">
        <v>509.66</v>
      </c>
      <c r="T85" s="18" t="n">
        <v>5702.17</v>
      </c>
      <c r="U85" s="9" t="n"/>
      <c r="V85" s="18" t="n">
        <v>253.83</v>
      </c>
      <c r="W85" s="18" t="n">
        <v>22.77</v>
      </c>
      <c r="X85" s="18" t="n">
        <v>4.96</v>
      </c>
      <c r="Y85" s="18" t="n">
        <v>110.13</v>
      </c>
      <c r="Z85" s="37" t="n">
        <v>391.69</v>
      </c>
      <c r="AA85" s="18" t="n">
        <v>644.02</v>
      </c>
      <c r="AB85" s="19" t="n">
        <v>12.46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재무활동으로인한현금흐름</t>
        </is>
      </c>
      <c r="E86" s="18" t="n">
        <v>-742.5599999999999</v>
      </c>
      <c r="F86" s="9" t="n"/>
      <c r="G86" s="18" t="n">
        <v>2105.14</v>
      </c>
      <c r="H86" s="18" t="n">
        <v>-6459.96</v>
      </c>
      <c r="I86" s="18" t="n">
        <v>23694.5</v>
      </c>
      <c r="J86" s="18" t="n">
        <v>9586.309999999999</v>
      </c>
      <c r="K86" s="37" t="n">
        <v>28925.99</v>
      </c>
      <c r="L86" s="18" t="n">
        <v>10659.7</v>
      </c>
      <c r="M86" s="18" t="n">
        <v>13377.61</v>
      </c>
      <c r="N86" s="18" t="n">
        <v>-9611.01</v>
      </c>
      <c r="O86" s="18" t="n">
        <v>-2632.42</v>
      </c>
      <c r="P86" s="37" t="n">
        <v>11793.88</v>
      </c>
      <c r="Q86" s="18" t="n">
        <v>-23559.69</v>
      </c>
      <c r="R86" s="18" t="n">
        <v>-13061.94</v>
      </c>
      <c r="S86" s="18" t="n">
        <v>-13393.9</v>
      </c>
      <c r="T86" s="18" t="n">
        <v>-31405.47</v>
      </c>
      <c r="U86" s="37" t="n">
        <v>-81421</v>
      </c>
      <c r="V86" s="18" t="n">
        <v>-8165.84</v>
      </c>
      <c r="W86" s="18" t="n">
        <v>19673.77</v>
      </c>
      <c r="X86" s="18" t="n">
        <v>-1446.24</v>
      </c>
      <c r="Y86" s="18" t="n">
        <v>47116.11</v>
      </c>
      <c r="Z86" s="37" t="n">
        <v>57177.8</v>
      </c>
      <c r="AA86" s="18" t="n">
        <v>12151.61</v>
      </c>
      <c r="AB86" s="19" t="n">
        <v>13765.2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장기차입금의증가</t>
        </is>
      </c>
      <c r="E87" s="18" t="n">
        <v>0</v>
      </c>
      <c r="F87" s="9" t="n"/>
      <c r="G87" s="18" t="n">
        <v>6105.91</v>
      </c>
      <c r="H87" s="18" t="n">
        <v>0</v>
      </c>
      <c r="I87" s="18" t="n">
        <v>8205.91</v>
      </c>
      <c r="J87" s="18" t="n">
        <v>214</v>
      </c>
      <c r="K87" s="37" t="n">
        <v>14525.82</v>
      </c>
      <c r="L87" s="18" t="n">
        <v>105.91</v>
      </c>
      <c r="M87" s="18" t="n">
        <v>2700</v>
      </c>
      <c r="N87" s="18" t="n">
        <v>4800</v>
      </c>
      <c r="O87" s="18" t="n">
        <v>0</v>
      </c>
      <c r="P87" s="37" t="n">
        <v>7605.91</v>
      </c>
      <c r="Q87" s="18" t="n">
        <v>4500</v>
      </c>
      <c r="R87" s="18" t="n">
        <v>0</v>
      </c>
      <c r="S87" s="18" t="n">
        <v>222</v>
      </c>
      <c r="T87" s="18" t="n">
        <v>892</v>
      </c>
      <c r="U87" s="37" t="n">
        <v>5614</v>
      </c>
      <c r="V87" s="18" t="n">
        <v>0</v>
      </c>
      <c r="W87" s="18" t="n">
        <v>5000</v>
      </c>
      <c r="X87" s="18" t="n">
        <v>0</v>
      </c>
      <c r="Y87" s="18" t="n">
        <v>0</v>
      </c>
      <c r="Z87" s="37" t="n">
        <v>5000</v>
      </c>
      <c r="AA87" s="18" t="n">
        <v>0</v>
      </c>
      <c r="AB87" s="19" t="n">
        <v>12500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리스부채의상환</t>
        </is>
      </c>
      <c r="E88" s="18" t="n">
        <v>130.58</v>
      </c>
      <c r="F88" s="9" t="n"/>
      <c r="G88" s="18" t="n">
        <v>236.63</v>
      </c>
      <c r="H88" s="18" t="n">
        <v>242.15</v>
      </c>
      <c r="I88" s="18" t="n">
        <v>243.67</v>
      </c>
      <c r="J88" s="18" t="n">
        <v>366.81</v>
      </c>
      <c r="K88" s="37" t="n">
        <v>1089.26</v>
      </c>
      <c r="L88" s="18" t="n">
        <v>431.86</v>
      </c>
      <c r="M88" s="18" t="n">
        <v>451.62</v>
      </c>
      <c r="N88" s="18" t="n">
        <v>466.88</v>
      </c>
      <c r="O88" s="18" t="n">
        <v>502.86</v>
      </c>
      <c r="P88" s="37" t="n">
        <v>1853.22</v>
      </c>
      <c r="Q88" s="18" t="n">
        <v>496.57</v>
      </c>
      <c r="R88" s="18" t="n">
        <v>512.92</v>
      </c>
      <c r="S88" s="18" t="n">
        <v>482.52</v>
      </c>
      <c r="T88" s="18" t="n">
        <v>523.87</v>
      </c>
      <c r="U88" s="37" t="n">
        <v>2015.88</v>
      </c>
      <c r="V88" s="18" t="n">
        <v>540.58</v>
      </c>
      <c r="W88" s="18" t="n">
        <v>522.13</v>
      </c>
      <c r="X88" s="18" t="n">
        <v>661.4400000000001</v>
      </c>
      <c r="Y88" s="18" t="n">
        <v>1053.34</v>
      </c>
      <c r="Z88" s="37" t="n">
        <v>2777.49</v>
      </c>
      <c r="AA88" s="18" t="n">
        <v>669.64</v>
      </c>
      <c r="AB88" s="19" t="n">
        <v>1220.32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배당금지급</t>
        </is>
      </c>
      <c r="E89" s="18" t="n">
        <v>0</v>
      </c>
      <c r="F89" s="9" t="n"/>
      <c r="I89" s="18" t="n">
        <v>0</v>
      </c>
      <c r="J89" s="18" t="n">
        <v>0</v>
      </c>
      <c r="K89" s="9" t="n"/>
      <c r="N89" s="18" t="n">
        <v>0</v>
      </c>
      <c r="O89" s="18" t="n">
        <v>0</v>
      </c>
      <c r="P89" s="9" t="n"/>
      <c r="S89" s="18" t="n">
        <v>0</v>
      </c>
      <c r="T89" s="18" t="n">
        <v>0</v>
      </c>
      <c r="U89" s="9" t="n"/>
      <c r="X89" s="18" t="n">
        <v>0</v>
      </c>
      <c r="Y89" s="18" t="n">
        <v>0</v>
      </c>
      <c r="Z89" s="9" t="n"/>
      <c r="AA89" s="18" t="n">
        <v>0</v>
      </c>
      <c r="AB89" s="19" t="n">
        <v>16117.68</v>
      </c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현금및현금성자산의증감</t>
        </is>
      </c>
      <c r="E90" s="18" t="n">
        <v>-22131.37</v>
      </c>
      <c r="F90" s="9" t="n"/>
      <c r="G90" s="18" t="n">
        <v>17093.59</v>
      </c>
      <c r="H90" s="18" t="n">
        <v>-89781.16</v>
      </c>
      <c r="I90" s="18" t="n">
        <v>37781.73</v>
      </c>
      <c r="J90" s="18" t="n">
        <v>40223.67</v>
      </c>
      <c r="K90" s="37" t="n">
        <v>5317.83</v>
      </c>
      <c r="L90" s="18" t="n">
        <v>-23769.54</v>
      </c>
      <c r="M90" s="18" t="n">
        <v>-10670.83</v>
      </c>
      <c r="N90" s="18" t="n">
        <v>31144.49</v>
      </c>
      <c r="O90" s="18" t="n">
        <v>18090.02</v>
      </c>
      <c r="P90" s="37" t="n">
        <v>14794.14</v>
      </c>
      <c r="Q90" s="18" t="n">
        <v>-27286.6</v>
      </c>
      <c r="R90" s="18" t="n">
        <v>42094.7</v>
      </c>
      <c r="S90" s="18" t="n">
        <v>-2172.44</v>
      </c>
      <c r="T90" s="18" t="n">
        <v>-22555.92</v>
      </c>
      <c r="U90" s="37" t="n">
        <v>-9920.26</v>
      </c>
      <c r="V90" s="18" t="n">
        <v>50875.56</v>
      </c>
      <c r="W90" s="18" t="n">
        <v>-15943.37</v>
      </c>
      <c r="X90" s="18" t="n">
        <v>-361.2</v>
      </c>
      <c r="Y90" s="18" t="n">
        <v>-37775.08</v>
      </c>
      <c r="Z90" s="37" t="n">
        <v>-3204.09</v>
      </c>
      <c r="AA90" s="18" t="n">
        <v>20230.18</v>
      </c>
      <c r="AB90" s="5" t="n"/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기말현금및현금성자산</t>
        </is>
      </c>
      <c r="E91" s="18" t="n">
        <v>-3916.18</v>
      </c>
      <c r="F91" s="9" t="n"/>
      <c r="G91" s="18" t="n">
        <v>54670.01</v>
      </c>
      <c r="H91" s="18" t="n">
        <v>-41427.23</v>
      </c>
      <c r="I91" s="18" t="n">
        <v>15757.35</v>
      </c>
      <c r="J91" s="18" t="n">
        <v>19142.06</v>
      </c>
      <c r="K91" s="37" t="n">
        <v>48142.19</v>
      </c>
      <c r="L91" s="18" t="n">
        <v>24372.65</v>
      </c>
      <c r="M91" s="18" t="n">
        <v>-10670.83</v>
      </c>
      <c r="N91" s="18" t="n">
        <v>31144.49</v>
      </c>
      <c r="O91" s="18" t="n">
        <v>18090.02</v>
      </c>
      <c r="P91" s="37" t="n">
        <v>62936.33</v>
      </c>
      <c r="Q91" s="18" t="n">
        <v>35649.73</v>
      </c>
      <c r="R91" s="18" t="n">
        <v>42094.7</v>
      </c>
      <c r="S91" s="18" t="n">
        <v>-2172.44</v>
      </c>
      <c r="T91" s="18" t="n">
        <v>-22555.92</v>
      </c>
      <c r="U91" s="37" t="n">
        <v>53016.07</v>
      </c>
      <c r="V91" s="18" t="n">
        <v>103891.63</v>
      </c>
      <c r="W91" s="18" t="n">
        <v>-15943.36</v>
      </c>
      <c r="X91" s="18" t="n">
        <v>-361.21</v>
      </c>
      <c r="Y91" s="18" t="n">
        <v>-37775.08</v>
      </c>
      <c r="Z91" s="37" t="n">
        <v>49811.98</v>
      </c>
      <c r="AA91" s="18" t="n">
        <v>70042.16</v>
      </c>
      <c r="AB91" s="19" t="n">
        <v>4697.66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단기차입금의감소</t>
        </is>
      </c>
      <c r="F92" s="9" t="n"/>
      <c r="G92" s="18" t="n">
        <v>3764.15</v>
      </c>
      <c r="H92" s="18" t="n">
        <v>3764.15</v>
      </c>
      <c r="I92" s="18" t="n">
        <v>3764.15</v>
      </c>
      <c r="K92" s="9" t="n"/>
      <c r="L92" s="18" t="n">
        <v>37000</v>
      </c>
      <c r="M92" s="18" t="n">
        <v>5000</v>
      </c>
      <c r="N92" s="18" t="n">
        <v>25000</v>
      </c>
      <c r="O92" s="18" t="n">
        <v>8305.49</v>
      </c>
      <c r="P92" s="37" t="n">
        <v>75305.49000000001</v>
      </c>
      <c r="Q92" s="18" t="n">
        <v>26463.17</v>
      </c>
      <c r="R92" s="18" t="n">
        <v>5634.17</v>
      </c>
      <c r="S92" s="18" t="n">
        <v>31519.58</v>
      </c>
      <c r="T92" s="18" t="n">
        <v>47413.8</v>
      </c>
      <c r="U92" s="37" t="n">
        <v>111030.72</v>
      </c>
      <c r="V92" s="18" t="n">
        <v>2340.95</v>
      </c>
      <c r="W92" s="18" t="n">
        <v>17500</v>
      </c>
      <c r="X92" s="18" t="n">
        <v>0</v>
      </c>
      <c r="Y92" s="18" t="n">
        <v>0</v>
      </c>
      <c r="Z92" s="37" t="n">
        <v>19840.95</v>
      </c>
      <c r="AA92" s="18" t="n">
        <v>11000</v>
      </c>
      <c r="AB92" s="19" t="n">
        <v>35000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단기차입금의증가</t>
        </is>
      </c>
      <c r="F93" s="9" t="n"/>
      <c r="I93" s="18" t="n">
        <v>23000</v>
      </c>
      <c r="J93" s="18" t="n">
        <v>14000</v>
      </c>
      <c r="K93" s="9" t="n"/>
      <c r="L93" s="18" t="n">
        <v>48000</v>
      </c>
      <c r="M93" s="18" t="n">
        <v>22105.91</v>
      </c>
      <c r="N93" s="18" t="n">
        <v>27000</v>
      </c>
      <c r="O93" s="18" t="n">
        <v>7000</v>
      </c>
      <c r="P93" s="37" t="n">
        <v>104105.91</v>
      </c>
      <c r="T93" s="18" t="n">
        <v>17500</v>
      </c>
      <c r="U93" s="9" t="n"/>
      <c r="V93" s="18" t="n">
        <v>0</v>
      </c>
      <c r="Y93" s="18" t="n">
        <v>65000</v>
      </c>
      <c r="Z93" s="9" t="n"/>
      <c r="AA93" s="18" t="n">
        <v>25000</v>
      </c>
      <c r="AB93" s="19" t="n">
        <v>58000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유동성장기부채의감소</t>
        </is>
      </c>
      <c r="F94" s="9" t="n"/>
      <c r="K94" s="9" t="n"/>
      <c r="L94" s="18" t="n">
        <v>14.15</v>
      </c>
      <c r="M94" s="18" t="n">
        <v>42.45</v>
      </c>
      <c r="N94" s="18" t="n">
        <v>15.75</v>
      </c>
      <c r="O94" s="18" t="n">
        <v>370.4</v>
      </c>
      <c r="P94" s="37" t="n">
        <v>442.75</v>
      </c>
      <c r="Q94" s="18" t="n">
        <v>899.96</v>
      </c>
      <c r="R94" s="18" t="n">
        <v>1245.4</v>
      </c>
      <c r="S94" s="18" t="n">
        <v>11239.3</v>
      </c>
      <c r="T94" s="18" t="n">
        <v>2214.3</v>
      </c>
      <c r="U94" s="37" t="n">
        <v>15598.96</v>
      </c>
      <c r="V94" s="18" t="n">
        <v>3284.3</v>
      </c>
      <c r="W94" s="18" t="n">
        <v>784.3</v>
      </c>
      <c r="X94" s="18" t="n">
        <v>784.3</v>
      </c>
      <c r="Y94" s="18" t="n">
        <v>3753.05</v>
      </c>
      <c r="Z94" s="37" t="n">
        <v>8605.950000000001</v>
      </c>
      <c r="AA94" s="18" t="n">
        <v>978.05</v>
      </c>
      <c r="AB94" s="19" t="n">
        <v>2609.3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장기차입금의감소</t>
        </is>
      </c>
      <c r="F95" s="9" t="n"/>
      <c r="K95" s="9" t="n"/>
      <c r="N95" s="18" t="n">
        <v>0</v>
      </c>
      <c r="O95" s="18" t="n">
        <v>635.2</v>
      </c>
      <c r="P95" s="9" t="n"/>
      <c r="S95" s="18" t="n">
        <v>375</v>
      </c>
      <c r="T95" s="18" t="n">
        <v>0</v>
      </c>
      <c r="U95" s="9" t="n"/>
      <c r="V95" s="18" t="n">
        <v>2000</v>
      </c>
      <c r="W95" s="18" t="n">
        <v>0</v>
      </c>
      <c r="X95" s="18" t="n">
        <v>0</v>
      </c>
      <c r="Y95" s="18" t="n">
        <v>3075</v>
      </c>
      <c r="Z95" s="37" t="n">
        <v>5075</v>
      </c>
      <c r="AA95" s="18" t="n">
        <v>0</v>
      </c>
      <c r="AB95" s="19" t="n">
        <v>1687.5</v>
      </c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이자수취(CF)</t>
        </is>
      </c>
      <c r="F96" s="9" t="n"/>
      <c r="K96" s="9" t="n"/>
      <c r="O96" s="18" t="n">
        <v>1038.35</v>
      </c>
      <c r="P96" s="9" t="n"/>
      <c r="Q96" s="18" t="n">
        <v>882.5700000000001</v>
      </c>
      <c r="R96" s="18" t="n">
        <v>1044.73</v>
      </c>
      <c r="S96" s="18" t="n">
        <v>1035.22</v>
      </c>
      <c r="T96" s="18" t="n">
        <v>986</v>
      </c>
      <c r="U96" s="37" t="n">
        <v>3948.52</v>
      </c>
      <c r="V96" s="18" t="n">
        <v>946.98</v>
      </c>
      <c r="W96" s="18" t="n">
        <v>1140.38</v>
      </c>
      <c r="X96" s="18" t="n">
        <v>873.63</v>
      </c>
      <c r="Y96" s="18" t="n">
        <v>1012.35</v>
      </c>
      <c r="Z96" s="37" t="n">
        <v>3973.34</v>
      </c>
      <c r="AA96" s="18" t="n">
        <v>560.3099999999999</v>
      </c>
      <c r="AB96" s="19" t="n">
        <v>854.41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무형자산의감소</t>
        </is>
      </c>
      <c r="F97" s="9" t="n"/>
      <c r="K97" s="9" t="n"/>
      <c r="P97" s="9" t="n"/>
      <c r="U97" s="9" t="n"/>
      <c r="X97" s="18" t="n">
        <v>0</v>
      </c>
      <c r="Y97" s="18" t="n">
        <v>0</v>
      </c>
      <c r="Z97" s="9" t="n"/>
      <c r="AA97" s="18" t="n">
        <v>0</v>
      </c>
      <c r="AB97" s="19" t="n">
        <v>0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사채의감소</t>
        </is>
      </c>
      <c r="F98" s="9" t="n"/>
      <c r="K98" s="9" t="n"/>
      <c r="P98" s="9" t="n"/>
      <c r="U98" s="9" t="n"/>
      <c r="Z98" s="9" t="n"/>
      <c r="AA98" s="18" t="n">
        <v>0</v>
      </c>
      <c r="AB98" s="5" t="n"/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자기주식의취득</t>
        </is>
      </c>
      <c r="F99" s="9" t="n"/>
      <c r="K99" s="9" t="n"/>
      <c r="P99" s="9" t="n"/>
      <c r="U99" s="9" t="n"/>
      <c r="Z99" s="9" t="n"/>
      <c r="AA99" s="18" t="n">
        <v>0</v>
      </c>
      <c r="AB99" s="5" t="n"/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3">
        <f>IFERROR(AC9/AC5,"")</f>
        <v/>
      </c>
      <c r="AD10" s="33">
        <f>IFERROR(AD9/AD5,"")</f>
        <v/>
      </c>
      <c r="AE10" s="25">
        <f>IFERROR(AE9/AE5,"")</f>
        <v/>
      </c>
      <c r="AF10" s="33">
        <f>IFERROR(AF9/AF5,"")</f>
        <v/>
      </c>
      <c r="AG10" s="33">
        <f>IFERROR(AG9/AG5,"")</f>
        <v/>
      </c>
      <c r="AH10" s="33">
        <f>IFERROR(AH9/AH5,"")</f>
        <v/>
      </c>
      <c r="AI10" s="33">
        <f>IFERROR(AI9/AI5,"")</f>
        <v/>
      </c>
      <c r="AJ10" s="25">
        <f>IFERROR(AJ9/AJ5,"")</f>
        <v/>
      </c>
      <c r="AK10" s="33">
        <f>IFERROR(AK9/AK5,"")</f>
        <v/>
      </c>
      <c r="AL10" s="33">
        <f>IFERROR(AL9/AL5,"")</f>
        <v/>
      </c>
      <c r="AM10" s="33">
        <f>IFERROR(AM9/AM5,"")</f>
        <v/>
      </c>
      <c r="AN10" s="33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IFERROR(AC12+AC13+AC14+AC15,"")</f>
        <v/>
      </c>
      <c r="AD11" s="20">
        <f>IFERROR(AD12+AD13+AD14+AD15,"")</f>
        <v/>
      </c>
      <c r="AE11" s="38">
        <f>SUM(AA11:AD11)</f>
        <v/>
      </c>
      <c r="AF11" s="20">
        <f>IFERROR(AF12+AF13+AF14+AF15,"")</f>
        <v/>
      </c>
      <c r="AG11" s="20">
        <f>IFERROR(AG12+AG13+AG14+AG15,"")</f>
        <v/>
      </c>
      <c r="AH11" s="20">
        <f>IFERROR(AH12+AH13+AH14+AH15,"")</f>
        <v/>
      </c>
      <c r="AI11" s="20">
        <f>IFERROR(AI12+AI13+AI14+AI15,"")</f>
        <v/>
      </c>
      <c r="AJ11" s="38">
        <f>SUM(AF11:AI11)</f>
        <v/>
      </c>
      <c r="AK11" s="20">
        <f>IFERROR(AK12+AK13+AK14+AK15,"")</f>
        <v/>
      </c>
      <c r="AL11" s="20">
        <f>IFERROR(AL12+AL13+AL14+AL15,"")</f>
        <v/>
      </c>
      <c r="AM11" s="20">
        <f>IFERROR(AM12+AM13+AM14+AM15,"")</f>
        <v/>
      </c>
      <c r="AN11" s="20">
        <f>IFERROR(AN12+AN13+AN14+AN15,"")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>
        <f>IFERROR(VLOOKUP($D12,BS연결,MATCH(AA$1,BS연결H,0),0)/100,"")</f>
        <v/>
      </c>
      <c r="AB12" s="19">
        <f>IFERROR(VLOOKUP($D12,BS연결,MATCH(AB$1,BS연결H,0),0)/100,"")</f>
        <v/>
      </c>
      <c r="AC12" s="20">
        <f>IFERROR((AB29*변수!$D$55-AB27*변수!$D$56)/4,"")</f>
        <v/>
      </c>
      <c r="AD12" s="20">
        <f>IFERROR((AC29*변수!$D$55-AC27*변수!$D$56)/4,"")</f>
        <v/>
      </c>
      <c r="AE12" s="38">
        <f>SUM(AA12:AD12)</f>
        <v/>
      </c>
      <c r="AF12" s="20">
        <f>IFERROR((AD29*변수!$D$55-AD27*변수!$D$56)/4,"")</f>
        <v/>
      </c>
      <c r="AG12" s="20">
        <f>IFERROR((AF29*변수!$D$55-AF27*변수!$D$56)/4,"")</f>
        <v/>
      </c>
      <c r="AH12" s="20">
        <f>IFERROR((AG29*변수!$D$55-AG27*변수!$D$56)/4,"")</f>
        <v/>
      </c>
      <c r="AI12" s="20">
        <f>IFERROR((AH29*변수!$D$55-AH27*변수!$D$56)/4,"")</f>
        <v/>
      </c>
      <c r="AJ12" s="38">
        <f>SUM(AF12:AI12)</f>
        <v/>
      </c>
      <c r="AK12" s="20">
        <f>IFERROR((AI29*변수!$D$55-AI27*변수!$D$56)/4,"")</f>
        <v/>
      </c>
      <c r="AL12" s="20">
        <f>IFERROR((AK29*변수!$D$55-AK27*변수!$D$56)/4,"")</f>
        <v/>
      </c>
      <c r="AM12" s="20">
        <f>IFERROR((AL29*변수!$D$55-AL27*변수!$D$56)/4,"")</f>
        <v/>
      </c>
      <c r="AN12" s="20">
        <f>IFERROR((AM29*변수!$D$55-AM27*변수!$D$56)/4,"")</f>
        <v/>
      </c>
      <c r="AO12" s="38">
        <f>SUM(AK12:AN12)</f>
        <v/>
      </c>
    </row>
    <row r="13">
      <c r="A13" s="12" t="inlineStr">
        <is>
          <t>외환손익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외환손익(실적만; 추정 환효과는 환관련손익)</t>
        </is>
      </c>
      <c r="E13" s="18" t="n"/>
      <c r="F13" s="37" t="n"/>
      <c r="G13" s="18" t="n"/>
      <c r="H13" s="18">
        <f>IFERROR((VLOOKUP("외환차익",BS연결,MATCH(H$1,BS연결H,0),0)-VLOOKUP("외환차손",BS연결,MATCH(H$1,BS연결H,0),0)+VLOOKUP("외화환산이익",BS연결,MATCH(H$1,BS연결H,0),0)-VLOOKUP("외화환산손실",BS연결,MATCH(H$1,BS연결H,0),0))/100,"")</f>
        <v/>
      </c>
      <c r="I13" s="18" t="n"/>
      <c r="J13" s="18" t="n"/>
      <c r="K13" s="37">
        <f>SUM(G13:J13)</f>
        <v/>
      </c>
      <c r="L13" s="18">
        <f>IFERROR((VLOOKUP("외환차익",BS연결,MATCH(L$1,BS연결H,0),0)-VLOOKUP("외환차손",BS연결,MATCH(L$1,BS연결H,0),0)+VLOOKUP("외화환산이익",BS연결,MATCH(L$1,BS연결H,0),0)-VLOOKUP("외화환산손실",BS연결,MATCH(L$1,BS연결H,0),0))/100,"")</f>
        <v/>
      </c>
      <c r="M13" s="18">
        <f>IFERROR((VLOOKUP("외환차익",BS연결,MATCH(M$1,BS연결H,0),0)-VLOOKUP("외환차손",BS연결,MATCH(M$1,BS연결H,0),0)+VLOOKUP("외화환산이익",BS연결,MATCH(M$1,BS연결H,0),0)-VLOOKUP("외화환산손실",BS연결,MATCH(M$1,BS연결H,0),0))/100,"")</f>
        <v/>
      </c>
      <c r="N13" s="18">
        <f>IFERROR((VLOOKUP("외환차익",BS연결,MATCH(N$1,BS연결H,0),0)-VLOOKUP("외환차손",BS연결,MATCH(N$1,BS연결H,0),0)+VLOOKUP("외화환산이익",BS연결,MATCH(N$1,BS연결H,0),0)-VLOOKUP("외화환산손실",BS연결,MATCH(N$1,BS연결H,0),0))/100,"")</f>
        <v/>
      </c>
      <c r="O13" s="18">
        <f>IFERROR((VLOOKUP("외환차익",BS연결,MATCH(O$1,BS연결H,0),0)-VLOOKUP("외환차손",BS연결,MATCH(O$1,BS연결H,0),0)+VLOOKUP("외화환산이익",BS연결,MATCH(O$1,BS연결H,0),0)-VLOOKUP("외화환산손실",BS연결,MATCH(O$1,BS연결H,0),0))/100,"")</f>
        <v/>
      </c>
      <c r="P13" s="37">
        <f>SUM(L13:O13)</f>
        <v/>
      </c>
      <c r="Q13" s="18">
        <f>IFERROR((VLOOKUP("외환차익",BS연결,MATCH(Q$1,BS연결H,0),0)-VLOOKUP("외환차손",BS연결,MATCH(Q$1,BS연결H,0),0)+VLOOKUP("외화환산이익",BS연결,MATCH(Q$1,BS연결H,0),0)-VLOOKUP("외화환산손실",BS연결,MATCH(Q$1,BS연결H,0),0))/100,"")</f>
        <v/>
      </c>
      <c r="R13" s="18">
        <f>IFERROR((VLOOKUP("외환차익",BS연결,MATCH(R$1,BS연결H,0),0)-VLOOKUP("외환차손",BS연결,MATCH(R$1,BS연결H,0),0)+VLOOKUP("외화환산이익",BS연결,MATCH(R$1,BS연결H,0),0)-VLOOKUP("외화환산손실",BS연결,MATCH(R$1,BS연결H,0),0))/100,"")</f>
        <v/>
      </c>
      <c r="S13" s="18">
        <f>IFERROR((VLOOKUP("외환차익",BS연결,MATCH(S$1,BS연결H,0),0)-VLOOKUP("외환차손",BS연결,MATCH(S$1,BS연결H,0),0)+VLOOKUP("외화환산이익",BS연결,MATCH(S$1,BS연결H,0),0)-VLOOKUP("외화환산손실",BS연결,MATCH(S$1,BS연결H,0),0))/100,"")</f>
        <v/>
      </c>
      <c r="T13" s="18">
        <f>IFERROR((VLOOKUP("외환차익",BS연결,MATCH(T$1,BS연결H,0),0)-VLOOKUP("외환차손",BS연결,MATCH(T$1,BS연결H,0),0)+VLOOKUP("외화환산이익",BS연결,MATCH(T$1,BS연결H,0),0)-VLOOKUP("외화환산손실",BS연결,MATCH(T$1,BS연결H,0),0))/100,"")</f>
        <v/>
      </c>
      <c r="U13" s="37">
        <f>SUM(Q13:T13)</f>
        <v/>
      </c>
      <c r="V13" s="18">
        <f>IFERROR((VLOOKUP("외환차익",BS연결,MATCH(V$1,BS연결H,0),0)-VLOOKUP("외환차손",BS연결,MATCH(V$1,BS연결H,0),0)+VLOOKUP("외화환산이익",BS연결,MATCH(V$1,BS연결H,0),0)-VLOOKUP("외화환산손실",BS연결,MATCH(V$1,BS연결H,0),0))/100,"")</f>
        <v/>
      </c>
      <c r="W13" s="18">
        <f>IFERROR((VLOOKUP("외환차익",BS연결,MATCH(W$1,BS연결H,0),0)-VLOOKUP("외환차손",BS연결,MATCH(W$1,BS연결H,0),0)+VLOOKUP("외화환산이익",BS연결,MATCH(W$1,BS연결H,0),0)-VLOOKUP("외화환산손실",BS연결,MATCH(W$1,BS연결H,0),0))/100,"")</f>
        <v/>
      </c>
      <c r="X13" s="18">
        <f>IFERROR((VLOOKUP("외환차익",BS연결,MATCH(X$1,BS연결H,0),0)-VLOOKUP("외환차손",BS연결,MATCH(X$1,BS연결H,0),0)+VLOOKUP("외화환산이익",BS연결,MATCH(X$1,BS연결H,0),0)-VLOOKUP("외화환산손실",BS연결,MATCH(X$1,BS연결H,0),0))/100,"")</f>
        <v/>
      </c>
      <c r="Y13" s="18">
        <f>IFERROR((VLOOKUP("외환차익",BS연결,MATCH(Y$1,BS연결H,0),0)-VLOOKUP("외환차손",BS연결,MATCH(Y$1,BS연결H,0),0)+VLOOKUP("외화환산이익",BS연결,MATCH(Y$1,BS연결H,0),0)-VLOOKUP("외화환산손실",BS연결,MATCH(Y$1,BS연결H,0),0))/100,"")</f>
        <v/>
      </c>
      <c r="Z13" s="37">
        <f>SUM(V13:Y13)</f>
        <v/>
      </c>
      <c r="AA13" s="18">
        <f>IFERROR((VLOOKUP("외환차익",BS연결,MATCH(AA$1,BS연결H,0),0)-VLOOKUP("외환차손",BS연결,MATCH(AA$1,BS연결H,0),0)+VLOOKUP("외화환산이익",BS연결,MATCH(AA$1,BS연결H,0),0)-VLOOKUP("외화환산손실",BS연결,MATCH(AA$1,BS연결H,0),0))/100,"")</f>
        <v/>
      </c>
      <c r="AB13" s="19">
        <f>IFERROR((VLOOKUP("외환차익",BS연결,MATCH(AB$1,BS연결H,0),0)-VLOOKUP("외환차손",BS연결,MATCH(AB$1,BS연결H,0),0)+VLOOKUP("외화환산이익",BS연결,MATCH(AB$1,BS연결H,0),0)-VLOOKUP("외화환산손실",BS연결,MATCH(AB$1,BS연결H,0),0))/100,"")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파생상품손익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파생상품손익</t>
        </is>
      </c>
      <c r="E14" s="18" t="n"/>
      <c r="F14" s="37" t="n"/>
      <c r="G14" s="18" t="n"/>
      <c r="H14" s="18" t="n"/>
      <c r="I14" s="18" t="n"/>
      <c r="J14" s="18" t="n"/>
      <c r="K14" s="37">
        <f>SUM(G14:J14)</f>
        <v/>
      </c>
      <c r="L14" s="18" t="n"/>
      <c r="M14" s="18" t="n"/>
      <c r="N14" s="18" t="n"/>
      <c r="O14" s="18" t="n"/>
      <c r="P14" s="37">
        <f>SUM(L14:O14)</f>
        <v/>
      </c>
      <c r="Q14" s="18" t="n"/>
      <c r="R14" s="18" t="n"/>
      <c r="S14" s="18" t="n"/>
      <c r="T14" s="18" t="n"/>
      <c r="U14" s="37">
        <f>SUM(Q14:T14)</f>
        <v/>
      </c>
      <c r="V14" s="18" t="n"/>
      <c r="W14" s="18">
        <f>IFERROR((VLOOKUP("파생상품이익",BS연결,MATCH(W$1,BS연결H,0),0)-VLOOKUP("파생상품손실",BS연결,MATCH(W$1,BS연결H,0),0))/100,"")</f>
        <v/>
      </c>
      <c r="X14" s="18">
        <f>IFERROR((VLOOKUP("파생상품이익",BS연결,MATCH(X$1,BS연결H,0),0)-VLOOKUP("파생상품손실",BS연결,MATCH(X$1,BS연결H,0),0))/100,"")</f>
        <v/>
      </c>
      <c r="Y14" s="18">
        <f>IFERROR((VLOOKUP("파생상품이익",BS연결,MATCH(Y$1,BS연결H,0),0)-VLOOKUP("파생상품손실",BS연결,MATCH(Y$1,BS연결H,0),0))/100,"")</f>
        <v/>
      </c>
      <c r="Z14" s="37">
        <f>SUM(V14:Y14)</f>
        <v/>
      </c>
      <c r="AA14" s="18">
        <f>IFERROR((VLOOKUP("파생상품이익",BS연결,MATCH(AA$1,BS연결H,0),0)-VLOOKUP("파생상품손실",BS연결,MATCH(AA$1,BS연결H,0),0))/100,"")</f>
        <v/>
      </c>
      <c r="AB14" s="19">
        <f>IFERROR((VLOOKUP("파생상품이익",BS연결,MATCH(AB$1,BS연결H,0),0)-VLOOKUP("파생상품손실",BS연결,MATCH(AB$1,BS연결H,0),0))/100,"")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기타금융손익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기타금융손익(금융손익 잔차)</t>
        </is>
      </c>
      <c r="E15" s="18" t="n"/>
      <c r="F15" s="37" t="n"/>
      <c r="G15" s="18" t="n"/>
      <c r="H15" s="18" t="n"/>
      <c r="I15" s="18" t="n"/>
      <c r="J15" s="18" t="n"/>
      <c r="K15" s="37">
        <f>SUM(G15:J15)</f>
        <v/>
      </c>
      <c r="L15" s="18" t="n"/>
      <c r="M15" s="18" t="n"/>
      <c r="N15" s="18" t="n"/>
      <c r="O15" s="18" t="n"/>
      <c r="P15" s="37">
        <f>SUM(L15:O15)</f>
        <v/>
      </c>
      <c r="Q15" s="18" t="n"/>
      <c r="R15" s="18" t="n"/>
      <c r="S15" s="18" t="n"/>
      <c r="T15" s="18" t="n"/>
      <c r="U15" s="37">
        <f>SUM(Q15:T15)</f>
        <v/>
      </c>
      <c r="V15" s="18" t="n"/>
      <c r="W15" s="18">
        <f>IFERROR(W11-W12-W13-W14,"")</f>
        <v/>
      </c>
      <c r="X15" s="18">
        <f>IFERROR(X11-X12-X13-X14,"")</f>
        <v/>
      </c>
      <c r="Y15" s="18">
        <f>IFERROR(Y11-Y12-Y13-Y14,"")</f>
        <v/>
      </c>
      <c r="Z15" s="37">
        <f>SUM(V15:Y15)</f>
        <v/>
      </c>
      <c r="AA15" s="18">
        <f>IFERROR(AA11-AA12-AA13-AA14,"")</f>
        <v/>
      </c>
      <c r="AB15" s="19">
        <f>IFERROR(AB11-AB12-AB13-AB14,"")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기타영업외손익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기타영업외손익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지분법손익</t>
        </is>
      </c>
      <c r="B17" t="inlineStr">
        <is>
          <t>손익</t>
        </is>
      </c>
      <c r="C17" t="inlineStr">
        <is>
          <t>억원</t>
        </is>
      </c>
      <c r="D17" t="inlineStr">
        <is>
          <t>종속기업,공동지배기업및관계기업관련손익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 t="n"/>
      <c r="O17" s="18">
        <f>IFERROR(VLOOKUP($D17,BS연결,MATCH(O$1,BS연결H,0),0)/100,"")</f>
        <v/>
      </c>
      <c r="P17" s="37">
        <f>SUM(L17:O17)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 t="n"/>
      <c r="U17" s="37">
        <f>SUM(Q17:T17)</f>
        <v/>
      </c>
      <c r="V17" s="18" t="n"/>
      <c r="W17" s="18" t="n"/>
      <c r="X17" s="18" t="n"/>
      <c r="Y17" s="18" t="n"/>
      <c r="Z17" s="37">
        <f>SUM(V17:Y17)</f>
        <v/>
      </c>
      <c r="AA17" s="18" t="n"/>
      <c r="AB17" s="19" t="n"/>
      <c r="AC17" s="20">
        <f>변수!AC28</f>
        <v/>
      </c>
      <c r="AD17" s="20">
        <f>변수!AD28</f>
        <v/>
      </c>
      <c r="AE17" s="38">
        <f>SUM(AA17:AD17)</f>
        <v/>
      </c>
      <c r="AF17" s="20">
        <f>변수!AF28</f>
        <v/>
      </c>
      <c r="AG17" s="20">
        <f>변수!AG28</f>
        <v/>
      </c>
      <c r="AH17" s="20">
        <f>변수!AH28</f>
        <v/>
      </c>
      <c r="AI17" s="20">
        <f>변수!AI28</f>
        <v/>
      </c>
      <c r="AJ17" s="38">
        <f>SUM(AF17:AI17)</f>
        <v/>
      </c>
      <c r="AK17" s="20">
        <f>변수!AK28</f>
        <v/>
      </c>
      <c r="AL17" s="20">
        <f>변수!AL28</f>
        <v/>
      </c>
      <c r="AM17" s="20">
        <f>변수!AM28</f>
        <v/>
      </c>
      <c r="AN17" s="20">
        <f>변수!AN28</f>
        <v/>
      </c>
      <c r="AO17" s="38">
        <f>SUM(AK17:AN17)</f>
        <v/>
      </c>
    </row>
    <row r="18">
      <c r="A18" s="12" t="inlineStr">
        <is>
          <t>세전이익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법인세비용차감전계속사업이익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IFERROR(AC9+AC11+AC16+AC17,"")</f>
        <v/>
      </c>
      <c r="AD18" s="20">
        <f>IFERROR(AD9+AD11+AD16+AD17,"")</f>
        <v/>
      </c>
      <c r="AE18" s="38">
        <f>SUM(AA18:AD18)</f>
        <v/>
      </c>
      <c r="AF18" s="20">
        <f>IFERROR(AF9+AF11+AF16+AF17,"")</f>
        <v/>
      </c>
      <c r="AG18" s="20">
        <f>IFERROR(AG9+AG11+AG16+AG17,"")</f>
        <v/>
      </c>
      <c r="AH18" s="20">
        <f>IFERROR(AH9+AH11+AH16+AH17,"")</f>
        <v/>
      </c>
      <c r="AI18" s="20">
        <f>IFERROR(AI9+AI11+AI16+AI17,"")</f>
        <v/>
      </c>
      <c r="AJ18" s="38">
        <f>SUM(AF18:AI18)</f>
        <v/>
      </c>
      <c r="AK18" s="20">
        <f>IFERROR(AK9+AK11+AK16+AK17,"")</f>
        <v/>
      </c>
      <c r="AL18" s="20">
        <f>IFERROR(AL9+AL11+AL16+AL17,"")</f>
        <v/>
      </c>
      <c r="AM18" s="20">
        <f>IFERROR(AM9+AM11+AM16+AM17,"")</f>
        <v/>
      </c>
      <c r="AN18" s="20">
        <f>IFERROR(AN9+AN11+AN16+AN17,"")</f>
        <v/>
      </c>
      <c r="AO18" s="38">
        <f>SUM(AK18:AN18)</f>
        <v/>
      </c>
    </row>
    <row r="19">
      <c r="A19" s="12" t="inlineStr">
        <is>
          <t>법인세비용</t>
        </is>
      </c>
      <c r="B19" t="inlineStr">
        <is>
          <t>손익</t>
        </is>
      </c>
      <c r="C19" t="inlineStr">
        <is>
          <t>억원</t>
        </is>
      </c>
      <c r="D19" t="inlineStr">
        <is>
          <t>법인세비용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>
        <f>IFERROR(VLOOKUP($D19,BS연결,MATCH(AA$1,BS연결H,0),0)/100,"")</f>
        <v/>
      </c>
      <c r="AB19" s="19">
        <f>IFERROR(VLOOKUP($D19,BS연결,MATCH(AB$1,BS연결H,0),0)/100,"")</f>
        <v/>
      </c>
      <c r="AC19" s="20">
        <f>IFERROR(MAX(AC18,0)*변수!AC29,"")</f>
        <v/>
      </c>
      <c r="AD19" s="20">
        <f>IFERROR(MAX(AD18,0)*변수!AD29,"")</f>
        <v/>
      </c>
      <c r="AE19" s="38">
        <f>SUM(AA19:AD19)</f>
        <v/>
      </c>
      <c r="AF19" s="20">
        <f>IFERROR(MAX(AF18,0)*변수!AF29,"")</f>
        <v/>
      </c>
      <c r="AG19" s="20">
        <f>IFERROR(MAX(AG18,0)*변수!AG29,"")</f>
        <v/>
      </c>
      <c r="AH19" s="20">
        <f>IFERROR(MAX(AH18,0)*변수!AH29,"")</f>
        <v/>
      </c>
      <c r="AI19" s="20">
        <f>IFERROR(MAX(AI18,0)*변수!AI29,"")</f>
        <v/>
      </c>
      <c r="AJ19" s="38">
        <f>SUM(AF19:AI19)</f>
        <v/>
      </c>
      <c r="AK19" s="20">
        <f>IFERROR(MAX(AK18,0)*변수!AK29,"")</f>
        <v/>
      </c>
      <c r="AL19" s="20">
        <f>IFERROR(MAX(AL18,0)*변수!AL29,"")</f>
        <v/>
      </c>
      <c r="AM19" s="20">
        <f>IFERROR(MAX(AM18,0)*변수!AM29,"")</f>
        <v/>
      </c>
      <c r="AN19" s="20">
        <f>IFERROR(MAX(AN18,0)*변수!AN29,"")</f>
        <v/>
      </c>
      <c r="AO19" s="38">
        <f>SUM(AK19:AN19)</f>
        <v/>
      </c>
    </row>
    <row r="20">
      <c r="A20" s="12" t="inlineStr">
        <is>
          <t>당기순이익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IFERROR(AC18-AC19,"")</f>
        <v/>
      </c>
      <c r="AD20" s="20">
        <f>IFERROR(AD18-AD19,"")</f>
        <v/>
      </c>
      <c r="AE20" s="38">
        <f>SUM(AA20:AD20)</f>
        <v/>
      </c>
      <c r="AF20" s="20">
        <f>IFERROR(AF18-AF19,"")</f>
        <v/>
      </c>
      <c r="AG20" s="20">
        <f>IFERROR(AG18-AG19,"")</f>
        <v/>
      </c>
      <c r="AH20" s="20">
        <f>IFERROR(AH18-AH19,"")</f>
        <v/>
      </c>
      <c r="AI20" s="20">
        <f>IFERROR(AI18-AI19,"")</f>
        <v/>
      </c>
      <c r="AJ20" s="38">
        <f>SUM(AF20:AI20)</f>
        <v/>
      </c>
      <c r="AK20" s="20">
        <f>IFERROR(AK18-AK19,"")</f>
        <v/>
      </c>
      <c r="AL20" s="20">
        <f>IFERROR(AL18-AL19,"")</f>
        <v/>
      </c>
      <c r="AM20" s="20">
        <f>IFERROR(AM18-AM19,"")</f>
        <v/>
      </c>
      <c r="AN20" s="20">
        <f>IFERROR(AN18-AN19,"")</f>
        <v/>
      </c>
      <c r="AO20" s="38">
        <f>SUM(AK20:AN20)</f>
        <v/>
      </c>
    </row>
    <row r="21">
      <c r="A21" s="12" t="inlineStr">
        <is>
          <t>지배주주순이익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(지배주주지분)당기순이익</t>
        </is>
      </c>
      <c r="E21" s="18">
        <f>IFERROR(VLOOKUP($D21,BS연결,MATCH(E$1,BS연결H,0),0)/100,"")</f>
        <v/>
      </c>
      <c r="F21" s="37" t="n"/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IFERROR(AC20*변수!AC30,"")</f>
        <v/>
      </c>
      <c r="AD21" s="20">
        <f>IFERROR(AD20*변수!AD30,"")</f>
        <v/>
      </c>
      <c r="AE21" s="38">
        <f>SUM(AA21:AD21)</f>
        <v/>
      </c>
      <c r="AF21" s="20">
        <f>IFERROR(AF20*변수!AF30,"")</f>
        <v/>
      </c>
      <c r="AG21" s="20">
        <f>IFERROR(AG20*변수!AG30,"")</f>
        <v/>
      </c>
      <c r="AH21" s="20">
        <f>IFERROR(AH20*변수!AH30,"")</f>
        <v/>
      </c>
      <c r="AI21" s="20">
        <f>IFERROR(AI20*변수!AI30,"")</f>
        <v/>
      </c>
      <c r="AJ21" s="38">
        <f>SUM(AF21:AI21)</f>
        <v/>
      </c>
      <c r="AK21" s="20">
        <f>IFERROR(AK20*변수!AK30,"")</f>
        <v/>
      </c>
      <c r="AL21" s="20">
        <f>IFERROR(AL20*변수!AL30,"")</f>
        <v/>
      </c>
      <c r="AM21" s="20">
        <f>IFERROR(AM20*변수!AM30,"")</f>
        <v/>
      </c>
      <c r="AN21" s="20">
        <f>IFERROR(AN20*변수!AN30,"")</f>
        <v/>
      </c>
      <c r="AO21" s="38">
        <f>SUM(AK21:AN21)</f>
        <v/>
      </c>
    </row>
    <row r="22">
      <c r="A22" s="12" t="inlineStr">
        <is>
          <t>중단사업이익</t>
        </is>
      </c>
      <c r="B22" t="inlineStr">
        <is>
          <t>손익</t>
        </is>
      </c>
      <c r="C22" t="inlineStr">
        <is>
          <t>억원</t>
        </is>
      </c>
      <c r="D22" t="inlineStr">
        <is>
          <t>중단사업이익</t>
        </is>
      </c>
      <c r="E22" s="18">
        <f>IFERROR(VLOOKUP($D22,BS연결,MATCH(E$1,BS연결H,0),0)/100,"")</f>
        <v/>
      </c>
      <c r="F22" s="37" t="n"/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 t="n"/>
      <c r="R22" s="18">
        <f>IFERROR(VLOOKUP($D22,BS연결,MATCH(R$1,BS연결H,0),0)/100,"")</f>
        <v/>
      </c>
      <c r="S22" s="18" t="n"/>
      <c r="T22" s="18">
        <f>IFERROR(VLOOKUP($D22,BS연결,MATCH(T$1,BS연결H,0),0)/100,"")</f>
        <v/>
      </c>
      <c r="U22" s="37">
        <f>SUM(Q22:T22)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 t="n"/>
      <c r="AD22" s="20" t="n"/>
      <c r="AE22" s="38">
        <f>SUM(AA22:AD22)</f>
        <v/>
      </c>
      <c r="AF22" s="20" t="n"/>
      <c r="AG22" s="20" t="n"/>
      <c r="AH22" s="20" t="n"/>
      <c r="AI22" s="20" t="n"/>
      <c r="AJ22" s="38">
        <f>SUM(AF22:AI22)</f>
        <v/>
      </c>
      <c r="AK22" s="20" t="n"/>
      <c r="AL22" s="20" t="n"/>
      <c r="AM22" s="20" t="n"/>
      <c r="AN22" s="20" t="n"/>
      <c r="AO22" s="38">
        <f>SUM(AK22:AN22)</f>
        <v/>
      </c>
    </row>
    <row r="23">
      <c r="A23" s="12" t="inlineStr">
        <is>
          <t>자산총계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자산총계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IFERROR(AC24+AC25,"")</f>
        <v/>
      </c>
      <c r="AD23" s="20">
        <f>IFERROR(AD24+AD25,"")</f>
        <v/>
      </c>
      <c r="AE23" s="38">
        <f>AD23</f>
        <v/>
      </c>
      <c r="AF23" s="20">
        <f>IFERROR(AF24+AF25,"")</f>
        <v/>
      </c>
      <c r="AG23" s="20">
        <f>IFERROR(AG24+AG25,"")</f>
        <v/>
      </c>
      <c r="AH23" s="20">
        <f>IFERROR(AH24+AH25,"")</f>
        <v/>
      </c>
      <c r="AI23" s="20">
        <f>IFERROR(AI24+AI25,"")</f>
        <v/>
      </c>
      <c r="AJ23" s="38">
        <f>AI23</f>
        <v/>
      </c>
      <c r="AK23" s="20">
        <f>IFERROR(AK24+AK25,"")</f>
        <v/>
      </c>
      <c r="AL23" s="20">
        <f>IFERROR(AL24+AL25,"")</f>
        <v/>
      </c>
      <c r="AM23" s="20">
        <f>IFERROR(AM24+AM25,"")</f>
        <v/>
      </c>
      <c r="AN23" s="20">
        <f>IFERROR(AN24+AN25,"")</f>
        <v/>
      </c>
      <c r="AO23" s="38">
        <f>AN23</f>
        <v/>
      </c>
    </row>
    <row r="24">
      <c r="A24" s="12" t="inlineStr">
        <is>
          <t>부채총계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부채총계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  <c r="AK24" s="20">
        <f>IFERROR(AI24*(1+변수!AK32),"")</f>
        <v/>
      </c>
      <c r="AL24" s="20">
        <f>IFERROR(AK24*(1+변수!AL32),"")</f>
        <v/>
      </c>
      <c r="AM24" s="20">
        <f>IFERROR(AL24*(1+변수!AM32),"")</f>
        <v/>
      </c>
      <c r="AN24" s="20">
        <f>IFERROR(AM24*(1+변수!AN32),"")</f>
        <v/>
      </c>
      <c r="AO24" s="38">
        <f>AN24</f>
        <v/>
      </c>
    </row>
    <row r="25">
      <c r="A25" s="12" t="inlineStr">
        <is>
          <t>자본총계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자본총계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IFERROR(AB25+AC20-변수!AC33,"")</f>
        <v/>
      </c>
      <c r="AD25" s="20">
        <f>IFERROR(AC25+AD20-변수!AD33,"")</f>
        <v/>
      </c>
      <c r="AE25" s="38">
        <f>AD25</f>
        <v/>
      </c>
      <c r="AF25" s="20">
        <f>IFERROR(AD25+AF20-변수!AF33,"")</f>
        <v/>
      </c>
      <c r="AG25" s="20">
        <f>IFERROR(AF25+AG20-변수!AG33,"")</f>
        <v/>
      </c>
      <c r="AH25" s="20">
        <f>IFERROR(AG25+AH20-변수!AH33,"")</f>
        <v/>
      </c>
      <c r="AI25" s="20">
        <f>IFERROR(AH25+AI20-변수!AI33,"")</f>
        <v/>
      </c>
      <c r="AJ25" s="38">
        <f>AI25</f>
        <v/>
      </c>
      <c r="AK25" s="20">
        <f>IFERROR(AI25+AK20-변수!AK33,"")</f>
        <v/>
      </c>
      <c r="AL25" s="20">
        <f>IFERROR(AK25+AL20-변수!AL33,"")</f>
        <v/>
      </c>
      <c r="AM25" s="20">
        <f>IFERROR(AL25+AM20-변수!AM33,"")</f>
        <v/>
      </c>
      <c r="AN25" s="20">
        <f>IFERROR(AM25+AN20-변수!AN33,"")</f>
        <v/>
      </c>
      <c r="AO25" s="38">
        <f>AN25</f>
        <v/>
      </c>
    </row>
    <row r="26">
      <c r="A26" s="12" t="inlineStr">
        <is>
          <t>지배주주지분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지배주주지분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IFERROR(AB26+AC21-변수!AC34,"")</f>
        <v/>
      </c>
      <c r="AD26" s="20">
        <f>IFERROR(AC26+AD21-변수!AD34,"")</f>
        <v/>
      </c>
      <c r="AE26" s="38">
        <f>AD26</f>
        <v/>
      </c>
      <c r="AF26" s="20">
        <f>IFERROR(AD26+AF21-변수!AF34,"")</f>
        <v/>
      </c>
      <c r="AG26" s="20">
        <f>IFERROR(AF26+AG21-변수!AG34,"")</f>
        <v/>
      </c>
      <c r="AH26" s="20">
        <f>IFERROR(AG26+AH21-변수!AH34,"")</f>
        <v/>
      </c>
      <c r="AI26" s="20">
        <f>IFERROR(AH26+AI21-변수!AI34,"")</f>
        <v/>
      </c>
      <c r="AJ26" s="38">
        <f>AI26</f>
        <v/>
      </c>
      <c r="AK26" s="20">
        <f>IFERROR(AI26+AK21-변수!AK34,"")</f>
        <v/>
      </c>
      <c r="AL26" s="20">
        <f>IFERROR(AK26+AL21-변수!AL34,"")</f>
        <v/>
      </c>
      <c r="AM26" s="20">
        <f>IFERROR(AL26+AM21-변수!AM34,"")</f>
        <v/>
      </c>
      <c r="AN26" s="20">
        <f>IFERROR(AM26+AN21-변수!AN34,"")</f>
        <v/>
      </c>
      <c r="AO26" s="38">
        <f>AN26</f>
        <v/>
      </c>
    </row>
    <row r="27">
      <c r="A27" s="12" t="inlineStr">
        <is>
          <t>총차입금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총차입금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IFERROR(AB27*(1+변수!AC35),"")</f>
        <v/>
      </c>
      <c r="AD27" s="20">
        <f>IFERROR(AC27*(1+변수!AD35),"")</f>
        <v/>
      </c>
      <c r="AE27" s="38">
        <f>AD27</f>
        <v/>
      </c>
      <c r="AF27" s="20">
        <f>IFERROR(AD27*(1+변수!AF35),"")</f>
        <v/>
      </c>
      <c r="AG27" s="20">
        <f>IFERROR(AF27*(1+변수!AG35),"")</f>
        <v/>
      </c>
      <c r="AH27" s="20">
        <f>IFERROR(AG27*(1+변수!AH35),"")</f>
        <v/>
      </c>
      <c r="AI27" s="20">
        <f>IFERROR(AH27*(1+변수!AI35),"")</f>
        <v/>
      </c>
      <c r="AJ27" s="38">
        <f>AI27</f>
        <v/>
      </c>
      <c r="AK27" s="20">
        <f>IFERROR(AI27*(1+변수!AK35),"")</f>
        <v/>
      </c>
      <c r="AL27" s="20">
        <f>IFERROR(AK27*(1+변수!AL35),"")</f>
        <v/>
      </c>
      <c r="AM27" s="20">
        <f>IFERROR(AL27*(1+변수!AM35),"")</f>
        <v/>
      </c>
      <c r="AN27" s="20">
        <f>IFERROR(AM27*(1+변수!AN35),"")</f>
        <v/>
      </c>
      <c r="AO27" s="38">
        <f>AN27</f>
        <v/>
      </c>
    </row>
    <row r="28">
      <c r="A28" s="12" t="inlineStr">
        <is>
          <t>순차입금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순차입금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IFERROR(AB28*(1+변수!AC36),"")</f>
        <v/>
      </c>
      <c r="AD28" s="20">
        <f>IFERROR(AC28*(1+변수!AD36),"")</f>
        <v/>
      </c>
      <c r="AE28" s="38">
        <f>AD28</f>
        <v/>
      </c>
      <c r="AF28" s="20">
        <f>IFERROR(AD28*(1+변수!AF36),"")</f>
        <v/>
      </c>
      <c r="AG28" s="20">
        <f>IFERROR(AF28*(1+변수!AG36),"")</f>
        <v/>
      </c>
      <c r="AH28" s="20">
        <f>IFERROR(AG28*(1+변수!AH36),"")</f>
        <v/>
      </c>
      <c r="AI28" s="20">
        <f>IFERROR(AH28*(1+변수!AI36),"")</f>
        <v/>
      </c>
      <c r="AJ28" s="38">
        <f>AI28</f>
        <v/>
      </c>
      <c r="AK28" s="20">
        <f>IFERROR(AI28*(1+변수!AK36),"")</f>
        <v/>
      </c>
      <c r="AL28" s="20">
        <f>IFERROR(AK28*(1+변수!AL36),"")</f>
        <v/>
      </c>
      <c r="AM28" s="20">
        <f>IFERROR(AL28*(1+변수!AM36),"")</f>
        <v/>
      </c>
      <c r="AN28" s="20">
        <f>IFERROR(AM28*(1+변수!AN36),"")</f>
        <v/>
      </c>
      <c r="AO28" s="38">
        <f>AN28</f>
        <v/>
      </c>
    </row>
    <row r="29">
      <c r="A29" s="12" t="inlineStr">
        <is>
          <t>이자발생자산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이자발생자산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IFERROR(AB29*(1+변수!AC37),"")</f>
        <v/>
      </c>
      <c r="AD29" s="20">
        <f>IFERROR(AC29*(1+변수!AD37),"")</f>
        <v/>
      </c>
      <c r="AE29" s="38">
        <f>AD29</f>
        <v/>
      </c>
      <c r="AF29" s="20">
        <f>IFERROR(AD29*(1+변수!AF37),"")</f>
        <v/>
      </c>
      <c r="AG29" s="20">
        <f>IFERROR(AF29*(1+변수!AG37),"")</f>
        <v/>
      </c>
      <c r="AH29" s="20">
        <f>IFERROR(AG29*(1+변수!AH37),"")</f>
        <v/>
      </c>
      <c r="AI29" s="20">
        <f>IFERROR(AH29*(1+변수!AI37),"")</f>
        <v/>
      </c>
      <c r="AJ29" s="38">
        <f>AI29</f>
        <v/>
      </c>
      <c r="AK29" s="20">
        <f>IFERROR(AI29*(1+변수!AK37),"")</f>
        <v/>
      </c>
      <c r="AL29" s="20">
        <f>IFERROR(AK29*(1+변수!AL37),"")</f>
        <v/>
      </c>
      <c r="AM29" s="20">
        <f>IFERROR(AL29*(1+변수!AM37),"")</f>
        <v/>
      </c>
      <c r="AN29" s="20">
        <f>IFERROR(AM29*(1+변수!AN37),"")</f>
        <v/>
      </c>
      <c r="AO29" s="38">
        <f>AN29</f>
        <v/>
      </c>
    </row>
    <row r="30">
      <c r="A30" s="12" t="inlineStr">
        <is>
          <t>현금및현금성자산</t>
        </is>
      </c>
      <c r="B30" t="inlineStr">
        <is>
          <t>재무상태</t>
        </is>
      </c>
      <c r="C30" t="inlineStr">
        <is>
          <t>억원</t>
        </is>
      </c>
      <c r="D30" t="inlineStr">
        <is>
          <t>현금및현금성자산</t>
        </is>
      </c>
      <c r="E30" s="18">
        <f>IFERROR(VLOOKUP($D30,BS연결,MATCH(E$1,BS연결H,0),0)/100,"")</f>
        <v/>
      </c>
      <c r="F30" s="37">
        <f>IFERROR(VLOOKUP($D30,BS연결,MATCH(F$1,BS연결H,0),0)/100,"")</f>
        <v/>
      </c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 t="n"/>
      <c r="AD30" s="20" t="n"/>
      <c r="AE30" s="38">
        <f>AD30</f>
        <v/>
      </c>
      <c r="AF30" s="20" t="n"/>
      <c r="AG30" s="20" t="n"/>
      <c r="AH30" s="20" t="n"/>
      <c r="AI30" s="20" t="n"/>
      <c r="AJ30" s="38">
        <f>AI30</f>
        <v/>
      </c>
      <c r="AK30" s="20" t="n"/>
      <c r="AL30" s="20" t="n"/>
      <c r="AM30" s="20" t="n"/>
      <c r="AN30" s="20" t="n"/>
      <c r="AO30" s="38">
        <f>AN30</f>
        <v/>
      </c>
    </row>
    <row r="31">
      <c r="A31" s="12" t="inlineStr">
        <is>
          <t>CAPEX</t>
        </is>
      </c>
      <c r="B31" t="inlineStr">
        <is>
          <t>현금흐름</t>
        </is>
      </c>
      <c r="C31" t="inlineStr">
        <is>
          <t>억원</t>
        </is>
      </c>
      <c r="D31" t="inlineStr">
        <is>
          <t>CAPEX</t>
        </is>
      </c>
      <c r="E31" s="18">
        <f>IFERROR(VLOOKUP($D31,BS연결,MATCH(E$1,BS연결H,0),0)/100,"")</f>
        <v/>
      </c>
      <c r="F31" s="37" t="n"/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 t="n"/>
      <c r="R31" s="18" t="n"/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SUM(Q31:T31)</f>
        <v/>
      </c>
      <c r="V31" s="18" t="n"/>
      <c r="W31" s="18" t="n"/>
      <c r="X31" s="18">
        <f>IFERROR(VLOOKUP($D31,BS연결,MATCH(X$1,BS연결H,0),0)/100,"")</f>
        <v/>
      </c>
      <c r="Y31" s="18" t="n"/>
      <c r="Z31" s="37">
        <f>SUM(V31:Y31)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>
        <f>IFERROR(X31*(1+변수!AC39),"")</f>
        <v/>
      </c>
      <c r="AD31" s="20">
        <f>IFERROR(AC31*(1+변수!AD39),"")</f>
        <v/>
      </c>
      <c r="AE31" s="38">
        <f>SUM(AA31:AD31)</f>
        <v/>
      </c>
      <c r="AF31" s="20">
        <f>IFERROR(AA31*(1+변수!AF39),"")</f>
        <v/>
      </c>
      <c r="AG31" s="20">
        <f>IFERROR(AB31*(1+변수!AG39),"")</f>
        <v/>
      </c>
      <c r="AH31" s="20">
        <f>IFERROR(AC31*(1+변수!AH39),"")</f>
        <v/>
      </c>
      <c r="AI31" s="20">
        <f>IFERROR(AD31*(1+변수!AI39),"")</f>
        <v/>
      </c>
      <c r="AJ31" s="38">
        <f>SUM(AF31:AI31)</f>
        <v/>
      </c>
      <c r="AK31" s="20">
        <f>IFERROR(AF31*(1+변수!AK39),"")</f>
        <v/>
      </c>
      <c r="AL31" s="20">
        <f>IFERROR(AG31*(1+변수!AL39),"")</f>
        <v/>
      </c>
      <c r="AM31" s="20">
        <f>IFERROR(AH31*(1+변수!AM39),"")</f>
        <v/>
      </c>
      <c r="AN31" s="20">
        <f>IFERROR(AI31*(1+변수!AN39),"")</f>
        <v/>
      </c>
      <c r="AO31" s="38">
        <f>SUM(AK31:AN31)</f>
        <v/>
      </c>
    </row>
    <row r="32">
      <c r="A32" s="12" t="inlineStr">
        <is>
          <t>영업활동현금흐름</t>
        </is>
      </c>
      <c r="B32" t="inlineStr">
        <is>
          <t>현금흐름</t>
        </is>
      </c>
      <c r="C32" t="inlineStr">
        <is>
          <t>억원</t>
        </is>
      </c>
      <c r="D32" t="inlineStr">
        <is>
          <t>영업활동으로인한현금흐름</t>
        </is>
      </c>
      <c r="E32" s="18">
        <f>IFERROR(VLOOKUP($D32,BS연결,MATCH(E$1,BS연결H,0),0)/100,"")</f>
        <v/>
      </c>
      <c r="F32" s="37" t="n"/>
      <c r="G32" s="18">
        <f>IFERROR(VLOOKUP($D32,BS연결,MATCH(G$1,BS연결H,0),0)/100,"")</f>
        <v/>
      </c>
      <c r="H32" s="18">
        <f>IFERROR(VLOOKUP($D32,BS연결,MATCH(H$1,BS연결H,0),0)/100,"")</f>
        <v/>
      </c>
      <c r="I32" s="18">
        <f>IFERROR(VLOOKUP($D32,BS연결,MATCH(I$1,BS연결H,0),0)/100,"")</f>
        <v/>
      </c>
      <c r="J32" s="18">
        <f>IFERROR(VLOOKUP($D32,BS연결,MATCH(J$1,BS연결H,0),0)/100,"")</f>
        <v/>
      </c>
      <c r="K32" s="37">
        <f>IFERROR(VLOOKUP($D32,BS연결,MATCH(K$1,BS연결H,0),0)/100,"")</f>
        <v/>
      </c>
      <c r="L32" s="18">
        <f>IFERROR(VLOOKUP($D32,BS연결,MATCH(L$1,BS연결H,0),0)/100,"")</f>
        <v/>
      </c>
      <c r="M32" s="18">
        <f>IFERROR(VLOOKUP($D32,BS연결,MATCH(M$1,BS연결H,0),0)/100,"")</f>
        <v/>
      </c>
      <c r="N32" s="18">
        <f>IFERROR(VLOOKUP($D32,BS연결,MATCH(N$1,BS연결H,0),0)/100,"")</f>
        <v/>
      </c>
      <c r="O32" s="18">
        <f>IFERROR(VLOOKUP($D32,BS연결,MATCH(O$1,BS연결H,0),0)/100,"")</f>
        <v/>
      </c>
      <c r="P32" s="37">
        <f>IFERROR(VLOOKUP($D32,BS연결,MATCH(P$1,BS연결H,0),0)/100,"")</f>
        <v/>
      </c>
      <c r="Q32" s="18">
        <f>IFERROR(VLOOKUP($D32,BS연결,MATCH(Q$1,BS연결H,0),0)/100,"")</f>
        <v/>
      </c>
      <c r="R32" s="18">
        <f>IFERROR(VLOOKUP($D32,BS연결,MATCH(R$1,BS연결H,0),0)/100,"")</f>
        <v/>
      </c>
      <c r="S32" s="18">
        <f>IFERROR(VLOOKUP($D32,BS연결,MATCH(S$1,BS연결H,0),0)/100,"")</f>
        <v/>
      </c>
      <c r="T32" s="18">
        <f>IFERROR(VLOOKUP($D32,BS연결,MATCH(T$1,BS연결H,0),0)/100,"")</f>
        <v/>
      </c>
      <c r="U32" s="37">
        <f>IFERROR(VLOOKUP($D32,BS연결,MATCH(U$1,BS연결H,0),0)/100,"")</f>
        <v/>
      </c>
      <c r="V32" s="18">
        <f>IFERROR(VLOOKUP($D32,BS연결,MATCH(V$1,BS연결H,0),0)/100,"")</f>
        <v/>
      </c>
      <c r="W32" s="18">
        <f>IFERROR(VLOOKUP($D32,BS연결,MATCH(W$1,BS연결H,0),0)/100,"")</f>
        <v/>
      </c>
      <c r="X32" s="18">
        <f>IFERROR(VLOOKUP($D32,BS연결,MATCH(X$1,BS연결H,0),0)/100,"")</f>
        <v/>
      </c>
      <c r="Y32" s="18">
        <f>IFERROR(VLOOKUP($D32,BS연결,MATCH(Y$1,BS연결H,0),0)/100,"")</f>
        <v/>
      </c>
      <c r="Z32" s="37">
        <f>IFERROR(VLOOKUP($D32,BS연결,MATCH(Z$1,BS연결H,0),0)/100,"")</f>
        <v/>
      </c>
      <c r="AA32" s="18">
        <f>IFERROR(VLOOKUP($D32,BS연결,MATCH(AA$1,BS연결H,0),0)/100,"")</f>
        <v/>
      </c>
      <c r="AB32" s="19">
        <f>IFERROR(VLOOKUP($D32,BS연결,MATCH(AB$1,BS연결H,0),0)/100,"")</f>
        <v/>
      </c>
      <c r="AC32" s="20" t="n"/>
      <c r="AD32" s="20" t="n"/>
      <c r="AE32" s="38">
        <f>SUM(AA32:AD32)</f>
        <v/>
      </c>
      <c r="AF32" s="20" t="n"/>
      <c r="AG32" s="20" t="n"/>
      <c r="AH32" s="20" t="n"/>
      <c r="AI32" s="20" t="n"/>
      <c r="AJ32" s="38">
        <f>SUM(AF32:AI32)</f>
        <v/>
      </c>
      <c r="AK32" s="20" t="n"/>
      <c r="AL32" s="20" t="n"/>
      <c r="AM32" s="20" t="n"/>
      <c r="AN32" s="20" t="n"/>
      <c r="AO32" s="38">
        <f>SUM(AK32:AN32)</f>
        <v/>
      </c>
    </row>
    <row r="33">
      <c r="A33" s="12" t="inlineStr">
        <is>
          <t>주식수</t>
        </is>
      </c>
      <c r="B33" t="inlineStr">
        <is>
          <t>주당</t>
        </is>
      </c>
      <c r="C33" t="inlineStr">
        <is>
          <t>백만주</t>
        </is>
      </c>
      <c r="D33" t="inlineStr">
        <is>
          <t>유통주식수</t>
        </is>
      </c>
      <c r="E33" s="27" t="n">
        <v>43.022</v>
      </c>
      <c r="F33" s="28">
        <f>E33</f>
        <v/>
      </c>
      <c r="G33" s="27" t="n">
        <v>43.022</v>
      </c>
      <c r="H33" s="27" t="n">
        <v>43.022</v>
      </c>
      <c r="I33" s="27" t="n">
        <v>43.022</v>
      </c>
      <c r="J33" s="27" t="n">
        <v>43.022</v>
      </c>
      <c r="K33" s="28">
        <f>J33</f>
        <v/>
      </c>
      <c r="L33" s="27" t="n">
        <v>43.022</v>
      </c>
      <c r="M33" s="27" t="n">
        <v>43.022</v>
      </c>
      <c r="N33" s="27" t="n">
        <v>41.686</v>
      </c>
      <c r="O33" s="27" t="n">
        <v>49.218</v>
      </c>
      <c r="P33" s="28">
        <f>O33</f>
        <v/>
      </c>
      <c r="Q33" s="27" t="n">
        <v>49.218</v>
      </c>
      <c r="R33" s="27" t="n">
        <v>49.218</v>
      </c>
      <c r="S33" s="27" t="n">
        <v>49.218</v>
      </c>
      <c r="T33" s="27" t="n">
        <v>49.218</v>
      </c>
      <c r="U33" s="28">
        <f>T33</f>
        <v/>
      </c>
      <c r="V33" s="27" t="n">
        <v>49.218</v>
      </c>
      <c r="W33" s="27" t="n">
        <v>50.368</v>
      </c>
      <c r="X33" s="27" t="n">
        <v>50.368</v>
      </c>
      <c r="Y33" s="27" t="n">
        <v>50.368</v>
      </c>
      <c r="Z33" s="28">
        <f>Y33</f>
        <v/>
      </c>
      <c r="AA33" s="27" t="n">
        <v>50.368</v>
      </c>
      <c r="AB33" s="29" t="n">
        <v>51.676</v>
      </c>
      <c r="AC33" s="32">
        <f>IFERROR(AB33*(1+변수!AC41),"")</f>
        <v/>
      </c>
      <c r="AD33" s="32">
        <f>IFERROR(AC33*(1+변수!AD41),"")</f>
        <v/>
      </c>
      <c r="AE33" s="31">
        <f>AD33</f>
        <v/>
      </c>
      <c r="AF33" s="32">
        <f>IFERROR(AD33*(1+변수!AF41),"")</f>
        <v/>
      </c>
      <c r="AG33" s="32">
        <f>IFERROR(AF33*(1+변수!AG41),"")</f>
        <v/>
      </c>
      <c r="AH33" s="32">
        <f>IFERROR(AG33*(1+변수!AH41),"")</f>
        <v/>
      </c>
      <c r="AI33" s="32">
        <f>IFERROR(AH33*(1+변수!AI41),"")</f>
        <v/>
      </c>
      <c r="AJ33" s="31">
        <f>AI33</f>
        <v/>
      </c>
      <c r="AK33" s="32">
        <f>IFERROR(AI33*(1+변수!AK41),"")</f>
        <v/>
      </c>
      <c r="AL33" s="32">
        <f>IFERROR(AK33*(1+변수!AL41),"")</f>
        <v/>
      </c>
      <c r="AM33" s="32">
        <f>IFERROR(AL33*(1+변수!AM41),"")</f>
        <v/>
      </c>
      <c r="AN33" s="32">
        <f>IFERROR(AM33*(1+변수!AN41),"")</f>
        <v/>
      </c>
      <c r="AO33" s="31">
        <f>AN33</f>
        <v/>
      </c>
    </row>
    <row r="34">
      <c r="A34" s="12" t="inlineStr">
        <is>
          <t>EPS</t>
        </is>
      </c>
      <c r="B34" t="inlineStr">
        <is>
          <t>주당</t>
        </is>
      </c>
      <c r="C34" t="inlineStr">
        <is>
          <t>원</t>
        </is>
      </c>
      <c r="D34" t="inlineStr">
        <is>
          <t>EPS</t>
        </is>
      </c>
      <c r="E34" s="18">
        <f>IFERROR(E21*100/E33,"")</f>
        <v/>
      </c>
      <c r="F34" s="37" t="n"/>
      <c r="G34" s="18">
        <f>IFERROR(G21*100/G33,"")</f>
        <v/>
      </c>
      <c r="H34" s="18">
        <f>IFERROR(H21*100/H33,"")</f>
        <v/>
      </c>
      <c r="I34" s="18">
        <f>IFERROR(I21*100/I33,"")</f>
        <v/>
      </c>
      <c r="J34" s="18">
        <f>IFERROR(J21*100/J33,"")</f>
        <v/>
      </c>
      <c r="K34" s="37">
        <f>SUM(G34:J34)</f>
        <v/>
      </c>
      <c r="L34" s="18">
        <f>IFERROR(L21*100/L33,"")</f>
        <v/>
      </c>
      <c r="M34" s="18">
        <f>IFERROR(M21*100/M33,"")</f>
        <v/>
      </c>
      <c r="N34" s="18">
        <f>IFERROR(N21*100/N33,"")</f>
        <v/>
      </c>
      <c r="O34" s="18">
        <f>IFERROR(O21*100/O33,"")</f>
        <v/>
      </c>
      <c r="P34" s="37">
        <f>SUM(L34:O34)</f>
        <v/>
      </c>
      <c r="Q34" s="18">
        <f>IFERROR(Q21*100/Q33,"")</f>
        <v/>
      </c>
      <c r="R34" s="18">
        <f>IFERROR(R21*100/R33,"")</f>
        <v/>
      </c>
      <c r="S34" s="18">
        <f>IFERROR(S21*100/S33,"")</f>
        <v/>
      </c>
      <c r="T34" s="18">
        <f>IFERROR(T21*100/T33,"")</f>
        <v/>
      </c>
      <c r="U34" s="37">
        <f>SUM(Q34:T34)</f>
        <v/>
      </c>
      <c r="V34" s="18">
        <f>IFERROR(V21*100/V33,"")</f>
        <v/>
      </c>
      <c r="W34" s="18">
        <f>IFERROR(W21*100/W33,"")</f>
        <v/>
      </c>
      <c r="X34" s="18">
        <f>IFERROR(X21*100/X33,"")</f>
        <v/>
      </c>
      <c r="Y34" s="18">
        <f>IFERROR(Y21*100/Y33,"")</f>
        <v/>
      </c>
      <c r="Z34" s="37">
        <f>SUM(V34:Y34)</f>
        <v/>
      </c>
      <c r="AA34" s="18">
        <f>IFERROR(AA21*100/AA33,"")</f>
        <v/>
      </c>
      <c r="AB34" s="19">
        <f>IFERROR(AB21*100/AB33,"")</f>
        <v/>
      </c>
      <c r="AC34" s="20">
        <f>IFERROR(AC21*100/AC33,"")</f>
        <v/>
      </c>
      <c r="AD34" s="20">
        <f>IFERROR(AD21*100/AD33,"")</f>
        <v/>
      </c>
      <c r="AE34" s="38">
        <f>SUM(AA34:AD34)</f>
        <v/>
      </c>
      <c r="AF34" s="20">
        <f>IFERROR(AF21*100/AF33,"")</f>
        <v/>
      </c>
      <c r="AG34" s="20">
        <f>IFERROR(AG21*100/AG33,"")</f>
        <v/>
      </c>
      <c r="AH34" s="20">
        <f>IFERROR(AH21*100/AH33,"")</f>
        <v/>
      </c>
      <c r="AI34" s="20">
        <f>IFERROR(AI21*100/AI33,"")</f>
        <v/>
      </c>
      <c r="AJ34" s="38">
        <f>SUM(AF34:AI34)</f>
        <v/>
      </c>
      <c r="AK34" s="20">
        <f>IFERROR(AK21*100/AK33,"")</f>
        <v/>
      </c>
      <c r="AL34" s="20">
        <f>IFERROR(AL21*100/AL33,"")</f>
        <v/>
      </c>
      <c r="AM34" s="20">
        <f>IFERROR(AM21*100/AM33,"")</f>
        <v/>
      </c>
      <c r="AN34" s="20">
        <f>IFERROR(AN21*100/AN33,"")</f>
        <v/>
      </c>
      <c r="AO34" s="38">
        <f>SUM(AK34:AN34)</f>
        <v/>
      </c>
    </row>
    <row r="35">
      <c r="A35" s="12" t="inlineStr">
        <is>
          <t>BPS</t>
        </is>
      </c>
      <c r="B35" t="inlineStr">
        <is>
          <t>주당</t>
        </is>
      </c>
      <c r="C35" t="inlineStr">
        <is>
          <t>원</t>
        </is>
      </c>
      <c r="D35" t="inlineStr">
        <is>
          <t>BPS</t>
        </is>
      </c>
      <c r="E35" s="18">
        <f>IFERROR(E26*100/E33,"")</f>
        <v/>
      </c>
      <c r="F35" s="37">
        <f>E35</f>
        <v/>
      </c>
      <c r="G35" s="18">
        <f>IFERROR(G26*100/G33,"")</f>
        <v/>
      </c>
      <c r="H35" s="18">
        <f>IFERROR(H26*100/H33,"")</f>
        <v/>
      </c>
      <c r="I35" s="18">
        <f>IFERROR(I26*100/I33,"")</f>
        <v/>
      </c>
      <c r="J35" s="18">
        <f>IFERROR(J26*100/J33,"")</f>
        <v/>
      </c>
      <c r="K35" s="37">
        <f>J35</f>
        <v/>
      </c>
      <c r="L35" s="18">
        <f>IFERROR(L26*100/L33,"")</f>
        <v/>
      </c>
      <c r="M35" s="18">
        <f>IFERROR(M26*100/M33,"")</f>
        <v/>
      </c>
      <c r="N35" s="18">
        <f>IFERROR(N26*100/N33,"")</f>
        <v/>
      </c>
      <c r="O35" s="18">
        <f>IFERROR(O26*100/O33,"")</f>
        <v/>
      </c>
      <c r="P35" s="37">
        <f>O35</f>
        <v/>
      </c>
      <c r="Q35" s="18">
        <f>IFERROR(Q26*100/Q33,"")</f>
        <v/>
      </c>
      <c r="R35" s="18">
        <f>IFERROR(R26*100/R33,"")</f>
        <v/>
      </c>
      <c r="S35" s="18">
        <f>IFERROR(S26*100/S33,"")</f>
        <v/>
      </c>
      <c r="T35" s="18">
        <f>IFERROR(T26*100/T33,"")</f>
        <v/>
      </c>
      <c r="U35" s="37">
        <f>T35</f>
        <v/>
      </c>
      <c r="V35" s="18">
        <f>IFERROR(V26*100/V33,"")</f>
        <v/>
      </c>
      <c r="W35" s="18">
        <f>IFERROR(W26*100/W33,"")</f>
        <v/>
      </c>
      <c r="X35" s="18">
        <f>IFERROR(X26*100/X33,"")</f>
        <v/>
      </c>
      <c r="Y35" s="18">
        <f>IFERROR(Y26*100/Y33,"")</f>
        <v/>
      </c>
      <c r="Z35" s="37">
        <f>Y35</f>
        <v/>
      </c>
      <c r="AA35" s="18">
        <f>IFERROR(AA26*100/AA33,"")</f>
        <v/>
      </c>
      <c r="AB35" s="19">
        <f>IFERROR(AB26*100/AB33,"")</f>
        <v/>
      </c>
      <c r="AC35" s="20">
        <f>IFERROR(AC26*100/AC33,"")</f>
        <v/>
      </c>
      <c r="AD35" s="20">
        <f>IFERROR(AD26*100/AD33,"")</f>
        <v/>
      </c>
      <c r="AE35" s="38">
        <f>AD35</f>
        <v/>
      </c>
      <c r="AF35" s="20">
        <f>IFERROR(AF26*100/AF33,"")</f>
        <v/>
      </c>
      <c r="AG35" s="20">
        <f>IFERROR(AG26*100/AG33,"")</f>
        <v/>
      </c>
      <c r="AH35" s="20">
        <f>IFERROR(AH26*100/AH33,"")</f>
        <v/>
      </c>
      <c r="AI35" s="20">
        <f>IFERROR(AI26*100/AI33,"")</f>
        <v/>
      </c>
      <c r="AJ35" s="38">
        <f>AI35</f>
        <v/>
      </c>
      <c r="AK35" s="20">
        <f>IFERROR(AK26*100/AK33,"")</f>
        <v/>
      </c>
      <c r="AL35" s="20">
        <f>IFERROR(AL26*100/AL33,"")</f>
        <v/>
      </c>
      <c r="AM35" s="20">
        <f>IFERROR(AM26*100/AM33,"")</f>
        <v/>
      </c>
      <c r="AN35" s="20">
        <f>IFERROR(AN26*100/AN33,"")</f>
        <v/>
      </c>
      <c r="AO35" s="38">
        <f>AN35</f>
        <v/>
      </c>
    </row>
    <row r="36">
      <c r="A36" s="12" t="inlineStr">
        <is>
          <t>DPS</t>
        </is>
      </c>
      <c r="B36" t="inlineStr">
        <is>
          <t>주당</t>
        </is>
      </c>
      <c r="C36" t="inlineStr">
        <is>
          <t>원</t>
        </is>
      </c>
      <c r="D36" t="inlineStr">
        <is>
          <t>DPS(보통주)</t>
        </is>
      </c>
      <c r="E36" s="18" t="n">
        <v>150</v>
      </c>
      <c r="F36" s="37" t="n">
        <v>150</v>
      </c>
      <c r="G36" s="18" t="n"/>
      <c r="H36" s="18" t="n"/>
      <c r="I36" s="18" t="n"/>
      <c r="J36" s="18" t="n">
        <v>130</v>
      </c>
      <c r="K36" s="37">
        <f>SUM(G36:J36)</f>
        <v/>
      </c>
      <c r="L36" s="18" t="n"/>
      <c r="M36" s="18" t="n"/>
      <c r="N36" s="18" t="n"/>
      <c r="O36" s="18" t="n">
        <v>110</v>
      </c>
      <c r="P36" s="37">
        <f>SUM(L36:O36)</f>
        <v/>
      </c>
      <c r="Q36" s="18" t="n"/>
      <c r="R36" s="18" t="n"/>
      <c r="S36" s="18" t="n"/>
      <c r="T36" s="18" t="n">
        <v>130</v>
      </c>
      <c r="U36" s="37">
        <f>SUM(Q36:T36)</f>
        <v/>
      </c>
      <c r="V36" s="18" t="n"/>
      <c r="W36" s="18" t="n"/>
      <c r="X36" s="18" t="n"/>
      <c r="Y36" s="18" t="n">
        <v>320</v>
      </c>
      <c r="Z36" s="37">
        <f>SUM(V36:Y36)</f>
        <v/>
      </c>
      <c r="AA36" s="18" t="n"/>
      <c r="AB36" s="19" t="n"/>
      <c r="AC36" s="20" t="n"/>
      <c r="AD36" s="20">
        <f>변수!AD42</f>
        <v/>
      </c>
      <c r="AE36" s="38">
        <f>SUM(AA36:AD36)</f>
        <v/>
      </c>
      <c r="AF36" s="20" t="n"/>
      <c r="AG36" s="20" t="n"/>
      <c r="AH36" s="20" t="n"/>
      <c r="AI36" s="20">
        <f>변수!AI42</f>
        <v/>
      </c>
      <c r="AJ36" s="38">
        <f>SUM(AF36:AI36)</f>
        <v/>
      </c>
      <c r="AK36" s="20" t="n"/>
      <c r="AL36" s="20" t="n"/>
      <c r="AM36" s="20" t="n"/>
      <c r="AN36" s="20">
        <f>변수!AN42</f>
        <v/>
      </c>
      <c r="AO36" s="38">
        <f>SUM(AK36:AN36)</f>
        <v/>
      </c>
    </row>
    <row r="37">
      <c r="A37" s="12" t="inlineStr">
        <is>
          <t>PER</t>
        </is>
      </c>
      <c r="B37" t="inlineStr">
        <is>
          <t>주당</t>
        </is>
      </c>
      <c r="C37" t="inlineStr">
        <is>
          <t>배</t>
        </is>
      </c>
      <c r="D37" t="inlineStr">
        <is>
          <t>PER</t>
        </is>
      </c>
      <c r="E37" s="13" t="n"/>
      <c r="F37" s="14">
        <f>E37</f>
        <v/>
      </c>
      <c r="G37" s="13" t="n"/>
      <c r="H37" s="13" t="n"/>
      <c r="I37" s="13">
        <f>IFERROR(변수!I18/(E34+G34+H34+I34),"")</f>
        <v/>
      </c>
      <c r="J37" s="13">
        <f>IFERROR(변수!J18/(G34+H34+I34+J34),"")</f>
        <v/>
      </c>
      <c r="K37" s="14">
        <f>J37</f>
        <v/>
      </c>
      <c r="L37" s="13">
        <f>IFERROR(변수!L18/(H34+I34+J34+L34),"")</f>
        <v/>
      </c>
      <c r="M37" s="13">
        <f>IFERROR(변수!M18/(I34+J34+L34+M34),"")</f>
        <v/>
      </c>
      <c r="N37" s="13">
        <f>IFERROR(변수!N18/(J34+L34+M34+N34),"")</f>
        <v/>
      </c>
      <c r="O37" s="13" t="n"/>
      <c r="P37" s="14">
        <f>O37</f>
        <v/>
      </c>
      <c r="Q37" s="13" t="n"/>
      <c r="R37" s="13" t="n"/>
      <c r="S37" s="13">
        <f>IFERROR(변수!S18/(O34+Q34+R34+S34),"")</f>
        <v/>
      </c>
      <c r="T37" s="13">
        <f>IFERROR(변수!T18/(Q34+R34+S34+T34),"")</f>
        <v/>
      </c>
      <c r="U37" s="14">
        <f>T37</f>
        <v/>
      </c>
      <c r="V37" s="13">
        <f>IFERROR(변수!V18/(R34+S34+T34+V34),"")</f>
        <v/>
      </c>
      <c r="W37" s="13">
        <f>IFERROR(변수!W18/(S34+T34+V34+W34),"")</f>
        <v/>
      </c>
      <c r="X37" s="13">
        <f>IFERROR(변수!X18/(T34+V34+W34+X34),"")</f>
        <v/>
      </c>
      <c r="Y37" s="13">
        <f>IFERROR(변수!Y18/(V34+W34+X34+Y34),"")</f>
        <v/>
      </c>
      <c r="Z37" s="14">
        <f>Y37</f>
        <v/>
      </c>
      <c r="AA37" s="13">
        <f>IFERROR(변수!AA18/(W34+X34+Y34+AA34),"")</f>
        <v/>
      </c>
      <c r="AB37" s="15">
        <f>IFERROR(변수!AB18/(X34+Y34+AA34+AB34),"")</f>
        <v/>
      </c>
      <c r="AC37" s="39">
        <f>IFERROR(변수!$D$45/(Y34+AA34+AB34+AC34),"")</f>
        <v/>
      </c>
      <c r="AD37" s="39">
        <f>IFERROR(변수!$D$45/(AA34+AB34+AC34+AD34),"")</f>
        <v/>
      </c>
      <c r="AE37" s="40">
        <f>AD37</f>
        <v/>
      </c>
      <c r="AF37" s="39">
        <f>IFERROR(변수!$D$45/(AB34+AC34+AD34+AF34),"")</f>
        <v/>
      </c>
      <c r="AG37" s="39">
        <f>IFERROR(변수!$D$45/(AC34+AD34+AF34+AG34),"")</f>
        <v/>
      </c>
      <c r="AH37" s="39">
        <f>IFERROR(변수!$D$45/(AD34+AF34+AG34+AH34),"")</f>
        <v/>
      </c>
      <c r="AI37" s="39">
        <f>IFERROR(변수!$D$45/(AF34+AG34+AH34+AI34),"")</f>
        <v/>
      </c>
      <c r="AJ37" s="40">
        <f>AI37</f>
        <v/>
      </c>
      <c r="AK37" s="39">
        <f>IFERROR(변수!$D$45/(AG34+AH34+AI34+AK34),"")</f>
        <v/>
      </c>
      <c r="AL37" s="39">
        <f>IFERROR(변수!$D$45/(AH34+AI34+AK34+AL34),"")</f>
        <v/>
      </c>
      <c r="AM37" s="39">
        <f>IFERROR(변수!$D$45/(AI34+AK34+AL34+AM34),"")</f>
        <v/>
      </c>
      <c r="AN37" s="39">
        <f>IFERROR(변수!$D$45/(AK34+AL34+AM34+AN34),"")</f>
        <v/>
      </c>
      <c r="AO37" s="40">
        <f>AN37</f>
        <v/>
      </c>
    </row>
    <row r="38">
      <c r="A38" s="12" t="inlineStr">
        <is>
          <t>PBR</t>
        </is>
      </c>
      <c r="B38" t="inlineStr">
        <is>
          <t>주당</t>
        </is>
      </c>
      <c r="C38" t="inlineStr">
        <is>
          <t>배</t>
        </is>
      </c>
      <c r="D38" t="inlineStr">
        <is>
          <t>PBR</t>
        </is>
      </c>
      <c r="E38" s="13">
        <f>IFERROR(변수!E18/E35,"")</f>
        <v/>
      </c>
      <c r="F38" s="14">
        <f>E38</f>
        <v/>
      </c>
      <c r="G38" s="13">
        <f>IFERROR(변수!G18/G35,"")</f>
        <v/>
      </c>
      <c r="H38" s="13">
        <f>IFERROR(변수!H18/H35,"")</f>
        <v/>
      </c>
      <c r="I38" s="13">
        <f>IFERROR(변수!I18/I35,"")</f>
        <v/>
      </c>
      <c r="J38" s="13">
        <f>IFERROR(변수!J18/J35,"")</f>
        <v/>
      </c>
      <c r="K38" s="14">
        <f>J38</f>
        <v/>
      </c>
      <c r="L38" s="13">
        <f>IFERROR(변수!L18/L35,"")</f>
        <v/>
      </c>
      <c r="M38" s="13">
        <f>IFERROR(변수!M18/M35,"")</f>
        <v/>
      </c>
      <c r="N38" s="13">
        <f>IFERROR(변수!N18/N35,"")</f>
        <v/>
      </c>
      <c r="O38" s="13">
        <f>IFERROR(변수!O18/O35,"")</f>
        <v/>
      </c>
      <c r="P38" s="14">
        <f>O38</f>
        <v/>
      </c>
      <c r="Q38" s="13">
        <f>IFERROR(변수!Q18/Q35,"")</f>
        <v/>
      </c>
      <c r="R38" s="13">
        <f>IFERROR(변수!R18/R35,"")</f>
        <v/>
      </c>
      <c r="S38" s="13">
        <f>IFERROR(변수!S18/S35,"")</f>
        <v/>
      </c>
      <c r="T38" s="13">
        <f>IFERROR(변수!T18/T35,"")</f>
        <v/>
      </c>
      <c r="U38" s="14">
        <f>T38</f>
        <v/>
      </c>
      <c r="V38" s="13">
        <f>IFERROR(변수!V18/V35,"")</f>
        <v/>
      </c>
      <c r="W38" s="13">
        <f>IFERROR(변수!W18/W35,"")</f>
        <v/>
      </c>
      <c r="X38" s="13">
        <f>IFERROR(변수!X18/X35,"")</f>
        <v/>
      </c>
      <c r="Y38" s="13">
        <f>IFERROR(변수!Y18/Y35,"")</f>
        <v/>
      </c>
      <c r="Z38" s="14">
        <f>Y38</f>
        <v/>
      </c>
      <c r="AA38" s="13">
        <f>IFERROR(변수!AA18/AA35,"")</f>
        <v/>
      </c>
      <c r="AB38" s="15">
        <f>IFERROR(변수!AB18/AB35,"")</f>
        <v/>
      </c>
      <c r="AC38" s="39">
        <f>IFERROR(변수!$D$45/AC35,"")</f>
        <v/>
      </c>
      <c r="AD38" s="39">
        <f>IFERROR(변수!$D$45/AD35,"")</f>
        <v/>
      </c>
      <c r="AE38" s="40">
        <f>AD38</f>
        <v/>
      </c>
      <c r="AF38" s="39">
        <f>IFERROR(변수!$D$45/AF35,"")</f>
        <v/>
      </c>
      <c r="AG38" s="39">
        <f>IFERROR(변수!$D$45/AG35,"")</f>
        <v/>
      </c>
      <c r="AH38" s="39">
        <f>IFERROR(변수!$D$45/AH35,"")</f>
        <v/>
      </c>
      <c r="AI38" s="39">
        <f>IFERROR(변수!$D$45/AI35,"")</f>
        <v/>
      </c>
      <c r="AJ38" s="40">
        <f>AI38</f>
        <v/>
      </c>
      <c r="AK38" s="39">
        <f>IFERROR(변수!$D$45/AK35,"")</f>
        <v/>
      </c>
      <c r="AL38" s="39">
        <f>IFERROR(변수!$D$45/AL35,"")</f>
        <v/>
      </c>
      <c r="AM38" s="39">
        <f>IFERROR(변수!$D$45/AM35,"")</f>
        <v/>
      </c>
      <c r="AN38" s="39">
        <f>IFERROR(변수!$D$45/AN35,"")</f>
        <v/>
      </c>
      <c r="AO38" s="40">
        <f>AN38</f>
        <v/>
      </c>
    </row>
    <row r="39">
      <c r="A39" s="12" t="inlineStr">
        <is>
          <t>매출전사</t>
        </is>
      </c>
      <c r="B39" t="inlineStr">
        <is>
          <t>사업부</t>
        </is>
      </c>
      <c r="C39" t="inlineStr">
        <is>
          <t>억원</t>
        </is>
      </c>
      <c r="D39" t="inlineStr">
        <is>
          <t>매출 전사(부문 미분리)</t>
        </is>
      </c>
      <c r="E39" s="18" t="n">
        <v>812.74</v>
      </c>
      <c r="F39" s="37" t="n"/>
      <c r="G39" s="18" t="n">
        <v>777.4299999999999</v>
      </c>
      <c r="H39" s="18" t="n">
        <v>715.66</v>
      </c>
      <c r="I39" s="18" t="n">
        <v>1140.28</v>
      </c>
      <c r="J39" s="18" t="n">
        <v>1059.34</v>
      </c>
      <c r="K39" s="37">
        <f>SUM(G39:J39)</f>
        <v/>
      </c>
      <c r="L39" s="18" t="n">
        <v>1029.92</v>
      </c>
      <c r="M39" s="18" t="n">
        <v>1338.13</v>
      </c>
      <c r="N39" s="18" t="n">
        <v>1556.53</v>
      </c>
      <c r="O39" s="18" t="n">
        <v>2019.59</v>
      </c>
      <c r="P39" s="37">
        <f>SUM(L39:O39)</f>
        <v/>
      </c>
      <c r="Q39" s="18" t="n">
        <v>1827.5</v>
      </c>
      <c r="R39" s="18" t="n">
        <v>1942.12</v>
      </c>
      <c r="S39" s="18" t="n">
        <v>1706.21</v>
      </c>
      <c r="T39" s="18" t="n">
        <v>1941.58</v>
      </c>
      <c r="U39" s="37">
        <f>SUM(Q39:T39)</f>
        <v/>
      </c>
      <c r="V39" s="18" t="n">
        <v>2245.62</v>
      </c>
      <c r="W39" s="18" t="n">
        <v>2312.73</v>
      </c>
      <c r="X39" s="18" t="n">
        <v>2211.32</v>
      </c>
      <c r="Y39" s="18" t="n">
        <v>2318.43</v>
      </c>
      <c r="Z39" s="37">
        <f>SUM(V39:Y39)</f>
        <v/>
      </c>
      <c r="AA39" s="18" t="n">
        <v>2118.22</v>
      </c>
      <c r="AB39" s="19" t="n">
        <v>2433.78</v>
      </c>
      <c r="AC39" s="20">
        <f>IFERROR(AC5,"")</f>
        <v/>
      </c>
      <c r="AD39" s="20">
        <f>IFERROR(AD5,"")</f>
        <v/>
      </c>
      <c r="AE39" s="38">
        <f>SUM(AA39:AD39)</f>
        <v/>
      </c>
      <c r="AF39" s="20">
        <f>IFERROR(AF5,"")</f>
        <v/>
      </c>
      <c r="AG39" s="20">
        <f>IFERROR(AG5,"")</f>
        <v/>
      </c>
      <c r="AH39" s="20">
        <f>IFERROR(AH5,"")</f>
        <v/>
      </c>
      <c r="AI39" s="20">
        <f>IFERROR(AI5,"")</f>
        <v/>
      </c>
      <c r="AJ39" s="38">
        <f>SUM(AF39:AI39)</f>
        <v/>
      </c>
      <c r="AK39" s="20">
        <f>IFERROR(AK5,"")</f>
        <v/>
      </c>
      <c r="AL39" s="20">
        <f>IFERROR(AL5,"")</f>
        <v/>
      </c>
      <c r="AM39" s="20">
        <f>IFERROR(AM5,"")</f>
        <v/>
      </c>
      <c r="AN39" s="20">
        <f>IFERROR(AN5,"")</f>
        <v/>
      </c>
      <c r="AO39" s="38">
        <f>SUM(AK39:AN39)</f>
        <v/>
      </c>
    </row>
    <row r="40">
      <c r="A40" s="12" t="inlineStr">
        <is>
          <t>OP전사</t>
        </is>
      </c>
      <c r="B40" t="inlineStr">
        <is>
          <t>사업부</t>
        </is>
      </c>
      <c r="C40" t="inlineStr">
        <is>
          <t>억원</t>
        </is>
      </c>
      <c r="D40" t="inlineStr">
        <is>
          <t>OP 전사(부문 미분리)</t>
        </is>
      </c>
      <c r="E40" s="18" t="n">
        <v>32.77</v>
      </c>
      <c r="F40" s="37" t="n"/>
      <c r="G40" s="18" t="n">
        <v>42.83</v>
      </c>
      <c r="H40" s="18" t="n">
        <v>24.92</v>
      </c>
      <c r="I40" s="18" t="n">
        <v>119.85</v>
      </c>
      <c r="J40" s="18" t="n">
        <v>60.38</v>
      </c>
      <c r="K40" s="37">
        <f>SUM(G40:J40)</f>
        <v/>
      </c>
      <c r="L40" s="18" t="n">
        <v>37.38</v>
      </c>
      <c r="M40" s="18" t="n">
        <v>78.95</v>
      </c>
      <c r="N40" s="18" t="n">
        <v>46.14</v>
      </c>
      <c r="O40" s="18" t="n">
        <v>2.19</v>
      </c>
      <c r="P40" s="37">
        <f>SUM(L40:O40)</f>
        <v/>
      </c>
      <c r="Q40" s="18" t="n">
        <v>26.08</v>
      </c>
      <c r="R40" s="18" t="n">
        <v>177.79</v>
      </c>
      <c r="S40" s="18" t="n">
        <v>76.84</v>
      </c>
      <c r="T40" s="18" t="n">
        <v>173.75</v>
      </c>
      <c r="U40" s="37">
        <f>SUM(Q40:T40)</f>
        <v/>
      </c>
      <c r="V40" s="18" t="n">
        <v>311.07</v>
      </c>
      <c r="W40" s="18" t="n">
        <v>316.44</v>
      </c>
      <c r="X40" s="18" t="n">
        <v>298.63</v>
      </c>
      <c r="Y40" s="18" t="n">
        <v>383.37</v>
      </c>
      <c r="Z40" s="37">
        <f>SUM(V40:Y40)</f>
        <v/>
      </c>
      <c r="AA40" s="18" t="n">
        <v>410.66</v>
      </c>
      <c r="AB40" s="19" t="n">
        <v>504</v>
      </c>
      <c r="AC40" s="20">
        <f>IFERROR(AC9,"")</f>
        <v/>
      </c>
      <c r="AD40" s="20">
        <f>IFERROR(AD9,"")</f>
        <v/>
      </c>
      <c r="AE40" s="38">
        <f>SUM(AA40:AD40)</f>
        <v/>
      </c>
      <c r="AF40" s="20">
        <f>IFERROR(AF9,"")</f>
        <v/>
      </c>
      <c r="AG40" s="20">
        <f>IFERROR(AG9,"")</f>
        <v/>
      </c>
      <c r="AH40" s="20">
        <f>IFERROR(AH9,"")</f>
        <v/>
      </c>
      <c r="AI40" s="20">
        <f>IFERROR(AI9,"")</f>
        <v/>
      </c>
      <c r="AJ40" s="38">
        <f>SUM(AF40:AI40)</f>
        <v/>
      </c>
      <c r="AK40" s="20">
        <f>IFERROR(AK9,"")</f>
        <v/>
      </c>
      <c r="AL40" s="20">
        <f>IFERROR(AL9,"")</f>
        <v/>
      </c>
      <c r="AM40" s="20">
        <f>IFERROR(AM9,"")</f>
        <v/>
      </c>
      <c r="AN40" s="20">
        <f>IFERROR(AN9,"")</f>
        <v/>
      </c>
      <c r="AO40" s="38">
        <f>SUM(AK40:AN40)</f>
        <v/>
      </c>
    </row>
    <row r="41">
      <c r="B41" s="2" t="inlineStr">
        <is>
          <t>비율(참고)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NPM</t>
        </is>
      </c>
      <c r="C42" t="inlineStr">
        <is>
          <t>%</t>
        </is>
      </c>
      <c r="D42" t="inlineStr">
        <is>
          <t>지배주주순이익 / 매출액</t>
        </is>
      </c>
      <c r="E42" s="21">
        <f>IFERROR(E21/E5,"")</f>
        <v/>
      </c>
      <c r="F42" s="22">
        <f>IFERROR(F21/F5,"")</f>
        <v/>
      </c>
      <c r="G42" s="21">
        <f>IFERROR(G21/G5,"")</f>
        <v/>
      </c>
      <c r="H42" s="21">
        <f>IFERROR(H21/H5,"")</f>
        <v/>
      </c>
      <c r="I42" s="21">
        <f>IFERROR(I21/I5,"")</f>
        <v/>
      </c>
      <c r="J42" s="21">
        <f>IFERROR(J21/J5,"")</f>
        <v/>
      </c>
      <c r="K42" s="22">
        <f>IFERROR(K21/K5,"")</f>
        <v/>
      </c>
      <c r="L42" s="21">
        <f>IFERROR(L21/L5,"")</f>
        <v/>
      </c>
      <c r="M42" s="21">
        <f>IFERROR(M21/M5,"")</f>
        <v/>
      </c>
      <c r="N42" s="21">
        <f>IFERROR(N21/N5,"")</f>
        <v/>
      </c>
      <c r="O42" s="21">
        <f>IFERROR(O21/O5,"")</f>
        <v/>
      </c>
      <c r="P42" s="22">
        <f>IFERROR(P21/P5,"")</f>
        <v/>
      </c>
      <c r="Q42" s="21">
        <f>IFERROR(Q21/Q5,"")</f>
        <v/>
      </c>
      <c r="R42" s="21">
        <f>IFERROR(R21/R5,"")</f>
        <v/>
      </c>
      <c r="S42" s="21">
        <f>IFERROR(S21/S5,"")</f>
        <v/>
      </c>
      <c r="T42" s="21">
        <f>IFERROR(T21/T5,"")</f>
        <v/>
      </c>
      <c r="U42" s="22">
        <f>IFERROR(U21/U5,"")</f>
        <v/>
      </c>
      <c r="V42" s="21">
        <f>IFERROR(V21/V5,"")</f>
        <v/>
      </c>
      <c r="W42" s="21">
        <f>IFERROR(W21/W5,"")</f>
        <v/>
      </c>
      <c r="X42" s="21">
        <f>IFERROR(X21/X5,"")</f>
        <v/>
      </c>
      <c r="Y42" s="21">
        <f>IFERROR(Y21/Y5,"")</f>
        <v/>
      </c>
      <c r="Z42" s="22">
        <f>IFERROR(Z21/Z5,"")</f>
        <v/>
      </c>
      <c r="AA42" s="21">
        <f>IFERROR(AA21/AA5,"")</f>
        <v/>
      </c>
      <c r="AB42" s="23">
        <f>IFERROR(AB21/AB5,"")</f>
        <v/>
      </c>
      <c r="AC42" s="33">
        <f>IFERROR(AC21/AC5,"")</f>
        <v/>
      </c>
      <c r="AD42" s="33">
        <f>IFERROR(AD21/AD5,"")</f>
        <v/>
      </c>
      <c r="AE42" s="25">
        <f>IFERROR(AE21/AE5,"")</f>
        <v/>
      </c>
      <c r="AF42" s="33">
        <f>IFERROR(AF21/AF5,"")</f>
        <v/>
      </c>
      <c r="AG42" s="33">
        <f>IFERROR(AG21/AG5,"")</f>
        <v/>
      </c>
      <c r="AH42" s="33">
        <f>IFERROR(AH21/AH5,"")</f>
        <v/>
      </c>
      <c r="AI42" s="33">
        <f>IFERROR(AI21/AI5,"")</f>
        <v/>
      </c>
      <c r="AJ42" s="25">
        <f>IFERROR(AJ21/AJ5,"")</f>
        <v/>
      </c>
      <c r="AK42" s="33">
        <f>IFERROR(AK21/AK5,"")</f>
        <v/>
      </c>
      <c r="AL42" s="33">
        <f>IFERROR(AL21/AL5,"")</f>
        <v/>
      </c>
      <c r="AM42" s="33">
        <f>IFERROR(AM21/AM5,"")</f>
        <v/>
      </c>
      <c r="AN42" s="33">
        <f>IFERROR(AN21/AN5,"")</f>
        <v/>
      </c>
      <c r="AO42" s="25">
        <f>IFERROR(AO21/AO5,"")</f>
        <v/>
      </c>
    </row>
    <row r="43">
      <c r="A43" s="12" t="inlineStr">
        <is>
          <t>매출원가율</t>
        </is>
      </c>
      <c r="C43" t="inlineStr">
        <is>
          <t>%</t>
        </is>
      </c>
      <c r="D43" t="inlineStr">
        <is>
          <t>매출원가 / 매출액</t>
        </is>
      </c>
      <c r="E43" s="21">
        <f>IFERROR(E6/E5,"")</f>
        <v/>
      </c>
      <c r="F43" s="22">
        <f>IFERROR(F6/F5,"")</f>
        <v/>
      </c>
      <c r="G43" s="21">
        <f>IFERROR(G6/G5,"")</f>
        <v/>
      </c>
      <c r="H43" s="21">
        <f>IFERROR(H6/H5,"")</f>
        <v/>
      </c>
      <c r="I43" s="21">
        <f>IFERROR(I6/I5,"")</f>
        <v/>
      </c>
      <c r="J43" s="21">
        <f>IFERROR(J6/J5,"")</f>
        <v/>
      </c>
      <c r="K43" s="22">
        <f>IFERROR(K6/K5,"")</f>
        <v/>
      </c>
      <c r="L43" s="21">
        <f>IFERROR(L6/L5,"")</f>
        <v/>
      </c>
      <c r="M43" s="21">
        <f>IFERROR(M6/M5,"")</f>
        <v/>
      </c>
      <c r="N43" s="21">
        <f>IFERROR(N6/N5,"")</f>
        <v/>
      </c>
      <c r="O43" s="21">
        <f>IFERROR(O6/O5,"")</f>
        <v/>
      </c>
      <c r="P43" s="22">
        <f>IFERROR(P6/P5,"")</f>
        <v/>
      </c>
      <c r="Q43" s="21">
        <f>IFERROR(Q6/Q5,"")</f>
        <v/>
      </c>
      <c r="R43" s="21">
        <f>IFERROR(R6/R5,"")</f>
        <v/>
      </c>
      <c r="S43" s="21">
        <f>IFERROR(S6/S5,"")</f>
        <v/>
      </c>
      <c r="T43" s="21">
        <f>IFERROR(T6/T5,"")</f>
        <v/>
      </c>
      <c r="U43" s="22">
        <f>IFERROR(U6/U5,"")</f>
        <v/>
      </c>
      <c r="V43" s="21">
        <f>IFERROR(V6/V5,"")</f>
        <v/>
      </c>
      <c r="W43" s="21">
        <f>IFERROR(W6/W5,"")</f>
        <v/>
      </c>
      <c r="X43" s="21">
        <f>IFERROR(X6/X5,"")</f>
        <v/>
      </c>
      <c r="Y43" s="21">
        <f>IFERROR(Y6/Y5,"")</f>
        <v/>
      </c>
      <c r="Z43" s="22">
        <f>IFERROR(Z6/Z5,"")</f>
        <v/>
      </c>
      <c r="AA43" s="21">
        <f>IFERROR(AA6/AA5,"")</f>
        <v/>
      </c>
      <c r="AB43" s="23">
        <f>IFERROR(AB6/AB5,"")</f>
        <v/>
      </c>
      <c r="AC43" s="33">
        <f>IFERROR(AC6/AC5,"")</f>
        <v/>
      </c>
      <c r="AD43" s="33">
        <f>IFERROR(AD6/AD5,"")</f>
        <v/>
      </c>
      <c r="AE43" s="25">
        <f>IFERROR(AE6/AE5,"")</f>
        <v/>
      </c>
      <c r="AF43" s="33">
        <f>IFERROR(AF6/AF5,"")</f>
        <v/>
      </c>
      <c r="AG43" s="33">
        <f>IFERROR(AG6/AG5,"")</f>
        <v/>
      </c>
      <c r="AH43" s="33">
        <f>IFERROR(AH6/AH5,"")</f>
        <v/>
      </c>
      <c r="AI43" s="33">
        <f>IFERROR(AI6/AI5,"")</f>
        <v/>
      </c>
      <c r="AJ43" s="25">
        <f>IFERROR(AJ6/AJ5,"")</f>
        <v/>
      </c>
      <c r="AK43" s="33">
        <f>IFERROR(AK6/AK5,"")</f>
        <v/>
      </c>
      <c r="AL43" s="33">
        <f>IFERROR(AL6/AL5,"")</f>
        <v/>
      </c>
      <c r="AM43" s="33">
        <f>IFERROR(AM6/AM5,"")</f>
        <v/>
      </c>
      <c r="AN43" s="33">
        <f>IFERROR(AN6/AN5,"")</f>
        <v/>
      </c>
      <c r="AO43" s="25">
        <f>IFERROR(AO6/AO5,"")</f>
        <v/>
      </c>
    </row>
    <row r="44">
      <c r="A44" s="12" t="inlineStr">
        <is>
          <t>판관비율</t>
        </is>
      </c>
      <c r="C44" t="inlineStr">
        <is>
          <t>%</t>
        </is>
      </c>
      <c r="D44" t="inlineStr">
        <is>
          <t>판관비 / 매출액</t>
        </is>
      </c>
      <c r="E44" s="21">
        <f>IFERROR(E8/E5,"")</f>
        <v/>
      </c>
      <c r="F44" s="22">
        <f>IFERROR(F8/F5,"")</f>
        <v/>
      </c>
      <c r="G44" s="21">
        <f>IFERROR(G8/G5,"")</f>
        <v/>
      </c>
      <c r="H44" s="21">
        <f>IFERROR(H8/H5,"")</f>
        <v/>
      </c>
      <c r="I44" s="21">
        <f>IFERROR(I8/I5,"")</f>
        <v/>
      </c>
      <c r="J44" s="21">
        <f>IFERROR(J8/J5,"")</f>
        <v/>
      </c>
      <c r="K44" s="22">
        <f>IFERROR(K8/K5,"")</f>
        <v/>
      </c>
      <c r="L44" s="21">
        <f>IFERROR(L8/L5,"")</f>
        <v/>
      </c>
      <c r="M44" s="21">
        <f>IFERROR(M8/M5,"")</f>
        <v/>
      </c>
      <c r="N44" s="21">
        <f>IFERROR(N8/N5,"")</f>
        <v/>
      </c>
      <c r="O44" s="21">
        <f>IFERROR(O8/O5,"")</f>
        <v/>
      </c>
      <c r="P44" s="22">
        <f>IFERROR(P8/P5,"")</f>
        <v/>
      </c>
      <c r="Q44" s="21">
        <f>IFERROR(Q8/Q5,"")</f>
        <v/>
      </c>
      <c r="R44" s="21">
        <f>IFERROR(R8/R5,"")</f>
        <v/>
      </c>
      <c r="S44" s="21">
        <f>IFERROR(S8/S5,"")</f>
        <v/>
      </c>
      <c r="T44" s="21">
        <f>IFERROR(T8/T5,"")</f>
        <v/>
      </c>
      <c r="U44" s="22">
        <f>IFERROR(U8/U5,"")</f>
        <v/>
      </c>
      <c r="V44" s="21">
        <f>IFERROR(V8/V5,"")</f>
        <v/>
      </c>
      <c r="W44" s="21">
        <f>IFERROR(W8/W5,"")</f>
        <v/>
      </c>
      <c r="X44" s="21">
        <f>IFERROR(X8/X5,"")</f>
        <v/>
      </c>
      <c r="Y44" s="21">
        <f>IFERROR(Y8/Y5,"")</f>
        <v/>
      </c>
      <c r="Z44" s="22">
        <f>IFERROR(Z8/Z5,"")</f>
        <v/>
      </c>
      <c r="AA44" s="21">
        <f>IFERROR(AA8/AA5,"")</f>
        <v/>
      </c>
      <c r="AB44" s="23">
        <f>IFERROR(AB8/AB5,"")</f>
        <v/>
      </c>
      <c r="AC44" s="33">
        <f>IFERROR(AC8/AC5,"")</f>
        <v/>
      </c>
      <c r="AD44" s="33">
        <f>IFERROR(AD8/AD5,"")</f>
        <v/>
      </c>
      <c r="AE44" s="25">
        <f>IFERROR(AE8/AE5,"")</f>
        <v/>
      </c>
      <c r="AF44" s="33">
        <f>IFERROR(AF8/AF5,"")</f>
        <v/>
      </c>
      <c r="AG44" s="33">
        <f>IFERROR(AG8/AG5,"")</f>
        <v/>
      </c>
      <c r="AH44" s="33">
        <f>IFERROR(AH8/AH5,"")</f>
        <v/>
      </c>
      <c r="AI44" s="33">
        <f>IFERROR(AI8/AI5,"")</f>
        <v/>
      </c>
      <c r="AJ44" s="25">
        <f>IFERROR(AJ8/AJ5,"")</f>
        <v/>
      </c>
      <c r="AK44" s="33">
        <f>IFERROR(AK8/AK5,"")</f>
        <v/>
      </c>
      <c r="AL44" s="33">
        <f>IFERROR(AL8/AL5,"")</f>
        <v/>
      </c>
      <c r="AM44" s="33">
        <f>IFERROR(AM8/AM5,"")</f>
        <v/>
      </c>
      <c r="AN44" s="33">
        <f>IFERROR(AN8/AN5,"")</f>
        <v/>
      </c>
      <c r="AO44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변수!D45</f>
        <v/>
      </c>
      <c r="W2" s="42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3">
        <f>IFERROR(VLOOKUP($A10,subQ,MATCH(X$1,SUBQH,0),0),"")</f>
        <v/>
      </c>
      <c r="Y10" s="33">
        <f>IFERROR(VLOOKUP($A10,subQ,MATCH(Y$1,SUBQH,0),0),"")</f>
        <v/>
      </c>
      <c r="Z10" s="33">
        <f>IFERROR(VLOOKUP($A10,subQ,MATCH(Z$1,SUBQH,0),0),"")</f>
        <v/>
      </c>
      <c r="AA10" s="33">
        <f>IFERROR(VLOOKUP($A10,subQ,MATCH(AA$1,SUBQH,0),0),"")</f>
        <v/>
      </c>
      <c r="AB10" s="33">
        <f>IFERROR(VLOOKUP($A10,subQ,MATCH(AB$1,SUBQH,0),0),"")</f>
        <v/>
      </c>
      <c r="AC10" s="33">
        <f>IFERROR(VLOOKUP($A10,subQ,MATCH(AC$1,SUBQH,0),0),"")</f>
        <v/>
      </c>
      <c r="AD10" s="33">
        <f>IFERROR(VLOOKUP($A10,subQ,MATCH(AD$1,SUBQH,0),0),"")</f>
        <v/>
      </c>
      <c r="AE10" s="33">
        <f>IFERROR(VLOOKUP($A10,subQ,MATCH(AE$1,SUBQH,0),0),"")</f>
        <v/>
      </c>
      <c r="AF10" s="33">
        <f>IFERROR(VLOOKUP($A10,subQ,MATCH(AF$1,SUBQH,0),0),"")</f>
        <v/>
      </c>
      <c r="AG10" s="33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중단사업이익</t>
        </is>
      </c>
      <c r="D22" t="inlineStr">
        <is>
          <t>중단사업이익(실적만)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7">
        <f>IFERROR(VLOOKUP($A33,subQ,MATCH(E$1,SUBQH,0),0),"")</f>
        <v/>
      </c>
      <c r="F33" s="27">
        <f>IFERROR(VLOOKUP($A33,subQ,MATCH(F$1,SUBQH,0),0),"")</f>
        <v/>
      </c>
      <c r="G33" s="27">
        <f>IFERROR(VLOOKUP($A33,subQ,MATCH(G$1,SUBQH,0),0),"")</f>
        <v/>
      </c>
      <c r="H33" s="27">
        <f>IFERROR(VLOOKUP($A33,subQ,MATCH(H$1,SUBQH,0),0),"")</f>
        <v/>
      </c>
      <c r="I33" s="27">
        <f>IFERROR(VLOOKUP($A33,subQ,MATCH(I$1,SUBQH,0),0),"")</f>
        <v/>
      </c>
      <c r="J33" s="27">
        <f>IFERROR(VLOOKUP($A33,subQ,MATCH(J$1,SUBQH,0),0),"")</f>
        <v/>
      </c>
      <c r="K33" s="27">
        <f>IFERROR(VLOOKUP($A33,subQ,MATCH(K$1,SUBQH,0),0),"")</f>
        <v/>
      </c>
      <c r="L33" s="27">
        <f>IFERROR(VLOOKUP($A33,subQ,MATCH(L$1,SUBQH,0),0),"")</f>
        <v/>
      </c>
      <c r="M33" s="27">
        <f>IFERROR(VLOOKUP($A33,subQ,MATCH(M$1,SUBQH,0),0),"")</f>
        <v/>
      </c>
      <c r="N33" s="27">
        <f>IFERROR(VLOOKUP($A33,subQ,MATCH(N$1,SUBQH,0),0),"")</f>
        <v/>
      </c>
      <c r="O33" s="27">
        <f>IFERROR(VLOOKUP($A33,subQ,MATCH(O$1,SUBQH,0),0),"")</f>
        <v/>
      </c>
      <c r="P33" s="27">
        <f>IFERROR(VLOOKUP($A33,subQ,MATCH(P$1,SUBQH,0),0),"")</f>
        <v/>
      </c>
      <c r="Q33" s="27">
        <f>IFERROR(VLOOKUP($A33,subQ,MATCH(Q$1,SUBQH,0),0),"")</f>
        <v/>
      </c>
      <c r="R33" s="27">
        <f>IFERROR(VLOOKUP($A33,subQ,MATCH(R$1,SUBQH,0),0),"")</f>
        <v/>
      </c>
      <c r="S33" s="27">
        <f>IFERROR(VLOOKUP($A33,subQ,MATCH(S$1,SUBQH,0),0),"")</f>
        <v/>
      </c>
      <c r="T33" s="27">
        <f>IFERROR(VLOOKUP($A33,subQ,MATCH(T$1,SUBQH,0),0),"")</f>
        <v/>
      </c>
      <c r="U33" s="27">
        <f>IFERROR(VLOOKUP($A33,subQ,MATCH(U$1,SUBQH,0),0),"")</f>
        <v/>
      </c>
      <c r="V33" s="27">
        <f>IFERROR(VLOOKUP($A33,subQ,MATCH(V$1,SUBQH,0),0),"")</f>
        <v/>
      </c>
      <c r="W33" s="47">
        <f>IFERROR(VLOOKUP($A33,subQ,MATCH(W$1,SUBQH,0),0),"")</f>
        <v/>
      </c>
      <c r="X33" s="32">
        <f>IFERROR(VLOOKUP($A33,subQ,MATCH(X$1,SUBQH,0),0),"")</f>
        <v/>
      </c>
      <c r="Y33" s="32">
        <f>IFERROR(VLOOKUP($A33,subQ,MATCH(Y$1,SUBQH,0),0),"")</f>
        <v/>
      </c>
      <c r="Z33" s="32">
        <f>IFERROR(VLOOKUP($A33,subQ,MATCH(Z$1,SUBQH,0),0),"")</f>
        <v/>
      </c>
      <c r="AA33" s="32">
        <f>IFERROR(VLOOKUP($A33,subQ,MATCH(AA$1,SUBQH,0),0),"")</f>
        <v/>
      </c>
      <c r="AB33" s="32">
        <f>IFERROR(VLOOKUP($A33,subQ,MATCH(AB$1,SUBQH,0),0),"")</f>
        <v/>
      </c>
      <c r="AC33" s="32">
        <f>IFERROR(VLOOKUP($A33,subQ,MATCH(AC$1,SUBQH,0),0),"")</f>
        <v/>
      </c>
      <c r="AD33" s="32">
        <f>IFERROR(VLOOKUP($A33,subQ,MATCH(AD$1,SUBQH,0),0),"")</f>
        <v/>
      </c>
      <c r="AE33" s="32">
        <f>IFERROR(VLOOKUP($A33,subQ,MATCH(AE$1,SUBQH,0),0),"")</f>
        <v/>
      </c>
      <c r="AF33" s="32">
        <f>IFERROR(VLOOKUP($A33,subQ,MATCH(AF$1,SUBQH,0),0),"")</f>
        <v/>
      </c>
      <c r="AG33" s="32">
        <f>IFERROR(VLOOKUP($A33,subQ,MATCH(AG$1,SUBQH,0),0),"")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13">
        <f>IFERROR(VLOOKUP($A37,subQ,MATCH(I$1,SUBQH,0),0),"")</f>
        <v/>
      </c>
      <c r="J37" s="13">
        <f>IFERROR(VLOOKUP($A37,subQ,MATCH(J$1,SUBQH,0),0),"")</f>
        <v/>
      </c>
      <c r="K37" s="13">
        <f>IFERROR(VLOOKUP($A37,subQ,MATCH(K$1,SUBQH,0),0),"")</f>
        <v/>
      </c>
      <c r="L37" s="13">
        <f>IFERROR(VLOOKUP($A37,subQ,MATCH(L$1,SUBQH,0),0),"")</f>
        <v/>
      </c>
      <c r="M37" s="13">
        <f>IFERROR(VLOOKUP($A37,subQ,MATCH(M$1,SUBQH,0),0),"")</f>
        <v/>
      </c>
      <c r="N37" s="13">
        <f>IFERROR(VLOOKUP($A37,subQ,MATCH(N$1,SUBQH,0),0),"")</f>
        <v/>
      </c>
      <c r="O37" s="13">
        <f>IFERROR(VLOOKUP($A37,subQ,MATCH(O$1,SUBQH,0),0),"")</f>
        <v/>
      </c>
      <c r="P37" s="13">
        <f>IFERROR(VLOOKUP($A37,subQ,MATCH(P$1,SUBQH,0),0),"")</f>
        <v/>
      </c>
      <c r="Q37" s="13">
        <f>IFERROR(VLOOKUP($A37,subQ,MATCH(Q$1,SUBQH,0),0),"")</f>
        <v/>
      </c>
      <c r="R37" s="13">
        <f>IFERROR(VLOOKUP($A37,subQ,MATCH(R$1,SUBQH,0),0),"")</f>
        <v/>
      </c>
      <c r="S37" s="13">
        <f>IFERROR(VLOOKUP($A37,subQ,MATCH(S$1,SUBQH,0),0),"")</f>
        <v/>
      </c>
      <c r="T37" s="13">
        <f>IFERROR(VLOOKUP($A37,subQ,MATCH(T$1,SUBQH,0),0),"")</f>
        <v/>
      </c>
      <c r="U37" s="13">
        <f>IFERROR(VLOOKUP($A37,subQ,MATCH(U$1,SUBQH,0),0),"")</f>
        <v/>
      </c>
      <c r="V37" s="13">
        <f>IFERROR(VLOOKUP($A37,subQ,MATCH(V$1,SUBQH,0),0),"")</f>
        <v/>
      </c>
      <c r="W37" s="48">
        <f>IFERROR(VLOOKUP($A37,subQ,MATCH(W$1,SUBQH,0),0),"")</f>
        <v/>
      </c>
      <c r="X37" s="39">
        <f>IFERROR(VLOOKUP($A37,subQ,MATCH(X$1,SUBQH,0),0),"")</f>
        <v/>
      </c>
      <c r="Y37" s="39">
        <f>IFERROR(VLOOKUP($A37,subQ,MATCH(Y$1,SUBQH,0),0),"")</f>
        <v/>
      </c>
      <c r="Z37" s="39">
        <f>IFERROR(VLOOKUP($A37,subQ,MATCH(Z$1,SUBQH,0),0),"")</f>
        <v/>
      </c>
      <c r="AA37" s="39">
        <f>IFERROR(VLOOKUP($A37,subQ,MATCH(AA$1,SUBQH,0),0),"")</f>
        <v/>
      </c>
      <c r="AB37" s="39">
        <f>IFERROR(VLOOKUP($A37,subQ,MATCH(AB$1,SUBQH,0),0),"")</f>
        <v/>
      </c>
      <c r="AC37" s="39">
        <f>IFERROR(VLOOKUP($A37,subQ,MATCH(AC$1,SUBQH,0),0),"")</f>
        <v/>
      </c>
      <c r="AD37" s="39">
        <f>IFERROR(VLOOKUP($A37,subQ,MATCH(AD$1,SUBQH,0),0),"")</f>
        <v/>
      </c>
      <c r="AE37" s="39">
        <f>IFERROR(VLOOKUP($A37,subQ,MATCH(AE$1,SUBQH,0),0),"")</f>
        <v/>
      </c>
      <c r="AF37" s="39">
        <f>IFERROR(VLOOKUP($A37,subQ,MATCH(AF$1,SUBQH,0),0),"")</f>
        <v/>
      </c>
      <c r="AG37" s="39">
        <f>IFERROR(VLOOKUP($A37,subQ,MATCH(AG$1,SUBQH,0),0),"")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13">
        <f>IFERROR(VLOOKUP($A38,subQ,MATCH(I$1,SUBQH,0),0),"")</f>
        <v/>
      </c>
      <c r="J38" s="13">
        <f>IFERROR(VLOOKUP($A38,subQ,MATCH(J$1,SUBQH,0),0),"")</f>
        <v/>
      </c>
      <c r="K38" s="13">
        <f>IFERROR(VLOOKUP($A38,subQ,MATCH(K$1,SUBQH,0),0),"")</f>
        <v/>
      </c>
      <c r="L38" s="13">
        <f>IFERROR(VLOOKUP($A38,subQ,MATCH(L$1,SUBQH,0),0),"")</f>
        <v/>
      </c>
      <c r="M38" s="13">
        <f>IFERROR(VLOOKUP($A38,subQ,MATCH(M$1,SUBQH,0),0),"")</f>
        <v/>
      </c>
      <c r="N38" s="13">
        <f>IFERROR(VLOOKUP($A38,subQ,MATCH(N$1,SUBQH,0),0),"")</f>
        <v/>
      </c>
      <c r="O38" s="13">
        <f>IFERROR(VLOOKUP($A38,subQ,MATCH(O$1,SUBQH,0),0),"")</f>
        <v/>
      </c>
      <c r="P38" s="13">
        <f>IFERROR(VLOOKUP($A38,subQ,MATCH(P$1,SUBQH,0),0),"")</f>
        <v/>
      </c>
      <c r="Q38" s="13">
        <f>IFERROR(VLOOKUP($A38,subQ,MATCH(Q$1,SUBQH,0),0),"")</f>
        <v/>
      </c>
      <c r="R38" s="13">
        <f>IFERROR(VLOOKUP($A38,subQ,MATCH(R$1,SUBQH,0),0),"")</f>
        <v/>
      </c>
      <c r="S38" s="13">
        <f>IFERROR(VLOOKUP($A38,subQ,MATCH(S$1,SUBQH,0),0),"")</f>
        <v/>
      </c>
      <c r="T38" s="13">
        <f>IFERROR(VLOOKUP($A38,subQ,MATCH(T$1,SUBQH,0),0),"")</f>
        <v/>
      </c>
      <c r="U38" s="13">
        <f>IFERROR(VLOOKUP($A38,subQ,MATCH(U$1,SUBQH,0),0),"")</f>
        <v/>
      </c>
      <c r="V38" s="13">
        <f>IFERROR(VLOOKUP($A38,subQ,MATCH(V$1,SUBQH,0),0),"")</f>
        <v/>
      </c>
      <c r="W38" s="48">
        <f>IFERROR(VLOOKUP($A38,subQ,MATCH(W$1,SUBQH,0),0),"")</f>
        <v/>
      </c>
      <c r="X38" s="39">
        <f>IFERROR(VLOOKUP($A38,subQ,MATCH(X$1,SUBQH,0),0),"")</f>
        <v/>
      </c>
      <c r="Y38" s="39">
        <f>IFERROR(VLOOKUP($A38,subQ,MATCH(Y$1,SUBQH,0),0),"")</f>
        <v/>
      </c>
      <c r="Z38" s="39">
        <f>IFERROR(VLOOKUP($A38,subQ,MATCH(Z$1,SUBQH,0),0),"")</f>
        <v/>
      </c>
      <c r="AA38" s="39">
        <f>IFERROR(VLOOKUP($A38,subQ,MATCH(AA$1,SUBQH,0),0),"")</f>
        <v/>
      </c>
      <c r="AB38" s="39">
        <f>IFERROR(VLOOKUP($A38,subQ,MATCH(AB$1,SUBQH,0),0),"")</f>
        <v/>
      </c>
      <c r="AC38" s="39">
        <f>IFERROR(VLOOKUP($A38,subQ,MATCH(AC$1,SUBQH,0),0),"")</f>
        <v/>
      </c>
      <c r="AD38" s="39">
        <f>IFERROR(VLOOKUP($A38,subQ,MATCH(AD$1,SUBQH,0),0),"")</f>
        <v/>
      </c>
      <c r="AE38" s="39">
        <f>IFERROR(VLOOKUP($A38,subQ,MATCH(AE$1,SUBQH,0),0),"")</f>
        <v/>
      </c>
      <c r="AF38" s="39">
        <f>IFERROR(VLOOKUP($A38,subQ,MATCH(AF$1,SUBQH,0),0),"")</f>
        <v/>
      </c>
      <c r="AG38" s="39">
        <f>IFERROR(VLOOKUP($A38,subQ,MATCH(AG$1,SUBQH,0),0),"")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18">
        <f>IFERROR(VLOOKUP($A39,subQ,MATCH(I$1,SUBQH,0),0),"")</f>
        <v/>
      </c>
      <c r="J39" s="18">
        <f>IFERROR(VLOOKUP($A39,subQ,MATCH(J$1,SUBQH,0),0),"")</f>
        <v/>
      </c>
      <c r="K39" s="18">
        <f>IFERROR(VLOOKUP($A39,subQ,MATCH(K$1,SUBQH,0),0),"")</f>
        <v/>
      </c>
      <c r="L39" s="18">
        <f>IFERROR(VLOOKUP($A39,subQ,MATCH(L$1,SUBQH,0),0),"")</f>
        <v/>
      </c>
      <c r="M39" s="18">
        <f>IFERROR(VLOOKUP($A39,subQ,MATCH(M$1,SUBQH,0),0),"")</f>
        <v/>
      </c>
      <c r="N39" s="18">
        <f>IFERROR(VLOOKUP($A39,subQ,MATCH(N$1,SUBQH,0),0),"")</f>
        <v/>
      </c>
      <c r="O39" s="18">
        <f>IFERROR(VLOOKUP($A39,subQ,MATCH(O$1,SUBQH,0),0),"")</f>
        <v/>
      </c>
      <c r="P39" s="18">
        <f>IFERROR(VLOOKUP($A39,subQ,MATCH(P$1,SUBQH,0),0),"")</f>
        <v/>
      </c>
      <c r="Q39" s="18">
        <f>IFERROR(VLOOKUP($A39,subQ,MATCH(Q$1,SUBQH,0),0),"")</f>
        <v/>
      </c>
      <c r="R39" s="18">
        <f>IFERROR(VLOOKUP($A39,subQ,MATCH(R$1,SUBQH,0),0),"")</f>
        <v/>
      </c>
      <c r="S39" s="18">
        <f>IFERROR(VLOOKUP($A39,subQ,MATCH(S$1,SUBQH,0),0),"")</f>
        <v/>
      </c>
      <c r="T39" s="18">
        <f>IFERROR(VLOOKUP($A39,subQ,MATCH(T$1,SUBQH,0),0),"")</f>
        <v/>
      </c>
      <c r="U39" s="18">
        <f>IFERROR(VLOOKUP($A39,subQ,MATCH(U$1,SUBQH,0),0),"")</f>
        <v/>
      </c>
      <c r="V39" s="18">
        <f>IFERROR(VLOOKUP($A39,subQ,MATCH(V$1,SUBQH,0),0),"")</f>
        <v/>
      </c>
      <c r="W39" s="45">
        <f>IFERROR(VLOOKUP($A39,subQ,MATCH(W$1,SUBQH,0),0),"")</f>
        <v/>
      </c>
      <c r="X39" s="20">
        <f>IFERROR(VLOOKUP($A39,subQ,MATCH(X$1,SUBQH,0),0),"")</f>
        <v/>
      </c>
      <c r="Y39" s="20">
        <f>IFERROR(VLOOKUP($A39,subQ,MATCH(Y$1,SUBQH,0),0),"")</f>
        <v/>
      </c>
      <c r="Z39" s="20">
        <f>IFERROR(VLOOKUP($A39,subQ,MATCH(Z$1,SUBQH,0),0),"")</f>
        <v/>
      </c>
      <c r="AA39" s="20">
        <f>IFERROR(VLOOKUP($A39,subQ,MATCH(AA$1,SUBQH,0),0),"")</f>
        <v/>
      </c>
      <c r="AB39" s="20">
        <f>IFERROR(VLOOKUP($A39,subQ,MATCH(AB$1,SUBQH,0),0),"")</f>
        <v/>
      </c>
      <c r="AC39" s="20">
        <f>IFERROR(VLOOKUP($A39,subQ,MATCH(AC$1,SUBQH,0),0),"")</f>
        <v/>
      </c>
      <c r="AD39" s="20">
        <f>IFERROR(VLOOKUP($A39,subQ,MATCH(AD$1,SUBQH,0),0),"")</f>
        <v/>
      </c>
      <c r="AE39" s="20">
        <f>IFERROR(VLOOKUP($A39,subQ,MATCH(AE$1,SUBQH,0),0),"")</f>
        <v/>
      </c>
      <c r="AF39" s="20">
        <f>IFERROR(VLOOKUP($A39,subQ,MATCH(AF$1,SUBQH,0),0),"")</f>
        <v/>
      </c>
      <c r="AG39" s="20">
        <f>IFERROR(VLOOKUP($A39,subQ,MATCH(AG$1,SUBQH,0),0),"")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18">
        <f>IFERROR(VLOOKUP($A40,subQ,MATCH(O$1,SUBQH,0),0),"")</f>
        <v/>
      </c>
      <c r="P40" s="18">
        <f>IFERROR(VLOOKUP($A40,subQ,MATCH(P$1,SUBQH,0),0),"")</f>
        <v/>
      </c>
      <c r="Q40" s="18">
        <f>IFERROR(VLOOKUP($A40,subQ,MATCH(Q$1,SUBQH,0),0),"")</f>
        <v/>
      </c>
      <c r="R40" s="18">
        <f>IFERROR(VLOOKUP($A40,subQ,MATCH(R$1,SUBQH,0),0),"")</f>
        <v/>
      </c>
      <c r="S40" s="18">
        <f>IFERROR(VLOOKUP($A40,subQ,MATCH(S$1,SUBQH,0),0),"")</f>
        <v/>
      </c>
      <c r="T40" s="18">
        <f>IFERROR(VLOOKUP($A40,subQ,MATCH(T$1,SUBQH,0),0),"")</f>
        <v/>
      </c>
      <c r="U40" s="18">
        <f>IFERROR(VLOOKUP($A40,subQ,MATCH(U$1,SUBQH,0),0),"")</f>
        <v/>
      </c>
      <c r="V40" s="18">
        <f>IFERROR(VLOOKUP($A40,subQ,MATCH(V$1,SUBQH,0),0),"")</f>
        <v/>
      </c>
      <c r="W40" s="45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  <c r="Z40" s="20">
        <f>IFERROR(VLOOKUP($A40,subQ,MATCH(Z$1,SUBQH,0),0),"")</f>
        <v/>
      </c>
      <c r="AA40" s="20">
        <f>IFERROR(VLOOKUP($A40,subQ,MATCH(AA$1,SUBQH,0),0),"")</f>
        <v/>
      </c>
      <c r="AB40" s="20">
        <f>IFERROR(VLOOKUP($A40,subQ,MATCH(AB$1,SUBQH,0),0),"")</f>
        <v/>
      </c>
      <c r="AC40" s="20">
        <f>IFERROR(VLOOKUP($A40,subQ,MATCH(AC$1,SUBQH,0),0),"")</f>
        <v/>
      </c>
      <c r="AD40" s="20">
        <f>IFERROR(VLOOKUP($A40,subQ,MATCH(AD$1,SUBQH,0),0),"")</f>
        <v/>
      </c>
      <c r="AE40" s="20">
        <f>IFERROR(VLOOKUP($A40,subQ,MATCH(AE$1,SUBQH,0),0),"")</f>
        <v/>
      </c>
      <c r="AF40" s="20">
        <f>IFERROR(VLOOKUP($A40,subQ,MATCH(AF$1,SUBQH,0),0),"")</f>
        <v/>
      </c>
      <c r="AG40" s="20">
        <f>IFERROR(VLOOKUP($A40,subQ,MATCH(AG$1,SUBQH,0),0),"")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21">
        <f>IFERROR(VLOOKUP($A41,subQ,MATCH(I$1,SUBQH,0),0),"")</f>
        <v/>
      </c>
      <c r="J41" s="21">
        <f>IFERROR(VLOOKUP($A41,subQ,MATCH(J$1,SUBQH,0),0),"")</f>
        <v/>
      </c>
      <c r="K41" s="21">
        <f>IFERROR(VLOOKUP($A41,subQ,MATCH(K$1,SUBQH,0),0),"")</f>
        <v/>
      </c>
      <c r="L41" s="21">
        <f>IFERROR(VLOOKUP($A41,subQ,MATCH(L$1,SUBQH,0),0),"")</f>
        <v/>
      </c>
      <c r="M41" s="21">
        <f>IFERROR(VLOOKUP($A41,subQ,MATCH(M$1,SUBQH,0),0),"")</f>
        <v/>
      </c>
      <c r="N41" s="21">
        <f>IFERROR(VLOOKUP($A41,subQ,MATCH(N$1,SUBQH,0),0),"")</f>
        <v/>
      </c>
      <c r="O41" s="21">
        <f>IFERROR(VLOOKUP($A41,subQ,MATCH(O$1,SUBQH,0),0),"")</f>
        <v/>
      </c>
      <c r="P41" s="21">
        <f>IFERROR(VLOOKUP($A41,subQ,MATCH(P$1,SUBQH,0),0),"")</f>
        <v/>
      </c>
      <c r="Q41" s="21">
        <f>IFERROR(VLOOKUP($A41,subQ,MATCH(Q$1,SUBQH,0),0),"")</f>
        <v/>
      </c>
      <c r="R41" s="21">
        <f>IFERROR(VLOOKUP($A41,subQ,MATCH(R$1,SUBQH,0),0),"")</f>
        <v/>
      </c>
      <c r="S41" s="21">
        <f>IFERROR(VLOOKUP($A41,subQ,MATCH(S$1,SUBQH,0),0),"")</f>
        <v/>
      </c>
      <c r="T41" s="21">
        <f>IFERROR(VLOOKUP($A41,subQ,MATCH(T$1,SUBQH,0),0),"")</f>
        <v/>
      </c>
      <c r="U41" s="21">
        <f>IFERROR(VLOOKUP($A41,subQ,MATCH(U$1,SUBQH,0),0),"")</f>
        <v/>
      </c>
      <c r="V41" s="21">
        <f>IFERROR(VLOOKUP($A41,subQ,MATCH(V$1,SUBQH,0),0),"")</f>
        <v/>
      </c>
      <c r="W41" s="46">
        <f>IFERROR(VLOOKUP($A41,subQ,MATCH(W$1,SUBQH,0),0),"")</f>
        <v/>
      </c>
      <c r="X41" s="33">
        <f>IFERROR(VLOOKUP($A41,subQ,MATCH(X$1,SUBQH,0),0),"")</f>
        <v/>
      </c>
      <c r="Y41" s="33">
        <f>IFERROR(VLOOKUP($A41,subQ,MATCH(Y$1,SUBQH,0),0),"")</f>
        <v/>
      </c>
      <c r="Z41" s="33">
        <f>IFERROR(VLOOKUP($A41,subQ,MATCH(Z$1,SUBQH,0),0),"")</f>
        <v/>
      </c>
      <c r="AA41" s="33">
        <f>IFERROR(VLOOKUP($A41,subQ,MATCH(AA$1,SUBQH,0),0),"")</f>
        <v/>
      </c>
      <c r="AB41" s="33">
        <f>IFERROR(VLOOKUP($A41,subQ,MATCH(AB$1,SUBQH,0),0),"")</f>
        <v/>
      </c>
      <c r="AC41" s="33">
        <f>IFERROR(VLOOKUP($A41,subQ,MATCH(AC$1,SUBQH,0),0),"")</f>
        <v/>
      </c>
      <c r="AD41" s="33">
        <f>IFERROR(VLOOKUP($A41,subQ,MATCH(AD$1,SUBQH,0),0),"")</f>
        <v/>
      </c>
      <c r="AE41" s="33">
        <f>IFERROR(VLOOKUP($A41,subQ,MATCH(AE$1,SUBQH,0),0),"")</f>
        <v/>
      </c>
      <c r="AF41" s="33">
        <f>IFERROR(VLOOKUP($A41,subQ,MATCH(AF$1,SUBQH,0),0),"")</f>
        <v/>
      </c>
      <c r="AG41" s="33">
        <f>IFERROR(VLOOKUP($A41,subQ,MATCH(AG$1,SUBQH,0),0),"")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I42" s="21">
        <f>IFERROR(I5/E5-1,"")</f>
        <v/>
      </c>
      <c r="J42" s="21">
        <f>IFERROR(J5/F5-1,"")</f>
        <v/>
      </c>
      <c r="K42" s="21">
        <f>IFERROR(K5/G5-1,"")</f>
        <v/>
      </c>
      <c r="L42" s="21">
        <f>IFERROR(L5/H5-1,"")</f>
        <v/>
      </c>
      <c r="M42" s="21">
        <f>IFERROR(M5/I5-1,"")</f>
        <v/>
      </c>
      <c r="N42" s="21">
        <f>IFERROR(N5/J5-1,"")</f>
        <v/>
      </c>
      <c r="O42" s="21">
        <f>IFERROR(O5/K5-1,"")</f>
        <v/>
      </c>
      <c r="P42" s="21">
        <f>IFERROR(P5/L5-1,"")</f>
        <v/>
      </c>
      <c r="Q42" s="21">
        <f>IFERROR(Q5/M5-1,"")</f>
        <v/>
      </c>
      <c r="R42" s="21">
        <f>IFERROR(R5/N5-1,"")</f>
        <v/>
      </c>
      <c r="S42" s="21">
        <f>IFERROR(S5/O5-1,"")</f>
        <v/>
      </c>
      <c r="T42" s="21">
        <f>IFERROR(T5/P5-1,"")</f>
        <v/>
      </c>
      <c r="U42" s="21">
        <f>IFERROR(U5/Q5-1,"")</f>
        <v/>
      </c>
      <c r="V42" s="21">
        <f>IFERROR(V5/R5-1,"")</f>
        <v/>
      </c>
      <c r="W42" s="46">
        <f>IFERROR(W5/S5-1,"")</f>
        <v/>
      </c>
      <c r="X42" s="33">
        <f>IFERROR(X5/T5-1,"")</f>
        <v/>
      </c>
      <c r="Y42" s="33">
        <f>IFERROR(Y5/U5-1,"")</f>
        <v/>
      </c>
      <c r="Z42" s="33">
        <f>IFERROR(Z5/V5-1,"")</f>
        <v/>
      </c>
      <c r="AA42" s="33">
        <f>IFERROR(AA5/W5-1,"")</f>
        <v/>
      </c>
      <c r="AB42" s="33">
        <f>IFERROR(AB5/X5-1,"")</f>
        <v/>
      </c>
      <c r="AC42" s="33">
        <f>IFERROR(AC5/Y5-1,"")</f>
        <v/>
      </c>
      <c r="AD42" s="33">
        <f>IFERROR(AD5/Z5-1,"")</f>
        <v/>
      </c>
      <c r="AE42" s="33">
        <f>IFERROR(AE5/AA5-1,"")</f>
        <v/>
      </c>
      <c r="AF42" s="33">
        <f>IFERROR(AF5/AB5-1,"")</f>
        <v/>
      </c>
      <c r="AG42" s="33">
        <f>IFERROR(AG5/AC5-1,"")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I43" s="21">
        <f>IFERROR(I9/E9-1,"")</f>
        <v/>
      </c>
      <c r="J43" s="21">
        <f>IFERROR(J9/F9-1,"")</f>
        <v/>
      </c>
      <c r="K43" s="21">
        <f>IFERROR(K9/G9-1,"")</f>
        <v/>
      </c>
      <c r="L43" s="21">
        <f>IFERROR(L9/H9-1,"")</f>
        <v/>
      </c>
      <c r="M43" s="21">
        <f>IFERROR(M9/I9-1,"")</f>
        <v/>
      </c>
      <c r="N43" s="21">
        <f>IFERROR(N9/J9-1,"")</f>
        <v/>
      </c>
      <c r="O43" s="21">
        <f>IFERROR(O9/K9-1,"")</f>
        <v/>
      </c>
      <c r="P43" s="21">
        <f>IFERROR(P9/L9-1,"")</f>
        <v/>
      </c>
      <c r="Q43" s="21">
        <f>IFERROR(Q9/M9-1,"")</f>
        <v/>
      </c>
      <c r="R43" s="21">
        <f>IFERROR(R9/N9-1,"")</f>
        <v/>
      </c>
      <c r="S43" s="21">
        <f>IFERROR(S9/O9-1,"")</f>
        <v/>
      </c>
      <c r="T43" s="21">
        <f>IFERROR(T9/P9-1,"")</f>
        <v/>
      </c>
      <c r="U43" s="21">
        <f>IFERROR(U9/Q9-1,"")</f>
        <v/>
      </c>
      <c r="V43" s="21">
        <f>IFERROR(V9/R9-1,"")</f>
        <v/>
      </c>
      <c r="W43" s="46">
        <f>IFERROR(W9/S9-1,"")</f>
        <v/>
      </c>
      <c r="X43" s="33">
        <f>IFERROR(X9/T9-1,"")</f>
        <v/>
      </c>
      <c r="Y43" s="33">
        <f>IFERROR(Y9/U9-1,"")</f>
        <v/>
      </c>
      <c r="Z43" s="33">
        <f>IFERROR(Z9/V9-1,"")</f>
        <v/>
      </c>
      <c r="AA43" s="33">
        <f>IFERROR(AA9/W9-1,"")</f>
        <v/>
      </c>
      <c r="AB43" s="33">
        <f>IFERROR(AB9/X9-1,"")</f>
        <v/>
      </c>
      <c r="AC43" s="33">
        <f>IFERROR(AC9/Y9-1,"")</f>
        <v/>
      </c>
      <c r="AD43" s="33">
        <f>IFERROR(AD9/Z9-1,"")</f>
        <v/>
      </c>
      <c r="AE43" s="33">
        <f>IFERROR(AE9/AA9-1,"")</f>
        <v/>
      </c>
      <c r="AF43" s="33">
        <f>IFERROR(AF9/AB9-1,"")</f>
        <v/>
      </c>
      <c r="AG43" s="33">
        <f>IFERROR(AG9/AC9-1,"")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I44" s="21">
        <f>IFERROR(I21/E21-1,"")</f>
        <v/>
      </c>
      <c r="J44" s="21">
        <f>IFERROR(J21/F21-1,"")</f>
        <v/>
      </c>
      <c r="K44" s="21">
        <f>IFERROR(K21/G21-1,"")</f>
        <v/>
      </c>
      <c r="L44" s="21">
        <f>IFERROR(L21/H21-1,"")</f>
        <v/>
      </c>
      <c r="M44" s="21">
        <f>IFERROR(M21/I21-1,"")</f>
        <v/>
      </c>
      <c r="N44" s="21">
        <f>IFERROR(N21/J21-1,"")</f>
        <v/>
      </c>
      <c r="O44" s="21">
        <f>IFERROR(O21/K21-1,"")</f>
        <v/>
      </c>
      <c r="P44" s="21">
        <f>IFERROR(P21/L21-1,"")</f>
        <v/>
      </c>
      <c r="Q44" s="21">
        <f>IFERROR(Q21/M21-1,"")</f>
        <v/>
      </c>
      <c r="R44" s="21">
        <f>IFERROR(R21/N21-1,"")</f>
        <v/>
      </c>
      <c r="S44" s="21">
        <f>IFERROR(S21/O21-1,"")</f>
        <v/>
      </c>
      <c r="T44" s="21">
        <f>IFERROR(T21/P21-1,"")</f>
        <v/>
      </c>
      <c r="U44" s="21">
        <f>IFERROR(U21/Q21-1,"")</f>
        <v/>
      </c>
      <c r="V44" s="21">
        <f>IFERROR(V21/R21-1,"")</f>
        <v/>
      </c>
      <c r="W44" s="46">
        <f>IFERROR(W21/S21-1,"")</f>
        <v/>
      </c>
      <c r="X44" s="33">
        <f>IFERROR(X21/T21-1,"")</f>
        <v/>
      </c>
      <c r="Y44" s="33">
        <f>IFERROR(Y21/U21-1,"")</f>
        <v/>
      </c>
      <c r="Z44" s="33">
        <f>IFERROR(Z21/V21-1,"")</f>
        <v/>
      </c>
      <c r="AA44" s="33">
        <f>IFERROR(AA21/W21-1,"")</f>
        <v/>
      </c>
      <c r="AB44" s="33">
        <f>IFERROR(AB21/X21-1,"")</f>
        <v/>
      </c>
      <c r="AC44" s="33">
        <f>IFERROR(AC21/Y21-1,"")</f>
        <v/>
      </c>
      <c r="AD44" s="33">
        <f>IFERROR(AD21/Z21-1,"")</f>
        <v/>
      </c>
      <c r="AE44" s="33">
        <f>IFERROR(AE21/AA21-1,"")</f>
        <v/>
      </c>
      <c r="AF44" s="33">
        <f>IFERROR(AF21/AB21-1,"")</f>
        <v/>
      </c>
      <c r="AG44" s="33">
        <f>IFERROR(AG21/AC21-1,"")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변수!D45</f>
        <v/>
      </c>
      <c r="I2" s="42" t="n"/>
    </row>
    <row r="3">
      <c r="C3" t="inlineStr">
        <is>
          <t>기준일:</t>
        </is>
      </c>
      <c r="D3" t="inlineStr">
        <is>
          <t>20261008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3">
        <f>IFERROR(VLOOKUP($A10,subQ,MATCH(J$1,SUBQH,0),0),"")</f>
        <v/>
      </c>
      <c r="K10" s="33">
        <f>IFERROR(VLOOKUP($A10,subQ,MATCH(K$1,SUBQH,0),0),"")</f>
        <v/>
      </c>
      <c r="L10" s="33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외환손익</t>
        </is>
      </c>
      <c r="D13" t="inlineStr">
        <is>
          <t>외환손익(실적만; 추정 환효과는 환관련손익)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파생상품손익</t>
        </is>
      </c>
      <c r="D14" t="inlineStr">
        <is>
          <t>파생상품손익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기타금융손익</t>
        </is>
      </c>
      <c r="D15" t="inlineStr">
        <is>
          <t>기타금융손익(금융손익 잔차)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기타영업외손익</t>
        </is>
      </c>
      <c r="D16" t="inlineStr">
        <is>
          <t>기타영업외손익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지분법손익</t>
        </is>
      </c>
      <c r="D17" t="inlineStr">
        <is>
          <t>지분법손익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세전이익</t>
        </is>
      </c>
      <c r="D18" t="inlineStr">
        <is>
          <t>법인세비용차감전이익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법인세비용</t>
        </is>
      </c>
      <c r="D19" t="inlineStr">
        <is>
          <t>법인세비용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당기순이익</t>
        </is>
      </c>
      <c r="D20" t="inlineStr">
        <is>
          <t>당기순이익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지배주주순이익</t>
        </is>
      </c>
      <c r="D21" t="inlineStr">
        <is>
          <t>지배주주순이익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중단사업이익</t>
        </is>
      </c>
      <c r="D22" t="inlineStr">
        <is>
          <t>중단사업이익(실적만)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자산총계</t>
        </is>
      </c>
      <c r="D23" t="inlineStr">
        <is>
          <t>자산총계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부채총계</t>
        </is>
      </c>
      <c r="D24" t="inlineStr">
        <is>
          <t>부채총계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자본총계</t>
        </is>
      </c>
      <c r="D25" t="inlineStr">
        <is>
          <t>자본총계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지배주주지분</t>
        </is>
      </c>
      <c r="D26" t="inlineStr">
        <is>
          <t>지배주주지분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총차입금</t>
        </is>
      </c>
      <c r="D27" t="inlineStr">
        <is>
          <t>총차입금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순차입금</t>
        </is>
      </c>
      <c r="D28" t="inlineStr">
        <is>
          <t>순차입금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이자발생자산</t>
        </is>
      </c>
      <c r="D29" t="inlineStr">
        <is>
          <t>이자발생자산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현금및현금성자산</t>
        </is>
      </c>
      <c r="D30" t="inlineStr">
        <is>
          <t>현금및현금성자산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CAPEX</t>
        </is>
      </c>
      <c r="D31" t="inlineStr">
        <is>
          <t>CAPEX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영업활동현금흐름</t>
        </is>
      </c>
      <c r="D32" t="inlineStr">
        <is>
          <t>영업활동현금흐름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주식수</t>
        </is>
      </c>
      <c r="D33" t="inlineStr">
        <is>
          <t>유통주식수</t>
        </is>
      </c>
      <c r="E33" s="27">
        <f>IFERROR(VLOOKUP($A33,subQ,MATCH(E$1,SUBQH,0),0),"")</f>
        <v/>
      </c>
      <c r="F33" s="27">
        <f>IFERROR(VLOOKUP($A33,subQ,MATCH(F$1,SUBQH,0),0),"")</f>
        <v/>
      </c>
      <c r="G33" s="27">
        <f>IFERROR(VLOOKUP($A33,subQ,MATCH(G$1,SUBQH,0),0),"")</f>
        <v/>
      </c>
      <c r="H33" s="27">
        <f>IFERROR(VLOOKUP($A33,subQ,MATCH(H$1,SUBQH,0),0),"")</f>
        <v/>
      </c>
      <c r="I33" s="47">
        <f>IFERROR(VLOOKUP($A33,subQ,MATCH(I$1,SUBQH,0),0),"")</f>
        <v/>
      </c>
      <c r="J33" s="32">
        <f>IFERROR(VLOOKUP($A33,subQ,MATCH(J$1,SUBQH,0),0),"")</f>
        <v/>
      </c>
      <c r="K33" s="32">
        <f>IFERROR(VLOOKUP($A33,subQ,MATCH(K$1,SUBQH,0),0),"")</f>
        <v/>
      </c>
      <c r="L33" s="32">
        <f>IFERROR(VLOOKUP($A33,subQ,MATCH(L$1,SUBQH,0),0),"")</f>
        <v/>
      </c>
    </row>
    <row r="34">
      <c r="A34" s="12" t="inlineStr">
        <is>
          <t>EPS</t>
        </is>
      </c>
      <c r="D34" t="inlineStr">
        <is>
          <t>EPS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BPS</t>
        </is>
      </c>
      <c r="D35" t="inlineStr">
        <is>
          <t>BPS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DPS</t>
        </is>
      </c>
      <c r="D36" t="inlineStr">
        <is>
          <t>DPS(보통주)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PER</t>
        </is>
      </c>
      <c r="D37" t="inlineStr">
        <is>
          <t>PER</t>
        </is>
      </c>
      <c r="E37" s="13">
        <f>IFERROR(VLOOKUP($A37,subQ,MATCH(E$1,SUBQH,0),0),"")</f>
        <v/>
      </c>
      <c r="F37" s="13">
        <f>IFERROR(VLOOKUP($A37,subQ,MATCH(F$1,SUBQH,0),0),"")</f>
        <v/>
      </c>
      <c r="G37" s="13">
        <f>IFERROR(VLOOKUP($A37,subQ,MATCH(G$1,SUBQH,0),0),"")</f>
        <v/>
      </c>
      <c r="H37" s="13">
        <f>IFERROR(VLOOKUP($A37,subQ,MATCH(H$1,SUBQH,0),0),"")</f>
        <v/>
      </c>
      <c r="I37" s="48">
        <f>IFERROR(VLOOKUP($A37,subQ,MATCH(I$1,SUBQH,0),0),"")</f>
        <v/>
      </c>
      <c r="J37" s="39">
        <f>IFERROR(VLOOKUP($A37,subQ,MATCH(J$1,SUBQH,0),0),"")</f>
        <v/>
      </c>
      <c r="K37" s="39">
        <f>IFERROR(VLOOKUP($A37,subQ,MATCH(K$1,SUBQH,0),0),"")</f>
        <v/>
      </c>
      <c r="L37" s="39">
        <f>IFERROR(VLOOKUP($A37,subQ,MATCH(L$1,SUBQH,0),0),"")</f>
        <v/>
      </c>
    </row>
    <row r="38">
      <c r="A38" s="12" t="inlineStr">
        <is>
          <t>PBR</t>
        </is>
      </c>
      <c r="D38" t="inlineStr">
        <is>
          <t>PBR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48">
        <f>IFERROR(VLOOKUP($A38,subQ,MATCH(I$1,SUBQH,0),0),"")</f>
        <v/>
      </c>
      <c r="J38" s="39">
        <f>IFERROR(VLOOKUP($A38,subQ,MATCH(J$1,SUBQH,0),0),"")</f>
        <v/>
      </c>
      <c r="K38" s="39">
        <f>IFERROR(VLOOKUP($A38,subQ,MATCH(K$1,SUBQH,0),0),"")</f>
        <v/>
      </c>
      <c r="L38" s="39">
        <f>IFERROR(VLOOKUP($A38,subQ,MATCH(L$1,SUBQH,0),0),"")</f>
        <v/>
      </c>
    </row>
    <row r="39">
      <c r="A39" s="12" t="inlineStr">
        <is>
          <t>매출전사</t>
        </is>
      </c>
      <c r="D39" t="inlineStr">
        <is>
          <t>매출 전사(부문 미분리)</t>
        </is>
      </c>
      <c r="E39" s="18">
        <f>IFERROR(VLOOKUP($A39,subQ,MATCH(E$1,SUBQH,0),0),"")</f>
        <v/>
      </c>
      <c r="F39" s="18">
        <f>IFERROR(VLOOKUP($A39,subQ,MATCH(F$1,SUBQH,0),0),"")</f>
        <v/>
      </c>
      <c r="G39" s="18">
        <f>IFERROR(VLOOKUP($A39,subQ,MATCH(G$1,SUBQH,0),0),"")</f>
        <v/>
      </c>
      <c r="H39" s="18">
        <f>IFERROR(VLOOKUP($A39,subQ,MATCH(H$1,SUBQH,0),0),"")</f>
        <v/>
      </c>
      <c r="I39" s="45">
        <f>IFERROR(VLOOKUP($A39,subQ,MATCH(I$1,SUBQH,0),0),"")</f>
        <v/>
      </c>
      <c r="J39" s="20">
        <f>IFERROR(VLOOKUP($A39,subQ,MATCH(J$1,SUBQH,0),0),"")</f>
        <v/>
      </c>
      <c r="K39" s="20">
        <f>IFERROR(VLOOKUP($A39,subQ,MATCH(K$1,SUBQH,0),0),"")</f>
        <v/>
      </c>
      <c r="L39" s="20">
        <f>IFERROR(VLOOKUP($A39,subQ,MATCH(L$1,SUBQH,0),0),"")</f>
        <v/>
      </c>
    </row>
    <row r="40">
      <c r="A40" s="12" t="inlineStr">
        <is>
          <t>OP전사</t>
        </is>
      </c>
      <c r="D40" t="inlineStr">
        <is>
          <t>OP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5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</row>
    <row r="41">
      <c r="A41" s="12" t="inlineStr">
        <is>
          <t>NPM</t>
        </is>
      </c>
      <c r="D41" t="inlineStr">
        <is>
          <t>NPM</t>
        </is>
      </c>
      <c r="E41" s="21">
        <f>IFERROR(VLOOKUP($A41,subQ,MATCH(E$1,SUBQH,0),0),"")</f>
        <v/>
      </c>
      <c r="F41" s="21">
        <f>IFERROR(VLOOKUP($A41,subQ,MATCH(F$1,SUBQH,0),0),"")</f>
        <v/>
      </c>
      <c r="G41" s="21">
        <f>IFERROR(VLOOKUP($A41,subQ,MATCH(G$1,SUBQH,0),0),"")</f>
        <v/>
      </c>
      <c r="H41" s="21">
        <f>IFERROR(VLOOKUP($A41,subQ,MATCH(H$1,SUBQH,0),0),"")</f>
        <v/>
      </c>
      <c r="I41" s="46">
        <f>IFERROR(VLOOKUP($A41,subQ,MATCH(I$1,SUBQH,0),0),"")</f>
        <v/>
      </c>
      <c r="J41" s="33">
        <f>IFERROR(VLOOKUP($A41,subQ,MATCH(J$1,SUBQH,0),0),"")</f>
        <v/>
      </c>
      <c r="K41" s="33">
        <f>IFERROR(VLOOKUP($A41,subQ,MATCH(K$1,SUBQH,0),0),"")</f>
        <v/>
      </c>
      <c r="L41" s="33">
        <f>IFERROR(VLOOKUP($A41,subQ,MATCH(L$1,SUBQH,0),0),"")</f>
        <v/>
      </c>
    </row>
    <row r="42">
      <c r="A42" s="12" t="inlineStr">
        <is>
          <t>매출액 YoY</t>
        </is>
      </c>
      <c r="D42" t="inlineStr">
        <is>
          <t>매출액 YoY</t>
        </is>
      </c>
      <c r="F42" s="21">
        <f>IFERROR(F5/E5-1,"")</f>
        <v/>
      </c>
      <c r="G42" s="21">
        <f>IFERROR(G5/F5-1,"")</f>
        <v/>
      </c>
      <c r="H42" s="21">
        <f>IFERROR(H5/G5-1,"")</f>
        <v/>
      </c>
      <c r="I42" s="46">
        <f>IFERROR(I5/H5-1,"")</f>
        <v/>
      </c>
      <c r="J42" s="33">
        <f>IFERROR(J5/I5-1,"")</f>
        <v/>
      </c>
      <c r="K42" s="33">
        <f>IFERROR(K5/J5-1,"")</f>
        <v/>
      </c>
      <c r="L42" s="33">
        <f>IFERROR(L5/K5-1,"")</f>
        <v/>
      </c>
    </row>
    <row r="43">
      <c r="A43" s="12" t="inlineStr">
        <is>
          <t>영업이익 YoY</t>
        </is>
      </c>
      <c r="D43" t="inlineStr">
        <is>
          <t>영업이익 YoY</t>
        </is>
      </c>
      <c r="F43" s="21">
        <f>IFERROR(F9/E9-1,"")</f>
        <v/>
      </c>
      <c r="G43" s="21">
        <f>IFERROR(G9/F9-1,"")</f>
        <v/>
      </c>
      <c r="H43" s="21">
        <f>IFERROR(H9/G9-1,"")</f>
        <v/>
      </c>
      <c r="I43" s="46">
        <f>IFERROR(I9/H9-1,"")</f>
        <v/>
      </c>
      <c r="J43" s="33">
        <f>IFERROR(J9/I9-1,"")</f>
        <v/>
      </c>
      <c r="K43" s="33">
        <f>IFERROR(K9/J9-1,"")</f>
        <v/>
      </c>
      <c r="L43" s="33">
        <f>IFERROR(L9/K9-1,"")</f>
        <v/>
      </c>
    </row>
    <row r="44">
      <c r="A44" s="12" t="inlineStr">
        <is>
          <t>지배주주순이익 YoY</t>
        </is>
      </c>
      <c r="D44" t="inlineStr">
        <is>
          <t>지배주주순이익 YoY</t>
        </is>
      </c>
      <c r="F44" s="21">
        <f>IFERROR(F21/E21-1,"")</f>
        <v/>
      </c>
      <c r="G44" s="21">
        <f>IFERROR(G21/F21-1,"")</f>
        <v/>
      </c>
      <c r="H44" s="21">
        <f>IFERROR(H21/G21-1,"")</f>
        <v/>
      </c>
      <c r="I44" s="46">
        <f>IFERROR(I21/H21-1,"")</f>
        <v/>
      </c>
      <c r="J44" s="33">
        <f>IFERROR(J21/I21-1,"")</f>
        <v/>
      </c>
      <c r="K44" s="33">
        <f>IFERROR(K21/J21-1,"")</f>
        <v/>
      </c>
      <c r="L44" s="33">
        <f>IFERROR(L21/K21-1,"")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변수!D45</f>
        <v/>
      </c>
    </row>
    <row r="2">
      <c r="B2" s="1" t="inlineStr">
        <is>
          <t>기준일</t>
        </is>
      </c>
      <c r="C2">
        <f>변수!D46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IFERROR(E7*변수!D51+F7*(1-변수!D51),"")</f>
        <v/>
      </c>
    </row>
    <row r="15">
      <c r="C15" t="inlineStr">
        <is>
          <t>적정가치 @PER_lo</t>
        </is>
      </c>
      <c r="D15" s="27">
        <f>변수!D48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변수!D49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변수!D50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변수!D47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2372.7</v>
      </c>
    </row>
    <row r="30">
      <c r="C30" s="2" t="inlineStr">
        <is>
          <t>bps_latest</t>
        </is>
      </c>
      <c r="D30" t="n">
        <v>13032.2</v>
      </c>
    </row>
    <row r="31">
      <c r="C31" s="2" t="inlineStr">
        <is>
          <t>per_now</t>
        </is>
      </c>
      <c r="D31" t="n">
        <v>8.119999999999999</v>
      </c>
    </row>
    <row r="32">
      <c r="C32" s="2" t="inlineStr">
        <is>
          <t>pbr_now</t>
        </is>
      </c>
      <c r="D32" t="n">
        <v>1.48</v>
      </c>
    </row>
    <row r="33">
      <c r="C33" s="2" t="inlineStr">
        <is>
          <t>roe_fwd</t>
        </is>
      </c>
      <c r="D33" t="n">
        <v>0.1821</v>
      </c>
    </row>
    <row r="34">
      <c r="C34" s="2" t="inlineStr">
        <is>
          <t>fair_pbr</t>
        </is>
      </c>
      <c r="D34" t="n">
        <v>2.02</v>
      </c>
    </row>
    <row r="35">
      <c r="C35" s="2" t="inlineStr">
        <is>
          <t>fair_value_pbr</t>
        </is>
      </c>
      <c r="D35" t="n">
        <v>26300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3">
        <f>IFERROR(X5/W5-1,"")</f>
        <v/>
      </c>
      <c r="Y6" s="33">
        <f>IFERROR(Y5/X5-1,"")</f>
        <v/>
      </c>
      <c r="Z6" s="33">
        <f>IFERROR(Z5/Y5-1,"")</f>
        <v/>
      </c>
      <c r="AA6" s="33">
        <f>IFERROR(AA5/Z5-1,"")</f>
        <v/>
      </c>
      <c r="AB6" s="33">
        <f>IFERROR(AB5/AA5-1,"")</f>
        <v/>
      </c>
      <c r="AC6" s="33">
        <f>IFERROR(AC5/AB5-1,"")</f>
        <v/>
      </c>
      <c r="AD6" s="33">
        <f>IFERROR(AD5/AC5-1,"")</f>
        <v/>
      </c>
      <c r="AE6" s="33">
        <f>IFERROR(AE5/AD5-1,"")</f>
        <v/>
      </c>
      <c r="AF6" s="33">
        <f>IFERROR(AF5/AE5-1,"")</f>
        <v/>
      </c>
      <c r="AG6" s="33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3">
        <f>IFERROR(X7/W7-1,"")</f>
        <v/>
      </c>
      <c r="Y8" s="33">
        <f>IFERROR(Y7/X7-1,"")</f>
        <v/>
      </c>
      <c r="Z8" s="33">
        <f>IFERROR(Z7/Y7-1,"")</f>
        <v/>
      </c>
      <c r="AA8" s="33">
        <f>IFERROR(AA7/Z7-1,"")</f>
        <v/>
      </c>
      <c r="AB8" s="33">
        <f>IFERROR(AB7/AA7-1,"")</f>
        <v/>
      </c>
      <c r="AC8" s="33">
        <f>IFERROR(AC7/AB7-1,"")</f>
        <v/>
      </c>
      <c r="AD8" s="33">
        <f>IFERROR(AD7/AC7-1,"")</f>
        <v/>
      </c>
      <c r="AE8" s="33">
        <f>IFERROR(AE7/AD7-1,"")</f>
        <v/>
      </c>
      <c r="AF8" s="33">
        <f>IFERROR(AF7/AE7-1,"")</f>
        <v/>
      </c>
      <c r="AG8" s="33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3">
        <f>IFERROR(X9/W9-1,"")</f>
        <v/>
      </c>
      <c r="Y10" s="33">
        <f>IFERROR(Y9/X9-1,"")</f>
        <v/>
      </c>
      <c r="Z10" s="33">
        <f>IFERROR(Z9/Y9-1,"")</f>
        <v/>
      </c>
      <c r="AA10" s="33">
        <f>IFERROR(AA9/Z9-1,"")</f>
        <v/>
      </c>
      <c r="AB10" s="33">
        <f>IFERROR(AB9/AA9-1,"")</f>
        <v/>
      </c>
      <c r="AC10" s="33">
        <f>IFERROR(AC9/AB9-1,"")</f>
        <v/>
      </c>
      <c r="AD10" s="33">
        <f>IFERROR(AD9/AC9-1,"")</f>
        <v/>
      </c>
      <c r="AE10" s="33">
        <f>IFERROR(AE9/AD9-1,"")</f>
        <v/>
      </c>
      <c r="AF10" s="33">
        <f>IFERROR(AF9/AE9-1,"")</f>
        <v/>
      </c>
      <c r="AG10" s="33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3">
        <f>IFERROR(X11/W11-1,"")</f>
        <v/>
      </c>
      <c r="Y12" s="33">
        <f>IFERROR(Y11/X11-1,"")</f>
        <v/>
      </c>
      <c r="Z12" s="33">
        <f>IFERROR(Z11/Y11-1,"")</f>
        <v/>
      </c>
      <c r="AA12" s="33">
        <f>IFERROR(AA11/Z11-1,"")</f>
        <v/>
      </c>
      <c r="AB12" s="33">
        <f>IFERROR(AB11/AA11-1,"")</f>
        <v/>
      </c>
      <c r="AC12" s="33">
        <f>IFERROR(AC11/AB11-1,"")</f>
        <v/>
      </c>
      <c r="AD12" s="33">
        <f>IFERROR(AD11/AC11-1,"")</f>
        <v/>
      </c>
      <c r="AE12" s="33">
        <f>IFERROR(AE11/AD11-1,"")</f>
        <v/>
      </c>
      <c r="AF12" s="33">
        <f>IFERROR(AF11/AE11-1,"")</f>
        <v/>
      </c>
      <c r="AG12" s="33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3">
        <f>IFERROR(X13/W13-1,"")</f>
        <v/>
      </c>
      <c r="Y14" s="33">
        <f>IFERROR(Y13/X13-1,"")</f>
        <v/>
      </c>
      <c r="Z14" s="33">
        <f>IFERROR(Z13/Y13-1,"")</f>
        <v/>
      </c>
      <c r="AA14" s="33">
        <f>IFERROR(AA13/Z13-1,"")</f>
        <v/>
      </c>
      <c r="AB14" s="33">
        <f>IFERROR(AB13/AA13-1,"")</f>
        <v/>
      </c>
      <c r="AC14" s="33">
        <f>IFERROR(AC13/AB13-1,"")</f>
        <v/>
      </c>
      <c r="AD14" s="33">
        <f>IFERROR(AD13/AC13-1,"")</f>
        <v/>
      </c>
      <c r="AE14" s="33">
        <f>IFERROR(AE13/AD13-1,"")</f>
        <v/>
      </c>
      <c r="AF14" s="33">
        <f>IFERROR(AF13/AE13-1,"")</f>
        <v/>
      </c>
      <c r="AG14" s="33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변수!D58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2026-10-11T00:00:00Z</dcterms:created>
  <dcterms:modified xsi:type="dcterms:W3CDTF">2026-10-11T00:00:00Z</dcterms:modified>
</cp:coreProperties>
</file>