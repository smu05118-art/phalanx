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BS연결!$C$5:$AO$5</definedName>
    <definedName name="BS별도H">BS별도!$C$1:$AO$1</definedName>
    <definedName name="BS별도">BS별도!$C$5:$AO$95</definedName>
    <definedName name="SUBQH">subQ!$A$1:$AO$1</definedName>
    <definedName name="subQ">subQ!$A$5:$AO$42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0" fillId="0" borderId="1" pivotButton="0" quotePrefix="0" xfId="0"/>
    <xf numFmtId="3" fontId="0" fillId="5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C21" authorId="0" shapeId="0">
      <text>
        <t>모델값 역산(implied): v / 전년동기 − 1
전년동기 × (1+-5.3%) — g=최근 4분기 합 YoY -5.3% 클립(−30~+50%), 연차별 절반 감쇠(가정)</t>
      </text>
    </comment>
    <comment ref="AD21" authorId="0" shapeId="0">
      <text>
        <t>모델값 역산(implied): v / 전년동기 − 1
전년동기 × (1+-5.3%) — g=최근 4분기 합 YoY -5.3% 클립(−30~+50%), 연차별 절반 감쇠(가정)</t>
      </text>
    </comment>
    <comment ref="AF21" authorId="0" shapeId="0">
      <text>
        <t>모델값 역산(implied): v / 전년동기 − 1
전년동기 × (1+-5.3%) — g=최근 4분기 합 YoY -5.3% 클립(−30~+50%), 연차별 절반 감쇠(가정)</t>
      </text>
    </comment>
    <comment ref="AG21" authorId="0" shapeId="0">
      <text>
        <t>모델값 역산(implied): v / 전년동기 − 1
전년동기 × (1+-5.3%) — g=최근 4분기 합 YoY -5.3% 클립(−30~+50%), 연차별 절반 감쇠(가정)</t>
      </text>
    </comment>
    <comment ref="AH21" authorId="0" shapeId="0">
      <text>
        <t>모델값 역산(implied): v / 전년동기 − 1
전년동기 × (1+-2.6%) — g=최근 4분기 합 YoY -5.3% 클립(−30~+50%), 연차별 절반 감쇠(가정)</t>
      </text>
    </comment>
    <comment ref="AI21" authorId="0" shapeId="0">
      <text>
        <t>모델값 역산(implied): v / 전년동기 − 1
전년동기 × (1+-2.6%) — g=최근 4분기 합 YoY -5.3% 클립(−30~+50%), 연차별 절반 감쇠(가정)</t>
      </text>
    </comment>
    <comment ref="AK21" authorId="0" shapeId="0">
      <text>
        <t>모델값 역산(implied): v / 전년동기 − 1
전년동기 × (1+-2.6%) — g=최근 4분기 합 YoY -5.3% 클립(−30~+50%), 연차별 절반 감쇠(가정)</t>
      </text>
    </comment>
    <comment ref="AL21" authorId="0" shapeId="0">
      <text>
        <t>모델값 역산(implied): v / 전년동기 − 1
전년동기 × (1+-2.6%) — g=최근 4분기 합 YoY -5.3% 클립(−30~+50%), 연차별 절반 감쇠(가정)</t>
      </text>
    </comment>
    <comment ref="AM21" authorId="0" shapeId="0">
      <text>
        <t>모델값 역산(implied): v / 전년동기 − 1
전년동기 × (1+-1.3%) — g=최근 4분기 합 YoY -5.3% 클립(−30~+50%), 연차별 절반 감쇠(가정)</t>
      </text>
    </comment>
    <comment ref="AN21" authorId="0" shapeId="0">
      <text>
        <t>모델값 역산(implied): v / 전년동기 − 1
전년동기 × (1+-1.3%) — g=최근 4분기 합 YoY -5.3% 클립(−30~+50%), 연차별 절반 감쇠(가정)</t>
      </text>
    </comment>
    <comment ref="AC22" authorId="0" shapeId="0">
      <text>
        <t>3절 스칼라 '판관비율' 참조 — 숫자로 덮어쓰면 이 분기만 바뀐다
매출액 × 판관비율 28.18%(최근 4분기 중위)</t>
      </text>
    </comment>
    <comment ref="AD22" authorId="0" shapeId="0">
      <text>
        <t>3절 스칼라 '판관비율' 참조 — 숫자로 덮어쓰면 이 분기만 바뀐다
매출액 × 판관비율 28.18%(최근 4분기 중위)</t>
      </text>
    </comment>
    <comment ref="AF22" authorId="0" shapeId="0">
      <text>
        <t>3절 스칼라 '판관비율' 참조 — 숫자로 덮어쓰면 이 분기만 바뀐다
매출액 × 판관비율 28.18%(최근 4분기 중위)</t>
      </text>
    </comment>
    <comment ref="AG22" authorId="0" shapeId="0">
      <text>
        <t>3절 스칼라 '판관비율' 참조 — 숫자로 덮어쓰면 이 분기만 바뀐다
매출액 × 판관비율 28.18%(최근 4분기 중위)</t>
      </text>
    </comment>
    <comment ref="AH22" authorId="0" shapeId="0">
      <text>
        <t>3절 스칼라 '판관비율' 참조 — 숫자로 덮어쓰면 이 분기만 바뀐다
매출액 × 판관비율 28.18%(최근 4분기 중위)</t>
      </text>
    </comment>
    <comment ref="AI22" authorId="0" shapeId="0">
      <text>
        <t>3절 스칼라 '판관비율' 참조 — 숫자로 덮어쓰면 이 분기만 바뀐다
매출액 × 판관비율 28.18%(최근 4분기 중위)</t>
      </text>
    </comment>
    <comment ref="AK22" authorId="0" shapeId="0">
      <text>
        <t>3절 스칼라 '판관비율' 참조 — 숫자로 덮어쓰면 이 분기만 바뀐다
매출액 × 판관비율 28.18%(최근 4분기 중위)</t>
      </text>
    </comment>
    <comment ref="AL22" authorId="0" shapeId="0">
      <text>
        <t>3절 스칼라 '판관비율' 참조 — 숫자로 덮어쓰면 이 분기만 바뀐다
매출액 × 판관비율 28.18%(최근 4분기 중위)</t>
      </text>
    </comment>
    <comment ref="AM22" authorId="0" shapeId="0">
      <text>
        <t>3절 스칼라 '판관비율' 참조 — 숫자로 덮어쓰면 이 분기만 바뀐다
매출액 × 판관비율 28.18%(최근 4분기 중위)</t>
      </text>
    </comment>
    <comment ref="AN22" authorId="0" shapeId="0">
      <text>
        <t>3절 스칼라 '판관비율' 참조 — 숫자로 덮어쓰면 이 분기만 바뀐다
매출액 × 판관비율 28.18%(최근 4분기 중위)</t>
      </text>
    </comment>
    <comment ref="AC23" authorId="0" shapeId="0">
      <text>
        <t>모델값 역산(implied): v / 매출액
매출액 × OPM(최근 8분기 OPM 중위 -5.9% 유지(클립 −20~40%))</t>
      </text>
    </comment>
    <comment ref="AD23" authorId="0" shapeId="0">
      <text>
        <t>모델값 역산(implied): v / 매출액
매출액 × OPM(최근 8분기 OPM 중위 -5.9% 유지(클립 −20~40%))</t>
      </text>
    </comment>
    <comment ref="AF23" authorId="0" shapeId="0">
      <text>
        <t>모델값 역산(implied): v / 매출액
매출액 × OPM(최근 8분기 OPM 중위 -5.9% 유지(클립 −20~40%))</t>
      </text>
    </comment>
    <comment ref="AG23" authorId="0" shapeId="0">
      <text>
        <t>모델값 역산(implied): v / 매출액
매출액 × OPM(최근 8분기 OPM 중위 -5.9% 유지(클립 −20~40%))</t>
      </text>
    </comment>
    <comment ref="AH23" authorId="0" shapeId="0">
      <text>
        <t>모델값 역산(implied): v / 매출액
매출액 × OPM(최근 8분기 OPM 중위 -5.9% 유지(클립 −20~40%))</t>
      </text>
    </comment>
    <comment ref="AI23" authorId="0" shapeId="0">
      <text>
        <t>모델값 역산(implied): v / 매출액
매출액 × OPM(최근 8분기 OPM 중위 -5.9% 유지(클립 −20~40%))</t>
      </text>
    </comment>
    <comment ref="AK23" authorId="0" shapeId="0">
      <text>
        <t>모델값 역산(implied): v / 매출액
매출액 × OPM(최근 8분기 OPM 중위 -5.9% 유지(클립 −20~40%))</t>
      </text>
    </comment>
    <comment ref="AL23" authorId="0" shapeId="0">
      <text>
        <t>모델값 역산(implied): v / 매출액
매출액 × OPM(최근 8분기 OPM 중위 -5.9% 유지(클립 −20~40%))</t>
      </text>
    </comment>
    <comment ref="AM23" authorId="0" shapeId="0">
      <text>
        <t>모델값 역산(implied): v / 매출액
매출액 × OPM(최근 8분기 OPM 중위 -5.9% 유지(클립 −20~40%))</t>
      </text>
    </comment>
    <comment ref="AN23" authorId="0" shapeId="0">
      <text>
        <t>모델값 역산(implied): v / 매출액
매출액 × OPM(최근 8분기 OPM 중위 -5.9%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잔차 실측 2분기 &lt; 4 → 0</t>
      </text>
    </comment>
    <comment ref="AD26" authorId="0" shapeId="0">
      <text>
        <t>모델값 역산(implied): 모델 v 그대로
잔차 실측 2분기 &lt; 4 → 0</t>
      </text>
    </comment>
    <comment ref="AF26" authorId="0" shapeId="0">
      <text>
        <t>모델값 역산(implied): 모델 v 그대로
잔차 실측 2분기 &lt; 4 → 0</t>
      </text>
    </comment>
    <comment ref="AG26" authorId="0" shapeId="0">
      <text>
        <t>모델값 역산(implied): 모델 v 그대로
잔차 실측 2분기 &lt; 4 → 0</t>
      </text>
    </comment>
    <comment ref="AH26" authorId="0" shapeId="0">
      <text>
        <t>모델값 역산(implied): 모델 v 그대로
잔차 실측 2분기 &lt; 4 → 0</t>
      </text>
    </comment>
    <comment ref="AI26" authorId="0" shapeId="0">
      <text>
        <t>모델값 역산(implied): 모델 v 그대로
잔차 실측 2분기 &lt; 4 → 0</t>
      </text>
    </comment>
    <comment ref="AK26" authorId="0" shapeId="0">
      <text>
        <t>모델값 역산(implied): 모델 v 그대로
잔차 실측 2분기 &lt; 4 → 0</t>
      </text>
    </comment>
    <comment ref="AL26" authorId="0" shapeId="0">
      <text>
        <t>모델값 역산(implied): 모델 v 그대로
잔차 실측 2분기 &lt; 4 → 0</t>
      </text>
    </comment>
    <comment ref="AM26" authorId="0" shapeId="0">
      <text>
        <t>모델값 역산(implied): 모델 v 그대로
잔차 실측 2분기 &lt; 4 → 0</t>
      </text>
    </comment>
    <comment ref="AN26" authorId="0" shapeId="0">
      <text>
        <t>모델값 역산(implied): 모델 v 그대로
잔차 실측 2분기 &lt; 4 → 0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모델 v 그대로
최근 4분기 중위</t>
      </text>
    </comment>
    <comment ref="AD28" authorId="0" shapeId="0">
      <text>
        <t>모델값 역산(implied): 모델 v 그대로
최근 4분기 중위</t>
      </text>
    </comment>
    <comment ref="AF28" authorId="0" shapeId="0">
      <text>
        <t>모델값 역산(implied): 모델 v 그대로
최근 4분기 중위</t>
      </text>
    </comment>
    <comment ref="AG28" authorId="0" shapeId="0">
      <text>
        <t>모델값 역산(implied): 모델 v 그대로
최근 4분기 중위</t>
      </text>
    </comment>
    <comment ref="AH28" authorId="0" shapeId="0">
      <text>
        <t>모델값 역산(implied): 모델 v 그대로
최근 4분기 중위</t>
      </text>
    </comment>
    <comment ref="AI28" authorId="0" shapeId="0">
      <text>
        <t>모델값 역산(implied): 모델 v 그대로
최근 4분기 중위</t>
      </text>
    </comment>
    <comment ref="AK28" authorId="0" shapeId="0">
      <text>
        <t>모델값 역산(implied): 모델 v 그대로
최근 4분기 중위</t>
      </text>
    </comment>
    <comment ref="AL28" authorId="0" shapeId="0">
      <text>
        <t>모델값 역산(implied): 모델 v 그대로
최근 4분기 중위</t>
      </text>
    </comment>
    <comment ref="AM28" authorId="0" shapeId="0">
      <text>
        <t>모델값 역산(implied): 모델 v 그대로
최근 4분기 중위</t>
      </text>
    </comment>
    <comment ref="AN28" authorId="0" shapeId="0">
      <text>
        <t>모델값 역산(implied): 모델 v 그대로
최근 4분기 중위</t>
      </text>
    </comment>
    <comment ref="AC29" authorId="0" shapeId="0">
      <text>
        <t>모델값 역산(implied): v / 세전이익
max(세전, 0) × 세율 22.0%(최근 12분기 세전 합 ≤ 0; 세전 &gt; 0 분기 중위 -22.7% 도 5~27% 밖 → 법정세율 근사 22% 가정)</t>
      </text>
    </comment>
    <comment ref="AD29" authorId="0" shapeId="0">
      <text>
        <t>모델값 역산(implied): v / 세전이익
max(세전, 0) × 세율 22.0%(최근 12분기 세전 합 ≤ 0; 세전 &gt; 0 분기 중위 -22.7% 도 5~27% 밖 → 법정세율 근사 22% 가정)</t>
      </text>
    </comment>
    <comment ref="AF29" authorId="0" shapeId="0">
      <text>
        <t>모델값 역산(implied): v / 세전이익
max(세전, 0) × 세율 22.0%(최근 12분기 세전 합 ≤ 0; 세전 &gt; 0 분기 중위 -22.7% 도 5~27% 밖 → 법정세율 근사 22% 가정)</t>
      </text>
    </comment>
    <comment ref="AG29" authorId="0" shapeId="0">
      <text>
        <t>모델값 역산(implied): v / 세전이익
max(세전, 0) × 세율 22.0%(최근 12분기 세전 합 ≤ 0; 세전 &gt; 0 분기 중위 -22.7% 도 5~27% 밖 → 법정세율 근사 22% 가정)</t>
      </text>
    </comment>
    <comment ref="AH29" authorId="0" shapeId="0">
      <text>
        <t>모델값 역산(implied): v / 세전이익
max(세전, 0) × 세율 22.0%(최근 12분기 세전 합 ≤ 0; 세전 &gt; 0 분기 중위 -22.7% 도 5~27% 밖 → 법정세율 근사 22% 가정)</t>
      </text>
    </comment>
    <comment ref="AI29" authorId="0" shapeId="0">
      <text>
        <t>모델값 역산(implied): v / 세전이익
max(세전, 0) × 세율 22.0%(최근 12분기 세전 합 ≤ 0; 세전 &gt; 0 분기 중위 -22.7% 도 5~27% 밖 → 법정세율 근사 22% 가정)</t>
      </text>
    </comment>
    <comment ref="AK29" authorId="0" shapeId="0">
      <text>
        <t>모델값 역산(implied): v / 세전이익
max(세전, 0) × 세율 22.0%(최근 12분기 세전 합 ≤ 0; 세전 &gt; 0 분기 중위 -22.7% 도 5~27% 밖 → 법정세율 근사 22% 가정)</t>
      </text>
    </comment>
    <comment ref="AL29" authorId="0" shapeId="0">
      <text>
        <t>모델값 역산(implied): v / 세전이익
max(세전, 0) × 세율 22.0%(최근 12분기 세전 합 ≤ 0; 세전 &gt; 0 분기 중위 -22.7% 도 5~27% 밖 → 법정세율 근사 22% 가정)</t>
      </text>
    </comment>
    <comment ref="AM29" authorId="0" shapeId="0">
      <text>
        <t>모델값 역산(implied): v / 세전이익
max(세전, 0) × 세율 22.0%(최근 12분기 세전 합 ≤ 0; 세전 &gt; 0 분기 중위 -22.7% 도 5~27% 밖 → 법정세율 근사 22% 가정)</t>
      </text>
    </comment>
    <comment ref="AN29" authorId="0" shapeId="0">
      <text>
        <t>모델값 역산(implied): v / 세전이익
max(세전, 0) × 세율 22.0%(최근 12분기 세전 합 ≤ 0; 세전 &gt; 0 분기 중위 -22.7% 도 5~27% 밖 → 법정세율 근사 22% 가정)</t>
      </text>
    </comment>
    <comment ref="AC30" authorId="0" shapeId="0">
      <text>
        <t>3절 스칼라 '지배주주비중' 참조 — 숫자로 덮어쓰면 이 분기만 바뀐다
당기순이익 × (1 − 비지배 비중 0.0%, 최근 8분기 실측)</t>
      </text>
    </comment>
    <comment ref="AD30" authorId="0" shapeId="0">
      <text>
        <t>3절 스칼라 '지배주주비중' 참조 — 숫자로 덮어쓰면 이 분기만 바뀐다
당기순이익 × (1 − 비지배 비중 0.0%, 최근 8분기 실측)</t>
      </text>
    </comment>
    <comment ref="AF30" authorId="0" shapeId="0">
      <text>
        <t>3절 스칼라 '지배주주비중' 참조 — 숫자로 덮어쓰면 이 분기만 바뀐다
당기순이익 × (1 − 비지배 비중 0.0%, 최근 8분기 실측)</t>
      </text>
    </comment>
    <comment ref="AG30" authorId="0" shapeId="0">
      <text>
        <t>3절 스칼라 '지배주주비중' 참조 — 숫자로 덮어쓰면 이 분기만 바뀐다
당기순이익 × (1 − 비지배 비중 0.0%, 최근 8분기 실측)</t>
      </text>
    </comment>
    <comment ref="AH30" authorId="0" shapeId="0">
      <text>
        <t>3절 스칼라 '지배주주비중' 참조 — 숫자로 덮어쓰면 이 분기만 바뀐다
당기순이익 × (1 − 비지배 비중 0.0%, 최근 8분기 실측)</t>
      </text>
    </comment>
    <comment ref="AI30" authorId="0" shapeId="0">
      <text>
        <t>3절 스칼라 '지배주주비중' 참조 — 숫자로 덮어쓰면 이 분기만 바뀐다
당기순이익 × (1 − 비지배 비중 0.0%, 최근 8분기 실측)</t>
      </text>
    </comment>
    <comment ref="AK30" authorId="0" shapeId="0">
      <text>
        <t>3절 스칼라 '지배주주비중' 참조 — 숫자로 덮어쓰면 이 분기만 바뀐다
당기순이익 × (1 − 비지배 비중 0.0%, 최근 8분기 실측)</t>
      </text>
    </comment>
    <comment ref="AL30" authorId="0" shapeId="0">
      <text>
        <t>3절 스칼라 '지배주주비중' 참조 — 숫자로 덮어쓰면 이 분기만 바뀐다
당기순이익 × (1 − 비지배 비중 0.0%, 최근 8분기 실측)</t>
      </text>
    </comment>
    <comment ref="AM30" authorId="0" shapeId="0">
      <text>
        <t>3절 스칼라 '지배주주비중' 참조 — 숫자로 덮어쓰면 이 분기만 바뀐다
당기순이익 × (1 − 비지배 비중 0.0%, 최근 8분기 실측)</t>
      </text>
    </comment>
    <comment ref="AN30" authorId="0" shapeId="0">
      <text>
        <t>3절 스칼라 '지배주주비중' 참조 — 숫자로 덮어쓰면 이 분기만 바뀐다
당기순이익 × (1 − 비지배 비중 0.0%, 최근 8분기 실측)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전분기(시트값) + 당기순이익(시트 수식값) − v
전분기 + 당기순이익 − 배당(Q2 지급 가정)</t>
      </text>
    </comment>
    <comment ref="AD32" authorId="0" shapeId="0">
      <text>
        <t>모델값 역산(implied): 전분기(시트값) + 당기순이익(시트 수식값) − v
전분기 + 당기순이익 − 배당(Q2 지급 가정)</t>
      </text>
    </comment>
    <comment ref="AF32" authorId="0" shapeId="0">
      <text>
        <t>모델값 역산(implied): 전분기(시트값) + 당기순이익(시트 수식값) − v
전분기 + 당기순이익 − 배당(Q2 지급 가정)</t>
      </text>
    </comment>
    <comment ref="AG32" authorId="0" shapeId="0">
      <text>
        <t>모델값 역산(implied): 전분기(시트값) + 당기순이익(시트 수식값) − v
전분기 + 당기순이익 − 배당(Q2 지급 가정)</t>
      </text>
    </comment>
    <comment ref="AH32" authorId="0" shapeId="0">
      <text>
        <t>모델값 역산(implied): 전분기(시트값) + 당기순이익(시트 수식값) − v
전분기 + 당기순이익 − 배당(Q2 지급 가정)</t>
      </text>
    </comment>
    <comment ref="AI32" authorId="0" shapeId="0">
      <text>
        <t>모델값 역산(implied): 전분기(시트값) + 당기순이익(시트 수식값) − v
전분기 + 당기순이익 − 배당(Q2 지급 가정)</t>
      </text>
    </comment>
    <comment ref="AK32" authorId="0" shapeId="0">
      <text>
        <t>모델값 역산(implied): 전분기(시트값) + 당기순이익(시트 수식값) − v
전분기 + 당기순이익 − 배당(Q2 지급 가정)</t>
      </text>
    </comment>
    <comment ref="AL32" authorId="0" shapeId="0">
      <text>
        <t>모델값 역산(implied): 전분기(시트값) + 당기순이익(시트 수식값) − v
전분기 + 당기순이익 − 배당(Q2 지급 가정)</t>
      </text>
    </comment>
    <comment ref="AM32" authorId="0" shapeId="0">
      <text>
        <t>모델값 역산(implied): 전분기(시트값) + 당기순이익(시트 수식값) − v
전분기 + 당기순이익 − 배당(Q2 지급 가정)</t>
      </text>
    </comment>
    <comment ref="AN32" authorId="0" shapeId="0">
      <text>
        <t>모델값 역산(implied): 전분기(시트값) + 당기순이익(시트 수식값) − v
전분기 + 당기순이익 − 배당(Q2 지급 가정)</t>
      </text>
    </comment>
    <comment ref="AC33" authorId="0" shapeId="0">
      <text>
        <t>모델값 역산(implied): 전분기(시트값) + 지배주주순이익(시트 수식값) − v
전분기 + 지배주주순이익 − 배당</t>
      </text>
    </comment>
    <comment ref="AD33" authorId="0" shapeId="0">
      <text>
        <t>모델값 역산(implied): 전분기(시트값) + 지배주주순이익(시트 수식값) − v
전분기 + 지배주주순이익 − 배당</t>
      </text>
    </comment>
    <comment ref="AF33" authorId="0" shapeId="0">
      <text>
        <t>모델값 역산(implied): 전분기(시트값) + 지배주주순이익(시트 수식값) − v
전분기 + 지배주주순이익 − 배당</t>
      </text>
    </comment>
    <comment ref="AG33" authorId="0" shapeId="0">
      <text>
        <t>모델값 역산(implied): 전분기(시트값) + 지배주주순이익(시트 수식값) − v
전분기 + 지배주주순이익 − 배당</t>
      </text>
    </comment>
    <comment ref="AH33" authorId="0" shapeId="0">
      <text>
        <t>모델값 역산(implied): 전분기(시트값) + 지배주주순이익(시트 수식값) − v
전분기 + 지배주주순이익 − 배당</t>
      </text>
    </comment>
    <comment ref="AI33" authorId="0" shapeId="0">
      <text>
        <t>모델값 역산(implied): 전분기(시트값) + 지배주주순이익(시트 수식값) − v
전분기 + 지배주주순이익 − 배당</t>
      </text>
    </comment>
    <comment ref="AK33" authorId="0" shapeId="0">
      <text>
        <t>모델값 역산(implied): 전분기(시트값) + 지배주주순이익(시트 수식값) − v
전분기 + 지배주주순이익 − 배당</t>
      </text>
    </comment>
    <comment ref="AL33" authorId="0" shapeId="0">
      <text>
        <t>모델값 역산(implied): 전분기(시트값) + 지배주주순이익(시트 수식값) − v
전분기 + 지배주주순이익 − 배당</t>
      </text>
    </comment>
    <comment ref="AM33" authorId="0" shapeId="0">
      <text>
        <t>모델값 역산(implied): 전분기(시트값) + 지배주주순이익(시트 수식값) − v
전분기 + 지배주주순이익 − 배당</t>
      </text>
    </comment>
    <comment ref="AN33" authorId="0" shapeId="0">
      <text>
        <t>모델값 역산(implied): 전분기(시트값) + 지배주주순이익(시트 수식값) − v
전분기 + 지배주주순이익 − 배당</t>
      </text>
    </comment>
    <comment ref="AC34" authorId="0" shapeId="0">
      <text>
        <t>모델값 역산(implied): v / 전분기 − 1
마지막 실적 유지(가정)</t>
      </text>
    </comment>
    <comment ref="AD34" authorId="0" shapeId="0">
      <text>
        <t>모델값 역산(implied): v / 전분기 − 1
마지막 실적 유지(가정)</t>
      </text>
    </comment>
    <comment ref="AF34" authorId="0" shapeId="0">
      <text>
        <t>모델값 역산(implied): v / 전분기 − 1
마지막 실적 유지(가정)</t>
      </text>
    </comment>
    <comment ref="AG34" authorId="0" shapeId="0">
      <text>
        <t>모델값 역산(implied): v / 전분기 − 1
마지막 실적 유지(가정)</t>
      </text>
    </comment>
    <comment ref="AH34" authorId="0" shapeId="0">
      <text>
        <t>모델값 역산(implied): v / 전분기 − 1
마지막 실적 유지(가정)</t>
      </text>
    </comment>
    <comment ref="AI34" authorId="0" shapeId="0">
      <text>
        <t>모델값 역산(implied): v / 전분기 − 1
마지막 실적 유지(가정)</t>
      </text>
    </comment>
    <comment ref="AK34" authorId="0" shapeId="0">
      <text>
        <t>모델값 역산(implied): v / 전분기 − 1
마지막 실적 유지(가정)</t>
      </text>
    </comment>
    <comment ref="AL34" authorId="0" shapeId="0">
      <text>
        <t>모델값 역산(implied): v / 전분기 − 1
마지막 실적 유지(가정)</t>
      </text>
    </comment>
    <comment ref="AM34" authorId="0" shapeId="0">
      <text>
        <t>모델값 역산(implied): v / 전분기 − 1
마지막 실적 유지(가정)</t>
      </text>
    </comment>
    <comment ref="AN34" authorId="0" shapeId="0">
      <text>
        <t>모델값 역산(implied): v / 전분기 − 1
마지막 실적 유지(가정)</t>
      </text>
    </comment>
    <comment ref="AC35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D35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F35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G35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H35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I35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K35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L35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M35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N35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C36" authorId="0" shapeId="0">
      <text>
        <t>모델값 역산(implied): v / 전분기 − 1
전분기 + FCF 근사 — 순차입금 롤과 같은 가정</t>
      </text>
    </comment>
    <comment ref="AD36" authorId="0" shapeId="0">
      <text>
        <t>모델값 역산(implied): v / 전분기 − 1
전분기 + FCF 근사 — 순차입금 롤과 같은 가정</t>
      </text>
    </comment>
    <comment ref="AF36" authorId="0" shapeId="0">
      <text>
        <t>모델값 역산(implied): v / 전분기 − 1
전분기 + FCF 근사 — 순차입금 롤과 같은 가정</t>
      </text>
    </comment>
    <comment ref="AG36" authorId="0" shapeId="0">
      <text>
        <t>모델값 역산(implied): v / 전분기 − 1
전분기 + FCF 근사 — 순차입금 롤과 같은 가정</t>
      </text>
    </comment>
    <comment ref="AH36" authorId="0" shapeId="0">
      <text>
        <t>모델값 역산(implied): v / 전분기 − 1
전분기 + FCF 근사 — 순차입금 롤과 같은 가정</t>
      </text>
    </comment>
    <comment ref="AI36" authorId="0" shapeId="0">
      <text>
        <t>모델값 역산(implied): v / 전분기 − 1
전분기 + FCF 근사 — 순차입금 롤과 같은 가정</t>
      </text>
    </comment>
    <comment ref="AK36" authorId="0" shapeId="0">
      <text>
        <t>모델값 역산(implied): v / 전분기 − 1
전분기 + FCF 근사 — 순차입금 롤과 같은 가정</t>
      </text>
    </comment>
    <comment ref="AL36" authorId="0" shapeId="0">
      <text>
        <t>모델값 역산(implied): v / 전분기 − 1
전분기 + FCF 근사 — 순차입금 롤과 같은 가정</t>
      </text>
    </comment>
    <comment ref="AM36" authorId="0" shapeId="0">
      <text>
        <t>모델값 역산(implied): v / 전분기 − 1
전분기 + FCF 근사 — 순차입금 롤과 같은 가정</t>
      </text>
    </comment>
    <comment ref="AN36" authorId="0" shapeId="0">
      <text>
        <t>모델값 역산(implied): v / 전분기 − 1
전분기 + FCF 근사 — 순차입금 롤과 같은 가정</t>
      </text>
    </comment>
    <comment ref="AC38" authorId="0" shapeId="0">
      <text>
        <t>모델값 역산(implied): v / 전년동기 − 1
최근 4분기(2025Q1~2025Q4) CAPEX 중위 유지 — 순차입금 롤에 미반영(감가상각비 없음 → CAPEX≈감가 가정)</t>
      </text>
    </comment>
    <comment ref="AD38" authorId="0" shapeId="0">
      <text>
        <t>모델값 역산(implied): v / 전년동기 − 1
최근 4분기(2025Q1~2025Q4) CAPEX 중위 유지 — 순차입금 롤에 미반영(감가상각비 없음 → CAPEX≈감가 가정)</t>
      </text>
    </comment>
    <comment ref="AF38" authorId="0" shapeId="0">
      <text>
        <t>모델값 역산(implied): v / 전분기 − 1 (전년동기 없음 → 전분기 대비)
최근 4분기(2025Q1~2025Q4) CAPEX 중위 유지 — 순차입금 롤에 미반영(감가상각비 없음 → CAPEX≈감가 가정)</t>
      </text>
    </comment>
    <comment ref="AG38" authorId="0" shapeId="0">
      <text>
        <t>모델값 역산(implied): v / 전분기 − 1 (전년동기 없음 → 전분기 대비)
최근 4분기(2025Q1~2025Q4) CAPEX 중위 유지 — 순차입금 롤에 미반영(감가상각비 없음 → CAPEX≈감가 가정)</t>
      </text>
    </comment>
    <comment ref="AH38" authorId="0" shapeId="0">
      <text>
        <t>모델값 역산(implied): v / 전년동기 − 1
최근 4분기(2025Q1~2025Q4) CAPEX 중위 유지 — 순차입금 롤에 미반영(감가상각비 없음 → CAPEX≈감가 가정)</t>
      </text>
    </comment>
    <comment ref="AI38" authorId="0" shapeId="0">
      <text>
        <t>모델값 역산(implied): v / 전년동기 − 1
최근 4분기(2025Q1~2025Q4) CAPEX 중위 유지 — 순차입금 롤에 미반영(감가상각비 없음 → CAPEX≈감가 가정)</t>
      </text>
    </comment>
    <comment ref="AK38" authorId="0" shapeId="0">
      <text>
        <t>모델값 역산(implied): v / 전년동기 − 1
최근 4분기(2025Q1~2025Q4) CAPEX 중위 유지 — 순차입금 롤에 미반영(감가상각비 없음 → CAPEX≈감가 가정)</t>
      </text>
    </comment>
    <comment ref="AL38" authorId="0" shapeId="0">
      <text>
        <t>모델값 역산(implied): v / 전년동기 − 1
최근 4분기(2025Q1~2025Q4) CAPEX 중위 유지 — 순차입금 롤에 미반영(감가상각비 없음 → CAPEX≈감가 가정)</t>
      </text>
    </comment>
    <comment ref="AM38" authorId="0" shapeId="0">
      <text>
        <t>모델값 역산(implied): v / 전년동기 − 1
최근 4분기(2025Q1~2025Q4) CAPEX 중위 유지 — 순차입금 롤에 미반영(감가상각비 없음 → CAPEX≈감가 가정)</t>
      </text>
    </comment>
    <comment ref="AN38" authorId="0" shapeId="0">
      <text>
        <t>모델값 역산(implied): v / 전년동기 − 1
최근 4분기(2025Q1~2025Q4) CAPEX 중위 유지 — 순차입금 롤에 미반영(감가상각비 없음 → CAPEX≈감가 가정)</t>
      </text>
    </comment>
    <comment ref="AC40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v / 전분기 − 1
유통주식수 유지 — fin.shares.common_outstanding(2026Q2)</t>
      </text>
    </comment>
    <comment ref="AF40" authorId="0" shapeId="0">
      <text>
        <t>모델값 역산(implied): v / 전분기 − 1
유통주식수 유지 — fin.shares.common_outstanding(2026Q2)</t>
      </text>
    </comment>
    <comment ref="AG40" authorId="0" shapeId="0">
      <text>
        <t>모델값 역산(implied): v / 전분기 − 1
유통주식수 유지 — fin.shares.common_outstanding(2026Q2)</t>
      </text>
    </comment>
    <comment ref="AH40" authorId="0" shapeId="0">
      <text>
        <t>모델값 역산(implied): v / 전분기 − 1
유통주식수 유지 — fin.shares.common_outstanding(2026Q2)</t>
      </text>
    </comment>
    <comment ref="AI40" authorId="0" shapeId="0">
      <text>
        <t>모델값 역산(implied): v / 전분기 − 1
유통주식수 유지 — fin.shares.common_outstanding(2026Q2)</t>
      </text>
    </comment>
    <comment ref="AK40" authorId="0" shapeId="0">
      <text>
        <t>모델값 역산(implied): v / 전분기 − 1
유통주식수 유지 — fin.shares.common_outstanding(2026Q2)</t>
      </text>
    </comment>
    <comment ref="AL40" authorId="0" shapeId="0">
      <text>
        <t>모델값 역산(implied): v / 전분기 − 1
유통주식수 유지 — fin.shares.common_outstanding(2026Q2)</t>
      </text>
    </comment>
    <comment ref="AM40" authorId="0" shapeId="0">
      <text>
        <t>모델값 역산(implied): v / 전분기 − 1
유통주식수 유지 — fin.shares.common_outstanding(2026Q2)</t>
      </text>
    </comment>
    <comment ref="AN40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모델 v 그대로
직전 결산 DPS 0원 유지</t>
      </text>
    </comment>
    <comment ref="AI41" authorId="0" shapeId="0">
      <text>
        <t>모델값 역산(implied): 모델 v 그대로
직전 결산 DPS 0원 유지</t>
      </text>
    </comment>
    <comment ref="AN41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(1+-5.3%) — g=최근 4분기 합 YoY -5.3% 클립(−30~+50%), 연차별 절반 감쇠(가정)
[yoy]</t>
      </text>
    </comment>
    <comment ref="AD5" authorId="0" shapeId="0">
      <text>
        <t>추정: 전년동기 × (1+-5.3%) — g=최근 4분기 합 YoY -5.3% 클립(−30~+50%), 연차별 절반 감쇠(가정)
[yoy]</t>
      </text>
    </comment>
    <comment ref="AF5" authorId="0" shapeId="0">
      <text>
        <t>추정: 전년동기 × (1+-5.3%) — g=최근 4분기 합 YoY -5.3% 클립(−30~+50%), 연차별 절반 감쇠(가정)
[yoy]</t>
      </text>
    </comment>
    <comment ref="AG5" authorId="0" shapeId="0">
      <text>
        <t>추정: 전년동기 × (1+-5.3%) — g=최근 4분기 합 YoY -5.3% 클립(−30~+50%), 연차별 절반 감쇠(가정)
[yoy]</t>
      </text>
    </comment>
    <comment ref="AH5" authorId="0" shapeId="0">
      <text>
        <t>추정: 전년동기 × (1+-2.6%) — g=최근 4분기 합 YoY -5.3% 클립(−30~+50%), 연차별 절반 감쇠(가정)
[yoy]</t>
      </text>
    </comment>
    <comment ref="AI5" authorId="0" shapeId="0">
      <text>
        <t>추정: 전년동기 × (1+-2.6%) — g=최근 4분기 합 YoY -5.3% 클립(−30~+50%), 연차별 절반 감쇠(가정)
[yoy]</t>
      </text>
    </comment>
    <comment ref="AK5" authorId="0" shapeId="0">
      <text>
        <t>추정: 전년동기 × (1+-2.6%) — g=최근 4분기 합 YoY -5.3% 클립(−30~+50%), 연차별 절반 감쇠(가정)
[yoy]</t>
      </text>
    </comment>
    <comment ref="AL5" authorId="0" shapeId="0">
      <text>
        <t>추정: 전년동기 × (1+-2.6%) — g=최근 4분기 합 YoY -5.3% 클립(−30~+50%), 연차별 절반 감쇠(가정)
[yoy]</t>
      </text>
    </comment>
    <comment ref="AM5" authorId="0" shapeId="0">
      <text>
        <t>추정: 전년동기 × (1+-1.3%) — g=최근 4분기 합 YoY -5.3% 클립(−30~+50%), 연차별 절반 감쇠(가정)
[yoy]</t>
      </text>
    </comment>
    <comment ref="AN5" authorId="0" shapeId="0">
      <text>
        <t>추정: 전년동기 × (1+-1.3%) — g=최근 4분기 합 YoY -5.3%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28.18%(최근 4분기 중위)
[ratio]</t>
      </text>
    </comment>
    <comment ref="AD8" authorId="0" shapeId="0">
      <text>
        <t>추정: 매출액 × 판관비율 28.18%(최근 4분기 중위)
[ratio]</t>
      </text>
    </comment>
    <comment ref="AF8" authorId="0" shapeId="0">
      <text>
        <t>추정: 매출액 × 판관비율 28.18%(최근 4분기 중위)
[ratio]</t>
      </text>
    </comment>
    <comment ref="AG8" authorId="0" shapeId="0">
      <text>
        <t>추정: 매출액 × 판관비율 28.18%(최근 4분기 중위)
[ratio]</t>
      </text>
    </comment>
    <comment ref="AH8" authorId="0" shapeId="0">
      <text>
        <t>추정: 매출액 × 판관비율 28.18%(최근 4분기 중위)
[ratio]</t>
      </text>
    </comment>
    <comment ref="AI8" authorId="0" shapeId="0">
      <text>
        <t>추정: 매출액 × 판관비율 28.18%(최근 4분기 중위)
[ratio]</t>
      </text>
    </comment>
    <comment ref="AK8" authorId="0" shapeId="0">
      <text>
        <t>추정: 매출액 × 판관비율 28.18%(최근 4분기 중위)
[ratio]</t>
      </text>
    </comment>
    <comment ref="AL8" authorId="0" shapeId="0">
      <text>
        <t>추정: 매출액 × 판관비율 28.18%(최근 4분기 중위)
[ratio]</t>
      </text>
    </comment>
    <comment ref="AM8" authorId="0" shapeId="0">
      <text>
        <t>추정: 매출액 × 판관비율 28.18%(최근 4분기 중위)
[ratio]</t>
      </text>
    </comment>
    <comment ref="AN8" authorId="0" shapeId="0">
      <text>
        <t>추정: 매출액 × 판관비율 28.18%(최근 4분기 중위)
[ratio]</t>
      </text>
    </comment>
    <comment ref="AC9" authorId="0" shapeId="0">
      <text>
        <t>추정: 매출액 × OPM(최근 8분기 OPM 중위 -5.9% 유지(클립 −20~40%))
[ratio]</t>
      </text>
    </comment>
    <comment ref="AD9" authorId="0" shapeId="0">
      <text>
        <t>추정: 매출액 × OPM(최근 8분기 OPM 중위 -5.9% 유지(클립 −20~40%))
[ratio]</t>
      </text>
    </comment>
    <comment ref="AF9" authorId="0" shapeId="0">
      <text>
        <t>추정: 매출액 × OPM(최근 8분기 OPM 중위 -5.9% 유지(클립 −20~40%))
[ratio]</t>
      </text>
    </comment>
    <comment ref="AG9" authorId="0" shapeId="0">
      <text>
        <t>추정: 매출액 × OPM(최근 8분기 OPM 중위 -5.9% 유지(클립 −20~40%))
[ratio]</t>
      </text>
    </comment>
    <comment ref="AH9" authorId="0" shapeId="0">
      <text>
        <t>추정: 매출액 × OPM(최근 8분기 OPM 중위 -5.9% 유지(클립 −20~40%))
[ratio]</t>
      </text>
    </comment>
    <comment ref="AI9" authorId="0" shapeId="0">
      <text>
        <t>추정: 매출액 × OPM(최근 8분기 OPM 중위 -5.9% 유지(클립 −20~40%))
[ratio]</t>
      </text>
    </comment>
    <comment ref="AK9" authorId="0" shapeId="0">
      <text>
        <t>추정: 매출액 × OPM(최근 8분기 OPM 중위 -5.9% 유지(클립 −20~40%))
[ratio]</t>
      </text>
    </comment>
    <comment ref="AL9" authorId="0" shapeId="0">
      <text>
        <t>추정: 매출액 × OPM(최근 8분기 OPM 중위 -5.9% 유지(클립 −20~40%))
[ratio]</t>
      </text>
    </comment>
    <comment ref="AM9" authorId="0" shapeId="0">
      <text>
        <t>추정: 매출액 × OPM(최근 8분기 OPM 중위 -5.9% 유지(클립 −20~40%))
[ratio]</t>
      </text>
    </comment>
    <comment ref="AN9" authorId="0" shapeId="0">
      <text>
        <t>추정: 매출액 × OPM(최근 8분기 OPM 중위 -5.9% 유지(클립 −20~40%))
[ratio]</t>
      </text>
    </comment>
    <comment ref="AC10" authorId="0" shapeId="0">
      <text>
        <t>추정: 최근 8분기 OPM 중위 -5.9% 유지(클립 −20~40%)
[divide]</t>
      </text>
    </comment>
    <comment ref="AD10" authorId="0" shapeId="0">
      <text>
        <t>추정: 최근 8분기 OPM 중위 -5.9% 유지(클립 −20~40%)
[divide]</t>
      </text>
    </comment>
    <comment ref="AF10" authorId="0" shapeId="0">
      <text>
        <t>추정: 최근 8분기 OPM 중위 -5.9% 유지(클립 −20~40%)
[divide]</t>
      </text>
    </comment>
    <comment ref="AG10" authorId="0" shapeId="0">
      <text>
        <t>추정: 최근 8분기 OPM 중위 -5.9% 유지(클립 −20~40%)
[divide]</t>
      </text>
    </comment>
    <comment ref="AH10" authorId="0" shapeId="0">
      <text>
        <t>추정: 최근 8분기 OPM 중위 -5.9% 유지(클립 −20~40%)
[divide]</t>
      </text>
    </comment>
    <comment ref="AI10" authorId="0" shapeId="0">
      <text>
        <t>추정: 최근 8분기 OPM 중위 -5.9% 유지(클립 −20~40%)
[divide]</t>
      </text>
    </comment>
    <comment ref="AK10" authorId="0" shapeId="0">
      <text>
        <t>추정: 최근 8분기 OPM 중위 -5.9% 유지(클립 −20~40%)
[divide]</t>
      </text>
    </comment>
    <comment ref="AL10" authorId="0" shapeId="0">
      <text>
        <t>추정: 최근 8분기 OPM 중위 -5.9% 유지(클립 −20~40%)
[divide]</t>
      </text>
    </comment>
    <comment ref="AM10" authorId="0" shapeId="0">
      <text>
        <t>추정: 최근 8분기 OPM 중위 -5.9% 유지(클립 −20~40%)
[divide]</t>
      </text>
    </comment>
    <comment ref="AN10" authorId="0" shapeId="0">
      <text>
        <t>추정: 최근 8분기 OPM 중위 -5.9% 유지(클립 −20~40%)
[divide]</t>
      </text>
    </comment>
    <comment ref="AC11" authorId="0" shapeId="0">
      <text>
        <t>추정: 이자손익 + 외환손익 0 + 파생상품손익 0 + 기타금융손익 +0.00억(잔차 실측 2분기 &lt; 4 → 0) (항등식); 이자손익 = 이자발생자산 12억 × 0.97%(주석 이자수익 ÷ 평균 이자발생자산(2025Q3~2026Q2)) − 총차입금 103억 × 20.00%(주석 이자비용 연율 24.7% &gt; 상한 20% → 상한으로 클립(CF 창 2023Q2~2026Q1(la −1분기) 가 주석보다 오래됨))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2분기 &lt; 4 → 0) (항등식); 이자손익 = 이자발생자산 -0억 × 0.97%(주석 이자수익 ÷ 평균 이자발생자산(2025Q3~2026Q2)) − 총차입금 103억 × 20.00%(주석 이자비용 연율 24.7% &gt; 상한 20% → 상한으로 클립(CF 창 2023Q2~2026Q1(la −1분기) 가 주석보다 오래됨))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2분기 &lt; 4 → 0) (항등식); 이자손익 = 이자발생자산 -13억 × 0.97%(주석 이자수익 ÷ 평균 이자발생자산(2025Q3~2026Q2)) − 총차입금 103억 × 20.00%(주석 이자비용 연율 24.7% &gt; 상한 20% → 상한으로 클립(CF 창 2023Q2~2026Q1(la −1분기) 가 주석보다 오래됨))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2분기 &lt; 4 → 0) (항등식); 이자손익 = 이자발생자산 -23억 × 0.97%(주석 이자수익 ÷ 평균 이자발생자산(2025Q3~2026Q2)) − 총차입금 103억 × 20.00%(주석 이자비용 연율 24.7% &gt; 상한 20% → 상한으로 클립(CF 창 2023Q2~2026Q1(la −1분기) 가 주석보다 오래됨))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2분기 &lt; 4 → 0) (항등식); 이자손익 = 이자발생자산 -33억 × 0.97%(주석 이자수익 ÷ 평균 이자발생자산(2025Q3~2026Q2)) − 총차입금 103억 × 20.00%(주석 이자비용 연율 24.7% &gt; 상한 20% → 상한으로 클립(CF 창 2023Q2~2026Q1(la −1분기) 가 주석보다 오래됨))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2분기 &lt; 4 → 0) (항등식); 이자손익 = 이자발생자산 -44억 × 0.97%(주석 이자수익 ÷ 평균 이자발생자산(2025Q3~2026Q2)) − 총차입금 103억 × 20.00%(주석 이자비용 연율 24.7% &gt; 상한 20% → 상한으로 클립(CF 창 2023Q2~2026Q1(la −1분기) 가 주석보다 오래됨))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2분기 &lt; 4 → 0) (항등식); 이자손익 = 이자발생자산 -57억 × 0.97%(주석 이자수익 ÷ 평균 이자발생자산(2025Q3~2026Q2)) − 총차입금 103억 × 20.00%(주석 이자비용 연율 24.7% &gt; 상한 20% → 상한으로 클립(CF 창 2023Q2~2026Q1(la −1분기) 가 주석보다 오래됨))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2분기 &lt; 4 → 0) (항등식); 이자손익 = 이자발생자산 -67억 × 0.97%(주석 이자수익 ÷ 평균 이자발생자산(2025Q3~2026Q2)) − 총차입금 103억 × 20.00%(주석 이자비용 연율 24.7% &gt; 상한 20% → 상한으로 클립(CF 창 2023Q2~2026Q1(la −1분기) 가 주석보다 오래됨))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2분기 &lt; 4 → 0) (항등식); 이자손익 = 이자발생자산 -77억 × 0.97%(주석 이자수익 ÷ 평균 이자발생자산(2025Q3~2026Q2)) − 총차입금 103억 × 20.00%(주석 이자비용 연율 24.7% &gt; 상한 20% → 상한으로 클립(CF 창 2023Q2~2026Q1(la −1분기) 가 주석보다 오래됨))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2분기 &lt; 4 → 0) (항등식); 이자손익 = 이자발생자산 -89억 × 0.97%(주석 이자수익 ÷ 평균 이자발생자산(2025Q3~2026Q2)) − 총차입금 103억 × 20.00%(주석 이자비용 연율 24.7% &gt; 상한 20% → 상한으로 클립(CF 창 2023Q2~2026Q1(la −1분기) 가 주석보다 오래됨)) (연율) ÷ 4; 환율 효과는 환관련손익 행 별도
[identity]</t>
      </text>
    </comment>
    <comment ref="AC12" authorId="0" shapeId="0">
      <text>
        <t>추정: 이자발생자산 12억 × 0.97%(주석 이자수익 ÷ 평균 이자발생자산(2025Q3~2026Q2)) − 총차입금 103억 × 20.00%(주석 이자비용 연율 24.7% &gt; 상한 20% → 상한으로 클립(CF 창 2023Q2~2026Q1(la −1분기) 가 주석보다 오래됨)) (연율) ÷ 4
[interest]</t>
      </text>
    </comment>
    <comment ref="AD12" authorId="0" shapeId="0">
      <text>
        <t>추정: 이자발생자산 -0억 × 0.97%(주석 이자수익 ÷ 평균 이자발생자산(2025Q3~2026Q2)) − 총차입금 103억 × 20.00%(주석 이자비용 연율 24.7% &gt; 상한 20% → 상한으로 클립(CF 창 2023Q2~2026Q1(la −1분기) 가 주석보다 오래됨)) (연율) ÷ 4
[interest]</t>
      </text>
    </comment>
    <comment ref="AF12" authorId="0" shapeId="0">
      <text>
        <t>추정: 이자발생자산 -13억 × 0.97%(주석 이자수익 ÷ 평균 이자발생자산(2025Q3~2026Q2)) − 총차입금 103억 × 20.00%(주석 이자비용 연율 24.7% &gt; 상한 20% → 상한으로 클립(CF 창 2023Q2~2026Q1(la −1분기) 가 주석보다 오래됨)) (연율) ÷ 4
[interest]</t>
      </text>
    </comment>
    <comment ref="AG12" authorId="0" shapeId="0">
      <text>
        <t>추정: 이자발생자산 -23억 × 0.97%(주석 이자수익 ÷ 평균 이자발생자산(2025Q3~2026Q2)) − 총차입금 103억 × 20.00%(주석 이자비용 연율 24.7% &gt; 상한 20% → 상한으로 클립(CF 창 2023Q2~2026Q1(la −1분기) 가 주석보다 오래됨)) (연율) ÷ 4
[interest]</t>
      </text>
    </comment>
    <comment ref="AH12" authorId="0" shapeId="0">
      <text>
        <t>추정: 이자발생자산 -33억 × 0.97%(주석 이자수익 ÷ 평균 이자발생자산(2025Q3~2026Q2)) − 총차입금 103억 × 20.00%(주석 이자비용 연율 24.7% &gt; 상한 20% → 상한으로 클립(CF 창 2023Q2~2026Q1(la −1분기) 가 주석보다 오래됨)) (연율) ÷ 4
[interest]</t>
      </text>
    </comment>
    <comment ref="AI12" authorId="0" shapeId="0">
      <text>
        <t>추정: 이자발생자산 -44억 × 0.97%(주석 이자수익 ÷ 평균 이자발생자산(2025Q3~2026Q2)) − 총차입금 103억 × 20.00%(주석 이자비용 연율 24.7% &gt; 상한 20% → 상한으로 클립(CF 창 2023Q2~2026Q1(la −1분기) 가 주석보다 오래됨)) (연율) ÷ 4
[interest]</t>
      </text>
    </comment>
    <comment ref="AK12" authorId="0" shapeId="0">
      <text>
        <t>추정: 이자발생자산 -57억 × 0.97%(주석 이자수익 ÷ 평균 이자발생자산(2025Q3~2026Q2)) − 총차입금 103억 × 20.00%(주석 이자비용 연율 24.7% &gt; 상한 20% → 상한으로 클립(CF 창 2023Q2~2026Q1(la −1분기) 가 주석보다 오래됨)) (연율) ÷ 4
[interest]</t>
      </text>
    </comment>
    <comment ref="AL12" authorId="0" shapeId="0">
      <text>
        <t>추정: 이자발생자산 -67억 × 0.97%(주석 이자수익 ÷ 평균 이자발생자산(2025Q3~2026Q2)) − 총차입금 103억 × 20.00%(주석 이자비용 연율 24.7% &gt; 상한 20% → 상한으로 클립(CF 창 2023Q2~2026Q1(la −1분기) 가 주석보다 오래됨)) (연율) ÷ 4
[interest]</t>
      </text>
    </comment>
    <comment ref="AM12" authorId="0" shapeId="0">
      <text>
        <t>추정: 이자발생자산 -77억 × 0.97%(주석 이자수익 ÷ 평균 이자발생자산(2025Q3~2026Q2)) − 총차입금 103억 × 20.00%(주석 이자비용 연율 24.7% &gt; 상한 20% → 상한으로 클립(CF 창 2023Q2~2026Q1(la −1분기) 가 주석보다 오래됨)) (연율) ÷ 4
[interest]</t>
      </text>
    </comment>
    <comment ref="AN12" authorId="0" shapeId="0">
      <text>
        <t>추정: 이자발생자산 -89억 × 0.97%(주석 이자수익 ÷ 평균 이자발생자산(2025Q3~2026Q2)) − 총차입금 103억 × 20.00%(주석 이자비용 연율 24.7% &gt; 상한 20% → 상한으로 클립(CF 창 2023Q2~2026Q1(la −1분기) 가 주석보다 오래됨)) (연율) ÷ 4
[interest]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잔차 실측 2분기 &lt; 4 → 0
[abs]</t>
      </text>
    </comment>
    <comment ref="AD15" authorId="0" shapeId="0">
      <text>
        <t>추정: 잔차 실측 2분기 &lt; 4 → 0
[abs]</t>
      </text>
    </comment>
    <comment ref="AF15" authorId="0" shapeId="0">
      <text>
        <t>추정: 잔차 실측 2분기 &lt; 4 → 0
[abs]</t>
      </text>
    </comment>
    <comment ref="AG15" authorId="0" shapeId="0">
      <text>
        <t>추정: 잔차 실측 2분기 &lt; 4 → 0
[abs]</t>
      </text>
    </comment>
    <comment ref="AH15" authorId="0" shapeId="0">
      <text>
        <t>추정: 잔차 실측 2분기 &lt; 4 → 0
[abs]</t>
      </text>
    </comment>
    <comment ref="AI15" authorId="0" shapeId="0">
      <text>
        <t>추정: 잔차 실측 2분기 &lt; 4 → 0
[abs]</t>
      </text>
    </comment>
    <comment ref="AK15" authorId="0" shapeId="0">
      <text>
        <t>추정: 잔차 실측 2분기 &lt; 4 → 0
[abs]</t>
      </text>
    </comment>
    <comment ref="AL15" authorId="0" shapeId="0">
      <text>
        <t>추정: 잔차 실측 2분기 &lt; 4 → 0
[abs]</t>
      </text>
    </comment>
    <comment ref="AM15" authorId="0" shapeId="0">
      <text>
        <t>추정: 잔차 실측 2분기 &lt; 4 → 0
[abs]</t>
      </text>
    </comment>
    <comment ref="AN15" authorId="0" shapeId="0">
      <text>
        <t>추정: 잔차 실측 2분기 &lt; 4 → 0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22.0%(최근 12분기 세전 합 ≤ 0; 세전 &gt; 0 분기 중위 -22.7% 도 5~27% 밖 → 법정세율 근사 22% 가정)
[ratio]</t>
      </text>
    </comment>
    <comment ref="AD19" authorId="0" shapeId="0">
      <text>
        <t>추정: max(세전, 0) × 세율 22.0%(최근 12분기 세전 합 ≤ 0; 세전 &gt; 0 분기 중위 -22.7% 도 5~27% 밖 → 법정세율 근사 22% 가정)
[ratio]</t>
      </text>
    </comment>
    <comment ref="AF19" authorId="0" shapeId="0">
      <text>
        <t>추정: max(세전, 0) × 세율 22.0%(최근 12분기 세전 합 ≤ 0; 세전 &gt; 0 분기 중위 -22.7% 도 5~27% 밖 → 법정세율 근사 22% 가정)
[ratio]</t>
      </text>
    </comment>
    <comment ref="AG19" authorId="0" shapeId="0">
      <text>
        <t>추정: max(세전, 0) × 세율 22.0%(최근 12분기 세전 합 ≤ 0; 세전 &gt; 0 분기 중위 -22.7% 도 5~27% 밖 → 법정세율 근사 22% 가정)
[ratio]</t>
      </text>
    </comment>
    <comment ref="AH19" authorId="0" shapeId="0">
      <text>
        <t>추정: max(세전, 0) × 세율 22.0%(최근 12분기 세전 합 ≤ 0; 세전 &gt; 0 분기 중위 -22.7% 도 5~27% 밖 → 법정세율 근사 22% 가정)
[ratio]</t>
      </text>
    </comment>
    <comment ref="AI19" authorId="0" shapeId="0">
      <text>
        <t>추정: max(세전, 0) × 세율 22.0%(최근 12분기 세전 합 ≤ 0; 세전 &gt; 0 분기 중위 -22.7% 도 5~27% 밖 → 법정세율 근사 22% 가정)
[ratio]</t>
      </text>
    </comment>
    <comment ref="AK19" authorId="0" shapeId="0">
      <text>
        <t>추정: max(세전, 0) × 세율 22.0%(최근 12분기 세전 합 ≤ 0; 세전 &gt; 0 분기 중위 -22.7% 도 5~27% 밖 → 법정세율 근사 22% 가정)
[ratio]</t>
      </text>
    </comment>
    <comment ref="AL19" authorId="0" shapeId="0">
      <text>
        <t>추정: max(세전, 0) × 세율 22.0%(최근 12분기 세전 합 ≤ 0; 세전 &gt; 0 분기 중위 -22.7% 도 5~27% 밖 → 법정세율 근사 22% 가정)
[ratio]</t>
      </text>
    </comment>
    <comment ref="AM19" authorId="0" shapeId="0">
      <text>
        <t>추정: max(세전, 0) × 세율 22.0%(최근 12분기 세전 합 ≤ 0; 세전 &gt; 0 분기 중위 -22.7% 도 5~27% 밖 → 법정세율 근사 22% 가정)
[ratio]</t>
      </text>
    </comment>
    <comment ref="AN19" authorId="0" shapeId="0">
      <text>
        <t>추정: max(세전, 0) × 세율 22.0%(최근 12분기 세전 합 ≤ 0; 세전 &gt; 0 분기 중위 -22.7% 도 5~27% 밖 → 법정세율 근사 22% 가정)
[ratio]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0.0%, 최근 8분기 실측)
[ratio]</t>
      </text>
    </comment>
    <comment ref="AD21" authorId="0" shapeId="0">
      <text>
        <t>추정: 당기순이익 × (1 − 비지배 비중 0.0%, 최근 8분기 실측)
[ratio]</t>
      </text>
    </comment>
    <comment ref="AF21" authorId="0" shapeId="0">
      <text>
        <t>추정: 당기순이익 × (1 − 비지배 비중 0.0%, 최근 8분기 실측)
[ratio]</t>
      </text>
    </comment>
    <comment ref="AG21" authorId="0" shapeId="0">
      <text>
        <t>추정: 당기순이익 × (1 − 비지배 비중 0.0%, 최근 8분기 실측)
[ratio]</t>
      </text>
    </comment>
    <comment ref="AH21" authorId="0" shapeId="0">
      <text>
        <t>추정: 당기순이익 × (1 − 비지배 비중 0.0%, 최근 8분기 실측)
[ratio]</t>
      </text>
    </comment>
    <comment ref="AI21" authorId="0" shapeId="0">
      <text>
        <t>추정: 당기순이익 × (1 − 비지배 비중 0.0%, 최근 8분기 실측)
[ratio]</t>
      </text>
    </comment>
    <comment ref="AK21" authorId="0" shapeId="0">
      <text>
        <t>추정: 당기순이익 × (1 − 비지배 비중 0.0%, 최근 8분기 실측)
[ratio]</t>
      </text>
    </comment>
    <comment ref="AL21" authorId="0" shapeId="0">
      <text>
        <t>추정: 당기순이익 × (1 − 비지배 비중 0.0%, 최근 8분기 실측)
[ratio]</t>
      </text>
    </comment>
    <comment ref="AM21" authorId="0" shapeId="0">
      <text>
        <t>추정: 당기순이익 × (1 − 비지배 비중 0.0%, 최근 8분기 실측)
[ratio]</t>
      </text>
    </comment>
    <comment ref="AN21" authorId="0" shapeId="0">
      <text>
        <t>추정: 당기순이익 × (1 − 비지배 비중 0.0%, 최근 8분기 실측)
[ratio]</t>
      </text>
    </comment>
    <comment ref="F22" authorId="0" shapeId="0">
      <text>
        <t>연간 실측(BS 시트에 2021.12A 없음 — 모델 a 값 직접)</t>
      </text>
    </comment>
    <comment ref="AC22" authorId="0" shapeId="0">
      <text>
        <t>추정: 부채총계 + 자본총계(항등식)
[identity]</t>
      </text>
    </comment>
    <comment ref="AD22" authorId="0" shapeId="0">
      <text>
        <t>추정: 부채총계 + 자본총계(항등식)
[identity]</t>
      </text>
    </comment>
    <comment ref="AF22" authorId="0" shapeId="0">
      <text>
        <t>추정: 부채총계 + 자본총계(항등식)
[identity]</t>
      </text>
    </comment>
    <comment ref="AG22" authorId="0" shapeId="0">
      <text>
        <t>추정: 부채총계 + 자본총계(항등식)
[identity]</t>
      </text>
    </comment>
    <comment ref="AH22" authorId="0" shapeId="0">
      <text>
        <t>추정: 부채총계 + 자본총계(항등식)
[identity]</t>
      </text>
    </comment>
    <comment ref="AI22" authorId="0" shapeId="0">
      <text>
        <t>추정: 부채총계 + 자본총계(항등식)
[identity]</t>
      </text>
    </comment>
    <comment ref="AK22" authorId="0" shapeId="0">
      <text>
        <t>추정: 부채총계 + 자본총계(항등식)
[identity]</t>
      </text>
    </comment>
    <comment ref="AL22" authorId="0" shapeId="0">
      <text>
        <t>추정: 부채총계 + 자본총계(항등식)
[identity]</t>
      </text>
    </comment>
    <comment ref="AM22" authorId="0" shapeId="0">
      <text>
        <t>추정: 부채총계 + 자본총계(항등식)
[identity]</t>
      </text>
    </comment>
    <comment ref="AN22" authorId="0" shapeId="0">
      <text>
        <t>추정: 부채총계 + 자본총계(항등식)
[identity]</t>
      </text>
    </comment>
    <comment ref="F23" authorId="0" shapeId="0">
      <text>
        <t>연간 실측(BS 시트에 2021.12A 없음 — 모델 a 값 직접)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F24" authorId="0" shapeId="0">
      <text>
        <t>연간 실측(BS 시트에 2021.12A 없음 — 모델 a 값 직접)</t>
      </text>
    </comment>
    <comment ref="AC24" authorId="0" shapeId="0">
      <text>
        <t>추정: 전분기 + 당기순이익 − 배당(Q2 지급 가정)
[roll]</t>
      </text>
    </comment>
    <comment ref="AD24" authorId="0" shapeId="0">
      <text>
        <t>추정: 전분기 + 당기순이익 − 배당(Q2 지급 가정)
[roll]</t>
      </text>
    </comment>
    <comment ref="AF24" authorId="0" shapeId="0">
      <text>
        <t>추정: 전분기 + 당기순이익 − 배당(Q2 지급 가정)
[roll]</t>
      </text>
    </comment>
    <comment ref="AG24" authorId="0" shapeId="0">
      <text>
        <t>추정: 전분기 + 당기순이익 − 배당(Q2 지급 가정)
[roll]</t>
      </text>
    </comment>
    <comment ref="AH24" authorId="0" shapeId="0">
      <text>
        <t>추정: 전분기 + 당기순이익 − 배당(Q2 지급 가정)
[roll]</t>
      </text>
    </comment>
    <comment ref="AI24" authorId="0" shapeId="0">
      <text>
        <t>추정: 전분기 + 당기순이익 − 배당(Q2 지급 가정)
[roll]</t>
      </text>
    </comment>
    <comment ref="AK24" authorId="0" shapeId="0">
      <text>
        <t>추정: 전분기 + 당기순이익 − 배당(Q2 지급 가정)
[roll]</t>
      </text>
    </comment>
    <comment ref="AL24" authorId="0" shapeId="0">
      <text>
        <t>추정: 전분기 + 당기순이익 − 배당(Q2 지급 가정)
[roll]</t>
      </text>
    </comment>
    <comment ref="AM24" authorId="0" shapeId="0">
      <text>
        <t>추정: 전분기 + 당기순이익 − 배당(Q2 지급 가정)
[roll]</t>
      </text>
    </comment>
    <comment ref="AN24" authorId="0" shapeId="0">
      <text>
        <t>추정: 전분기 + 당기순이익 − 배당(Q2 지급 가정)
[roll]</t>
      </text>
    </comment>
    <comment ref="F25" authorId="0" shapeId="0">
      <text>
        <t>연간 실측(BS 시트에 2021.12A 없음 — 모델 a 값 직접)</t>
      </text>
    </comment>
    <comment ref="AC25" authorId="0" shapeId="0">
      <text>
        <t>추정: 전분기 + 지배주주순이익 − 배당
[roll]</t>
      </text>
    </comment>
    <comment ref="AD25" authorId="0" shapeId="0">
      <text>
        <t>추정: 전분기 + 지배주주순이익 − 배당
[roll]</t>
      </text>
    </comment>
    <comment ref="AF25" authorId="0" shapeId="0">
      <text>
        <t>추정: 전분기 + 지배주주순이익 − 배당
[roll]</t>
      </text>
    </comment>
    <comment ref="AG25" authorId="0" shapeId="0">
      <text>
        <t>추정: 전분기 + 지배주주순이익 − 배당
[roll]</t>
      </text>
    </comment>
    <comment ref="AH25" authorId="0" shapeId="0">
      <text>
        <t>추정: 전분기 + 지배주주순이익 − 배당
[roll]</t>
      </text>
    </comment>
    <comment ref="AI25" authorId="0" shapeId="0">
      <text>
        <t>추정: 전분기 + 지배주주순이익 − 배당
[roll]</t>
      </text>
    </comment>
    <comment ref="AK25" authorId="0" shapeId="0">
      <text>
        <t>추정: 전분기 + 지배주주순이익 − 배당
[roll]</t>
      </text>
    </comment>
    <comment ref="AL25" authorId="0" shapeId="0">
      <text>
        <t>추정: 전분기 + 지배주주순이익 − 배당
[roll]</t>
      </text>
    </comment>
    <comment ref="AM25" authorId="0" shapeId="0">
      <text>
        <t>추정: 전분기 + 지배주주순이익 − 배당
[roll]</t>
      </text>
    </comment>
    <comment ref="AN25" authorId="0" shapeId="0">
      <text>
        <t>추정: 전분기 + 지배주주순이익 − 배당
[roll]</t>
      </text>
    </comment>
    <comment ref="F26" authorId="0" shapeId="0">
      <text>
        <t>연간 실측(BS 시트에 2021.12A 없음 — 모델 a 값 직접)</t>
      </text>
    </comment>
    <comment ref="AC26" authorId="0" shapeId="0">
      <text>
        <t>추정: 마지막 실적 유지(가정)
[qoq]</t>
      </text>
    </comment>
    <comment ref="AD26" authorId="0" shapeId="0">
      <text>
        <t>추정: 마지막 실적 유지(가정)
[qoq]</t>
      </text>
    </comment>
    <comment ref="AF26" authorId="0" shapeId="0">
      <text>
        <t>추정: 마지막 실적 유지(가정)
[qoq]</t>
      </text>
    </comment>
    <comment ref="AG26" authorId="0" shapeId="0">
      <text>
        <t>추정: 마지막 실적 유지(가정)
[qoq]</t>
      </text>
    </comment>
    <comment ref="AH26" authorId="0" shapeId="0">
      <text>
        <t>추정: 마지막 실적 유지(가정)
[qoq]</t>
      </text>
    </comment>
    <comment ref="AI26" authorId="0" shapeId="0">
      <text>
        <t>추정: 마지막 실적 유지(가정)
[qoq]</t>
      </text>
    </comment>
    <comment ref="AK26" authorId="0" shapeId="0">
      <text>
        <t>추정: 마지막 실적 유지(가정)
[qoq]</t>
      </text>
    </comment>
    <comment ref="AL26" authorId="0" shapeId="0">
      <text>
        <t>추정: 마지막 실적 유지(가정)
[qoq]</t>
      </text>
    </comment>
    <comment ref="AM26" authorId="0" shapeId="0">
      <text>
        <t>추정: 마지막 실적 유지(가정)
[qoq]</t>
      </text>
    </comment>
    <comment ref="AN26" authorId="0" shapeId="0">
      <text>
        <t>추정: 마지막 실적 유지(가정)
[qoq]</t>
      </text>
    </comment>
    <comment ref="F27" authorId="0" shapeId="0">
      <text>
        <t>연간 실측(BS 시트에 2021.12A 없음 — 모델 a 값 직접)</t>
      </text>
    </comment>
    <comment ref="AC27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D27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F27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G27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H27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I27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K27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L27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M27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N27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F28" authorId="0" shapeId="0">
      <text>
        <t>연간 실측(BS 시트에 2021.12A 없음 — 모델 a 값 직접)</t>
      </text>
    </comment>
    <comment ref="AC28" authorId="0" shapeId="0">
      <text>
        <t>추정: 전분기 + FCF 근사 — 순차입금 롤과 같은 가정
[qoq]</t>
      </text>
    </comment>
    <comment ref="AD28" authorId="0" shapeId="0">
      <text>
        <t>추정: 전분기 + FCF 근사 — 순차입금 롤과 같은 가정
[qoq]</t>
      </text>
    </comment>
    <comment ref="AF28" authorId="0" shapeId="0">
      <text>
        <t>추정: 전분기 + FCF 근사 — 순차입금 롤과 같은 가정
[qoq]</t>
      </text>
    </comment>
    <comment ref="AG28" authorId="0" shapeId="0">
      <text>
        <t>추정: 전분기 + FCF 근사 — 순차입금 롤과 같은 가정
[qoq]</t>
      </text>
    </comment>
    <comment ref="AH28" authorId="0" shapeId="0">
      <text>
        <t>추정: 전분기 + FCF 근사 — 순차입금 롤과 같은 가정
[qoq]</t>
      </text>
    </comment>
    <comment ref="AI28" authorId="0" shapeId="0">
      <text>
        <t>추정: 전분기 + FCF 근사 — 순차입금 롤과 같은 가정
[qoq]</t>
      </text>
    </comment>
    <comment ref="AK28" authorId="0" shapeId="0">
      <text>
        <t>추정: 전분기 + FCF 근사 — 순차입금 롤과 같은 가정
[qoq]</t>
      </text>
    </comment>
    <comment ref="AL28" authorId="0" shapeId="0">
      <text>
        <t>추정: 전분기 + FCF 근사 — 순차입금 롤과 같은 가정
[qoq]</t>
      </text>
    </comment>
    <comment ref="AM28" authorId="0" shapeId="0">
      <text>
        <t>추정: 전분기 + FCF 근사 — 순차입금 롤과 같은 가정
[qoq]</t>
      </text>
    </comment>
    <comment ref="AN28" authorId="0" shapeId="0">
      <text>
        <t>추정: 전분기 + FCF 근사 — 순차입금 롤과 같은 가정
[qoq]</t>
      </text>
    </comment>
    <comment ref="F29" authorId="0" shapeId="0">
      <text>
        <t>연간 실측(BS 시트에 2021.12A 없음 — 모델 a 값 직접)</t>
      </text>
    </comment>
    <comment ref="AC30" authorId="0" shapeId="0">
      <text>
        <t>추정: 최근 4분기(2025Q1~2025Q4) CAPEX 중위 유지 — 순차입금 롤에 미반영(감가상각비 없음 → CAPEX≈감가 가정)
[yoy]</t>
      </text>
    </comment>
    <comment ref="AD30" authorId="0" shapeId="0">
      <text>
        <t>추정: 최근 4분기(2025Q1~2025Q4) CAPEX 중위 유지 — 순차입금 롤에 미반영(감가상각비 없음 → CAPEX≈감가 가정)
[yoy]</t>
      </text>
    </comment>
    <comment ref="AF30" authorId="0" shapeId="0">
      <text>
        <t>추정: 최근 4분기(2025Q1~2025Q4) CAPEX 중위 유지 — 순차입금 롤에 미반영(감가상각비 없음 → CAPEX≈감가 가정)
[yoy]</t>
      </text>
    </comment>
    <comment ref="AG30" authorId="0" shapeId="0">
      <text>
        <t>추정: 최근 4분기(2025Q1~2025Q4) CAPEX 중위 유지 — 순차입금 롤에 미반영(감가상각비 없음 → CAPEX≈감가 가정)
[yoy]</t>
      </text>
    </comment>
    <comment ref="AH30" authorId="0" shapeId="0">
      <text>
        <t>추정: 최근 4분기(2025Q1~2025Q4) CAPEX 중위 유지 — 순차입금 롤에 미반영(감가상각비 없음 → CAPEX≈감가 가정)
[yoy]</t>
      </text>
    </comment>
    <comment ref="AI30" authorId="0" shapeId="0">
      <text>
        <t>추정: 최근 4분기(2025Q1~2025Q4) CAPEX 중위 유지 — 순차입금 롤에 미반영(감가상각비 없음 → CAPEX≈감가 가정)
[yoy]</t>
      </text>
    </comment>
    <comment ref="AK30" authorId="0" shapeId="0">
      <text>
        <t>추정: 최근 4분기(2025Q1~2025Q4) CAPEX 중위 유지 — 순차입금 롤에 미반영(감가상각비 없음 → CAPEX≈감가 가정)
[yoy]</t>
      </text>
    </comment>
    <comment ref="AL30" authorId="0" shapeId="0">
      <text>
        <t>추정: 최근 4분기(2025Q1~2025Q4) CAPEX 중위 유지 — 순차입금 롤에 미반영(감가상각비 없음 → CAPEX≈감가 가정)
[yoy]</t>
      </text>
    </comment>
    <comment ref="AM30" authorId="0" shapeId="0">
      <text>
        <t>추정: 최근 4분기(2025Q1~2025Q4) CAPEX 중위 유지 — 순차입금 롤에 미반영(감가상각비 없음 → CAPEX≈감가 가정)
[yoy]</t>
      </text>
    </comment>
    <comment ref="AN30" authorId="0" shapeId="0">
      <text>
        <t>추정: 최근 4분기(2025Q1~2025Q4)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H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L32" authorId="0" shapeId="0">
      <text>
        <t>실측(계정 매핑 없음(파생·부문·시세 행) — 모델값 직접) — fin.shares.common_outstanding</t>
      </text>
    </comment>
    <comment ref="M32" authorId="0" shapeId="0">
      <text>
        <t>실측(계정 매핑 없음(파생·부문·시세 행) — 모델값 직접) — fin.shares.common_outstanding</t>
      </text>
    </comment>
    <comment ref="N32" authorId="0" shapeId="0">
      <text>
        <t>실측(계정 매핑 없음(파생·부문·시세 행) — 모델값 직접) — fin.shares.common_outstanding</t>
      </text>
    </comment>
    <comment ref="O32" authorId="0" shapeId="0">
      <text>
        <t>실측(계정 매핑 없음(파생·부문·시세 행) — 모델값 직접) — fin.shares.common_outstanding</t>
      </text>
    </comment>
    <comment ref="Q32" authorId="0" shapeId="0">
      <text>
        <t>실측(계정 매핑 없음(파생·부문·시세 행) — 모델값 직접) — fin.shares.common_outstanding</t>
      </text>
    </comment>
    <comment ref="R32" authorId="0" shapeId="0">
      <text>
        <t>실측(계정 매핑 없음(파생·부문·시세 행) — 모델값 직접) — fin.shares.common_outstanding</t>
      </text>
    </comment>
    <comment ref="S32" authorId="0" shapeId="0">
      <text>
        <t>실측(계정 매핑 없음(파생·부문·시세 행) — 모델값 직접) — fin.shares.common_outstanding</t>
      </text>
    </comment>
    <comment ref="T32" authorId="0" shapeId="0">
      <text>
        <t>실측(계정 매핑 없음(파생·부문·시세 행) — 모델값 직접) — fin.shares.common_outstanding</t>
      </text>
    </comment>
    <comment ref="V32" authorId="0" shapeId="0">
      <text>
        <t>실측(계정 매핑 없음(파생·부문·시세 행) — 모델값 직접) — fin.shares.common_outstanding</t>
      </text>
    </comment>
    <comment ref="W32" authorId="0" shapeId="0">
      <text>
        <t>실측(계정 매핑 없음(파생·부문·시세 행) — 모델값 직접) — fin.shares.common_outstanding</t>
      </text>
    </comment>
    <comment ref="X32" authorId="0" shapeId="0">
      <text>
        <t>실측(계정 매핑 없음(파생·부문·시세 행) — 모델값 직접) — fin.shares.common_outstanding</t>
      </text>
    </comment>
    <comment ref="Y32" authorId="0" shapeId="0">
      <text>
        <t>실측(계정 매핑 없음(파생·부문·시세 행) — 모델값 직접) — fin.shares.common_outstanding</t>
      </text>
    </comment>
    <comment ref="AA32" authorId="0" shapeId="0">
      <text>
        <t>실측(계정 매핑 없음(파생·부문·시세 행) — 모델값 직접) — fin.shares.common_outstanding</t>
      </text>
    </comment>
    <comment ref="AB32" authorId="0" shapeId="0">
      <text>
        <t>실측(계정 매핑 없음(파생·부문·시세 행) — 모델값 직접) — fin.shares.common_outstanding</t>
      </text>
    </comment>
    <comment ref="AC32" authorId="0" shapeId="0">
      <text>
        <t>추정: 유통주식수 유지 — fin.shares.common_outstanding(2026Q2)
[qoq]</t>
      </text>
    </comment>
    <comment ref="AD32" authorId="0" shapeId="0">
      <text>
        <t>추정: 유통주식수 유지 — fin.shares.common_outstanding(2026Q2)
[qoq]</t>
      </text>
    </comment>
    <comment ref="AF32" authorId="0" shapeId="0">
      <text>
        <t>추정: 유통주식수 유지 — fin.shares.common_outstanding(2026Q2)
[qoq]</t>
      </text>
    </comment>
    <comment ref="AG32" authorId="0" shapeId="0">
      <text>
        <t>추정: 유통주식수 유지 — fin.shares.common_outstanding(2026Q2)
[qoq]</t>
      </text>
    </comment>
    <comment ref="AH32" authorId="0" shapeId="0">
      <text>
        <t>추정: 유통주식수 유지 — fin.shares.common_outstanding(2026Q2)
[qoq]</t>
      </text>
    </comment>
    <comment ref="AI32" authorId="0" shapeId="0">
      <text>
        <t>추정: 유통주식수 유지 — fin.shares.common_outstanding(2026Q2)
[qoq]</t>
      </text>
    </comment>
    <comment ref="AK32" authorId="0" shapeId="0">
      <text>
        <t>추정: 유통주식수 유지 — fin.shares.common_outstanding(2026Q2)
[qoq]</t>
      </text>
    </comment>
    <comment ref="AL32" authorId="0" shapeId="0">
      <text>
        <t>추정: 유통주식수 유지 — fin.shares.common_outstanding(2026Q2)
[qoq]</t>
      </text>
    </comment>
    <comment ref="AM32" authorId="0" shapeId="0">
      <text>
        <t>추정: 유통주식수 유지 — fin.shares.common_outstanding(2026Q2)
[qoq]</t>
      </text>
    </comment>
    <comment ref="AN32" authorId="0" shapeId="0">
      <text>
        <t>추정: 유통주식수 유지 — fin.shares.common_outstanding(2026Q2)
[qoq]</t>
      </text>
    </comment>
    <comment ref="AC33" authorId="0" shapeId="0">
      <text>
        <t>추정: 지배주주순이익 ÷ 유통주식수
[per_share]</t>
      </text>
    </comment>
    <comment ref="AD33" authorId="0" shapeId="0">
      <text>
        <t>추정: 지배주주순이익 ÷ 유통주식수
[per_share]</t>
      </text>
    </comment>
    <comment ref="AF33" authorId="0" shapeId="0">
      <text>
        <t>추정: 지배주주순이익 ÷ 유통주식수
[per_share]</t>
      </text>
    </comment>
    <comment ref="AG33" authorId="0" shapeId="0">
      <text>
        <t>추정: 지배주주순이익 ÷ 유통주식수
[per_share]</t>
      </text>
    </comment>
    <comment ref="AH33" authorId="0" shapeId="0">
      <text>
        <t>추정: 지배주주순이익 ÷ 유통주식수
[per_share]</t>
      </text>
    </comment>
    <comment ref="AI33" authorId="0" shapeId="0">
      <text>
        <t>추정: 지배주주순이익 ÷ 유통주식수
[per_share]</t>
      </text>
    </comment>
    <comment ref="AK33" authorId="0" shapeId="0">
      <text>
        <t>추정: 지배주주순이익 ÷ 유통주식수
[per_share]</t>
      </text>
    </comment>
    <comment ref="AL33" authorId="0" shapeId="0">
      <text>
        <t>추정: 지배주주순이익 ÷ 유통주식수
[per_share]</t>
      </text>
    </comment>
    <comment ref="AM33" authorId="0" shapeId="0">
      <text>
        <t>추정: 지배주주순이익 ÷ 유통주식수
[per_share]</t>
      </text>
    </comment>
    <comment ref="AN33" authorId="0" shapeId="0">
      <text>
        <t>추정: 지배주주순이익 ÷ 유통주식수
[per_share]</t>
      </text>
    </comment>
    <comment ref="AC34" authorId="0" shapeId="0">
      <text>
        <t>추정: 지배주주지분 ÷ 유통주식수
[per_share]</t>
      </text>
    </comment>
    <comment ref="AD34" authorId="0" shapeId="0">
      <text>
        <t>추정: 지배주주지분 ÷ 유통주식수
[per_share]</t>
      </text>
    </comment>
    <comment ref="AF34" authorId="0" shapeId="0">
      <text>
        <t>추정: 지배주주지분 ÷ 유통주식수
[per_share]</t>
      </text>
    </comment>
    <comment ref="AG34" authorId="0" shapeId="0">
      <text>
        <t>추정: 지배주주지분 ÷ 유통주식수
[per_share]</t>
      </text>
    </comment>
    <comment ref="AH34" authorId="0" shapeId="0">
      <text>
        <t>추정: 지배주주지분 ÷ 유통주식수
[per_share]</t>
      </text>
    </comment>
    <comment ref="AI34" authorId="0" shapeId="0">
      <text>
        <t>추정: 지배주주지분 ÷ 유통주식수
[per_share]</t>
      </text>
    </comment>
    <comment ref="AK34" authorId="0" shapeId="0">
      <text>
        <t>추정: 지배주주지분 ÷ 유통주식수
[per_share]</t>
      </text>
    </comment>
    <comment ref="AL34" authorId="0" shapeId="0">
      <text>
        <t>추정: 지배주주지분 ÷ 유통주식수
[per_share]</t>
      </text>
    </comment>
    <comment ref="AM34" authorId="0" shapeId="0">
      <text>
        <t>추정: 지배주주지분 ÷ 유통주식수
[per_share]</t>
      </text>
    </comment>
    <comment ref="AN34" authorId="0" shapeId="0">
      <text>
        <t>추정: 지배주주지분 ÷ 유통주식수
[per_share]</t>
      </text>
    </comment>
    <comment ref="E35" authorId="0" shapeId="0">
      <text>
        <t>실측(계정 매핑 없음(파생·부문·시세 행) — 모델값 직접) — fin.dividend.dps_common(연간, Q4 에 표기)</t>
      </text>
    </comment>
    <comment ref="F35" authorId="0" shapeId="0">
      <text>
        <t>연간(actual) — 분기 미완 연도, 모델 a 값 직접</t>
      </text>
    </comment>
    <comment ref="J35" authorId="0" shapeId="0">
      <text>
        <t>실측(계정 매핑 없음(파생·부문·시세 행) — 모델값 직접) — fin.dividend.dps_common(연간, Q4 에 표기)</t>
      </text>
    </comment>
    <comment ref="O35" authorId="0" shapeId="0">
      <text>
        <t>실측(계정 매핑 없음(파생·부문·시세 행) — 모델값 직접) — fin.dividend.dps_common(연간, Q4 에 표기)</t>
      </text>
    </comment>
    <comment ref="T35" authorId="0" shapeId="0">
      <text>
        <t>실측(계정 매핑 없음(파생·부문·시세 행) — 모델값 직접) — fin.dividend.dps_common(연간, Q4 에 표기)</t>
      </text>
    </comment>
    <comment ref="Y35" authorId="0" shapeId="0">
      <text>
        <t>실측(계정 매핑 없음(파생·부문·시세 행) — 모델값 직접) — fin.dividend.dps_common(연간, Q4 에 표기)</t>
      </text>
    </comment>
    <comment ref="AD35" authorId="0" shapeId="0">
      <text>
        <t>추정: 직전 결산 DPS 0원 유지
[abs]</t>
      </text>
    </comment>
    <comment ref="AI35" authorId="0" shapeId="0">
      <text>
        <t>추정: 직전 결산 DPS 0원 유지
[abs]</t>
      </text>
    </comment>
    <comment ref="AN35" authorId="0" shapeId="0">
      <text>
        <t>추정: 직전 결산 DPS 0원 유지
[abs]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= 매출액(부문 미분리)</t>
      </text>
    </comment>
    <comment ref="G37" authorId="0" shapeId="0">
      <text>
        <t>실측(계정 매핑 없음(파생·부문·시세 행) — 모델값 직접) — = 매출액(부문 미분리)</t>
      </text>
    </comment>
    <comment ref="H37" authorId="0" shapeId="0">
      <text>
        <t>실측(계정 매핑 없음(파생·부문·시세 행) — 모델값 직접) — = 매출액(부문 미분리)</t>
      </text>
    </comment>
    <comment ref="I37" authorId="0" shapeId="0">
      <text>
        <t>실측(계정 매핑 없음(파생·부문·시세 행) — 모델값 직접) — = 매출액(부문 미분리)</t>
      </text>
    </comment>
    <comment ref="J37" authorId="0" shapeId="0">
      <text>
        <t>실측(계정 매핑 없음(파생·부문·시세 행) — 모델값 직접) — = 매출액(부문 미분리)</t>
      </text>
    </comment>
    <comment ref="L37" authorId="0" shapeId="0">
      <text>
        <t>실측(계정 매핑 없음(파생·부문·시세 행) — 모델값 직접) — = 매출액(부문 미분리)</t>
      </text>
    </comment>
    <comment ref="M37" authorId="0" shapeId="0">
      <text>
        <t>실측(계정 매핑 없음(파생·부문·시세 행) — 모델값 직접) — = 매출액(부문 미분리)</t>
      </text>
    </comment>
    <comment ref="N37" authorId="0" shapeId="0">
      <text>
        <t>실측(계정 매핑 없음(파생·부문·시세 행) — 모델값 직접) — = 매출액(부문 미분리)</t>
      </text>
    </comment>
    <comment ref="O37" authorId="0" shapeId="0">
      <text>
        <t>실측(계정 매핑 없음(파생·부문·시세 행) — 모델값 직접) — = 매출액(부문 미분리)</t>
      </text>
    </comment>
    <comment ref="Q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실측(계정 매핑 없음(파생·부문·시세 행) — 모델값 직접) — = 매출액(부문 미분리)</t>
      </text>
    </comment>
    <comment ref="Y37" authorId="0" shapeId="0">
      <text>
        <t>실측(계정 매핑 없음(파생·부문·시세 행) — 모델값 직접) — = 매출액(부문 미분리)</t>
      </text>
    </comment>
    <comment ref="AA37" authorId="0" shapeId="0">
      <text>
        <t>실측(계정 매핑 없음(파생·부문·시세 행) — 모델값 직접) — = 매출액(부문 미분리)</t>
      </text>
    </comment>
    <comment ref="AB37" authorId="0" shapeId="0">
      <text>
        <t>실측(계정 매핑 없음(파생·부문·시세 행) — 모델값 직접) — = 매출액(부문 미분리)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AK37" authorId="0" shapeId="0">
      <text>
        <t>추정: = 매출액 추정(부문 미분리)
[identity]</t>
      </text>
    </comment>
    <comment ref="AL37" authorId="0" shapeId="0">
      <text>
        <t>추정: = 매출액 추정(부문 미분리)
[identity]</t>
      </text>
    </comment>
    <comment ref="AM37" authorId="0" shapeId="0">
      <text>
        <t>추정: = 매출액 추정(부문 미분리)
[identity]</t>
      </text>
    </comment>
    <comment ref="AN37" authorId="0" shapeId="0">
      <text>
        <t>추정: = 매출액 추정(부문 미분리)
[identity]</t>
      </text>
    </comment>
    <comment ref="E38" authorId="0" shapeId="0">
      <text>
        <t>실측(계정 매핑 없음(파생·부문·시세 행) — 모델값 직접) — = 영업이익(부문 미분리)</t>
      </text>
    </comment>
    <comment ref="G38" authorId="0" shapeId="0">
      <text>
        <t>실측(계정 매핑 없음(파생·부문·시세 행) — 모델값 직접) — = 영업이익(부문 미분리)</t>
      </text>
    </comment>
    <comment ref="H38" authorId="0" shapeId="0">
      <text>
        <t>실측(계정 매핑 없음(파생·부문·시세 행) — 모델값 직접) — = 영업이익(부문 미분리)</t>
      </text>
    </comment>
    <comment ref="I38" authorId="0" shapeId="0">
      <text>
        <t>실측(계정 매핑 없음(파생·부문·시세 행) — 모델값 직접) — = 영업이익(부문 미분리)</t>
      </text>
    </comment>
    <comment ref="J38" authorId="0" shapeId="0">
      <text>
        <t>실측(계정 매핑 없음(파생·부문·시세 행) — 모델값 직접) — = 영업이익(부문 미분리)</t>
      </text>
    </comment>
    <comment ref="L38" authorId="0" shapeId="0">
      <text>
        <t>실측(계정 매핑 없음(파생·부문·시세 행) — 모델값 직접) — = 영업이익(부문 미분리)</t>
      </text>
    </comment>
    <comment ref="M38" authorId="0" shapeId="0">
      <text>
        <t>실측(계정 매핑 없음(파생·부문·시세 행) — 모델값 직접) — = 영업이익(부문 미분리)</t>
      </text>
    </comment>
    <comment ref="N38" authorId="0" shapeId="0">
      <text>
        <t>실측(계정 매핑 없음(파생·부문·시세 행) — 모델값 직접) — = 영업이익(부문 미분리)</t>
      </text>
    </comment>
    <comment ref="O38" authorId="0" shapeId="0">
      <text>
        <t>실측(계정 매핑 없음(파생·부문·시세 행) — 모델값 직접) — = 영업이익(부문 미분리)</t>
      </text>
    </comment>
    <comment ref="Q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실측(계정 매핑 없음(파생·부문·시세 행) — 모델값 직접) — = 영업이익(부문 미분리)</t>
      </text>
    </comment>
    <comment ref="Y38" authorId="0" shapeId="0">
      <text>
        <t>실측(계정 매핑 없음(파생·부문·시세 행) — 모델값 직접) — = 영업이익(부문 미분리)</t>
      </text>
    </comment>
    <comment ref="AA38" authorId="0" shapeId="0">
      <text>
        <t>실측(계정 매핑 없음(파생·부문·시세 행) — 모델값 직접) — = 영업이익(부문 미분리)</t>
      </text>
    </comment>
    <comment ref="AB38" authorId="0" shapeId="0">
      <text>
        <t>실측(계정 매핑 없음(파생·부문·시세 행) — 모델값 직접) — = 영업이익(부문 미분리)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  <comment ref="AK38" authorId="0" shapeId="0">
      <text>
        <t>추정: = 매출액 × OPM(부문 미분리)
[identity]</t>
      </text>
    </comment>
    <comment ref="AL38" authorId="0" shapeId="0">
      <text>
        <t>추정: = 매출액 × OPM(부문 미분리)
[identity]</t>
      </text>
    </comment>
    <comment ref="AM38" authorId="0" shapeId="0">
      <text>
        <t>추정: = 매출액 × OPM(부문 미분리)
[identity]</t>
      </text>
    </comment>
    <comment ref="AN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삼영이엔씨(065570)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28.18%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0.97% / 부채 20.00% — 이자손익 = (전분기 이자발생자산 × 자산이자율 − 전분기 총차입금 × 부채이자율)/4, 최소자승 역산(모델 assumptions [0.0097, 0.2] 는 4자리 반올림이라 그대로 쓰면 ±1억 어긋남) · 출처: {"asset": "주석 이자수익 ÷ 평균 이자발생자산(2025Q3~2026Q2)", "debt": "주석 이자비용 연율 24.7% &gt; 상한 20% → 상한으로 클립(CF 창 2023Q2~2026Q1(la −1분기) 가 주석보다 오래됨)"}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판관비율, 지배주주비중, 이자율 · 연결 안 된 가정(모델값·분기별 역산 그대로): 세율(MAX(세전,0)×단일 세율로 재현 불가(지주 자회사 합산 등) → 분기별 역산)</t>
        </is>
      </c>
    </row>
    <row r="28">
      <c r="A28" t="inlineStr">
        <is>
          <t>· 밸류에이션 — PER 밴드 10.0/15.0/20.0배(sector_default(레퍼런스 TP_PE PB 예시 10/15/20배; 과거 양(+)EPS 분기 0개 &lt; 4))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assets/models/065570.json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총차입금 이자율: 주석 연율 24.7% 이상(주석 연율 24.7% &gt; 상한 20% · 주석/CF 7.49배 · CF 창 2023Q2~2026Q1(la −1분기) 가 주석 창(~2026Q2)보다 오래됨 → CF 로 교체 안 함) → 상한 20% 로 클립(assumptions.interest_rate_check) / 감가상각비가 face·CF 에 없음(주석 미파싱) → EBITDA·EV/EBITDA 미산출 / 금융손익 실적→추정 단절: 최근 4분기 실적 -2/-5/+0/-0(중위 -1억) → 추정 2026Q3 -5억(차 -4억, -422%)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25.7, "op_wape_pct": 341.0,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68.7, "rev_act": 90.64, "op_pred": -11.96, "op_act": -4.86}, {"q": "2025Q4", "rev_pred": 147.65, "rev_act": 113.74, "op_pred": -25.71, "op_act": 1.88}, {"q": "2026Q1", "rev_pred": 49.49, "rev_act": 50.77, "op_pred": -8.62, "op_act": -3.23}, {"q": "2026Q2", "rev_pred": 85.36, "rev_act": 61.26, "op_pred": -14.86, "op_act": 8.69}]}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1343.63</v>
      </c>
      <c r="AE6" s="17" t="n">
        <v>1456.58</v>
      </c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  <c r="AK6" s="16" t="n">
        <v>1333.09</v>
      </c>
      <c r="AL6" s="16" t="n">
        <v>1333.09</v>
      </c>
      <c r="AM6" s="16" t="n">
        <v>1333.09</v>
      </c>
      <c r="AN6" s="16" t="n">
        <v>1333.09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1333.09</v>
      </c>
      <c r="AE7" s="17" t="n">
        <v>1333.09</v>
      </c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  <c r="AK7" s="16" t="n">
        <v>1333.09</v>
      </c>
      <c r="AL7" s="16" t="n">
        <v>1333.09</v>
      </c>
      <c r="AM7" s="16" t="n">
        <v>1333.09</v>
      </c>
      <c r="AN7" s="16" t="n">
        <v>1333.09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849.51</v>
      </c>
      <c r="AE8" s="17" t="n">
        <v>918.8099999999999</v>
      </c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  <c r="AK8" s="16" t="n">
        <v>840.54</v>
      </c>
      <c r="AL8" s="16" t="n">
        <v>840.54</v>
      </c>
      <c r="AM8" s="16" t="n">
        <v>840.54</v>
      </c>
      <c r="AN8" s="16" t="n">
        <v>840.54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840.54</v>
      </c>
      <c r="AE9" s="17" t="n">
        <v>840.54</v>
      </c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  <c r="AK9" s="16" t="n">
        <v>840.54</v>
      </c>
      <c r="AL9" s="16" t="n">
        <v>840.54</v>
      </c>
      <c r="AM9" s="16" t="n">
        <v>840.54</v>
      </c>
      <c r="AN9" s="16" t="n">
        <v>840.54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1507.34</v>
      </c>
      <c r="AE10" s="17" t="n">
        <v>1688.95</v>
      </c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  <c r="AK10" s="16" t="n">
        <v>1490.54</v>
      </c>
      <c r="AL10" s="16" t="n">
        <v>1490.54</v>
      </c>
      <c r="AM10" s="16" t="n">
        <v>1490.54</v>
      </c>
      <c r="AN10" s="16" t="n">
        <v>1490.54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1490.54</v>
      </c>
      <c r="AE11" s="17" t="n">
        <v>1490.54</v>
      </c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  <c r="AK11" s="16" t="n">
        <v>1490.54</v>
      </c>
      <c r="AL11" s="16" t="n">
        <v>1490.54</v>
      </c>
      <c r="AM11" s="16" t="n">
        <v>1490.54</v>
      </c>
      <c r="AN11" s="16" t="n">
        <v>1490.54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200.5</v>
      </c>
      <c r="AE12" s="17" t="n">
        <v>213.68</v>
      </c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  <c r="AK12" s="16" t="n">
        <v>199.18</v>
      </c>
      <c r="AL12" s="16" t="n">
        <v>199.18</v>
      </c>
      <c r="AM12" s="16" t="n">
        <v>199.18</v>
      </c>
      <c r="AN12" s="16" t="n">
        <v>199.18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199.18</v>
      </c>
      <c r="AE13" s="17" t="n">
        <v>199.18</v>
      </c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  <c r="AK13" s="16" t="n">
        <v>199.18</v>
      </c>
      <c r="AL13" s="16" t="n">
        <v>199.18</v>
      </c>
      <c r="AM13" s="16" t="n">
        <v>199.18</v>
      </c>
      <c r="AN13" s="16" t="n">
        <v>199.18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7650</v>
      </c>
      <c r="F15" s="9" t="n"/>
      <c r="G15" s="18" t="n">
        <v>7490</v>
      </c>
      <c r="H15" s="18" t="n">
        <v>4980</v>
      </c>
      <c r="I15" s="18" t="n">
        <v>7550</v>
      </c>
      <c r="J15" s="18" t="n">
        <v>4500</v>
      </c>
      <c r="K15" s="9" t="n"/>
      <c r="L15" s="18" t="n">
        <v>4185</v>
      </c>
      <c r="M15" s="18" t="n">
        <v>5950</v>
      </c>
      <c r="N15" s="18" t="n">
        <v>4340</v>
      </c>
      <c r="O15" s="18" t="n">
        <v>2955</v>
      </c>
      <c r="P15" s="9" t="n"/>
      <c r="Q15" s="18" t="n">
        <v>2890</v>
      </c>
      <c r="R15" s="18" t="n">
        <v>2365</v>
      </c>
      <c r="S15" s="18" t="n">
        <v>1841</v>
      </c>
      <c r="T15" s="18" t="n">
        <v>1740</v>
      </c>
      <c r="U15" s="9" t="n"/>
      <c r="V15" s="18" t="n">
        <v>764</v>
      </c>
      <c r="Z15" s="9" t="n"/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9300</v>
      </c>
      <c r="F16" s="9" t="n"/>
      <c r="G16" s="18" t="n">
        <v>8150</v>
      </c>
      <c r="H16" s="18" t="n">
        <v>7800</v>
      </c>
      <c r="I16" s="18" t="n">
        <v>9050</v>
      </c>
      <c r="J16" s="18" t="n">
        <v>7800</v>
      </c>
      <c r="K16" s="9" t="n"/>
      <c r="L16" s="18" t="n">
        <v>6680</v>
      </c>
      <c r="M16" s="18" t="n">
        <v>6100</v>
      </c>
      <c r="N16" s="18" t="n">
        <v>6780</v>
      </c>
      <c r="O16" s="18" t="n">
        <v>5500</v>
      </c>
      <c r="P16" s="9" t="n"/>
      <c r="Q16" s="18" t="n">
        <v>4070</v>
      </c>
      <c r="R16" s="18" t="n">
        <v>3950</v>
      </c>
      <c r="S16" s="18" t="n">
        <v>2575</v>
      </c>
      <c r="T16" s="18" t="n">
        <v>2415</v>
      </c>
      <c r="U16" s="9" t="n"/>
      <c r="V16" s="18" t="n">
        <v>1826</v>
      </c>
      <c r="Z16" s="9" t="n"/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7050</v>
      </c>
      <c r="F17" s="9" t="n"/>
      <c r="G17" s="18" t="n">
        <v>5990</v>
      </c>
      <c r="H17" s="18" t="n">
        <v>4510</v>
      </c>
      <c r="I17" s="18" t="n">
        <v>4605</v>
      </c>
      <c r="J17" s="18" t="n">
        <v>4340</v>
      </c>
      <c r="K17" s="9" t="n"/>
      <c r="L17" s="18" t="n">
        <v>3970</v>
      </c>
      <c r="M17" s="18" t="n">
        <v>3585</v>
      </c>
      <c r="N17" s="18" t="n">
        <v>3700</v>
      </c>
      <c r="O17" s="18" t="n">
        <v>2680</v>
      </c>
      <c r="P17" s="9" t="n"/>
      <c r="Q17" s="18" t="n">
        <v>2740</v>
      </c>
      <c r="R17" s="18" t="n">
        <v>2155</v>
      </c>
      <c r="S17" s="18" t="n">
        <v>1400</v>
      </c>
      <c r="T17" s="18" t="n">
        <v>1316</v>
      </c>
      <c r="U17" s="9" t="n"/>
      <c r="V17" s="18" t="n">
        <v>745</v>
      </c>
      <c r="Z17" s="9" t="n"/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7971.7</v>
      </c>
      <c r="F18" s="9" t="n"/>
      <c r="G18" s="18" t="n">
        <v>7363.9</v>
      </c>
      <c r="H18" s="18" t="n">
        <v>6173.5</v>
      </c>
      <c r="I18" s="18" t="n">
        <v>6987.2</v>
      </c>
      <c r="J18" s="18" t="n">
        <v>5679.6</v>
      </c>
      <c r="K18" s="9" t="n"/>
      <c r="L18" s="18" t="n">
        <v>4868.4</v>
      </c>
      <c r="M18" s="18" t="n">
        <v>4383.9</v>
      </c>
      <c r="N18" s="18" t="n">
        <v>5382.5</v>
      </c>
      <c r="O18" s="18" t="n">
        <v>3625.1</v>
      </c>
      <c r="P18" s="9" t="n"/>
      <c r="Q18" s="18" t="n">
        <v>3081.6</v>
      </c>
      <c r="R18" s="18" t="n">
        <v>3132.3</v>
      </c>
      <c r="S18" s="18" t="n">
        <v>1783.9</v>
      </c>
      <c r="T18" s="18" t="n">
        <v>1826.1</v>
      </c>
      <c r="U18" s="9" t="n"/>
      <c r="V18" s="18" t="n">
        <v>1383.3</v>
      </c>
      <c r="Z18" s="9" t="n"/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19" t="n"/>
      <c r="F21" s="20" t="n"/>
      <c r="G21" s="19" t="n"/>
      <c r="H21" s="19" t="n"/>
      <c r="I21" s="19" t="n"/>
      <c r="J21" s="19">
        <f>IFERROR(subQ!J5/subQ!E5-1,"")</f>
        <v/>
      </c>
      <c r="K21" s="20" t="n"/>
      <c r="L21" s="19">
        <f>IFERROR(subQ!L5/subQ!G5-1,"")</f>
        <v/>
      </c>
      <c r="M21" s="19">
        <f>IFERROR(subQ!M5/subQ!H5-1,"")</f>
        <v/>
      </c>
      <c r="N21" s="19">
        <f>IFERROR(subQ!N5/subQ!I5-1,"")</f>
        <v/>
      </c>
      <c r="O21" s="19">
        <f>IFERROR(subQ!O5/subQ!J5-1,"")</f>
        <v/>
      </c>
      <c r="P21" s="20" t="n"/>
      <c r="Q21" s="19">
        <f>IFERROR(subQ!Q5/subQ!L5-1,"")</f>
        <v/>
      </c>
      <c r="R21" s="19">
        <f>IFERROR(subQ!R5/subQ!M5-1,"")</f>
        <v/>
      </c>
      <c r="S21" s="19">
        <f>IFERROR(subQ!S5/subQ!N5-1,"")</f>
        <v/>
      </c>
      <c r="T21" s="19">
        <f>IFERROR(subQ!T5/subQ!O5-1,"")</f>
        <v/>
      </c>
      <c r="U21" s="20" t="n"/>
      <c r="V21" s="19">
        <f>IFERROR(subQ!V5/subQ!Q5-1,"")</f>
        <v/>
      </c>
      <c r="W21" s="19">
        <f>IFERROR(subQ!W5/subQ!R5-1,"")</f>
        <v/>
      </c>
      <c r="X21" s="19">
        <f>IFERROR(subQ!X5/subQ!S5-1,"")</f>
        <v/>
      </c>
      <c r="Y21" s="19">
        <f>IFERROR(subQ!Y5/subQ!T5-1,"")</f>
        <v/>
      </c>
      <c r="Z21" s="20" t="n"/>
      <c r="AA21" s="19">
        <f>IFERROR(subQ!AA5/subQ!V5-1,"")</f>
        <v/>
      </c>
      <c r="AB21" s="21">
        <f>IFERROR(subQ!AB5/subQ!W5-1,"")</f>
        <v/>
      </c>
      <c r="AC21" s="22" t="n">
        <v>-0.052626817</v>
      </c>
      <c r="AD21" s="22" t="n">
        <v>-0.052555226</v>
      </c>
      <c r="AE21" s="23" t="n"/>
      <c r="AF21" s="22" t="n">
        <v>-0.052672213</v>
      </c>
      <c r="AG21" s="22" t="n">
        <v>-0.052627799</v>
      </c>
      <c r="AH21" s="22" t="n">
        <v>-0.026202399</v>
      </c>
      <c r="AI21" s="22" t="n">
        <v>-0.026354863</v>
      </c>
      <c r="AJ21" s="23" t="n"/>
      <c r="AK21" s="22" t="n">
        <v>-0.026195426</v>
      </c>
      <c r="AL21" s="22" t="n">
        <v>-0.026188835</v>
      </c>
      <c r="AM21" s="22" t="n">
        <v>-0.013154748</v>
      </c>
      <c r="AN21" s="22" t="n">
        <v>-0.013152878</v>
      </c>
      <c r="AO21" s="23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19">
        <f>IFERROR(subQ!E8/subQ!E5,"")</f>
        <v/>
      </c>
      <c r="F22" s="20">
        <f>IFERROR(subQ!F8/subQ!F5,"")</f>
        <v/>
      </c>
      <c r="G22" s="19">
        <f>IFERROR(subQ!G8/subQ!G5,"")</f>
        <v/>
      </c>
      <c r="H22" s="19">
        <f>IFERROR(subQ!H8/subQ!H5,"")</f>
        <v/>
      </c>
      <c r="I22" s="19">
        <f>IFERROR(subQ!I8/subQ!I5,"")</f>
        <v/>
      </c>
      <c r="J22" s="19">
        <f>IFERROR(subQ!J8/subQ!J5,"")</f>
        <v/>
      </c>
      <c r="K22" s="20">
        <f>IFERROR(subQ!K8/subQ!K5,"")</f>
        <v/>
      </c>
      <c r="L22" s="19">
        <f>IFERROR(subQ!L8/subQ!L5,"")</f>
        <v/>
      </c>
      <c r="M22" s="19">
        <f>IFERROR(subQ!M8/subQ!M5,"")</f>
        <v/>
      </c>
      <c r="N22" s="19">
        <f>IFERROR(subQ!N8/subQ!N5,"")</f>
        <v/>
      </c>
      <c r="O22" s="19">
        <f>IFERROR(subQ!O8/subQ!O5,"")</f>
        <v/>
      </c>
      <c r="P22" s="20">
        <f>IFERROR(subQ!P8/subQ!P5,"")</f>
        <v/>
      </c>
      <c r="Q22" s="19">
        <f>IFERROR(subQ!Q8/subQ!Q5,"")</f>
        <v/>
      </c>
      <c r="R22" s="19">
        <f>IFERROR(subQ!R8/subQ!R5,"")</f>
        <v/>
      </c>
      <c r="S22" s="19">
        <f>IFERROR(subQ!S8/subQ!S5,"")</f>
        <v/>
      </c>
      <c r="T22" s="19">
        <f>IFERROR(subQ!T8/subQ!T5,"")</f>
        <v/>
      </c>
      <c r="U22" s="20">
        <f>IFERROR(subQ!U8/subQ!U5,"")</f>
        <v/>
      </c>
      <c r="V22" s="19">
        <f>IFERROR(subQ!V8/subQ!V5,"")</f>
        <v/>
      </c>
      <c r="W22" s="19">
        <f>IFERROR(subQ!W8/subQ!W5,"")</f>
        <v/>
      </c>
      <c r="X22" s="19">
        <f>IFERROR(subQ!X8/subQ!X5,"")</f>
        <v/>
      </c>
      <c r="Y22" s="19">
        <f>IFERROR(subQ!Y8/subQ!Y5,"")</f>
        <v/>
      </c>
      <c r="Z22" s="20">
        <f>IFERROR(subQ!Z8/subQ!Z5,"")</f>
        <v/>
      </c>
      <c r="AA22" s="19">
        <f>IFERROR(subQ!AA8/subQ!AA5,"")</f>
        <v/>
      </c>
      <c r="AB22" s="21">
        <f>IFERROR(subQ!AB8/subQ!AB5,"")</f>
        <v/>
      </c>
      <c r="AC22" s="24">
        <f>$D$52</f>
        <v/>
      </c>
      <c r="AD22" s="24">
        <f>$D$52</f>
        <v/>
      </c>
      <c r="AE22" s="23">
        <f>IFERROR(subQ!AE8/subQ!AE5,"")</f>
        <v/>
      </c>
      <c r="AF22" s="24">
        <f>$D$52</f>
        <v/>
      </c>
      <c r="AG22" s="24">
        <f>$D$52</f>
        <v/>
      </c>
      <c r="AH22" s="24">
        <f>$D$52</f>
        <v/>
      </c>
      <c r="AI22" s="24">
        <f>$D$52</f>
        <v/>
      </c>
      <c r="AJ22" s="23">
        <f>IFERROR(subQ!AJ8/subQ!AJ5,"")</f>
        <v/>
      </c>
      <c r="AK22" s="24">
        <f>$D$52</f>
        <v/>
      </c>
      <c r="AL22" s="24">
        <f>$D$52</f>
        <v/>
      </c>
      <c r="AM22" s="24">
        <f>$D$52</f>
        <v/>
      </c>
      <c r="AN22" s="24">
        <f>$D$52</f>
        <v/>
      </c>
      <c r="AO22" s="23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19">
        <f>IFERROR(subQ!E9/subQ!E5,"")</f>
        <v/>
      </c>
      <c r="F23" s="20">
        <f>IFERROR(subQ!F9/subQ!F5,"")</f>
        <v/>
      </c>
      <c r="G23" s="19">
        <f>IFERROR(subQ!G9/subQ!G5,"")</f>
        <v/>
      </c>
      <c r="H23" s="19">
        <f>IFERROR(subQ!H9/subQ!H5,"")</f>
        <v/>
      </c>
      <c r="I23" s="19">
        <f>IFERROR(subQ!I9/subQ!I5,"")</f>
        <v/>
      </c>
      <c r="J23" s="19">
        <f>IFERROR(subQ!J9/subQ!J5,"")</f>
        <v/>
      </c>
      <c r="K23" s="20">
        <f>IFERROR(subQ!K9/subQ!K5,"")</f>
        <v/>
      </c>
      <c r="L23" s="19">
        <f>IFERROR(subQ!L9/subQ!L5,"")</f>
        <v/>
      </c>
      <c r="M23" s="19">
        <f>IFERROR(subQ!M9/subQ!M5,"")</f>
        <v/>
      </c>
      <c r="N23" s="19">
        <f>IFERROR(subQ!N9/subQ!N5,"")</f>
        <v/>
      </c>
      <c r="O23" s="19">
        <f>IFERROR(subQ!O9/subQ!O5,"")</f>
        <v/>
      </c>
      <c r="P23" s="20">
        <f>IFERROR(subQ!P9/subQ!P5,"")</f>
        <v/>
      </c>
      <c r="Q23" s="19">
        <f>IFERROR(subQ!Q9/subQ!Q5,"")</f>
        <v/>
      </c>
      <c r="R23" s="19">
        <f>IFERROR(subQ!R9/subQ!R5,"")</f>
        <v/>
      </c>
      <c r="S23" s="19">
        <f>IFERROR(subQ!S9/subQ!S5,"")</f>
        <v/>
      </c>
      <c r="T23" s="19">
        <f>IFERROR(subQ!T9/subQ!T5,"")</f>
        <v/>
      </c>
      <c r="U23" s="20">
        <f>IFERROR(subQ!U9/subQ!U5,"")</f>
        <v/>
      </c>
      <c r="V23" s="19">
        <f>IFERROR(subQ!V9/subQ!V5,"")</f>
        <v/>
      </c>
      <c r="W23" s="19">
        <f>IFERROR(subQ!W9/subQ!W5,"")</f>
        <v/>
      </c>
      <c r="X23" s="19">
        <f>IFERROR(subQ!X9/subQ!X5,"")</f>
        <v/>
      </c>
      <c r="Y23" s="19">
        <f>IFERROR(subQ!Y9/subQ!Y5,"")</f>
        <v/>
      </c>
      <c r="Z23" s="20">
        <f>IFERROR(subQ!Z9/subQ!Z5,"")</f>
        <v/>
      </c>
      <c r="AA23" s="19">
        <f>IFERROR(subQ!AA9/subQ!AA5,"")</f>
        <v/>
      </c>
      <c r="AB23" s="21">
        <f>IFERROR(subQ!AB9/subQ!AB5,"")</f>
        <v/>
      </c>
      <c r="AC23" s="22" t="n">
        <v>-0.058576919</v>
      </c>
      <c r="AD23" s="22" t="n">
        <v>-0.05855605</v>
      </c>
      <c r="AE23" s="23">
        <f>IFERROR(subQ!AE9/subQ!AE5,"")</f>
        <v/>
      </c>
      <c r="AF23" s="22" t="n">
        <v>-0.058627859</v>
      </c>
      <c r="AG23" s="22" t="n">
        <v>-0.058580289</v>
      </c>
      <c r="AH23" s="22" t="n">
        <v>-0.058598421</v>
      </c>
      <c r="AI23" s="22" t="n">
        <v>-0.058616088</v>
      </c>
      <c r="AJ23" s="23">
        <f>IFERROR(subQ!AJ9/subQ!AJ5,"")</f>
        <v/>
      </c>
      <c r="AK23" s="22" t="n">
        <v>-0.058497011</v>
      </c>
      <c r="AL23" s="22" t="n">
        <v>-0.05856334</v>
      </c>
      <c r="AM23" s="22" t="n">
        <v>-0.058531265</v>
      </c>
      <c r="AN23" s="22" t="n">
        <v>-0.058624686</v>
      </c>
      <c r="AO23" s="23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5">
        <f>subQ!E13</f>
        <v/>
      </c>
      <c r="F24" s="26">
        <f>subQ!F13</f>
        <v/>
      </c>
      <c r="G24" s="25">
        <f>subQ!G13</f>
        <v/>
      </c>
      <c r="H24" s="25">
        <f>subQ!H13</f>
        <v/>
      </c>
      <c r="I24" s="25">
        <f>subQ!I13</f>
        <v/>
      </c>
      <c r="J24" s="25">
        <f>subQ!J13</f>
        <v/>
      </c>
      <c r="K24" s="26">
        <f>subQ!K13</f>
        <v/>
      </c>
      <c r="L24" s="25">
        <f>subQ!L13</f>
        <v/>
      </c>
      <c r="M24" s="25">
        <f>subQ!M13</f>
        <v/>
      </c>
      <c r="N24" s="25">
        <f>subQ!N13</f>
        <v/>
      </c>
      <c r="O24" s="25">
        <f>subQ!O13</f>
        <v/>
      </c>
      <c r="P24" s="26">
        <f>subQ!P13</f>
        <v/>
      </c>
      <c r="Q24" s="25">
        <f>subQ!Q13</f>
        <v/>
      </c>
      <c r="R24" s="25">
        <f>subQ!R13</f>
        <v/>
      </c>
      <c r="S24" s="25">
        <f>subQ!S13</f>
        <v/>
      </c>
      <c r="T24" s="25">
        <f>subQ!T13</f>
        <v/>
      </c>
      <c r="U24" s="26">
        <f>subQ!U13</f>
        <v/>
      </c>
      <c r="V24" s="25">
        <f>subQ!V13</f>
        <v/>
      </c>
      <c r="W24" s="25">
        <f>subQ!W13</f>
        <v/>
      </c>
      <c r="X24" s="25">
        <f>subQ!X13</f>
        <v/>
      </c>
      <c r="Y24" s="25">
        <f>subQ!Y13</f>
        <v/>
      </c>
      <c r="Z24" s="26">
        <f>subQ!Z13</f>
        <v/>
      </c>
      <c r="AA24" s="25">
        <f>subQ!AA13</f>
        <v/>
      </c>
      <c r="AB24" s="27">
        <f>subQ!AB13</f>
        <v/>
      </c>
      <c r="AC24" s="28" t="n">
        <v>0</v>
      </c>
      <c r="AD24" s="28" t="n">
        <v>0</v>
      </c>
      <c r="AE24" s="29">
        <f>subQ!AE13</f>
        <v/>
      </c>
      <c r="AF24" s="28" t="n">
        <v>0</v>
      </c>
      <c r="AG24" s="28" t="n">
        <v>0</v>
      </c>
      <c r="AH24" s="28" t="n">
        <v>0</v>
      </c>
      <c r="AI24" s="28" t="n">
        <v>0</v>
      </c>
      <c r="AJ24" s="29">
        <f>subQ!AJ13</f>
        <v/>
      </c>
      <c r="AK24" s="28" t="n">
        <v>0</v>
      </c>
      <c r="AL24" s="28" t="n">
        <v>0</v>
      </c>
      <c r="AM24" s="28" t="n">
        <v>0</v>
      </c>
      <c r="AN24" s="28" t="n">
        <v>0</v>
      </c>
      <c r="AO24" s="29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5">
        <f>subQ!E14</f>
        <v/>
      </c>
      <c r="F25" s="26">
        <f>subQ!F14</f>
        <v/>
      </c>
      <c r="G25" s="25">
        <f>subQ!G14</f>
        <v/>
      </c>
      <c r="H25" s="25">
        <f>subQ!H14</f>
        <v/>
      </c>
      <c r="I25" s="25">
        <f>subQ!I14</f>
        <v/>
      </c>
      <c r="J25" s="25">
        <f>subQ!J14</f>
        <v/>
      </c>
      <c r="K25" s="26">
        <f>subQ!K14</f>
        <v/>
      </c>
      <c r="L25" s="25">
        <f>subQ!L14</f>
        <v/>
      </c>
      <c r="M25" s="25">
        <f>subQ!M14</f>
        <v/>
      </c>
      <c r="N25" s="25">
        <f>subQ!N14</f>
        <v/>
      </c>
      <c r="O25" s="25">
        <f>subQ!O14</f>
        <v/>
      </c>
      <c r="P25" s="26">
        <f>subQ!P14</f>
        <v/>
      </c>
      <c r="Q25" s="25">
        <f>subQ!Q14</f>
        <v/>
      </c>
      <c r="R25" s="25">
        <f>subQ!R14</f>
        <v/>
      </c>
      <c r="S25" s="25">
        <f>subQ!S14</f>
        <v/>
      </c>
      <c r="T25" s="25">
        <f>subQ!T14</f>
        <v/>
      </c>
      <c r="U25" s="26">
        <f>subQ!U14</f>
        <v/>
      </c>
      <c r="V25" s="25">
        <f>subQ!V14</f>
        <v/>
      </c>
      <c r="W25" s="25">
        <f>subQ!W14</f>
        <v/>
      </c>
      <c r="X25" s="25">
        <f>subQ!X14</f>
        <v/>
      </c>
      <c r="Y25" s="25">
        <f>subQ!Y14</f>
        <v/>
      </c>
      <c r="Z25" s="26">
        <f>subQ!Z14</f>
        <v/>
      </c>
      <c r="AA25" s="25">
        <f>subQ!AA14</f>
        <v/>
      </c>
      <c r="AB25" s="27">
        <f>subQ!AB14</f>
        <v/>
      </c>
      <c r="AC25" s="28" t="n">
        <v>0</v>
      </c>
      <c r="AD25" s="28" t="n">
        <v>0</v>
      </c>
      <c r="AE25" s="29">
        <f>subQ!AE14</f>
        <v/>
      </c>
      <c r="AF25" s="28" t="n">
        <v>0</v>
      </c>
      <c r="AG25" s="28" t="n">
        <v>0</v>
      </c>
      <c r="AH25" s="28" t="n">
        <v>0</v>
      </c>
      <c r="AI25" s="28" t="n">
        <v>0</v>
      </c>
      <c r="AJ25" s="29">
        <f>subQ!AJ14</f>
        <v/>
      </c>
      <c r="AK25" s="28" t="n">
        <v>0</v>
      </c>
      <c r="AL25" s="28" t="n">
        <v>0</v>
      </c>
      <c r="AM25" s="28" t="n">
        <v>0</v>
      </c>
      <c r="AN25" s="28" t="n">
        <v>0</v>
      </c>
      <c r="AO25" s="29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5">
        <f>subQ!E15</f>
        <v/>
      </c>
      <c r="F26" s="26">
        <f>subQ!F15</f>
        <v/>
      </c>
      <c r="G26" s="25">
        <f>subQ!G15</f>
        <v/>
      </c>
      <c r="H26" s="25">
        <f>subQ!H15</f>
        <v/>
      </c>
      <c r="I26" s="25">
        <f>subQ!I15</f>
        <v/>
      </c>
      <c r="J26" s="25">
        <f>subQ!J15</f>
        <v/>
      </c>
      <c r="K26" s="26">
        <f>subQ!K15</f>
        <v/>
      </c>
      <c r="L26" s="25">
        <f>subQ!L15</f>
        <v/>
      </c>
      <c r="M26" s="25">
        <f>subQ!M15</f>
        <v/>
      </c>
      <c r="N26" s="25">
        <f>subQ!N15</f>
        <v/>
      </c>
      <c r="O26" s="25">
        <f>subQ!O15</f>
        <v/>
      </c>
      <c r="P26" s="26">
        <f>subQ!P15</f>
        <v/>
      </c>
      <c r="Q26" s="25">
        <f>subQ!Q15</f>
        <v/>
      </c>
      <c r="R26" s="25">
        <f>subQ!R15</f>
        <v/>
      </c>
      <c r="S26" s="25">
        <f>subQ!S15</f>
        <v/>
      </c>
      <c r="T26" s="25">
        <f>subQ!T15</f>
        <v/>
      </c>
      <c r="U26" s="26">
        <f>subQ!U15</f>
        <v/>
      </c>
      <c r="V26" s="25">
        <f>subQ!V15</f>
        <v/>
      </c>
      <c r="W26" s="25">
        <f>subQ!W15</f>
        <v/>
      </c>
      <c r="X26" s="25">
        <f>subQ!X15</f>
        <v/>
      </c>
      <c r="Y26" s="25">
        <f>subQ!Y15</f>
        <v/>
      </c>
      <c r="Z26" s="26">
        <f>subQ!Z15</f>
        <v/>
      </c>
      <c r="AA26" s="25">
        <f>subQ!AA15</f>
        <v/>
      </c>
      <c r="AB26" s="27">
        <f>subQ!AB15</f>
        <v/>
      </c>
      <c r="AC26" s="28" t="n">
        <v>0</v>
      </c>
      <c r="AD26" s="28" t="n">
        <v>0</v>
      </c>
      <c r="AE26" s="29">
        <f>subQ!AE15</f>
        <v/>
      </c>
      <c r="AF26" s="28" t="n">
        <v>0</v>
      </c>
      <c r="AG26" s="28" t="n">
        <v>0</v>
      </c>
      <c r="AH26" s="28" t="n">
        <v>0</v>
      </c>
      <c r="AI26" s="28" t="n">
        <v>0</v>
      </c>
      <c r="AJ26" s="29">
        <f>subQ!AJ15</f>
        <v/>
      </c>
      <c r="AK26" s="28" t="n">
        <v>0</v>
      </c>
      <c r="AL26" s="28" t="n">
        <v>0</v>
      </c>
      <c r="AM26" s="28" t="n">
        <v>0</v>
      </c>
      <c r="AN26" s="28" t="n">
        <v>0</v>
      </c>
      <c r="AO26" s="29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5">
        <f>subQ!E16</f>
        <v/>
      </c>
      <c r="F27" s="26">
        <f>subQ!F16</f>
        <v/>
      </c>
      <c r="G27" s="25">
        <f>subQ!G16</f>
        <v/>
      </c>
      <c r="H27" s="25">
        <f>subQ!H16</f>
        <v/>
      </c>
      <c r="I27" s="25">
        <f>subQ!I16</f>
        <v/>
      </c>
      <c r="J27" s="25">
        <f>subQ!J16</f>
        <v/>
      </c>
      <c r="K27" s="26">
        <f>subQ!K16</f>
        <v/>
      </c>
      <c r="L27" s="25">
        <f>subQ!L16</f>
        <v/>
      </c>
      <c r="M27" s="25">
        <f>subQ!M16</f>
        <v/>
      </c>
      <c r="N27" s="25">
        <f>subQ!N16</f>
        <v/>
      </c>
      <c r="O27" s="25">
        <f>subQ!O16</f>
        <v/>
      </c>
      <c r="P27" s="26">
        <f>subQ!P16</f>
        <v/>
      </c>
      <c r="Q27" s="25">
        <f>subQ!Q16</f>
        <v/>
      </c>
      <c r="R27" s="25">
        <f>subQ!R16</f>
        <v/>
      </c>
      <c r="S27" s="25">
        <f>subQ!S16</f>
        <v/>
      </c>
      <c r="T27" s="25">
        <f>subQ!T16</f>
        <v/>
      </c>
      <c r="U27" s="26">
        <f>subQ!U16</f>
        <v/>
      </c>
      <c r="V27" s="25">
        <f>subQ!V16</f>
        <v/>
      </c>
      <c r="W27" s="25">
        <f>subQ!W16</f>
        <v/>
      </c>
      <c r="X27" s="25">
        <f>subQ!X16</f>
        <v/>
      </c>
      <c r="Y27" s="25">
        <f>subQ!Y16</f>
        <v/>
      </c>
      <c r="Z27" s="26">
        <f>subQ!Z16</f>
        <v/>
      </c>
      <c r="AA27" s="25">
        <f>subQ!AA16</f>
        <v/>
      </c>
      <c r="AB27" s="27">
        <f>subQ!AB16</f>
        <v/>
      </c>
      <c r="AC27" s="28" t="n">
        <v>0</v>
      </c>
      <c r="AD27" s="28" t="n">
        <v>0</v>
      </c>
      <c r="AE27" s="29">
        <f>subQ!AE16</f>
        <v/>
      </c>
      <c r="AF27" s="28" t="n">
        <v>0</v>
      </c>
      <c r="AG27" s="28" t="n">
        <v>0</v>
      </c>
      <c r="AH27" s="28" t="n">
        <v>0</v>
      </c>
      <c r="AI27" s="28" t="n">
        <v>0</v>
      </c>
      <c r="AJ27" s="29">
        <f>subQ!AJ16</f>
        <v/>
      </c>
      <c r="AK27" s="28" t="n">
        <v>0</v>
      </c>
      <c r="AL27" s="28" t="n">
        <v>0</v>
      </c>
      <c r="AM27" s="28" t="n">
        <v>0</v>
      </c>
      <c r="AN27" s="28" t="n">
        <v>0</v>
      </c>
      <c r="AO27" s="29">
        <f>subQ!AO16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5">
        <f>subQ!E17</f>
        <v/>
      </c>
      <c r="F28" s="26">
        <f>subQ!F17</f>
        <v/>
      </c>
      <c r="G28" s="25">
        <f>subQ!G17</f>
        <v/>
      </c>
      <c r="H28" s="25">
        <f>subQ!H17</f>
        <v/>
      </c>
      <c r="I28" s="25">
        <f>subQ!I17</f>
        <v/>
      </c>
      <c r="J28" s="25">
        <f>subQ!J17</f>
        <v/>
      </c>
      <c r="K28" s="26">
        <f>subQ!K17</f>
        <v/>
      </c>
      <c r="L28" s="25">
        <f>subQ!L17</f>
        <v/>
      </c>
      <c r="M28" s="25">
        <f>subQ!M17</f>
        <v/>
      </c>
      <c r="N28" s="25">
        <f>subQ!N17</f>
        <v/>
      </c>
      <c r="O28" s="25">
        <f>subQ!O17</f>
        <v/>
      </c>
      <c r="P28" s="26">
        <f>subQ!P17</f>
        <v/>
      </c>
      <c r="Q28" s="25">
        <f>subQ!Q17</f>
        <v/>
      </c>
      <c r="R28" s="25">
        <f>subQ!R17</f>
        <v/>
      </c>
      <c r="S28" s="25">
        <f>subQ!S17</f>
        <v/>
      </c>
      <c r="T28" s="25">
        <f>subQ!T17</f>
        <v/>
      </c>
      <c r="U28" s="26">
        <f>subQ!U17</f>
        <v/>
      </c>
      <c r="V28" s="25">
        <f>subQ!V17</f>
        <v/>
      </c>
      <c r="W28" s="25">
        <f>subQ!W17</f>
        <v/>
      </c>
      <c r="X28" s="25">
        <f>subQ!X17</f>
        <v/>
      </c>
      <c r="Y28" s="25">
        <f>subQ!Y17</f>
        <v/>
      </c>
      <c r="Z28" s="26">
        <f>subQ!Z17</f>
        <v/>
      </c>
      <c r="AA28" s="25">
        <f>subQ!AA17</f>
        <v/>
      </c>
      <c r="AB28" s="27">
        <f>subQ!AB17</f>
        <v/>
      </c>
      <c r="AC28" s="28" t="n">
        <v>-1.56</v>
      </c>
      <c r="AD28" s="28" t="n">
        <v>-1.56</v>
      </c>
      <c r="AE28" s="29">
        <f>subQ!AE17</f>
        <v/>
      </c>
      <c r="AF28" s="28" t="n">
        <v>-1.56</v>
      </c>
      <c r="AG28" s="28" t="n">
        <v>-1.56</v>
      </c>
      <c r="AH28" s="28" t="n">
        <v>-1.56</v>
      </c>
      <c r="AI28" s="28" t="n">
        <v>-1.56</v>
      </c>
      <c r="AJ28" s="29">
        <f>subQ!AJ17</f>
        <v/>
      </c>
      <c r="AK28" s="28" t="n">
        <v>-1.56</v>
      </c>
      <c r="AL28" s="28" t="n">
        <v>-1.56</v>
      </c>
      <c r="AM28" s="28" t="n">
        <v>-1.56</v>
      </c>
      <c r="AN28" s="28" t="n">
        <v>-1.56</v>
      </c>
      <c r="AO28" s="29">
        <f>subQ!AO17</f>
        <v/>
      </c>
    </row>
    <row r="29">
      <c r="A29" s="12" t="inlineStr">
        <is>
          <t>drv:법인세비용</t>
        </is>
      </c>
      <c r="B29" s="2" t="inlineStr">
        <is>
          <t>ratio</t>
        </is>
      </c>
      <c r="C29" t="inlineStr">
        <is>
          <t>법인세율(/세전)</t>
        </is>
      </c>
      <c r="E29" s="19">
        <f>IFERROR(subQ!E19/subQ!E18,"")</f>
        <v/>
      </c>
      <c r="F29" s="20">
        <f>IFERROR(subQ!F19/subQ!F18,"")</f>
        <v/>
      </c>
      <c r="G29" s="19">
        <f>IFERROR(subQ!G19/subQ!G18,"")</f>
        <v/>
      </c>
      <c r="H29" s="19">
        <f>IFERROR(subQ!H19/subQ!H18,"")</f>
        <v/>
      </c>
      <c r="I29" s="19">
        <f>IFERROR(subQ!I19/subQ!I18,"")</f>
        <v/>
      </c>
      <c r="J29" s="19">
        <f>IFERROR(subQ!J19/subQ!J18,"")</f>
        <v/>
      </c>
      <c r="K29" s="20">
        <f>IFERROR(subQ!K19/subQ!K18,"")</f>
        <v/>
      </c>
      <c r="L29" s="19">
        <f>IFERROR(subQ!L19/subQ!L18,"")</f>
        <v/>
      </c>
      <c r="M29" s="19">
        <f>IFERROR(subQ!M19/subQ!M18,"")</f>
        <v/>
      </c>
      <c r="N29" s="19">
        <f>IFERROR(subQ!N19/subQ!N18,"")</f>
        <v/>
      </c>
      <c r="O29" s="19">
        <f>IFERROR(subQ!O19/subQ!O18,"")</f>
        <v/>
      </c>
      <c r="P29" s="20">
        <f>IFERROR(subQ!P19/subQ!P18,"")</f>
        <v/>
      </c>
      <c r="Q29" s="19">
        <f>IFERROR(subQ!Q19/subQ!Q18,"")</f>
        <v/>
      </c>
      <c r="R29" s="19">
        <f>IFERROR(subQ!R19/subQ!R18,"")</f>
        <v/>
      </c>
      <c r="S29" s="19">
        <f>IFERROR(subQ!S19/subQ!S18,"")</f>
        <v/>
      </c>
      <c r="T29" s="19">
        <f>IFERROR(subQ!T19/subQ!T18,"")</f>
        <v/>
      </c>
      <c r="U29" s="20">
        <f>IFERROR(subQ!U19/subQ!U18,"")</f>
        <v/>
      </c>
      <c r="V29" s="19">
        <f>IFERROR(subQ!V19/subQ!V18,"")</f>
        <v/>
      </c>
      <c r="W29" s="19">
        <f>IFERROR(subQ!W19/subQ!W18,"")</f>
        <v/>
      </c>
      <c r="X29" s="19">
        <f>IFERROR(subQ!X19/subQ!X18,"")</f>
        <v/>
      </c>
      <c r="Y29" s="19">
        <f>IFERROR(subQ!Y19/subQ!Y18,"")</f>
        <v/>
      </c>
      <c r="Z29" s="20">
        <f>IFERROR(subQ!Z19/subQ!Z18,"")</f>
        <v/>
      </c>
      <c r="AA29" s="19">
        <f>IFERROR(subQ!AA19/subQ!AA18,"")</f>
        <v/>
      </c>
      <c r="AB29" s="21">
        <f>IFERROR(subQ!AB19/subQ!AB18,"")</f>
        <v/>
      </c>
      <c r="AC29" s="22" t="n">
        <v>-0</v>
      </c>
      <c r="AD29" s="22" t="n">
        <v>-0</v>
      </c>
      <c r="AE29" s="23">
        <f>IFERROR(subQ!AE19/subQ!AE18,"")</f>
        <v/>
      </c>
      <c r="AF29" s="22" t="n">
        <v>-0</v>
      </c>
      <c r="AG29" s="22" t="n">
        <v>-0</v>
      </c>
      <c r="AH29" s="22" t="n">
        <v>-0</v>
      </c>
      <c r="AI29" s="22" t="n">
        <v>-0</v>
      </c>
      <c r="AJ29" s="23">
        <f>IFERROR(subQ!AJ19/subQ!AJ18,"")</f>
        <v/>
      </c>
      <c r="AK29" s="22" t="n">
        <v>-0</v>
      </c>
      <c r="AL29" s="22" t="n">
        <v>-0</v>
      </c>
      <c r="AM29" s="22" t="n">
        <v>-0</v>
      </c>
      <c r="AN29" s="22" t="n">
        <v>-0</v>
      </c>
      <c r="AO29" s="23">
        <f>IFERROR(subQ!AO19/subQ!AO18,"")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19">
        <f>IFERROR(subQ!E21/subQ!E20,"")</f>
        <v/>
      </c>
      <c r="F30" s="20">
        <f>IFERROR(subQ!F21/subQ!F20,"")</f>
        <v/>
      </c>
      <c r="G30" s="19">
        <f>IFERROR(subQ!G21/subQ!G20,"")</f>
        <v/>
      </c>
      <c r="H30" s="19">
        <f>IFERROR(subQ!H21/subQ!H20,"")</f>
        <v/>
      </c>
      <c r="I30" s="19">
        <f>IFERROR(subQ!I21/subQ!I20,"")</f>
        <v/>
      </c>
      <c r="J30" s="19">
        <f>IFERROR(subQ!J21/subQ!J20,"")</f>
        <v/>
      </c>
      <c r="K30" s="20">
        <f>IFERROR(subQ!K21/subQ!K20,"")</f>
        <v/>
      </c>
      <c r="L30" s="19">
        <f>IFERROR(subQ!L21/subQ!L20,"")</f>
        <v/>
      </c>
      <c r="M30" s="19">
        <f>IFERROR(subQ!M21/subQ!M20,"")</f>
        <v/>
      </c>
      <c r="N30" s="19">
        <f>IFERROR(subQ!N21/subQ!N20,"")</f>
        <v/>
      </c>
      <c r="O30" s="19">
        <f>IFERROR(subQ!O21/subQ!O20,"")</f>
        <v/>
      </c>
      <c r="P30" s="20">
        <f>IFERROR(subQ!P21/subQ!P20,"")</f>
        <v/>
      </c>
      <c r="Q30" s="19">
        <f>IFERROR(subQ!Q21/subQ!Q20,"")</f>
        <v/>
      </c>
      <c r="R30" s="19">
        <f>IFERROR(subQ!R21/subQ!R20,"")</f>
        <v/>
      </c>
      <c r="S30" s="19">
        <f>IFERROR(subQ!S21/subQ!S20,"")</f>
        <v/>
      </c>
      <c r="T30" s="19">
        <f>IFERROR(subQ!T21/subQ!T20,"")</f>
        <v/>
      </c>
      <c r="U30" s="20">
        <f>IFERROR(subQ!U21/subQ!U20,"")</f>
        <v/>
      </c>
      <c r="V30" s="19">
        <f>IFERROR(subQ!V21/subQ!V20,"")</f>
        <v/>
      </c>
      <c r="W30" s="19">
        <f>IFERROR(subQ!W21/subQ!W20,"")</f>
        <v/>
      </c>
      <c r="X30" s="19">
        <f>IFERROR(subQ!X21/subQ!X20,"")</f>
        <v/>
      </c>
      <c r="Y30" s="19">
        <f>IFERROR(subQ!Y21/subQ!Y20,"")</f>
        <v/>
      </c>
      <c r="Z30" s="20">
        <f>IFERROR(subQ!Z21/subQ!Z20,"")</f>
        <v/>
      </c>
      <c r="AA30" s="19">
        <f>IFERROR(subQ!AA21/subQ!AA20,"")</f>
        <v/>
      </c>
      <c r="AB30" s="21">
        <f>IFERROR(subQ!AB21/subQ!AB20,"")</f>
        <v/>
      </c>
      <c r="AC30" s="24">
        <f>$D$53</f>
        <v/>
      </c>
      <c r="AD30" s="24">
        <f>$D$53</f>
        <v/>
      </c>
      <c r="AE30" s="23">
        <f>IFERROR(subQ!AE21/subQ!AE20,"")</f>
        <v/>
      </c>
      <c r="AF30" s="24">
        <f>$D$53</f>
        <v/>
      </c>
      <c r="AG30" s="24">
        <f>$D$53</f>
        <v/>
      </c>
      <c r="AH30" s="24">
        <f>$D$53</f>
        <v/>
      </c>
      <c r="AI30" s="24">
        <f>$D$53</f>
        <v/>
      </c>
      <c r="AJ30" s="23">
        <f>IFERROR(subQ!AJ21/subQ!AJ20,"")</f>
        <v/>
      </c>
      <c r="AK30" s="24">
        <f>$D$53</f>
        <v/>
      </c>
      <c r="AL30" s="24">
        <f>$D$53</f>
        <v/>
      </c>
      <c r="AM30" s="24">
        <f>$D$53</f>
        <v/>
      </c>
      <c r="AN30" s="24">
        <f>$D$53</f>
        <v/>
      </c>
      <c r="AO30" s="23">
        <f>IFERROR(subQ!AO21/subQ!AO20,"")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19" t="n"/>
      <c r="F31" s="20" t="n"/>
      <c r="G31" s="19">
        <f>IFERROR(subQ!G23/subQ!E23-1,"")</f>
        <v/>
      </c>
      <c r="H31" s="19">
        <f>IFERROR(subQ!H23/subQ!G23-1,"")</f>
        <v/>
      </c>
      <c r="I31" s="19">
        <f>IFERROR(subQ!I23/subQ!H23-1,"")</f>
        <v/>
      </c>
      <c r="J31" s="19">
        <f>IFERROR(subQ!J23/subQ!I23-1,"")</f>
        <v/>
      </c>
      <c r="K31" s="20" t="n"/>
      <c r="L31" s="19">
        <f>IFERROR(subQ!L23/subQ!J23-1,"")</f>
        <v/>
      </c>
      <c r="M31" s="19">
        <f>IFERROR(subQ!M23/subQ!L23-1,"")</f>
        <v/>
      </c>
      <c r="N31" s="19">
        <f>IFERROR(subQ!N23/subQ!M23-1,"")</f>
        <v/>
      </c>
      <c r="O31" s="19">
        <f>IFERROR(subQ!O23/subQ!N23-1,"")</f>
        <v/>
      </c>
      <c r="P31" s="20" t="n"/>
      <c r="Q31" s="19">
        <f>IFERROR(subQ!Q23/subQ!O23-1,"")</f>
        <v/>
      </c>
      <c r="R31" s="19">
        <f>IFERROR(subQ!R23/subQ!Q23-1,"")</f>
        <v/>
      </c>
      <c r="S31" s="19">
        <f>IFERROR(subQ!S23/subQ!R23-1,"")</f>
        <v/>
      </c>
      <c r="T31" s="19">
        <f>IFERROR(subQ!T23/subQ!S23-1,"")</f>
        <v/>
      </c>
      <c r="U31" s="20" t="n"/>
      <c r="V31" s="19">
        <f>IFERROR(subQ!V23/subQ!T23-1,"")</f>
        <v/>
      </c>
      <c r="W31" s="19">
        <f>IFERROR(subQ!W23/subQ!V23-1,"")</f>
        <v/>
      </c>
      <c r="X31" s="19">
        <f>IFERROR(subQ!X23/subQ!W23-1,"")</f>
        <v/>
      </c>
      <c r="Y31" s="19">
        <f>IFERROR(subQ!Y23/subQ!X23-1,"")</f>
        <v/>
      </c>
      <c r="Z31" s="20" t="n"/>
      <c r="AA31" s="19">
        <f>IFERROR(subQ!AA23/subQ!Y23-1,"")</f>
        <v/>
      </c>
      <c r="AB31" s="21">
        <f>IFERROR(subQ!AB23/subQ!AA23-1,"")</f>
        <v/>
      </c>
      <c r="AC31" s="22" t="n">
        <v>1.1897e-05</v>
      </c>
      <c r="AD31" s="22" t="n">
        <v>0</v>
      </c>
      <c r="AE31" s="23" t="n"/>
      <c r="AF31" s="22" t="n">
        <v>0</v>
      </c>
      <c r="AG31" s="22" t="n">
        <v>0</v>
      </c>
      <c r="AH31" s="22" t="n">
        <v>0</v>
      </c>
      <c r="AI31" s="22" t="n">
        <v>0</v>
      </c>
      <c r="AJ31" s="23" t="n"/>
      <c r="AK31" s="22" t="n">
        <v>0</v>
      </c>
      <c r="AL31" s="22" t="n">
        <v>0</v>
      </c>
      <c r="AM31" s="22" t="n">
        <v>0</v>
      </c>
      <c r="AN31" s="22" t="n">
        <v>0</v>
      </c>
      <c r="AO31" s="23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5" t="n"/>
      <c r="F32" s="26" t="n"/>
      <c r="G32" s="25">
        <f>IFERROR(subQ!E24+subQ!G20-subQ!G24,"")</f>
        <v/>
      </c>
      <c r="H32" s="25">
        <f>IFERROR(subQ!G24+subQ!H20-subQ!H24,"")</f>
        <v/>
      </c>
      <c r="I32" s="25">
        <f>IFERROR(subQ!H24+subQ!I20-subQ!I24,"")</f>
        <v/>
      </c>
      <c r="J32" s="25">
        <f>IFERROR(subQ!I24+subQ!J20-subQ!J24,"")</f>
        <v/>
      </c>
      <c r="K32" s="26" t="n"/>
      <c r="L32" s="25">
        <f>IFERROR(subQ!J24+subQ!L20-subQ!L24,"")</f>
        <v/>
      </c>
      <c r="M32" s="25">
        <f>IFERROR(subQ!L24+subQ!M20-subQ!M24,"")</f>
        <v/>
      </c>
      <c r="N32" s="25">
        <f>IFERROR(subQ!M24+subQ!N20-subQ!N24,"")</f>
        <v/>
      </c>
      <c r="O32" s="25">
        <f>IFERROR(subQ!N24+subQ!O20-subQ!O24,"")</f>
        <v/>
      </c>
      <c r="P32" s="26" t="n"/>
      <c r="Q32" s="25">
        <f>IFERROR(subQ!O24+subQ!Q20-subQ!Q24,"")</f>
        <v/>
      </c>
      <c r="R32" s="25">
        <f>IFERROR(subQ!Q24+subQ!R20-subQ!R24,"")</f>
        <v/>
      </c>
      <c r="S32" s="25">
        <f>IFERROR(subQ!R24+subQ!S20-subQ!S24,"")</f>
        <v/>
      </c>
      <c r="T32" s="25">
        <f>IFERROR(subQ!S24+subQ!T20-subQ!T24,"")</f>
        <v/>
      </c>
      <c r="U32" s="26" t="n"/>
      <c r="V32" s="25">
        <f>IFERROR(subQ!T24+subQ!V20-subQ!V24,"")</f>
        <v/>
      </c>
      <c r="W32" s="25">
        <f>IFERROR(subQ!V24+subQ!W20-subQ!W24,"")</f>
        <v/>
      </c>
      <c r="X32" s="25">
        <f>IFERROR(subQ!W24+subQ!X20-subQ!X24,"")</f>
        <v/>
      </c>
      <c r="Y32" s="25">
        <f>IFERROR(subQ!X24+subQ!Y20-subQ!Y24,"")</f>
        <v/>
      </c>
      <c r="Z32" s="26" t="n"/>
      <c r="AA32" s="25">
        <f>IFERROR(subQ!Y24+subQ!AA20-subQ!AA24,"")</f>
        <v/>
      </c>
      <c r="AB32" s="27">
        <f>IFERROR(subQ!AA24+subQ!AB20-subQ!AB24,"")</f>
        <v/>
      </c>
      <c r="AC32" s="28" t="n">
        <v>-0.001733679</v>
      </c>
      <c r="AD32" s="28" t="n">
        <v>0.000915974</v>
      </c>
      <c r="AE32" s="29" t="n"/>
      <c r="AF32" s="28" t="n">
        <v>-0.010663679</v>
      </c>
      <c r="AG32" s="28" t="n">
        <v>-0.003838192</v>
      </c>
      <c r="AH32" s="28" t="n">
        <v>0.00152974</v>
      </c>
      <c r="AI32" s="28" t="n">
        <v>-0.0167947</v>
      </c>
      <c r="AJ32" s="29" t="n"/>
      <c r="AK32" s="28" t="n">
        <v>0.001771422</v>
      </c>
      <c r="AL32" s="28" t="n">
        <v>-0.001475992</v>
      </c>
      <c r="AM32" s="28" t="n">
        <v>0.00386763</v>
      </c>
      <c r="AN32" s="28" t="n">
        <v>-0.014578286</v>
      </c>
      <c r="AO32" s="29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5" t="n"/>
      <c r="F33" s="26" t="n"/>
      <c r="G33" s="25">
        <f>IFERROR(subQ!E25+subQ!G21-subQ!G25,"")</f>
        <v/>
      </c>
      <c r="H33" s="25">
        <f>IFERROR(subQ!G25+subQ!H21-subQ!H25,"")</f>
        <v/>
      </c>
      <c r="I33" s="25">
        <f>IFERROR(subQ!H25+subQ!I21-subQ!I25,"")</f>
        <v/>
      </c>
      <c r="J33" s="25">
        <f>IFERROR(subQ!I25+subQ!J21-subQ!J25,"")</f>
        <v/>
      </c>
      <c r="K33" s="26" t="n"/>
      <c r="L33" s="25">
        <f>IFERROR(subQ!J25+subQ!L21-subQ!L25,"")</f>
        <v/>
      </c>
      <c r="M33" s="25">
        <f>IFERROR(subQ!L25+subQ!M21-subQ!M25,"")</f>
        <v/>
      </c>
      <c r="N33" s="25">
        <f>IFERROR(subQ!M25+subQ!N21-subQ!N25,"")</f>
        <v/>
      </c>
      <c r="O33" s="25">
        <f>IFERROR(subQ!N25+subQ!O21-subQ!O25,"")</f>
        <v/>
      </c>
      <c r="P33" s="26" t="n"/>
      <c r="Q33" s="25">
        <f>IFERROR(subQ!O25+subQ!Q21-subQ!Q25,"")</f>
        <v/>
      </c>
      <c r="R33" s="25">
        <f>IFERROR(subQ!Q25+subQ!R21-subQ!R25,"")</f>
        <v/>
      </c>
      <c r="S33" s="25">
        <f>IFERROR(subQ!R25+subQ!S21-subQ!S25,"")</f>
        <v/>
      </c>
      <c r="T33" s="25">
        <f>IFERROR(subQ!S25+subQ!T21-subQ!T25,"")</f>
        <v/>
      </c>
      <c r="U33" s="26" t="n"/>
      <c r="V33" s="25">
        <f>IFERROR(subQ!T25+subQ!V21-subQ!V25,"")</f>
        <v/>
      </c>
      <c r="W33" s="25">
        <f>IFERROR(subQ!V25+subQ!W21-subQ!W25,"")</f>
        <v/>
      </c>
      <c r="X33" s="25">
        <f>IFERROR(subQ!W25+subQ!X21-subQ!X25,"")</f>
        <v/>
      </c>
      <c r="Y33" s="25">
        <f>IFERROR(subQ!X25+subQ!Y21-subQ!Y25,"")</f>
        <v/>
      </c>
      <c r="Z33" s="26" t="n"/>
      <c r="AA33" s="25">
        <f>IFERROR(subQ!Y25+subQ!AA21-subQ!AA25,"")</f>
        <v/>
      </c>
      <c r="AB33" s="27">
        <f>IFERROR(subQ!AA25+subQ!AB21-subQ!AB25,"")</f>
        <v/>
      </c>
      <c r="AC33" s="28" t="n">
        <v>-0.001733679</v>
      </c>
      <c r="AD33" s="28" t="n">
        <v>0.000915974</v>
      </c>
      <c r="AE33" s="29" t="n"/>
      <c r="AF33" s="28" t="n">
        <v>-0.010663679</v>
      </c>
      <c r="AG33" s="28" t="n">
        <v>-0.003838192</v>
      </c>
      <c r="AH33" s="28" t="n">
        <v>0.00152974</v>
      </c>
      <c r="AI33" s="28" t="n">
        <v>-0.0167947</v>
      </c>
      <c r="AJ33" s="29" t="n"/>
      <c r="AK33" s="28" t="n">
        <v>0.001771422</v>
      </c>
      <c r="AL33" s="28" t="n">
        <v>-0.001475992</v>
      </c>
      <c r="AM33" s="28" t="n">
        <v>0.00386763</v>
      </c>
      <c r="AN33" s="28" t="n">
        <v>-0.014578286</v>
      </c>
      <c r="AO33" s="29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19" t="n"/>
      <c r="F34" s="20" t="n"/>
      <c r="G34" s="19">
        <f>IFERROR(subQ!G26/subQ!E26-1,"")</f>
        <v/>
      </c>
      <c r="H34" s="19">
        <f>IFERROR(subQ!H26/subQ!G26-1,"")</f>
        <v/>
      </c>
      <c r="I34" s="19">
        <f>IFERROR(subQ!I26/subQ!H26-1,"")</f>
        <v/>
      </c>
      <c r="J34" s="19">
        <f>IFERROR(subQ!J26/subQ!I26-1,"")</f>
        <v/>
      </c>
      <c r="K34" s="20" t="n"/>
      <c r="L34" s="19">
        <f>IFERROR(subQ!L26/subQ!J26-1,"")</f>
        <v/>
      </c>
      <c r="M34" s="19">
        <f>IFERROR(subQ!M26/subQ!L26-1,"")</f>
        <v/>
      </c>
      <c r="N34" s="19">
        <f>IFERROR(subQ!N26/subQ!M26-1,"")</f>
        <v/>
      </c>
      <c r="O34" s="19">
        <f>IFERROR(subQ!O26/subQ!N26-1,"")</f>
        <v/>
      </c>
      <c r="P34" s="20" t="n"/>
      <c r="Q34" s="19">
        <f>IFERROR(subQ!Q26/subQ!O26-1,"")</f>
        <v/>
      </c>
      <c r="R34" s="19">
        <f>IFERROR(subQ!R26/subQ!Q26-1,"")</f>
        <v/>
      </c>
      <c r="S34" s="19">
        <f>IFERROR(subQ!S26/subQ!R26-1,"")</f>
        <v/>
      </c>
      <c r="T34" s="19">
        <f>IFERROR(subQ!T26/subQ!S26-1,"")</f>
        <v/>
      </c>
      <c r="U34" s="20" t="n"/>
      <c r="V34" s="19">
        <f>IFERROR(subQ!V26/subQ!T26-1,"")</f>
        <v/>
      </c>
      <c r="W34" s="19">
        <f>IFERROR(subQ!W26/subQ!V26-1,"")</f>
        <v/>
      </c>
      <c r="X34" s="19">
        <f>IFERROR(subQ!X26/subQ!W26-1,"")</f>
        <v/>
      </c>
      <c r="Y34" s="19">
        <f>IFERROR(subQ!Y26/subQ!X26-1,"")</f>
        <v/>
      </c>
      <c r="Z34" s="20" t="n"/>
      <c r="AA34" s="19">
        <f>IFERROR(subQ!AA26/subQ!Y26-1,"")</f>
        <v/>
      </c>
      <c r="AB34" s="21">
        <f>IFERROR(subQ!AB26/subQ!AA26-1,"")</f>
        <v/>
      </c>
      <c r="AC34" s="22" t="n">
        <v>-6.823e-06</v>
      </c>
      <c r="AD34" s="22" t="n">
        <v>0</v>
      </c>
      <c r="AE34" s="23" t="n"/>
      <c r="AF34" s="22" t="n">
        <v>0</v>
      </c>
      <c r="AG34" s="22" t="n">
        <v>0</v>
      </c>
      <c r="AH34" s="22" t="n">
        <v>0</v>
      </c>
      <c r="AI34" s="22" t="n">
        <v>0</v>
      </c>
      <c r="AJ34" s="23" t="n"/>
      <c r="AK34" s="22" t="n">
        <v>0</v>
      </c>
      <c r="AL34" s="22" t="n">
        <v>0</v>
      </c>
      <c r="AM34" s="22" t="n">
        <v>0</v>
      </c>
      <c r="AN34" s="22" t="n">
        <v>0</v>
      </c>
      <c r="AO34" s="23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19" t="n"/>
      <c r="F35" s="20" t="n"/>
      <c r="G35" s="19">
        <f>IFERROR(subQ!G27/subQ!E27-1,"")</f>
        <v/>
      </c>
      <c r="H35" s="19">
        <f>IFERROR(subQ!H27/subQ!G27-1,"")</f>
        <v/>
      </c>
      <c r="I35" s="19">
        <f>IFERROR(subQ!I27/subQ!H27-1,"")</f>
        <v/>
      </c>
      <c r="J35" s="19">
        <f>IFERROR(subQ!J27/subQ!I27-1,"")</f>
        <v/>
      </c>
      <c r="K35" s="20" t="n"/>
      <c r="L35" s="19">
        <f>IFERROR(subQ!L27/subQ!J27-1,"")</f>
        <v/>
      </c>
      <c r="M35" s="19">
        <f>IFERROR(subQ!M27/subQ!L27-1,"")</f>
        <v/>
      </c>
      <c r="N35" s="19">
        <f>IFERROR(subQ!N27/subQ!M27-1,"")</f>
        <v/>
      </c>
      <c r="O35" s="19">
        <f>IFERROR(subQ!O27/subQ!N27-1,"")</f>
        <v/>
      </c>
      <c r="P35" s="20" t="n"/>
      <c r="Q35" s="19">
        <f>IFERROR(subQ!Q27/subQ!O27-1,"")</f>
        <v/>
      </c>
      <c r="R35" s="19">
        <f>IFERROR(subQ!R27/subQ!Q27-1,"")</f>
        <v/>
      </c>
      <c r="S35" s="19">
        <f>IFERROR(subQ!S27/subQ!R27-1,"")</f>
        <v/>
      </c>
      <c r="T35" s="19">
        <f>IFERROR(subQ!T27/subQ!S27-1,"")</f>
        <v/>
      </c>
      <c r="U35" s="20" t="n"/>
      <c r="V35" s="19">
        <f>IFERROR(subQ!V27/subQ!T27-1,"")</f>
        <v/>
      </c>
      <c r="W35" s="19">
        <f>IFERROR(subQ!W27/subQ!V27-1,"")</f>
        <v/>
      </c>
      <c r="X35" s="19">
        <f>IFERROR(subQ!X27/subQ!W27-1,"")</f>
        <v/>
      </c>
      <c r="Y35" s="19">
        <f>IFERROR(subQ!Y27/subQ!X27-1,"")</f>
        <v/>
      </c>
      <c r="Z35" s="20" t="n"/>
      <c r="AA35" s="19">
        <f>IFERROR(subQ!AA27/subQ!Y27-1,"")</f>
        <v/>
      </c>
      <c r="AB35" s="21">
        <f>IFERROR(subQ!AB27/subQ!AA27-1,"")</f>
        <v/>
      </c>
      <c r="AC35" s="22" t="n">
        <v>0.120646159</v>
      </c>
      <c r="AD35" s="22" t="n">
        <v>0.119602247</v>
      </c>
      <c r="AE35" s="23" t="n"/>
      <c r="AF35" s="22" t="n">
        <v>0.078453947</v>
      </c>
      <c r="AG35" s="22" t="n">
        <v>0.077321946</v>
      </c>
      <c r="AH35" s="22" t="n">
        <v>0.082531144</v>
      </c>
      <c r="AI35" s="22" t="n">
        <v>0.084608343</v>
      </c>
      <c r="AJ35" s="23" t="n"/>
      <c r="AK35" s="22" t="n">
        <v>0.057692308</v>
      </c>
      <c r="AL35" s="22" t="n">
        <v>0.057908236</v>
      </c>
      <c r="AM35" s="22" t="n">
        <v>0.06303539700000001</v>
      </c>
      <c r="AN35" s="22" t="n">
        <v>0.065734124</v>
      </c>
      <c r="AO35" s="23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19" t="n"/>
      <c r="F36" s="20" t="n"/>
      <c r="G36" s="19">
        <f>IFERROR(subQ!G28/subQ!E28-1,"")</f>
        <v/>
      </c>
      <c r="H36" s="19">
        <f>IFERROR(subQ!H28/subQ!G28-1,"")</f>
        <v/>
      </c>
      <c r="I36" s="19">
        <f>IFERROR(subQ!I28/subQ!H28-1,"")</f>
        <v/>
      </c>
      <c r="J36" s="19">
        <f>IFERROR(subQ!J28/subQ!I28-1,"")</f>
        <v/>
      </c>
      <c r="K36" s="20" t="n"/>
      <c r="L36" s="19">
        <f>IFERROR(subQ!L28/subQ!J28-1,"")</f>
        <v/>
      </c>
      <c r="M36" s="19">
        <f>IFERROR(subQ!M28/subQ!L28-1,"")</f>
        <v/>
      </c>
      <c r="N36" s="19">
        <f>IFERROR(subQ!N28/subQ!M28-1,"")</f>
        <v/>
      </c>
      <c r="O36" s="19">
        <f>IFERROR(subQ!O28/subQ!N28-1,"")</f>
        <v/>
      </c>
      <c r="P36" s="20" t="n"/>
      <c r="Q36" s="19">
        <f>IFERROR(subQ!Q28/subQ!O28-1,"")</f>
        <v/>
      </c>
      <c r="R36" s="19">
        <f>IFERROR(subQ!R28/subQ!Q28-1,"")</f>
        <v/>
      </c>
      <c r="S36" s="19">
        <f>IFERROR(subQ!S28/subQ!R28-1,"")</f>
        <v/>
      </c>
      <c r="T36" s="19">
        <f>IFERROR(subQ!T28/subQ!S28-1,"")</f>
        <v/>
      </c>
      <c r="U36" s="20" t="n"/>
      <c r="V36" s="19">
        <f>IFERROR(subQ!V28/subQ!T28-1,"")</f>
        <v/>
      </c>
      <c r="W36" s="19">
        <f>IFERROR(subQ!W28/subQ!V28-1,"")</f>
        <v/>
      </c>
      <c r="X36" s="19">
        <f>IFERROR(subQ!X28/subQ!W28-1,"")</f>
        <v/>
      </c>
      <c r="Y36" s="19">
        <f>IFERROR(subQ!Y28/subQ!X28-1,"")</f>
        <v/>
      </c>
      <c r="Z36" s="20" t="n"/>
      <c r="AA36" s="19">
        <f>IFERROR(subQ!AA28/subQ!Y28-1,"")</f>
        <v/>
      </c>
      <c r="AB36" s="21">
        <f>IFERROR(subQ!AB28/subQ!AA28-1,"")</f>
        <v/>
      </c>
      <c r="AC36" s="22" t="n">
        <v>-1.007761899</v>
      </c>
      <c r="AD36" s="22" t="n">
        <v>144.444444444</v>
      </c>
      <c r="AE36" s="23" t="n"/>
      <c r="AF36" s="22" t="n">
        <v>0.728800611</v>
      </c>
      <c r="AG36" s="22" t="n">
        <v>0.448077773</v>
      </c>
      <c r="AH36" s="22" t="n">
        <v>0.355813244</v>
      </c>
      <c r="AI36" s="22" t="n">
        <v>0.291244655</v>
      </c>
      <c r="AJ36" s="23" t="n"/>
      <c r="AK36" s="22" t="n">
        <v>0.166811923</v>
      </c>
      <c r="AL36" s="22" t="n">
        <v>0.151628324</v>
      </c>
      <c r="AM36" s="22" t="n">
        <v>0.151900376</v>
      </c>
      <c r="AN36" s="22" t="n">
        <v>0.146058559</v>
      </c>
      <c r="AO36" s="23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19" t="n"/>
      <c r="F37" s="20" t="n"/>
      <c r="G37" s="19">
        <f>IFERROR(subQ!G29/subQ!E29-1,"")</f>
        <v/>
      </c>
      <c r="H37" s="19">
        <f>IFERROR(subQ!H29/subQ!G29-1,"")</f>
        <v/>
      </c>
      <c r="I37" s="19">
        <f>IFERROR(subQ!I29/subQ!H29-1,"")</f>
        <v/>
      </c>
      <c r="J37" s="19">
        <f>IFERROR(subQ!J29/subQ!I29-1,"")</f>
        <v/>
      </c>
      <c r="K37" s="20" t="n"/>
      <c r="L37" s="19">
        <f>IFERROR(subQ!L29/subQ!J29-1,"")</f>
        <v/>
      </c>
      <c r="M37" s="19">
        <f>IFERROR(subQ!M29/subQ!L29-1,"")</f>
        <v/>
      </c>
      <c r="N37" s="19">
        <f>IFERROR(subQ!N29/subQ!M29-1,"")</f>
        <v/>
      </c>
      <c r="O37" s="19">
        <f>IFERROR(subQ!O29/subQ!N29-1,"")</f>
        <v/>
      </c>
      <c r="P37" s="20" t="n"/>
      <c r="Q37" s="19">
        <f>IFERROR(subQ!Q29/subQ!O29-1,"")</f>
        <v/>
      </c>
      <c r="R37" s="19">
        <f>IFERROR(subQ!R29/subQ!Q29-1,"")</f>
        <v/>
      </c>
      <c r="S37" s="19">
        <f>IFERROR(subQ!S29/subQ!R29-1,"")</f>
        <v/>
      </c>
      <c r="T37" s="19">
        <f>IFERROR(subQ!T29/subQ!S29-1,"")</f>
        <v/>
      </c>
      <c r="U37" s="20" t="n"/>
      <c r="V37" s="19">
        <f>IFERROR(subQ!V29/subQ!T29-1,"")</f>
        <v/>
      </c>
      <c r="W37" s="19">
        <f>IFERROR(subQ!W29/subQ!V29-1,"")</f>
        <v/>
      </c>
      <c r="X37" s="19">
        <f>IFERROR(subQ!X29/subQ!W29-1,"")</f>
        <v/>
      </c>
      <c r="Y37" s="19">
        <f>IFERROR(subQ!Y29/subQ!X29-1,"")</f>
        <v/>
      </c>
      <c r="Z37" s="20" t="n"/>
      <c r="AA37" s="19">
        <f>IFERROR(subQ!AA29/subQ!Y29-1,"")</f>
        <v/>
      </c>
      <c r="AB37" s="21">
        <f>IFERROR(subQ!AB29/subQ!AA29-1,"")</f>
        <v/>
      </c>
      <c r="AC37" s="30" t="n"/>
      <c r="AD37" s="30" t="n"/>
      <c r="AE37" s="23" t="n"/>
      <c r="AF37" s="30" t="n"/>
      <c r="AG37" s="30" t="n"/>
      <c r="AH37" s="30" t="n"/>
      <c r="AI37" s="30" t="n"/>
      <c r="AJ37" s="23" t="n"/>
      <c r="AK37" s="30" t="n"/>
      <c r="AL37" s="30" t="n"/>
      <c r="AM37" s="30" t="n"/>
      <c r="AN37" s="30" t="n"/>
      <c r="AO37" s="23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19" t="n"/>
      <c r="F38" s="20" t="n"/>
      <c r="G38" s="19" t="n"/>
      <c r="H38" s="19" t="n"/>
      <c r="I38" s="19" t="n"/>
      <c r="J38" s="19">
        <f>IFERROR(subQ!J30/subQ!E30-1,"")</f>
        <v/>
      </c>
      <c r="K38" s="20" t="n"/>
      <c r="L38" s="19">
        <f>IFERROR(subQ!L30/subQ!G30-1,"")</f>
        <v/>
      </c>
      <c r="M38" s="19">
        <f>IFERROR(subQ!M30/subQ!H30-1,"")</f>
        <v/>
      </c>
      <c r="N38" s="19">
        <f>IFERROR(subQ!N30/subQ!I30-1,"")</f>
        <v/>
      </c>
      <c r="O38" s="19">
        <f>IFERROR(subQ!O30/subQ!J30-1,"")</f>
        <v/>
      </c>
      <c r="P38" s="20" t="n"/>
      <c r="Q38" s="19">
        <f>IFERROR(subQ!Q30/subQ!L30-1,"")</f>
        <v/>
      </c>
      <c r="R38" s="19">
        <f>IFERROR(subQ!R30/subQ!M30-1,"")</f>
        <v/>
      </c>
      <c r="S38" s="19">
        <f>IFERROR(subQ!S30/subQ!N30-1,"")</f>
        <v/>
      </c>
      <c r="T38" s="19">
        <f>IFERROR(subQ!T30/subQ!O30-1,"")</f>
        <v/>
      </c>
      <c r="U38" s="20" t="n"/>
      <c r="V38" s="19">
        <f>IFERROR(subQ!V30/subQ!Q30-1,"")</f>
        <v/>
      </c>
      <c r="W38" s="19">
        <f>IFERROR(subQ!W30/subQ!R30-1,"")</f>
        <v/>
      </c>
      <c r="X38" s="19">
        <f>IFERROR(subQ!X30/subQ!S30-1,"")</f>
        <v/>
      </c>
      <c r="Y38" s="19">
        <f>IFERROR(subQ!Y30/subQ!T30-1,"")</f>
        <v/>
      </c>
      <c r="Z38" s="20" t="n"/>
      <c r="AA38" s="19">
        <f>IFERROR(subQ!AA30/subQ!V30-1,"")</f>
        <v/>
      </c>
      <c r="AB38" s="21">
        <f>IFERROR(subQ!AB30/subQ!W30-1,"")</f>
        <v/>
      </c>
      <c r="AC38" s="22" t="n">
        <v>1.325581395</v>
      </c>
      <c r="AD38" s="22" t="n">
        <v>-0.4</v>
      </c>
      <c r="AE38" s="23" t="n"/>
      <c r="AF38" s="22" t="n">
        <v>0</v>
      </c>
      <c r="AG38" s="22" t="n">
        <v>0</v>
      </c>
      <c r="AH38" s="22" t="n">
        <v>0</v>
      </c>
      <c r="AI38" s="22" t="n">
        <v>0</v>
      </c>
      <c r="AJ38" s="23" t="n"/>
      <c r="AK38" s="22" t="n">
        <v>0</v>
      </c>
      <c r="AL38" s="22" t="n">
        <v>0</v>
      </c>
      <c r="AM38" s="22" t="n">
        <v>0</v>
      </c>
      <c r="AN38" s="22" t="n">
        <v>0</v>
      </c>
      <c r="AO38" s="23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19" t="n"/>
      <c r="F39" s="20" t="n"/>
      <c r="G39" s="19" t="n"/>
      <c r="H39" s="19" t="n"/>
      <c r="I39" s="19" t="n"/>
      <c r="J39" s="19">
        <f>IFERROR(subQ!J31/subQ!E31-1,"")</f>
        <v/>
      </c>
      <c r="K39" s="20" t="n"/>
      <c r="L39" s="19">
        <f>IFERROR(subQ!L31/subQ!G31-1,"")</f>
        <v/>
      </c>
      <c r="M39" s="19">
        <f>IFERROR(subQ!M31/subQ!H31-1,"")</f>
        <v/>
      </c>
      <c r="N39" s="19">
        <f>IFERROR(subQ!N31/subQ!I31-1,"")</f>
        <v/>
      </c>
      <c r="O39" s="19">
        <f>IFERROR(subQ!O31/subQ!J31-1,"")</f>
        <v/>
      </c>
      <c r="P39" s="20" t="n"/>
      <c r="Q39" s="19">
        <f>IFERROR(subQ!Q31/subQ!L31-1,"")</f>
        <v/>
      </c>
      <c r="R39" s="19">
        <f>IFERROR(subQ!R31/subQ!M31-1,"")</f>
        <v/>
      </c>
      <c r="S39" s="19">
        <f>IFERROR(subQ!S31/subQ!N31-1,"")</f>
        <v/>
      </c>
      <c r="T39" s="19">
        <f>IFERROR(subQ!T31/subQ!O31-1,"")</f>
        <v/>
      </c>
      <c r="U39" s="20" t="n"/>
      <c r="V39" s="19">
        <f>IFERROR(subQ!V31/subQ!Q31-1,"")</f>
        <v/>
      </c>
      <c r="W39" s="19">
        <f>IFERROR(subQ!W31/subQ!R31-1,"")</f>
        <v/>
      </c>
      <c r="X39" s="19">
        <f>IFERROR(subQ!X31/subQ!S31-1,"")</f>
        <v/>
      </c>
      <c r="Y39" s="19">
        <f>IFERROR(subQ!Y31/subQ!T31-1,"")</f>
        <v/>
      </c>
      <c r="Z39" s="20" t="n"/>
      <c r="AA39" s="19">
        <f>IFERROR(subQ!AA31/subQ!V31-1,"")</f>
        <v/>
      </c>
      <c r="AB39" s="21">
        <f>IFERROR(subQ!AB31/subQ!W31-1,"")</f>
        <v/>
      </c>
      <c r="AC39" s="30" t="n"/>
      <c r="AD39" s="30" t="n"/>
      <c r="AE39" s="23" t="n"/>
      <c r="AF39" s="30" t="n"/>
      <c r="AG39" s="30" t="n"/>
      <c r="AH39" s="30" t="n"/>
      <c r="AI39" s="30" t="n"/>
      <c r="AJ39" s="23" t="n"/>
      <c r="AK39" s="30" t="n"/>
      <c r="AL39" s="30" t="n"/>
      <c r="AM39" s="30" t="n"/>
      <c r="AN39" s="30" t="n"/>
      <c r="AO39" s="23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19" t="n"/>
      <c r="F40" s="20" t="n"/>
      <c r="G40" s="19">
        <f>IFERROR(subQ!G32/subQ!E32-1,"")</f>
        <v/>
      </c>
      <c r="H40" s="19">
        <f>IFERROR(subQ!H32/subQ!G32-1,"")</f>
        <v/>
      </c>
      <c r="I40" s="19">
        <f>IFERROR(subQ!I32/subQ!H32-1,"")</f>
        <v/>
      </c>
      <c r="J40" s="19">
        <f>IFERROR(subQ!J32/subQ!I32-1,"")</f>
        <v/>
      </c>
      <c r="K40" s="20" t="n"/>
      <c r="L40" s="19">
        <f>IFERROR(subQ!L32/subQ!J32-1,"")</f>
        <v/>
      </c>
      <c r="M40" s="19">
        <f>IFERROR(subQ!M32/subQ!L32-1,"")</f>
        <v/>
      </c>
      <c r="N40" s="19">
        <f>IFERROR(subQ!N32/subQ!M32-1,"")</f>
        <v/>
      </c>
      <c r="O40" s="19">
        <f>IFERROR(subQ!O32/subQ!N32-1,"")</f>
        <v/>
      </c>
      <c r="P40" s="20" t="n"/>
      <c r="Q40" s="19">
        <f>IFERROR(subQ!Q32/subQ!O32-1,"")</f>
        <v/>
      </c>
      <c r="R40" s="19">
        <f>IFERROR(subQ!R32/subQ!Q32-1,"")</f>
        <v/>
      </c>
      <c r="S40" s="19">
        <f>IFERROR(subQ!S32/subQ!R32-1,"")</f>
        <v/>
      </c>
      <c r="T40" s="19">
        <f>IFERROR(subQ!T32/subQ!S32-1,"")</f>
        <v/>
      </c>
      <c r="U40" s="20" t="n"/>
      <c r="V40" s="19">
        <f>IFERROR(subQ!V32/subQ!T32-1,"")</f>
        <v/>
      </c>
      <c r="W40" s="19">
        <f>IFERROR(subQ!W32/subQ!V32-1,"")</f>
        <v/>
      </c>
      <c r="X40" s="19">
        <f>IFERROR(subQ!X32/subQ!W32-1,"")</f>
        <v/>
      </c>
      <c r="Y40" s="19">
        <f>IFERROR(subQ!Y32/subQ!X32-1,"")</f>
        <v/>
      </c>
      <c r="Z40" s="20" t="n"/>
      <c r="AA40" s="19">
        <f>IFERROR(subQ!AA32/subQ!Y32-1,"")</f>
        <v/>
      </c>
      <c r="AB40" s="21">
        <f>IFERROR(subQ!AB32/subQ!AA32-1,"")</f>
        <v/>
      </c>
      <c r="AC40" s="22" t="n">
        <v>0</v>
      </c>
      <c r="AD40" s="22" t="n">
        <v>0</v>
      </c>
      <c r="AE40" s="23" t="n"/>
      <c r="AF40" s="22" t="n">
        <v>0</v>
      </c>
      <c r="AG40" s="22" t="n">
        <v>0</v>
      </c>
      <c r="AH40" s="22" t="n">
        <v>0</v>
      </c>
      <c r="AI40" s="22" t="n">
        <v>0</v>
      </c>
      <c r="AJ40" s="23" t="n"/>
      <c r="AK40" s="22" t="n">
        <v>0</v>
      </c>
      <c r="AL40" s="22" t="n">
        <v>0</v>
      </c>
      <c r="AM40" s="22" t="n">
        <v>0</v>
      </c>
      <c r="AN40" s="22" t="n">
        <v>0</v>
      </c>
      <c r="AO40" s="23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5">
        <f>subQ!E35</f>
        <v/>
      </c>
      <c r="F41" s="26">
        <f>subQ!F35</f>
        <v/>
      </c>
      <c r="G41" s="25">
        <f>subQ!G35</f>
        <v/>
      </c>
      <c r="H41" s="25">
        <f>subQ!H35</f>
        <v/>
      </c>
      <c r="I41" s="25">
        <f>subQ!I35</f>
        <v/>
      </c>
      <c r="J41" s="25">
        <f>subQ!J35</f>
        <v/>
      </c>
      <c r="K41" s="26">
        <f>subQ!K35</f>
        <v/>
      </c>
      <c r="L41" s="25">
        <f>subQ!L35</f>
        <v/>
      </c>
      <c r="M41" s="25">
        <f>subQ!M35</f>
        <v/>
      </c>
      <c r="N41" s="25">
        <f>subQ!N35</f>
        <v/>
      </c>
      <c r="O41" s="25">
        <f>subQ!O35</f>
        <v/>
      </c>
      <c r="P41" s="26">
        <f>subQ!P35</f>
        <v/>
      </c>
      <c r="Q41" s="25">
        <f>subQ!Q35</f>
        <v/>
      </c>
      <c r="R41" s="25">
        <f>subQ!R35</f>
        <v/>
      </c>
      <c r="S41" s="25">
        <f>subQ!S35</f>
        <v/>
      </c>
      <c r="T41" s="25">
        <f>subQ!T35</f>
        <v/>
      </c>
      <c r="U41" s="26">
        <f>subQ!U35</f>
        <v/>
      </c>
      <c r="V41" s="25">
        <f>subQ!V35</f>
        <v/>
      </c>
      <c r="W41" s="25">
        <f>subQ!W35</f>
        <v/>
      </c>
      <c r="X41" s="25">
        <f>subQ!X35</f>
        <v/>
      </c>
      <c r="Y41" s="25">
        <f>subQ!Y35</f>
        <v/>
      </c>
      <c r="Z41" s="26">
        <f>subQ!Z35</f>
        <v/>
      </c>
      <c r="AA41" s="25">
        <f>subQ!AA35</f>
        <v/>
      </c>
      <c r="AB41" s="27">
        <f>subQ!AB35</f>
        <v/>
      </c>
      <c r="AC41" s="31" t="n"/>
      <c r="AD41" s="28" t="n">
        <v>0</v>
      </c>
      <c r="AE41" s="29">
        <f>subQ!AE35</f>
        <v/>
      </c>
      <c r="AF41" s="31" t="n"/>
      <c r="AG41" s="31" t="n"/>
      <c r="AH41" s="31" t="n"/>
      <c r="AI41" s="28" t="n">
        <v>0</v>
      </c>
      <c r="AJ41" s="29">
        <f>subQ!AJ35</f>
        <v/>
      </c>
      <c r="AK41" s="31" t="n"/>
      <c r="AL41" s="31" t="n"/>
      <c r="AM41" s="31" t="n"/>
      <c r="AN41" s="28" t="n">
        <v>0</v>
      </c>
      <c r="AO41" s="29">
        <f>subQ!AO35</f>
        <v/>
      </c>
    </row>
    <row r="42"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sc:종가</t>
        </is>
      </c>
      <c r="C44" t="inlineStr">
        <is>
          <t>종가</t>
        </is>
      </c>
      <c r="D44" s="32" t="n">
        <v>764</v>
      </c>
      <c r="E44" s="2" t="inlineStr">
        <is>
          <t>원 — 네이버 정규장 종가(aik 확정종가 대조 · aik 764원)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sc:기준일</t>
        </is>
      </c>
      <c r="C45" t="inlineStr">
        <is>
          <t>기준일</t>
        </is>
      </c>
      <c r="D45" s="33" t="inlineStr">
        <is>
          <t>20261013</t>
        </is>
      </c>
      <c r="E45" s="2" t="inlineStr">
        <is>
          <t>종가 기준일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sc:COE</t>
        </is>
      </c>
      <c r="C46" t="inlineStr">
        <is>
          <t>COE</t>
        </is>
      </c>
      <c r="D46" s="22" t="n">
        <v>0.09</v>
      </c>
      <c r="E46" s="2" t="inlineStr">
        <is>
          <t>자기자본비용(가정) — TP 적정 PBR = ROE/COE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sc:PER_lo</t>
        </is>
      </c>
      <c r="C47" t="inlineStr">
        <is>
          <t>PER_lo</t>
        </is>
      </c>
      <c r="D47" s="28" t="n">
        <v>10</v>
      </c>
      <c r="E47" s="2" t="inlineStr">
        <is>
          <t>PER 밴드 하단(배) — sector_default(레퍼런스 TP_PE PB 예시 10/15/20배; 과거 양(+)EPS 분기 0개 &lt; 4)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sc:PER_mid</t>
        </is>
      </c>
      <c r="C48" t="inlineStr">
        <is>
          <t>PER_mid</t>
        </is>
      </c>
      <c r="D48" s="28" t="n">
        <v>15</v>
      </c>
      <c r="E48" s="2" t="inlineStr">
        <is>
          <t>PER 밴드 중단(배)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sc:PER_hi</t>
        </is>
      </c>
      <c r="C49" t="inlineStr">
        <is>
          <t>PER_hi</t>
        </is>
      </c>
      <c r="D49" s="28" t="n">
        <v>20</v>
      </c>
      <c r="E49" s="2" t="inlineStr">
        <is>
          <t>PER 밴드 상단(배)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sc:EPS_Y1가중</t>
        </is>
      </c>
      <c r="C50" t="inlineStr">
        <is>
          <t>EPS_Y1가중</t>
        </is>
      </c>
      <c r="D50" s="22" t="n">
        <v>0.5</v>
      </c>
      <c r="E50" s="2" t="inlineStr">
        <is>
          <t>12M fwd EPS = FY(last_actual연도)E × w + FY+1E × (1−w) — 기준 분기 2Q 이면 0.5(가정)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sc:세율</t>
        </is>
      </c>
      <c r="C51" t="inlineStr">
        <is>
          <t>세율</t>
        </is>
      </c>
      <c r="D51" s="34" t="n">
        <v>0.22</v>
      </c>
      <c r="E51" s="2" t="inlineStr">
        <is>
          <t>참고(연결 안 됨: MAX(세전,0)×단일 세율로 재현 불가(지주 자회사 합산 등) → 분기별 역산) — 모델 assumptions 값 · 최근 12분기 세전 합 ≤ 0; 세전 &gt; 0 분기 중위 -22.7% 도 5~27% 밖 → 법정세율 근사 22% 가정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sc:판관비율</t>
        </is>
      </c>
      <c r="C52" t="inlineStr">
        <is>
          <t>판관비율</t>
        </is>
      </c>
      <c r="D52" s="34" t="n">
        <v>0.2818073110205342</v>
      </c>
      <c r="E52" s="2" t="inlineStr">
        <is>
          <t>연결 — 판관비 = 매출액 × 판관비율(역산, 재현 오차 ≤ 0.05억 · 모델 assumptions 0.2818)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4" t="n">
        <v>1</v>
      </c>
      <c r="E53" s="2" t="inlineStr">
        <is>
          <t>연결 — 지배주주순이익 = 당기순이익 × 비중(역산,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4" t="n">
        <v>0.009716795457262102</v>
      </c>
      <c r="E54" s="2" t="inlineStr">
        <is>
          <t>연결 — 이자손익 = (전분기 이자발생자산 × 자산이자율 − 전분기 총차입금 × 부채이자율)/4(역산, 재현 오차 ≤ 0.05억 · 모델 assumptions 0.0097)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4" t="n">
        <v>0.1999557681575291</v>
      </c>
      <c r="E55" s="2" t="inlineStr">
        <is>
          <t>연결 — 같은 수식의 부채 쪽(총차입금 행이 없으면 0)(역산, 재현 오차 ≤ 0.05억 · 모델 assumptions 0.2)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sc:배당성향</t>
        </is>
      </c>
      <c r="C56" t="inlineStr">
        <is>
          <t>배당성향</t>
        </is>
      </c>
      <c r="D56" s="22" t="n">
        <v>0</v>
      </c>
      <c r="E56" s="2" t="inlineStr">
        <is>
          <t>배당성향(참고 — 모델은 직전 DPS 유지·Q2 지급 가정)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28" t="n"/>
      <c r="E57" s="2" t="inlineStr">
        <is>
          <t>외화 순노출 × Δ기말환율 (외화 시트 방식) — 외화 순노출 미공시(face) → 0 + 표기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sc:헤지비율</t>
        </is>
      </c>
      <c r="C58" t="inlineStr">
        <is>
          <t>헤지비율</t>
        </is>
      </c>
      <c r="D58" s="22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삼영이엔씨(연)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삼영이엔씨(별)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62281.39</v>
      </c>
      <c r="F5" s="35" t="n">
        <v>62281.39</v>
      </c>
      <c r="G5" s="18" t="n">
        <v>80901.24000000001</v>
      </c>
      <c r="H5" s="18" t="n">
        <v>73778.74000000001</v>
      </c>
      <c r="I5" s="18" t="n">
        <v>79577.61</v>
      </c>
      <c r="J5" s="18" t="n">
        <v>64720.89</v>
      </c>
      <c r="K5" s="35" t="n">
        <v>64720.89</v>
      </c>
      <c r="L5" s="18" t="n">
        <v>64700.66</v>
      </c>
      <c r="M5" s="18" t="n">
        <v>66807.25999999999</v>
      </c>
      <c r="N5" s="18" t="n">
        <v>62879.58</v>
      </c>
      <c r="O5" s="18" t="n">
        <v>54484.83</v>
      </c>
      <c r="P5" s="35" t="n">
        <v>54484.83</v>
      </c>
      <c r="Q5" s="18" t="n">
        <v>54432.28</v>
      </c>
      <c r="R5" s="18" t="n">
        <v>52974.55</v>
      </c>
      <c r="S5" s="18" t="n">
        <v>54590.82</v>
      </c>
      <c r="T5" s="18" t="n">
        <v>44111.58</v>
      </c>
      <c r="U5" s="35" t="n">
        <v>44111.58</v>
      </c>
      <c r="V5" s="18" t="n">
        <v>41646.44</v>
      </c>
      <c r="W5" s="18" t="n">
        <v>43118.86</v>
      </c>
      <c r="X5" s="18" t="n">
        <v>40751.98</v>
      </c>
      <c r="Y5" s="18" t="n">
        <v>36959.58</v>
      </c>
      <c r="Z5" s="35" t="n">
        <v>36959.58</v>
      </c>
      <c r="AA5" s="18" t="n">
        <v>34858.23</v>
      </c>
      <c r="AB5" s="36" t="n">
        <v>37970.07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3262.24</v>
      </c>
      <c r="F6" s="35" t="n">
        <v>3262.24</v>
      </c>
      <c r="G6" s="18" t="n">
        <v>22756.68</v>
      </c>
      <c r="H6" s="18" t="n">
        <v>9371.92</v>
      </c>
      <c r="I6" s="18" t="n">
        <v>7191.81</v>
      </c>
      <c r="J6" s="18" t="n">
        <v>6875.32</v>
      </c>
      <c r="K6" s="35" t="n">
        <v>6875.32</v>
      </c>
      <c r="L6" s="18" t="n">
        <v>3578.17</v>
      </c>
      <c r="M6" s="18" t="n">
        <v>2142.94</v>
      </c>
      <c r="N6" s="18" t="n">
        <v>2802.85</v>
      </c>
      <c r="O6" s="18" t="n">
        <v>3317.17</v>
      </c>
      <c r="P6" s="35" t="n">
        <v>3317.17</v>
      </c>
      <c r="Q6" s="18" t="n">
        <v>974.26</v>
      </c>
      <c r="R6" s="18" t="n">
        <v>658.26</v>
      </c>
      <c r="S6" s="18" t="n">
        <v>4273.54</v>
      </c>
      <c r="T6" s="18" t="n">
        <v>7482.47</v>
      </c>
      <c r="U6" s="35" t="n">
        <v>7482.47</v>
      </c>
      <c r="V6" s="18" t="n">
        <v>646.28</v>
      </c>
      <c r="W6" s="18" t="n">
        <v>572.84</v>
      </c>
      <c r="X6" s="18" t="n">
        <v>789.46</v>
      </c>
      <c r="Y6" s="18" t="n">
        <v>1117.46</v>
      </c>
      <c r="Z6" s="35" t="n">
        <v>1117.46</v>
      </c>
      <c r="AA6" s="18" t="n">
        <v>593.46</v>
      </c>
      <c r="AB6" s="36" t="n">
        <v>568.34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1678.13</v>
      </c>
      <c r="F7" s="35" t="n">
        <v>1678.13</v>
      </c>
      <c r="G7" s="18" t="n">
        <v>625.8</v>
      </c>
      <c r="H7" s="18" t="n">
        <v>1314.69</v>
      </c>
      <c r="K7" s="9" t="n"/>
      <c r="P7" s="9" t="n"/>
      <c r="U7" s="9" t="n"/>
      <c r="Y7" s="18" t="n">
        <v>1414</v>
      </c>
      <c r="Z7" s="35" t="n">
        <v>1414</v>
      </c>
      <c r="AB7" s="36" t="n">
        <v>1000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단기투자자산(공정가치)</t>
        </is>
      </c>
      <c r="E8" s="18" t="n">
        <v>4043.11</v>
      </c>
      <c r="F8" s="35" t="n">
        <v>4043.11</v>
      </c>
      <c r="G8" s="18" t="n">
        <v>3942.61</v>
      </c>
      <c r="H8" s="18" t="n">
        <v>7623.44</v>
      </c>
      <c r="I8" s="18" t="n">
        <v>9867.83</v>
      </c>
      <c r="J8" s="18" t="n">
        <v>7711.72</v>
      </c>
      <c r="K8" s="35" t="n">
        <v>7711.72</v>
      </c>
      <c r="L8" s="18" t="n">
        <v>10177.65</v>
      </c>
      <c r="M8" s="18" t="n">
        <v>8400.690000000001</v>
      </c>
      <c r="N8" s="18" t="n">
        <v>6955.84</v>
      </c>
      <c r="O8" s="18" t="n">
        <v>5176.28</v>
      </c>
      <c r="P8" s="35" t="n">
        <v>5176.28</v>
      </c>
      <c r="Q8" s="18" t="n">
        <v>3768.64</v>
      </c>
      <c r="R8" s="18" t="n">
        <v>3851.56</v>
      </c>
      <c r="S8" s="18" t="n">
        <v>3751.94</v>
      </c>
      <c r="T8" s="18" t="n">
        <v>734.7</v>
      </c>
      <c r="U8" s="35" t="n">
        <v>734.7</v>
      </c>
      <c r="V8" s="18" t="n">
        <v>150.7</v>
      </c>
      <c r="W8" s="18" t="n">
        <v>150.7</v>
      </c>
      <c r="X8" s="18" t="n">
        <v>150.7</v>
      </c>
      <c r="Y8" s="18" t="n">
        <v>150.32</v>
      </c>
      <c r="Z8" s="35" t="n">
        <v>150.32</v>
      </c>
      <c r="AA8" s="18" t="n">
        <v>150.32</v>
      </c>
      <c r="AB8" s="36" t="n">
        <v>101.75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17284.85</v>
      </c>
      <c r="F9" s="35" t="n">
        <v>17284.85</v>
      </c>
      <c r="G9" s="18" t="n">
        <v>15820.32</v>
      </c>
      <c r="H9" s="18" t="n">
        <v>22147.71</v>
      </c>
      <c r="I9" s="18" t="n">
        <v>25909.71</v>
      </c>
      <c r="J9" s="18" t="n">
        <v>17623.81</v>
      </c>
      <c r="K9" s="35" t="n">
        <v>17623.81</v>
      </c>
      <c r="L9" s="18" t="n">
        <v>14204.16</v>
      </c>
      <c r="M9" s="18" t="n">
        <v>18231.9</v>
      </c>
      <c r="N9" s="18" t="n">
        <v>17169.52</v>
      </c>
      <c r="O9" s="18" t="n">
        <v>12757.62</v>
      </c>
      <c r="P9" s="35" t="n">
        <v>12757.62</v>
      </c>
      <c r="Q9" s="18" t="n">
        <v>11659.76</v>
      </c>
      <c r="R9" s="18" t="n">
        <v>13396.12</v>
      </c>
      <c r="S9" s="18" t="n">
        <v>10710.71</v>
      </c>
      <c r="T9" s="18" t="n">
        <v>9579.15</v>
      </c>
      <c r="U9" s="35" t="n">
        <v>9579.15</v>
      </c>
      <c r="V9" s="18" t="n">
        <v>8997.93</v>
      </c>
      <c r="W9" s="18" t="n">
        <v>8933.91</v>
      </c>
      <c r="X9" s="18" t="n">
        <v>8729.34</v>
      </c>
      <c r="Y9" s="18" t="n">
        <v>5984.8</v>
      </c>
      <c r="Z9" s="35" t="n">
        <v>5984.8</v>
      </c>
      <c r="AA9" s="18" t="n">
        <v>5662.36</v>
      </c>
      <c r="AB9" s="36" t="n">
        <v>6839.73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29727.39</v>
      </c>
      <c r="F10" s="35" t="n">
        <v>29727.39</v>
      </c>
      <c r="G10" s="18" t="n">
        <v>33857.91</v>
      </c>
      <c r="H10" s="18" t="n">
        <v>30458.57</v>
      </c>
      <c r="I10" s="18" t="n">
        <v>31524.5</v>
      </c>
      <c r="J10" s="18" t="n">
        <v>27194.5</v>
      </c>
      <c r="K10" s="35" t="n">
        <v>27194.5</v>
      </c>
      <c r="L10" s="18" t="n">
        <v>28736.17</v>
      </c>
      <c r="M10" s="18" t="n">
        <v>28891.6</v>
      </c>
      <c r="N10" s="18" t="n">
        <v>31750.8</v>
      </c>
      <c r="O10" s="18" t="n">
        <v>30623.78</v>
      </c>
      <c r="P10" s="35" t="n">
        <v>30623.78</v>
      </c>
      <c r="Q10" s="18" t="n">
        <v>32407.28</v>
      </c>
      <c r="R10" s="18" t="n">
        <v>28686.44</v>
      </c>
      <c r="S10" s="18" t="n">
        <v>29195.99</v>
      </c>
      <c r="T10" s="18" t="n">
        <v>20542.16</v>
      </c>
      <c r="U10" s="35" t="n">
        <v>20542.16</v>
      </c>
      <c r="V10" s="18" t="n">
        <v>25141.99</v>
      </c>
      <c r="W10" s="18" t="n">
        <v>25457.01</v>
      </c>
      <c r="X10" s="18" t="n">
        <v>23863.06</v>
      </c>
      <c r="Y10" s="18" t="n">
        <v>19833.54</v>
      </c>
      <c r="Z10" s="35" t="n">
        <v>19833.54</v>
      </c>
      <c r="AA10" s="18" t="n">
        <v>20189.19</v>
      </c>
      <c r="AB10" s="36" t="n">
        <v>22318.37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기타유동자산</t>
        </is>
      </c>
      <c r="E11" s="18" t="n">
        <v>6275.45</v>
      </c>
      <c r="F11" s="35" t="n">
        <v>6275.45</v>
      </c>
      <c r="G11" s="18" t="n">
        <v>3885.23</v>
      </c>
      <c r="H11" s="18" t="n">
        <v>2858.85</v>
      </c>
      <c r="I11" s="18" t="n">
        <v>5054.11</v>
      </c>
      <c r="J11" s="18" t="n">
        <v>5261</v>
      </c>
      <c r="K11" s="35" t="n">
        <v>5261</v>
      </c>
      <c r="L11" s="18" t="n">
        <v>7949.84</v>
      </c>
      <c r="M11" s="18" t="n">
        <v>9139.950000000001</v>
      </c>
      <c r="N11" s="18" t="n">
        <v>4200.35</v>
      </c>
      <c r="O11" s="18" t="n">
        <v>2609.66</v>
      </c>
      <c r="P11" s="35" t="n">
        <v>2609.66</v>
      </c>
      <c r="Q11" s="18" t="n">
        <v>5621.97</v>
      </c>
      <c r="R11" s="18" t="n">
        <v>6382.06</v>
      </c>
      <c r="S11" s="18" t="n">
        <v>6658.51</v>
      </c>
      <c r="T11" s="18" t="n">
        <v>5772.89</v>
      </c>
      <c r="U11" s="35" t="n">
        <v>5772.89</v>
      </c>
      <c r="V11" s="18" t="n">
        <v>6709.31</v>
      </c>
      <c r="W11" s="18" t="n">
        <v>8004.28</v>
      </c>
      <c r="X11" s="18" t="n">
        <v>7219.29</v>
      </c>
      <c r="Y11" s="18" t="n">
        <v>8459.290000000001</v>
      </c>
      <c r="Z11" s="35" t="n">
        <v>8459.290000000001</v>
      </c>
      <c r="AA11" s="18" t="n">
        <v>8262.620000000001</v>
      </c>
      <c r="AB11" s="36" t="n">
        <v>7141.87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당기법인세자산(선급법인세)</t>
        </is>
      </c>
      <c r="E12" s="18" t="n">
        <v>10.21</v>
      </c>
      <c r="F12" s="35" t="n">
        <v>10.21</v>
      </c>
      <c r="G12" s="18" t="n">
        <v>12.69</v>
      </c>
      <c r="H12" s="18" t="n">
        <v>3.57</v>
      </c>
      <c r="I12" s="18" t="n">
        <v>29.66</v>
      </c>
      <c r="J12" s="18" t="n">
        <v>54.53</v>
      </c>
      <c r="K12" s="35" t="n">
        <v>54.53</v>
      </c>
      <c r="L12" s="18" t="n">
        <v>54.66</v>
      </c>
      <c r="M12" s="18" t="n">
        <v>0.17</v>
      </c>
      <c r="N12" s="18" t="n">
        <v>0.22</v>
      </c>
      <c r="O12" s="18" t="n">
        <v>0.31</v>
      </c>
      <c r="P12" s="35" t="n">
        <v>0.31</v>
      </c>
      <c r="Q12" s="18" t="n">
        <v>0.36</v>
      </c>
      <c r="R12" s="18" t="n">
        <v>0.11</v>
      </c>
      <c r="S12" s="18" t="n">
        <v>0.13</v>
      </c>
      <c r="T12" s="18" t="n">
        <v>0.21</v>
      </c>
      <c r="U12" s="35" t="n">
        <v>0.21</v>
      </c>
      <c r="V12" s="18" t="n">
        <v>0.22</v>
      </c>
      <c r="W12" s="18" t="n">
        <v>0.12</v>
      </c>
      <c r="X12" s="18" t="n">
        <v>0.13</v>
      </c>
      <c r="Y12" s="18" t="n">
        <v>0.16</v>
      </c>
      <c r="Z12" s="35" t="n">
        <v>0.16</v>
      </c>
      <c r="AA12" s="18" t="n">
        <v>0.28</v>
      </c>
      <c r="AB12" s="36" t="n">
        <v>0.01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32831.98</v>
      </c>
      <c r="F13" s="35" t="n">
        <v>32831.98</v>
      </c>
      <c r="G13" s="18" t="n">
        <v>32959.05</v>
      </c>
      <c r="H13" s="18" t="n">
        <v>32421</v>
      </c>
      <c r="I13" s="18" t="n">
        <v>35018.89</v>
      </c>
      <c r="J13" s="18" t="n">
        <v>15492.79</v>
      </c>
      <c r="K13" s="35" t="n">
        <v>15492.79</v>
      </c>
      <c r="L13" s="18" t="n">
        <v>15019.65</v>
      </c>
      <c r="M13" s="18" t="n">
        <v>18899.26</v>
      </c>
      <c r="N13" s="18" t="n">
        <v>22440.47</v>
      </c>
      <c r="O13" s="18" t="n">
        <v>19162</v>
      </c>
      <c r="P13" s="35" t="n">
        <v>19162</v>
      </c>
      <c r="Q13" s="18" t="n">
        <v>19109.87</v>
      </c>
      <c r="R13" s="18" t="n">
        <v>19147.07</v>
      </c>
      <c r="S13" s="18" t="n">
        <v>19547.04</v>
      </c>
      <c r="T13" s="18" t="n">
        <v>10789.38</v>
      </c>
      <c r="U13" s="35" t="n">
        <v>10789.38</v>
      </c>
      <c r="V13" s="18" t="n">
        <v>10678.01</v>
      </c>
      <c r="W13" s="18" t="n">
        <v>10662.56</v>
      </c>
      <c r="X13" s="18" t="n">
        <v>3284.63</v>
      </c>
      <c r="Y13" s="18" t="n">
        <v>3298.31</v>
      </c>
      <c r="Z13" s="35" t="n">
        <v>3298.31</v>
      </c>
      <c r="AA13" s="18" t="n">
        <v>3391.54</v>
      </c>
      <c r="AB13" s="36" t="n">
        <v>3385.51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504.63</v>
      </c>
      <c r="F14" s="35" t="n">
        <v>504.63</v>
      </c>
      <c r="G14" s="18" t="n">
        <v>520.9</v>
      </c>
      <c r="H14" s="18" t="n">
        <v>1456.08</v>
      </c>
      <c r="I14" s="18" t="n">
        <v>1560.23</v>
      </c>
      <c r="J14" s="18" t="n">
        <v>626.53</v>
      </c>
      <c r="K14" s="35" t="n">
        <v>626.53</v>
      </c>
      <c r="L14" s="18" t="n">
        <v>602.97</v>
      </c>
      <c r="M14" s="18" t="n">
        <v>3230.87</v>
      </c>
      <c r="N14" s="18" t="n">
        <v>3940.73</v>
      </c>
      <c r="O14" s="18" t="n">
        <v>1997.16</v>
      </c>
      <c r="P14" s="35" t="n">
        <v>1997.16</v>
      </c>
      <c r="Q14" s="18" t="n">
        <v>1522.69</v>
      </c>
      <c r="R14" s="18" t="n">
        <v>1474.97</v>
      </c>
      <c r="S14" s="18" t="n">
        <v>1476.44</v>
      </c>
      <c r="T14" s="18" t="n">
        <v>591.17</v>
      </c>
      <c r="U14" s="35" t="n">
        <v>591.17</v>
      </c>
      <c r="V14" s="18" t="n">
        <v>591.17</v>
      </c>
      <c r="W14" s="18" t="n">
        <v>591.17</v>
      </c>
      <c r="X14" s="18" t="n">
        <v>591.17</v>
      </c>
      <c r="Y14" s="18" t="n">
        <v>591.17</v>
      </c>
      <c r="Z14" s="35" t="n">
        <v>591.17</v>
      </c>
      <c r="AA14" s="18" t="n">
        <v>591.17</v>
      </c>
      <c r="AB14" s="36" t="n">
        <v>591.17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504.63</v>
      </c>
      <c r="F15" s="35" t="n">
        <v>504.63</v>
      </c>
      <c r="G15" s="18" t="n">
        <v>520.9</v>
      </c>
      <c r="H15" s="18" t="n">
        <v>1966.38</v>
      </c>
      <c r="I15" s="18" t="n">
        <v>1749.2</v>
      </c>
      <c r="J15" s="18" t="n">
        <v>626.53</v>
      </c>
      <c r="K15" s="35" t="n">
        <v>626.53</v>
      </c>
      <c r="L15" s="18" t="n">
        <v>602.97</v>
      </c>
      <c r="M15" s="18" t="n">
        <v>3230.87</v>
      </c>
      <c r="N15" s="18" t="n">
        <v>3940.73</v>
      </c>
      <c r="O15" s="18" t="n">
        <v>1997.16</v>
      </c>
      <c r="P15" s="35" t="n">
        <v>1997.16</v>
      </c>
      <c r="Q15" s="18" t="n">
        <v>1522.69</v>
      </c>
      <c r="R15" s="18" t="n">
        <v>1474.97</v>
      </c>
      <c r="S15" s="18" t="n">
        <v>1476.44</v>
      </c>
      <c r="T15" s="18" t="n">
        <v>591.17</v>
      </c>
      <c r="U15" s="35" t="n">
        <v>591.17</v>
      </c>
      <c r="V15" s="18" t="n">
        <v>591.17</v>
      </c>
      <c r="W15" s="18" t="n">
        <v>591.17</v>
      </c>
      <c r="X15" s="18" t="n">
        <v>591.17</v>
      </c>
      <c r="Y15" s="18" t="n">
        <v>591.17</v>
      </c>
      <c r="Z15" s="35" t="n">
        <v>591.17</v>
      </c>
      <c r="AA15" s="18" t="n">
        <v>591.17</v>
      </c>
      <c r="AB15" s="36" t="n">
        <v>591.17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유형자산</t>
        </is>
      </c>
      <c r="E16" s="18" t="n">
        <v>16514.54</v>
      </c>
      <c r="F16" s="35" t="n">
        <v>16514.54</v>
      </c>
      <c r="G16" s="18" t="n">
        <v>16227.62</v>
      </c>
      <c r="H16" s="18" t="n">
        <v>15906.54</v>
      </c>
      <c r="I16" s="18" t="n">
        <v>15691.47</v>
      </c>
      <c r="J16" s="18" t="n">
        <v>10018.69</v>
      </c>
      <c r="K16" s="35" t="n">
        <v>10018.69</v>
      </c>
      <c r="L16" s="18" t="n">
        <v>9959.879999999999</v>
      </c>
      <c r="M16" s="18" t="n">
        <v>9924.719999999999</v>
      </c>
      <c r="N16" s="18" t="n">
        <v>10082.13</v>
      </c>
      <c r="O16" s="18" t="n">
        <v>10038.64</v>
      </c>
      <c r="P16" s="35" t="n">
        <v>10038.64</v>
      </c>
      <c r="Q16" s="18" t="n">
        <v>9996.799999999999</v>
      </c>
      <c r="R16" s="18" t="n">
        <v>9981.52</v>
      </c>
      <c r="S16" s="18" t="n">
        <v>9976.4</v>
      </c>
      <c r="T16" s="18" t="n">
        <v>9875.17</v>
      </c>
      <c r="U16" s="35" t="n">
        <v>9875.17</v>
      </c>
      <c r="V16" s="18" t="n">
        <v>9845.43</v>
      </c>
      <c r="W16" s="18" t="n">
        <v>9774.200000000001</v>
      </c>
      <c r="X16" s="18" t="n">
        <v>2343.11</v>
      </c>
      <c r="Y16" s="18" t="n">
        <v>2328.25</v>
      </c>
      <c r="Z16" s="35" t="n">
        <v>2328.25</v>
      </c>
      <c r="AA16" s="18" t="n">
        <v>2303.86</v>
      </c>
      <c r="AB16" s="36" t="n">
        <v>2279.47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사용권자산</t>
        </is>
      </c>
      <c r="E17" s="18" t="n">
        <v>402.41</v>
      </c>
      <c r="F17" s="35" t="n">
        <v>402.41</v>
      </c>
      <c r="G17" s="18" t="n">
        <v>347.75</v>
      </c>
      <c r="H17" s="18" t="n">
        <v>326.68</v>
      </c>
      <c r="I17" s="18" t="n">
        <v>561.0599999999999</v>
      </c>
      <c r="K17" s="9" t="n"/>
      <c r="L17" s="18" t="n">
        <v>92.2</v>
      </c>
      <c r="M17" s="18" t="n">
        <v>172.7</v>
      </c>
      <c r="N17" s="18" t="n">
        <v>152.52</v>
      </c>
      <c r="O17" s="18" t="n">
        <v>143.76</v>
      </c>
      <c r="P17" s="35" t="n">
        <v>143.76</v>
      </c>
      <c r="Q17" s="18" t="n">
        <v>121.56</v>
      </c>
      <c r="R17" s="18" t="n">
        <v>99.36</v>
      </c>
      <c r="S17" s="18" t="n">
        <v>77.16</v>
      </c>
      <c r="U17" s="9" t="n"/>
      <c r="Z17" s="9" t="n"/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기타비유동자산</t>
        </is>
      </c>
      <c r="E18" s="18" t="n">
        <v>402.41</v>
      </c>
      <c r="F18" s="35" t="n">
        <v>402.41</v>
      </c>
      <c r="G18" s="18" t="n">
        <v>347.75</v>
      </c>
      <c r="H18" s="18" t="n">
        <v>326.68</v>
      </c>
      <c r="I18" s="18" t="n">
        <v>561.0599999999999</v>
      </c>
      <c r="K18" s="9" t="n"/>
      <c r="L18" s="18" t="n">
        <v>92.2</v>
      </c>
      <c r="M18" s="18" t="n">
        <v>172.7</v>
      </c>
      <c r="N18" s="18" t="n">
        <v>152.52</v>
      </c>
      <c r="O18" s="18" t="n">
        <v>143.76</v>
      </c>
      <c r="P18" s="35" t="n">
        <v>143.76</v>
      </c>
      <c r="Q18" s="18" t="n">
        <v>121.56</v>
      </c>
      <c r="R18" s="18" t="n">
        <v>99.36</v>
      </c>
      <c r="S18" s="18" t="n">
        <v>77.16</v>
      </c>
      <c r="U18" s="9" t="n"/>
      <c r="Z18" s="9" t="n"/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8059.53</v>
      </c>
      <c r="F19" s="35" t="n">
        <v>8059.53</v>
      </c>
      <c r="G19" s="18" t="n">
        <v>8394.450000000001</v>
      </c>
      <c r="H19" s="18" t="n">
        <v>7918.42</v>
      </c>
      <c r="I19" s="18" t="n">
        <v>7792.02</v>
      </c>
      <c r="J19" s="18" t="n">
        <v>2613.08</v>
      </c>
      <c r="K19" s="35" t="n">
        <v>2613.08</v>
      </c>
      <c r="L19" s="18" t="n">
        <v>2000.18</v>
      </c>
      <c r="M19" s="18" t="n">
        <v>3315.14</v>
      </c>
      <c r="N19" s="18" t="n">
        <v>3161.24</v>
      </c>
      <c r="O19" s="18" t="n">
        <v>2263.7</v>
      </c>
      <c r="P19" s="35" t="n">
        <v>2263.7</v>
      </c>
      <c r="Q19" s="18" t="n">
        <v>2272.03</v>
      </c>
      <c r="R19" s="18" t="n">
        <v>2236.65</v>
      </c>
      <c r="S19" s="18" t="n">
        <v>2056.01</v>
      </c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이연법인세자산</t>
        </is>
      </c>
      <c r="E20" s="18" t="n">
        <v>7137.26</v>
      </c>
      <c r="F20" s="35" t="n">
        <v>7137.26</v>
      </c>
      <c r="G20" s="18" t="n">
        <v>7058.81</v>
      </c>
      <c r="H20" s="18" t="n">
        <v>5892.58</v>
      </c>
      <c r="I20" s="18" t="n">
        <v>8709.82</v>
      </c>
      <c r="J20" s="18" t="n">
        <v>917.64</v>
      </c>
      <c r="K20" s="35" t="n">
        <v>917.64</v>
      </c>
      <c r="L20" s="18" t="n">
        <v>1126.51</v>
      </c>
      <c r="M20" s="18" t="n">
        <v>1042.63</v>
      </c>
      <c r="N20" s="18" t="n">
        <v>939.04</v>
      </c>
      <c r="O20" s="18" t="n">
        <v>849.9</v>
      </c>
      <c r="P20" s="35" t="n">
        <v>849.9</v>
      </c>
      <c r="Q20" s="18" t="n">
        <v>1232.89</v>
      </c>
      <c r="R20" s="18" t="n">
        <v>1403.35</v>
      </c>
      <c r="S20" s="18" t="n">
        <v>1649.05</v>
      </c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자산총계</t>
        </is>
      </c>
      <c r="E21" s="18" t="n">
        <v>95113.37</v>
      </c>
      <c r="F21" s="35" t="n">
        <v>95113.37</v>
      </c>
      <c r="G21" s="18" t="n">
        <v>113860.29</v>
      </c>
      <c r="H21" s="18" t="n">
        <v>106199.75</v>
      </c>
      <c r="I21" s="18" t="n">
        <v>114596.5</v>
      </c>
      <c r="J21" s="18" t="n">
        <v>80213.67999999999</v>
      </c>
      <c r="K21" s="35" t="n">
        <v>80213.67999999999</v>
      </c>
      <c r="L21" s="18" t="n">
        <v>79720.31</v>
      </c>
      <c r="M21" s="18" t="n">
        <v>85706.53</v>
      </c>
      <c r="N21" s="18" t="n">
        <v>85320.05</v>
      </c>
      <c r="O21" s="18" t="n">
        <v>73646.83</v>
      </c>
      <c r="P21" s="35" t="n">
        <v>73646.83</v>
      </c>
      <c r="Q21" s="18" t="n">
        <v>73542.14</v>
      </c>
      <c r="R21" s="18" t="n">
        <v>72121.63</v>
      </c>
      <c r="S21" s="18" t="n">
        <v>74137.86</v>
      </c>
      <c r="T21" s="18" t="n">
        <v>54900.96</v>
      </c>
      <c r="U21" s="35" t="n">
        <v>54900.96</v>
      </c>
      <c r="V21" s="18" t="n">
        <v>52324.45</v>
      </c>
      <c r="W21" s="18" t="n">
        <v>53781.41</v>
      </c>
      <c r="X21" s="18" t="n">
        <v>44036.61</v>
      </c>
      <c r="Y21" s="18" t="n">
        <v>40257.89</v>
      </c>
      <c r="Z21" s="35" t="n">
        <v>40257.89</v>
      </c>
      <c r="AA21" s="18" t="n">
        <v>38249.76</v>
      </c>
      <c r="AB21" s="36" t="n">
        <v>41355.58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유동부채</t>
        </is>
      </c>
      <c r="E22" s="18" t="n">
        <v>19682.11</v>
      </c>
      <c r="F22" s="35" t="n">
        <v>19682.11</v>
      </c>
      <c r="G22" s="18" t="n">
        <v>18289.38</v>
      </c>
      <c r="H22" s="18" t="n">
        <v>19078.56</v>
      </c>
      <c r="I22" s="18" t="n">
        <v>23094.29</v>
      </c>
      <c r="J22" s="18" t="n">
        <v>23167.82</v>
      </c>
      <c r="K22" s="35" t="n">
        <v>23167.82</v>
      </c>
      <c r="L22" s="18" t="n">
        <v>25164.12</v>
      </c>
      <c r="M22" s="18" t="n">
        <v>47037.64</v>
      </c>
      <c r="N22" s="18" t="n">
        <v>38812.15</v>
      </c>
      <c r="O22" s="18" t="n">
        <v>35777.82</v>
      </c>
      <c r="P22" s="35" t="n">
        <v>35777.82</v>
      </c>
      <c r="Q22" s="18" t="n">
        <v>41814.72</v>
      </c>
      <c r="R22" s="18" t="n">
        <v>37952.24</v>
      </c>
      <c r="S22" s="18" t="n">
        <v>36602.22</v>
      </c>
      <c r="T22" s="18" t="n">
        <v>37788.96</v>
      </c>
      <c r="U22" s="35" t="n">
        <v>37788.96</v>
      </c>
      <c r="V22" s="18" t="n">
        <v>34035.58</v>
      </c>
      <c r="W22" s="18" t="n">
        <v>34377.27</v>
      </c>
      <c r="X22" s="18" t="n">
        <v>25336.9</v>
      </c>
      <c r="Y22" s="18" t="n">
        <v>22066.83</v>
      </c>
      <c r="Z22" s="35" t="n">
        <v>22066.83</v>
      </c>
      <c r="AA22" s="18" t="n">
        <v>20385.83</v>
      </c>
      <c r="AB22" s="36" t="n">
        <v>26857.66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매입채무및기타채무</t>
        </is>
      </c>
      <c r="E23" s="18" t="n">
        <v>4745.36</v>
      </c>
      <c r="F23" s="35" t="n">
        <v>4745.36</v>
      </c>
      <c r="G23" s="18" t="n">
        <v>3738.68</v>
      </c>
      <c r="H23" s="18" t="n">
        <v>4572.09</v>
      </c>
      <c r="I23" s="18" t="n">
        <v>4529.55</v>
      </c>
      <c r="J23" s="18" t="n">
        <v>3753.37</v>
      </c>
      <c r="K23" s="35" t="n">
        <v>3753.37</v>
      </c>
      <c r="L23" s="18" t="n">
        <v>5017.99</v>
      </c>
      <c r="M23" s="18" t="n">
        <v>8510.280000000001</v>
      </c>
      <c r="N23" s="18" t="n">
        <v>6088.78</v>
      </c>
      <c r="O23" s="18" t="n">
        <v>3882.43</v>
      </c>
      <c r="P23" s="35" t="n">
        <v>3882.43</v>
      </c>
      <c r="Q23" s="18" t="n">
        <v>4819.12</v>
      </c>
      <c r="R23" s="18" t="n">
        <v>6069.93</v>
      </c>
      <c r="S23" s="18" t="n">
        <v>5573.16</v>
      </c>
      <c r="T23" s="18" t="n">
        <v>3973.13</v>
      </c>
      <c r="U23" s="35" t="n">
        <v>3973.13</v>
      </c>
      <c r="V23" s="18" t="n">
        <v>3843.16</v>
      </c>
      <c r="W23" s="18" t="n">
        <v>5123.68</v>
      </c>
      <c r="X23" s="18" t="n">
        <v>4877.97</v>
      </c>
      <c r="Y23" s="18" t="n">
        <v>3238.07</v>
      </c>
      <c r="Z23" s="35" t="n">
        <v>3238.07</v>
      </c>
      <c r="AA23" s="18" t="n">
        <v>3868.77</v>
      </c>
      <c r="AB23" s="36" t="n">
        <v>5092.4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단기차입금</t>
        </is>
      </c>
      <c r="E24" s="18" t="n">
        <v>13000</v>
      </c>
      <c r="F24" s="35" t="n">
        <v>13000</v>
      </c>
      <c r="G24" s="18" t="n">
        <v>13000</v>
      </c>
      <c r="H24" s="18" t="n">
        <v>13000</v>
      </c>
      <c r="I24" s="18" t="n">
        <v>15000</v>
      </c>
      <c r="J24" s="18" t="n">
        <v>15000</v>
      </c>
      <c r="K24" s="35" t="n">
        <v>15000</v>
      </c>
      <c r="L24" s="18" t="n">
        <v>15000</v>
      </c>
      <c r="M24" s="18" t="n">
        <v>15480.01</v>
      </c>
      <c r="N24" s="18" t="n">
        <v>13480.01</v>
      </c>
      <c r="O24" s="18" t="n">
        <v>12000</v>
      </c>
      <c r="P24" s="35" t="n">
        <v>12000</v>
      </c>
      <c r="Q24" s="18" t="n">
        <v>12000</v>
      </c>
      <c r="R24" s="18" t="n">
        <v>12000</v>
      </c>
      <c r="S24" s="18" t="n">
        <v>12900</v>
      </c>
      <c r="T24" s="18" t="n">
        <v>6000</v>
      </c>
      <c r="U24" s="35" t="n">
        <v>6000</v>
      </c>
      <c r="V24" s="18" t="n">
        <v>6299.95</v>
      </c>
      <c r="W24" s="18" t="n">
        <v>6260.09</v>
      </c>
      <c r="X24" s="18" t="n">
        <v>6260.09</v>
      </c>
      <c r="Y24" s="18" t="n">
        <v>6260.07</v>
      </c>
      <c r="Z24" s="35" t="n">
        <v>6260.07</v>
      </c>
      <c r="AA24" s="18" t="n">
        <v>6260.07</v>
      </c>
      <c r="AB24" s="36" t="n">
        <v>6260.07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기타유동부채</t>
        </is>
      </c>
      <c r="E25" s="18" t="n">
        <v>1745.98</v>
      </c>
      <c r="F25" s="35" t="n">
        <v>1745.98</v>
      </c>
      <c r="G25" s="18" t="n">
        <v>1379.99</v>
      </c>
      <c r="H25" s="18" t="n">
        <v>1347.89</v>
      </c>
      <c r="I25" s="18" t="n">
        <v>3313.51</v>
      </c>
      <c r="J25" s="18" t="n">
        <v>3863.05</v>
      </c>
      <c r="K25" s="35" t="n">
        <v>3863.05</v>
      </c>
      <c r="L25" s="18" t="n">
        <v>4640.38</v>
      </c>
      <c r="M25" s="18" t="n">
        <v>5067.6</v>
      </c>
      <c r="N25" s="18" t="n">
        <v>5923.36</v>
      </c>
      <c r="O25" s="18" t="n">
        <v>7414.95</v>
      </c>
      <c r="P25" s="35" t="n">
        <v>7414.95</v>
      </c>
      <c r="Q25" s="18" t="n">
        <v>8794.58</v>
      </c>
      <c r="R25" s="18" t="n">
        <v>7689.65</v>
      </c>
      <c r="S25" s="18" t="n">
        <v>7649.64</v>
      </c>
      <c r="T25" s="18" t="n">
        <v>12266.91</v>
      </c>
      <c r="U25" s="35" t="n">
        <v>12266.91</v>
      </c>
      <c r="V25" s="18" t="n">
        <v>12371.26</v>
      </c>
      <c r="W25" s="18" t="n">
        <v>11514.16</v>
      </c>
      <c r="X25" s="18" t="n">
        <v>9649.209999999999</v>
      </c>
      <c r="Y25" s="18" t="n">
        <v>8504.99</v>
      </c>
      <c r="Z25" s="35" t="n">
        <v>8504.99</v>
      </c>
      <c r="AA25" s="18" t="n">
        <v>6195.06</v>
      </c>
      <c r="AB25" s="36" t="n">
        <v>7418.73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비유동부채</t>
        </is>
      </c>
      <c r="E26" s="18" t="n">
        <v>211.05</v>
      </c>
      <c r="F26" s="35" t="n">
        <v>211.05</v>
      </c>
      <c r="G26" s="18" t="n">
        <v>19673.16</v>
      </c>
      <c r="H26" s="18" t="n">
        <v>19200.72</v>
      </c>
      <c r="I26" s="18" t="n">
        <v>20013.91</v>
      </c>
      <c r="J26" s="18" t="n">
        <v>19992.67</v>
      </c>
      <c r="K26" s="35" t="n">
        <v>19992.67</v>
      </c>
      <c r="L26" s="18" t="n">
        <v>19664.34</v>
      </c>
      <c r="M26" s="18" t="n">
        <v>474.22</v>
      </c>
      <c r="N26" s="18" t="n">
        <v>4095.37</v>
      </c>
      <c r="O26" s="18" t="n">
        <v>4124.83</v>
      </c>
      <c r="P26" s="35" t="n">
        <v>4124.83</v>
      </c>
      <c r="Q26" s="18" t="n">
        <v>305.61</v>
      </c>
      <c r="R26" s="18" t="n">
        <v>258.31</v>
      </c>
      <c r="S26" s="18" t="n">
        <v>216.26</v>
      </c>
      <c r="T26" s="18" t="n">
        <v>682.23</v>
      </c>
      <c r="U26" s="35" t="n">
        <v>682.23</v>
      </c>
      <c r="V26" s="18" t="n">
        <v>335.45</v>
      </c>
      <c r="W26" s="18" t="n">
        <v>312.84</v>
      </c>
      <c r="X26" s="18" t="n">
        <v>280.83</v>
      </c>
      <c r="Y26" s="18" t="n">
        <v>83.06</v>
      </c>
      <c r="Z26" s="35" t="n">
        <v>83.06</v>
      </c>
      <c r="AA26" s="18" t="n">
        <v>52.02</v>
      </c>
      <c r="AB26" s="36" t="n">
        <v>39.02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비유동리스부채</t>
        </is>
      </c>
      <c r="E27" s="18" t="n">
        <v>211.05</v>
      </c>
      <c r="F27" s="35" t="n">
        <v>211.05</v>
      </c>
      <c r="G27" s="18" t="n">
        <v>177.47</v>
      </c>
      <c r="H27" s="18" t="n">
        <v>169.32</v>
      </c>
      <c r="I27" s="18" t="n">
        <v>307.32</v>
      </c>
      <c r="J27" s="18" t="n">
        <v>596.86</v>
      </c>
      <c r="K27" s="35" t="n">
        <v>596.86</v>
      </c>
      <c r="L27" s="18" t="n">
        <v>467.47</v>
      </c>
      <c r="M27" s="18" t="n">
        <v>474.22</v>
      </c>
      <c r="N27" s="18" t="n">
        <v>349.67</v>
      </c>
      <c r="O27" s="18" t="n">
        <v>355.64</v>
      </c>
      <c r="P27" s="35" t="n">
        <v>355.64</v>
      </c>
      <c r="Q27" s="18" t="n">
        <v>305.61</v>
      </c>
      <c r="R27" s="18" t="n">
        <v>258.31</v>
      </c>
      <c r="S27" s="18" t="n">
        <v>216.26</v>
      </c>
      <c r="T27" s="18" t="n">
        <v>201.92</v>
      </c>
      <c r="U27" s="35" t="n">
        <v>201.92</v>
      </c>
      <c r="V27" s="18" t="n">
        <v>61.92</v>
      </c>
      <c r="W27" s="18" t="n">
        <v>64.87</v>
      </c>
      <c r="X27" s="18" t="n">
        <v>54.85</v>
      </c>
      <c r="Y27" s="18" t="n">
        <v>28.17</v>
      </c>
      <c r="Z27" s="35" t="n">
        <v>28.17</v>
      </c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리스부채</t>
        </is>
      </c>
      <c r="E28" s="18" t="n">
        <v>211.05</v>
      </c>
      <c r="F28" s="35" t="n">
        <v>211.05</v>
      </c>
      <c r="G28" s="18" t="n">
        <v>177.47</v>
      </c>
      <c r="H28" s="18" t="n">
        <v>169.32</v>
      </c>
      <c r="I28" s="18" t="n">
        <v>307.32</v>
      </c>
      <c r="J28" s="18" t="n">
        <v>596.86</v>
      </c>
      <c r="K28" s="35" t="n">
        <v>596.86</v>
      </c>
      <c r="L28" s="18" t="n">
        <v>467.47</v>
      </c>
      <c r="M28" s="18" t="n">
        <v>474.22</v>
      </c>
      <c r="N28" s="18" t="n">
        <v>349.67</v>
      </c>
      <c r="O28" s="18" t="n">
        <v>355.64</v>
      </c>
      <c r="P28" s="35" t="n">
        <v>355.64</v>
      </c>
      <c r="Q28" s="18" t="n">
        <v>305.61</v>
      </c>
      <c r="R28" s="18" t="n">
        <v>258.31</v>
      </c>
      <c r="S28" s="18" t="n">
        <v>216.26</v>
      </c>
      <c r="T28" s="18" t="n">
        <v>201.92</v>
      </c>
      <c r="U28" s="35" t="n">
        <v>201.92</v>
      </c>
      <c r="V28" s="18" t="n">
        <v>61.92</v>
      </c>
      <c r="W28" s="18" t="n">
        <v>64.87</v>
      </c>
      <c r="X28" s="18" t="n">
        <v>54.85</v>
      </c>
      <c r="Y28" s="18" t="n">
        <v>28.17</v>
      </c>
      <c r="Z28" s="35" t="n">
        <v>28.17</v>
      </c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장기금융부채</t>
        </is>
      </c>
      <c r="E29" s="18" t="n">
        <v>211.05</v>
      </c>
      <c r="F29" s="35" t="n">
        <v>211.05</v>
      </c>
      <c r="G29" s="18" t="n">
        <v>5220.24</v>
      </c>
      <c r="H29" s="18" t="n">
        <v>4511.8</v>
      </c>
      <c r="I29" s="18" t="n">
        <v>5082.05</v>
      </c>
      <c r="J29" s="18" t="n">
        <v>5119.74</v>
      </c>
      <c r="K29" s="35" t="n">
        <v>5119.74</v>
      </c>
      <c r="L29" s="18" t="n">
        <v>5587.87</v>
      </c>
      <c r="M29" s="18" t="n">
        <v>474.22</v>
      </c>
      <c r="N29" s="18" t="n">
        <v>1527.1</v>
      </c>
      <c r="O29" s="18" t="n">
        <v>1481.92</v>
      </c>
      <c r="P29" s="35" t="n">
        <v>1481.92</v>
      </c>
      <c r="Q29" s="18" t="n">
        <v>305.61</v>
      </c>
      <c r="R29" s="18" t="n">
        <v>258.31</v>
      </c>
      <c r="S29" s="18" t="n">
        <v>216.26</v>
      </c>
      <c r="T29" s="18" t="n">
        <v>201.92</v>
      </c>
      <c r="U29" s="35" t="n">
        <v>201.92</v>
      </c>
      <c r="V29" s="18" t="n">
        <v>61.92</v>
      </c>
      <c r="W29" s="18" t="n">
        <v>64.87</v>
      </c>
      <c r="X29" s="18" t="n">
        <v>54.85</v>
      </c>
      <c r="Y29" s="18" t="n">
        <v>28.17</v>
      </c>
      <c r="Z29" s="35" t="n">
        <v>28.17</v>
      </c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부채총계</t>
        </is>
      </c>
      <c r="E30" s="18" t="n">
        <v>19893.17</v>
      </c>
      <c r="F30" s="35" t="n">
        <v>19893.17</v>
      </c>
      <c r="G30" s="18" t="n">
        <v>37962.53</v>
      </c>
      <c r="H30" s="18" t="n">
        <v>38279.28</v>
      </c>
      <c r="I30" s="18" t="n">
        <v>43108.2</v>
      </c>
      <c r="J30" s="18" t="n">
        <v>43160.49</v>
      </c>
      <c r="K30" s="35" t="n">
        <v>43160.49</v>
      </c>
      <c r="L30" s="18" t="n">
        <v>44828.46</v>
      </c>
      <c r="M30" s="18" t="n">
        <v>47511.87</v>
      </c>
      <c r="N30" s="18" t="n">
        <v>42907.52</v>
      </c>
      <c r="O30" s="18" t="n">
        <v>39902.65</v>
      </c>
      <c r="P30" s="35" t="n">
        <v>39902.65</v>
      </c>
      <c r="Q30" s="18" t="n">
        <v>42120.33</v>
      </c>
      <c r="R30" s="18" t="n">
        <v>38210.55</v>
      </c>
      <c r="S30" s="18" t="n">
        <v>36818.48</v>
      </c>
      <c r="T30" s="18" t="n">
        <v>38471.19</v>
      </c>
      <c r="U30" s="35" t="n">
        <v>38471.19</v>
      </c>
      <c r="V30" s="18" t="n">
        <v>34371.03</v>
      </c>
      <c r="W30" s="18" t="n">
        <v>34690.12</v>
      </c>
      <c r="X30" s="18" t="n">
        <v>25617.73</v>
      </c>
      <c r="Y30" s="18" t="n">
        <v>22149.89</v>
      </c>
      <c r="Z30" s="35" t="n">
        <v>22149.89</v>
      </c>
      <c r="AA30" s="18" t="n">
        <v>20437.85</v>
      </c>
      <c r="AB30" s="36" t="n">
        <v>26896.68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자본금</t>
        </is>
      </c>
      <c r="E31" s="18" t="n">
        <v>5397.01</v>
      </c>
      <c r="F31" s="35" t="n">
        <v>5397.01</v>
      </c>
      <c r="G31" s="18" t="n">
        <v>5397.01</v>
      </c>
      <c r="H31" s="18" t="n">
        <v>5397.01</v>
      </c>
      <c r="I31" s="18" t="n">
        <v>5397.01</v>
      </c>
      <c r="J31" s="18" t="n">
        <v>5397.01</v>
      </c>
      <c r="K31" s="35" t="n">
        <v>5397.01</v>
      </c>
      <c r="L31" s="18" t="n">
        <v>5532.77</v>
      </c>
      <c r="M31" s="18" t="n">
        <v>5710.57</v>
      </c>
      <c r="N31" s="18" t="n">
        <v>6161.5</v>
      </c>
      <c r="O31" s="18" t="n">
        <v>6161.5</v>
      </c>
      <c r="P31" s="35" t="n">
        <v>6161.5</v>
      </c>
      <c r="Q31" s="18" t="n">
        <v>6341.5</v>
      </c>
      <c r="R31" s="18" t="n">
        <v>6680.31</v>
      </c>
      <c r="S31" s="18" t="n">
        <v>6806.69</v>
      </c>
      <c r="T31" s="18" t="n">
        <v>7962.32</v>
      </c>
      <c r="U31" s="35" t="n">
        <v>7962.32</v>
      </c>
      <c r="V31" s="18" t="n">
        <v>8046.92</v>
      </c>
      <c r="W31" s="18" t="n">
        <v>8046.92</v>
      </c>
      <c r="X31" s="18" t="n">
        <v>8046.92</v>
      </c>
      <c r="Y31" s="18" t="n">
        <v>8046.92</v>
      </c>
      <c r="Z31" s="35" t="n">
        <v>8046.92</v>
      </c>
      <c r="AA31" s="18" t="n">
        <v>8046.92</v>
      </c>
      <c r="AB31" s="36" t="n">
        <v>8046.92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자본잉여금</t>
        </is>
      </c>
      <c r="E32" s="18" t="n">
        <v>13943.45</v>
      </c>
      <c r="F32" s="35" t="n">
        <v>13943.45</v>
      </c>
      <c r="G32" s="18" t="n">
        <v>13943.45</v>
      </c>
      <c r="H32" s="18" t="n">
        <v>13943.45</v>
      </c>
      <c r="I32" s="18" t="n">
        <v>13943.45</v>
      </c>
      <c r="J32" s="18" t="n">
        <v>13943.45</v>
      </c>
      <c r="K32" s="35" t="n">
        <v>13943.45</v>
      </c>
      <c r="L32" s="18" t="n">
        <v>15499.41</v>
      </c>
      <c r="M32" s="18" t="n">
        <v>17866.21</v>
      </c>
      <c r="N32" s="18" t="n">
        <v>21735.79</v>
      </c>
      <c r="O32" s="18" t="n">
        <v>21735.79</v>
      </c>
      <c r="P32" s="35" t="n">
        <v>21735.79</v>
      </c>
      <c r="Q32" s="18" t="n">
        <v>22552.99</v>
      </c>
      <c r="R32" s="18" t="n">
        <v>26946.93</v>
      </c>
      <c r="S32" s="18" t="n">
        <v>28560.13</v>
      </c>
      <c r="T32" s="18" t="n">
        <v>30205.5</v>
      </c>
      <c r="U32" s="35" t="n">
        <v>30205.5</v>
      </c>
      <c r="V32" s="18" t="n">
        <v>30959.02</v>
      </c>
      <c r="W32" s="18" t="n">
        <v>30959.02</v>
      </c>
      <c r="X32" s="18" t="n">
        <v>30959.02</v>
      </c>
      <c r="Y32" s="18" t="n">
        <v>31102.9</v>
      </c>
      <c r="Z32" s="35" t="n">
        <v>31102.9</v>
      </c>
      <c r="AA32" s="18" t="n">
        <v>31102.9</v>
      </c>
      <c r="AB32" s="36" t="n">
        <v>31102.9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기타자본</t>
        </is>
      </c>
      <c r="E33" s="18" t="n">
        <v>-4952.92</v>
      </c>
      <c r="F33" s="35" t="n">
        <v>-4952.92</v>
      </c>
      <c r="G33" s="18" t="n">
        <v>-1256.79</v>
      </c>
      <c r="H33" s="18" t="n">
        <v>-860.3200000000001</v>
      </c>
      <c r="I33" s="18" t="n">
        <v>-858.58</v>
      </c>
      <c r="J33" s="18" t="n">
        <v>-1350.99</v>
      </c>
      <c r="K33" s="35" t="n">
        <v>-1350.99</v>
      </c>
      <c r="L33" s="18" t="n">
        <v>-1598.89</v>
      </c>
      <c r="M33" s="18" t="n">
        <v>-1959.54</v>
      </c>
      <c r="N33" s="18" t="n">
        <v>3070.61</v>
      </c>
      <c r="O33" s="18" t="n">
        <v>3006.43</v>
      </c>
      <c r="P33" s="35" t="n">
        <v>3006.43</v>
      </c>
      <c r="Q33" s="18" t="n">
        <v>2871.19</v>
      </c>
      <c r="R33" s="18" t="n">
        <v>2378</v>
      </c>
      <c r="S33" s="18" t="n">
        <v>5143.58</v>
      </c>
      <c r="T33" s="18" t="n">
        <v>2251.77</v>
      </c>
      <c r="U33" s="35" t="n">
        <v>2251.77</v>
      </c>
      <c r="V33" s="18" t="n">
        <v>2251.77</v>
      </c>
      <c r="W33" s="18" t="n">
        <v>2251.77</v>
      </c>
      <c r="X33" s="18" t="n">
        <v>2251.77</v>
      </c>
      <c r="Y33" s="18" t="n">
        <v>2107.9</v>
      </c>
      <c r="Z33" s="35" t="n">
        <v>2107.9</v>
      </c>
      <c r="AA33" s="18" t="n">
        <v>2107.9</v>
      </c>
      <c r="AB33" s="36" t="n">
        <v>2107.9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이익잉여금</t>
        </is>
      </c>
      <c r="E34" s="18" t="n">
        <v>60832.67</v>
      </c>
      <c r="F34" s="35" t="n">
        <v>60832.67</v>
      </c>
      <c r="G34" s="18" t="n">
        <v>57814.09</v>
      </c>
      <c r="H34" s="18" t="n">
        <v>49440.34</v>
      </c>
      <c r="I34" s="18" t="n">
        <v>53006.43</v>
      </c>
      <c r="J34" s="18" t="n">
        <v>19063.73</v>
      </c>
      <c r="K34" s="35" t="n">
        <v>19063.73</v>
      </c>
      <c r="L34" s="18" t="n">
        <v>15458.56</v>
      </c>
      <c r="M34" s="18" t="n">
        <v>16577.41</v>
      </c>
      <c r="N34" s="18" t="n">
        <v>11444.63</v>
      </c>
      <c r="O34" s="18" t="n">
        <v>2840.46</v>
      </c>
      <c r="P34" s="35" t="n">
        <v>2840.46</v>
      </c>
      <c r="Q34" s="18" t="n">
        <v>-343.86</v>
      </c>
      <c r="R34" s="18" t="n">
        <v>-2094.16</v>
      </c>
      <c r="S34" s="18" t="n">
        <v>-3191.02</v>
      </c>
      <c r="T34" s="18" t="n">
        <v>-23989.82</v>
      </c>
      <c r="U34" s="35" t="n">
        <v>-23989.82</v>
      </c>
      <c r="V34" s="18" t="n">
        <v>-23304.3</v>
      </c>
      <c r="W34" s="18" t="n">
        <v>-22166.42</v>
      </c>
      <c r="X34" s="18" t="n">
        <v>-22838.84</v>
      </c>
      <c r="Y34" s="18" t="n">
        <v>-23149.72</v>
      </c>
      <c r="Z34" s="35" t="n">
        <v>-23149.72</v>
      </c>
      <c r="AA34" s="18" t="n">
        <v>-23445.8</v>
      </c>
      <c r="AB34" s="36" t="n">
        <v>-26798.81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자본총계</t>
        </is>
      </c>
      <c r="E35" s="18" t="n">
        <v>75220.2</v>
      </c>
      <c r="F35" s="35" t="n">
        <v>75220.2</v>
      </c>
      <c r="G35" s="18" t="n">
        <v>75897.75999999999</v>
      </c>
      <c r="H35" s="18" t="n">
        <v>67920.47</v>
      </c>
      <c r="I35" s="18" t="n">
        <v>71488.3</v>
      </c>
      <c r="J35" s="18" t="n">
        <v>37053.19</v>
      </c>
      <c r="K35" s="35" t="n">
        <v>37053.19</v>
      </c>
      <c r="L35" s="18" t="n">
        <v>34891.85</v>
      </c>
      <c r="M35" s="18" t="n">
        <v>38194.66</v>
      </c>
      <c r="N35" s="18" t="n">
        <v>42412.54</v>
      </c>
      <c r="O35" s="18" t="n">
        <v>33744.18</v>
      </c>
      <c r="P35" s="35" t="n">
        <v>33744.18</v>
      </c>
      <c r="Q35" s="18" t="n">
        <v>31421.82</v>
      </c>
      <c r="R35" s="18" t="n">
        <v>33911.08</v>
      </c>
      <c r="S35" s="18" t="n">
        <v>37319.38</v>
      </c>
      <c r="T35" s="18" t="n">
        <v>16429.77</v>
      </c>
      <c r="U35" s="35" t="n">
        <v>16429.77</v>
      </c>
      <c r="V35" s="18" t="n">
        <v>17953.41</v>
      </c>
      <c r="W35" s="18" t="n">
        <v>19091.3</v>
      </c>
      <c r="X35" s="18" t="n">
        <v>18418.88</v>
      </c>
      <c r="Y35" s="18" t="n">
        <v>18108</v>
      </c>
      <c r="Z35" s="35" t="n">
        <v>18108</v>
      </c>
      <c r="AA35" s="18" t="n">
        <v>17811.92</v>
      </c>
      <c r="AB35" s="36" t="n">
        <v>14458.9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부채와자본총계</t>
        </is>
      </c>
      <c r="E36" s="18" t="n">
        <v>95113.37</v>
      </c>
      <c r="F36" s="35" t="n">
        <v>95113.37</v>
      </c>
      <c r="G36" s="18" t="n">
        <v>113860.29</v>
      </c>
      <c r="H36" s="18" t="n">
        <v>106199.75</v>
      </c>
      <c r="I36" s="18" t="n">
        <v>114596.5</v>
      </c>
      <c r="J36" s="18" t="n">
        <v>80213.67999999999</v>
      </c>
      <c r="K36" s="35" t="n">
        <v>80213.67999999999</v>
      </c>
      <c r="L36" s="18" t="n">
        <v>79720.31</v>
      </c>
      <c r="M36" s="18" t="n">
        <v>85706.53</v>
      </c>
      <c r="N36" s="18" t="n">
        <v>85320.05</v>
      </c>
      <c r="O36" s="18" t="n">
        <v>73646.83</v>
      </c>
      <c r="P36" s="35" t="n">
        <v>73646.83</v>
      </c>
      <c r="Q36" s="18" t="n">
        <v>73542.14</v>
      </c>
      <c r="R36" s="18" t="n">
        <v>72121.63</v>
      </c>
      <c r="S36" s="18" t="n">
        <v>74137.86</v>
      </c>
      <c r="T36" s="18" t="n">
        <v>54900.96</v>
      </c>
      <c r="U36" s="35" t="n">
        <v>54900.96</v>
      </c>
      <c r="V36" s="18" t="n">
        <v>52324.45</v>
      </c>
      <c r="W36" s="18" t="n">
        <v>53781.41</v>
      </c>
      <c r="X36" s="18" t="n">
        <v>44036.61</v>
      </c>
      <c r="Y36" s="18" t="n">
        <v>40257.89</v>
      </c>
      <c r="Z36" s="35" t="n">
        <v>40257.89</v>
      </c>
      <c r="AA36" s="18" t="n">
        <v>38249.76</v>
      </c>
      <c r="AB36" s="36" t="n">
        <v>41355.58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지배주주지분</t>
        </is>
      </c>
      <c r="E37" s="18" t="n">
        <v>75220.2</v>
      </c>
      <c r="F37" s="35" t="n">
        <v>75220.2</v>
      </c>
      <c r="G37" s="18" t="n">
        <v>75897.75999999999</v>
      </c>
      <c r="H37" s="18" t="n">
        <v>67920.47</v>
      </c>
      <c r="I37" s="18" t="n">
        <v>71488.3</v>
      </c>
      <c r="J37" s="18" t="n">
        <v>37053.19</v>
      </c>
      <c r="K37" s="35" t="n">
        <v>37053.19</v>
      </c>
      <c r="L37" s="18" t="n">
        <v>34891.85</v>
      </c>
      <c r="M37" s="18" t="n">
        <v>38194.66</v>
      </c>
      <c r="N37" s="18" t="n">
        <v>42412.54</v>
      </c>
      <c r="O37" s="18" t="n">
        <v>33744.18</v>
      </c>
      <c r="P37" s="35" t="n">
        <v>33744.18</v>
      </c>
      <c r="Q37" s="18" t="n">
        <v>31421.82</v>
      </c>
      <c r="R37" s="18" t="n">
        <v>33911.08</v>
      </c>
      <c r="S37" s="18" t="n">
        <v>37319.38</v>
      </c>
      <c r="T37" s="18" t="n">
        <v>16429.77</v>
      </c>
      <c r="U37" s="35" t="n">
        <v>16429.77</v>
      </c>
      <c r="V37" s="18" t="n">
        <v>17953.41</v>
      </c>
      <c r="W37" s="18" t="n">
        <v>19091.3</v>
      </c>
      <c r="X37" s="18" t="n">
        <v>18418.88</v>
      </c>
      <c r="Y37" s="18" t="n">
        <v>18108</v>
      </c>
      <c r="Z37" s="35" t="n">
        <v>18108</v>
      </c>
      <c r="AA37" s="18" t="n">
        <v>17811.92</v>
      </c>
      <c r="AB37" s="36" t="n">
        <v>14458.9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총차입금</t>
        </is>
      </c>
      <c r="E38" s="18" t="n">
        <v>13000</v>
      </c>
      <c r="F38" s="35" t="n">
        <v>13000</v>
      </c>
      <c r="G38" s="18" t="n">
        <v>27452.92</v>
      </c>
      <c r="H38" s="18" t="n">
        <v>27688.92</v>
      </c>
      <c r="I38" s="18" t="n">
        <v>29931.86</v>
      </c>
      <c r="J38" s="18" t="n">
        <v>29872.93</v>
      </c>
      <c r="K38" s="35" t="n">
        <v>29872.93</v>
      </c>
      <c r="L38" s="18" t="n">
        <v>29076.47</v>
      </c>
      <c r="M38" s="18" t="n">
        <v>28263.44</v>
      </c>
      <c r="N38" s="18" t="n">
        <v>25414.44</v>
      </c>
      <c r="O38" s="18" t="n">
        <v>23698.5</v>
      </c>
      <c r="P38" s="35" t="n">
        <v>23698.5</v>
      </c>
      <c r="Q38" s="18" t="n">
        <v>23329.64</v>
      </c>
      <c r="R38" s="18" t="n">
        <v>20682.5</v>
      </c>
      <c r="S38" s="18" t="n">
        <v>20510.24</v>
      </c>
      <c r="T38" s="18" t="n">
        <v>19215.17</v>
      </c>
      <c r="U38" s="35" t="n">
        <v>19215.17</v>
      </c>
      <c r="V38" s="18" t="n">
        <v>16120.15</v>
      </c>
      <c r="W38" s="18" t="n">
        <v>16080.29</v>
      </c>
      <c r="X38" s="18" t="n">
        <v>9180.290000000001</v>
      </c>
      <c r="Y38" s="18" t="n">
        <v>10260.07</v>
      </c>
      <c r="Z38" s="35" t="n">
        <v>10260.07</v>
      </c>
      <c r="AA38" s="18" t="n">
        <v>10260.07</v>
      </c>
      <c r="AB38" s="36" t="n">
        <v>10260.07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순차입금</t>
        </is>
      </c>
      <c r="E39" s="18" t="n">
        <v>9737.76</v>
      </c>
      <c r="F39" s="35" t="n">
        <v>9737.76</v>
      </c>
      <c r="G39" s="18" t="n">
        <v>4696.24</v>
      </c>
      <c r="H39" s="18" t="n">
        <v>18317</v>
      </c>
      <c r="I39" s="18" t="n">
        <v>22740.05</v>
      </c>
      <c r="J39" s="18" t="n">
        <v>22997.61</v>
      </c>
      <c r="K39" s="35" t="n">
        <v>22997.61</v>
      </c>
      <c r="L39" s="18" t="n">
        <v>25498.3</v>
      </c>
      <c r="M39" s="18" t="n">
        <v>26120.5</v>
      </c>
      <c r="N39" s="18" t="n">
        <v>22611.59</v>
      </c>
      <c r="O39" s="18" t="n">
        <v>20381.33</v>
      </c>
      <c r="P39" s="35" t="n">
        <v>20381.33</v>
      </c>
      <c r="Q39" s="18" t="n">
        <v>22355.38</v>
      </c>
      <c r="R39" s="18" t="n">
        <v>20024.24</v>
      </c>
      <c r="S39" s="18" t="n">
        <v>16236.7</v>
      </c>
      <c r="T39" s="18" t="n">
        <v>11732.7</v>
      </c>
      <c r="U39" s="35" t="n">
        <v>11732.7</v>
      </c>
      <c r="V39" s="18" t="n">
        <v>15473.87</v>
      </c>
      <c r="W39" s="18" t="n">
        <v>15507.45</v>
      </c>
      <c r="X39" s="18" t="n">
        <v>8390.83</v>
      </c>
      <c r="Y39" s="18" t="n">
        <v>9142.610000000001</v>
      </c>
      <c r="Z39" s="35" t="n">
        <v>9142.610000000001</v>
      </c>
      <c r="AA39" s="18" t="n">
        <v>9666.610000000001</v>
      </c>
      <c r="AB39" s="36" t="n">
        <v>9691.73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이자발생자산</t>
        </is>
      </c>
      <c r="E40" s="18" t="n">
        <v>3766.87</v>
      </c>
      <c r="F40" s="35" t="n">
        <v>3766.87</v>
      </c>
      <c r="G40" s="18" t="n">
        <v>23277.58</v>
      </c>
      <c r="H40" s="18" t="n">
        <v>10828</v>
      </c>
      <c r="I40" s="18" t="n">
        <v>8752.040000000001</v>
      </c>
      <c r="J40" s="18" t="n">
        <v>7501.85</v>
      </c>
      <c r="K40" s="35" t="n">
        <v>7501.85</v>
      </c>
      <c r="L40" s="18" t="n">
        <v>4181.14</v>
      </c>
      <c r="M40" s="18" t="n">
        <v>5373.81</v>
      </c>
      <c r="N40" s="18" t="n">
        <v>6743.58</v>
      </c>
      <c r="O40" s="18" t="n">
        <v>5314.33</v>
      </c>
      <c r="P40" s="35" t="n">
        <v>5314.33</v>
      </c>
      <c r="Q40" s="18" t="n">
        <v>2496.95</v>
      </c>
      <c r="R40" s="18" t="n">
        <v>2133.23</v>
      </c>
      <c r="S40" s="18" t="n">
        <v>5749.98</v>
      </c>
      <c r="T40" s="18" t="n">
        <v>8073.64</v>
      </c>
      <c r="U40" s="35" t="n">
        <v>8073.64</v>
      </c>
      <c r="V40" s="18" t="n">
        <v>1237.45</v>
      </c>
      <c r="W40" s="18" t="n">
        <v>1164.01</v>
      </c>
      <c r="X40" s="18" t="n">
        <v>1380.63</v>
      </c>
      <c r="Y40" s="18" t="n">
        <v>1708.63</v>
      </c>
      <c r="Z40" s="35" t="n">
        <v>1708.63</v>
      </c>
      <c r="AA40" s="18" t="n">
        <v>1184.63</v>
      </c>
      <c r="AB40" s="36" t="n">
        <v>1159.51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사채</t>
        </is>
      </c>
      <c r="F41" s="9" t="n"/>
      <c r="G41" s="18" t="n">
        <v>14452.92</v>
      </c>
      <c r="H41" s="18" t="n">
        <v>14688.92</v>
      </c>
      <c r="I41" s="18" t="n">
        <v>14931.86</v>
      </c>
      <c r="J41" s="18" t="n">
        <v>14872.93</v>
      </c>
      <c r="K41" s="35" t="n">
        <v>14872.93</v>
      </c>
      <c r="L41" s="18" t="n">
        <v>14076.47</v>
      </c>
      <c r="N41" s="18" t="n">
        <v>2568.26</v>
      </c>
      <c r="O41" s="18" t="n">
        <v>2642.91</v>
      </c>
      <c r="P41" s="35" t="n">
        <v>2642.91</v>
      </c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기타비유동금융부채</t>
        </is>
      </c>
      <c r="F42" s="9" t="n"/>
      <c r="G42" s="18" t="n">
        <v>5042.77</v>
      </c>
      <c r="H42" s="18" t="n">
        <v>4342.48</v>
      </c>
      <c r="I42" s="18" t="n">
        <v>4774.73</v>
      </c>
      <c r="J42" s="18" t="n">
        <v>4522.88</v>
      </c>
      <c r="K42" s="35" t="n">
        <v>4522.88</v>
      </c>
      <c r="L42" s="18" t="n">
        <v>5120.4</v>
      </c>
      <c r="N42" s="18" t="n">
        <v>1177.43</v>
      </c>
      <c r="O42" s="18" t="n">
        <v>1126.28</v>
      </c>
      <c r="P42" s="35" t="n">
        <v>1126.28</v>
      </c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종속기업및관계기업투자</t>
        </is>
      </c>
      <c r="F43" s="9" t="n"/>
      <c r="H43" s="18" t="n">
        <v>510.3</v>
      </c>
      <c r="I43" s="18" t="n">
        <v>188.97</v>
      </c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유동성장기부채</t>
        </is>
      </c>
      <c r="F44" s="9" t="n"/>
      <c r="K44" s="9" t="n"/>
      <c r="M44" s="18" t="n">
        <v>12783.43</v>
      </c>
      <c r="N44" s="18" t="n">
        <v>9366.17</v>
      </c>
      <c r="O44" s="18" t="n">
        <v>9055.59</v>
      </c>
      <c r="P44" s="35" t="n">
        <v>9055.59</v>
      </c>
      <c r="Q44" s="18" t="n">
        <v>11329.64</v>
      </c>
      <c r="R44" s="18" t="n">
        <v>8682.5</v>
      </c>
      <c r="S44" s="18" t="n">
        <v>7610.24</v>
      </c>
      <c r="T44" s="18" t="n">
        <v>13215.17</v>
      </c>
      <c r="U44" s="35" t="n">
        <v>13215.17</v>
      </c>
      <c r="V44" s="18" t="n">
        <v>9820.200000000001</v>
      </c>
      <c r="W44" s="18" t="n">
        <v>9820.200000000001</v>
      </c>
      <c r="X44" s="18" t="n">
        <v>2920.2</v>
      </c>
      <c r="Y44" s="18" t="n">
        <v>4000</v>
      </c>
      <c r="Z44" s="35" t="n">
        <v>4000</v>
      </c>
      <c r="AA44" s="18" t="n">
        <v>4000</v>
      </c>
      <c r="AB44" s="36" t="n">
        <v>4000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기타유동금융부채</t>
        </is>
      </c>
      <c r="F45" s="9" t="n"/>
      <c r="K45" s="9" t="n"/>
      <c r="M45" s="18" t="n">
        <v>4735.96</v>
      </c>
      <c r="N45" s="18" t="n">
        <v>3502.03</v>
      </c>
      <c r="O45" s="18" t="n">
        <v>3158.89</v>
      </c>
      <c r="P45" s="35" t="n">
        <v>3158.89</v>
      </c>
      <c r="Q45" s="18" t="n">
        <v>4627.21</v>
      </c>
      <c r="R45" s="18" t="n">
        <v>3286.74</v>
      </c>
      <c r="S45" s="18" t="n">
        <v>2667.17</v>
      </c>
      <c r="T45" s="18" t="n">
        <v>2117.49</v>
      </c>
      <c r="U45" s="35" t="n">
        <v>2117.49</v>
      </c>
      <c r="V45" s="18" t="n">
        <v>1557.7</v>
      </c>
      <c r="W45" s="18" t="n">
        <v>1557.7</v>
      </c>
      <c r="X45" s="18" t="n">
        <v>1557.7</v>
      </c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단기금융부채</t>
        </is>
      </c>
      <c r="F46" s="9" t="n"/>
      <c r="K46" s="9" t="n"/>
      <c r="M46" s="18" t="n">
        <v>4735.96</v>
      </c>
      <c r="N46" s="18" t="n">
        <v>3502.03</v>
      </c>
      <c r="O46" s="18" t="n">
        <v>3158.89</v>
      </c>
      <c r="P46" s="35" t="n">
        <v>3158.89</v>
      </c>
      <c r="Q46" s="18" t="n">
        <v>4627.21</v>
      </c>
      <c r="R46" s="18" t="n">
        <v>3286.74</v>
      </c>
      <c r="S46" s="18" t="n">
        <v>2667.17</v>
      </c>
      <c r="T46" s="18" t="n">
        <v>2117.49</v>
      </c>
      <c r="U46" s="35" t="n">
        <v>2117.49</v>
      </c>
      <c r="V46" s="18" t="n">
        <v>1557.7</v>
      </c>
      <c r="W46" s="18" t="n">
        <v>1557.7</v>
      </c>
      <c r="X46" s="18" t="n">
        <v>1557.7</v>
      </c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이연법인세부채</t>
        </is>
      </c>
      <c r="F47" s="9" t="n"/>
      <c r="K47" s="9" t="n"/>
      <c r="P47" s="9" t="n"/>
      <c r="T47" s="18" t="n">
        <v>480.31</v>
      </c>
      <c r="U47" s="35" t="n">
        <v>480.31</v>
      </c>
      <c r="V47" s="18" t="n">
        <v>273.53</v>
      </c>
      <c r="W47" s="18" t="n">
        <v>247.97</v>
      </c>
      <c r="X47" s="18" t="n">
        <v>225.98</v>
      </c>
      <c r="Y47" s="18" t="n">
        <v>54.88</v>
      </c>
      <c r="Z47" s="35" t="n">
        <v>54.88</v>
      </c>
      <c r="AA47" s="18" t="n">
        <v>52.02</v>
      </c>
      <c r="AB47" s="36" t="n">
        <v>39.02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단기충당부채</t>
        </is>
      </c>
      <c r="F48" s="9" t="n"/>
      <c r="K48" s="9" t="n"/>
      <c r="P48" s="9" t="n"/>
      <c r="U48" s="9" t="n"/>
      <c r="Z48" s="9" t="n"/>
      <c r="AB48" s="36" t="n">
        <v>4054.14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매출액(수익)</t>
        </is>
      </c>
      <c r="E49" s="18" t="n">
        <v>15992.82</v>
      </c>
      <c r="F49" s="9" t="n"/>
      <c r="G49" s="18" t="n">
        <v>4569.65</v>
      </c>
      <c r="H49" s="18" t="n">
        <v>8246.5</v>
      </c>
      <c r="I49" s="18" t="n">
        <v>7589.99</v>
      </c>
      <c r="J49" s="18" t="n">
        <v>11495.23</v>
      </c>
      <c r="K49" s="35" t="n">
        <v>31901.37</v>
      </c>
      <c r="L49" s="18" t="n">
        <v>7540.52</v>
      </c>
      <c r="M49" s="18" t="n">
        <v>9567.4</v>
      </c>
      <c r="N49" s="18" t="n">
        <v>7685.73</v>
      </c>
      <c r="O49" s="18" t="n">
        <v>8544.6</v>
      </c>
      <c r="P49" s="35" t="n">
        <v>33338.25</v>
      </c>
      <c r="Q49" s="18" t="n">
        <v>5822.19</v>
      </c>
      <c r="R49" s="18" t="n">
        <v>9706.65</v>
      </c>
      <c r="S49" s="18" t="n">
        <v>6533.29</v>
      </c>
      <c r="T49" s="18" t="n">
        <v>14040.92</v>
      </c>
      <c r="U49" s="35" t="n">
        <v>36103.05</v>
      </c>
      <c r="V49" s="18" t="n">
        <v>4706.32</v>
      </c>
      <c r="W49" s="18" t="n">
        <v>8117.38</v>
      </c>
      <c r="X49" s="18" t="n">
        <v>9064.01</v>
      </c>
      <c r="Y49" s="18" t="n">
        <v>11373.75</v>
      </c>
      <c r="Z49" s="35" t="n">
        <v>33261.46</v>
      </c>
      <c r="AA49" s="18" t="n">
        <v>5077.44</v>
      </c>
      <c r="AB49" s="36" t="n">
        <v>6126.42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매출원가</t>
        </is>
      </c>
      <c r="E50" s="18" t="n">
        <v>10554.05</v>
      </c>
      <c r="F50" s="9" t="n"/>
      <c r="G50" s="18" t="n">
        <v>3574.72</v>
      </c>
      <c r="H50" s="18" t="n">
        <v>11168.49</v>
      </c>
      <c r="I50" s="18" t="n">
        <v>5015.79</v>
      </c>
      <c r="J50" s="18" t="n">
        <v>10808.07</v>
      </c>
      <c r="K50" s="35" t="n">
        <v>30567.07</v>
      </c>
      <c r="L50" s="18" t="n">
        <v>4889.14</v>
      </c>
      <c r="M50" s="18" t="n">
        <v>6703.75</v>
      </c>
      <c r="N50" s="18" t="n">
        <v>5176.88</v>
      </c>
      <c r="O50" s="18" t="n">
        <v>6821.12</v>
      </c>
      <c r="P50" s="35" t="n">
        <v>23590.89</v>
      </c>
      <c r="Q50" s="18" t="n">
        <v>3978.9</v>
      </c>
      <c r="R50" s="18" t="n">
        <v>7923.34</v>
      </c>
      <c r="S50" s="18" t="n">
        <v>3995.63</v>
      </c>
      <c r="T50" s="18" t="n">
        <v>13327.8</v>
      </c>
      <c r="U50" s="35" t="n">
        <v>29225.67</v>
      </c>
      <c r="V50" s="18" t="n">
        <v>3359.8</v>
      </c>
      <c r="W50" s="18" t="n">
        <v>4269.58</v>
      </c>
      <c r="X50" s="18" t="n">
        <v>6988.31</v>
      </c>
      <c r="Y50" s="18" t="n">
        <v>8318.700000000001</v>
      </c>
      <c r="Z50" s="35" t="n">
        <v>22936.39</v>
      </c>
      <c r="AA50" s="18" t="n">
        <v>3565.04</v>
      </c>
      <c r="AB50" s="36" t="n">
        <v>3536.03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매출총이익</t>
        </is>
      </c>
      <c r="E51" s="18" t="n">
        <v>5438.78</v>
      </c>
      <c r="F51" s="9" t="n"/>
      <c r="G51" s="18" t="n">
        <v>994.9299999999999</v>
      </c>
      <c r="H51" s="18" t="n">
        <v>-2922</v>
      </c>
      <c r="I51" s="18" t="n">
        <v>2574.2</v>
      </c>
      <c r="J51" s="18" t="n">
        <v>687.16</v>
      </c>
      <c r="K51" s="35" t="n">
        <v>1334.29</v>
      </c>
      <c r="L51" s="18" t="n">
        <v>2651.37</v>
      </c>
      <c r="M51" s="18" t="n">
        <v>2863.65</v>
      </c>
      <c r="N51" s="18" t="n">
        <v>2508.86</v>
      </c>
      <c r="O51" s="18" t="n">
        <v>1723.49</v>
      </c>
      <c r="P51" s="35" t="n">
        <v>9747.370000000001</v>
      </c>
      <c r="Q51" s="18" t="n">
        <v>1843.3</v>
      </c>
      <c r="R51" s="18" t="n">
        <v>1783.31</v>
      </c>
      <c r="S51" s="18" t="n">
        <v>2537.66</v>
      </c>
      <c r="T51" s="18" t="n">
        <v>713.12</v>
      </c>
      <c r="U51" s="35" t="n">
        <v>6877.39</v>
      </c>
      <c r="V51" s="18" t="n">
        <v>1346.52</v>
      </c>
      <c r="W51" s="18" t="n">
        <v>3847.79</v>
      </c>
      <c r="X51" s="18" t="n">
        <v>2075.7</v>
      </c>
      <c r="Y51" s="18" t="n">
        <v>3055.05</v>
      </c>
      <c r="Z51" s="35" t="n">
        <v>10325.06</v>
      </c>
      <c r="AA51" s="18" t="n">
        <v>1512.4</v>
      </c>
      <c r="AB51" s="36" t="n">
        <v>2590.4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판관비</t>
        </is>
      </c>
      <c r="E52" s="18" t="n">
        <v>1361.37</v>
      </c>
      <c r="F52" s="9" t="n"/>
      <c r="G52" s="18" t="n">
        <v>4494.17</v>
      </c>
      <c r="H52" s="18" t="n">
        <v>3930.82</v>
      </c>
      <c r="I52" s="18" t="n">
        <v>4023.12</v>
      </c>
      <c r="J52" s="18" t="n">
        <v>9032.030000000001</v>
      </c>
      <c r="K52" s="35" t="n">
        <v>21480.14</v>
      </c>
      <c r="L52" s="18" t="n">
        <v>5275.42</v>
      </c>
      <c r="M52" s="18" t="n">
        <v>3031.56</v>
      </c>
      <c r="N52" s="18" t="n">
        <v>3908.65</v>
      </c>
      <c r="O52" s="18" t="n">
        <v>3657.36</v>
      </c>
      <c r="P52" s="35" t="n">
        <v>15872.99</v>
      </c>
      <c r="Q52" s="18" t="n">
        <v>3107.13</v>
      </c>
      <c r="R52" s="18" t="n">
        <v>3395.24</v>
      </c>
      <c r="S52" s="18" t="n">
        <v>3330.07</v>
      </c>
      <c r="T52" s="18" t="n">
        <v>2978.16</v>
      </c>
      <c r="U52" s="35" t="n">
        <v>12810.6</v>
      </c>
      <c r="V52" s="18" t="n">
        <v>2671.92</v>
      </c>
      <c r="W52" s="18" t="n">
        <v>2418.58</v>
      </c>
      <c r="X52" s="18" t="n">
        <v>2561.98</v>
      </c>
      <c r="Y52" s="18" t="n">
        <v>2867.2</v>
      </c>
      <c r="Z52" s="35" t="n">
        <v>10519.68</v>
      </c>
      <c r="AA52" s="18" t="n">
        <v>1834.9</v>
      </c>
      <c r="AB52" s="36" t="n">
        <v>1720.99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영업이익</t>
        </is>
      </c>
      <c r="E53" s="18" t="n">
        <v>4077.41</v>
      </c>
      <c r="F53" s="9" t="n"/>
      <c r="G53" s="18" t="n">
        <v>-3499.24</v>
      </c>
      <c r="H53" s="18" t="n">
        <v>-6852.81</v>
      </c>
      <c r="I53" s="18" t="n">
        <v>-1448.93</v>
      </c>
      <c r="J53" s="18" t="n">
        <v>-8344.870000000001</v>
      </c>
      <c r="K53" s="35" t="n">
        <v>-20145.85</v>
      </c>
      <c r="L53" s="18" t="n">
        <v>-2624.05</v>
      </c>
      <c r="M53" s="18" t="n">
        <v>-167.9</v>
      </c>
      <c r="N53" s="18" t="n">
        <v>-1399.79</v>
      </c>
      <c r="O53" s="18" t="n">
        <v>-1933.87</v>
      </c>
      <c r="P53" s="35" t="n">
        <v>-6125.61</v>
      </c>
      <c r="Q53" s="18" t="n">
        <v>-1263.84</v>
      </c>
      <c r="R53" s="18" t="n">
        <v>-1611.93</v>
      </c>
      <c r="S53" s="18" t="n">
        <v>-792.41</v>
      </c>
      <c r="T53" s="18" t="n">
        <v>-2265.03</v>
      </c>
      <c r="U53" s="35" t="n">
        <v>-5933.21</v>
      </c>
      <c r="V53" s="18" t="n">
        <v>-1325.4</v>
      </c>
      <c r="W53" s="18" t="n">
        <v>1429.21</v>
      </c>
      <c r="X53" s="18" t="n">
        <v>-486.28</v>
      </c>
      <c r="Y53" s="18" t="n">
        <v>187.86</v>
      </c>
      <c r="Z53" s="35" t="n">
        <v>-194.61</v>
      </c>
      <c r="AA53" s="18" t="n">
        <v>-322.5</v>
      </c>
      <c r="AB53" s="36" t="n">
        <v>869.4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금융수익</t>
        </is>
      </c>
      <c r="E54" s="18" t="n">
        <v>135.5</v>
      </c>
      <c r="F54" s="9" t="n"/>
      <c r="G54" s="18" t="n">
        <v>451.19</v>
      </c>
      <c r="H54" s="18" t="n">
        <v>1030.91</v>
      </c>
      <c r="I54" s="18" t="n">
        <v>2235.09</v>
      </c>
      <c r="J54" s="18" t="n">
        <v>-1997.64</v>
      </c>
      <c r="K54" s="35" t="n">
        <v>1719.55</v>
      </c>
      <c r="L54" s="18" t="n">
        <v>307.21</v>
      </c>
      <c r="M54" s="18" t="n">
        <v>1976.82</v>
      </c>
      <c r="N54" s="18" t="n">
        <v>47.96</v>
      </c>
      <c r="O54" s="18" t="n">
        <v>247.79</v>
      </c>
      <c r="P54" s="35" t="n">
        <v>2579.78</v>
      </c>
      <c r="Q54" s="18" t="n">
        <v>639.72</v>
      </c>
      <c r="R54" s="18" t="n">
        <v>123.26</v>
      </c>
      <c r="S54" s="18" t="n">
        <v>-179.94</v>
      </c>
      <c r="T54" s="18" t="n">
        <v>1220.56</v>
      </c>
      <c r="U54" s="35" t="n">
        <v>1803.6</v>
      </c>
      <c r="V54" s="18" t="n">
        <v>3328.58</v>
      </c>
      <c r="W54" s="18" t="n">
        <v>408.16</v>
      </c>
      <c r="X54" s="18" t="n">
        <v>6.04</v>
      </c>
      <c r="Y54" s="18" t="n">
        <v>1393.91</v>
      </c>
      <c r="Z54" s="35" t="n">
        <v>5136.69</v>
      </c>
      <c r="AA54" s="18" t="n">
        <v>168.79</v>
      </c>
      <c r="AB54" s="36" t="n">
        <v>132.21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금융비용</t>
        </is>
      </c>
      <c r="E55" s="18" t="n">
        <v>143.09</v>
      </c>
      <c r="F55" s="9" t="n"/>
      <c r="G55" s="18" t="n">
        <v>927.3200000000001</v>
      </c>
      <c r="H55" s="18" t="n">
        <v>1417.39</v>
      </c>
      <c r="I55" s="18" t="n">
        <v>-151.1</v>
      </c>
      <c r="J55" s="18" t="n">
        <v>2738.69</v>
      </c>
      <c r="K55" s="35" t="n">
        <v>4932.3</v>
      </c>
      <c r="L55" s="18" t="n">
        <v>1752.91</v>
      </c>
      <c r="M55" s="18" t="n">
        <v>475.08</v>
      </c>
      <c r="N55" s="18" t="n">
        <v>644.91</v>
      </c>
      <c r="O55" s="18" t="n">
        <v>4435.63</v>
      </c>
      <c r="P55" s="35" t="n">
        <v>7308.53</v>
      </c>
      <c r="Q55" s="18" t="n">
        <v>2932.81</v>
      </c>
      <c r="R55" s="18" t="n">
        <v>346.58</v>
      </c>
      <c r="S55" s="18" t="n">
        <v>346.29</v>
      </c>
      <c r="T55" s="18" t="n">
        <v>4421.62</v>
      </c>
      <c r="U55" s="35" t="n">
        <v>8047.3</v>
      </c>
      <c r="V55" s="18" t="n">
        <v>1697.88</v>
      </c>
      <c r="W55" s="18" t="n">
        <v>727.8</v>
      </c>
      <c r="X55" s="18" t="n">
        <v>179.64</v>
      </c>
      <c r="Y55" s="18" t="n">
        <v>1868.94</v>
      </c>
      <c r="Z55" s="35" t="n">
        <v>4474.26</v>
      </c>
      <c r="AA55" s="18" t="n">
        <v>147.48</v>
      </c>
      <c r="AB55" s="36" t="n">
        <v>153.88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기타영업외수익</t>
        </is>
      </c>
      <c r="E56" s="18" t="n">
        <v>17.09</v>
      </c>
      <c r="F56" s="9" t="n"/>
      <c r="G56" s="18" t="n">
        <v>17.54</v>
      </c>
      <c r="H56" s="18" t="n">
        <v>63.54</v>
      </c>
      <c r="I56" s="18" t="n">
        <v>20.87</v>
      </c>
      <c r="J56" s="18" t="n">
        <v>98.09999999999999</v>
      </c>
      <c r="K56" s="35" t="n">
        <v>200.05</v>
      </c>
      <c r="L56" s="18" t="n">
        <v>327.37</v>
      </c>
      <c r="M56" s="18" t="n">
        <v>1289.18</v>
      </c>
      <c r="N56" s="18" t="n">
        <v>201.84</v>
      </c>
      <c r="O56" s="18" t="n">
        <v>167.07</v>
      </c>
      <c r="P56" s="35" t="n">
        <v>1985.46</v>
      </c>
      <c r="Q56" s="18" t="n">
        <v>29.39</v>
      </c>
      <c r="R56" s="18" t="n">
        <v>45.02</v>
      </c>
      <c r="S56" s="18" t="n">
        <v>38.17</v>
      </c>
      <c r="T56" s="18" t="n">
        <v>21.23</v>
      </c>
      <c r="U56" s="35" t="n">
        <v>133.81</v>
      </c>
      <c r="V56" s="18" t="n">
        <v>195.6</v>
      </c>
      <c r="W56" s="18" t="n">
        <v>3.8</v>
      </c>
      <c r="X56" s="18" t="n">
        <v>911.4299999999999</v>
      </c>
      <c r="Y56" s="18" t="n">
        <v>33.72</v>
      </c>
      <c r="Z56" s="35" t="n">
        <v>1144.55</v>
      </c>
      <c r="AA56" s="18" t="n">
        <v>11.97</v>
      </c>
      <c r="AB56" s="36" t="n">
        <v>52.59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기타영업외비용</t>
        </is>
      </c>
      <c r="E57" s="18" t="n">
        <v>3056.13</v>
      </c>
      <c r="F57" s="9" t="n"/>
      <c r="G57" s="18" t="n">
        <v>24.8</v>
      </c>
      <c r="H57" s="18" t="n">
        <v>42.08</v>
      </c>
      <c r="I57" s="18" t="n">
        <v>0.27</v>
      </c>
      <c r="J57" s="18" t="n">
        <v>13281.12</v>
      </c>
      <c r="K57" s="35" t="n">
        <v>13348.27</v>
      </c>
      <c r="L57" s="18" t="n">
        <v>0.4</v>
      </c>
      <c r="M57" s="18" t="n">
        <v>1324.99</v>
      </c>
      <c r="N57" s="18" t="n">
        <v>2815.75</v>
      </c>
      <c r="O57" s="18" t="n">
        <v>2543.43</v>
      </c>
      <c r="P57" s="35" t="n">
        <v>6684.57</v>
      </c>
      <c r="Q57" s="18" t="n">
        <v>4.05</v>
      </c>
      <c r="R57" s="18" t="n">
        <v>0.22</v>
      </c>
      <c r="S57" s="18" t="n">
        <v>0.13</v>
      </c>
      <c r="T57" s="18" t="n">
        <v>13253.2</v>
      </c>
      <c r="U57" s="35" t="n">
        <v>13257.6</v>
      </c>
      <c r="V57" s="18" t="n">
        <v>22.18</v>
      </c>
      <c r="W57" s="18" t="n">
        <v>1.04</v>
      </c>
      <c r="X57" s="18" t="n">
        <v>945.96</v>
      </c>
      <c r="Y57" s="18" t="n">
        <v>228.52</v>
      </c>
      <c r="Z57" s="35" t="n">
        <v>1197.7</v>
      </c>
      <c r="AA57" s="18" t="n">
        <v>9.720000000000001</v>
      </c>
      <c r="AB57" s="36" t="n">
        <v>4266.32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법인세비용차감전계속사업이익</t>
        </is>
      </c>
      <c r="E58" s="18" t="n">
        <v>1030.76</v>
      </c>
      <c r="F58" s="9" t="n"/>
      <c r="G58" s="18" t="n">
        <v>-3982.62</v>
      </c>
      <c r="H58" s="18" t="n">
        <v>-7207.53</v>
      </c>
      <c r="I58" s="18" t="n">
        <v>636.53</v>
      </c>
      <c r="J58" s="18" t="n">
        <v>-25953.17</v>
      </c>
      <c r="K58" s="35" t="n">
        <v>-36506.79</v>
      </c>
      <c r="L58" s="18" t="n">
        <v>-3742.78</v>
      </c>
      <c r="M58" s="18" t="n">
        <v>1298.02</v>
      </c>
      <c r="N58" s="18" t="n">
        <v>-4610.66</v>
      </c>
      <c r="O58" s="18" t="n">
        <v>-8498.07</v>
      </c>
      <c r="P58" s="35" t="n">
        <v>-15553.49</v>
      </c>
      <c r="Q58" s="18" t="n">
        <v>-3531.58</v>
      </c>
      <c r="R58" s="18" t="n">
        <v>-1790.44</v>
      </c>
      <c r="S58" s="18" t="n">
        <v>-1280.6</v>
      </c>
      <c r="T58" s="18" t="n">
        <v>-18698.05</v>
      </c>
      <c r="U58" s="35" t="n">
        <v>-25300.67</v>
      </c>
      <c r="V58" s="18" t="n">
        <v>478.73</v>
      </c>
      <c r="W58" s="18" t="n">
        <v>1112.33</v>
      </c>
      <c r="X58" s="18" t="n">
        <v>-694.41</v>
      </c>
      <c r="Y58" s="18" t="n">
        <v>-481.98</v>
      </c>
      <c r="Z58" s="35" t="n">
        <v>414.67</v>
      </c>
      <c r="AA58" s="18" t="n">
        <v>-298.95</v>
      </c>
      <c r="AB58" s="36" t="n">
        <v>-3366.01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법인세비용</t>
        </is>
      </c>
      <c r="E59" s="18" t="n">
        <v>-293.39</v>
      </c>
      <c r="F59" s="9" t="n"/>
      <c r="G59" s="18" t="n">
        <v>-964.04</v>
      </c>
      <c r="H59" s="18" t="n">
        <v>1166.22</v>
      </c>
      <c r="I59" s="18" t="n">
        <v>-2929.55</v>
      </c>
      <c r="J59" s="18" t="n">
        <v>7989.52</v>
      </c>
      <c r="K59" s="35" t="n">
        <v>5262.15</v>
      </c>
      <c r="L59" s="18" t="n">
        <v>-137.61</v>
      </c>
      <c r="M59" s="18" t="n">
        <v>179.18</v>
      </c>
      <c r="N59" s="18" t="n">
        <v>522.12</v>
      </c>
      <c r="O59" s="18" t="n">
        <v>106.1</v>
      </c>
      <c r="P59" s="35" t="n">
        <v>669.79</v>
      </c>
      <c r="Q59" s="18" t="n">
        <v>-347.26</v>
      </c>
      <c r="R59" s="18" t="n">
        <v>-40.14</v>
      </c>
      <c r="S59" s="18" t="n">
        <v>-183.74</v>
      </c>
      <c r="T59" s="18" t="n">
        <v>2100.75</v>
      </c>
      <c r="U59" s="35" t="n">
        <v>1529.61</v>
      </c>
      <c r="V59" s="18" t="n">
        <v>-206.79</v>
      </c>
      <c r="W59" s="18" t="n">
        <v>-25.55</v>
      </c>
      <c r="X59" s="18" t="n">
        <v>-21.99</v>
      </c>
      <c r="Y59" s="18" t="n">
        <v>-171.1</v>
      </c>
      <c r="Z59" s="35" t="n">
        <v>-425.43</v>
      </c>
      <c r="AA59" s="18" t="n">
        <v>-2.87</v>
      </c>
      <c r="AB59" s="36" t="n">
        <v>-13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당기순이익</t>
        </is>
      </c>
      <c r="E60" s="18" t="n">
        <v>1324.15</v>
      </c>
      <c r="F60" s="9" t="n"/>
      <c r="G60" s="18" t="n">
        <v>-3018.58</v>
      </c>
      <c r="H60" s="18" t="n">
        <v>-8373.76</v>
      </c>
      <c r="I60" s="18" t="n">
        <v>3566.09</v>
      </c>
      <c r="J60" s="18" t="n">
        <v>-33942.7</v>
      </c>
      <c r="K60" s="35" t="n">
        <v>-41768.95</v>
      </c>
      <c r="L60" s="18" t="n">
        <v>-3605.17</v>
      </c>
      <c r="M60" s="18" t="n">
        <v>1118.85</v>
      </c>
      <c r="N60" s="18" t="n">
        <v>-5132.78</v>
      </c>
      <c r="O60" s="18" t="n">
        <v>-8604.17</v>
      </c>
      <c r="P60" s="35" t="n">
        <v>-16223.27</v>
      </c>
      <c r="Q60" s="18" t="n">
        <v>-3184.32</v>
      </c>
      <c r="R60" s="18" t="n">
        <v>-1750.3</v>
      </c>
      <c r="S60" s="18" t="n">
        <v>-1096.86</v>
      </c>
      <c r="T60" s="18" t="n">
        <v>-20798.8</v>
      </c>
      <c r="U60" s="35" t="n">
        <v>-26830.28</v>
      </c>
      <c r="V60" s="18" t="n">
        <v>685.52</v>
      </c>
      <c r="W60" s="18" t="n">
        <v>1137.88</v>
      </c>
      <c r="X60" s="18" t="n">
        <v>-672.42</v>
      </c>
      <c r="Y60" s="18" t="n">
        <v>-310.88</v>
      </c>
      <c r="Z60" s="35" t="n">
        <v>840.1</v>
      </c>
      <c r="AA60" s="18" t="n">
        <v>-296.08</v>
      </c>
      <c r="AB60" s="36" t="n">
        <v>-3353.01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총포괄손익</t>
        </is>
      </c>
      <c r="E61" s="18" t="n">
        <v>1324.15</v>
      </c>
      <c r="F61" s="9" t="n"/>
      <c r="G61" s="18" t="n">
        <v>-3018.58</v>
      </c>
      <c r="H61" s="18" t="n">
        <v>-8373.76</v>
      </c>
      <c r="I61" s="18" t="n">
        <v>3566.09</v>
      </c>
      <c r="J61" s="18" t="n">
        <v>-33942.7</v>
      </c>
      <c r="K61" s="35" t="n">
        <v>-41768.95</v>
      </c>
      <c r="L61" s="18" t="n">
        <v>-3605.17</v>
      </c>
      <c r="M61" s="18" t="n">
        <v>1118.85</v>
      </c>
      <c r="N61" s="18" t="n">
        <v>-5132.78</v>
      </c>
      <c r="O61" s="18" t="n">
        <v>-8604.17</v>
      </c>
      <c r="P61" s="35" t="n">
        <v>-16223.27</v>
      </c>
      <c r="Q61" s="18" t="n">
        <v>-3184.32</v>
      </c>
      <c r="R61" s="18" t="n">
        <v>-1750.3</v>
      </c>
      <c r="S61" s="18" t="n">
        <v>-1096.86</v>
      </c>
      <c r="T61" s="18" t="n">
        <v>-20798.8</v>
      </c>
      <c r="U61" s="35" t="n">
        <v>-26830.28</v>
      </c>
      <c r="V61" s="18" t="n">
        <v>685.52</v>
      </c>
      <c r="W61" s="18" t="n">
        <v>1137.88</v>
      </c>
      <c r="X61" s="18" t="n">
        <v>-672.42</v>
      </c>
      <c r="Y61" s="18" t="n">
        <v>-310.88</v>
      </c>
      <c r="Z61" s="35" t="n">
        <v>840.1</v>
      </c>
      <c r="AA61" s="18" t="n">
        <v>-296.08</v>
      </c>
      <c r="AB61" s="36" t="n">
        <v>-3353.01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금융손익</t>
        </is>
      </c>
      <c r="E62" s="18" t="n">
        <v>-7.59</v>
      </c>
      <c r="F62" s="9" t="n"/>
      <c r="G62" s="18" t="n">
        <v>-476.13</v>
      </c>
      <c r="H62" s="18" t="n">
        <v>-386.48</v>
      </c>
      <c r="I62" s="18" t="n">
        <v>2386.19</v>
      </c>
      <c r="J62" s="18" t="n">
        <v>-4736.33</v>
      </c>
      <c r="K62" s="35" t="n">
        <v>-3212.75</v>
      </c>
      <c r="L62" s="18" t="n">
        <v>-1445.7</v>
      </c>
      <c r="M62" s="18" t="n">
        <v>1501.74</v>
      </c>
      <c r="N62" s="18" t="n">
        <v>-596.95</v>
      </c>
      <c r="O62" s="18" t="n">
        <v>-4187.84</v>
      </c>
      <c r="P62" s="35" t="n">
        <v>-4728.75</v>
      </c>
      <c r="Q62" s="18" t="n">
        <v>-2293.09</v>
      </c>
      <c r="R62" s="18" t="n">
        <v>-223.32</v>
      </c>
      <c r="S62" s="18" t="n">
        <v>-526.23</v>
      </c>
      <c r="T62" s="18" t="n">
        <v>-3201.06</v>
      </c>
      <c r="U62" s="35" t="n">
        <v>-6243.7</v>
      </c>
      <c r="V62" s="18" t="n">
        <v>1630.7</v>
      </c>
      <c r="W62" s="18" t="n">
        <v>-319.64</v>
      </c>
      <c r="X62" s="18" t="n">
        <v>-173.6</v>
      </c>
      <c r="Y62" s="18" t="n">
        <v>-475.03</v>
      </c>
      <c r="Z62" s="35" t="n">
        <v>662.4299999999999</v>
      </c>
      <c r="AA62" s="18" t="n">
        <v>21.31</v>
      </c>
      <c r="AB62" s="36" t="n">
        <v>-21.67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기타영업외손익</t>
        </is>
      </c>
      <c r="E63" s="18" t="n">
        <v>-3039.04</v>
      </c>
      <c r="F63" s="9" t="n"/>
      <c r="G63" s="18" t="n">
        <v>-7.26</v>
      </c>
      <c r="H63" s="18" t="n">
        <v>21.46</v>
      </c>
      <c r="I63" s="18" t="n">
        <v>20.6</v>
      </c>
      <c r="J63" s="18" t="n">
        <v>-13183.02</v>
      </c>
      <c r="K63" s="35" t="n">
        <v>-13148.22</v>
      </c>
      <c r="L63" s="18" t="n">
        <v>326.97</v>
      </c>
      <c r="M63" s="18" t="n">
        <v>-35.81</v>
      </c>
      <c r="N63" s="18" t="n">
        <v>-2613.91</v>
      </c>
      <c r="O63" s="18" t="n">
        <v>-2376.36</v>
      </c>
      <c r="P63" s="35" t="n">
        <v>-4699.11</v>
      </c>
      <c r="Q63" s="18" t="n">
        <v>25.34</v>
      </c>
      <c r="R63" s="18" t="n">
        <v>44.8</v>
      </c>
      <c r="S63" s="18" t="n">
        <v>38.04</v>
      </c>
      <c r="T63" s="18" t="n">
        <v>-13231.97</v>
      </c>
      <c r="U63" s="35" t="n">
        <v>-13123.79</v>
      </c>
      <c r="V63" s="18" t="n">
        <v>173.42</v>
      </c>
      <c r="W63" s="18" t="n">
        <v>2.76</v>
      </c>
      <c r="X63" s="18" t="n">
        <v>-34.53</v>
      </c>
      <c r="Y63" s="18" t="n">
        <v>-194.8</v>
      </c>
      <c r="Z63" s="35" t="n">
        <v>-53.15</v>
      </c>
      <c r="AA63" s="18" t="n">
        <v>2.25</v>
      </c>
      <c r="AB63" s="36" t="n">
        <v>-4213.73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(지배주주지분)당기순이익</t>
        </is>
      </c>
      <c r="E64" s="18" t="n">
        <v>1324.15</v>
      </c>
      <c r="F64" s="9" t="n"/>
      <c r="G64" s="18" t="n">
        <v>-3018.58</v>
      </c>
      <c r="H64" s="18" t="n">
        <v>-8373.76</v>
      </c>
      <c r="I64" s="18" t="n">
        <v>3566.09</v>
      </c>
      <c r="J64" s="18" t="n">
        <v>-33942.7</v>
      </c>
      <c r="K64" s="35" t="n">
        <v>-41768.95</v>
      </c>
      <c r="L64" s="18" t="n">
        <v>-3605.17</v>
      </c>
      <c r="M64" s="18" t="n">
        <v>1118.85</v>
      </c>
      <c r="N64" s="18" t="n">
        <v>-5132.78</v>
      </c>
      <c r="O64" s="18" t="n">
        <v>-8604.17</v>
      </c>
      <c r="P64" s="35" t="n">
        <v>-16223.27</v>
      </c>
      <c r="Q64" s="18" t="n">
        <v>-3184.32</v>
      </c>
      <c r="R64" s="18" t="n">
        <v>-1750.3</v>
      </c>
      <c r="S64" s="18" t="n">
        <v>-1096.86</v>
      </c>
      <c r="T64" s="18" t="n">
        <v>-20798.8</v>
      </c>
      <c r="U64" s="35" t="n">
        <v>-26830.28</v>
      </c>
      <c r="V64" s="18" t="n">
        <v>685.52</v>
      </c>
      <c r="W64" s="18" t="n">
        <v>1137.88</v>
      </c>
      <c r="X64" s="18" t="n">
        <v>-672.42</v>
      </c>
      <c r="Y64" s="18" t="n">
        <v>-310.88</v>
      </c>
      <c r="Z64" s="35" t="n">
        <v>840.1</v>
      </c>
      <c r="AA64" s="18" t="n">
        <v>-296.08</v>
      </c>
      <c r="AB64" s="36" t="n">
        <v>-3353.01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계속사업이익</t>
        </is>
      </c>
      <c r="E65" s="18" t="n">
        <v>1324.15</v>
      </c>
      <c r="F65" s="9" t="n"/>
      <c r="G65" s="18" t="n">
        <v>-3018.58</v>
      </c>
      <c r="H65" s="18" t="n">
        <v>-8373.76</v>
      </c>
      <c r="I65" s="18" t="n">
        <v>3566.09</v>
      </c>
      <c r="J65" s="18" t="n">
        <v>-33942.7</v>
      </c>
      <c r="K65" s="35" t="n">
        <v>-41768.95</v>
      </c>
      <c r="L65" s="18" t="n">
        <v>-3605.17</v>
      </c>
      <c r="M65" s="18" t="n">
        <v>1118.85</v>
      </c>
      <c r="N65" s="18" t="n">
        <v>-5132.78</v>
      </c>
      <c r="O65" s="18" t="n">
        <v>-8604.17</v>
      </c>
      <c r="P65" s="35" t="n">
        <v>-16223.27</v>
      </c>
      <c r="Q65" s="18" t="n">
        <v>-3184.32</v>
      </c>
      <c r="R65" s="18" t="n">
        <v>-1750.3</v>
      </c>
      <c r="S65" s="18" t="n">
        <v>-1096.86</v>
      </c>
      <c r="T65" s="18" t="n">
        <v>-20798.8</v>
      </c>
      <c r="U65" s="35" t="n">
        <v>-26830.28</v>
      </c>
      <c r="V65" s="18" t="n">
        <v>685.52</v>
      </c>
      <c r="W65" s="18" t="n">
        <v>1137.88</v>
      </c>
      <c r="X65" s="18" t="n">
        <v>-672.42</v>
      </c>
      <c r="Y65" s="18" t="n">
        <v>-310.88</v>
      </c>
      <c r="Z65" s="35" t="n">
        <v>840.1</v>
      </c>
      <c r="AA65" s="18" t="n">
        <v>-296.08</v>
      </c>
      <c r="AB65" s="36" t="n">
        <v>-3353.01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종속기업,공동지배기업및관계기업관련손익</t>
        </is>
      </c>
      <c r="F66" s="9" t="n"/>
      <c r="H66" s="18" t="n">
        <v>10.3</v>
      </c>
      <c r="I66" s="18" t="n">
        <v>-321.33</v>
      </c>
      <c r="K66" s="9" t="n"/>
      <c r="P66" s="9" t="n"/>
      <c r="U66" s="9" t="n"/>
      <c r="Z66" s="9" t="n"/>
      <c r="AB66" s="5" t="n"/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지분법관련손익</t>
        </is>
      </c>
      <c r="F67" s="9" t="n"/>
      <c r="H67" s="18" t="n">
        <v>10.3</v>
      </c>
      <c r="I67" s="18" t="n">
        <v>-321.33</v>
      </c>
      <c r="K67" s="9" t="n"/>
      <c r="P67" s="9" t="n"/>
      <c r="U67" s="9" t="n"/>
      <c r="Z67" s="9" t="n"/>
      <c r="AB67" s="5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이자수익</t>
        </is>
      </c>
      <c r="F68" s="9" t="n"/>
      <c r="K68" s="9" t="n"/>
      <c r="P68" s="9" t="n"/>
      <c r="U68" s="9" t="n"/>
      <c r="X68" s="18" t="n">
        <v>0.88</v>
      </c>
      <c r="Y68" s="18" t="n">
        <v>5.8</v>
      </c>
      <c r="Z68" s="9" t="n"/>
      <c r="AA68" s="18" t="n">
        <v>1.92</v>
      </c>
      <c r="AB68" s="36" t="n">
        <v>4.55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이자비용</t>
        </is>
      </c>
      <c r="F69" s="9" t="n"/>
      <c r="K69" s="9" t="n"/>
      <c r="P69" s="9" t="n"/>
      <c r="U69" s="9" t="n"/>
      <c r="X69" s="18" t="n">
        <v>288</v>
      </c>
      <c r="Y69" s="18" t="n">
        <v>1914.89</v>
      </c>
      <c r="Z69" s="9" t="n"/>
      <c r="AA69" s="18" t="n">
        <v>132.5</v>
      </c>
      <c r="AB69" s="36" t="n">
        <v>133.69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외환차익</t>
        </is>
      </c>
      <c r="F70" s="9" t="n"/>
      <c r="K70" s="9" t="n"/>
      <c r="P70" s="9" t="n"/>
      <c r="U70" s="9" t="n"/>
      <c r="X70" s="18" t="n">
        <v>19.19</v>
      </c>
      <c r="Y70" s="18" t="n">
        <v>-153.11</v>
      </c>
      <c r="Z70" s="9" t="n"/>
      <c r="AA70" s="18" t="n">
        <v>104.58</v>
      </c>
      <c r="AB70" s="36" t="n">
        <v>106.13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외환차손</t>
        </is>
      </c>
      <c r="F71" s="9" t="n"/>
      <c r="K71" s="9" t="n"/>
      <c r="P71" s="9" t="n"/>
      <c r="U71" s="9" t="n"/>
      <c r="X71" s="18" t="n">
        <v>91.37</v>
      </c>
      <c r="Y71" s="18" t="n">
        <v>29.58</v>
      </c>
      <c r="Z71" s="9" t="n"/>
      <c r="AA71" s="18" t="n">
        <v>14.98</v>
      </c>
      <c r="AB71" s="36" t="n">
        <v>20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외화환산이익</t>
        </is>
      </c>
      <c r="F72" s="9" t="n"/>
      <c r="K72" s="9" t="n"/>
      <c r="P72" s="9" t="n"/>
      <c r="U72" s="9" t="n"/>
      <c r="X72" s="18" t="n">
        <v>-14.03</v>
      </c>
      <c r="Y72" s="18" t="n">
        <v>-16.49</v>
      </c>
      <c r="Z72" s="9" t="n"/>
      <c r="AA72" s="18" t="n">
        <v>62.28</v>
      </c>
      <c r="AB72" s="36" t="n">
        <v>21.53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외화환산손실</t>
        </is>
      </c>
      <c r="F73" s="9" t="n"/>
      <c r="K73" s="9" t="n"/>
      <c r="P73" s="9" t="n"/>
      <c r="U73" s="9" t="n"/>
      <c r="X73" s="18" t="n">
        <v>-199.74</v>
      </c>
      <c r="Y73" s="18" t="n">
        <v>-75.90000000000001</v>
      </c>
      <c r="Z73" s="9" t="n"/>
      <c r="AB73" s="5" t="n"/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파생상품이익</t>
        </is>
      </c>
      <c r="F74" s="9" t="n"/>
      <c r="K74" s="9" t="n"/>
      <c r="P74" s="9" t="n"/>
      <c r="U74" s="9" t="n"/>
      <c r="X74" s="18" t="n">
        <v>0</v>
      </c>
      <c r="Y74" s="18" t="n">
        <v>1557.71</v>
      </c>
      <c r="Z74" s="9" t="n"/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파생상품손실</t>
        </is>
      </c>
      <c r="F75" s="9" t="n"/>
      <c r="K75" s="9" t="n"/>
      <c r="P75" s="9" t="n"/>
      <c r="U75" s="9" t="n"/>
      <c r="X75" s="18" t="n">
        <v>0</v>
      </c>
      <c r="Y75" s="18" t="n">
        <v>0.38</v>
      </c>
      <c r="Z75" s="9" t="n"/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이자손익</t>
        </is>
      </c>
      <c r="F76" s="9" t="n"/>
      <c r="K76" s="9" t="n"/>
      <c r="P76" s="9" t="n"/>
      <c r="U76" s="9" t="n"/>
      <c r="X76" s="18" t="n">
        <v>-287.12</v>
      </c>
      <c r="Y76" s="18" t="n">
        <v>-1909.09</v>
      </c>
      <c r="Z76" s="9" t="n"/>
      <c r="AA76" s="18" t="n">
        <v>-130.58</v>
      </c>
      <c r="AB76" s="36" t="n">
        <v>-129.14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영업활동으로인한현금흐름</t>
        </is>
      </c>
      <c r="E77" s="18" t="n">
        <v>4625.11</v>
      </c>
      <c r="F77" s="9" t="n"/>
      <c r="G77" s="18" t="n">
        <v>-1876.93</v>
      </c>
      <c r="H77" s="18" t="n">
        <v>-2471.7</v>
      </c>
      <c r="I77" s="18" t="n">
        <v>-532.79</v>
      </c>
      <c r="J77" s="18" t="n">
        <v>-2334.32</v>
      </c>
      <c r="K77" s="35" t="n">
        <v>-7215.74</v>
      </c>
      <c r="L77" s="18" t="n">
        <v>-3330.42</v>
      </c>
      <c r="M77" s="18" t="n">
        <v>-1598.54</v>
      </c>
      <c r="N77" s="18" t="n">
        <v>-2786.54</v>
      </c>
      <c r="O77" s="18" t="n">
        <v>3183.91</v>
      </c>
      <c r="P77" s="35" t="n">
        <v>-4531.59</v>
      </c>
      <c r="Q77" s="18" t="n">
        <v>-1886.85</v>
      </c>
      <c r="R77" s="18" t="n">
        <v>2705.29</v>
      </c>
      <c r="S77" s="18" t="n">
        <v>217.11</v>
      </c>
      <c r="T77" s="18" t="n">
        <v>2685.66</v>
      </c>
      <c r="U77" s="35" t="n">
        <v>3721.21</v>
      </c>
      <c r="V77" s="18" t="n">
        <v>-6821.69</v>
      </c>
      <c r="W77" s="18" t="n">
        <v>53.31</v>
      </c>
      <c r="X77" s="18" t="n">
        <v>-289.94</v>
      </c>
      <c r="Y77" s="18" t="n">
        <v>456.12</v>
      </c>
      <c r="Z77" s="35" t="n">
        <v>-6602.2</v>
      </c>
      <c r="AA77" s="18" t="n">
        <v>-383.07</v>
      </c>
      <c r="AB77" s="36" t="n">
        <v>-30.94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이자수취(CF)</t>
        </is>
      </c>
      <c r="E78" s="18" t="n">
        <v>46.44</v>
      </c>
      <c r="F78" s="9" t="n"/>
      <c r="G78" s="18" t="n">
        <v>28.85</v>
      </c>
      <c r="H78" s="18" t="n">
        <v>77.87</v>
      </c>
      <c r="I78" s="18" t="n">
        <v>116.82</v>
      </c>
      <c r="J78" s="18" t="n">
        <v>276.14</v>
      </c>
      <c r="K78" s="35" t="n">
        <v>499.68</v>
      </c>
      <c r="L78" s="18" t="n">
        <v>47.76</v>
      </c>
      <c r="M78" s="18" t="n">
        <v>24.75</v>
      </c>
      <c r="N78" s="18" t="n">
        <v>24.57</v>
      </c>
      <c r="O78" s="18" t="n">
        <v>20.23</v>
      </c>
      <c r="P78" s="35" t="n">
        <v>117.31</v>
      </c>
      <c r="Q78" s="18" t="n">
        <v>20.18</v>
      </c>
      <c r="R78" s="18" t="n">
        <v>19.49</v>
      </c>
      <c r="S78" s="18" t="n">
        <v>14.91</v>
      </c>
      <c r="T78" s="18" t="n">
        <v>15.57</v>
      </c>
      <c r="U78" s="35" t="n">
        <v>70.15000000000001</v>
      </c>
      <c r="V78" s="18" t="n">
        <v>15.14</v>
      </c>
      <c r="W78" s="18" t="n">
        <v>4</v>
      </c>
      <c r="X78" s="18" t="n">
        <v>-16.93</v>
      </c>
      <c r="Y78" s="18" t="n">
        <v>22.62</v>
      </c>
      <c r="Z78" s="35" t="n">
        <v>24.83</v>
      </c>
      <c r="AA78" s="18" t="n">
        <v>0.77</v>
      </c>
      <c r="AB78" s="36" t="n">
        <v>0.78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이자지급(CF)</t>
        </is>
      </c>
      <c r="E79" s="18" t="n">
        <v>-78.47</v>
      </c>
      <c r="F79" s="9" t="n"/>
      <c r="G79" s="18" t="n">
        <v>-94.19</v>
      </c>
      <c r="H79" s="18" t="n">
        <v>-109.72</v>
      </c>
      <c r="I79" s="18" t="n">
        <v>-120.12</v>
      </c>
      <c r="J79" s="18" t="n">
        <v>-161.65</v>
      </c>
      <c r="K79" s="35" t="n">
        <v>-485.68</v>
      </c>
      <c r="L79" s="18" t="n">
        <v>-182.17</v>
      </c>
      <c r="M79" s="18" t="n">
        <v>-203.87</v>
      </c>
      <c r="P79" s="9" t="n"/>
      <c r="Q79" s="18" t="n">
        <v>-148.93</v>
      </c>
      <c r="U79" s="9" t="n"/>
      <c r="V79" s="18" t="n">
        <v>-190.83</v>
      </c>
      <c r="Z79" s="9" t="n"/>
      <c r="AA79" s="18" t="n">
        <v>99.48999999999999</v>
      </c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법인세납부(CF)</t>
        </is>
      </c>
      <c r="E80" s="18" t="n">
        <v>-0.44</v>
      </c>
      <c r="F80" s="9" t="n"/>
      <c r="G80" s="18" t="n">
        <v>-2.48</v>
      </c>
      <c r="H80" s="18" t="n">
        <v>9.119999999999999</v>
      </c>
      <c r="I80" s="18" t="n">
        <v>-26.09</v>
      </c>
      <c r="J80" s="18" t="n">
        <v>-24.87</v>
      </c>
      <c r="K80" s="35" t="n">
        <v>-44.32</v>
      </c>
      <c r="L80" s="18" t="n">
        <v>-0.13</v>
      </c>
      <c r="M80" s="18" t="n">
        <v>54.49</v>
      </c>
      <c r="N80" s="18" t="n">
        <v>-0.05</v>
      </c>
      <c r="O80" s="18" t="n">
        <v>-0.09</v>
      </c>
      <c r="P80" s="35" t="n">
        <v>54.22</v>
      </c>
      <c r="Q80" s="18" t="n">
        <v>-0.05</v>
      </c>
      <c r="R80" s="18" t="n">
        <v>0.25</v>
      </c>
      <c r="S80" s="18" t="n">
        <v>-0.04</v>
      </c>
      <c r="T80" s="18" t="n">
        <v>28.53</v>
      </c>
      <c r="U80" s="35" t="n">
        <v>28.69</v>
      </c>
      <c r="V80" s="18" t="n">
        <v>-0.02</v>
      </c>
      <c r="W80" s="18" t="n">
        <v>0.1</v>
      </c>
      <c r="X80" s="18" t="n">
        <v>-0.01</v>
      </c>
      <c r="Y80" s="18" t="n">
        <v>-0.03</v>
      </c>
      <c r="Z80" s="35" t="n">
        <v>0.04</v>
      </c>
      <c r="AA80" s="18" t="n">
        <v>-0.12</v>
      </c>
      <c r="AB80" s="36" t="n">
        <v>0.27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투자활동으로인한현금흐름</t>
        </is>
      </c>
      <c r="E81" s="18" t="n">
        <v>-5301.6</v>
      </c>
      <c r="F81" s="9" t="n"/>
      <c r="G81" s="18" t="n">
        <v>1371.72</v>
      </c>
      <c r="H81" s="18" t="n">
        <v>-11226.16</v>
      </c>
      <c r="I81" s="18" t="n">
        <v>-3996.09</v>
      </c>
      <c r="J81" s="18" t="n">
        <v>3153.04</v>
      </c>
      <c r="K81" s="35" t="n">
        <v>-10697.49</v>
      </c>
      <c r="L81" s="18" t="n">
        <v>177.93</v>
      </c>
      <c r="M81" s="18" t="n">
        <v>-172.31</v>
      </c>
      <c r="N81" s="18" t="n">
        <v>-1466.45</v>
      </c>
      <c r="O81" s="18" t="n">
        <v>-564.15</v>
      </c>
      <c r="P81" s="35" t="n">
        <v>-2024.98</v>
      </c>
      <c r="Q81" s="18" t="n">
        <v>-626.96</v>
      </c>
      <c r="R81" s="18" t="n">
        <v>-2950.89</v>
      </c>
      <c r="S81" s="18" t="n">
        <v>-230.2</v>
      </c>
      <c r="T81" s="18" t="n">
        <v>2905</v>
      </c>
      <c r="U81" s="35" t="n">
        <v>-903.05</v>
      </c>
      <c r="V81" s="18" t="n">
        <v>249.77</v>
      </c>
      <c r="W81" s="18" t="n">
        <v>-44.3</v>
      </c>
      <c r="X81" s="18" t="n">
        <v>7442.68</v>
      </c>
      <c r="Y81" s="18" t="n">
        <v>-1498.61</v>
      </c>
      <c r="Z81" s="35" t="n">
        <v>6149.54</v>
      </c>
      <c r="AA81" s="18" t="n">
        <v>1301.95</v>
      </c>
      <c r="AB81" s="36" t="n">
        <v>-963.01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유형자산의증가</t>
        </is>
      </c>
      <c r="E82" s="18" t="n">
        <v>19.16</v>
      </c>
      <c r="F82" s="9" t="n"/>
      <c r="G82" s="18" t="n">
        <v>27.25</v>
      </c>
      <c r="H82" s="18" t="n">
        <v>7.76</v>
      </c>
      <c r="I82" s="18" t="n">
        <v>93.90000000000001</v>
      </c>
      <c r="J82" s="18" t="n">
        <v>132.05</v>
      </c>
      <c r="K82" s="35" t="n">
        <v>260.96</v>
      </c>
      <c r="L82" s="18" t="n">
        <v>10.84</v>
      </c>
      <c r="M82" s="18" t="n">
        <v>35.62</v>
      </c>
      <c r="N82" s="18" t="n">
        <v>233.64</v>
      </c>
      <c r="O82" s="18" t="n">
        <v>116.45</v>
      </c>
      <c r="P82" s="35" t="n">
        <v>396.55</v>
      </c>
      <c r="Q82" s="18" t="n">
        <v>38.48</v>
      </c>
      <c r="R82" s="18" t="n">
        <v>68.63</v>
      </c>
      <c r="S82" s="18" t="n">
        <v>80</v>
      </c>
      <c r="T82" s="18" t="n">
        <v>3.5</v>
      </c>
      <c r="U82" s="35" t="n">
        <v>190.61</v>
      </c>
      <c r="V82" s="18" t="n">
        <v>41.5</v>
      </c>
      <c r="W82" s="18" t="n">
        <v>0</v>
      </c>
      <c r="X82" s="18" t="n">
        <v>2.58</v>
      </c>
      <c r="Y82" s="18" t="n">
        <v>10</v>
      </c>
      <c r="Z82" s="35" t="n">
        <v>54.08</v>
      </c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CAPEX</t>
        </is>
      </c>
      <c r="E83" s="18" t="n">
        <v>1432.03</v>
      </c>
      <c r="F83" s="9" t="n"/>
      <c r="G83" s="18" t="n">
        <v>708.4299999999999</v>
      </c>
      <c r="H83" s="18" t="n">
        <v>154.6</v>
      </c>
      <c r="I83" s="18" t="n">
        <v>637.5</v>
      </c>
      <c r="J83" s="18" t="n">
        <v>1113.31</v>
      </c>
      <c r="K83" s="35" t="n">
        <v>2613.84</v>
      </c>
      <c r="L83" s="18" t="n">
        <v>10.84</v>
      </c>
      <c r="M83" s="18" t="n">
        <v>1504.48</v>
      </c>
      <c r="N83" s="18" t="n">
        <v>233.64</v>
      </c>
      <c r="O83" s="18" t="n">
        <v>540.54</v>
      </c>
      <c r="P83" s="35" t="n">
        <v>2289.5</v>
      </c>
      <c r="Q83" s="18" t="n">
        <v>194.91</v>
      </c>
      <c r="R83" s="18" t="n">
        <v>181.35</v>
      </c>
      <c r="S83" s="18" t="n">
        <v>80</v>
      </c>
      <c r="T83" s="18" t="n">
        <v>3.5</v>
      </c>
      <c r="U83" s="35" t="n">
        <v>459.76</v>
      </c>
      <c r="V83" s="18" t="n">
        <v>41.5</v>
      </c>
      <c r="W83" s="18" t="n">
        <v>0</v>
      </c>
      <c r="X83" s="18" t="n">
        <v>2.58</v>
      </c>
      <c r="Y83" s="18" t="n">
        <v>10</v>
      </c>
      <c r="Z83" s="35" t="n">
        <v>54.08</v>
      </c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유형자산의감소</t>
        </is>
      </c>
      <c r="E84" s="18" t="n">
        <v>0</v>
      </c>
      <c r="F84" s="9" t="n"/>
      <c r="K84" s="9" t="n"/>
      <c r="N84" s="18" t="n">
        <v>0</v>
      </c>
      <c r="O84" s="18" t="n">
        <v>0</v>
      </c>
      <c r="P84" s="9" t="n"/>
      <c r="S84" s="18" t="n">
        <v>0</v>
      </c>
      <c r="U84" s="9" t="n"/>
      <c r="V84" s="18" t="n">
        <v>32.36</v>
      </c>
      <c r="W84" s="18" t="n">
        <v>0</v>
      </c>
      <c r="X84" s="18" t="n">
        <v>7489.73</v>
      </c>
      <c r="Y84" s="18" t="n">
        <v>0</v>
      </c>
      <c r="Z84" s="35" t="n">
        <v>7522.09</v>
      </c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무형자산의증가</t>
        </is>
      </c>
      <c r="E85" s="18" t="n">
        <v>1412.87</v>
      </c>
      <c r="F85" s="9" t="n"/>
      <c r="G85" s="18" t="n">
        <v>681.1799999999999</v>
      </c>
      <c r="H85" s="18" t="n">
        <v>146.84</v>
      </c>
      <c r="I85" s="18" t="n">
        <v>543.6</v>
      </c>
      <c r="J85" s="18" t="n">
        <v>981.26</v>
      </c>
      <c r="K85" s="35" t="n">
        <v>2352.88</v>
      </c>
      <c r="N85" s="18" t="n">
        <v>0</v>
      </c>
      <c r="O85" s="18" t="n">
        <v>424.09</v>
      </c>
      <c r="P85" s="9" t="n"/>
      <c r="Q85" s="18" t="n">
        <v>156.43</v>
      </c>
      <c r="R85" s="18" t="n">
        <v>112.72</v>
      </c>
      <c r="S85" s="18" t="n">
        <v>0</v>
      </c>
      <c r="T85" s="18" t="n">
        <v>0</v>
      </c>
      <c r="U85" s="35" t="n">
        <v>269.15</v>
      </c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재무활동으로인한현금흐름</t>
        </is>
      </c>
      <c r="E86" s="18" t="n">
        <v>-1623.97</v>
      </c>
      <c r="F86" s="9" t="n"/>
      <c r="G86" s="18" t="n">
        <v>20004.16</v>
      </c>
      <c r="H86" s="18" t="n">
        <v>287.5</v>
      </c>
      <c r="I86" s="18" t="n">
        <v>2305.42</v>
      </c>
      <c r="J86" s="18" t="n">
        <v>-1048.98</v>
      </c>
      <c r="K86" s="35" t="n">
        <v>21548.1</v>
      </c>
      <c r="L86" s="18" t="n">
        <v>-144.39</v>
      </c>
      <c r="M86" s="18" t="n">
        <v>334.27</v>
      </c>
      <c r="N86" s="18" t="n">
        <v>4913.08</v>
      </c>
      <c r="O86" s="18" t="n">
        <v>-2100.99</v>
      </c>
      <c r="P86" s="35" t="n">
        <v>3001.97</v>
      </c>
      <c r="Q86" s="18" t="n">
        <v>170.82</v>
      </c>
      <c r="R86" s="18" t="n">
        <v>-72.06999999999999</v>
      </c>
      <c r="S86" s="18" t="n">
        <v>3633.04</v>
      </c>
      <c r="T86" s="18" t="n">
        <v>-2386.55</v>
      </c>
      <c r="U86" s="35" t="n">
        <v>1345.24</v>
      </c>
      <c r="V86" s="18" t="n">
        <v>-264.66</v>
      </c>
      <c r="W86" s="18" t="n">
        <v>-80.5</v>
      </c>
      <c r="X86" s="18" t="n">
        <v>-6938.14</v>
      </c>
      <c r="Y86" s="18" t="n">
        <v>1378.16</v>
      </c>
      <c r="Z86" s="35" t="n">
        <v>-5905.14</v>
      </c>
      <c r="AA86" s="18" t="n">
        <v>-1444.78</v>
      </c>
      <c r="AB86" s="36" t="n">
        <v>969.86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단기차입금의증가</t>
        </is>
      </c>
      <c r="E87" s="18" t="n">
        <v>0</v>
      </c>
      <c r="F87" s="9" t="n"/>
      <c r="I87" s="18" t="n">
        <v>11000</v>
      </c>
      <c r="J87" s="18" t="n">
        <v>0</v>
      </c>
      <c r="K87" s="9" t="n"/>
      <c r="N87" s="18" t="n">
        <v>0</v>
      </c>
      <c r="O87" s="18" t="n">
        <v>0</v>
      </c>
      <c r="P87" s="9" t="n"/>
      <c r="U87" s="9" t="n"/>
      <c r="V87" s="18" t="n">
        <v>400</v>
      </c>
      <c r="W87" s="18" t="n">
        <v>0</v>
      </c>
      <c r="X87" s="18" t="n">
        <v>0</v>
      </c>
      <c r="Y87" s="18" t="n">
        <v>0</v>
      </c>
      <c r="Z87" s="35" t="n">
        <v>400</v>
      </c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리스부채의상환</t>
        </is>
      </c>
      <c r="E88" s="18" t="n">
        <v>55.49</v>
      </c>
      <c r="F88" s="9" t="n"/>
      <c r="G88" s="18" t="n">
        <v>55.37</v>
      </c>
      <c r="H88" s="18" t="n">
        <v>53.58</v>
      </c>
      <c r="I88" s="18" t="n">
        <v>84.87</v>
      </c>
      <c r="J88" s="18" t="n">
        <v>258.08</v>
      </c>
      <c r="K88" s="35" t="n">
        <v>451.9</v>
      </c>
      <c r="L88" s="18" t="n">
        <v>144.39</v>
      </c>
      <c r="M88" s="18" t="n">
        <v>145.73</v>
      </c>
      <c r="N88" s="18" t="n">
        <v>139.67</v>
      </c>
      <c r="O88" s="18" t="n">
        <v>104.35</v>
      </c>
      <c r="P88" s="35" t="n">
        <v>534.14</v>
      </c>
      <c r="Q88" s="18" t="n">
        <v>76.38</v>
      </c>
      <c r="R88" s="18" t="n">
        <v>72.06999999999999</v>
      </c>
      <c r="S88" s="18" t="n">
        <v>66.97</v>
      </c>
      <c r="T88" s="18" t="n">
        <v>71.54000000000001</v>
      </c>
      <c r="U88" s="35" t="n">
        <v>286.96</v>
      </c>
      <c r="V88" s="18" t="n">
        <v>64.61</v>
      </c>
      <c r="W88" s="18" t="n">
        <v>40.64</v>
      </c>
      <c r="X88" s="18" t="n">
        <v>38.14</v>
      </c>
      <c r="Y88" s="18" t="n">
        <v>35.82</v>
      </c>
      <c r="Z88" s="35" t="n">
        <v>179.21</v>
      </c>
      <c r="AA88" s="18" t="n">
        <v>30.78</v>
      </c>
      <c r="AB88" s="36" t="n">
        <v>30.14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자기주식의취득</t>
        </is>
      </c>
      <c r="E89" s="18" t="n">
        <v>2029.9</v>
      </c>
      <c r="F89" s="9" t="n"/>
      <c r="K89" s="9" t="n"/>
      <c r="P89" s="9" t="n"/>
      <c r="U89" s="9" t="n"/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배당금지급</t>
        </is>
      </c>
      <c r="E90" s="18" t="n">
        <v>0</v>
      </c>
      <c r="F90" s="9" t="n"/>
      <c r="K90" s="9" t="n"/>
      <c r="P90" s="9" t="n"/>
      <c r="U90" s="9" t="n"/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현금및현금성자산의증감</t>
        </is>
      </c>
      <c r="E91" s="18" t="n">
        <v>-2306.01</v>
      </c>
      <c r="F91" s="9" t="n"/>
      <c r="G91" s="18" t="n">
        <v>19494.43</v>
      </c>
      <c r="H91" s="18" t="n">
        <v>-13384.75</v>
      </c>
      <c r="I91" s="18" t="n">
        <v>-2180.11</v>
      </c>
      <c r="J91" s="18" t="n">
        <v>-316.49</v>
      </c>
      <c r="K91" s="35" t="n">
        <v>3613.08</v>
      </c>
      <c r="L91" s="18" t="n">
        <v>-3297.15</v>
      </c>
      <c r="M91" s="18" t="n">
        <v>-1435.23</v>
      </c>
      <c r="N91" s="18" t="n">
        <v>659.91</v>
      </c>
      <c r="O91" s="18" t="n">
        <v>514.3200000000001</v>
      </c>
      <c r="P91" s="35" t="n">
        <v>-3558.15</v>
      </c>
      <c r="Q91" s="18" t="n">
        <v>-2342.92</v>
      </c>
      <c r="R91" s="18" t="n">
        <v>-316</v>
      </c>
      <c r="S91" s="18" t="n">
        <v>3615.28</v>
      </c>
      <c r="T91" s="18" t="n">
        <v>3208.94</v>
      </c>
      <c r="U91" s="35" t="n">
        <v>4165.3</v>
      </c>
      <c r="V91" s="18" t="n">
        <v>-6836.19</v>
      </c>
      <c r="W91" s="18" t="n">
        <v>-73.44</v>
      </c>
      <c r="X91" s="18" t="n">
        <v>216.61</v>
      </c>
      <c r="Y91" s="18" t="n">
        <v>328.01</v>
      </c>
      <c r="Z91" s="35" t="n">
        <v>-6365.01</v>
      </c>
      <c r="AA91" s="18" t="n">
        <v>-524.01</v>
      </c>
      <c r="AB91" s="36" t="n">
        <v>-25.11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기말현금및현금성자산</t>
        </is>
      </c>
      <c r="E92" s="18" t="n">
        <v>-2306.02</v>
      </c>
      <c r="F92" s="9" t="n"/>
      <c r="G92" s="18" t="n">
        <v>22756.68</v>
      </c>
      <c r="H92" s="18" t="n">
        <v>-13384.76</v>
      </c>
      <c r="I92" s="18" t="n">
        <v>-2180.11</v>
      </c>
      <c r="J92" s="18" t="n">
        <v>-316.49</v>
      </c>
      <c r="K92" s="35" t="n">
        <v>6875.32</v>
      </c>
      <c r="L92" s="18" t="n">
        <v>3578.17</v>
      </c>
      <c r="M92" s="18" t="n">
        <v>-1435.23</v>
      </c>
      <c r="N92" s="18" t="n">
        <v>659.91</v>
      </c>
      <c r="O92" s="18" t="n">
        <v>514.3200000000001</v>
      </c>
      <c r="P92" s="35" t="n">
        <v>3317.17</v>
      </c>
      <c r="Q92" s="18" t="n">
        <v>974.26</v>
      </c>
      <c r="R92" s="18" t="n">
        <v>-316</v>
      </c>
      <c r="S92" s="18" t="n">
        <v>3615.28</v>
      </c>
      <c r="T92" s="18" t="n">
        <v>3208.93</v>
      </c>
      <c r="U92" s="35" t="n">
        <v>7482.47</v>
      </c>
      <c r="V92" s="18" t="n">
        <v>646.28</v>
      </c>
      <c r="W92" s="18" t="n">
        <v>-73.44</v>
      </c>
      <c r="X92" s="18" t="n">
        <v>216.62</v>
      </c>
      <c r="Y92" s="18" t="n">
        <v>328</v>
      </c>
      <c r="Z92" s="35" t="n">
        <v>1117.46</v>
      </c>
      <c r="AA92" s="18" t="n">
        <v>593.46</v>
      </c>
      <c r="AB92" s="36" t="n">
        <v>-25.12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단기차입금의감소</t>
        </is>
      </c>
      <c r="F93" s="9" t="n"/>
      <c r="I93" s="18" t="n">
        <v>9000</v>
      </c>
      <c r="J93" s="18" t="n">
        <v>0</v>
      </c>
      <c r="K93" s="9" t="n"/>
      <c r="N93" s="18" t="n">
        <v>2000</v>
      </c>
      <c r="O93" s="18" t="n">
        <v>1480.01</v>
      </c>
      <c r="P93" s="9" t="n"/>
      <c r="U93" s="9" t="n"/>
      <c r="V93" s="18" t="n">
        <v>100.05</v>
      </c>
      <c r="W93" s="18" t="n">
        <v>39.86</v>
      </c>
      <c r="X93" s="18" t="n">
        <v>0</v>
      </c>
      <c r="Y93" s="18" t="n">
        <v>0.02</v>
      </c>
      <c r="Z93" s="35" t="n">
        <v>139.93</v>
      </c>
      <c r="AB93" s="5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무형자산의감소</t>
        </is>
      </c>
      <c r="F94" s="9" t="n"/>
      <c r="K94" s="9" t="n"/>
      <c r="L94" s="18" t="n">
        <v>509.09</v>
      </c>
      <c r="M94" s="18" t="n">
        <v>0</v>
      </c>
      <c r="N94" s="18" t="n">
        <v>0</v>
      </c>
      <c r="O94" s="18" t="n">
        <v>0</v>
      </c>
      <c r="P94" s="35" t="n">
        <v>509.09</v>
      </c>
      <c r="U94" s="9" t="n"/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유동성장기부채의감소</t>
        </is>
      </c>
      <c r="F95" s="9" t="n"/>
      <c r="K95" s="9" t="n"/>
      <c r="P95" s="9" t="n"/>
      <c r="U95" s="9" t="n"/>
      <c r="Y95" s="18" t="n">
        <v>0</v>
      </c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IFERROR(VLOOKUP($D5,BS별도,MATCH(E$1,BS별도H,0),0)/100,"")</f>
        <v/>
      </c>
      <c r="F5" s="35" t="n"/>
      <c r="G5" s="18">
        <f>IFERROR(VLOOKUP($D5,BS별도,MATCH(G$1,BS별도H,0),0)/100,"")</f>
        <v/>
      </c>
      <c r="H5" s="18">
        <f>IFERROR(VLOOKUP($D5,BS별도,MATCH(H$1,BS별도H,0),0)/100,"")</f>
        <v/>
      </c>
      <c r="I5" s="18">
        <f>IFERROR(VLOOKUP($D5,BS별도,MATCH(I$1,BS별도H,0),0)/100,"")</f>
        <v/>
      </c>
      <c r="J5" s="18">
        <f>IFERROR(VLOOKUP($D5,BS별도,MATCH(J$1,BS별도H,0),0)/100,"")</f>
        <v/>
      </c>
      <c r="K5" s="35">
        <f>SUM(G5:J5)</f>
        <v/>
      </c>
      <c r="L5" s="18">
        <f>IFERROR(VLOOKUP($D5,BS별도,MATCH(L$1,BS별도H,0),0)/100,"")</f>
        <v/>
      </c>
      <c r="M5" s="18">
        <f>IFERROR(VLOOKUP($D5,BS별도,MATCH(M$1,BS별도H,0),0)/100,"")</f>
        <v/>
      </c>
      <c r="N5" s="18">
        <f>IFERROR(VLOOKUP($D5,BS별도,MATCH(N$1,BS별도H,0),0)/100,"")</f>
        <v/>
      </c>
      <c r="O5" s="18">
        <f>IFERROR(VLOOKUP($D5,BS별도,MATCH(O$1,BS별도H,0),0)/100,"")</f>
        <v/>
      </c>
      <c r="P5" s="35">
        <f>SUM(L5:O5)</f>
        <v/>
      </c>
      <c r="Q5" s="18">
        <f>IFERROR(VLOOKUP($D5,BS별도,MATCH(Q$1,BS별도H,0),0)/100,"")</f>
        <v/>
      </c>
      <c r="R5" s="18">
        <f>IFERROR(VLOOKUP($D5,BS별도,MATCH(R$1,BS별도H,0),0)/100,"")</f>
        <v/>
      </c>
      <c r="S5" s="18">
        <f>IFERROR(VLOOKUP($D5,BS별도,MATCH(S$1,BS별도H,0),0)/100,"")</f>
        <v/>
      </c>
      <c r="T5" s="18">
        <f>IFERROR(VLOOKUP($D5,BS별도,MATCH(T$1,BS별도H,0),0)/100,"")</f>
        <v/>
      </c>
      <c r="U5" s="35">
        <f>SUM(Q5:T5)</f>
        <v/>
      </c>
      <c r="V5" s="18">
        <f>IFERROR(VLOOKUP($D5,BS별도,MATCH(V$1,BS별도H,0),0)/100,"")</f>
        <v/>
      </c>
      <c r="W5" s="18">
        <f>IFERROR(VLOOKUP($D5,BS별도,MATCH(W$1,BS별도H,0),0)/100,"")</f>
        <v/>
      </c>
      <c r="X5" s="18">
        <f>IFERROR(VLOOKUP($D5,BS별도,MATCH(X$1,BS별도H,0),0)/100,"")</f>
        <v/>
      </c>
      <c r="Y5" s="18">
        <f>IFERROR(VLOOKUP($D5,BS별도,MATCH(Y$1,BS별도H,0),0)/100,"")</f>
        <v/>
      </c>
      <c r="Z5" s="35">
        <f>SUM(V5:Y5)</f>
        <v/>
      </c>
      <c r="AA5" s="18">
        <f>IFERROR(VLOOKUP($D5,BS별도,MATCH(AA$1,BS별도H,0),0)/100,"")</f>
        <v/>
      </c>
      <c r="AB5" s="36">
        <f>IFERROR(VLOOKUP($D5,BS별도,MATCH(AB$1,BS별도H,0),0)/100,"")</f>
        <v/>
      </c>
      <c r="AC5" s="37">
        <f>IFERROR(X5*(1+변수!AC21),"")</f>
        <v/>
      </c>
      <c r="AD5" s="37">
        <f>IFERROR(Y5*(1+변수!AD21),"")</f>
        <v/>
      </c>
      <c r="AE5" s="38">
        <f>SUM(AA5:AD5)</f>
        <v/>
      </c>
      <c r="AF5" s="37">
        <f>IFERROR(AA5*(1+변수!AF21),"")</f>
        <v/>
      </c>
      <c r="AG5" s="37">
        <f>IFERROR(AB5*(1+변수!AG21),"")</f>
        <v/>
      </c>
      <c r="AH5" s="37">
        <f>IFERROR(AC5*(1+변수!AH21),"")</f>
        <v/>
      </c>
      <c r="AI5" s="37">
        <f>IFERROR(AD5*(1+변수!AI21),"")</f>
        <v/>
      </c>
      <c r="AJ5" s="38">
        <f>SUM(AF5:AI5)</f>
        <v/>
      </c>
      <c r="AK5" s="37">
        <f>IFERROR(AF5*(1+변수!AK21),"")</f>
        <v/>
      </c>
      <c r="AL5" s="37">
        <f>IFERROR(AG5*(1+변수!AL21),"")</f>
        <v/>
      </c>
      <c r="AM5" s="37">
        <f>IFERROR(AH5*(1+변수!AM21),"")</f>
        <v/>
      </c>
      <c r="AN5" s="37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IFERROR(VLOOKUP($D6,BS별도,MATCH(E$1,BS별도H,0),0)/100,"")</f>
        <v/>
      </c>
      <c r="F6" s="35" t="n"/>
      <c r="G6" s="18">
        <f>IFERROR(VLOOKUP($D6,BS별도,MATCH(G$1,BS별도H,0),0)/100,"")</f>
        <v/>
      </c>
      <c r="H6" s="18">
        <f>IFERROR(VLOOKUP($D6,BS별도,MATCH(H$1,BS별도H,0),0)/100,"")</f>
        <v/>
      </c>
      <c r="I6" s="18">
        <f>IFERROR(VLOOKUP($D6,BS별도,MATCH(I$1,BS별도H,0),0)/100,"")</f>
        <v/>
      </c>
      <c r="J6" s="18">
        <f>IFERROR(VLOOKUP($D6,BS별도,MATCH(J$1,BS별도H,0),0)/100,"")</f>
        <v/>
      </c>
      <c r="K6" s="35">
        <f>SUM(G6:J6)</f>
        <v/>
      </c>
      <c r="L6" s="18">
        <f>IFERROR(VLOOKUP($D6,BS별도,MATCH(L$1,BS별도H,0),0)/100,"")</f>
        <v/>
      </c>
      <c r="M6" s="18">
        <f>IFERROR(VLOOKUP($D6,BS별도,MATCH(M$1,BS별도H,0),0)/100,"")</f>
        <v/>
      </c>
      <c r="N6" s="18">
        <f>IFERROR(VLOOKUP($D6,BS별도,MATCH(N$1,BS별도H,0),0)/100,"")</f>
        <v/>
      </c>
      <c r="O6" s="18">
        <f>IFERROR(VLOOKUP($D6,BS별도,MATCH(O$1,BS별도H,0),0)/100,"")</f>
        <v/>
      </c>
      <c r="P6" s="35">
        <f>SUM(L6:O6)</f>
        <v/>
      </c>
      <c r="Q6" s="18">
        <f>IFERROR(VLOOKUP($D6,BS별도,MATCH(Q$1,BS별도H,0),0)/100,"")</f>
        <v/>
      </c>
      <c r="R6" s="18">
        <f>IFERROR(VLOOKUP($D6,BS별도,MATCH(R$1,BS별도H,0),0)/100,"")</f>
        <v/>
      </c>
      <c r="S6" s="18">
        <f>IFERROR(VLOOKUP($D6,BS별도,MATCH(S$1,BS별도H,0),0)/100,"")</f>
        <v/>
      </c>
      <c r="T6" s="18">
        <f>IFERROR(VLOOKUP($D6,BS별도,MATCH(T$1,BS별도H,0),0)/100,"")</f>
        <v/>
      </c>
      <c r="U6" s="35">
        <f>SUM(Q6:T6)</f>
        <v/>
      </c>
      <c r="V6" s="18">
        <f>IFERROR(VLOOKUP($D6,BS별도,MATCH(V$1,BS별도H,0),0)/100,"")</f>
        <v/>
      </c>
      <c r="W6" s="18">
        <f>IFERROR(VLOOKUP($D6,BS별도,MATCH(W$1,BS별도H,0),0)/100,"")</f>
        <v/>
      </c>
      <c r="X6" s="18">
        <f>IFERROR(VLOOKUP($D6,BS별도,MATCH(X$1,BS별도H,0),0)/100,"")</f>
        <v/>
      </c>
      <c r="Y6" s="18">
        <f>IFERROR(VLOOKUP($D6,BS별도,MATCH(Y$1,BS별도H,0),0)/100,"")</f>
        <v/>
      </c>
      <c r="Z6" s="35">
        <f>SUM(V6:Y6)</f>
        <v/>
      </c>
      <c r="AA6" s="18">
        <f>IFERROR(VLOOKUP($D6,BS별도,MATCH(AA$1,BS별도H,0),0)/100,"")</f>
        <v/>
      </c>
      <c r="AB6" s="36">
        <f>IFERROR(VLOOKUP($D6,BS별도,MATCH(AB$1,BS별도H,0),0)/100,"")</f>
        <v/>
      </c>
      <c r="AC6" s="37">
        <f>IFERROR(AC5-AC7,"")</f>
        <v/>
      </c>
      <c r="AD6" s="37">
        <f>IFERROR(AD5-AD7,"")</f>
        <v/>
      </c>
      <c r="AE6" s="38">
        <f>SUM(AA6:AD6)</f>
        <v/>
      </c>
      <c r="AF6" s="37">
        <f>IFERROR(AF5-AF7,"")</f>
        <v/>
      </c>
      <c r="AG6" s="37">
        <f>IFERROR(AG5-AG7,"")</f>
        <v/>
      </c>
      <c r="AH6" s="37">
        <f>IFERROR(AH5-AH7,"")</f>
        <v/>
      </c>
      <c r="AI6" s="37">
        <f>IFERROR(AI5-AI7,"")</f>
        <v/>
      </c>
      <c r="AJ6" s="38">
        <f>SUM(AF6:AI6)</f>
        <v/>
      </c>
      <c r="AK6" s="37">
        <f>IFERROR(AK5-AK7,"")</f>
        <v/>
      </c>
      <c r="AL6" s="37">
        <f>IFERROR(AL5-AL7,"")</f>
        <v/>
      </c>
      <c r="AM6" s="37">
        <f>IFERROR(AM5-AM7,"")</f>
        <v/>
      </c>
      <c r="AN6" s="37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IFERROR(VLOOKUP($D7,BS별도,MATCH(E$1,BS별도H,0),0)/100,"")</f>
        <v/>
      </c>
      <c r="F7" s="35" t="n"/>
      <c r="G7" s="18">
        <f>IFERROR(VLOOKUP($D7,BS별도,MATCH(G$1,BS별도H,0),0)/100,"")</f>
        <v/>
      </c>
      <c r="H7" s="18">
        <f>IFERROR(VLOOKUP($D7,BS별도,MATCH(H$1,BS별도H,0),0)/100,"")</f>
        <v/>
      </c>
      <c r="I7" s="18">
        <f>IFERROR(VLOOKUP($D7,BS별도,MATCH(I$1,BS별도H,0),0)/100,"")</f>
        <v/>
      </c>
      <c r="J7" s="18">
        <f>IFERROR(VLOOKUP($D7,BS별도,MATCH(J$1,BS별도H,0),0)/100,"")</f>
        <v/>
      </c>
      <c r="K7" s="35">
        <f>SUM(G7:J7)</f>
        <v/>
      </c>
      <c r="L7" s="18">
        <f>IFERROR(VLOOKUP($D7,BS별도,MATCH(L$1,BS별도H,0),0)/100,"")</f>
        <v/>
      </c>
      <c r="M7" s="18">
        <f>IFERROR(VLOOKUP($D7,BS별도,MATCH(M$1,BS별도H,0),0)/100,"")</f>
        <v/>
      </c>
      <c r="N7" s="18">
        <f>IFERROR(VLOOKUP($D7,BS별도,MATCH(N$1,BS별도H,0),0)/100,"")</f>
        <v/>
      </c>
      <c r="O7" s="18">
        <f>IFERROR(VLOOKUP($D7,BS별도,MATCH(O$1,BS별도H,0),0)/100,"")</f>
        <v/>
      </c>
      <c r="P7" s="35">
        <f>SUM(L7:O7)</f>
        <v/>
      </c>
      <c r="Q7" s="18">
        <f>IFERROR(VLOOKUP($D7,BS별도,MATCH(Q$1,BS별도H,0),0)/100,"")</f>
        <v/>
      </c>
      <c r="R7" s="18">
        <f>IFERROR(VLOOKUP($D7,BS별도,MATCH(R$1,BS별도H,0),0)/100,"")</f>
        <v/>
      </c>
      <c r="S7" s="18">
        <f>IFERROR(VLOOKUP($D7,BS별도,MATCH(S$1,BS별도H,0),0)/100,"")</f>
        <v/>
      </c>
      <c r="T7" s="18">
        <f>IFERROR(VLOOKUP($D7,BS별도,MATCH(T$1,BS별도H,0),0)/100,"")</f>
        <v/>
      </c>
      <c r="U7" s="35">
        <f>SUM(Q7:T7)</f>
        <v/>
      </c>
      <c r="V7" s="18">
        <f>IFERROR(VLOOKUP($D7,BS별도,MATCH(V$1,BS별도H,0),0)/100,"")</f>
        <v/>
      </c>
      <c r="W7" s="18">
        <f>IFERROR(VLOOKUP($D7,BS별도,MATCH(W$1,BS별도H,0),0)/100,"")</f>
        <v/>
      </c>
      <c r="X7" s="18">
        <f>IFERROR(VLOOKUP($D7,BS별도,MATCH(X$1,BS별도H,0),0)/100,"")</f>
        <v/>
      </c>
      <c r="Y7" s="18">
        <f>IFERROR(VLOOKUP($D7,BS별도,MATCH(Y$1,BS별도H,0),0)/100,"")</f>
        <v/>
      </c>
      <c r="Z7" s="35">
        <f>SUM(V7:Y7)</f>
        <v/>
      </c>
      <c r="AA7" s="18">
        <f>IFERROR(VLOOKUP($D7,BS별도,MATCH(AA$1,BS별도H,0),0)/100,"")</f>
        <v/>
      </c>
      <c r="AB7" s="36">
        <f>IFERROR(VLOOKUP($D7,BS별도,MATCH(AB$1,BS별도H,0),0)/100,"")</f>
        <v/>
      </c>
      <c r="AC7" s="37">
        <f>IFERROR(AC9+AC8,"")</f>
        <v/>
      </c>
      <c r="AD7" s="37">
        <f>IFERROR(AD9+AD8,"")</f>
        <v/>
      </c>
      <c r="AE7" s="38">
        <f>SUM(AA7:AD7)</f>
        <v/>
      </c>
      <c r="AF7" s="37">
        <f>IFERROR(AF9+AF8,"")</f>
        <v/>
      </c>
      <c r="AG7" s="37">
        <f>IFERROR(AG9+AG8,"")</f>
        <v/>
      </c>
      <c r="AH7" s="37">
        <f>IFERROR(AH9+AH8,"")</f>
        <v/>
      </c>
      <c r="AI7" s="37">
        <f>IFERROR(AI9+AI8,"")</f>
        <v/>
      </c>
      <c r="AJ7" s="38">
        <f>SUM(AF7:AI7)</f>
        <v/>
      </c>
      <c r="AK7" s="37">
        <f>IFERROR(AK9+AK8,"")</f>
        <v/>
      </c>
      <c r="AL7" s="37">
        <f>IFERROR(AL9+AL8,"")</f>
        <v/>
      </c>
      <c r="AM7" s="37">
        <f>IFERROR(AM9+AM8,"")</f>
        <v/>
      </c>
      <c r="AN7" s="37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IFERROR(VLOOKUP($D8,BS별도,MATCH(E$1,BS별도H,0),0)/100,"")</f>
        <v/>
      </c>
      <c r="F8" s="35" t="n"/>
      <c r="G8" s="18">
        <f>IFERROR(VLOOKUP($D8,BS별도,MATCH(G$1,BS별도H,0),0)/100,"")</f>
        <v/>
      </c>
      <c r="H8" s="18">
        <f>IFERROR(VLOOKUP($D8,BS별도,MATCH(H$1,BS별도H,0),0)/100,"")</f>
        <v/>
      </c>
      <c r="I8" s="18">
        <f>IFERROR(VLOOKUP($D8,BS별도,MATCH(I$1,BS별도H,0),0)/100,"")</f>
        <v/>
      </c>
      <c r="J8" s="18">
        <f>IFERROR(VLOOKUP($D8,BS별도,MATCH(J$1,BS별도H,0),0)/100,"")</f>
        <v/>
      </c>
      <c r="K8" s="35">
        <f>SUM(G8:J8)</f>
        <v/>
      </c>
      <c r="L8" s="18">
        <f>IFERROR(VLOOKUP($D8,BS별도,MATCH(L$1,BS별도H,0),0)/100,"")</f>
        <v/>
      </c>
      <c r="M8" s="18">
        <f>IFERROR(VLOOKUP($D8,BS별도,MATCH(M$1,BS별도H,0),0)/100,"")</f>
        <v/>
      </c>
      <c r="N8" s="18">
        <f>IFERROR(VLOOKUP($D8,BS별도,MATCH(N$1,BS별도H,0),0)/100,"")</f>
        <v/>
      </c>
      <c r="O8" s="18">
        <f>IFERROR(VLOOKUP($D8,BS별도,MATCH(O$1,BS별도H,0),0)/100,"")</f>
        <v/>
      </c>
      <c r="P8" s="35">
        <f>SUM(L8:O8)</f>
        <v/>
      </c>
      <c r="Q8" s="18">
        <f>IFERROR(VLOOKUP($D8,BS별도,MATCH(Q$1,BS별도H,0),0)/100,"")</f>
        <v/>
      </c>
      <c r="R8" s="18">
        <f>IFERROR(VLOOKUP($D8,BS별도,MATCH(R$1,BS별도H,0),0)/100,"")</f>
        <v/>
      </c>
      <c r="S8" s="18">
        <f>IFERROR(VLOOKUP($D8,BS별도,MATCH(S$1,BS별도H,0),0)/100,"")</f>
        <v/>
      </c>
      <c r="T8" s="18">
        <f>IFERROR(VLOOKUP($D8,BS별도,MATCH(T$1,BS별도H,0),0)/100,"")</f>
        <v/>
      </c>
      <c r="U8" s="35">
        <f>SUM(Q8:T8)</f>
        <v/>
      </c>
      <c r="V8" s="18">
        <f>IFERROR(VLOOKUP($D8,BS별도,MATCH(V$1,BS별도H,0),0)/100,"")</f>
        <v/>
      </c>
      <c r="W8" s="18">
        <f>IFERROR(VLOOKUP($D8,BS별도,MATCH(W$1,BS별도H,0),0)/100,"")</f>
        <v/>
      </c>
      <c r="X8" s="18">
        <f>IFERROR(VLOOKUP($D8,BS별도,MATCH(X$1,BS별도H,0),0)/100,"")</f>
        <v/>
      </c>
      <c r="Y8" s="18">
        <f>IFERROR(VLOOKUP($D8,BS별도,MATCH(Y$1,BS별도H,0),0)/100,"")</f>
        <v/>
      </c>
      <c r="Z8" s="35">
        <f>SUM(V8:Y8)</f>
        <v/>
      </c>
      <c r="AA8" s="18">
        <f>IFERROR(VLOOKUP($D8,BS별도,MATCH(AA$1,BS별도H,0),0)/100,"")</f>
        <v/>
      </c>
      <c r="AB8" s="36">
        <f>IFERROR(VLOOKUP($D8,BS별도,MATCH(AB$1,BS별도H,0),0)/100,"")</f>
        <v/>
      </c>
      <c r="AC8" s="37">
        <f>IFERROR(AC5*변수!AC22,"")</f>
        <v/>
      </c>
      <c r="AD8" s="37">
        <f>IFERROR(AD5*변수!AD22,"")</f>
        <v/>
      </c>
      <c r="AE8" s="38">
        <f>SUM(AA8:AD8)</f>
        <v/>
      </c>
      <c r="AF8" s="37">
        <f>IFERROR(AF5*변수!AF22,"")</f>
        <v/>
      </c>
      <c r="AG8" s="37">
        <f>IFERROR(AG5*변수!AG22,"")</f>
        <v/>
      </c>
      <c r="AH8" s="37">
        <f>IFERROR(AH5*변수!AH22,"")</f>
        <v/>
      </c>
      <c r="AI8" s="37">
        <f>IFERROR(AI5*변수!AI22,"")</f>
        <v/>
      </c>
      <c r="AJ8" s="38">
        <f>SUM(AF8:AI8)</f>
        <v/>
      </c>
      <c r="AK8" s="37">
        <f>IFERROR(AK5*변수!AK22,"")</f>
        <v/>
      </c>
      <c r="AL8" s="37">
        <f>IFERROR(AL5*변수!AL22,"")</f>
        <v/>
      </c>
      <c r="AM8" s="37">
        <f>IFERROR(AM5*변수!AM22,"")</f>
        <v/>
      </c>
      <c r="AN8" s="37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IFERROR(VLOOKUP($D9,BS별도,MATCH(E$1,BS별도H,0),0)/100,"")</f>
        <v/>
      </c>
      <c r="F9" s="35" t="n"/>
      <c r="G9" s="18">
        <f>IFERROR(VLOOKUP($D9,BS별도,MATCH(G$1,BS별도H,0),0)/100,"")</f>
        <v/>
      </c>
      <c r="H9" s="18">
        <f>IFERROR(VLOOKUP($D9,BS별도,MATCH(H$1,BS별도H,0),0)/100,"")</f>
        <v/>
      </c>
      <c r="I9" s="18">
        <f>IFERROR(VLOOKUP($D9,BS별도,MATCH(I$1,BS별도H,0),0)/100,"")</f>
        <v/>
      </c>
      <c r="J9" s="18">
        <f>IFERROR(VLOOKUP($D9,BS별도,MATCH(J$1,BS별도H,0),0)/100,"")</f>
        <v/>
      </c>
      <c r="K9" s="35">
        <f>SUM(G9:J9)</f>
        <v/>
      </c>
      <c r="L9" s="18">
        <f>IFERROR(VLOOKUP($D9,BS별도,MATCH(L$1,BS별도H,0),0)/100,"")</f>
        <v/>
      </c>
      <c r="M9" s="18">
        <f>IFERROR(VLOOKUP($D9,BS별도,MATCH(M$1,BS별도H,0),0)/100,"")</f>
        <v/>
      </c>
      <c r="N9" s="18">
        <f>IFERROR(VLOOKUP($D9,BS별도,MATCH(N$1,BS별도H,0),0)/100,"")</f>
        <v/>
      </c>
      <c r="O9" s="18">
        <f>IFERROR(VLOOKUP($D9,BS별도,MATCH(O$1,BS별도H,0),0)/100,"")</f>
        <v/>
      </c>
      <c r="P9" s="35">
        <f>SUM(L9:O9)</f>
        <v/>
      </c>
      <c r="Q9" s="18">
        <f>IFERROR(VLOOKUP($D9,BS별도,MATCH(Q$1,BS별도H,0),0)/100,"")</f>
        <v/>
      </c>
      <c r="R9" s="18">
        <f>IFERROR(VLOOKUP($D9,BS별도,MATCH(R$1,BS별도H,0),0)/100,"")</f>
        <v/>
      </c>
      <c r="S9" s="18">
        <f>IFERROR(VLOOKUP($D9,BS별도,MATCH(S$1,BS별도H,0),0)/100,"")</f>
        <v/>
      </c>
      <c r="T9" s="18">
        <f>IFERROR(VLOOKUP($D9,BS별도,MATCH(T$1,BS별도H,0),0)/100,"")</f>
        <v/>
      </c>
      <c r="U9" s="35">
        <f>SUM(Q9:T9)</f>
        <v/>
      </c>
      <c r="V9" s="18">
        <f>IFERROR(VLOOKUP($D9,BS별도,MATCH(V$1,BS별도H,0),0)/100,"")</f>
        <v/>
      </c>
      <c r="W9" s="18">
        <f>IFERROR(VLOOKUP($D9,BS별도,MATCH(W$1,BS별도H,0),0)/100,"")</f>
        <v/>
      </c>
      <c r="X9" s="18">
        <f>IFERROR(VLOOKUP($D9,BS별도,MATCH(X$1,BS별도H,0),0)/100,"")</f>
        <v/>
      </c>
      <c r="Y9" s="18">
        <f>IFERROR(VLOOKUP($D9,BS별도,MATCH(Y$1,BS별도H,0),0)/100,"")</f>
        <v/>
      </c>
      <c r="Z9" s="35">
        <f>SUM(V9:Y9)</f>
        <v/>
      </c>
      <c r="AA9" s="18">
        <f>IFERROR(VLOOKUP($D9,BS별도,MATCH(AA$1,BS별도H,0),0)/100,"")</f>
        <v/>
      </c>
      <c r="AB9" s="36">
        <f>IFERROR(VLOOKUP($D9,BS별도,MATCH(AB$1,BS별도H,0),0)/100,"")</f>
        <v/>
      </c>
      <c r="AC9" s="37">
        <f>IFERROR(AC5*변수!AC23,"")</f>
        <v/>
      </c>
      <c r="AD9" s="37">
        <f>IFERROR(AD5*변수!AD23,"")</f>
        <v/>
      </c>
      <c r="AE9" s="38">
        <f>SUM(AA9:AD9)</f>
        <v/>
      </c>
      <c r="AF9" s="37">
        <f>IFERROR(AF5*변수!AF23,"")</f>
        <v/>
      </c>
      <c r="AG9" s="37">
        <f>IFERROR(AG5*변수!AG23,"")</f>
        <v/>
      </c>
      <c r="AH9" s="37">
        <f>IFERROR(AH5*변수!AH23,"")</f>
        <v/>
      </c>
      <c r="AI9" s="37">
        <f>IFERROR(AI5*변수!AI23,"")</f>
        <v/>
      </c>
      <c r="AJ9" s="38">
        <f>SUM(AF9:AI9)</f>
        <v/>
      </c>
      <c r="AK9" s="37">
        <f>IFERROR(AK5*변수!AK23,"")</f>
        <v/>
      </c>
      <c r="AL9" s="37">
        <f>IFERROR(AL5*변수!AL23,"")</f>
        <v/>
      </c>
      <c r="AM9" s="37">
        <f>IFERROR(AM5*변수!AM23,"")</f>
        <v/>
      </c>
      <c r="AN9" s="37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19">
        <f>IFERROR(E9/E5,"")</f>
        <v/>
      </c>
      <c r="F10" s="20" t="n"/>
      <c r="G10" s="19">
        <f>IFERROR(G9/G5,"")</f>
        <v/>
      </c>
      <c r="H10" s="19">
        <f>IFERROR(H9/H5,"")</f>
        <v/>
      </c>
      <c r="I10" s="19">
        <f>IFERROR(I9/I5,"")</f>
        <v/>
      </c>
      <c r="J10" s="19">
        <f>IFERROR(J9/J5,"")</f>
        <v/>
      </c>
      <c r="K10" s="20">
        <f>IFERROR(K9/K5,"")</f>
        <v/>
      </c>
      <c r="L10" s="19">
        <f>IFERROR(L9/L5,"")</f>
        <v/>
      </c>
      <c r="M10" s="19">
        <f>IFERROR(M9/M5,"")</f>
        <v/>
      </c>
      <c r="N10" s="19">
        <f>IFERROR(N9/N5,"")</f>
        <v/>
      </c>
      <c r="O10" s="19">
        <f>IFERROR(O9/O5,"")</f>
        <v/>
      </c>
      <c r="P10" s="20">
        <f>IFERROR(P9/P5,"")</f>
        <v/>
      </c>
      <c r="Q10" s="19">
        <f>IFERROR(Q9/Q5,"")</f>
        <v/>
      </c>
      <c r="R10" s="19">
        <f>IFERROR(R9/R5,"")</f>
        <v/>
      </c>
      <c r="S10" s="19">
        <f>IFERROR(S9/S5,"")</f>
        <v/>
      </c>
      <c r="T10" s="19">
        <f>IFERROR(T9/T5,"")</f>
        <v/>
      </c>
      <c r="U10" s="20">
        <f>IFERROR(U9/U5,"")</f>
        <v/>
      </c>
      <c r="V10" s="19">
        <f>IFERROR(V9/V5,"")</f>
        <v/>
      </c>
      <c r="W10" s="19">
        <f>IFERROR(W9/W5,"")</f>
        <v/>
      </c>
      <c r="X10" s="19">
        <f>IFERROR(X9/X5,"")</f>
        <v/>
      </c>
      <c r="Y10" s="19">
        <f>IFERROR(Y9/Y5,"")</f>
        <v/>
      </c>
      <c r="Z10" s="20">
        <f>IFERROR(Z9/Z5,"")</f>
        <v/>
      </c>
      <c r="AA10" s="19">
        <f>IFERROR(AA9/AA5,"")</f>
        <v/>
      </c>
      <c r="AB10" s="21">
        <f>IFERROR(AB9/AB5,"")</f>
        <v/>
      </c>
      <c r="AC10" s="30">
        <f>IFERROR(AC9/AC5,"")</f>
        <v/>
      </c>
      <c r="AD10" s="30">
        <f>IFERROR(AD9/AD5,"")</f>
        <v/>
      </c>
      <c r="AE10" s="23">
        <f>IFERROR(AE9/AE5,"")</f>
        <v/>
      </c>
      <c r="AF10" s="30">
        <f>IFERROR(AF9/AF5,"")</f>
        <v/>
      </c>
      <c r="AG10" s="30">
        <f>IFERROR(AG9/AG5,"")</f>
        <v/>
      </c>
      <c r="AH10" s="30">
        <f>IFERROR(AH9/AH5,"")</f>
        <v/>
      </c>
      <c r="AI10" s="30">
        <f>IFERROR(AI9/AI5,"")</f>
        <v/>
      </c>
      <c r="AJ10" s="23">
        <f>IFERROR(AJ9/AJ5,"")</f>
        <v/>
      </c>
      <c r="AK10" s="30">
        <f>IFERROR(AK9/AK5,"")</f>
        <v/>
      </c>
      <c r="AL10" s="30">
        <f>IFERROR(AL9/AL5,"")</f>
        <v/>
      </c>
      <c r="AM10" s="30">
        <f>IFERROR(AM9/AM5,"")</f>
        <v/>
      </c>
      <c r="AN10" s="30">
        <f>IFERROR(AN9/AN5,"")</f>
        <v/>
      </c>
      <c r="AO10" s="23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IFERROR(VLOOKUP($D11,BS별도,MATCH(E$1,BS별도H,0),0)/100,"")</f>
        <v/>
      </c>
      <c r="F11" s="35" t="n"/>
      <c r="G11" s="18">
        <f>IFERROR(VLOOKUP($D11,BS별도,MATCH(G$1,BS별도H,0),0)/100,"")</f>
        <v/>
      </c>
      <c r="H11" s="18">
        <f>IFERROR(VLOOKUP($D11,BS별도,MATCH(H$1,BS별도H,0),0)/100,"")</f>
        <v/>
      </c>
      <c r="I11" s="18">
        <f>IFERROR(VLOOKUP($D11,BS별도,MATCH(I$1,BS별도H,0),0)/100,"")</f>
        <v/>
      </c>
      <c r="J11" s="18">
        <f>IFERROR(VLOOKUP($D11,BS별도,MATCH(J$1,BS별도H,0),0)/100,"")</f>
        <v/>
      </c>
      <c r="K11" s="35">
        <f>SUM(G11:J11)</f>
        <v/>
      </c>
      <c r="L11" s="18">
        <f>IFERROR(VLOOKUP($D11,BS별도,MATCH(L$1,BS별도H,0),0)/100,"")</f>
        <v/>
      </c>
      <c r="M11" s="18">
        <f>IFERROR(VLOOKUP($D11,BS별도,MATCH(M$1,BS별도H,0),0)/100,"")</f>
        <v/>
      </c>
      <c r="N11" s="18">
        <f>IFERROR(VLOOKUP($D11,BS별도,MATCH(N$1,BS별도H,0),0)/100,"")</f>
        <v/>
      </c>
      <c r="O11" s="18">
        <f>IFERROR(VLOOKUP($D11,BS별도,MATCH(O$1,BS별도H,0),0)/100,"")</f>
        <v/>
      </c>
      <c r="P11" s="35">
        <f>SUM(L11:O11)</f>
        <v/>
      </c>
      <c r="Q11" s="18">
        <f>IFERROR(VLOOKUP($D11,BS별도,MATCH(Q$1,BS별도H,0),0)/100,"")</f>
        <v/>
      </c>
      <c r="R11" s="18">
        <f>IFERROR(VLOOKUP($D11,BS별도,MATCH(R$1,BS별도H,0),0)/100,"")</f>
        <v/>
      </c>
      <c r="S11" s="18">
        <f>IFERROR(VLOOKUP($D11,BS별도,MATCH(S$1,BS별도H,0),0)/100,"")</f>
        <v/>
      </c>
      <c r="T11" s="18">
        <f>IFERROR(VLOOKUP($D11,BS별도,MATCH(T$1,BS별도H,0),0)/100,"")</f>
        <v/>
      </c>
      <c r="U11" s="35">
        <f>SUM(Q11:T11)</f>
        <v/>
      </c>
      <c r="V11" s="18">
        <f>IFERROR(VLOOKUP($D11,BS별도,MATCH(V$1,BS별도H,0),0)/100,"")</f>
        <v/>
      </c>
      <c r="W11" s="18">
        <f>IFERROR(VLOOKUP($D11,BS별도,MATCH(W$1,BS별도H,0),0)/100,"")</f>
        <v/>
      </c>
      <c r="X11" s="18">
        <f>IFERROR(VLOOKUP($D11,BS별도,MATCH(X$1,BS별도H,0),0)/100,"")</f>
        <v/>
      </c>
      <c r="Y11" s="18">
        <f>IFERROR(VLOOKUP($D11,BS별도,MATCH(Y$1,BS별도H,0),0)/100,"")</f>
        <v/>
      </c>
      <c r="Z11" s="35">
        <f>SUM(V11:Y11)</f>
        <v/>
      </c>
      <c r="AA11" s="18">
        <f>IFERROR(VLOOKUP($D11,BS별도,MATCH(AA$1,BS별도H,0),0)/100,"")</f>
        <v/>
      </c>
      <c r="AB11" s="36">
        <f>IFERROR(VLOOKUP($D11,BS별도,MATCH(AB$1,BS별도H,0),0)/100,"")</f>
        <v/>
      </c>
      <c r="AC11" s="37">
        <f>IFERROR(AC12+AC13+AC14+AC15,"")</f>
        <v/>
      </c>
      <c r="AD11" s="37">
        <f>IFERROR(AD12+AD13+AD14+AD15,"")</f>
        <v/>
      </c>
      <c r="AE11" s="38">
        <f>SUM(AA11:AD11)</f>
        <v/>
      </c>
      <c r="AF11" s="37">
        <f>IFERROR(AF12+AF13+AF14+AF15,"")</f>
        <v/>
      </c>
      <c r="AG11" s="37">
        <f>IFERROR(AG12+AG13+AG14+AG15,"")</f>
        <v/>
      </c>
      <c r="AH11" s="37">
        <f>IFERROR(AH12+AH13+AH14+AH15,"")</f>
        <v/>
      </c>
      <c r="AI11" s="37">
        <f>IFERROR(AI12+AI13+AI14+AI15,"")</f>
        <v/>
      </c>
      <c r="AJ11" s="38">
        <f>SUM(AF11:AI11)</f>
        <v/>
      </c>
      <c r="AK11" s="37">
        <f>IFERROR(AK12+AK13+AK14+AK15,"")</f>
        <v/>
      </c>
      <c r="AL11" s="37">
        <f>IFERROR(AL12+AL13+AL14+AL15,"")</f>
        <v/>
      </c>
      <c r="AM11" s="37">
        <f>IFERROR(AM12+AM13+AM14+AM15,"")</f>
        <v/>
      </c>
      <c r="AN11" s="37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5" t="n"/>
      <c r="G12" s="18" t="n"/>
      <c r="H12" s="18" t="n"/>
      <c r="I12" s="18" t="n"/>
      <c r="J12" s="18" t="n"/>
      <c r="K12" s="35">
        <f>SUM(G12:J12)</f>
        <v/>
      </c>
      <c r="L12" s="18" t="n"/>
      <c r="M12" s="18" t="n"/>
      <c r="N12" s="18" t="n"/>
      <c r="O12" s="18" t="n"/>
      <c r="P12" s="35">
        <f>SUM(L12:O12)</f>
        <v/>
      </c>
      <c r="Q12" s="18" t="n"/>
      <c r="R12" s="18" t="n"/>
      <c r="S12" s="18" t="n"/>
      <c r="T12" s="18" t="n"/>
      <c r="U12" s="35">
        <f>SUM(Q12:T12)</f>
        <v/>
      </c>
      <c r="V12" s="18" t="n"/>
      <c r="W12" s="18" t="n"/>
      <c r="X12" s="18">
        <f>IFERROR(VLOOKUP($D12,BS별도,MATCH(X$1,BS별도H,0),0)/100,"")</f>
        <v/>
      </c>
      <c r="Y12" s="18">
        <f>IFERROR(VLOOKUP($D12,BS별도,MATCH(Y$1,BS별도H,0),0)/100,"")</f>
        <v/>
      </c>
      <c r="Z12" s="35">
        <f>SUM(V12:Y12)</f>
        <v/>
      </c>
      <c r="AA12" s="18">
        <f>IFERROR(VLOOKUP($D12,BS별도,MATCH(AA$1,BS별도H,0),0)/100,"")</f>
        <v/>
      </c>
      <c r="AB12" s="36">
        <f>IFERROR(VLOOKUP($D12,BS별도,MATCH(AB$1,BS별도H,0),0)/100,"")</f>
        <v/>
      </c>
      <c r="AC12" s="37">
        <f>IFERROR((AB28*변수!$D$54-AB26*변수!$D$55)/4,"")</f>
        <v/>
      </c>
      <c r="AD12" s="37">
        <f>IFERROR((AC28*변수!$D$54-AC26*변수!$D$55)/4,"")</f>
        <v/>
      </c>
      <c r="AE12" s="38">
        <f>SUM(AA12:AD12)</f>
        <v/>
      </c>
      <c r="AF12" s="37">
        <f>IFERROR((AD28*변수!$D$54-AD26*변수!$D$55)/4,"")</f>
        <v/>
      </c>
      <c r="AG12" s="37">
        <f>IFERROR((AF28*변수!$D$54-AF26*변수!$D$55)/4,"")</f>
        <v/>
      </c>
      <c r="AH12" s="37">
        <f>IFERROR((AG28*변수!$D$54-AG26*변수!$D$55)/4,"")</f>
        <v/>
      </c>
      <c r="AI12" s="37">
        <f>IFERROR((AH28*변수!$D$54-AH26*변수!$D$55)/4,"")</f>
        <v/>
      </c>
      <c r="AJ12" s="38">
        <f>SUM(AF12:AI12)</f>
        <v/>
      </c>
      <c r="AK12" s="37">
        <f>IFERROR((AI28*변수!$D$54-AI26*변수!$D$55)/4,"")</f>
        <v/>
      </c>
      <c r="AL12" s="37">
        <f>IFERROR((AK28*변수!$D$54-AK26*변수!$D$55)/4,"")</f>
        <v/>
      </c>
      <c r="AM12" s="37">
        <f>IFERROR((AL28*변수!$D$54-AL26*변수!$D$55)/4,"")</f>
        <v/>
      </c>
      <c r="AN12" s="37">
        <f>IFERROR((AM28*변수!$D$54-AM26*변수!$D$55)/4,"")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5" t="n"/>
      <c r="G13" s="18" t="n"/>
      <c r="H13" s="18" t="n"/>
      <c r="I13" s="18" t="n"/>
      <c r="J13" s="18" t="n"/>
      <c r="K13" s="35">
        <f>SUM(G13:J13)</f>
        <v/>
      </c>
      <c r="L13" s="18" t="n"/>
      <c r="M13" s="18" t="n"/>
      <c r="N13" s="18" t="n"/>
      <c r="O13" s="18" t="n"/>
      <c r="P13" s="35">
        <f>SUM(L13:O13)</f>
        <v/>
      </c>
      <c r="Q13" s="18" t="n"/>
      <c r="R13" s="18" t="n"/>
      <c r="S13" s="18" t="n"/>
      <c r="T13" s="18" t="n"/>
      <c r="U13" s="35">
        <f>SUM(Q13:T13)</f>
        <v/>
      </c>
      <c r="V13" s="18" t="n"/>
      <c r="W13" s="18" t="n"/>
      <c r="X13" s="18">
        <f>IFERROR((VLOOKUP("외환차익",BS별도,MATCH(X$1,BS별도H,0),0)-VLOOKUP("외환차손",BS별도,MATCH(X$1,BS별도H,0),0)+VLOOKUP("외화환산이익",BS별도,MATCH(X$1,BS별도H,0),0)-VLOOKUP("외화환산손실",BS별도,MATCH(X$1,BS별도H,0),0))/100,"")</f>
        <v/>
      </c>
      <c r="Y13" s="18">
        <f>IFERROR((VLOOKUP("외환차익",BS별도,MATCH(Y$1,BS별도H,0),0)-VLOOKUP("외환차손",BS별도,MATCH(Y$1,BS별도H,0),0)+VLOOKUP("외화환산이익",BS별도,MATCH(Y$1,BS별도H,0),0)-VLOOKUP("외화환산손실",BS별도,MATCH(Y$1,BS별도H,0),0))/100,"")</f>
        <v/>
      </c>
      <c r="Z13" s="35">
        <f>SUM(V13:Y13)</f>
        <v/>
      </c>
      <c r="AA13" s="18" t="n"/>
      <c r="AB13" s="36" t="n"/>
      <c r="AC13" s="37">
        <f>변수!AC24</f>
        <v/>
      </c>
      <c r="AD13" s="37">
        <f>변수!AD24</f>
        <v/>
      </c>
      <c r="AE13" s="38">
        <f>SUM(AA13:AD13)</f>
        <v/>
      </c>
      <c r="AF13" s="37">
        <f>변수!AF24</f>
        <v/>
      </c>
      <c r="AG13" s="37">
        <f>변수!AG24</f>
        <v/>
      </c>
      <c r="AH13" s="37">
        <f>변수!AH24</f>
        <v/>
      </c>
      <c r="AI13" s="37">
        <f>변수!AI24</f>
        <v/>
      </c>
      <c r="AJ13" s="38">
        <f>SUM(AF13:AI13)</f>
        <v/>
      </c>
      <c r="AK13" s="37">
        <f>변수!AK24</f>
        <v/>
      </c>
      <c r="AL13" s="37">
        <f>변수!AL24</f>
        <v/>
      </c>
      <c r="AM13" s="37">
        <f>변수!AM24</f>
        <v/>
      </c>
      <c r="AN13" s="37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5" t="n"/>
      <c r="G14" s="18" t="n"/>
      <c r="H14" s="18" t="n"/>
      <c r="I14" s="18" t="n"/>
      <c r="J14" s="18" t="n"/>
      <c r="K14" s="35">
        <f>SUM(G14:J14)</f>
        <v/>
      </c>
      <c r="L14" s="18" t="n"/>
      <c r="M14" s="18" t="n"/>
      <c r="N14" s="18" t="n"/>
      <c r="O14" s="18" t="n"/>
      <c r="P14" s="35">
        <f>SUM(L14:O14)</f>
        <v/>
      </c>
      <c r="Q14" s="18" t="n"/>
      <c r="R14" s="18" t="n"/>
      <c r="S14" s="18" t="n"/>
      <c r="T14" s="18" t="n"/>
      <c r="U14" s="35">
        <f>SUM(Q14:T14)</f>
        <v/>
      </c>
      <c r="V14" s="18" t="n"/>
      <c r="W14" s="18" t="n"/>
      <c r="X14" s="18">
        <f>IFERROR((VLOOKUP("파생상품이익",BS별도,MATCH(X$1,BS별도H,0),0)-VLOOKUP("파생상품손실",BS별도,MATCH(X$1,BS별도H,0),0))/100,"")</f>
        <v/>
      </c>
      <c r="Y14" s="18">
        <f>IFERROR((VLOOKUP("파생상품이익",BS별도,MATCH(Y$1,BS별도H,0),0)-VLOOKUP("파생상품손실",BS별도,MATCH(Y$1,BS별도H,0),0))/100,"")</f>
        <v/>
      </c>
      <c r="Z14" s="35">
        <f>SUM(V14:Y14)</f>
        <v/>
      </c>
      <c r="AA14" s="18" t="n"/>
      <c r="AB14" s="36" t="n"/>
      <c r="AC14" s="37">
        <f>변수!AC25</f>
        <v/>
      </c>
      <c r="AD14" s="37">
        <f>변수!AD25</f>
        <v/>
      </c>
      <c r="AE14" s="38">
        <f>SUM(AA14:AD14)</f>
        <v/>
      </c>
      <c r="AF14" s="37">
        <f>변수!AF25</f>
        <v/>
      </c>
      <c r="AG14" s="37">
        <f>변수!AG25</f>
        <v/>
      </c>
      <c r="AH14" s="37">
        <f>변수!AH25</f>
        <v/>
      </c>
      <c r="AI14" s="37">
        <f>변수!AI25</f>
        <v/>
      </c>
      <c r="AJ14" s="38">
        <f>SUM(AF14:AI14)</f>
        <v/>
      </c>
      <c r="AK14" s="37">
        <f>변수!AK25</f>
        <v/>
      </c>
      <c r="AL14" s="37">
        <f>변수!AL25</f>
        <v/>
      </c>
      <c r="AM14" s="37">
        <f>변수!AM25</f>
        <v/>
      </c>
      <c r="AN14" s="37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5" t="n"/>
      <c r="G15" s="18" t="n"/>
      <c r="H15" s="18" t="n"/>
      <c r="I15" s="18" t="n"/>
      <c r="J15" s="18" t="n"/>
      <c r="K15" s="35">
        <f>SUM(G15:J15)</f>
        <v/>
      </c>
      <c r="L15" s="18" t="n"/>
      <c r="M15" s="18" t="n"/>
      <c r="N15" s="18" t="n"/>
      <c r="O15" s="18" t="n"/>
      <c r="P15" s="35">
        <f>SUM(L15:O15)</f>
        <v/>
      </c>
      <c r="Q15" s="18" t="n"/>
      <c r="R15" s="18" t="n"/>
      <c r="S15" s="18" t="n"/>
      <c r="T15" s="18" t="n"/>
      <c r="U15" s="35">
        <f>SUM(Q15:T15)</f>
        <v/>
      </c>
      <c r="V15" s="18" t="n"/>
      <c r="W15" s="18" t="n"/>
      <c r="X15" s="18">
        <f>IFERROR(X11-X12-X13-X14,"")</f>
        <v/>
      </c>
      <c r="Y15" s="18">
        <f>IFERROR(Y11-Y12-Y13-Y14,"")</f>
        <v/>
      </c>
      <c r="Z15" s="35">
        <f>SUM(V15:Y15)</f>
        <v/>
      </c>
      <c r="AA15" s="18" t="n"/>
      <c r="AB15" s="36" t="n"/>
      <c r="AC15" s="37">
        <f>변수!AC26</f>
        <v/>
      </c>
      <c r="AD15" s="37">
        <f>변수!AD26</f>
        <v/>
      </c>
      <c r="AE15" s="38">
        <f>SUM(AA15:AD15)</f>
        <v/>
      </c>
      <c r="AF15" s="37">
        <f>변수!AF26</f>
        <v/>
      </c>
      <c r="AG15" s="37">
        <f>변수!AG26</f>
        <v/>
      </c>
      <c r="AH15" s="37">
        <f>변수!AH26</f>
        <v/>
      </c>
      <c r="AI15" s="37">
        <f>변수!AI26</f>
        <v/>
      </c>
      <c r="AJ15" s="38">
        <f>SUM(AF15:AI15)</f>
        <v/>
      </c>
      <c r="AK15" s="37">
        <f>변수!AK26</f>
        <v/>
      </c>
      <c r="AL15" s="37">
        <f>변수!AL26</f>
        <v/>
      </c>
      <c r="AM15" s="37">
        <f>변수!AM26</f>
        <v/>
      </c>
      <c r="AN15" s="37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IFERROR(VLOOKUP($D16,BS별도,MATCH(E$1,BS별도H,0),0)/100,"")</f>
        <v/>
      </c>
      <c r="F16" s="35" t="n"/>
      <c r="G16" s="18">
        <f>IFERROR(VLOOKUP($D16,BS별도,MATCH(G$1,BS별도H,0),0)/100,"")</f>
        <v/>
      </c>
      <c r="H16" s="18">
        <f>IFERROR(VLOOKUP($D16,BS별도,MATCH(H$1,BS별도H,0),0)/100,"")</f>
        <v/>
      </c>
      <c r="I16" s="18">
        <f>IFERROR(VLOOKUP($D16,BS별도,MATCH(I$1,BS별도H,0),0)/100,"")</f>
        <v/>
      </c>
      <c r="J16" s="18">
        <f>IFERROR(VLOOKUP($D16,BS별도,MATCH(J$1,BS별도H,0),0)/100,"")</f>
        <v/>
      </c>
      <c r="K16" s="35">
        <f>SUM(G16:J16)</f>
        <v/>
      </c>
      <c r="L16" s="18">
        <f>IFERROR(VLOOKUP($D16,BS별도,MATCH(L$1,BS별도H,0),0)/100,"")</f>
        <v/>
      </c>
      <c r="M16" s="18">
        <f>IFERROR(VLOOKUP($D16,BS별도,MATCH(M$1,BS별도H,0),0)/100,"")</f>
        <v/>
      </c>
      <c r="N16" s="18">
        <f>IFERROR(VLOOKUP($D16,BS별도,MATCH(N$1,BS별도H,0),0)/100,"")</f>
        <v/>
      </c>
      <c r="O16" s="18">
        <f>IFERROR(VLOOKUP($D16,BS별도,MATCH(O$1,BS별도H,0),0)/100,"")</f>
        <v/>
      </c>
      <c r="P16" s="35">
        <f>SUM(L16:O16)</f>
        <v/>
      </c>
      <c r="Q16" s="18">
        <f>IFERROR(VLOOKUP($D16,BS별도,MATCH(Q$1,BS별도H,0),0)/100,"")</f>
        <v/>
      </c>
      <c r="R16" s="18">
        <f>IFERROR(VLOOKUP($D16,BS별도,MATCH(R$1,BS별도H,0),0)/100,"")</f>
        <v/>
      </c>
      <c r="S16" s="18">
        <f>IFERROR(VLOOKUP($D16,BS별도,MATCH(S$1,BS별도H,0),0)/100,"")</f>
        <v/>
      </c>
      <c r="T16" s="18">
        <f>IFERROR(VLOOKUP($D16,BS별도,MATCH(T$1,BS별도H,0),0)/100,"")</f>
        <v/>
      </c>
      <c r="U16" s="35">
        <f>SUM(Q16:T16)</f>
        <v/>
      </c>
      <c r="V16" s="18">
        <f>IFERROR(VLOOKUP($D16,BS별도,MATCH(V$1,BS별도H,0),0)/100,"")</f>
        <v/>
      </c>
      <c r="W16" s="18">
        <f>IFERROR(VLOOKUP($D16,BS별도,MATCH(W$1,BS별도H,0),0)/100,"")</f>
        <v/>
      </c>
      <c r="X16" s="18">
        <f>IFERROR(VLOOKUP($D16,BS별도,MATCH(X$1,BS별도H,0),0)/100,"")</f>
        <v/>
      </c>
      <c r="Y16" s="18">
        <f>IFERROR(VLOOKUP($D16,BS별도,MATCH(Y$1,BS별도H,0),0)/100,"")</f>
        <v/>
      </c>
      <c r="Z16" s="35">
        <f>SUM(V16:Y16)</f>
        <v/>
      </c>
      <c r="AA16" s="18">
        <f>IFERROR(VLOOKUP($D16,BS별도,MATCH(AA$1,BS별도H,0),0)/100,"")</f>
        <v/>
      </c>
      <c r="AB16" s="36">
        <f>IFERROR(VLOOKUP($D16,BS별도,MATCH(AB$1,BS별도H,0),0)/100,"")</f>
        <v/>
      </c>
      <c r="AC16" s="37">
        <f>변수!AC27</f>
        <v/>
      </c>
      <c r="AD16" s="37">
        <f>변수!AD27</f>
        <v/>
      </c>
      <c r="AE16" s="38">
        <f>SUM(AA16:AD16)</f>
        <v/>
      </c>
      <c r="AF16" s="37">
        <f>변수!AF27</f>
        <v/>
      </c>
      <c r="AG16" s="37">
        <f>변수!AG27</f>
        <v/>
      </c>
      <c r="AH16" s="37">
        <f>변수!AH27</f>
        <v/>
      </c>
      <c r="AI16" s="37">
        <f>변수!AI27</f>
        <v/>
      </c>
      <c r="AJ16" s="38">
        <f>SUM(AF16:AI16)</f>
        <v/>
      </c>
      <c r="AK16" s="37">
        <f>변수!AK27</f>
        <v/>
      </c>
      <c r="AL16" s="37">
        <f>변수!AL27</f>
        <v/>
      </c>
      <c r="AM16" s="37">
        <f>변수!AM27</f>
        <v/>
      </c>
      <c r="AN16" s="37">
        <f>변수!AN27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 t="n"/>
      <c r="F17" s="35" t="n"/>
      <c r="G17" s="18" t="n"/>
      <c r="H17" s="18">
        <f>IFERROR(VLOOKUP($D17,BS별도,MATCH(H$1,BS별도H,0),0)/100,"")</f>
        <v/>
      </c>
      <c r="I17" s="18">
        <f>IFERROR(VLOOKUP($D17,BS별도,MATCH(I$1,BS별도H,0),0)/100,"")</f>
        <v/>
      </c>
      <c r="J17" s="18" t="n"/>
      <c r="K17" s="35">
        <f>SUM(G17:J17)</f>
        <v/>
      </c>
      <c r="L17" s="18" t="n"/>
      <c r="M17" s="18" t="n"/>
      <c r="N17" s="18" t="n"/>
      <c r="O17" s="18" t="n"/>
      <c r="P17" s="35">
        <f>SUM(L17:O17)</f>
        <v/>
      </c>
      <c r="Q17" s="18" t="n"/>
      <c r="R17" s="18" t="n"/>
      <c r="S17" s="18" t="n"/>
      <c r="T17" s="18" t="n"/>
      <c r="U17" s="35">
        <f>SUM(Q17:T17)</f>
        <v/>
      </c>
      <c r="V17" s="18" t="n"/>
      <c r="W17" s="18" t="n"/>
      <c r="X17" s="18" t="n"/>
      <c r="Y17" s="18" t="n"/>
      <c r="Z17" s="35">
        <f>SUM(V17:Y17)</f>
        <v/>
      </c>
      <c r="AA17" s="18" t="n"/>
      <c r="AB17" s="36" t="n"/>
      <c r="AC17" s="37">
        <f>변수!AC28</f>
        <v/>
      </c>
      <c r="AD17" s="37">
        <f>변수!AD28</f>
        <v/>
      </c>
      <c r="AE17" s="38">
        <f>SUM(AA17:AD17)</f>
        <v/>
      </c>
      <c r="AF17" s="37">
        <f>변수!AF28</f>
        <v/>
      </c>
      <c r="AG17" s="37">
        <f>변수!AG28</f>
        <v/>
      </c>
      <c r="AH17" s="37">
        <f>변수!AH28</f>
        <v/>
      </c>
      <c r="AI17" s="37">
        <f>변수!AI28</f>
        <v/>
      </c>
      <c r="AJ17" s="38">
        <f>SUM(AF17:AI17)</f>
        <v/>
      </c>
      <c r="AK17" s="37">
        <f>변수!AK28</f>
        <v/>
      </c>
      <c r="AL17" s="37">
        <f>변수!AL28</f>
        <v/>
      </c>
      <c r="AM17" s="37">
        <f>변수!AM28</f>
        <v/>
      </c>
      <c r="AN17" s="37">
        <f>변수!AN28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IFERROR(VLOOKUP($D18,BS별도,MATCH(E$1,BS별도H,0),0)/100,"")</f>
        <v/>
      </c>
      <c r="F18" s="35" t="n"/>
      <c r="G18" s="18">
        <f>IFERROR(VLOOKUP($D18,BS별도,MATCH(G$1,BS별도H,0),0)/100,"")</f>
        <v/>
      </c>
      <c r="H18" s="18">
        <f>IFERROR(VLOOKUP($D18,BS별도,MATCH(H$1,BS별도H,0),0)/100,"")</f>
        <v/>
      </c>
      <c r="I18" s="18">
        <f>IFERROR(VLOOKUP($D18,BS별도,MATCH(I$1,BS별도H,0),0)/100,"")</f>
        <v/>
      </c>
      <c r="J18" s="18">
        <f>IFERROR(VLOOKUP($D18,BS별도,MATCH(J$1,BS별도H,0),0)/100,"")</f>
        <v/>
      </c>
      <c r="K18" s="35">
        <f>SUM(G18:J18)</f>
        <v/>
      </c>
      <c r="L18" s="18">
        <f>IFERROR(VLOOKUP($D18,BS별도,MATCH(L$1,BS별도H,0),0)/100,"")</f>
        <v/>
      </c>
      <c r="M18" s="18">
        <f>IFERROR(VLOOKUP($D18,BS별도,MATCH(M$1,BS별도H,0),0)/100,"")</f>
        <v/>
      </c>
      <c r="N18" s="18">
        <f>IFERROR(VLOOKUP($D18,BS별도,MATCH(N$1,BS별도H,0),0)/100,"")</f>
        <v/>
      </c>
      <c r="O18" s="18">
        <f>IFERROR(VLOOKUP($D18,BS별도,MATCH(O$1,BS별도H,0),0)/100,"")</f>
        <v/>
      </c>
      <c r="P18" s="35">
        <f>SUM(L18:O18)</f>
        <v/>
      </c>
      <c r="Q18" s="18">
        <f>IFERROR(VLOOKUP($D18,BS별도,MATCH(Q$1,BS별도H,0),0)/100,"")</f>
        <v/>
      </c>
      <c r="R18" s="18">
        <f>IFERROR(VLOOKUP($D18,BS별도,MATCH(R$1,BS별도H,0),0)/100,"")</f>
        <v/>
      </c>
      <c r="S18" s="18">
        <f>IFERROR(VLOOKUP($D18,BS별도,MATCH(S$1,BS별도H,0),0)/100,"")</f>
        <v/>
      </c>
      <c r="T18" s="18">
        <f>IFERROR(VLOOKUP($D18,BS별도,MATCH(T$1,BS별도H,0),0)/100,"")</f>
        <v/>
      </c>
      <c r="U18" s="35">
        <f>SUM(Q18:T18)</f>
        <v/>
      </c>
      <c r="V18" s="18">
        <f>IFERROR(VLOOKUP($D18,BS별도,MATCH(V$1,BS별도H,0),0)/100,"")</f>
        <v/>
      </c>
      <c r="W18" s="18">
        <f>IFERROR(VLOOKUP($D18,BS별도,MATCH(W$1,BS별도H,0),0)/100,"")</f>
        <v/>
      </c>
      <c r="X18" s="18">
        <f>IFERROR(VLOOKUP($D18,BS별도,MATCH(X$1,BS별도H,0),0)/100,"")</f>
        <v/>
      </c>
      <c r="Y18" s="18">
        <f>IFERROR(VLOOKUP($D18,BS별도,MATCH(Y$1,BS별도H,0),0)/100,"")</f>
        <v/>
      </c>
      <c r="Z18" s="35">
        <f>SUM(V18:Y18)</f>
        <v/>
      </c>
      <c r="AA18" s="18">
        <f>IFERROR(VLOOKUP($D18,BS별도,MATCH(AA$1,BS별도H,0),0)/100,"")</f>
        <v/>
      </c>
      <c r="AB18" s="36">
        <f>IFERROR(VLOOKUP($D18,BS별도,MATCH(AB$1,BS별도H,0),0)/100,"")</f>
        <v/>
      </c>
      <c r="AC18" s="37">
        <f>IFERROR(AC9+AC11+AC16+AC17,"")</f>
        <v/>
      </c>
      <c r="AD18" s="37">
        <f>IFERROR(AD9+AD11+AD16+AD17,"")</f>
        <v/>
      </c>
      <c r="AE18" s="38">
        <f>SUM(AA18:AD18)</f>
        <v/>
      </c>
      <c r="AF18" s="37">
        <f>IFERROR(AF9+AF11+AF16+AF17,"")</f>
        <v/>
      </c>
      <c r="AG18" s="37">
        <f>IFERROR(AG9+AG11+AG16+AG17,"")</f>
        <v/>
      </c>
      <c r="AH18" s="37">
        <f>IFERROR(AH9+AH11+AH16+AH17,"")</f>
        <v/>
      </c>
      <c r="AI18" s="37">
        <f>IFERROR(AI9+AI11+AI16+AI17,"")</f>
        <v/>
      </c>
      <c r="AJ18" s="38">
        <f>SUM(AF18:AI18)</f>
        <v/>
      </c>
      <c r="AK18" s="37">
        <f>IFERROR(AK9+AK11+AK16+AK17,"")</f>
        <v/>
      </c>
      <c r="AL18" s="37">
        <f>IFERROR(AL9+AL11+AL16+AL17,"")</f>
        <v/>
      </c>
      <c r="AM18" s="37">
        <f>IFERROR(AM9+AM11+AM16+AM17,"")</f>
        <v/>
      </c>
      <c r="AN18" s="37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IFERROR(VLOOKUP($D19,BS별도,MATCH(E$1,BS별도H,0),0)/100,"")</f>
        <v/>
      </c>
      <c r="F19" s="35" t="n"/>
      <c r="G19" s="18">
        <f>IFERROR(VLOOKUP($D19,BS별도,MATCH(G$1,BS별도H,0),0)/100,"")</f>
        <v/>
      </c>
      <c r="H19" s="18">
        <f>IFERROR(VLOOKUP($D19,BS별도,MATCH(H$1,BS별도H,0),0)/100,"")</f>
        <v/>
      </c>
      <c r="I19" s="18">
        <f>IFERROR(VLOOKUP($D19,BS별도,MATCH(I$1,BS별도H,0),0)/100,"")</f>
        <v/>
      </c>
      <c r="J19" s="18">
        <f>IFERROR(VLOOKUP($D19,BS별도,MATCH(J$1,BS별도H,0),0)/100,"")</f>
        <v/>
      </c>
      <c r="K19" s="35">
        <f>SUM(G19:J19)</f>
        <v/>
      </c>
      <c r="L19" s="18">
        <f>IFERROR(VLOOKUP($D19,BS별도,MATCH(L$1,BS별도H,0),0)/100,"")</f>
        <v/>
      </c>
      <c r="M19" s="18">
        <f>IFERROR(VLOOKUP($D19,BS별도,MATCH(M$1,BS별도H,0),0)/100,"")</f>
        <v/>
      </c>
      <c r="N19" s="18">
        <f>IFERROR(VLOOKUP($D19,BS별도,MATCH(N$1,BS별도H,0),0)/100,"")</f>
        <v/>
      </c>
      <c r="O19" s="18">
        <f>IFERROR(VLOOKUP($D19,BS별도,MATCH(O$1,BS별도H,0),0)/100,"")</f>
        <v/>
      </c>
      <c r="P19" s="35">
        <f>SUM(L19:O19)</f>
        <v/>
      </c>
      <c r="Q19" s="18">
        <f>IFERROR(VLOOKUP($D19,BS별도,MATCH(Q$1,BS별도H,0),0)/100,"")</f>
        <v/>
      </c>
      <c r="R19" s="18">
        <f>IFERROR(VLOOKUP($D19,BS별도,MATCH(R$1,BS별도H,0),0)/100,"")</f>
        <v/>
      </c>
      <c r="S19" s="18">
        <f>IFERROR(VLOOKUP($D19,BS별도,MATCH(S$1,BS별도H,0),0)/100,"")</f>
        <v/>
      </c>
      <c r="T19" s="18">
        <f>IFERROR(VLOOKUP($D19,BS별도,MATCH(T$1,BS별도H,0),0)/100,"")</f>
        <v/>
      </c>
      <c r="U19" s="35">
        <f>SUM(Q19:T19)</f>
        <v/>
      </c>
      <c r="V19" s="18">
        <f>IFERROR(VLOOKUP($D19,BS별도,MATCH(V$1,BS별도H,0),0)/100,"")</f>
        <v/>
      </c>
      <c r="W19" s="18">
        <f>IFERROR(VLOOKUP($D19,BS별도,MATCH(W$1,BS별도H,0),0)/100,"")</f>
        <v/>
      </c>
      <c r="X19" s="18">
        <f>IFERROR(VLOOKUP($D19,BS별도,MATCH(X$1,BS별도H,0),0)/100,"")</f>
        <v/>
      </c>
      <c r="Y19" s="18">
        <f>IFERROR(VLOOKUP($D19,BS별도,MATCH(Y$1,BS별도H,0),0)/100,"")</f>
        <v/>
      </c>
      <c r="Z19" s="35">
        <f>SUM(V19:Y19)</f>
        <v/>
      </c>
      <c r="AA19" s="18">
        <f>IFERROR(VLOOKUP($D19,BS별도,MATCH(AA$1,BS별도H,0),0)/100,"")</f>
        <v/>
      </c>
      <c r="AB19" s="36">
        <f>IFERROR(VLOOKUP($D19,BS별도,MATCH(AB$1,BS별도H,0),0)/100,"")</f>
        <v/>
      </c>
      <c r="AC19" s="37">
        <f>IFERROR(AC18*변수!AC29,"")</f>
        <v/>
      </c>
      <c r="AD19" s="37">
        <f>IFERROR(AD18*변수!AD29,"")</f>
        <v/>
      </c>
      <c r="AE19" s="38">
        <f>SUM(AA19:AD19)</f>
        <v/>
      </c>
      <c r="AF19" s="37">
        <f>IFERROR(AF18*변수!AF29,"")</f>
        <v/>
      </c>
      <c r="AG19" s="37">
        <f>IFERROR(AG18*변수!AG29,"")</f>
        <v/>
      </c>
      <c r="AH19" s="37">
        <f>IFERROR(AH18*변수!AH29,"")</f>
        <v/>
      </c>
      <c r="AI19" s="37">
        <f>IFERROR(AI18*변수!AI29,"")</f>
        <v/>
      </c>
      <c r="AJ19" s="38">
        <f>SUM(AF19:AI19)</f>
        <v/>
      </c>
      <c r="AK19" s="37">
        <f>IFERROR(AK18*변수!AK29,"")</f>
        <v/>
      </c>
      <c r="AL19" s="37">
        <f>IFERROR(AL18*변수!AL29,"")</f>
        <v/>
      </c>
      <c r="AM19" s="37">
        <f>IFERROR(AM18*변수!AM29,"")</f>
        <v/>
      </c>
      <c r="AN19" s="37">
        <f>IFERROR(AN18*변수!AN29,"")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IFERROR(VLOOKUP($D20,BS별도,MATCH(E$1,BS별도H,0),0)/100,"")</f>
        <v/>
      </c>
      <c r="F20" s="35" t="n"/>
      <c r="G20" s="18">
        <f>IFERROR(VLOOKUP($D20,BS별도,MATCH(G$1,BS별도H,0),0)/100,"")</f>
        <v/>
      </c>
      <c r="H20" s="18">
        <f>IFERROR(VLOOKUP($D20,BS별도,MATCH(H$1,BS별도H,0),0)/100,"")</f>
        <v/>
      </c>
      <c r="I20" s="18">
        <f>IFERROR(VLOOKUP($D20,BS별도,MATCH(I$1,BS별도H,0),0)/100,"")</f>
        <v/>
      </c>
      <c r="J20" s="18">
        <f>IFERROR(VLOOKUP($D20,BS별도,MATCH(J$1,BS별도H,0),0)/100,"")</f>
        <v/>
      </c>
      <c r="K20" s="35">
        <f>SUM(G20:J20)</f>
        <v/>
      </c>
      <c r="L20" s="18">
        <f>IFERROR(VLOOKUP($D20,BS별도,MATCH(L$1,BS별도H,0),0)/100,"")</f>
        <v/>
      </c>
      <c r="M20" s="18">
        <f>IFERROR(VLOOKUP($D20,BS별도,MATCH(M$1,BS별도H,0),0)/100,"")</f>
        <v/>
      </c>
      <c r="N20" s="18">
        <f>IFERROR(VLOOKUP($D20,BS별도,MATCH(N$1,BS별도H,0),0)/100,"")</f>
        <v/>
      </c>
      <c r="O20" s="18">
        <f>IFERROR(VLOOKUP($D20,BS별도,MATCH(O$1,BS별도H,0),0)/100,"")</f>
        <v/>
      </c>
      <c r="P20" s="35">
        <f>SUM(L20:O20)</f>
        <v/>
      </c>
      <c r="Q20" s="18">
        <f>IFERROR(VLOOKUP($D20,BS별도,MATCH(Q$1,BS별도H,0),0)/100,"")</f>
        <v/>
      </c>
      <c r="R20" s="18">
        <f>IFERROR(VLOOKUP($D20,BS별도,MATCH(R$1,BS별도H,0),0)/100,"")</f>
        <v/>
      </c>
      <c r="S20" s="18">
        <f>IFERROR(VLOOKUP($D20,BS별도,MATCH(S$1,BS별도H,0),0)/100,"")</f>
        <v/>
      </c>
      <c r="T20" s="18">
        <f>IFERROR(VLOOKUP($D20,BS별도,MATCH(T$1,BS별도H,0),0)/100,"")</f>
        <v/>
      </c>
      <c r="U20" s="35">
        <f>SUM(Q20:T20)</f>
        <v/>
      </c>
      <c r="V20" s="18">
        <f>IFERROR(VLOOKUP($D20,BS별도,MATCH(V$1,BS별도H,0),0)/100,"")</f>
        <v/>
      </c>
      <c r="W20" s="18">
        <f>IFERROR(VLOOKUP($D20,BS별도,MATCH(W$1,BS별도H,0),0)/100,"")</f>
        <v/>
      </c>
      <c r="X20" s="18">
        <f>IFERROR(VLOOKUP($D20,BS별도,MATCH(X$1,BS별도H,0),0)/100,"")</f>
        <v/>
      </c>
      <c r="Y20" s="18">
        <f>IFERROR(VLOOKUP($D20,BS별도,MATCH(Y$1,BS별도H,0),0)/100,"")</f>
        <v/>
      </c>
      <c r="Z20" s="35">
        <f>SUM(V20:Y20)</f>
        <v/>
      </c>
      <c r="AA20" s="18">
        <f>IFERROR(VLOOKUP($D20,BS별도,MATCH(AA$1,BS별도H,0),0)/100,"")</f>
        <v/>
      </c>
      <c r="AB20" s="36">
        <f>IFERROR(VLOOKUP($D20,BS별도,MATCH(AB$1,BS별도H,0),0)/100,"")</f>
        <v/>
      </c>
      <c r="AC20" s="37">
        <f>IFERROR(AC18-AC19,"")</f>
        <v/>
      </c>
      <c r="AD20" s="37">
        <f>IFERROR(AD18-AD19,"")</f>
        <v/>
      </c>
      <c r="AE20" s="38">
        <f>SUM(AA20:AD20)</f>
        <v/>
      </c>
      <c r="AF20" s="37">
        <f>IFERROR(AF18-AF19,"")</f>
        <v/>
      </c>
      <c r="AG20" s="37">
        <f>IFERROR(AG18-AG19,"")</f>
        <v/>
      </c>
      <c r="AH20" s="37">
        <f>IFERROR(AH18-AH19,"")</f>
        <v/>
      </c>
      <c r="AI20" s="37">
        <f>IFERROR(AI18-AI19,"")</f>
        <v/>
      </c>
      <c r="AJ20" s="38">
        <f>SUM(AF20:AI20)</f>
        <v/>
      </c>
      <c r="AK20" s="37">
        <f>IFERROR(AK18-AK19,"")</f>
        <v/>
      </c>
      <c r="AL20" s="37">
        <f>IFERROR(AL18-AL19,"")</f>
        <v/>
      </c>
      <c r="AM20" s="37">
        <f>IFERROR(AM18-AM19,"")</f>
        <v/>
      </c>
      <c r="AN20" s="37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IFERROR(VLOOKUP($D21,BS별도,MATCH(E$1,BS별도H,0),0)/100,"")</f>
        <v/>
      </c>
      <c r="F21" s="35" t="n"/>
      <c r="G21" s="18">
        <f>IFERROR(VLOOKUP($D21,BS별도,MATCH(G$1,BS별도H,0),0)/100,"")</f>
        <v/>
      </c>
      <c r="H21" s="18">
        <f>IFERROR(VLOOKUP($D21,BS별도,MATCH(H$1,BS별도H,0),0)/100,"")</f>
        <v/>
      </c>
      <c r="I21" s="18">
        <f>IFERROR(VLOOKUP($D21,BS별도,MATCH(I$1,BS별도H,0),0)/100,"")</f>
        <v/>
      </c>
      <c r="J21" s="18">
        <f>IFERROR(VLOOKUP($D21,BS별도,MATCH(J$1,BS별도H,0),0)/100,"")</f>
        <v/>
      </c>
      <c r="K21" s="35">
        <f>SUM(G21:J21)</f>
        <v/>
      </c>
      <c r="L21" s="18">
        <f>IFERROR(VLOOKUP($D21,BS별도,MATCH(L$1,BS별도H,0),0)/100,"")</f>
        <v/>
      </c>
      <c r="M21" s="18">
        <f>IFERROR(VLOOKUP($D21,BS별도,MATCH(M$1,BS별도H,0),0)/100,"")</f>
        <v/>
      </c>
      <c r="N21" s="18">
        <f>IFERROR(VLOOKUP($D21,BS별도,MATCH(N$1,BS별도H,0),0)/100,"")</f>
        <v/>
      </c>
      <c r="O21" s="18">
        <f>IFERROR(VLOOKUP($D21,BS별도,MATCH(O$1,BS별도H,0),0)/100,"")</f>
        <v/>
      </c>
      <c r="P21" s="35">
        <f>SUM(L21:O21)</f>
        <v/>
      </c>
      <c r="Q21" s="18">
        <f>IFERROR(VLOOKUP($D21,BS별도,MATCH(Q$1,BS별도H,0),0)/100,"")</f>
        <v/>
      </c>
      <c r="R21" s="18">
        <f>IFERROR(VLOOKUP($D21,BS별도,MATCH(R$1,BS별도H,0),0)/100,"")</f>
        <v/>
      </c>
      <c r="S21" s="18">
        <f>IFERROR(VLOOKUP($D21,BS별도,MATCH(S$1,BS별도H,0),0)/100,"")</f>
        <v/>
      </c>
      <c r="T21" s="18">
        <f>IFERROR(VLOOKUP($D21,BS별도,MATCH(T$1,BS별도H,0),0)/100,"")</f>
        <v/>
      </c>
      <c r="U21" s="35">
        <f>SUM(Q21:T21)</f>
        <v/>
      </c>
      <c r="V21" s="18">
        <f>IFERROR(VLOOKUP($D21,BS별도,MATCH(V$1,BS별도H,0),0)/100,"")</f>
        <v/>
      </c>
      <c r="W21" s="18">
        <f>IFERROR(VLOOKUP($D21,BS별도,MATCH(W$1,BS별도H,0),0)/100,"")</f>
        <v/>
      </c>
      <c r="X21" s="18">
        <f>IFERROR(VLOOKUP($D21,BS별도,MATCH(X$1,BS별도H,0),0)/100,"")</f>
        <v/>
      </c>
      <c r="Y21" s="18">
        <f>IFERROR(VLOOKUP($D21,BS별도,MATCH(Y$1,BS별도H,0),0)/100,"")</f>
        <v/>
      </c>
      <c r="Z21" s="35">
        <f>SUM(V21:Y21)</f>
        <v/>
      </c>
      <c r="AA21" s="18">
        <f>IFERROR(VLOOKUP($D21,BS별도,MATCH(AA$1,BS별도H,0),0)/100,"")</f>
        <v/>
      </c>
      <c r="AB21" s="36">
        <f>IFERROR(VLOOKUP($D21,BS별도,MATCH(AB$1,BS별도H,0),0)/100,"")</f>
        <v/>
      </c>
      <c r="AC21" s="37">
        <f>IFERROR(AC20*변수!AC30,"")</f>
        <v/>
      </c>
      <c r="AD21" s="37">
        <f>IFERROR(AD20*변수!AD30,"")</f>
        <v/>
      </c>
      <c r="AE21" s="38">
        <f>SUM(AA21:AD21)</f>
        <v/>
      </c>
      <c r="AF21" s="37">
        <f>IFERROR(AF20*변수!AF30,"")</f>
        <v/>
      </c>
      <c r="AG21" s="37">
        <f>IFERROR(AG20*변수!AG30,"")</f>
        <v/>
      </c>
      <c r="AH21" s="37">
        <f>IFERROR(AH20*변수!AH30,"")</f>
        <v/>
      </c>
      <c r="AI21" s="37">
        <f>IFERROR(AI20*변수!AI30,"")</f>
        <v/>
      </c>
      <c r="AJ21" s="38">
        <f>SUM(AF21:AI21)</f>
        <v/>
      </c>
      <c r="AK21" s="37">
        <f>IFERROR(AK20*변수!AK30,"")</f>
        <v/>
      </c>
      <c r="AL21" s="37">
        <f>IFERROR(AL20*변수!AL30,"")</f>
        <v/>
      </c>
      <c r="AM21" s="37">
        <f>IFERROR(AM20*변수!AM30,"")</f>
        <v/>
      </c>
      <c r="AN21" s="37">
        <f>IFERROR(AN20*변수!AN30,"")</f>
        <v/>
      </c>
      <c r="AO21" s="38">
        <f>SUM(AK21:AN21)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IFERROR(VLOOKUP($D22,BS별도,MATCH(E$1,BS별도H,0),0)/100,"")</f>
        <v/>
      </c>
      <c r="F22" s="35" t="n">
        <v>951.13</v>
      </c>
      <c r="G22" s="18">
        <f>IFERROR(VLOOKUP($D22,BS별도,MATCH(G$1,BS별도H,0),0)/100,"")</f>
        <v/>
      </c>
      <c r="H22" s="18">
        <f>IFERROR(VLOOKUP($D22,BS별도,MATCH(H$1,BS별도H,0),0)/100,"")</f>
        <v/>
      </c>
      <c r="I22" s="18">
        <f>IFERROR(VLOOKUP($D22,BS별도,MATCH(I$1,BS별도H,0),0)/100,"")</f>
        <v/>
      </c>
      <c r="J22" s="18">
        <f>IFERROR(VLOOKUP($D22,BS별도,MATCH(J$1,BS별도H,0),0)/100,"")</f>
        <v/>
      </c>
      <c r="K22" s="35">
        <f>J22</f>
        <v/>
      </c>
      <c r="L22" s="18">
        <f>IFERROR(VLOOKUP($D22,BS별도,MATCH(L$1,BS별도H,0),0)/100,"")</f>
        <v/>
      </c>
      <c r="M22" s="18">
        <f>IFERROR(VLOOKUP($D22,BS별도,MATCH(M$1,BS별도H,0),0)/100,"")</f>
        <v/>
      </c>
      <c r="N22" s="18">
        <f>IFERROR(VLOOKUP($D22,BS별도,MATCH(N$1,BS별도H,0),0)/100,"")</f>
        <v/>
      </c>
      <c r="O22" s="18">
        <f>IFERROR(VLOOKUP($D22,BS별도,MATCH(O$1,BS별도H,0),0)/100,"")</f>
        <v/>
      </c>
      <c r="P22" s="35">
        <f>O22</f>
        <v/>
      </c>
      <c r="Q22" s="18">
        <f>IFERROR(VLOOKUP($D22,BS별도,MATCH(Q$1,BS별도H,0),0)/100,"")</f>
        <v/>
      </c>
      <c r="R22" s="18">
        <f>IFERROR(VLOOKUP($D22,BS별도,MATCH(R$1,BS별도H,0),0)/100,"")</f>
        <v/>
      </c>
      <c r="S22" s="18">
        <f>IFERROR(VLOOKUP($D22,BS별도,MATCH(S$1,BS별도H,0),0)/100,"")</f>
        <v/>
      </c>
      <c r="T22" s="18">
        <f>IFERROR(VLOOKUP($D22,BS별도,MATCH(T$1,BS별도H,0),0)/100,"")</f>
        <v/>
      </c>
      <c r="U22" s="35">
        <f>T22</f>
        <v/>
      </c>
      <c r="V22" s="18">
        <f>IFERROR(VLOOKUP($D22,BS별도,MATCH(V$1,BS별도H,0),0)/100,"")</f>
        <v/>
      </c>
      <c r="W22" s="18">
        <f>IFERROR(VLOOKUP($D22,BS별도,MATCH(W$1,BS별도H,0),0)/100,"")</f>
        <v/>
      </c>
      <c r="X22" s="18">
        <f>IFERROR(VLOOKUP($D22,BS별도,MATCH(X$1,BS별도H,0),0)/100,"")</f>
        <v/>
      </c>
      <c r="Y22" s="18">
        <f>IFERROR(VLOOKUP($D22,BS별도,MATCH(Y$1,BS별도H,0),0)/100,"")</f>
        <v/>
      </c>
      <c r="Z22" s="35">
        <f>Y22</f>
        <v/>
      </c>
      <c r="AA22" s="18">
        <f>IFERROR(VLOOKUP($D22,BS별도,MATCH(AA$1,BS별도H,0),0)/100,"")</f>
        <v/>
      </c>
      <c r="AB22" s="36">
        <f>IFERROR(VLOOKUP($D22,BS별도,MATCH(AB$1,BS별도H,0),0)/100,"")</f>
        <v/>
      </c>
      <c r="AC22" s="37">
        <f>IFERROR(AC23+AC24,"")</f>
        <v/>
      </c>
      <c r="AD22" s="37">
        <f>IFERROR(AD23+AD24,"")</f>
        <v/>
      </c>
      <c r="AE22" s="38">
        <f>AD22</f>
        <v/>
      </c>
      <c r="AF22" s="37">
        <f>IFERROR(AF23+AF24,"")</f>
        <v/>
      </c>
      <c r="AG22" s="37">
        <f>IFERROR(AG23+AG24,"")</f>
        <v/>
      </c>
      <c r="AH22" s="37">
        <f>IFERROR(AH23+AH24,"")</f>
        <v/>
      </c>
      <c r="AI22" s="37">
        <f>IFERROR(AI23+AI24,"")</f>
        <v/>
      </c>
      <c r="AJ22" s="38">
        <f>AI22</f>
        <v/>
      </c>
      <c r="AK22" s="37">
        <f>IFERROR(AK23+AK24,"")</f>
        <v/>
      </c>
      <c r="AL22" s="37">
        <f>IFERROR(AL23+AL24,"")</f>
        <v/>
      </c>
      <c r="AM22" s="37">
        <f>IFERROR(AM23+AM24,"")</f>
        <v/>
      </c>
      <c r="AN22" s="37">
        <f>IFERROR(AN23+AN24,"")</f>
        <v/>
      </c>
      <c r="AO22" s="38">
        <f>AN22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IFERROR(VLOOKUP($D23,BS별도,MATCH(E$1,BS별도H,0),0)/100,"")</f>
        <v/>
      </c>
      <c r="F23" s="35" t="n">
        <v>198.93</v>
      </c>
      <c r="G23" s="18">
        <f>IFERROR(VLOOKUP($D23,BS별도,MATCH(G$1,BS별도H,0),0)/100,"")</f>
        <v/>
      </c>
      <c r="H23" s="18">
        <f>IFERROR(VLOOKUP($D23,BS별도,MATCH(H$1,BS별도H,0),0)/100,"")</f>
        <v/>
      </c>
      <c r="I23" s="18">
        <f>IFERROR(VLOOKUP($D23,BS별도,MATCH(I$1,BS별도H,0),0)/100,"")</f>
        <v/>
      </c>
      <c r="J23" s="18">
        <f>IFERROR(VLOOKUP($D23,BS별도,MATCH(J$1,BS별도H,0),0)/100,"")</f>
        <v/>
      </c>
      <c r="K23" s="35">
        <f>J23</f>
        <v/>
      </c>
      <c r="L23" s="18">
        <f>IFERROR(VLOOKUP($D23,BS별도,MATCH(L$1,BS별도H,0),0)/100,"")</f>
        <v/>
      </c>
      <c r="M23" s="18">
        <f>IFERROR(VLOOKUP($D23,BS별도,MATCH(M$1,BS별도H,0),0)/100,"")</f>
        <v/>
      </c>
      <c r="N23" s="18">
        <f>IFERROR(VLOOKUP($D23,BS별도,MATCH(N$1,BS별도H,0),0)/100,"")</f>
        <v/>
      </c>
      <c r="O23" s="18">
        <f>IFERROR(VLOOKUP($D23,BS별도,MATCH(O$1,BS별도H,0),0)/100,"")</f>
        <v/>
      </c>
      <c r="P23" s="35">
        <f>O23</f>
        <v/>
      </c>
      <c r="Q23" s="18">
        <f>IFERROR(VLOOKUP($D23,BS별도,MATCH(Q$1,BS별도H,0),0)/100,"")</f>
        <v/>
      </c>
      <c r="R23" s="18">
        <f>IFERROR(VLOOKUP($D23,BS별도,MATCH(R$1,BS별도H,0),0)/100,"")</f>
        <v/>
      </c>
      <c r="S23" s="18">
        <f>IFERROR(VLOOKUP($D23,BS별도,MATCH(S$1,BS별도H,0),0)/100,"")</f>
        <v/>
      </c>
      <c r="T23" s="18">
        <f>IFERROR(VLOOKUP($D23,BS별도,MATCH(T$1,BS별도H,0),0)/100,"")</f>
        <v/>
      </c>
      <c r="U23" s="35">
        <f>T23</f>
        <v/>
      </c>
      <c r="V23" s="18">
        <f>IFERROR(VLOOKUP($D23,BS별도,MATCH(V$1,BS별도H,0),0)/100,"")</f>
        <v/>
      </c>
      <c r="W23" s="18">
        <f>IFERROR(VLOOKUP($D23,BS별도,MATCH(W$1,BS별도H,0),0)/100,"")</f>
        <v/>
      </c>
      <c r="X23" s="18">
        <f>IFERROR(VLOOKUP($D23,BS별도,MATCH(X$1,BS별도H,0),0)/100,"")</f>
        <v/>
      </c>
      <c r="Y23" s="18">
        <f>IFERROR(VLOOKUP($D23,BS별도,MATCH(Y$1,BS별도H,0),0)/100,"")</f>
        <v/>
      </c>
      <c r="Z23" s="35">
        <f>Y23</f>
        <v/>
      </c>
      <c r="AA23" s="18">
        <f>IFERROR(VLOOKUP($D23,BS별도,MATCH(AA$1,BS별도H,0),0)/100,"")</f>
        <v/>
      </c>
      <c r="AB23" s="36">
        <f>IFERROR(VLOOKUP($D23,BS별도,MATCH(AB$1,BS별도H,0),0)/100,"")</f>
        <v/>
      </c>
      <c r="AC23" s="37">
        <f>IFERROR(AB23*(1+변수!AC31),"")</f>
        <v/>
      </c>
      <c r="AD23" s="37">
        <f>IFERROR(AC23*(1+변수!AD31),"")</f>
        <v/>
      </c>
      <c r="AE23" s="38">
        <f>AD23</f>
        <v/>
      </c>
      <c r="AF23" s="37">
        <f>IFERROR(AD23*(1+변수!AF31),"")</f>
        <v/>
      </c>
      <c r="AG23" s="37">
        <f>IFERROR(AF23*(1+변수!AG31),"")</f>
        <v/>
      </c>
      <c r="AH23" s="37">
        <f>IFERROR(AG23*(1+변수!AH31),"")</f>
        <v/>
      </c>
      <c r="AI23" s="37">
        <f>IFERROR(AH23*(1+변수!AI31),"")</f>
        <v/>
      </c>
      <c r="AJ23" s="38">
        <f>AI23</f>
        <v/>
      </c>
      <c r="AK23" s="37">
        <f>IFERROR(AI23*(1+변수!AK31),"")</f>
        <v/>
      </c>
      <c r="AL23" s="37">
        <f>IFERROR(AK23*(1+변수!AL31),"")</f>
        <v/>
      </c>
      <c r="AM23" s="37">
        <f>IFERROR(AL23*(1+변수!AM31),"")</f>
        <v/>
      </c>
      <c r="AN23" s="37">
        <f>IFERROR(AM23*(1+변수!AN31),"")</f>
        <v/>
      </c>
      <c r="AO23" s="38">
        <f>AN23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IFERROR(VLOOKUP($D24,BS별도,MATCH(E$1,BS별도H,0),0)/100,"")</f>
        <v/>
      </c>
      <c r="F24" s="35" t="n">
        <v>752.2</v>
      </c>
      <c r="G24" s="18">
        <f>IFERROR(VLOOKUP($D24,BS별도,MATCH(G$1,BS별도H,0),0)/100,"")</f>
        <v/>
      </c>
      <c r="H24" s="18">
        <f>IFERROR(VLOOKUP($D24,BS별도,MATCH(H$1,BS별도H,0),0)/100,"")</f>
        <v/>
      </c>
      <c r="I24" s="18">
        <f>IFERROR(VLOOKUP($D24,BS별도,MATCH(I$1,BS별도H,0),0)/100,"")</f>
        <v/>
      </c>
      <c r="J24" s="18">
        <f>IFERROR(VLOOKUP($D24,BS별도,MATCH(J$1,BS별도H,0),0)/100,"")</f>
        <v/>
      </c>
      <c r="K24" s="35">
        <f>J24</f>
        <v/>
      </c>
      <c r="L24" s="18">
        <f>IFERROR(VLOOKUP($D24,BS별도,MATCH(L$1,BS별도H,0),0)/100,"")</f>
        <v/>
      </c>
      <c r="M24" s="18">
        <f>IFERROR(VLOOKUP($D24,BS별도,MATCH(M$1,BS별도H,0),0)/100,"")</f>
        <v/>
      </c>
      <c r="N24" s="18">
        <f>IFERROR(VLOOKUP($D24,BS별도,MATCH(N$1,BS별도H,0),0)/100,"")</f>
        <v/>
      </c>
      <c r="O24" s="18">
        <f>IFERROR(VLOOKUP($D24,BS별도,MATCH(O$1,BS별도H,0),0)/100,"")</f>
        <v/>
      </c>
      <c r="P24" s="35">
        <f>O24</f>
        <v/>
      </c>
      <c r="Q24" s="18">
        <f>IFERROR(VLOOKUP($D24,BS별도,MATCH(Q$1,BS별도H,0),0)/100,"")</f>
        <v/>
      </c>
      <c r="R24" s="18">
        <f>IFERROR(VLOOKUP($D24,BS별도,MATCH(R$1,BS별도H,0),0)/100,"")</f>
        <v/>
      </c>
      <c r="S24" s="18">
        <f>IFERROR(VLOOKUP($D24,BS별도,MATCH(S$1,BS별도H,0),0)/100,"")</f>
        <v/>
      </c>
      <c r="T24" s="18">
        <f>IFERROR(VLOOKUP($D24,BS별도,MATCH(T$1,BS별도H,0),0)/100,"")</f>
        <v/>
      </c>
      <c r="U24" s="35">
        <f>T24</f>
        <v/>
      </c>
      <c r="V24" s="18">
        <f>IFERROR(VLOOKUP($D24,BS별도,MATCH(V$1,BS별도H,0),0)/100,"")</f>
        <v/>
      </c>
      <c r="W24" s="18">
        <f>IFERROR(VLOOKUP($D24,BS별도,MATCH(W$1,BS별도H,0),0)/100,"")</f>
        <v/>
      </c>
      <c r="X24" s="18">
        <f>IFERROR(VLOOKUP($D24,BS별도,MATCH(X$1,BS별도H,0),0)/100,"")</f>
        <v/>
      </c>
      <c r="Y24" s="18">
        <f>IFERROR(VLOOKUP($D24,BS별도,MATCH(Y$1,BS별도H,0),0)/100,"")</f>
        <v/>
      </c>
      <c r="Z24" s="35">
        <f>Y24</f>
        <v/>
      </c>
      <c r="AA24" s="18">
        <f>IFERROR(VLOOKUP($D24,BS별도,MATCH(AA$1,BS별도H,0),0)/100,"")</f>
        <v/>
      </c>
      <c r="AB24" s="36">
        <f>IFERROR(VLOOKUP($D24,BS별도,MATCH(AB$1,BS별도H,0),0)/100,"")</f>
        <v/>
      </c>
      <c r="AC24" s="37">
        <f>IFERROR(AB24+AC20-변수!AC32,"")</f>
        <v/>
      </c>
      <c r="AD24" s="37">
        <f>IFERROR(AC24+AD20-변수!AD32,"")</f>
        <v/>
      </c>
      <c r="AE24" s="38">
        <f>AD24</f>
        <v/>
      </c>
      <c r="AF24" s="37">
        <f>IFERROR(AD24+AF20-변수!AF32,"")</f>
        <v/>
      </c>
      <c r="AG24" s="37">
        <f>IFERROR(AF24+AG20-변수!AG32,"")</f>
        <v/>
      </c>
      <c r="AH24" s="37">
        <f>IFERROR(AG24+AH20-변수!AH32,"")</f>
        <v/>
      </c>
      <c r="AI24" s="37">
        <f>IFERROR(AH24+AI20-변수!AI32,"")</f>
        <v/>
      </c>
      <c r="AJ24" s="38">
        <f>AI24</f>
        <v/>
      </c>
      <c r="AK24" s="37">
        <f>IFERROR(AI24+AK20-변수!AK32,"")</f>
        <v/>
      </c>
      <c r="AL24" s="37">
        <f>IFERROR(AK24+AL20-변수!AL32,"")</f>
        <v/>
      </c>
      <c r="AM24" s="37">
        <f>IFERROR(AL24+AM20-변수!AM32,"")</f>
        <v/>
      </c>
      <c r="AN24" s="37">
        <f>IFERROR(AM24+AN20-변수!AN32,"")</f>
        <v/>
      </c>
      <c r="AO24" s="38">
        <f>AN24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IFERROR(VLOOKUP($D25,BS별도,MATCH(E$1,BS별도H,0),0)/100,"")</f>
        <v/>
      </c>
      <c r="F25" s="35" t="n">
        <v>752.2</v>
      </c>
      <c r="G25" s="18">
        <f>IFERROR(VLOOKUP($D25,BS별도,MATCH(G$1,BS별도H,0),0)/100,"")</f>
        <v/>
      </c>
      <c r="H25" s="18">
        <f>IFERROR(VLOOKUP($D25,BS별도,MATCH(H$1,BS별도H,0),0)/100,"")</f>
        <v/>
      </c>
      <c r="I25" s="18">
        <f>IFERROR(VLOOKUP($D25,BS별도,MATCH(I$1,BS별도H,0),0)/100,"")</f>
        <v/>
      </c>
      <c r="J25" s="18">
        <f>IFERROR(VLOOKUP($D25,BS별도,MATCH(J$1,BS별도H,0),0)/100,"")</f>
        <v/>
      </c>
      <c r="K25" s="35">
        <f>J25</f>
        <v/>
      </c>
      <c r="L25" s="18">
        <f>IFERROR(VLOOKUP($D25,BS별도,MATCH(L$1,BS별도H,0),0)/100,"")</f>
        <v/>
      </c>
      <c r="M25" s="18">
        <f>IFERROR(VLOOKUP($D25,BS별도,MATCH(M$1,BS별도H,0),0)/100,"")</f>
        <v/>
      </c>
      <c r="N25" s="18">
        <f>IFERROR(VLOOKUP($D25,BS별도,MATCH(N$1,BS별도H,0),0)/100,"")</f>
        <v/>
      </c>
      <c r="O25" s="18">
        <f>IFERROR(VLOOKUP($D25,BS별도,MATCH(O$1,BS별도H,0),0)/100,"")</f>
        <v/>
      </c>
      <c r="P25" s="35">
        <f>O25</f>
        <v/>
      </c>
      <c r="Q25" s="18">
        <f>IFERROR(VLOOKUP($D25,BS별도,MATCH(Q$1,BS별도H,0),0)/100,"")</f>
        <v/>
      </c>
      <c r="R25" s="18">
        <f>IFERROR(VLOOKUP($D25,BS별도,MATCH(R$1,BS별도H,0),0)/100,"")</f>
        <v/>
      </c>
      <c r="S25" s="18">
        <f>IFERROR(VLOOKUP($D25,BS별도,MATCH(S$1,BS별도H,0),0)/100,"")</f>
        <v/>
      </c>
      <c r="T25" s="18">
        <f>IFERROR(VLOOKUP($D25,BS별도,MATCH(T$1,BS별도H,0),0)/100,"")</f>
        <v/>
      </c>
      <c r="U25" s="35">
        <f>T25</f>
        <v/>
      </c>
      <c r="V25" s="18">
        <f>IFERROR(VLOOKUP($D25,BS별도,MATCH(V$1,BS별도H,0),0)/100,"")</f>
        <v/>
      </c>
      <c r="W25" s="18">
        <f>IFERROR(VLOOKUP($D25,BS별도,MATCH(W$1,BS별도H,0),0)/100,"")</f>
        <v/>
      </c>
      <c r="X25" s="18">
        <f>IFERROR(VLOOKUP($D25,BS별도,MATCH(X$1,BS별도H,0),0)/100,"")</f>
        <v/>
      </c>
      <c r="Y25" s="18">
        <f>IFERROR(VLOOKUP($D25,BS별도,MATCH(Y$1,BS별도H,0),0)/100,"")</f>
        <v/>
      </c>
      <c r="Z25" s="35">
        <f>Y25</f>
        <v/>
      </c>
      <c r="AA25" s="18">
        <f>IFERROR(VLOOKUP($D25,BS별도,MATCH(AA$1,BS별도H,0),0)/100,"")</f>
        <v/>
      </c>
      <c r="AB25" s="36">
        <f>IFERROR(VLOOKUP($D25,BS별도,MATCH(AB$1,BS별도H,0),0)/100,"")</f>
        <v/>
      </c>
      <c r="AC25" s="37">
        <f>IFERROR(AB25+AC21-변수!AC33,"")</f>
        <v/>
      </c>
      <c r="AD25" s="37">
        <f>IFERROR(AC25+AD21-변수!AD33,"")</f>
        <v/>
      </c>
      <c r="AE25" s="38">
        <f>AD25</f>
        <v/>
      </c>
      <c r="AF25" s="37">
        <f>IFERROR(AD25+AF21-변수!AF33,"")</f>
        <v/>
      </c>
      <c r="AG25" s="37">
        <f>IFERROR(AF25+AG21-변수!AG33,"")</f>
        <v/>
      </c>
      <c r="AH25" s="37">
        <f>IFERROR(AG25+AH21-변수!AH33,"")</f>
        <v/>
      </c>
      <c r="AI25" s="37">
        <f>IFERROR(AH25+AI21-변수!AI33,"")</f>
        <v/>
      </c>
      <c r="AJ25" s="38">
        <f>AI25</f>
        <v/>
      </c>
      <c r="AK25" s="37">
        <f>IFERROR(AI25+AK21-변수!AK33,"")</f>
        <v/>
      </c>
      <c r="AL25" s="37">
        <f>IFERROR(AK25+AL21-변수!AL33,"")</f>
        <v/>
      </c>
      <c r="AM25" s="37">
        <f>IFERROR(AL25+AM21-변수!AM33,"")</f>
        <v/>
      </c>
      <c r="AN25" s="37">
        <f>IFERROR(AM25+AN21-변수!AN33,"")</f>
        <v/>
      </c>
      <c r="AO25" s="38">
        <f>AN25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IFERROR(VLOOKUP($D26,BS별도,MATCH(E$1,BS별도H,0),0)/100,"")</f>
        <v/>
      </c>
      <c r="F26" s="35" t="n">
        <v>130</v>
      </c>
      <c r="G26" s="18">
        <f>IFERROR(VLOOKUP($D26,BS별도,MATCH(G$1,BS별도H,0),0)/100,"")</f>
        <v/>
      </c>
      <c r="H26" s="18">
        <f>IFERROR(VLOOKUP($D26,BS별도,MATCH(H$1,BS별도H,0),0)/100,"")</f>
        <v/>
      </c>
      <c r="I26" s="18">
        <f>IFERROR(VLOOKUP($D26,BS별도,MATCH(I$1,BS별도H,0),0)/100,"")</f>
        <v/>
      </c>
      <c r="J26" s="18">
        <f>IFERROR(VLOOKUP($D26,BS별도,MATCH(J$1,BS별도H,0),0)/100,"")</f>
        <v/>
      </c>
      <c r="K26" s="35">
        <f>J26</f>
        <v/>
      </c>
      <c r="L26" s="18">
        <f>IFERROR(VLOOKUP($D26,BS별도,MATCH(L$1,BS별도H,0),0)/100,"")</f>
        <v/>
      </c>
      <c r="M26" s="18">
        <f>IFERROR(VLOOKUP($D26,BS별도,MATCH(M$1,BS별도H,0),0)/100,"")</f>
        <v/>
      </c>
      <c r="N26" s="18">
        <f>IFERROR(VLOOKUP($D26,BS별도,MATCH(N$1,BS별도H,0),0)/100,"")</f>
        <v/>
      </c>
      <c r="O26" s="18">
        <f>IFERROR(VLOOKUP($D26,BS별도,MATCH(O$1,BS별도H,0),0)/100,"")</f>
        <v/>
      </c>
      <c r="P26" s="35">
        <f>O26</f>
        <v/>
      </c>
      <c r="Q26" s="18">
        <f>IFERROR(VLOOKUP($D26,BS별도,MATCH(Q$1,BS별도H,0),0)/100,"")</f>
        <v/>
      </c>
      <c r="R26" s="18">
        <f>IFERROR(VLOOKUP($D26,BS별도,MATCH(R$1,BS별도H,0),0)/100,"")</f>
        <v/>
      </c>
      <c r="S26" s="18">
        <f>IFERROR(VLOOKUP($D26,BS별도,MATCH(S$1,BS별도H,0),0)/100,"")</f>
        <v/>
      </c>
      <c r="T26" s="18">
        <f>IFERROR(VLOOKUP($D26,BS별도,MATCH(T$1,BS별도H,0),0)/100,"")</f>
        <v/>
      </c>
      <c r="U26" s="35">
        <f>T26</f>
        <v/>
      </c>
      <c r="V26" s="18">
        <f>IFERROR(VLOOKUP($D26,BS별도,MATCH(V$1,BS별도H,0),0)/100,"")</f>
        <v/>
      </c>
      <c r="W26" s="18">
        <f>IFERROR(VLOOKUP($D26,BS별도,MATCH(W$1,BS별도H,0),0)/100,"")</f>
        <v/>
      </c>
      <c r="X26" s="18">
        <f>IFERROR(VLOOKUP($D26,BS별도,MATCH(X$1,BS별도H,0),0)/100,"")</f>
        <v/>
      </c>
      <c r="Y26" s="18">
        <f>IFERROR(VLOOKUP($D26,BS별도,MATCH(Y$1,BS별도H,0),0)/100,"")</f>
        <v/>
      </c>
      <c r="Z26" s="35">
        <f>Y26</f>
        <v/>
      </c>
      <c r="AA26" s="18">
        <f>IFERROR(VLOOKUP($D26,BS별도,MATCH(AA$1,BS별도H,0),0)/100,"")</f>
        <v/>
      </c>
      <c r="AB26" s="36">
        <f>IFERROR(VLOOKUP($D26,BS별도,MATCH(AB$1,BS별도H,0),0)/100,"")</f>
        <v/>
      </c>
      <c r="AC26" s="37">
        <f>IFERROR(AB26*(1+변수!AC34),"")</f>
        <v/>
      </c>
      <c r="AD26" s="37">
        <f>IFERROR(AC26*(1+변수!AD34),"")</f>
        <v/>
      </c>
      <c r="AE26" s="38">
        <f>AD26</f>
        <v/>
      </c>
      <c r="AF26" s="37">
        <f>IFERROR(AD26*(1+변수!AF34),"")</f>
        <v/>
      </c>
      <c r="AG26" s="37">
        <f>IFERROR(AF26*(1+변수!AG34),"")</f>
        <v/>
      </c>
      <c r="AH26" s="37">
        <f>IFERROR(AG26*(1+변수!AH34),"")</f>
        <v/>
      </c>
      <c r="AI26" s="37">
        <f>IFERROR(AH26*(1+변수!AI34),"")</f>
        <v/>
      </c>
      <c r="AJ26" s="38">
        <f>AI26</f>
        <v/>
      </c>
      <c r="AK26" s="37">
        <f>IFERROR(AI26*(1+변수!AK34),"")</f>
        <v/>
      </c>
      <c r="AL26" s="37">
        <f>IFERROR(AK26*(1+변수!AL34),"")</f>
        <v/>
      </c>
      <c r="AM26" s="37">
        <f>IFERROR(AL26*(1+변수!AM34),"")</f>
        <v/>
      </c>
      <c r="AN26" s="37">
        <f>IFERROR(AM26*(1+변수!AN34),"")</f>
        <v/>
      </c>
      <c r="AO26" s="38">
        <f>AN26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IFERROR(VLOOKUP($D27,BS별도,MATCH(E$1,BS별도H,0),0)/100,"")</f>
        <v/>
      </c>
      <c r="F27" s="35" t="n">
        <v>97.38</v>
      </c>
      <c r="G27" s="18">
        <f>IFERROR(VLOOKUP($D27,BS별도,MATCH(G$1,BS별도H,0),0)/100,"")</f>
        <v/>
      </c>
      <c r="H27" s="18">
        <f>IFERROR(VLOOKUP($D27,BS별도,MATCH(H$1,BS별도H,0),0)/100,"")</f>
        <v/>
      </c>
      <c r="I27" s="18">
        <f>IFERROR(VLOOKUP($D27,BS별도,MATCH(I$1,BS별도H,0),0)/100,"")</f>
        <v/>
      </c>
      <c r="J27" s="18">
        <f>IFERROR(VLOOKUP($D27,BS별도,MATCH(J$1,BS별도H,0),0)/100,"")</f>
        <v/>
      </c>
      <c r="K27" s="35">
        <f>J27</f>
        <v/>
      </c>
      <c r="L27" s="18">
        <f>IFERROR(VLOOKUP($D27,BS별도,MATCH(L$1,BS별도H,0),0)/100,"")</f>
        <v/>
      </c>
      <c r="M27" s="18">
        <f>IFERROR(VLOOKUP($D27,BS별도,MATCH(M$1,BS별도H,0),0)/100,"")</f>
        <v/>
      </c>
      <c r="N27" s="18">
        <f>IFERROR(VLOOKUP($D27,BS별도,MATCH(N$1,BS별도H,0),0)/100,"")</f>
        <v/>
      </c>
      <c r="O27" s="18">
        <f>IFERROR(VLOOKUP($D27,BS별도,MATCH(O$1,BS별도H,0),0)/100,"")</f>
        <v/>
      </c>
      <c r="P27" s="35">
        <f>O27</f>
        <v/>
      </c>
      <c r="Q27" s="18">
        <f>IFERROR(VLOOKUP($D27,BS별도,MATCH(Q$1,BS별도H,0),0)/100,"")</f>
        <v/>
      </c>
      <c r="R27" s="18">
        <f>IFERROR(VLOOKUP($D27,BS별도,MATCH(R$1,BS별도H,0),0)/100,"")</f>
        <v/>
      </c>
      <c r="S27" s="18">
        <f>IFERROR(VLOOKUP($D27,BS별도,MATCH(S$1,BS별도H,0),0)/100,"")</f>
        <v/>
      </c>
      <c r="T27" s="18">
        <f>IFERROR(VLOOKUP($D27,BS별도,MATCH(T$1,BS별도H,0),0)/100,"")</f>
        <v/>
      </c>
      <c r="U27" s="35">
        <f>T27</f>
        <v/>
      </c>
      <c r="V27" s="18">
        <f>IFERROR(VLOOKUP($D27,BS별도,MATCH(V$1,BS별도H,0),0)/100,"")</f>
        <v/>
      </c>
      <c r="W27" s="18">
        <f>IFERROR(VLOOKUP($D27,BS별도,MATCH(W$1,BS별도H,0),0)/100,"")</f>
        <v/>
      </c>
      <c r="X27" s="18">
        <f>IFERROR(VLOOKUP($D27,BS별도,MATCH(X$1,BS별도H,0),0)/100,"")</f>
        <v/>
      </c>
      <c r="Y27" s="18">
        <f>IFERROR(VLOOKUP($D27,BS별도,MATCH(Y$1,BS별도H,0),0)/100,"")</f>
        <v/>
      </c>
      <c r="Z27" s="35">
        <f>Y27</f>
        <v/>
      </c>
      <c r="AA27" s="18">
        <f>IFERROR(VLOOKUP($D27,BS별도,MATCH(AA$1,BS별도H,0),0)/100,"")</f>
        <v/>
      </c>
      <c r="AB27" s="36">
        <f>IFERROR(VLOOKUP($D27,BS별도,MATCH(AB$1,BS별도H,0),0)/100,"")</f>
        <v/>
      </c>
      <c r="AC27" s="37">
        <f>IFERROR(AB27*(1+변수!AC35),"")</f>
        <v/>
      </c>
      <c r="AD27" s="37">
        <f>IFERROR(AC27*(1+변수!AD35),"")</f>
        <v/>
      </c>
      <c r="AE27" s="38">
        <f>AD27</f>
        <v/>
      </c>
      <c r="AF27" s="37">
        <f>IFERROR(AD27*(1+변수!AF35),"")</f>
        <v/>
      </c>
      <c r="AG27" s="37">
        <f>IFERROR(AF27*(1+변수!AG35),"")</f>
        <v/>
      </c>
      <c r="AH27" s="37">
        <f>IFERROR(AG27*(1+변수!AH35),"")</f>
        <v/>
      </c>
      <c r="AI27" s="37">
        <f>IFERROR(AH27*(1+변수!AI35),"")</f>
        <v/>
      </c>
      <c r="AJ27" s="38">
        <f>AI27</f>
        <v/>
      </c>
      <c r="AK27" s="37">
        <f>IFERROR(AI27*(1+변수!AK35),"")</f>
        <v/>
      </c>
      <c r="AL27" s="37">
        <f>IFERROR(AK27*(1+변수!AL35),"")</f>
        <v/>
      </c>
      <c r="AM27" s="37">
        <f>IFERROR(AL27*(1+변수!AM35),"")</f>
        <v/>
      </c>
      <c r="AN27" s="37">
        <f>IFERROR(AM27*(1+변수!AN35),"")</f>
        <v/>
      </c>
      <c r="AO27" s="38">
        <f>AN27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IFERROR(VLOOKUP($D28,BS별도,MATCH(E$1,BS별도H,0),0)/100,"")</f>
        <v/>
      </c>
      <c r="F28" s="35" t="n">
        <v>37.67</v>
      </c>
      <c r="G28" s="18">
        <f>IFERROR(VLOOKUP($D28,BS별도,MATCH(G$1,BS별도H,0),0)/100,"")</f>
        <v/>
      </c>
      <c r="H28" s="18">
        <f>IFERROR(VLOOKUP($D28,BS별도,MATCH(H$1,BS별도H,0),0)/100,"")</f>
        <v/>
      </c>
      <c r="I28" s="18">
        <f>IFERROR(VLOOKUP($D28,BS별도,MATCH(I$1,BS별도H,0),0)/100,"")</f>
        <v/>
      </c>
      <c r="J28" s="18">
        <f>IFERROR(VLOOKUP($D28,BS별도,MATCH(J$1,BS별도H,0),0)/100,"")</f>
        <v/>
      </c>
      <c r="K28" s="35">
        <f>J28</f>
        <v/>
      </c>
      <c r="L28" s="18">
        <f>IFERROR(VLOOKUP($D28,BS별도,MATCH(L$1,BS별도H,0),0)/100,"")</f>
        <v/>
      </c>
      <c r="M28" s="18">
        <f>IFERROR(VLOOKUP($D28,BS별도,MATCH(M$1,BS별도H,0),0)/100,"")</f>
        <v/>
      </c>
      <c r="N28" s="18">
        <f>IFERROR(VLOOKUP($D28,BS별도,MATCH(N$1,BS별도H,0),0)/100,"")</f>
        <v/>
      </c>
      <c r="O28" s="18">
        <f>IFERROR(VLOOKUP($D28,BS별도,MATCH(O$1,BS별도H,0),0)/100,"")</f>
        <v/>
      </c>
      <c r="P28" s="35">
        <f>O28</f>
        <v/>
      </c>
      <c r="Q28" s="18">
        <f>IFERROR(VLOOKUP($D28,BS별도,MATCH(Q$1,BS별도H,0),0)/100,"")</f>
        <v/>
      </c>
      <c r="R28" s="18">
        <f>IFERROR(VLOOKUP($D28,BS별도,MATCH(R$1,BS별도H,0),0)/100,"")</f>
        <v/>
      </c>
      <c r="S28" s="18">
        <f>IFERROR(VLOOKUP($D28,BS별도,MATCH(S$1,BS별도H,0),0)/100,"")</f>
        <v/>
      </c>
      <c r="T28" s="18">
        <f>IFERROR(VLOOKUP($D28,BS별도,MATCH(T$1,BS별도H,0),0)/100,"")</f>
        <v/>
      </c>
      <c r="U28" s="35">
        <f>T28</f>
        <v/>
      </c>
      <c r="V28" s="18">
        <f>IFERROR(VLOOKUP($D28,BS별도,MATCH(V$1,BS별도H,0),0)/100,"")</f>
        <v/>
      </c>
      <c r="W28" s="18">
        <f>IFERROR(VLOOKUP($D28,BS별도,MATCH(W$1,BS별도H,0),0)/100,"")</f>
        <v/>
      </c>
      <c r="X28" s="18">
        <f>IFERROR(VLOOKUP($D28,BS별도,MATCH(X$1,BS별도H,0),0)/100,"")</f>
        <v/>
      </c>
      <c r="Y28" s="18">
        <f>IFERROR(VLOOKUP($D28,BS별도,MATCH(Y$1,BS별도H,0),0)/100,"")</f>
        <v/>
      </c>
      <c r="Z28" s="35">
        <f>Y28</f>
        <v/>
      </c>
      <c r="AA28" s="18">
        <f>IFERROR(VLOOKUP($D28,BS별도,MATCH(AA$1,BS별도H,0),0)/100,"")</f>
        <v/>
      </c>
      <c r="AB28" s="36">
        <f>IFERROR(VLOOKUP($D28,BS별도,MATCH(AB$1,BS별도H,0),0)/100,"")</f>
        <v/>
      </c>
      <c r="AC28" s="37">
        <f>IFERROR(AB28*(1+변수!AC36),"")</f>
        <v/>
      </c>
      <c r="AD28" s="37">
        <f>IFERROR(AC28*(1+변수!AD36),"")</f>
        <v/>
      </c>
      <c r="AE28" s="38">
        <f>AD28</f>
        <v/>
      </c>
      <c r="AF28" s="37">
        <f>IFERROR(AD28*(1+변수!AF36),"")</f>
        <v/>
      </c>
      <c r="AG28" s="37">
        <f>IFERROR(AF28*(1+변수!AG36),"")</f>
        <v/>
      </c>
      <c r="AH28" s="37">
        <f>IFERROR(AG28*(1+변수!AH36),"")</f>
        <v/>
      </c>
      <c r="AI28" s="37">
        <f>IFERROR(AH28*(1+변수!AI36),"")</f>
        <v/>
      </c>
      <c r="AJ28" s="38">
        <f>AI28</f>
        <v/>
      </c>
      <c r="AK28" s="37">
        <f>IFERROR(AI28*(1+변수!AK36),"")</f>
        <v/>
      </c>
      <c r="AL28" s="37">
        <f>IFERROR(AK28*(1+변수!AL36),"")</f>
        <v/>
      </c>
      <c r="AM28" s="37">
        <f>IFERROR(AL28*(1+변수!AM36),"")</f>
        <v/>
      </c>
      <c r="AN28" s="37">
        <f>IFERROR(AM28*(1+변수!AN36),"")</f>
        <v/>
      </c>
      <c r="AO28" s="38">
        <f>AN28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IFERROR(VLOOKUP($D29,BS별도,MATCH(E$1,BS별도H,0),0)/100,"")</f>
        <v/>
      </c>
      <c r="F29" s="35" t="n">
        <v>32.62</v>
      </c>
      <c r="G29" s="18">
        <f>IFERROR(VLOOKUP($D29,BS별도,MATCH(G$1,BS별도H,0),0)/100,"")</f>
        <v/>
      </c>
      <c r="H29" s="18">
        <f>IFERROR(VLOOKUP($D29,BS별도,MATCH(H$1,BS별도H,0),0)/100,"")</f>
        <v/>
      </c>
      <c r="I29" s="18">
        <f>IFERROR(VLOOKUP($D29,BS별도,MATCH(I$1,BS별도H,0),0)/100,"")</f>
        <v/>
      </c>
      <c r="J29" s="18">
        <f>IFERROR(VLOOKUP($D29,BS별도,MATCH(J$1,BS별도H,0),0)/100,"")</f>
        <v/>
      </c>
      <c r="K29" s="35">
        <f>J29</f>
        <v/>
      </c>
      <c r="L29" s="18">
        <f>IFERROR(VLOOKUP($D29,BS별도,MATCH(L$1,BS별도H,0),0)/100,"")</f>
        <v/>
      </c>
      <c r="M29" s="18">
        <f>IFERROR(VLOOKUP($D29,BS별도,MATCH(M$1,BS별도H,0),0)/100,"")</f>
        <v/>
      </c>
      <c r="N29" s="18">
        <f>IFERROR(VLOOKUP($D29,BS별도,MATCH(N$1,BS별도H,0),0)/100,"")</f>
        <v/>
      </c>
      <c r="O29" s="18">
        <f>IFERROR(VLOOKUP($D29,BS별도,MATCH(O$1,BS별도H,0),0)/100,"")</f>
        <v/>
      </c>
      <c r="P29" s="35">
        <f>O29</f>
        <v/>
      </c>
      <c r="Q29" s="18">
        <f>IFERROR(VLOOKUP($D29,BS별도,MATCH(Q$1,BS별도H,0),0)/100,"")</f>
        <v/>
      </c>
      <c r="R29" s="18">
        <f>IFERROR(VLOOKUP($D29,BS별도,MATCH(R$1,BS별도H,0),0)/100,"")</f>
        <v/>
      </c>
      <c r="S29" s="18">
        <f>IFERROR(VLOOKUP($D29,BS별도,MATCH(S$1,BS별도H,0),0)/100,"")</f>
        <v/>
      </c>
      <c r="T29" s="18">
        <f>IFERROR(VLOOKUP($D29,BS별도,MATCH(T$1,BS별도H,0),0)/100,"")</f>
        <v/>
      </c>
      <c r="U29" s="35">
        <f>T29</f>
        <v/>
      </c>
      <c r="V29" s="18">
        <f>IFERROR(VLOOKUP($D29,BS별도,MATCH(V$1,BS별도H,0),0)/100,"")</f>
        <v/>
      </c>
      <c r="W29" s="18">
        <f>IFERROR(VLOOKUP($D29,BS별도,MATCH(W$1,BS별도H,0),0)/100,"")</f>
        <v/>
      </c>
      <c r="X29" s="18">
        <f>IFERROR(VLOOKUP($D29,BS별도,MATCH(X$1,BS별도H,0),0)/100,"")</f>
        <v/>
      </c>
      <c r="Y29" s="18">
        <f>IFERROR(VLOOKUP($D29,BS별도,MATCH(Y$1,BS별도H,0),0)/100,"")</f>
        <v/>
      </c>
      <c r="Z29" s="35">
        <f>Y29</f>
        <v/>
      </c>
      <c r="AA29" s="18">
        <f>IFERROR(VLOOKUP($D29,BS별도,MATCH(AA$1,BS별도H,0),0)/100,"")</f>
        <v/>
      </c>
      <c r="AB29" s="36">
        <f>IFERROR(VLOOKUP($D29,BS별도,MATCH(AB$1,BS별도H,0),0)/100,"")</f>
        <v/>
      </c>
      <c r="AC29" s="37" t="n"/>
      <c r="AD29" s="37" t="n"/>
      <c r="AE29" s="38">
        <f>AD29</f>
        <v/>
      </c>
      <c r="AF29" s="37" t="n"/>
      <c r="AG29" s="37" t="n"/>
      <c r="AH29" s="37" t="n"/>
      <c r="AI29" s="37" t="n"/>
      <c r="AJ29" s="38">
        <f>AI29</f>
        <v/>
      </c>
      <c r="AK29" s="37" t="n"/>
      <c r="AL29" s="37" t="n"/>
      <c r="AM29" s="37" t="n"/>
      <c r="AN29" s="37" t="n"/>
      <c r="AO29" s="38">
        <f>AN29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IFERROR(VLOOKUP($D30,BS별도,MATCH(E$1,BS별도H,0),0)/100,"")</f>
        <v/>
      </c>
      <c r="F30" s="35" t="n"/>
      <c r="G30" s="18">
        <f>IFERROR(VLOOKUP($D30,BS별도,MATCH(G$1,BS별도H,0),0)/100,"")</f>
        <v/>
      </c>
      <c r="H30" s="18">
        <f>IFERROR(VLOOKUP($D30,BS별도,MATCH(H$1,BS별도H,0),0)/100,"")</f>
        <v/>
      </c>
      <c r="I30" s="18">
        <f>IFERROR(VLOOKUP($D30,BS별도,MATCH(I$1,BS별도H,0),0)/100,"")</f>
        <v/>
      </c>
      <c r="J30" s="18">
        <f>IFERROR(VLOOKUP($D30,BS별도,MATCH(J$1,BS별도H,0),0)/100,"")</f>
        <v/>
      </c>
      <c r="K30" s="35">
        <f>SUM(G30:J30)</f>
        <v/>
      </c>
      <c r="L30" s="18">
        <f>IFERROR(VLOOKUP($D30,BS별도,MATCH(L$1,BS별도H,0),0)/100,"")</f>
        <v/>
      </c>
      <c r="M30" s="18">
        <f>IFERROR(VLOOKUP($D30,BS별도,MATCH(M$1,BS별도H,0),0)/100,"")</f>
        <v/>
      </c>
      <c r="N30" s="18">
        <f>IFERROR(VLOOKUP($D30,BS별도,MATCH(N$1,BS별도H,0),0)/100,"")</f>
        <v/>
      </c>
      <c r="O30" s="18">
        <f>IFERROR(VLOOKUP($D30,BS별도,MATCH(O$1,BS별도H,0),0)/100,"")</f>
        <v/>
      </c>
      <c r="P30" s="35">
        <f>SUM(L30:O30)</f>
        <v/>
      </c>
      <c r="Q30" s="18">
        <f>IFERROR(VLOOKUP($D30,BS별도,MATCH(Q$1,BS별도H,0),0)/100,"")</f>
        <v/>
      </c>
      <c r="R30" s="18">
        <f>IFERROR(VLOOKUP($D30,BS별도,MATCH(R$1,BS별도H,0),0)/100,"")</f>
        <v/>
      </c>
      <c r="S30" s="18">
        <f>IFERROR(VLOOKUP($D30,BS별도,MATCH(S$1,BS별도H,0),0)/100,"")</f>
        <v/>
      </c>
      <c r="T30" s="18">
        <f>IFERROR(VLOOKUP($D30,BS별도,MATCH(T$1,BS별도H,0),0)/100,"")</f>
        <v/>
      </c>
      <c r="U30" s="35">
        <f>SUM(Q30:T30)</f>
        <v/>
      </c>
      <c r="V30" s="18">
        <f>IFERROR(VLOOKUP($D30,BS별도,MATCH(V$1,BS별도H,0),0)/100,"")</f>
        <v/>
      </c>
      <c r="W30" s="18">
        <f>IFERROR(VLOOKUP($D30,BS별도,MATCH(W$1,BS별도H,0),0)/100,"")</f>
        <v/>
      </c>
      <c r="X30" s="18">
        <f>IFERROR(VLOOKUP($D30,BS별도,MATCH(X$1,BS별도H,0),0)/100,"")</f>
        <v/>
      </c>
      <c r="Y30" s="18">
        <f>IFERROR(VLOOKUP($D30,BS별도,MATCH(Y$1,BS별도H,0),0)/100,"")</f>
        <v/>
      </c>
      <c r="Z30" s="35">
        <f>SUM(V30:Y30)</f>
        <v/>
      </c>
      <c r="AA30" s="18" t="n"/>
      <c r="AB30" s="36" t="n"/>
      <c r="AC30" s="37">
        <f>IFERROR(X30*(1+변수!AC38),"")</f>
        <v/>
      </c>
      <c r="AD30" s="37">
        <f>IFERROR(Y30*(1+변수!AD38),"")</f>
        <v/>
      </c>
      <c r="AE30" s="38">
        <f>SUM(AA30:AD30)</f>
        <v/>
      </c>
      <c r="AF30" s="37">
        <f>IFERROR(AD30*(1+변수!AF38),"")</f>
        <v/>
      </c>
      <c r="AG30" s="37">
        <f>IFERROR(AF30*(1+변수!AG38),"")</f>
        <v/>
      </c>
      <c r="AH30" s="37">
        <f>IFERROR(AC30*(1+변수!AH38),"")</f>
        <v/>
      </c>
      <c r="AI30" s="37">
        <f>IFERROR(AD30*(1+변수!AI38),"")</f>
        <v/>
      </c>
      <c r="AJ30" s="38">
        <f>SUM(AF30:AI30)</f>
        <v/>
      </c>
      <c r="AK30" s="37">
        <f>IFERROR(AF30*(1+변수!AK38),"")</f>
        <v/>
      </c>
      <c r="AL30" s="37">
        <f>IFERROR(AG30*(1+변수!AL38),"")</f>
        <v/>
      </c>
      <c r="AM30" s="37">
        <f>IFERROR(AH30*(1+변수!AM38),"")</f>
        <v/>
      </c>
      <c r="AN30" s="37">
        <f>IFERROR(AI30*(1+변수!AN38),"")</f>
        <v/>
      </c>
      <c r="AO30" s="38">
        <f>SUM(AK30:AN30)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IFERROR(VLOOKUP($D31,BS별도,MATCH(E$1,BS별도H,0),0)/100,"")</f>
        <v/>
      </c>
      <c r="F31" s="35" t="n"/>
      <c r="G31" s="18">
        <f>IFERROR(VLOOKUP($D31,BS별도,MATCH(G$1,BS별도H,0),0)/100,"")</f>
        <v/>
      </c>
      <c r="H31" s="18">
        <f>IFERROR(VLOOKUP($D31,BS별도,MATCH(H$1,BS별도H,0),0)/100,"")</f>
        <v/>
      </c>
      <c r="I31" s="18">
        <f>IFERROR(VLOOKUP($D31,BS별도,MATCH(I$1,BS별도H,0),0)/100,"")</f>
        <v/>
      </c>
      <c r="J31" s="18">
        <f>IFERROR(VLOOKUP($D31,BS별도,MATCH(J$1,BS별도H,0),0)/100,"")</f>
        <v/>
      </c>
      <c r="K31" s="35">
        <f>SUM(G31:J31)</f>
        <v/>
      </c>
      <c r="L31" s="18">
        <f>IFERROR(VLOOKUP($D31,BS별도,MATCH(L$1,BS별도H,0),0)/100,"")</f>
        <v/>
      </c>
      <c r="M31" s="18">
        <f>IFERROR(VLOOKUP($D31,BS별도,MATCH(M$1,BS별도H,0),0)/100,"")</f>
        <v/>
      </c>
      <c r="N31" s="18">
        <f>IFERROR(VLOOKUP($D31,BS별도,MATCH(N$1,BS별도H,0),0)/100,"")</f>
        <v/>
      </c>
      <c r="O31" s="18">
        <f>IFERROR(VLOOKUP($D31,BS별도,MATCH(O$1,BS별도H,0),0)/100,"")</f>
        <v/>
      </c>
      <c r="P31" s="35">
        <f>SUM(L31:O31)</f>
        <v/>
      </c>
      <c r="Q31" s="18">
        <f>IFERROR(VLOOKUP($D31,BS별도,MATCH(Q$1,BS별도H,0),0)/100,"")</f>
        <v/>
      </c>
      <c r="R31" s="18">
        <f>IFERROR(VLOOKUP($D31,BS별도,MATCH(R$1,BS별도H,0),0)/100,"")</f>
        <v/>
      </c>
      <c r="S31" s="18">
        <f>IFERROR(VLOOKUP($D31,BS별도,MATCH(S$1,BS별도H,0),0)/100,"")</f>
        <v/>
      </c>
      <c r="T31" s="18">
        <f>IFERROR(VLOOKUP($D31,BS별도,MATCH(T$1,BS별도H,0),0)/100,"")</f>
        <v/>
      </c>
      <c r="U31" s="35">
        <f>SUM(Q31:T31)</f>
        <v/>
      </c>
      <c r="V31" s="18">
        <f>IFERROR(VLOOKUP($D31,BS별도,MATCH(V$1,BS별도H,0),0)/100,"")</f>
        <v/>
      </c>
      <c r="W31" s="18">
        <f>IFERROR(VLOOKUP($D31,BS별도,MATCH(W$1,BS별도H,0),0)/100,"")</f>
        <v/>
      </c>
      <c r="X31" s="18">
        <f>IFERROR(VLOOKUP($D31,BS별도,MATCH(X$1,BS별도H,0),0)/100,"")</f>
        <v/>
      </c>
      <c r="Y31" s="18">
        <f>IFERROR(VLOOKUP($D31,BS별도,MATCH(Y$1,BS별도H,0),0)/100,"")</f>
        <v/>
      </c>
      <c r="Z31" s="35">
        <f>SUM(V31:Y31)</f>
        <v/>
      </c>
      <c r="AA31" s="18">
        <f>IFERROR(VLOOKUP($D31,BS별도,MATCH(AA$1,BS별도H,0),0)/100,"")</f>
        <v/>
      </c>
      <c r="AB31" s="36">
        <f>IFERROR(VLOOKUP($D31,BS별도,MATCH(AB$1,BS별도H,0),0)/100,"")</f>
        <v/>
      </c>
      <c r="AC31" s="37" t="n"/>
      <c r="AD31" s="37" t="n"/>
      <c r="AE31" s="38">
        <f>SUM(AA31:AD31)</f>
        <v/>
      </c>
      <c r="AF31" s="37" t="n"/>
      <c r="AG31" s="37" t="n"/>
      <c r="AH31" s="37" t="n"/>
      <c r="AI31" s="37" t="n"/>
      <c r="AJ31" s="38">
        <f>SUM(AF31:AI31)</f>
        <v/>
      </c>
      <c r="AK31" s="37" t="n"/>
      <c r="AL31" s="37" t="n"/>
      <c r="AM31" s="37" t="n"/>
      <c r="AN31" s="37" t="n"/>
      <c r="AO31" s="38">
        <f>SUM(AK31:AN31)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5" t="n">
        <v>10.206</v>
      </c>
      <c r="F32" s="26">
        <f>E32</f>
        <v/>
      </c>
      <c r="G32" s="25" t="n">
        <v>10.206</v>
      </c>
      <c r="H32" s="25" t="n">
        <v>10.206</v>
      </c>
      <c r="I32" s="25" t="n">
        <v>10.206</v>
      </c>
      <c r="J32" s="25" t="n">
        <v>10.206</v>
      </c>
      <c r="K32" s="26">
        <f>J32</f>
        <v/>
      </c>
      <c r="L32" s="25" t="n">
        <v>10.206</v>
      </c>
      <c r="M32" s="25" t="n">
        <v>10.833</v>
      </c>
      <c r="N32" s="25" t="n">
        <v>10.833</v>
      </c>
      <c r="O32" s="25" t="n">
        <v>12.323</v>
      </c>
      <c r="P32" s="26">
        <f>O32</f>
        <v/>
      </c>
      <c r="Q32" s="25" t="n">
        <v>12.323</v>
      </c>
      <c r="R32" s="25" t="n">
        <v>13.361</v>
      </c>
      <c r="S32" s="25" t="n">
        <v>13.361</v>
      </c>
      <c r="T32" s="25" t="n">
        <v>15.925</v>
      </c>
      <c r="U32" s="26">
        <f>T32</f>
        <v/>
      </c>
      <c r="V32" s="25" t="n">
        <v>15.925</v>
      </c>
      <c r="W32" s="25" t="n">
        <v>16.094</v>
      </c>
      <c r="X32" s="25" t="n">
        <v>16.094</v>
      </c>
      <c r="Y32" s="25" t="n">
        <v>16.094</v>
      </c>
      <c r="Z32" s="26">
        <f>Y32</f>
        <v/>
      </c>
      <c r="AA32" s="25" t="n">
        <v>16.094</v>
      </c>
      <c r="AB32" s="27" t="n">
        <v>16.094</v>
      </c>
      <c r="AC32" s="31">
        <f>IFERROR(AB32*(1+변수!AC40),"")</f>
        <v/>
      </c>
      <c r="AD32" s="31">
        <f>IFERROR(AC32*(1+변수!AD40),"")</f>
        <v/>
      </c>
      <c r="AE32" s="29">
        <f>AD32</f>
        <v/>
      </c>
      <c r="AF32" s="31">
        <f>IFERROR(AD32*(1+변수!AF40),"")</f>
        <v/>
      </c>
      <c r="AG32" s="31">
        <f>IFERROR(AF32*(1+변수!AG40),"")</f>
        <v/>
      </c>
      <c r="AH32" s="31">
        <f>IFERROR(AG32*(1+변수!AH40),"")</f>
        <v/>
      </c>
      <c r="AI32" s="31">
        <f>IFERROR(AH32*(1+변수!AI40),"")</f>
        <v/>
      </c>
      <c r="AJ32" s="29">
        <f>AI32</f>
        <v/>
      </c>
      <c r="AK32" s="31">
        <f>IFERROR(AI32*(1+변수!AK40),"")</f>
        <v/>
      </c>
      <c r="AL32" s="31">
        <f>IFERROR(AK32*(1+변수!AL40),"")</f>
        <v/>
      </c>
      <c r="AM32" s="31">
        <f>IFERROR(AL32*(1+변수!AM40),"")</f>
        <v/>
      </c>
      <c r="AN32" s="31">
        <f>IFERROR(AM32*(1+변수!AN40),"")</f>
        <v/>
      </c>
      <c r="AO32" s="29">
        <f>AN32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IFERROR(E21*100/E32,"")</f>
        <v/>
      </c>
      <c r="F33" s="35" t="n"/>
      <c r="G33" s="18">
        <f>IFERROR(G21*100/G32,"")</f>
        <v/>
      </c>
      <c r="H33" s="18">
        <f>IFERROR(H21*100/H32,"")</f>
        <v/>
      </c>
      <c r="I33" s="18">
        <f>IFERROR(I21*100/I32,"")</f>
        <v/>
      </c>
      <c r="J33" s="18">
        <f>IFERROR(J21*100/J32,"")</f>
        <v/>
      </c>
      <c r="K33" s="35">
        <f>SUM(G33:J33)</f>
        <v/>
      </c>
      <c r="L33" s="18">
        <f>IFERROR(L21*100/L32,"")</f>
        <v/>
      </c>
      <c r="M33" s="18">
        <f>IFERROR(M21*100/M32,"")</f>
        <v/>
      </c>
      <c r="N33" s="18">
        <f>IFERROR(N21*100/N32,"")</f>
        <v/>
      </c>
      <c r="O33" s="18">
        <f>IFERROR(O21*100/O32,"")</f>
        <v/>
      </c>
      <c r="P33" s="35">
        <f>SUM(L33:O33)</f>
        <v/>
      </c>
      <c r="Q33" s="18">
        <f>IFERROR(Q21*100/Q32,"")</f>
        <v/>
      </c>
      <c r="R33" s="18">
        <f>IFERROR(R21*100/R32,"")</f>
        <v/>
      </c>
      <c r="S33" s="18">
        <f>IFERROR(S21*100/S32,"")</f>
        <v/>
      </c>
      <c r="T33" s="18">
        <f>IFERROR(T21*100/T32,"")</f>
        <v/>
      </c>
      <c r="U33" s="35">
        <f>SUM(Q33:T33)</f>
        <v/>
      </c>
      <c r="V33" s="18">
        <f>IFERROR(V21*100/V32,"")</f>
        <v/>
      </c>
      <c r="W33" s="18">
        <f>IFERROR(W21*100/W32,"")</f>
        <v/>
      </c>
      <c r="X33" s="18">
        <f>IFERROR(X21*100/X32,"")</f>
        <v/>
      </c>
      <c r="Y33" s="18">
        <f>IFERROR(Y21*100/Y32,"")</f>
        <v/>
      </c>
      <c r="Z33" s="35">
        <f>SUM(V33:Y33)</f>
        <v/>
      </c>
      <c r="AA33" s="18">
        <f>IFERROR(AA21*100/AA32,"")</f>
        <v/>
      </c>
      <c r="AB33" s="36">
        <f>IFERROR(AB21*100/AB32,"")</f>
        <v/>
      </c>
      <c r="AC33" s="37">
        <f>IFERROR(AC21*100/AC32,"")</f>
        <v/>
      </c>
      <c r="AD33" s="37">
        <f>IFERROR(AD21*100/AD32,"")</f>
        <v/>
      </c>
      <c r="AE33" s="38">
        <f>SUM(AA33:AD33)</f>
        <v/>
      </c>
      <c r="AF33" s="37">
        <f>IFERROR(AF21*100/AF32,"")</f>
        <v/>
      </c>
      <c r="AG33" s="37">
        <f>IFERROR(AG21*100/AG32,"")</f>
        <v/>
      </c>
      <c r="AH33" s="37">
        <f>IFERROR(AH21*100/AH32,"")</f>
        <v/>
      </c>
      <c r="AI33" s="37">
        <f>IFERROR(AI21*100/AI32,"")</f>
        <v/>
      </c>
      <c r="AJ33" s="38">
        <f>SUM(AF33:AI33)</f>
        <v/>
      </c>
      <c r="AK33" s="37">
        <f>IFERROR(AK21*100/AK32,"")</f>
        <v/>
      </c>
      <c r="AL33" s="37">
        <f>IFERROR(AL21*100/AL32,"")</f>
        <v/>
      </c>
      <c r="AM33" s="37">
        <f>IFERROR(AM21*100/AM32,"")</f>
        <v/>
      </c>
      <c r="AN33" s="37">
        <f>IFERROR(AN21*100/AN32,"")</f>
        <v/>
      </c>
      <c r="AO33" s="38">
        <f>SUM(AK33:AN33)</f>
        <v/>
      </c>
    </row>
    <row r="34">
      <c r="A34" s="12" t="inlineStr">
        <is>
          <t>BPS</t>
        </is>
      </c>
      <c r="B34" t="inlineStr">
        <is>
          <t>주당</t>
        </is>
      </c>
      <c r="C34" t="inlineStr">
        <is>
          <t>원</t>
        </is>
      </c>
      <c r="D34" t="inlineStr">
        <is>
          <t>BPS</t>
        </is>
      </c>
      <c r="E34" s="18">
        <f>IFERROR(E25*100/E32,"")</f>
        <v/>
      </c>
      <c r="F34" s="35">
        <f>E34</f>
        <v/>
      </c>
      <c r="G34" s="18">
        <f>IFERROR(G25*100/G32,"")</f>
        <v/>
      </c>
      <c r="H34" s="18">
        <f>IFERROR(H25*100/H32,"")</f>
        <v/>
      </c>
      <c r="I34" s="18">
        <f>IFERROR(I25*100/I32,"")</f>
        <v/>
      </c>
      <c r="J34" s="18">
        <f>IFERROR(J25*100/J32,"")</f>
        <v/>
      </c>
      <c r="K34" s="35">
        <f>J34</f>
        <v/>
      </c>
      <c r="L34" s="18">
        <f>IFERROR(L25*100/L32,"")</f>
        <v/>
      </c>
      <c r="M34" s="18">
        <f>IFERROR(M25*100/M32,"")</f>
        <v/>
      </c>
      <c r="N34" s="18">
        <f>IFERROR(N25*100/N32,"")</f>
        <v/>
      </c>
      <c r="O34" s="18">
        <f>IFERROR(O25*100/O32,"")</f>
        <v/>
      </c>
      <c r="P34" s="35">
        <f>O34</f>
        <v/>
      </c>
      <c r="Q34" s="18">
        <f>IFERROR(Q25*100/Q32,"")</f>
        <v/>
      </c>
      <c r="R34" s="18">
        <f>IFERROR(R25*100/R32,"")</f>
        <v/>
      </c>
      <c r="S34" s="18">
        <f>IFERROR(S25*100/S32,"")</f>
        <v/>
      </c>
      <c r="T34" s="18">
        <f>IFERROR(T25*100/T32,"")</f>
        <v/>
      </c>
      <c r="U34" s="35">
        <f>T34</f>
        <v/>
      </c>
      <c r="V34" s="18">
        <f>IFERROR(V25*100/V32,"")</f>
        <v/>
      </c>
      <c r="W34" s="18">
        <f>IFERROR(W25*100/W32,"")</f>
        <v/>
      </c>
      <c r="X34" s="18">
        <f>IFERROR(X25*100/X32,"")</f>
        <v/>
      </c>
      <c r="Y34" s="18">
        <f>IFERROR(Y25*100/Y32,"")</f>
        <v/>
      </c>
      <c r="Z34" s="35">
        <f>Y34</f>
        <v/>
      </c>
      <c r="AA34" s="18">
        <f>IFERROR(AA25*100/AA32,"")</f>
        <v/>
      </c>
      <c r="AB34" s="36">
        <f>IFERROR(AB25*100/AB32,"")</f>
        <v/>
      </c>
      <c r="AC34" s="37">
        <f>IFERROR(AC25*100/AC32,"")</f>
        <v/>
      </c>
      <c r="AD34" s="37">
        <f>IFERROR(AD25*100/AD32,"")</f>
        <v/>
      </c>
      <c r="AE34" s="38">
        <f>AD34</f>
        <v/>
      </c>
      <c r="AF34" s="37">
        <f>IFERROR(AF25*100/AF32,"")</f>
        <v/>
      </c>
      <c r="AG34" s="37">
        <f>IFERROR(AG25*100/AG32,"")</f>
        <v/>
      </c>
      <c r="AH34" s="37">
        <f>IFERROR(AH25*100/AH32,"")</f>
        <v/>
      </c>
      <c r="AI34" s="37">
        <f>IFERROR(AI25*100/AI32,"")</f>
        <v/>
      </c>
      <c r="AJ34" s="38">
        <f>AI34</f>
        <v/>
      </c>
      <c r="AK34" s="37">
        <f>IFERROR(AK25*100/AK32,"")</f>
        <v/>
      </c>
      <c r="AL34" s="37">
        <f>IFERROR(AL25*100/AL32,"")</f>
        <v/>
      </c>
      <c r="AM34" s="37">
        <f>IFERROR(AM25*100/AM32,"")</f>
        <v/>
      </c>
      <c r="AN34" s="37">
        <f>IFERROR(AN25*100/AN32,"")</f>
        <v/>
      </c>
      <c r="AO34" s="38">
        <f>AN34</f>
        <v/>
      </c>
    </row>
    <row r="35">
      <c r="A35" s="12" t="inlineStr">
        <is>
          <t>DPS</t>
        </is>
      </c>
      <c r="B35" t="inlineStr">
        <is>
          <t>주당</t>
        </is>
      </c>
      <c r="C35" t="inlineStr">
        <is>
          <t>원</t>
        </is>
      </c>
      <c r="D35" t="inlineStr">
        <is>
          <t>DPS(보통주)</t>
        </is>
      </c>
      <c r="E35" s="18" t="n">
        <v>0</v>
      </c>
      <c r="F35" s="35" t="n">
        <v>0</v>
      </c>
      <c r="G35" s="18" t="n"/>
      <c r="H35" s="18" t="n"/>
      <c r="I35" s="18" t="n"/>
      <c r="J35" s="18" t="n">
        <v>0</v>
      </c>
      <c r="K35" s="35">
        <f>SUM(G35:J35)</f>
        <v/>
      </c>
      <c r="L35" s="18" t="n"/>
      <c r="M35" s="18" t="n"/>
      <c r="N35" s="18" t="n"/>
      <c r="O35" s="18" t="n">
        <v>0</v>
      </c>
      <c r="P35" s="35">
        <f>SUM(L35:O35)</f>
        <v/>
      </c>
      <c r="Q35" s="18" t="n"/>
      <c r="R35" s="18" t="n"/>
      <c r="S35" s="18" t="n"/>
      <c r="T35" s="18" t="n">
        <v>0</v>
      </c>
      <c r="U35" s="35">
        <f>SUM(Q35:T35)</f>
        <v/>
      </c>
      <c r="V35" s="18" t="n"/>
      <c r="W35" s="18" t="n"/>
      <c r="X35" s="18" t="n"/>
      <c r="Y35" s="18" t="n">
        <v>0</v>
      </c>
      <c r="Z35" s="35">
        <f>SUM(V35:Y35)</f>
        <v/>
      </c>
      <c r="AA35" s="18" t="n"/>
      <c r="AB35" s="36" t="n"/>
      <c r="AC35" s="37" t="n"/>
      <c r="AD35" s="37">
        <f>변수!AD41</f>
        <v/>
      </c>
      <c r="AE35" s="38">
        <f>SUM(AA35:AD35)</f>
        <v/>
      </c>
      <c r="AF35" s="37" t="n"/>
      <c r="AG35" s="37" t="n"/>
      <c r="AH35" s="37" t="n"/>
      <c r="AI35" s="37">
        <f>변수!AI41</f>
        <v/>
      </c>
      <c r="AJ35" s="38">
        <f>SUM(AF35:AI35)</f>
        <v/>
      </c>
      <c r="AK35" s="37" t="n"/>
      <c r="AL35" s="37" t="n"/>
      <c r="AM35" s="37" t="n"/>
      <c r="AN35" s="37">
        <f>변수!AN41</f>
        <v/>
      </c>
      <c r="AO35" s="38">
        <f>SUM(AK35:AN35)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>
        <f>IFERROR(변수!E18/E34,"")</f>
        <v/>
      </c>
      <c r="F36" s="14">
        <f>E36</f>
        <v/>
      </c>
      <c r="G36" s="13">
        <f>IFERROR(변수!G18/G34,"")</f>
        <v/>
      </c>
      <c r="H36" s="13">
        <f>IFERROR(변수!H18/H34,"")</f>
        <v/>
      </c>
      <c r="I36" s="13">
        <f>IFERROR(변수!I18/I34,"")</f>
        <v/>
      </c>
      <c r="J36" s="13">
        <f>IFERROR(변수!J18/J34,"")</f>
        <v/>
      </c>
      <c r="K36" s="14">
        <f>J36</f>
        <v/>
      </c>
      <c r="L36" s="13">
        <f>IFERROR(변수!L18/L34,"")</f>
        <v/>
      </c>
      <c r="M36" s="13">
        <f>IFERROR(변수!M18/M34,"")</f>
        <v/>
      </c>
      <c r="N36" s="13">
        <f>IFERROR(변수!N18/N34,"")</f>
        <v/>
      </c>
      <c r="O36" s="13">
        <f>IFERROR(변수!O18/O34,"")</f>
        <v/>
      </c>
      <c r="P36" s="14">
        <f>O36</f>
        <v/>
      </c>
      <c r="Q36" s="13">
        <f>IFERROR(변수!Q18/Q34,"")</f>
        <v/>
      </c>
      <c r="R36" s="13">
        <f>IFERROR(변수!R18/R34,"")</f>
        <v/>
      </c>
      <c r="S36" s="13">
        <f>IFERROR(변수!S18/S34,"")</f>
        <v/>
      </c>
      <c r="T36" s="13">
        <f>IFERROR(변수!T18/T34,"")</f>
        <v/>
      </c>
      <c r="U36" s="14">
        <f>T36</f>
        <v/>
      </c>
      <c r="V36" s="13">
        <f>IFERROR(변수!V18/V34,"")</f>
        <v/>
      </c>
      <c r="W36" s="13" t="n"/>
      <c r="X36" s="13" t="n"/>
      <c r="Y36" s="13" t="n"/>
      <c r="Z36" s="14">
        <f>Y36</f>
        <v/>
      </c>
      <c r="AA36" s="13" t="n"/>
      <c r="AB36" s="15" t="n"/>
      <c r="AC36" s="39">
        <f>IFERROR(변수!$D$44/AC34,"")</f>
        <v/>
      </c>
      <c r="AD36" s="39">
        <f>IFERROR(변수!$D$44/AD34,"")</f>
        <v/>
      </c>
      <c r="AE36" s="40">
        <f>AD36</f>
        <v/>
      </c>
      <c r="AF36" s="39">
        <f>IFERROR(변수!$D$44/AF34,"")</f>
        <v/>
      </c>
      <c r="AG36" s="39">
        <f>IFERROR(변수!$D$44/AG34,"")</f>
        <v/>
      </c>
      <c r="AH36" s="39">
        <f>IFERROR(변수!$D$44/AH34,"")</f>
        <v/>
      </c>
      <c r="AI36" s="39">
        <f>IFERROR(변수!$D$44/AI34,"")</f>
        <v/>
      </c>
      <c r="AJ36" s="40">
        <f>AI36</f>
        <v/>
      </c>
      <c r="AK36" s="39">
        <f>IFERROR(변수!$D$44/AK34,"")</f>
        <v/>
      </c>
      <c r="AL36" s="39">
        <f>IFERROR(변수!$D$44/AL34,"")</f>
        <v/>
      </c>
      <c r="AM36" s="39">
        <f>IFERROR(변수!$D$44/AM34,"")</f>
        <v/>
      </c>
      <c r="AN36" s="39">
        <f>IFERROR(변수!$D$44/AN34,"")</f>
        <v/>
      </c>
      <c r="AO36" s="40">
        <f>AN36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>
        <v>159.93</v>
      </c>
      <c r="F37" s="35" t="n"/>
      <c r="G37" s="18" t="n">
        <v>45.7</v>
      </c>
      <c r="H37" s="18" t="n">
        <v>82.47</v>
      </c>
      <c r="I37" s="18" t="n">
        <v>75.90000000000001</v>
      </c>
      <c r="J37" s="18" t="n">
        <v>114.95</v>
      </c>
      <c r="K37" s="35">
        <f>SUM(G37:J37)</f>
        <v/>
      </c>
      <c r="L37" s="18" t="n">
        <v>75.41</v>
      </c>
      <c r="M37" s="18" t="n">
        <v>95.67</v>
      </c>
      <c r="N37" s="18" t="n">
        <v>76.86</v>
      </c>
      <c r="O37" s="18" t="n">
        <v>85.45</v>
      </c>
      <c r="P37" s="35">
        <f>SUM(L37:O37)</f>
        <v/>
      </c>
      <c r="Q37" s="18" t="n">
        <v>58.22</v>
      </c>
      <c r="R37" s="18" t="n">
        <v>97.06999999999999</v>
      </c>
      <c r="S37" s="18" t="n">
        <v>65.33</v>
      </c>
      <c r="T37" s="18" t="n">
        <v>140.41</v>
      </c>
      <c r="U37" s="35">
        <f>SUM(Q37:T37)</f>
        <v/>
      </c>
      <c r="V37" s="18" t="n">
        <v>47.06</v>
      </c>
      <c r="W37" s="18" t="n">
        <v>81.17</v>
      </c>
      <c r="X37" s="18" t="n">
        <v>90.64</v>
      </c>
      <c r="Y37" s="18" t="n">
        <v>113.74</v>
      </c>
      <c r="Z37" s="35">
        <f>SUM(V37:Y37)</f>
        <v/>
      </c>
      <c r="AA37" s="18" t="n">
        <v>50.77</v>
      </c>
      <c r="AB37" s="36" t="n">
        <v>61.26</v>
      </c>
      <c r="AC37" s="37">
        <f>IFERROR(AC5,"")</f>
        <v/>
      </c>
      <c r="AD37" s="37">
        <f>IFERROR(AD5,"")</f>
        <v/>
      </c>
      <c r="AE37" s="38">
        <f>SUM(AA37:AD37)</f>
        <v/>
      </c>
      <c r="AF37" s="37">
        <f>IFERROR(AF5,"")</f>
        <v/>
      </c>
      <c r="AG37" s="37">
        <f>IFERROR(AG5,"")</f>
        <v/>
      </c>
      <c r="AH37" s="37">
        <f>IFERROR(AH5,"")</f>
        <v/>
      </c>
      <c r="AI37" s="37">
        <f>IFERROR(AI5,"")</f>
        <v/>
      </c>
      <c r="AJ37" s="38">
        <f>SUM(AF37:AI37)</f>
        <v/>
      </c>
      <c r="AK37" s="37">
        <f>IFERROR(AK5,"")</f>
        <v/>
      </c>
      <c r="AL37" s="37">
        <f>IFERROR(AL5,"")</f>
        <v/>
      </c>
      <c r="AM37" s="37">
        <f>IFERROR(AM5,"")</f>
        <v/>
      </c>
      <c r="AN37" s="37">
        <f>IFERROR(AN5,"")</f>
        <v/>
      </c>
      <c r="AO37" s="38">
        <f>SUM(AK37:AN37)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>
        <v>40.77</v>
      </c>
      <c r="F38" s="35" t="n"/>
      <c r="G38" s="18" t="n">
        <v>-34.99</v>
      </c>
      <c r="H38" s="18" t="n">
        <v>-68.53</v>
      </c>
      <c r="I38" s="18" t="n">
        <v>-14.49</v>
      </c>
      <c r="J38" s="18" t="n">
        <v>-83.45</v>
      </c>
      <c r="K38" s="35">
        <f>SUM(G38:J38)</f>
        <v/>
      </c>
      <c r="L38" s="18" t="n">
        <v>-26.24</v>
      </c>
      <c r="M38" s="18" t="n">
        <v>-1.68</v>
      </c>
      <c r="N38" s="18" t="n">
        <v>-14</v>
      </c>
      <c r="O38" s="18" t="n">
        <v>-19.34</v>
      </c>
      <c r="P38" s="35">
        <f>SUM(L38:O38)</f>
        <v/>
      </c>
      <c r="Q38" s="18" t="n">
        <v>-12.64</v>
      </c>
      <c r="R38" s="18" t="n">
        <v>-16.12</v>
      </c>
      <c r="S38" s="18" t="n">
        <v>-7.92</v>
      </c>
      <c r="T38" s="18" t="n">
        <v>-22.65</v>
      </c>
      <c r="U38" s="35">
        <f>SUM(Q38:T38)</f>
        <v/>
      </c>
      <c r="V38" s="18" t="n">
        <v>-13.25</v>
      </c>
      <c r="W38" s="18" t="n">
        <v>14.29</v>
      </c>
      <c r="X38" s="18" t="n">
        <v>-4.86</v>
      </c>
      <c r="Y38" s="18" t="n">
        <v>1.88</v>
      </c>
      <c r="Z38" s="35">
        <f>SUM(V38:Y38)</f>
        <v/>
      </c>
      <c r="AA38" s="18" t="n">
        <v>-3.23</v>
      </c>
      <c r="AB38" s="36" t="n">
        <v>8.69</v>
      </c>
      <c r="AC38" s="37">
        <f>IFERROR(AC9,"")</f>
        <v/>
      </c>
      <c r="AD38" s="37">
        <f>IFERROR(AD9,"")</f>
        <v/>
      </c>
      <c r="AE38" s="38">
        <f>SUM(AA38:AD38)</f>
        <v/>
      </c>
      <c r="AF38" s="37">
        <f>IFERROR(AF9,"")</f>
        <v/>
      </c>
      <c r="AG38" s="37">
        <f>IFERROR(AG9,"")</f>
        <v/>
      </c>
      <c r="AH38" s="37">
        <f>IFERROR(AH9,"")</f>
        <v/>
      </c>
      <c r="AI38" s="37">
        <f>IFERROR(AI9,"")</f>
        <v/>
      </c>
      <c r="AJ38" s="38">
        <f>SUM(AF38:AI38)</f>
        <v/>
      </c>
      <c r="AK38" s="37">
        <f>IFERROR(AK9,"")</f>
        <v/>
      </c>
      <c r="AL38" s="37">
        <f>IFERROR(AL9,"")</f>
        <v/>
      </c>
      <c r="AM38" s="37">
        <f>IFERROR(AM9,"")</f>
        <v/>
      </c>
      <c r="AN38" s="37">
        <f>IFERROR(AN9,"")</f>
        <v/>
      </c>
      <c r="AO38" s="38">
        <f>SUM(AK38:AN38)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19">
        <f>IFERROR(E21/E5,"")</f>
        <v/>
      </c>
      <c r="F40" s="20">
        <f>IFERROR(F21/F5,"")</f>
        <v/>
      </c>
      <c r="G40" s="19">
        <f>IFERROR(G21/G5,"")</f>
        <v/>
      </c>
      <c r="H40" s="19">
        <f>IFERROR(H21/H5,"")</f>
        <v/>
      </c>
      <c r="I40" s="19">
        <f>IFERROR(I21/I5,"")</f>
        <v/>
      </c>
      <c r="J40" s="19">
        <f>IFERROR(J21/J5,"")</f>
        <v/>
      </c>
      <c r="K40" s="20">
        <f>IFERROR(K21/K5,"")</f>
        <v/>
      </c>
      <c r="L40" s="19">
        <f>IFERROR(L21/L5,"")</f>
        <v/>
      </c>
      <c r="M40" s="19">
        <f>IFERROR(M21/M5,"")</f>
        <v/>
      </c>
      <c r="N40" s="19">
        <f>IFERROR(N21/N5,"")</f>
        <v/>
      </c>
      <c r="O40" s="19">
        <f>IFERROR(O21/O5,"")</f>
        <v/>
      </c>
      <c r="P40" s="20">
        <f>IFERROR(P21/P5,"")</f>
        <v/>
      </c>
      <c r="Q40" s="19">
        <f>IFERROR(Q21/Q5,"")</f>
        <v/>
      </c>
      <c r="R40" s="19">
        <f>IFERROR(R21/R5,"")</f>
        <v/>
      </c>
      <c r="S40" s="19">
        <f>IFERROR(S21/S5,"")</f>
        <v/>
      </c>
      <c r="T40" s="19">
        <f>IFERROR(T21/T5,"")</f>
        <v/>
      </c>
      <c r="U40" s="20">
        <f>IFERROR(U21/U5,"")</f>
        <v/>
      </c>
      <c r="V40" s="19">
        <f>IFERROR(V21/V5,"")</f>
        <v/>
      </c>
      <c r="W40" s="19">
        <f>IFERROR(W21/W5,"")</f>
        <v/>
      </c>
      <c r="X40" s="19">
        <f>IFERROR(X21/X5,"")</f>
        <v/>
      </c>
      <c r="Y40" s="19">
        <f>IFERROR(Y21/Y5,"")</f>
        <v/>
      </c>
      <c r="Z40" s="20">
        <f>IFERROR(Z21/Z5,"")</f>
        <v/>
      </c>
      <c r="AA40" s="19">
        <f>IFERROR(AA21/AA5,"")</f>
        <v/>
      </c>
      <c r="AB40" s="21">
        <f>IFERROR(AB21/AB5,"")</f>
        <v/>
      </c>
      <c r="AC40" s="30">
        <f>IFERROR(AC21/AC5,"")</f>
        <v/>
      </c>
      <c r="AD40" s="30">
        <f>IFERROR(AD21/AD5,"")</f>
        <v/>
      </c>
      <c r="AE40" s="23">
        <f>IFERROR(AE21/AE5,"")</f>
        <v/>
      </c>
      <c r="AF40" s="30">
        <f>IFERROR(AF21/AF5,"")</f>
        <v/>
      </c>
      <c r="AG40" s="30">
        <f>IFERROR(AG21/AG5,"")</f>
        <v/>
      </c>
      <c r="AH40" s="30">
        <f>IFERROR(AH21/AH5,"")</f>
        <v/>
      </c>
      <c r="AI40" s="30">
        <f>IFERROR(AI21/AI5,"")</f>
        <v/>
      </c>
      <c r="AJ40" s="23">
        <f>IFERROR(AJ21/AJ5,"")</f>
        <v/>
      </c>
      <c r="AK40" s="30">
        <f>IFERROR(AK21/AK5,"")</f>
        <v/>
      </c>
      <c r="AL40" s="30">
        <f>IFERROR(AL21/AL5,"")</f>
        <v/>
      </c>
      <c r="AM40" s="30">
        <f>IFERROR(AM21/AM5,"")</f>
        <v/>
      </c>
      <c r="AN40" s="30">
        <f>IFERROR(AN21/AN5,"")</f>
        <v/>
      </c>
      <c r="AO40" s="23">
        <f>IFERROR(AO21/AO5,"")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19">
        <f>IFERROR(E6/E5,"")</f>
        <v/>
      </c>
      <c r="F41" s="20">
        <f>IFERROR(F6/F5,"")</f>
        <v/>
      </c>
      <c r="G41" s="19">
        <f>IFERROR(G6/G5,"")</f>
        <v/>
      </c>
      <c r="H41" s="19">
        <f>IFERROR(H6/H5,"")</f>
        <v/>
      </c>
      <c r="I41" s="19">
        <f>IFERROR(I6/I5,"")</f>
        <v/>
      </c>
      <c r="J41" s="19">
        <f>IFERROR(J6/J5,"")</f>
        <v/>
      </c>
      <c r="K41" s="20">
        <f>IFERROR(K6/K5,"")</f>
        <v/>
      </c>
      <c r="L41" s="19">
        <f>IFERROR(L6/L5,"")</f>
        <v/>
      </c>
      <c r="M41" s="19">
        <f>IFERROR(M6/M5,"")</f>
        <v/>
      </c>
      <c r="N41" s="19">
        <f>IFERROR(N6/N5,"")</f>
        <v/>
      </c>
      <c r="O41" s="19">
        <f>IFERROR(O6/O5,"")</f>
        <v/>
      </c>
      <c r="P41" s="20">
        <f>IFERROR(P6/P5,"")</f>
        <v/>
      </c>
      <c r="Q41" s="19">
        <f>IFERROR(Q6/Q5,"")</f>
        <v/>
      </c>
      <c r="R41" s="19">
        <f>IFERROR(R6/R5,"")</f>
        <v/>
      </c>
      <c r="S41" s="19">
        <f>IFERROR(S6/S5,"")</f>
        <v/>
      </c>
      <c r="T41" s="19">
        <f>IFERROR(T6/T5,"")</f>
        <v/>
      </c>
      <c r="U41" s="20">
        <f>IFERROR(U6/U5,"")</f>
        <v/>
      </c>
      <c r="V41" s="19">
        <f>IFERROR(V6/V5,"")</f>
        <v/>
      </c>
      <c r="W41" s="19">
        <f>IFERROR(W6/W5,"")</f>
        <v/>
      </c>
      <c r="X41" s="19">
        <f>IFERROR(X6/X5,"")</f>
        <v/>
      </c>
      <c r="Y41" s="19">
        <f>IFERROR(Y6/Y5,"")</f>
        <v/>
      </c>
      <c r="Z41" s="20">
        <f>IFERROR(Z6/Z5,"")</f>
        <v/>
      </c>
      <c r="AA41" s="19">
        <f>IFERROR(AA6/AA5,"")</f>
        <v/>
      </c>
      <c r="AB41" s="21">
        <f>IFERROR(AB6/AB5,"")</f>
        <v/>
      </c>
      <c r="AC41" s="30">
        <f>IFERROR(AC6/AC5,"")</f>
        <v/>
      </c>
      <c r="AD41" s="30">
        <f>IFERROR(AD6/AD5,"")</f>
        <v/>
      </c>
      <c r="AE41" s="23">
        <f>IFERROR(AE6/AE5,"")</f>
        <v/>
      </c>
      <c r="AF41" s="30">
        <f>IFERROR(AF6/AF5,"")</f>
        <v/>
      </c>
      <c r="AG41" s="30">
        <f>IFERROR(AG6/AG5,"")</f>
        <v/>
      </c>
      <c r="AH41" s="30">
        <f>IFERROR(AH6/AH5,"")</f>
        <v/>
      </c>
      <c r="AI41" s="30">
        <f>IFERROR(AI6/AI5,"")</f>
        <v/>
      </c>
      <c r="AJ41" s="23">
        <f>IFERROR(AJ6/AJ5,"")</f>
        <v/>
      </c>
      <c r="AK41" s="30">
        <f>IFERROR(AK6/AK5,"")</f>
        <v/>
      </c>
      <c r="AL41" s="30">
        <f>IFERROR(AL6/AL5,"")</f>
        <v/>
      </c>
      <c r="AM41" s="30">
        <f>IFERROR(AM6/AM5,"")</f>
        <v/>
      </c>
      <c r="AN41" s="30">
        <f>IFERROR(AN6/AN5,"")</f>
        <v/>
      </c>
      <c r="AO41" s="23">
        <f>IFERROR(AO6/AO5,"")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19">
        <f>IFERROR(E8/E5,"")</f>
        <v/>
      </c>
      <c r="F42" s="20">
        <f>IFERROR(F8/F5,"")</f>
        <v/>
      </c>
      <c r="G42" s="19">
        <f>IFERROR(G8/G5,"")</f>
        <v/>
      </c>
      <c r="H42" s="19">
        <f>IFERROR(H8/H5,"")</f>
        <v/>
      </c>
      <c r="I42" s="19">
        <f>IFERROR(I8/I5,"")</f>
        <v/>
      </c>
      <c r="J42" s="19">
        <f>IFERROR(J8/J5,"")</f>
        <v/>
      </c>
      <c r="K42" s="20">
        <f>IFERROR(K8/K5,"")</f>
        <v/>
      </c>
      <c r="L42" s="19">
        <f>IFERROR(L8/L5,"")</f>
        <v/>
      </c>
      <c r="M42" s="19">
        <f>IFERROR(M8/M5,"")</f>
        <v/>
      </c>
      <c r="N42" s="19">
        <f>IFERROR(N8/N5,"")</f>
        <v/>
      </c>
      <c r="O42" s="19">
        <f>IFERROR(O8/O5,"")</f>
        <v/>
      </c>
      <c r="P42" s="20">
        <f>IFERROR(P8/P5,"")</f>
        <v/>
      </c>
      <c r="Q42" s="19">
        <f>IFERROR(Q8/Q5,"")</f>
        <v/>
      </c>
      <c r="R42" s="19">
        <f>IFERROR(R8/R5,"")</f>
        <v/>
      </c>
      <c r="S42" s="19">
        <f>IFERROR(S8/S5,"")</f>
        <v/>
      </c>
      <c r="T42" s="19">
        <f>IFERROR(T8/T5,"")</f>
        <v/>
      </c>
      <c r="U42" s="20">
        <f>IFERROR(U8/U5,"")</f>
        <v/>
      </c>
      <c r="V42" s="19">
        <f>IFERROR(V8/V5,"")</f>
        <v/>
      </c>
      <c r="W42" s="19">
        <f>IFERROR(W8/W5,"")</f>
        <v/>
      </c>
      <c r="X42" s="19">
        <f>IFERROR(X8/X5,"")</f>
        <v/>
      </c>
      <c r="Y42" s="19">
        <f>IFERROR(Y8/Y5,"")</f>
        <v/>
      </c>
      <c r="Z42" s="20">
        <f>IFERROR(Z8/Z5,"")</f>
        <v/>
      </c>
      <c r="AA42" s="19">
        <f>IFERROR(AA8/AA5,"")</f>
        <v/>
      </c>
      <c r="AB42" s="21">
        <f>IFERROR(AB8/AB5,"")</f>
        <v/>
      </c>
      <c r="AC42" s="30">
        <f>IFERROR(AC8/AC5,"")</f>
        <v/>
      </c>
      <c r="AD42" s="30">
        <f>IFERROR(AD8/AD5,"")</f>
        <v/>
      </c>
      <c r="AE42" s="23">
        <f>IFERROR(AE8/AE5,"")</f>
        <v/>
      </c>
      <c r="AF42" s="30">
        <f>IFERROR(AF8/AF5,"")</f>
        <v/>
      </c>
      <c r="AG42" s="30">
        <f>IFERROR(AG8/AG5,"")</f>
        <v/>
      </c>
      <c r="AH42" s="30">
        <f>IFERROR(AH8/AH5,"")</f>
        <v/>
      </c>
      <c r="AI42" s="30">
        <f>IFERROR(AI8/AI5,"")</f>
        <v/>
      </c>
      <c r="AJ42" s="23">
        <f>IFERROR(AJ8/AJ5,"")</f>
        <v/>
      </c>
      <c r="AK42" s="30">
        <f>IFERROR(AK8/AK5,"")</f>
        <v/>
      </c>
      <c r="AL42" s="30">
        <f>IFERROR(AL8/AL5,"")</f>
        <v/>
      </c>
      <c r="AM42" s="30">
        <f>IFERROR(AM8/AM5,"")</f>
        <v/>
      </c>
      <c r="AN42" s="30">
        <f>IFERROR(AN8/AN5,"")</f>
        <v/>
      </c>
      <c r="AO42" s="23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W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37">
        <f>IFERROR(VLOOKUP($A5,subQ,MATCH(X$1,SUBQH,0),0),"")</f>
        <v/>
      </c>
      <c r="Y5" s="37">
        <f>IFERROR(VLOOKUP($A5,subQ,MATCH(Y$1,SUBQH,0),0),"")</f>
        <v/>
      </c>
      <c r="Z5" s="37">
        <f>IFERROR(VLOOKUP($A5,subQ,MATCH(Z$1,SUBQH,0),0),"")</f>
        <v/>
      </c>
      <c r="AA5" s="37">
        <f>IFERROR(VLOOKUP($A5,subQ,MATCH(AA$1,SUBQH,0),0),"")</f>
        <v/>
      </c>
      <c r="AB5" s="37">
        <f>IFERROR(VLOOKUP($A5,subQ,MATCH(AB$1,SUBQH,0),0),"")</f>
        <v/>
      </c>
      <c r="AC5" s="37">
        <f>IFERROR(VLOOKUP($A5,subQ,MATCH(AC$1,SUBQH,0),0),"")</f>
        <v/>
      </c>
      <c r="AD5" s="37">
        <f>IFERROR(VLOOKUP($A5,subQ,MATCH(AD$1,SUBQH,0),0),"")</f>
        <v/>
      </c>
      <c r="AE5" s="37">
        <f>IFERROR(VLOOKUP($A5,subQ,MATCH(AE$1,SUBQH,0),0),"")</f>
        <v/>
      </c>
      <c r="AF5" s="37">
        <f>IFERROR(VLOOKUP($A5,subQ,MATCH(AF$1,SUBQH,0),0),"")</f>
        <v/>
      </c>
      <c r="AG5" s="37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37">
        <f>IFERROR(VLOOKUP($A6,subQ,MATCH(X$1,SUBQH,0),0),"")</f>
        <v/>
      </c>
      <c r="Y6" s="37">
        <f>IFERROR(VLOOKUP($A6,subQ,MATCH(Y$1,SUBQH,0),0),"")</f>
        <v/>
      </c>
      <c r="Z6" s="37">
        <f>IFERROR(VLOOKUP($A6,subQ,MATCH(Z$1,SUBQH,0),0),"")</f>
        <v/>
      </c>
      <c r="AA6" s="37">
        <f>IFERROR(VLOOKUP($A6,subQ,MATCH(AA$1,SUBQH,0),0),"")</f>
        <v/>
      </c>
      <c r="AB6" s="37">
        <f>IFERROR(VLOOKUP($A6,subQ,MATCH(AB$1,SUBQH,0),0),"")</f>
        <v/>
      </c>
      <c r="AC6" s="37">
        <f>IFERROR(VLOOKUP($A6,subQ,MATCH(AC$1,SUBQH,0),0),"")</f>
        <v/>
      </c>
      <c r="AD6" s="37">
        <f>IFERROR(VLOOKUP($A6,subQ,MATCH(AD$1,SUBQH,0),0),"")</f>
        <v/>
      </c>
      <c r="AE6" s="37">
        <f>IFERROR(VLOOKUP($A6,subQ,MATCH(AE$1,SUBQH,0),0),"")</f>
        <v/>
      </c>
      <c r="AF6" s="37">
        <f>IFERROR(VLOOKUP($A6,subQ,MATCH(AF$1,SUBQH,0),0),"")</f>
        <v/>
      </c>
      <c r="AG6" s="37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37">
        <f>IFERROR(VLOOKUP($A7,subQ,MATCH(X$1,SUBQH,0),0),"")</f>
        <v/>
      </c>
      <c r="Y7" s="37">
        <f>IFERROR(VLOOKUP($A7,subQ,MATCH(Y$1,SUBQH,0),0),"")</f>
        <v/>
      </c>
      <c r="Z7" s="37">
        <f>IFERROR(VLOOKUP($A7,subQ,MATCH(Z$1,SUBQH,0),0),"")</f>
        <v/>
      </c>
      <c r="AA7" s="37">
        <f>IFERROR(VLOOKUP($A7,subQ,MATCH(AA$1,SUBQH,0),0),"")</f>
        <v/>
      </c>
      <c r="AB7" s="37">
        <f>IFERROR(VLOOKUP($A7,subQ,MATCH(AB$1,SUBQH,0),0),"")</f>
        <v/>
      </c>
      <c r="AC7" s="37">
        <f>IFERROR(VLOOKUP($A7,subQ,MATCH(AC$1,SUBQH,0),0),"")</f>
        <v/>
      </c>
      <c r="AD7" s="37">
        <f>IFERROR(VLOOKUP($A7,subQ,MATCH(AD$1,SUBQH,0),0),"")</f>
        <v/>
      </c>
      <c r="AE7" s="37">
        <f>IFERROR(VLOOKUP($A7,subQ,MATCH(AE$1,SUBQH,0),0),"")</f>
        <v/>
      </c>
      <c r="AF7" s="37">
        <f>IFERROR(VLOOKUP($A7,subQ,MATCH(AF$1,SUBQH,0),0),"")</f>
        <v/>
      </c>
      <c r="AG7" s="37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37">
        <f>IFERROR(VLOOKUP($A8,subQ,MATCH(X$1,SUBQH,0),0),"")</f>
        <v/>
      </c>
      <c r="Y8" s="37">
        <f>IFERROR(VLOOKUP($A8,subQ,MATCH(Y$1,SUBQH,0),0),"")</f>
        <v/>
      </c>
      <c r="Z8" s="37">
        <f>IFERROR(VLOOKUP($A8,subQ,MATCH(Z$1,SUBQH,0),0),"")</f>
        <v/>
      </c>
      <c r="AA8" s="37">
        <f>IFERROR(VLOOKUP($A8,subQ,MATCH(AA$1,SUBQH,0),0),"")</f>
        <v/>
      </c>
      <c r="AB8" s="37">
        <f>IFERROR(VLOOKUP($A8,subQ,MATCH(AB$1,SUBQH,0),0),"")</f>
        <v/>
      </c>
      <c r="AC8" s="37">
        <f>IFERROR(VLOOKUP($A8,subQ,MATCH(AC$1,SUBQH,0),0),"")</f>
        <v/>
      </c>
      <c r="AD8" s="37">
        <f>IFERROR(VLOOKUP($A8,subQ,MATCH(AD$1,SUBQH,0),0),"")</f>
        <v/>
      </c>
      <c r="AE8" s="37">
        <f>IFERROR(VLOOKUP($A8,subQ,MATCH(AE$1,SUBQH,0),0),"")</f>
        <v/>
      </c>
      <c r="AF8" s="37">
        <f>IFERROR(VLOOKUP($A8,subQ,MATCH(AF$1,SUBQH,0),0),"")</f>
        <v/>
      </c>
      <c r="AG8" s="37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37">
        <f>IFERROR(VLOOKUP($A9,subQ,MATCH(X$1,SUBQH,0),0),"")</f>
        <v/>
      </c>
      <c r="Y9" s="37">
        <f>IFERROR(VLOOKUP($A9,subQ,MATCH(Y$1,SUBQH,0),0),"")</f>
        <v/>
      </c>
      <c r="Z9" s="37">
        <f>IFERROR(VLOOKUP($A9,subQ,MATCH(Z$1,SUBQH,0),0),"")</f>
        <v/>
      </c>
      <c r="AA9" s="37">
        <f>IFERROR(VLOOKUP($A9,subQ,MATCH(AA$1,SUBQH,0),0),"")</f>
        <v/>
      </c>
      <c r="AB9" s="37">
        <f>IFERROR(VLOOKUP($A9,subQ,MATCH(AB$1,SUBQH,0),0),"")</f>
        <v/>
      </c>
      <c r="AC9" s="37">
        <f>IFERROR(VLOOKUP($A9,subQ,MATCH(AC$1,SUBQH,0),0),"")</f>
        <v/>
      </c>
      <c r="AD9" s="37">
        <f>IFERROR(VLOOKUP($A9,subQ,MATCH(AD$1,SUBQH,0),0),"")</f>
        <v/>
      </c>
      <c r="AE9" s="37">
        <f>IFERROR(VLOOKUP($A9,subQ,MATCH(AE$1,SUBQH,0),0),"")</f>
        <v/>
      </c>
      <c r="AF9" s="37">
        <f>IFERROR(VLOOKUP($A9,subQ,MATCH(AF$1,SUBQH,0),0),"")</f>
        <v/>
      </c>
      <c r="AG9" s="37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19">
        <f>IFERROR(VLOOKUP($A10,subQ,MATCH(E$1,SUBQH,0),0),"")</f>
        <v/>
      </c>
      <c r="F10" s="19">
        <f>IFERROR(VLOOKUP($A10,subQ,MATCH(F$1,SUBQH,0),0),"")</f>
        <v/>
      </c>
      <c r="G10" s="19">
        <f>IFERROR(VLOOKUP($A10,subQ,MATCH(G$1,SUBQH,0),0),"")</f>
        <v/>
      </c>
      <c r="H10" s="19">
        <f>IFERROR(VLOOKUP($A10,subQ,MATCH(H$1,SUBQH,0),0),"")</f>
        <v/>
      </c>
      <c r="I10" s="19">
        <f>IFERROR(VLOOKUP($A10,subQ,MATCH(I$1,SUBQH,0),0),"")</f>
        <v/>
      </c>
      <c r="J10" s="19">
        <f>IFERROR(VLOOKUP($A10,subQ,MATCH(J$1,SUBQH,0),0),"")</f>
        <v/>
      </c>
      <c r="K10" s="19">
        <f>IFERROR(VLOOKUP($A10,subQ,MATCH(K$1,SUBQH,0),0),"")</f>
        <v/>
      </c>
      <c r="L10" s="19">
        <f>IFERROR(VLOOKUP($A10,subQ,MATCH(L$1,SUBQH,0),0),"")</f>
        <v/>
      </c>
      <c r="M10" s="19">
        <f>IFERROR(VLOOKUP($A10,subQ,MATCH(M$1,SUBQH,0),0),"")</f>
        <v/>
      </c>
      <c r="N10" s="19">
        <f>IFERROR(VLOOKUP($A10,subQ,MATCH(N$1,SUBQH,0),0),"")</f>
        <v/>
      </c>
      <c r="O10" s="19">
        <f>IFERROR(VLOOKUP($A10,subQ,MATCH(O$1,SUBQH,0),0),"")</f>
        <v/>
      </c>
      <c r="P10" s="19">
        <f>IFERROR(VLOOKUP($A10,subQ,MATCH(P$1,SUBQH,0),0),"")</f>
        <v/>
      </c>
      <c r="Q10" s="19">
        <f>IFERROR(VLOOKUP($A10,subQ,MATCH(Q$1,SUBQH,0),0),"")</f>
        <v/>
      </c>
      <c r="R10" s="19">
        <f>IFERROR(VLOOKUP($A10,subQ,MATCH(R$1,SUBQH,0),0),"")</f>
        <v/>
      </c>
      <c r="S10" s="19">
        <f>IFERROR(VLOOKUP($A10,subQ,MATCH(S$1,SUBQH,0),0),"")</f>
        <v/>
      </c>
      <c r="T10" s="19">
        <f>IFERROR(VLOOKUP($A10,subQ,MATCH(T$1,SUBQH,0),0),"")</f>
        <v/>
      </c>
      <c r="U10" s="19">
        <f>IFERROR(VLOOKUP($A10,subQ,MATCH(U$1,SUBQH,0),0),"")</f>
        <v/>
      </c>
      <c r="V10" s="19">
        <f>IFERROR(VLOOKUP($A10,subQ,MATCH(V$1,SUBQH,0),0),"")</f>
        <v/>
      </c>
      <c r="W10" s="46">
        <f>IFERROR(VLOOKUP($A10,subQ,MATCH(W$1,SUBQH,0),0),"")</f>
        <v/>
      </c>
      <c r="X10" s="30">
        <f>IFERROR(VLOOKUP($A10,subQ,MATCH(X$1,SUBQH,0),0),"")</f>
        <v/>
      </c>
      <c r="Y10" s="30">
        <f>IFERROR(VLOOKUP($A10,subQ,MATCH(Y$1,SUBQH,0),0),"")</f>
        <v/>
      </c>
      <c r="Z10" s="30">
        <f>IFERROR(VLOOKUP($A10,subQ,MATCH(Z$1,SUBQH,0),0),"")</f>
        <v/>
      </c>
      <c r="AA10" s="30">
        <f>IFERROR(VLOOKUP($A10,subQ,MATCH(AA$1,SUBQH,0),0),"")</f>
        <v/>
      </c>
      <c r="AB10" s="30">
        <f>IFERROR(VLOOKUP($A10,subQ,MATCH(AB$1,SUBQH,0),0),"")</f>
        <v/>
      </c>
      <c r="AC10" s="30">
        <f>IFERROR(VLOOKUP($A10,subQ,MATCH(AC$1,SUBQH,0),0),"")</f>
        <v/>
      </c>
      <c r="AD10" s="30">
        <f>IFERROR(VLOOKUP($A10,subQ,MATCH(AD$1,SUBQH,0),0),"")</f>
        <v/>
      </c>
      <c r="AE10" s="30">
        <f>IFERROR(VLOOKUP($A10,subQ,MATCH(AE$1,SUBQH,0),0),"")</f>
        <v/>
      </c>
      <c r="AF10" s="30">
        <f>IFERROR(VLOOKUP($A10,subQ,MATCH(AF$1,SUBQH,0),0),"")</f>
        <v/>
      </c>
      <c r="AG10" s="30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37">
        <f>IFERROR(VLOOKUP($A11,subQ,MATCH(X$1,SUBQH,0),0),"")</f>
        <v/>
      </c>
      <c r="Y11" s="37">
        <f>IFERROR(VLOOKUP($A11,subQ,MATCH(Y$1,SUBQH,0),0),"")</f>
        <v/>
      </c>
      <c r="Z11" s="37">
        <f>IFERROR(VLOOKUP($A11,subQ,MATCH(Z$1,SUBQH,0),0),"")</f>
        <v/>
      </c>
      <c r="AA11" s="37">
        <f>IFERROR(VLOOKUP($A11,subQ,MATCH(AA$1,SUBQH,0),0),"")</f>
        <v/>
      </c>
      <c r="AB11" s="37">
        <f>IFERROR(VLOOKUP($A11,subQ,MATCH(AB$1,SUBQH,0),0),"")</f>
        <v/>
      </c>
      <c r="AC11" s="37">
        <f>IFERROR(VLOOKUP($A11,subQ,MATCH(AC$1,SUBQH,0),0),"")</f>
        <v/>
      </c>
      <c r="AD11" s="37">
        <f>IFERROR(VLOOKUP($A11,subQ,MATCH(AD$1,SUBQH,0),0),"")</f>
        <v/>
      </c>
      <c r="AE11" s="37">
        <f>IFERROR(VLOOKUP($A11,subQ,MATCH(AE$1,SUBQH,0),0),"")</f>
        <v/>
      </c>
      <c r="AF11" s="37">
        <f>IFERROR(VLOOKUP($A11,subQ,MATCH(AF$1,SUBQH,0),0),"")</f>
        <v/>
      </c>
      <c r="AG11" s="37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37">
        <f>IFERROR(VLOOKUP($A12,subQ,MATCH(X$1,SUBQH,0),0),"")</f>
        <v/>
      </c>
      <c r="Y12" s="37">
        <f>IFERROR(VLOOKUP($A12,subQ,MATCH(Y$1,SUBQH,0),0),"")</f>
        <v/>
      </c>
      <c r="Z12" s="37">
        <f>IFERROR(VLOOKUP($A12,subQ,MATCH(Z$1,SUBQH,0),0),"")</f>
        <v/>
      </c>
      <c r="AA12" s="37">
        <f>IFERROR(VLOOKUP($A12,subQ,MATCH(AA$1,SUBQH,0),0),"")</f>
        <v/>
      </c>
      <c r="AB12" s="37">
        <f>IFERROR(VLOOKUP($A12,subQ,MATCH(AB$1,SUBQH,0),0),"")</f>
        <v/>
      </c>
      <c r="AC12" s="37">
        <f>IFERROR(VLOOKUP($A12,subQ,MATCH(AC$1,SUBQH,0),0),"")</f>
        <v/>
      </c>
      <c r="AD12" s="37">
        <f>IFERROR(VLOOKUP($A12,subQ,MATCH(AD$1,SUBQH,0),0),"")</f>
        <v/>
      </c>
      <c r="AE12" s="37">
        <f>IFERROR(VLOOKUP($A12,subQ,MATCH(AE$1,SUBQH,0),0),"")</f>
        <v/>
      </c>
      <c r="AF12" s="37">
        <f>IFERROR(VLOOKUP($A12,subQ,MATCH(AF$1,SUBQH,0),0),"")</f>
        <v/>
      </c>
      <c r="AG12" s="37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37">
        <f>IFERROR(VLOOKUP($A13,subQ,MATCH(X$1,SUBQH,0),0),"")</f>
        <v/>
      </c>
      <c r="Y13" s="37">
        <f>IFERROR(VLOOKUP($A13,subQ,MATCH(Y$1,SUBQH,0),0),"")</f>
        <v/>
      </c>
      <c r="Z13" s="37">
        <f>IFERROR(VLOOKUP($A13,subQ,MATCH(Z$1,SUBQH,0),0),"")</f>
        <v/>
      </c>
      <c r="AA13" s="37">
        <f>IFERROR(VLOOKUP($A13,subQ,MATCH(AA$1,SUBQH,0),0),"")</f>
        <v/>
      </c>
      <c r="AB13" s="37">
        <f>IFERROR(VLOOKUP($A13,subQ,MATCH(AB$1,SUBQH,0),0),"")</f>
        <v/>
      </c>
      <c r="AC13" s="37">
        <f>IFERROR(VLOOKUP($A13,subQ,MATCH(AC$1,SUBQH,0),0),"")</f>
        <v/>
      </c>
      <c r="AD13" s="37">
        <f>IFERROR(VLOOKUP($A13,subQ,MATCH(AD$1,SUBQH,0),0),"")</f>
        <v/>
      </c>
      <c r="AE13" s="37">
        <f>IFERROR(VLOOKUP($A13,subQ,MATCH(AE$1,SUBQH,0),0),"")</f>
        <v/>
      </c>
      <c r="AF13" s="37">
        <f>IFERROR(VLOOKUP($A13,subQ,MATCH(AF$1,SUBQH,0),0),"")</f>
        <v/>
      </c>
      <c r="AG13" s="37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37">
        <f>IFERROR(VLOOKUP($A14,subQ,MATCH(X$1,SUBQH,0),0),"")</f>
        <v/>
      </c>
      <c r="Y14" s="37">
        <f>IFERROR(VLOOKUP($A14,subQ,MATCH(Y$1,SUBQH,0),0),"")</f>
        <v/>
      </c>
      <c r="Z14" s="37">
        <f>IFERROR(VLOOKUP($A14,subQ,MATCH(Z$1,SUBQH,0),0),"")</f>
        <v/>
      </c>
      <c r="AA14" s="37">
        <f>IFERROR(VLOOKUP($A14,subQ,MATCH(AA$1,SUBQH,0),0),"")</f>
        <v/>
      </c>
      <c r="AB14" s="37">
        <f>IFERROR(VLOOKUP($A14,subQ,MATCH(AB$1,SUBQH,0),0),"")</f>
        <v/>
      </c>
      <c r="AC14" s="37">
        <f>IFERROR(VLOOKUP($A14,subQ,MATCH(AC$1,SUBQH,0),0),"")</f>
        <v/>
      </c>
      <c r="AD14" s="37">
        <f>IFERROR(VLOOKUP($A14,subQ,MATCH(AD$1,SUBQH,0),0),"")</f>
        <v/>
      </c>
      <c r="AE14" s="37">
        <f>IFERROR(VLOOKUP($A14,subQ,MATCH(AE$1,SUBQH,0),0),"")</f>
        <v/>
      </c>
      <c r="AF14" s="37">
        <f>IFERROR(VLOOKUP($A14,subQ,MATCH(AF$1,SUBQH,0),0),"")</f>
        <v/>
      </c>
      <c r="AG14" s="37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37">
        <f>IFERROR(VLOOKUP($A15,subQ,MATCH(X$1,SUBQH,0),0),"")</f>
        <v/>
      </c>
      <c r="Y15" s="37">
        <f>IFERROR(VLOOKUP($A15,subQ,MATCH(Y$1,SUBQH,0),0),"")</f>
        <v/>
      </c>
      <c r="Z15" s="37">
        <f>IFERROR(VLOOKUP($A15,subQ,MATCH(Z$1,SUBQH,0),0),"")</f>
        <v/>
      </c>
      <c r="AA15" s="37">
        <f>IFERROR(VLOOKUP($A15,subQ,MATCH(AA$1,SUBQH,0),0),"")</f>
        <v/>
      </c>
      <c r="AB15" s="37">
        <f>IFERROR(VLOOKUP($A15,subQ,MATCH(AB$1,SUBQH,0),0),"")</f>
        <v/>
      </c>
      <c r="AC15" s="37">
        <f>IFERROR(VLOOKUP($A15,subQ,MATCH(AC$1,SUBQH,0),0),"")</f>
        <v/>
      </c>
      <c r="AD15" s="37">
        <f>IFERROR(VLOOKUP($A15,subQ,MATCH(AD$1,SUBQH,0),0),"")</f>
        <v/>
      </c>
      <c r="AE15" s="37">
        <f>IFERROR(VLOOKUP($A15,subQ,MATCH(AE$1,SUBQH,0),0),"")</f>
        <v/>
      </c>
      <c r="AF15" s="37">
        <f>IFERROR(VLOOKUP($A15,subQ,MATCH(AF$1,SUBQH,0),0),"")</f>
        <v/>
      </c>
      <c r="AG15" s="37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37">
        <f>IFERROR(VLOOKUP($A16,subQ,MATCH(X$1,SUBQH,0),0),"")</f>
        <v/>
      </c>
      <c r="Y16" s="37">
        <f>IFERROR(VLOOKUP($A16,subQ,MATCH(Y$1,SUBQH,0),0),"")</f>
        <v/>
      </c>
      <c r="Z16" s="37">
        <f>IFERROR(VLOOKUP($A16,subQ,MATCH(Z$1,SUBQH,0),0),"")</f>
        <v/>
      </c>
      <c r="AA16" s="37">
        <f>IFERROR(VLOOKUP($A16,subQ,MATCH(AA$1,SUBQH,0),0),"")</f>
        <v/>
      </c>
      <c r="AB16" s="37">
        <f>IFERROR(VLOOKUP($A16,subQ,MATCH(AB$1,SUBQH,0),0),"")</f>
        <v/>
      </c>
      <c r="AC16" s="37">
        <f>IFERROR(VLOOKUP($A16,subQ,MATCH(AC$1,SUBQH,0),0),"")</f>
        <v/>
      </c>
      <c r="AD16" s="37">
        <f>IFERROR(VLOOKUP($A16,subQ,MATCH(AD$1,SUBQH,0),0),"")</f>
        <v/>
      </c>
      <c r="AE16" s="37">
        <f>IFERROR(VLOOKUP($A16,subQ,MATCH(AE$1,SUBQH,0),0),"")</f>
        <v/>
      </c>
      <c r="AF16" s="37">
        <f>IFERROR(VLOOKUP($A16,subQ,MATCH(AF$1,SUBQH,0),0),"")</f>
        <v/>
      </c>
      <c r="AG16" s="37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37">
        <f>IFERROR(VLOOKUP($A17,subQ,MATCH(X$1,SUBQH,0),0),"")</f>
        <v/>
      </c>
      <c r="Y17" s="37">
        <f>IFERROR(VLOOKUP($A17,subQ,MATCH(Y$1,SUBQH,0),0),"")</f>
        <v/>
      </c>
      <c r="Z17" s="37">
        <f>IFERROR(VLOOKUP($A17,subQ,MATCH(Z$1,SUBQH,0),0),"")</f>
        <v/>
      </c>
      <c r="AA17" s="37">
        <f>IFERROR(VLOOKUP($A17,subQ,MATCH(AA$1,SUBQH,0),0),"")</f>
        <v/>
      </c>
      <c r="AB17" s="37">
        <f>IFERROR(VLOOKUP($A17,subQ,MATCH(AB$1,SUBQH,0),0),"")</f>
        <v/>
      </c>
      <c r="AC17" s="37">
        <f>IFERROR(VLOOKUP($A17,subQ,MATCH(AC$1,SUBQH,0),0),"")</f>
        <v/>
      </c>
      <c r="AD17" s="37">
        <f>IFERROR(VLOOKUP($A17,subQ,MATCH(AD$1,SUBQH,0),0),"")</f>
        <v/>
      </c>
      <c r="AE17" s="37">
        <f>IFERROR(VLOOKUP($A17,subQ,MATCH(AE$1,SUBQH,0),0),"")</f>
        <v/>
      </c>
      <c r="AF17" s="37">
        <f>IFERROR(VLOOKUP($A17,subQ,MATCH(AF$1,SUBQH,0),0),"")</f>
        <v/>
      </c>
      <c r="AG17" s="37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37">
        <f>IFERROR(VLOOKUP($A18,subQ,MATCH(X$1,SUBQH,0),0),"")</f>
        <v/>
      </c>
      <c r="Y18" s="37">
        <f>IFERROR(VLOOKUP($A18,subQ,MATCH(Y$1,SUBQH,0),0),"")</f>
        <v/>
      </c>
      <c r="Z18" s="37">
        <f>IFERROR(VLOOKUP($A18,subQ,MATCH(Z$1,SUBQH,0),0),"")</f>
        <v/>
      </c>
      <c r="AA18" s="37">
        <f>IFERROR(VLOOKUP($A18,subQ,MATCH(AA$1,SUBQH,0),0),"")</f>
        <v/>
      </c>
      <c r="AB18" s="37">
        <f>IFERROR(VLOOKUP($A18,subQ,MATCH(AB$1,SUBQH,0),0),"")</f>
        <v/>
      </c>
      <c r="AC18" s="37">
        <f>IFERROR(VLOOKUP($A18,subQ,MATCH(AC$1,SUBQH,0),0),"")</f>
        <v/>
      </c>
      <c r="AD18" s="37">
        <f>IFERROR(VLOOKUP($A18,subQ,MATCH(AD$1,SUBQH,0),0),"")</f>
        <v/>
      </c>
      <c r="AE18" s="37">
        <f>IFERROR(VLOOKUP($A18,subQ,MATCH(AE$1,SUBQH,0),0),"")</f>
        <v/>
      </c>
      <c r="AF18" s="37">
        <f>IFERROR(VLOOKUP($A18,subQ,MATCH(AF$1,SUBQH,0),0),"")</f>
        <v/>
      </c>
      <c r="AG18" s="37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37">
        <f>IFERROR(VLOOKUP($A19,subQ,MATCH(X$1,SUBQH,0),0),"")</f>
        <v/>
      </c>
      <c r="Y19" s="37">
        <f>IFERROR(VLOOKUP($A19,subQ,MATCH(Y$1,SUBQH,0),0),"")</f>
        <v/>
      </c>
      <c r="Z19" s="37">
        <f>IFERROR(VLOOKUP($A19,subQ,MATCH(Z$1,SUBQH,0),0),"")</f>
        <v/>
      </c>
      <c r="AA19" s="37">
        <f>IFERROR(VLOOKUP($A19,subQ,MATCH(AA$1,SUBQH,0),0),"")</f>
        <v/>
      </c>
      <c r="AB19" s="37">
        <f>IFERROR(VLOOKUP($A19,subQ,MATCH(AB$1,SUBQH,0),0),"")</f>
        <v/>
      </c>
      <c r="AC19" s="37">
        <f>IFERROR(VLOOKUP($A19,subQ,MATCH(AC$1,SUBQH,0),0),"")</f>
        <v/>
      </c>
      <c r="AD19" s="37">
        <f>IFERROR(VLOOKUP($A19,subQ,MATCH(AD$1,SUBQH,0),0),"")</f>
        <v/>
      </c>
      <c r="AE19" s="37">
        <f>IFERROR(VLOOKUP($A19,subQ,MATCH(AE$1,SUBQH,0),0),"")</f>
        <v/>
      </c>
      <c r="AF19" s="37">
        <f>IFERROR(VLOOKUP($A19,subQ,MATCH(AF$1,SUBQH,0),0),"")</f>
        <v/>
      </c>
      <c r="AG19" s="37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37">
        <f>IFERROR(VLOOKUP($A20,subQ,MATCH(X$1,SUBQH,0),0),"")</f>
        <v/>
      </c>
      <c r="Y20" s="37">
        <f>IFERROR(VLOOKUP($A20,subQ,MATCH(Y$1,SUBQH,0),0),"")</f>
        <v/>
      </c>
      <c r="Z20" s="37">
        <f>IFERROR(VLOOKUP($A20,subQ,MATCH(Z$1,SUBQH,0),0),"")</f>
        <v/>
      </c>
      <c r="AA20" s="37">
        <f>IFERROR(VLOOKUP($A20,subQ,MATCH(AA$1,SUBQH,0),0),"")</f>
        <v/>
      </c>
      <c r="AB20" s="37">
        <f>IFERROR(VLOOKUP($A20,subQ,MATCH(AB$1,SUBQH,0),0),"")</f>
        <v/>
      </c>
      <c r="AC20" s="37">
        <f>IFERROR(VLOOKUP($A20,subQ,MATCH(AC$1,SUBQH,0),0),"")</f>
        <v/>
      </c>
      <c r="AD20" s="37">
        <f>IFERROR(VLOOKUP($A20,subQ,MATCH(AD$1,SUBQH,0),0),"")</f>
        <v/>
      </c>
      <c r="AE20" s="37">
        <f>IFERROR(VLOOKUP($A20,subQ,MATCH(AE$1,SUBQH,0),0),"")</f>
        <v/>
      </c>
      <c r="AF20" s="37">
        <f>IFERROR(VLOOKUP($A20,subQ,MATCH(AF$1,SUBQH,0),0),"")</f>
        <v/>
      </c>
      <c r="AG20" s="37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37">
        <f>IFERROR(VLOOKUP($A21,subQ,MATCH(X$1,SUBQH,0),0),"")</f>
        <v/>
      </c>
      <c r="Y21" s="37">
        <f>IFERROR(VLOOKUP($A21,subQ,MATCH(Y$1,SUBQH,0),0),"")</f>
        <v/>
      </c>
      <c r="Z21" s="37">
        <f>IFERROR(VLOOKUP($A21,subQ,MATCH(Z$1,SUBQH,0),0),"")</f>
        <v/>
      </c>
      <c r="AA21" s="37">
        <f>IFERROR(VLOOKUP($A21,subQ,MATCH(AA$1,SUBQH,0),0),"")</f>
        <v/>
      </c>
      <c r="AB21" s="37">
        <f>IFERROR(VLOOKUP($A21,subQ,MATCH(AB$1,SUBQH,0),0),"")</f>
        <v/>
      </c>
      <c r="AC21" s="37">
        <f>IFERROR(VLOOKUP($A21,subQ,MATCH(AC$1,SUBQH,0),0),"")</f>
        <v/>
      </c>
      <c r="AD21" s="37">
        <f>IFERROR(VLOOKUP($A21,subQ,MATCH(AD$1,SUBQH,0),0),"")</f>
        <v/>
      </c>
      <c r="AE21" s="37">
        <f>IFERROR(VLOOKUP($A21,subQ,MATCH(AE$1,SUBQH,0),0),"")</f>
        <v/>
      </c>
      <c r="AF21" s="37">
        <f>IFERROR(VLOOKUP($A21,subQ,MATCH(AF$1,SUBQH,0),0),"")</f>
        <v/>
      </c>
      <c r="AG21" s="37">
        <f>IFERROR(VLOOKUP($A21,subQ,MATCH(AG$1,SUBQH,0),0),"")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37">
        <f>IFERROR(VLOOKUP($A22,subQ,MATCH(X$1,SUBQH,0),0),"")</f>
        <v/>
      </c>
      <c r="Y22" s="37">
        <f>IFERROR(VLOOKUP($A22,subQ,MATCH(Y$1,SUBQH,0),0),"")</f>
        <v/>
      </c>
      <c r="Z22" s="37">
        <f>IFERROR(VLOOKUP($A22,subQ,MATCH(Z$1,SUBQH,0),0),"")</f>
        <v/>
      </c>
      <c r="AA22" s="37">
        <f>IFERROR(VLOOKUP($A22,subQ,MATCH(AA$1,SUBQH,0),0),"")</f>
        <v/>
      </c>
      <c r="AB22" s="37">
        <f>IFERROR(VLOOKUP($A22,subQ,MATCH(AB$1,SUBQH,0),0),"")</f>
        <v/>
      </c>
      <c r="AC22" s="37">
        <f>IFERROR(VLOOKUP($A22,subQ,MATCH(AC$1,SUBQH,0),0),"")</f>
        <v/>
      </c>
      <c r="AD22" s="37">
        <f>IFERROR(VLOOKUP($A22,subQ,MATCH(AD$1,SUBQH,0),0),"")</f>
        <v/>
      </c>
      <c r="AE22" s="37">
        <f>IFERROR(VLOOKUP($A22,subQ,MATCH(AE$1,SUBQH,0),0),"")</f>
        <v/>
      </c>
      <c r="AF22" s="37">
        <f>IFERROR(VLOOKUP($A22,subQ,MATCH(AF$1,SUBQH,0),0),"")</f>
        <v/>
      </c>
      <c r="AG22" s="37">
        <f>IFERROR(VLOOKUP($A22,subQ,MATCH(AG$1,SUBQH,0),0),"")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37">
        <f>IFERROR(VLOOKUP($A23,subQ,MATCH(X$1,SUBQH,0),0),"")</f>
        <v/>
      </c>
      <c r="Y23" s="37">
        <f>IFERROR(VLOOKUP($A23,subQ,MATCH(Y$1,SUBQH,0),0),"")</f>
        <v/>
      </c>
      <c r="Z23" s="37">
        <f>IFERROR(VLOOKUP($A23,subQ,MATCH(Z$1,SUBQH,0),0),"")</f>
        <v/>
      </c>
      <c r="AA23" s="37">
        <f>IFERROR(VLOOKUP($A23,subQ,MATCH(AA$1,SUBQH,0),0),"")</f>
        <v/>
      </c>
      <c r="AB23" s="37">
        <f>IFERROR(VLOOKUP($A23,subQ,MATCH(AB$1,SUBQH,0),0),"")</f>
        <v/>
      </c>
      <c r="AC23" s="37">
        <f>IFERROR(VLOOKUP($A23,subQ,MATCH(AC$1,SUBQH,0),0),"")</f>
        <v/>
      </c>
      <c r="AD23" s="37">
        <f>IFERROR(VLOOKUP($A23,subQ,MATCH(AD$1,SUBQH,0),0),"")</f>
        <v/>
      </c>
      <c r="AE23" s="37">
        <f>IFERROR(VLOOKUP($A23,subQ,MATCH(AE$1,SUBQH,0),0),"")</f>
        <v/>
      </c>
      <c r="AF23" s="37">
        <f>IFERROR(VLOOKUP($A23,subQ,MATCH(AF$1,SUBQH,0),0),"")</f>
        <v/>
      </c>
      <c r="AG23" s="37">
        <f>IFERROR(VLOOKUP($A23,subQ,MATCH(AG$1,SUBQH,0),0),"")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37">
        <f>IFERROR(VLOOKUP($A24,subQ,MATCH(X$1,SUBQH,0),0),"")</f>
        <v/>
      </c>
      <c r="Y24" s="37">
        <f>IFERROR(VLOOKUP($A24,subQ,MATCH(Y$1,SUBQH,0),0),"")</f>
        <v/>
      </c>
      <c r="Z24" s="37">
        <f>IFERROR(VLOOKUP($A24,subQ,MATCH(Z$1,SUBQH,0),0),"")</f>
        <v/>
      </c>
      <c r="AA24" s="37">
        <f>IFERROR(VLOOKUP($A24,subQ,MATCH(AA$1,SUBQH,0),0),"")</f>
        <v/>
      </c>
      <c r="AB24" s="37">
        <f>IFERROR(VLOOKUP($A24,subQ,MATCH(AB$1,SUBQH,0),0),"")</f>
        <v/>
      </c>
      <c r="AC24" s="37">
        <f>IFERROR(VLOOKUP($A24,subQ,MATCH(AC$1,SUBQH,0),0),"")</f>
        <v/>
      </c>
      <c r="AD24" s="37">
        <f>IFERROR(VLOOKUP($A24,subQ,MATCH(AD$1,SUBQH,0),0),"")</f>
        <v/>
      </c>
      <c r="AE24" s="37">
        <f>IFERROR(VLOOKUP($A24,subQ,MATCH(AE$1,SUBQH,0),0),"")</f>
        <v/>
      </c>
      <c r="AF24" s="37">
        <f>IFERROR(VLOOKUP($A24,subQ,MATCH(AF$1,SUBQH,0),0),"")</f>
        <v/>
      </c>
      <c r="AG24" s="37">
        <f>IFERROR(VLOOKUP($A24,subQ,MATCH(AG$1,SUBQH,0),0),"")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37">
        <f>IFERROR(VLOOKUP($A25,subQ,MATCH(X$1,SUBQH,0),0),"")</f>
        <v/>
      </c>
      <c r="Y25" s="37">
        <f>IFERROR(VLOOKUP($A25,subQ,MATCH(Y$1,SUBQH,0),0),"")</f>
        <v/>
      </c>
      <c r="Z25" s="37">
        <f>IFERROR(VLOOKUP($A25,subQ,MATCH(Z$1,SUBQH,0),0),"")</f>
        <v/>
      </c>
      <c r="AA25" s="37">
        <f>IFERROR(VLOOKUP($A25,subQ,MATCH(AA$1,SUBQH,0),0),"")</f>
        <v/>
      </c>
      <c r="AB25" s="37">
        <f>IFERROR(VLOOKUP($A25,subQ,MATCH(AB$1,SUBQH,0),0),"")</f>
        <v/>
      </c>
      <c r="AC25" s="37">
        <f>IFERROR(VLOOKUP($A25,subQ,MATCH(AC$1,SUBQH,0),0),"")</f>
        <v/>
      </c>
      <c r="AD25" s="37">
        <f>IFERROR(VLOOKUP($A25,subQ,MATCH(AD$1,SUBQH,0),0),"")</f>
        <v/>
      </c>
      <c r="AE25" s="37">
        <f>IFERROR(VLOOKUP($A25,subQ,MATCH(AE$1,SUBQH,0),0),"")</f>
        <v/>
      </c>
      <c r="AF25" s="37">
        <f>IFERROR(VLOOKUP($A25,subQ,MATCH(AF$1,SUBQH,0),0),"")</f>
        <v/>
      </c>
      <c r="AG25" s="37">
        <f>IFERROR(VLOOKUP($A25,subQ,MATCH(AG$1,SUBQH,0),0),"")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37">
        <f>IFERROR(VLOOKUP($A26,subQ,MATCH(X$1,SUBQH,0),0),"")</f>
        <v/>
      </c>
      <c r="Y26" s="37">
        <f>IFERROR(VLOOKUP($A26,subQ,MATCH(Y$1,SUBQH,0),0),"")</f>
        <v/>
      </c>
      <c r="Z26" s="37">
        <f>IFERROR(VLOOKUP($A26,subQ,MATCH(Z$1,SUBQH,0),0),"")</f>
        <v/>
      </c>
      <c r="AA26" s="37">
        <f>IFERROR(VLOOKUP($A26,subQ,MATCH(AA$1,SUBQH,0),0),"")</f>
        <v/>
      </c>
      <c r="AB26" s="37">
        <f>IFERROR(VLOOKUP($A26,subQ,MATCH(AB$1,SUBQH,0),0),"")</f>
        <v/>
      </c>
      <c r="AC26" s="37">
        <f>IFERROR(VLOOKUP($A26,subQ,MATCH(AC$1,SUBQH,0),0),"")</f>
        <v/>
      </c>
      <c r="AD26" s="37">
        <f>IFERROR(VLOOKUP($A26,subQ,MATCH(AD$1,SUBQH,0),0),"")</f>
        <v/>
      </c>
      <c r="AE26" s="37">
        <f>IFERROR(VLOOKUP($A26,subQ,MATCH(AE$1,SUBQH,0),0),"")</f>
        <v/>
      </c>
      <c r="AF26" s="37">
        <f>IFERROR(VLOOKUP($A26,subQ,MATCH(AF$1,SUBQH,0),0),"")</f>
        <v/>
      </c>
      <c r="AG26" s="37">
        <f>IFERROR(VLOOKUP($A26,subQ,MATCH(AG$1,SUBQH,0),0),"")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37">
        <f>IFERROR(VLOOKUP($A27,subQ,MATCH(X$1,SUBQH,0),0),"")</f>
        <v/>
      </c>
      <c r="Y27" s="37">
        <f>IFERROR(VLOOKUP($A27,subQ,MATCH(Y$1,SUBQH,0),0),"")</f>
        <v/>
      </c>
      <c r="Z27" s="37">
        <f>IFERROR(VLOOKUP($A27,subQ,MATCH(Z$1,SUBQH,0),0),"")</f>
        <v/>
      </c>
      <c r="AA27" s="37">
        <f>IFERROR(VLOOKUP($A27,subQ,MATCH(AA$1,SUBQH,0),0),"")</f>
        <v/>
      </c>
      <c r="AB27" s="37">
        <f>IFERROR(VLOOKUP($A27,subQ,MATCH(AB$1,SUBQH,0),0),"")</f>
        <v/>
      </c>
      <c r="AC27" s="37">
        <f>IFERROR(VLOOKUP($A27,subQ,MATCH(AC$1,SUBQH,0),0),"")</f>
        <v/>
      </c>
      <c r="AD27" s="37">
        <f>IFERROR(VLOOKUP($A27,subQ,MATCH(AD$1,SUBQH,0),0),"")</f>
        <v/>
      </c>
      <c r="AE27" s="37">
        <f>IFERROR(VLOOKUP($A27,subQ,MATCH(AE$1,SUBQH,0),0),"")</f>
        <v/>
      </c>
      <c r="AF27" s="37">
        <f>IFERROR(VLOOKUP($A27,subQ,MATCH(AF$1,SUBQH,0),0),"")</f>
        <v/>
      </c>
      <c r="AG27" s="37">
        <f>IFERROR(VLOOKUP($A27,subQ,MATCH(AG$1,SUBQH,0),0),"")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37">
        <f>IFERROR(VLOOKUP($A28,subQ,MATCH(X$1,SUBQH,0),0),"")</f>
        <v/>
      </c>
      <c r="Y28" s="37">
        <f>IFERROR(VLOOKUP($A28,subQ,MATCH(Y$1,SUBQH,0),0),"")</f>
        <v/>
      </c>
      <c r="Z28" s="37">
        <f>IFERROR(VLOOKUP($A28,subQ,MATCH(Z$1,SUBQH,0),0),"")</f>
        <v/>
      </c>
      <c r="AA28" s="37">
        <f>IFERROR(VLOOKUP($A28,subQ,MATCH(AA$1,SUBQH,0),0),"")</f>
        <v/>
      </c>
      <c r="AB28" s="37">
        <f>IFERROR(VLOOKUP($A28,subQ,MATCH(AB$1,SUBQH,0),0),"")</f>
        <v/>
      </c>
      <c r="AC28" s="37">
        <f>IFERROR(VLOOKUP($A28,subQ,MATCH(AC$1,SUBQH,0),0),"")</f>
        <v/>
      </c>
      <c r="AD28" s="37">
        <f>IFERROR(VLOOKUP($A28,subQ,MATCH(AD$1,SUBQH,0),0),"")</f>
        <v/>
      </c>
      <c r="AE28" s="37">
        <f>IFERROR(VLOOKUP($A28,subQ,MATCH(AE$1,SUBQH,0),0),"")</f>
        <v/>
      </c>
      <c r="AF28" s="37">
        <f>IFERROR(VLOOKUP($A28,subQ,MATCH(AF$1,SUBQH,0),0),"")</f>
        <v/>
      </c>
      <c r="AG28" s="37">
        <f>IFERROR(VLOOKUP($A28,subQ,MATCH(AG$1,SUBQH,0),0),"")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37">
        <f>IFERROR(VLOOKUP($A29,subQ,MATCH(X$1,SUBQH,0),0),"")</f>
        <v/>
      </c>
      <c r="Y29" s="37">
        <f>IFERROR(VLOOKUP($A29,subQ,MATCH(Y$1,SUBQH,0),0),"")</f>
        <v/>
      </c>
      <c r="Z29" s="37">
        <f>IFERROR(VLOOKUP($A29,subQ,MATCH(Z$1,SUBQH,0),0),"")</f>
        <v/>
      </c>
      <c r="AA29" s="37">
        <f>IFERROR(VLOOKUP($A29,subQ,MATCH(AA$1,SUBQH,0),0),"")</f>
        <v/>
      </c>
      <c r="AB29" s="37">
        <f>IFERROR(VLOOKUP($A29,subQ,MATCH(AB$1,SUBQH,0),0),"")</f>
        <v/>
      </c>
      <c r="AC29" s="37">
        <f>IFERROR(VLOOKUP($A29,subQ,MATCH(AC$1,SUBQH,0),0),"")</f>
        <v/>
      </c>
      <c r="AD29" s="37">
        <f>IFERROR(VLOOKUP($A29,subQ,MATCH(AD$1,SUBQH,0),0),"")</f>
        <v/>
      </c>
      <c r="AE29" s="37">
        <f>IFERROR(VLOOKUP($A29,subQ,MATCH(AE$1,SUBQH,0),0),"")</f>
        <v/>
      </c>
      <c r="AF29" s="37">
        <f>IFERROR(VLOOKUP($A29,subQ,MATCH(AF$1,SUBQH,0),0),"")</f>
        <v/>
      </c>
      <c r="AG29" s="37">
        <f>IFERROR(VLOOKUP($A29,subQ,MATCH(AG$1,SUBQH,0),0),"")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37">
        <f>IFERROR(VLOOKUP($A30,subQ,MATCH(X$1,SUBQH,0),0),"")</f>
        <v/>
      </c>
      <c r="Y30" s="37">
        <f>IFERROR(VLOOKUP($A30,subQ,MATCH(Y$1,SUBQH,0),0),"")</f>
        <v/>
      </c>
      <c r="Z30" s="37">
        <f>IFERROR(VLOOKUP($A30,subQ,MATCH(Z$1,SUBQH,0),0),"")</f>
        <v/>
      </c>
      <c r="AA30" s="37">
        <f>IFERROR(VLOOKUP($A30,subQ,MATCH(AA$1,SUBQH,0),0),"")</f>
        <v/>
      </c>
      <c r="AB30" s="37">
        <f>IFERROR(VLOOKUP($A30,subQ,MATCH(AB$1,SUBQH,0),0),"")</f>
        <v/>
      </c>
      <c r="AC30" s="37">
        <f>IFERROR(VLOOKUP($A30,subQ,MATCH(AC$1,SUBQH,0),0),"")</f>
        <v/>
      </c>
      <c r="AD30" s="37">
        <f>IFERROR(VLOOKUP($A30,subQ,MATCH(AD$1,SUBQH,0),0),"")</f>
        <v/>
      </c>
      <c r="AE30" s="37">
        <f>IFERROR(VLOOKUP($A30,subQ,MATCH(AE$1,SUBQH,0),0),"")</f>
        <v/>
      </c>
      <c r="AF30" s="37">
        <f>IFERROR(VLOOKUP($A30,subQ,MATCH(AF$1,SUBQH,0),0),"")</f>
        <v/>
      </c>
      <c r="AG30" s="37">
        <f>IFERROR(VLOOKUP($A30,subQ,MATCH(AG$1,SUBQH,0),0),"")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37">
        <f>IFERROR(VLOOKUP($A31,subQ,MATCH(X$1,SUBQH,0),0),"")</f>
        <v/>
      </c>
      <c r="Y31" s="37">
        <f>IFERROR(VLOOKUP($A31,subQ,MATCH(Y$1,SUBQH,0),0),"")</f>
        <v/>
      </c>
      <c r="Z31" s="37">
        <f>IFERROR(VLOOKUP($A31,subQ,MATCH(Z$1,SUBQH,0),0),"")</f>
        <v/>
      </c>
      <c r="AA31" s="37">
        <f>IFERROR(VLOOKUP($A31,subQ,MATCH(AA$1,SUBQH,0),0),"")</f>
        <v/>
      </c>
      <c r="AB31" s="37">
        <f>IFERROR(VLOOKUP($A31,subQ,MATCH(AB$1,SUBQH,0),0),"")</f>
        <v/>
      </c>
      <c r="AC31" s="37">
        <f>IFERROR(VLOOKUP($A31,subQ,MATCH(AC$1,SUBQH,0),0),"")</f>
        <v/>
      </c>
      <c r="AD31" s="37">
        <f>IFERROR(VLOOKUP($A31,subQ,MATCH(AD$1,SUBQH,0),0),"")</f>
        <v/>
      </c>
      <c r="AE31" s="37">
        <f>IFERROR(VLOOKUP($A31,subQ,MATCH(AE$1,SUBQH,0),0),"")</f>
        <v/>
      </c>
      <c r="AF31" s="37">
        <f>IFERROR(VLOOKUP($A31,subQ,MATCH(AF$1,SUBQH,0),0),"")</f>
        <v/>
      </c>
      <c r="AG31" s="37">
        <f>IFERROR(VLOOKUP($A31,subQ,MATCH(AG$1,SUBQH,0),0),"")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5">
        <f>IFERROR(VLOOKUP($A32,subQ,MATCH(E$1,SUBQH,0),0),"")</f>
        <v/>
      </c>
      <c r="F32" s="25">
        <f>IFERROR(VLOOKUP($A32,subQ,MATCH(F$1,SUBQH,0),0),"")</f>
        <v/>
      </c>
      <c r="G32" s="25">
        <f>IFERROR(VLOOKUP($A32,subQ,MATCH(G$1,SUBQH,0),0),"")</f>
        <v/>
      </c>
      <c r="H32" s="25">
        <f>IFERROR(VLOOKUP($A32,subQ,MATCH(H$1,SUBQH,0),0),"")</f>
        <v/>
      </c>
      <c r="I32" s="25">
        <f>IFERROR(VLOOKUP($A32,subQ,MATCH(I$1,SUBQH,0),0),"")</f>
        <v/>
      </c>
      <c r="J32" s="25">
        <f>IFERROR(VLOOKUP($A32,subQ,MATCH(J$1,SUBQH,0),0),"")</f>
        <v/>
      </c>
      <c r="K32" s="25">
        <f>IFERROR(VLOOKUP($A32,subQ,MATCH(K$1,SUBQH,0),0),"")</f>
        <v/>
      </c>
      <c r="L32" s="25">
        <f>IFERROR(VLOOKUP($A32,subQ,MATCH(L$1,SUBQH,0),0),"")</f>
        <v/>
      </c>
      <c r="M32" s="25">
        <f>IFERROR(VLOOKUP($A32,subQ,MATCH(M$1,SUBQH,0),0),"")</f>
        <v/>
      </c>
      <c r="N32" s="25">
        <f>IFERROR(VLOOKUP($A32,subQ,MATCH(N$1,SUBQH,0),0),"")</f>
        <v/>
      </c>
      <c r="O32" s="25">
        <f>IFERROR(VLOOKUP($A32,subQ,MATCH(O$1,SUBQH,0),0),"")</f>
        <v/>
      </c>
      <c r="P32" s="25">
        <f>IFERROR(VLOOKUP($A32,subQ,MATCH(P$1,SUBQH,0),0),"")</f>
        <v/>
      </c>
      <c r="Q32" s="25">
        <f>IFERROR(VLOOKUP($A32,subQ,MATCH(Q$1,SUBQH,0),0),"")</f>
        <v/>
      </c>
      <c r="R32" s="25">
        <f>IFERROR(VLOOKUP($A32,subQ,MATCH(R$1,SUBQH,0),0),"")</f>
        <v/>
      </c>
      <c r="S32" s="25">
        <f>IFERROR(VLOOKUP($A32,subQ,MATCH(S$1,SUBQH,0),0),"")</f>
        <v/>
      </c>
      <c r="T32" s="25">
        <f>IFERROR(VLOOKUP($A32,subQ,MATCH(T$1,SUBQH,0),0),"")</f>
        <v/>
      </c>
      <c r="U32" s="25">
        <f>IFERROR(VLOOKUP($A32,subQ,MATCH(U$1,SUBQH,0),0),"")</f>
        <v/>
      </c>
      <c r="V32" s="25">
        <f>IFERROR(VLOOKUP($A32,subQ,MATCH(V$1,SUBQH,0),0),"")</f>
        <v/>
      </c>
      <c r="W32" s="47">
        <f>IFERROR(VLOOKUP($A32,subQ,MATCH(W$1,SUBQH,0),0),"")</f>
        <v/>
      </c>
      <c r="X32" s="31">
        <f>IFERROR(VLOOKUP($A32,subQ,MATCH(X$1,SUBQH,0),0),"")</f>
        <v/>
      </c>
      <c r="Y32" s="31">
        <f>IFERROR(VLOOKUP($A32,subQ,MATCH(Y$1,SUBQH,0),0),"")</f>
        <v/>
      </c>
      <c r="Z32" s="31">
        <f>IFERROR(VLOOKUP($A32,subQ,MATCH(Z$1,SUBQH,0),0),"")</f>
        <v/>
      </c>
      <c r="AA32" s="31">
        <f>IFERROR(VLOOKUP($A32,subQ,MATCH(AA$1,SUBQH,0),0),"")</f>
        <v/>
      </c>
      <c r="AB32" s="31">
        <f>IFERROR(VLOOKUP($A32,subQ,MATCH(AB$1,SUBQH,0),0),"")</f>
        <v/>
      </c>
      <c r="AC32" s="31">
        <f>IFERROR(VLOOKUP($A32,subQ,MATCH(AC$1,SUBQH,0),0),"")</f>
        <v/>
      </c>
      <c r="AD32" s="31">
        <f>IFERROR(VLOOKUP($A32,subQ,MATCH(AD$1,SUBQH,0),0),"")</f>
        <v/>
      </c>
      <c r="AE32" s="31">
        <f>IFERROR(VLOOKUP($A32,subQ,MATCH(AE$1,SUBQH,0),0),"")</f>
        <v/>
      </c>
      <c r="AF32" s="31">
        <f>IFERROR(VLOOKUP($A32,subQ,MATCH(AF$1,SUBQH,0),0),"")</f>
        <v/>
      </c>
      <c r="AG32" s="31">
        <f>IFERROR(VLOOKUP($A32,subQ,MATCH(AG$1,SUBQH,0),0),"")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37">
        <f>IFERROR(VLOOKUP($A33,subQ,MATCH(X$1,SUBQH,0),0),"")</f>
        <v/>
      </c>
      <c r="Y33" s="37">
        <f>IFERROR(VLOOKUP($A33,subQ,MATCH(Y$1,SUBQH,0),0),"")</f>
        <v/>
      </c>
      <c r="Z33" s="37">
        <f>IFERROR(VLOOKUP($A33,subQ,MATCH(Z$1,SUBQH,0),0),"")</f>
        <v/>
      </c>
      <c r="AA33" s="37">
        <f>IFERROR(VLOOKUP($A33,subQ,MATCH(AA$1,SUBQH,0),0),"")</f>
        <v/>
      </c>
      <c r="AB33" s="37">
        <f>IFERROR(VLOOKUP($A33,subQ,MATCH(AB$1,SUBQH,0),0),"")</f>
        <v/>
      </c>
      <c r="AC33" s="37">
        <f>IFERROR(VLOOKUP($A33,subQ,MATCH(AC$1,SUBQH,0),0),"")</f>
        <v/>
      </c>
      <c r="AD33" s="37">
        <f>IFERROR(VLOOKUP($A33,subQ,MATCH(AD$1,SUBQH,0),0),"")</f>
        <v/>
      </c>
      <c r="AE33" s="37">
        <f>IFERROR(VLOOKUP($A33,subQ,MATCH(AE$1,SUBQH,0),0),"")</f>
        <v/>
      </c>
      <c r="AF33" s="37">
        <f>IFERROR(VLOOKUP($A33,subQ,MATCH(AF$1,SUBQH,0),0),"")</f>
        <v/>
      </c>
      <c r="AG33" s="37">
        <f>IFERROR(VLOOKUP($A33,subQ,MATCH(AG$1,SUBQH,0),0),"")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37">
        <f>IFERROR(VLOOKUP($A34,subQ,MATCH(X$1,SUBQH,0),0),"")</f>
        <v/>
      </c>
      <c r="Y34" s="37">
        <f>IFERROR(VLOOKUP($A34,subQ,MATCH(Y$1,SUBQH,0),0),"")</f>
        <v/>
      </c>
      <c r="Z34" s="37">
        <f>IFERROR(VLOOKUP($A34,subQ,MATCH(Z$1,SUBQH,0),0),"")</f>
        <v/>
      </c>
      <c r="AA34" s="37">
        <f>IFERROR(VLOOKUP($A34,subQ,MATCH(AA$1,SUBQH,0),0),"")</f>
        <v/>
      </c>
      <c r="AB34" s="37">
        <f>IFERROR(VLOOKUP($A34,subQ,MATCH(AB$1,SUBQH,0),0),"")</f>
        <v/>
      </c>
      <c r="AC34" s="37">
        <f>IFERROR(VLOOKUP($A34,subQ,MATCH(AC$1,SUBQH,0),0),"")</f>
        <v/>
      </c>
      <c r="AD34" s="37">
        <f>IFERROR(VLOOKUP($A34,subQ,MATCH(AD$1,SUBQH,0),0),"")</f>
        <v/>
      </c>
      <c r="AE34" s="37">
        <f>IFERROR(VLOOKUP($A34,subQ,MATCH(AE$1,SUBQH,0),0),"")</f>
        <v/>
      </c>
      <c r="AF34" s="37">
        <f>IFERROR(VLOOKUP($A34,subQ,MATCH(AF$1,SUBQH,0),0),"")</f>
        <v/>
      </c>
      <c r="AG34" s="37">
        <f>IFERROR(VLOOKUP($A34,subQ,MATCH(AG$1,SUBQH,0),0),"")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37">
        <f>IFERROR(VLOOKUP($A35,subQ,MATCH(X$1,SUBQH,0),0),"")</f>
        <v/>
      </c>
      <c r="Y35" s="37">
        <f>IFERROR(VLOOKUP($A35,subQ,MATCH(Y$1,SUBQH,0),0),"")</f>
        <v/>
      </c>
      <c r="Z35" s="37">
        <f>IFERROR(VLOOKUP($A35,subQ,MATCH(Z$1,SUBQH,0),0),"")</f>
        <v/>
      </c>
      <c r="AA35" s="37">
        <f>IFERROR(VLOOKUP($A35,subQ,MATCH(AA$1,SUBQH,0),0),"")</f>
        <v/>
      </c>
      <c r="AB35" s="37">
        <f>IFERROR(VLOOKUP($A35,subQ,MATCH(AB$1,SUBQH,0),0),"")</f>
        <v/>
      </c>
      <c r="AC35" s="37">
        <f>IFERROR(VLOOKUP($A35,subQ,MATCH(AC$1,SUBQH,0),0),"")</f>
        <v/>
      </c>
      <c r="AD35" s="37">
        <f>IFERROR(VLOOKUP($A35,subQ,MATCH(AD$1,SUBQH,0),0),"")</f>
        <v/>
      </c>
      <c r="AE35" s="37">
        <f>IFERROR(VLOOKUP($A35,subQ,MATCH(AE$1,SUBQH,0),0),"")</f>
        <v/>
      </c>
      <c r="AF35" s="37">
        <f>IFERROR(VLOOKUP($A35,subQ,MATCH(AF$1,SUBQH,0),0),"")</f>
        <v/>
      </c>
      <c r="AG35" s="37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37">
        <f>IFERROR(VLOOKUP($A37,subQ,MATCH(X$1,SUBQH,0),0),"")</f>
        <v/>
      </c>
      <c r="Y37" s="37">
        <f>IFERROR(VLOOKUP($A37,subQ,MATCH(Y$1,SUBQH,0),0),"")</f>
        <v/>
      </c>
      <c r="Z37" s="37">
        <f>IFERROR(VLOOKUP($A37,subQ,MATCH(Z$1,SUBQH,0),0),"")</f>
        <v/>
      </c>
      <c r="AA37" s="37">
        <f>IFERROR(VLOOKUP($A37,subQ,MATCH(AA$1,SUBQH,0),0),"")</f>
        <v/>
      </c>
      <c r="AB37" s="37">
        <f>IFERROR(VLOOKUP($A37,subQ,MATCH(AB$1,SUBQH,0),0),"")</f>
        <v/>
      </c>
      <c r="AC37" s="37">
        <f>IFERROR(VLOOKUP($A37,subQ,MATCH(AC$1,SUBQH,0),0),"")</f>
        <v/>
      </c>
      <c r="AD37" s="37">
        <f>IFERROR(VLOOKUP($A37,subQ,MATCH(AD$1,SUBQH,0),0),"")</f>
        <v/>
      </c>
      <c r="AE37" s="37">
        <f>IFERROR(VLOOKUP($A37,subQ,MATCH(AE$1,SUBQH,0),0),"")</f>
        <v/>
      </c>
      <c r="AF37" s="37">
        <f>IFERROR(VLOOKUP($A37,subQ,MATCH(AF$1,SUBQH,0),0),"")</f>
        <v/>
      </c>
      <c r="AG37" s="37">
        <f>IFERROR(VLOOKUP($A37,subQ,MATCH(AG$1,SUBQH,0),0),"")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37">
        <f>IFERROR(VLOOKUP($A38,subQ,MATCH(X$1,SUBQH,0),0),"")</f>
        <v/>
      </c>
      <c r="Y38" s="37">
        <f>IFERROR(VLOOKUP($A38,subQ,MATCH(Y$1,SUBQH,0),0),"")</f>
        <v/>
      </c>
      <c r="Z38" s="37">
        <f>IFERROR(VLOOKUP($A38,subQ,MATCH(Z$1,SUBQH,0),0),"")</f>
        <v/>
      </c>
      <c r="AA38" s="37">
        <f>IFERROR(VLOOKUP($A38,subQ,MATCH(AA$1,SUBQH,0),0),"")</f>
        <v/>
      </c>
      <c r="AB38" s="37">
        <f>IFERROR(VLOOKUP($A38,subQ,MATCH(AB$1,SUBQH,0),0),"")</f>
        <v/>
      </c>
      <c r="AC38" s="37">
        <f>IFERROR(VLOOKUP($A38,subQ,MATCH(AC$1,SUBQH,0),0),"")</f>
        <v/>
      </c>
      <c r="AD38" s="37">
        <f>IFERROR(VLOOKUP($A38,subQ,MATCH(AD$1,SUBQH,0),0),"")</f>
        <v/>
      </c>
      <c r="AE38" s="37">
        <f>IFERROR(VLOOKUP($A38,subQ,MATCH(AE$1,SUBQH,0),0),"")</f>
        <v/>
      </c>
      <c r="AF38" s="37">
        <f>IFERROR(VLOOKUP($A38,subQ,MATCH(AF$1,SUBQH,0),0),"")</f>
        <v/>
      </c>
      <c r="AG38" s="37">
        <f>IFERROR(VLOOKUP($A38,subQ,MATCH(AG$1,SUBQH,0),0),"")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19">
        <f>IFERROR(VLOOKUP($A39,subQ,MATCH(E$1,SUBQH,0),0),"")</f>
        <v/>
      </c>
      <c r="F39" s="19">
        <f>IFERROR(VLOOKUP($A39,subQ,MATCH(F$1,SUBQH,0),0),"")</f>
        <v/>
      </c>
      <c r="G39" s="19">
        <f>IFERROR(VLOOKUP($A39,subQ,MATCH(G$1,SUBQH,0),0),"")</f>
        <v/>
      </c>
      <c r="H39" s="19">
        <f>IFERROR(VLOOKUP($A39,subQ,MATCH(H$1,SUBQH,0),0),"")</f>
        <v/>
      </c>
      <c r="I39" s="19">
        <f>IFERROR(VLOOKUP($A39,subQ,MATCH(I$1,SUBQH,0),0),"")</f>
        <v/>
      </c>
      <c r="J39" s="19">
        <f>IFERROR(VLOOKUP($A39,subQ,MATCH(J$1,SUBQH,0),0),"")</f>
        <v/>
      </c>
      <c r="K39" s="19">
        <f>IFERROR(VLOOKUP($A39,subQ,MATCH(K$1,SUBQH,0),0),"")</f>
        <v/>
      </c>
      <c r="L39" s="19">
        <f>IFERROR(VLOOKUP($A39,subQ,MATCH(L$1,SUBQH,0),0),"")</f>
        <v/>
      </c>
      <c r="M39" s="19">
        <f>IFERROR(VLOOKUP($A39,subQ,MATCH(M$1,SUBQH,0),0),"")</f>
        <v/>
      </c>
      <c r="N39" s="19">
        <f>IFERROR(VLOOKUP($A39,subQ,MATCH(N$1,SUBQH,0),0),"")</f>
        <v/>
      </c>
      <c r="O39" s="19">
        <f>IFERROR(VLOOKUP($A39,subQ,MATCH(O$1,SUBQH,0),0),"")</f>
        <v/>
      </c>
      <c r="P39" s="19">
        <f>IFERROR(VLOOKUP($A39,subQ,MATCH(P$1,SUBQH,0),0),"")</f>
        <v/>
      </c>
      <c r="Q39" s="19">
        <f>IFERROR(VLOOKUP($A39,subQ,MATCH(Q$1,SUBQH,0),0),"")</f>
        <v/>
      </c>
      <c r="R39" s="19">
        <f>IFERROR(VLOOKUP($A39,subQ,MATCH(R$1,SUBQH,0),0),"")</f>
        <v/>
      </c>
      <c r="S39" s="19">
        <f>IFERROR(VLOOKUP($A39,subQ,MATCH(S$1,SUBQH,0),0),"")</f>
        <v/>
      </c>
      <c r="T39" s="19">
        <f>IFERROR(VLOOKUP($A39,subQ,MATCH(T$1,SUBQH,0),0),"")</f>
        <v/>
      </c>
      <c r="U39" s="19">
        <f>IFERROR(VLOOKUP($A39,subQ,MATCH(U$1,SUBQH,0),0),"")</f>
        <v/>
      </c>
      <c r="V39" s="19">
        <f>IFERROR(VLOOKUP($A39,subQ,MATCH(V$1,SUBQH,0),0),"")</f>
        <v/>
      </c>
      <c r="W39" s="46">
        <f>IFERROR(VLOOKUP($A39,subQ,MATCH(W$1,SUBQH,0),0),"")</f>
        <v/>
      </c>
      <c r="X39" s="30">
        <f>IFERROR(VLOOKUP($A39,subQ,MATCH(X$1,SUBQH,0),0),"")</f>
        <v/>
      </c>
      <c r="Y39" s="30">
        <f>IFERROR(VLOOKUP($A39,subQ,MATCH(Y$1,SUBQH,0),0),"")</f>
        <v/>
      </c>
      <c r="Z39" s="30">
        <f>IFERROR(VLOOKUP($A39,subQ,MATCH(Z$1,SUBQH,0),0),"")</f>
        <v/>
      </c>
      <c r="AA39" s="30">
        <f>IFERROR(VLOOKUP($A39,subQ,MATCH(AA$1,SUBQH,0),0),"")</f>
        <v/>
      </c>
      <c r="AB39" s="30">
        <f>IFERROR(VLOOKUP($A39,subQ,MATCH(AB$1,SUBQH,0),0),"")</f>
        <v/>
      </c>
      <c r="AC39" s="30">
        <f>IFERROR(VLOOKUP($A39,subQ,MATCH(AC$1,SUBQH,0),0),"")</f>
        <v/>
      </c>
      <c r="AD39" s="30">
        <f>IFERROR(VLOOKUP($A39,subQ,MATCH(AD$1,SUBQH,0),0),"")</f>
        <v/>
      </c>
      <c r="AE39" s="30">
        <f>IFERROR(VLOOKUP($A39,subQ,MATCH(AE$1,SUBQH,0),0),"")</f>
        <v/>
      </c>
      <c r="AF39" s="30">
        <f>IFERROR(VLOOKUP($A39,subQ,MATCH(AF$1,SUBQH,0),0),"")</f>
        <v/>
      </c>
      <c r="AG39" s="30">
        <f>IFERROR(VLOOKUP($A39,subQ,MATCH(AG$1,SUBQH,0),0),"")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19">
        <f>IFERROR(I5/E5-1,"")</f>
        <v/>
      </c>
      <c r="J40" s="19">
        <f>IFERROR(J5/F5-1,"")</f>
        <v/>
      </c>
      <c r="K40" s="19">
        <f>IFERROR(K5/G5-1,"")</f>
        <v/>
      </c>
      <c r="L40" s="19">
        <f>IFERROR(L5/H5-1,"")</f>
        <v/>
      </c>
      <c r="M40" s="19">
        <f>IFERROR(M5/I5-1,"")</f>
        <v/>
      </c>
      <c r="N40" s="19">
        <f>IFERROR(N5/J5-1,"")</f>
        <v/>
      </c>
      <c r="O40" s="19">
        <f>IFERROR(O5/K5-1,"")</f>
        <v/>
      </c>
      <c r="P40" s="19">
        <f>IFERROR(P5/L5-1,"")</f>
        <v/>
      </c>
      <c r="Q40" s="19">
        <f>IFERROR(Q5/M5-1,"")</f>
        <v/>
      </c>
      <c r="R40" s="19">
        <f>IFERROR(R5/N5-1,"")</f>
        <v/>
      </c>
      <c r="S40" s="19">
        <f>IFERROR(S5/O5-1,"")</f>
        <v/>
      </c>
      <c r="T40" s="19">
        <f>IFERROR(T5/P5-1,"")</f>
        <v/>
      </c>
      <c r="U40" s="19">
        <f>IFERROR(U5/Q5-1,"")</f>
        <v/>
      </c>
      <c r="V40" s="19">
        <f>IFERROR(V5/R5-1,"")</f>
        <v/>
      </c>
      <c r="W40" s="46">
        <f>IFERROR(W5/S5-1,"")</f>
        <v/>
      </c>
      <c r="X40" s="30">
        <f>IFERROR(X5/T5-1,"")</f>
        <v/>
      </c>
      <c r="Y40" s="30">
        <f>IFERROR(Y5/U5-1,"")</f>
        <v/>
      </c>
      <c r="Z40" s="30">
        <f>IFERROR(Z5/V5-1,"")</f>
        <v/>
      </c>
      <c r="AA40" s="30">
        <f>IFERROR(AA5/W5-1,"")</f>
        <v/>
      </c>
      <c r="AB40" s="30">
        <f>IFERROR(AB5/X5-1,"")</f>
        <v/>
      </c>
      <c r="AC40" s="30">
        <f>IFERROR(AC5/Y5-1,"")</f>
        <v/>
      </c>
      <c r="AD40" s="30">
        <f>IFERROR(AD5/Z5-1,"")</f>
        <v/>
      </c>
      <c r="AE40" s="30">
        <f>IFERROR(AE5/AA5-1,"")</f>
        <v/>
      </c>
      <c r="AF40" s="30">
        <f>IFERROR(AF5/AB5-1,"")</f>
        <v/>
      </c>
      <c r="AG40" s="30">
        <f>IFERROR(AG5/AC5-1,"")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19">
        <f>IFERROR(I9/E9-1,"")</f>
        <v/>
      </c>
      <c r="J41" s="19">
        <f>IFERROR(J9/F9-1,"")</f>
        <v/>
      </c>
      <c r="K41" s="19">
        <f>IFERROR(K9/G9-1,"")</f>
        <v/>
      </c>
      <c r="L41" s="19">
        <f>IFERROR(L9/H9-1,"")</f>
        <v/>
      </c>
      <c r="M41" s="19">
        <f>IFERROR(M9/I9-1,"")</f>
        <v/>
      </c>
      <c r="N41" s="19">
        <f>IFERROR(N9/J9-1,"")</f>
        <v/>
      </c>
      <c r="O41" s="19">
        <f>IFERROR(O9/K9-1,"")</f>
        <v/>
      </c>
      <c r="P41" s="19">
        <f>IFERROR(P9/L9-1,"")</f>
        <v/>
      </c>
      <c r="Q41" s="19">
        <f>IFERROR(Q9/M9-1,"")</f>
        <v/>
      </c>
      <c r="R41" s="19">
        <f>IFERROR(R9/N9-1,"")</f>
        <v/>
      </c>
      <c r="S41" s="19">
        <f>IFERROR(S9/O9-1,"")</f>
        <v/>
      </c>
      <c r="T41" s="19">
        <f>IFERROR(T9/P9-1,"")</f>
        <v/>
      </c>
      <c r="U41" s="19">
        <f>IFERROR(U9/Q9-1,"")</f>
        <v/>
      </c>
      <c r="V41" s="19">
        <f>IFERROR(V9/R9-1,"")</f>
        <v/>
      </c>
      <c r="W41" s="46">
        <f>IFERROR(W9/S9-1,"")</f>
        <v/>
      </c>
      <c r="X41" s="30">
        <f>IFERROR(X9/T9-1,"")</f>
        <v/>
      </c>
      <c r="Y41" s="30">
        <f>IFERROR(Y9/U9-1,"")</f>
        <v/>
      </c>
      <c r="Z41" s="30">
        <f>IFERROR(Z9/V9-1,"")</f>
        <v/>
      </c>
      <c r="AA41" s="30">
        <f>IFERROR(AA9/W9-1,"")</f>
        <v/>
      </c>
      <c r="AB41" s="30">
        <f>IFERROR(AB9/X9-1,"")</f>
        <v/>
      </c>
      <c r="AC41" s="30">
        <f>IFERROR(AC9/Y9-1,"")</f>
        <v/>
      </c>
      <c r="AD41" s="30">
        <f>IFERROR(AD9/Z9-1,"")</f>
        <v/>
      </c>
      <c r="AE41" s="30">
        <f>IFERROR(AE9/AA9-1,"")</f>
        <v/>
      </c>
      <c r="AF41" s="30">
        <f>IFERROR(AF9/AB9-1,"")</f>
        <v/>
      </c>
      <c r="AG41" s="30">
        <f>IFERROR(AG9/AC9-1,"")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19">
        <f>IFERROR(I21/E21-1,"")</f>
        <v/>
      </c>
      <c r="J42" s="19">
        <f>IFERROR(J21/F21-1,"")</f>
        <v/>
      </c>
      <c r="K42" s="19">
        <f>IFERROR(K21/G21-1,"")</f>
        <v/>
      </c>
      <c r="L42" s="19">
        <f>IFERROR(L21/H21-1,"")</f>
        <v/>
      </c>
      <c r="M42" s="19">
        <f>IFERROR(M21/I21-1,"")</f>
        <v/>
      </c>
      <c r="N42" s="19">
        <f>IFERROR(N21/J21-1,"")</f>
        <v/>
      </c>
      <c r="O42" s="19">
        <f>IFERROR(O21/K21-1,"")</f>
        <v/>
      </c>
      <c r="P42" s="19">
        <f>IFERROR(P21/L21-1,"")</f>
        <v/>
      </c>
      <c r="Q42" s="19">
        <f>IFERROR(Q21/M21-1,"")</f>
        <v/>
      </c>
      <c r="R42" s="19">
        <f>IFERROR(R21/N21-1,"")</f>
        <v/>
      </c>
      <c r="S42" s="19">
        <f>IFERROR(S21/O21-1,"")</f>
        <v/>
      </c>
      <c r="T42" s="19">
        <f>IFERROR(T21/P21-1,"")</f>
        <v/>
      </c>
      <c r="U42" s="19">
        <f>IFERROR(U21/Q21-1,"")</f>
        <v/>
      </c>
      <c r="V42" s="19">
        <f>IFERROR(V21/R21-1,"")</f>
        <v/>
      </c>
      <c r="W42" s="46">
        <f>IFERROR(W21/S21-1,"")</f>
        <v/>
      </c>
      <c r="X42" s="30">
        <f>IFERROR(X21/T21-1,"")</f>
        <v/>
      </c>
      <c r="Y42" s="30">
        <f>IFERROR(Y21/U21-1,"")</f>
        <v/>
      </c>
      <c r="Z42" s="30">
        <f>IFERROR(Z21/V21-1,"")</f>
        <v/>
      </c>
      <c r="AA42" s="30">
        <f>IFERROR(AA21/W21-1,"")</f>
        <v/>
      </c>
      <c r="AB42" s="30">
        <f>IFERROR(AB21/X21-1,"")</f>
        <v/>
      </c>
      <c r="AC42" s="30">
        <f>IFERROR(AC21/Y21-1,"")</f>
        <v/>
      </c>
      <c r="AD42" s="30">
        <f>IFERROR(AD21/Z21-1,"")</f>
        <v/>
      </c>
      <c r="AE42" s="30">
        <f>IFERROR(AE21/AA21-1,"")</f>
        <v/>
      </c>
      <c r="AF42" s="30">
        <f>IFERROR(AF21/AB21-1,"")</f>
        <v/>
      </c>
      <c r="AG42" s="30">
        <f>IFERROR(AG21/AC21-1,"")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변수!D44</f>
        <v/>
      </c>
      <c r="I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37">
        <f>IFERROR(VLOOKUP($A5,subQ,MATCH(J$1,SUBQH,0),0),"")</f>
        <v/>
      </c>
      <c r="K5" s="37">
        <f>IFERROR(VLOOKUP($A5,subQ,MATCH(K$1,SUBQH,0),0),"")</f>
        <v/>
      </c>
      <c r="L5" s="37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37">
        <f>IFERROR(VLOOKUP($A6,subQ,MATCH(J$1,SUBQH,0),0),"")</f>
        <v/>
      </c>
      <c r="K6" s="37">
        <f>IFERROR(VLOOKUP($A6,subQ,MATCH(K$1,SUBQH,0),0),"")</f>
        <v/>
      </c>
      <c r="L6" s="37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37">
        <f>IFERROR(VLOOKUP($A7,subQ,MATCH(J$1,SUBQH,0),0),"")</f>
        <v/>
      </c>
      <c r="K7" s="37">
        <f>IFERROR(VLOOKUP($A7,subQ,MATCH(K$1,SUBQH,0),0),"")</f>
        <v/>
      </c>
      <c r="L7" s="37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37">
        <f>IFERROR(VLOOKUP($A8,subQ,MATCH(J$1,SUBQH,0),0),"")</f>
        <v/>
      </c>
      <c r="K8" s="37">
        <f>IFERROR(VLOOKUP($A8,subQ,MATCH(K$1,SUBQH,0),0),"")</f>
        <v/>
      </c>
      <c r="L8" s="37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37">
        <f>IFERROR(VLOOKUP($A9,subQ,MATCH(J$1,SUBQH,0),0),"")</f>
        <v/>
      </c>
      <c r="K9" s="37">
        <f>IFERROR(VLOOKUP($A9,subQ,MATCH(K$1,SUBQH,0),0),"")</f>
        <v/>
      </c>
      <c r="L9" s="37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19">
        <f>IFERROR(VLOOKUP($A10,subQ,MATCH(E$1,SUBQH,0),0),"")</f>
        <v/>
      </c>
      <c r="F10" s="19">
        <f>IFERROR(VLOOKUP($A10,subQ,MATCH(F$1,SUBQH,0),0),"")</f>
        <v/>
      </c>
      <c r="G10" s="19">
        <f>IFERROR(VLOOKUP($A10,subQ,MATCH(G$1,SUBQH,0),0),"")</f>
        <v/>
      </c>
      <c r="H10" s="19">
        <f>IFERROR(VLOOKUP($A10,subQ,MATCH(H$1,SUBQH,0),0),"")</f>
        <v/>
      </c>
      <c r="I10" s="46">
        <f>IFERROR(VLOOKUP($A10,subQ,MATCH(I$1,SUBQH,0),0),"")</f>
        <v/>
      </c>
      <c r="J10" s="30">
        <f>IFERROR(VLOOKUP($A10,subQ,MATCH(J$1,SUBQH,0),0),"")</f>
        <v/>
      </c>
      <c r="K10" s="30">
        <f>IFERROR(VLOOKUP($A10,subQ,MATCH(K$1,SUBQH,0),0),"")</f>
        <v/>
      </c>
      <c r="L10" s="30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37">
        <f>IFERROR(VLOOKUP($A11,subQ,MATCH(J$1,SUBQH,0),0),"")</f>
        <v/>
      </c>
      <c r="K11" s="37">
        <f>IFERROR(VLOOKUP($A11,subQ,MATCH(K$1,SUBQH,0),0),"")</f>
        <v/>
      </c>
      <c r="L11" s="37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37">
        <f>IFERROR(VLOOKUP($A12,subQ,MATCH(J$1,SUBQH,0),0),"")</f>
        <v/>
      </c>
      <c r="K12" s="37">
        <f>IFERROR(VLOOKUP($A12,subQ,MATCH(K$1,SUBQH,0),0),"")</f>
        <v/>
      </c>
      <c r="L12" s="37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37">
        <f>IFERROR(VLOOKUP($A13,subQ,MATCH(J$1,SUBQH,0),0),"")</f>
        <v/>
      </c>
      <c r="K13" s="37">
        <f>IFERROR(VLOOKUP($A13,subQ,MATCH(K$1,SUBQH,0),0),"")</f>
        <v/>
      </c>
      <c r="L13" s="37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37">
        <f>IFERROR(VLOOKUP($A14,subQ,MATCH(J$1,SUBQH,0),0),"")</f>
        <v/>
      </c>
      <c r="K14" s="37">
        <f>IFERROR(VLOOKUP($A14,subQ,MATCH(K$1,SUBQH,0),0),"")</f>
        <v/>
      </c>
      <c r="L14" s="37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37">
        <f>IFERROR(VLOOKUP($A15,subQ,MATCH(J$1,SUBQH,0),0),"")</f>
        <v/>
      </c>
      <c r="K15" s="37">
        <f>IFERROR(VLOOKUP($A15,subQ,MATCH(K$1,SUBQH,0),0),"")</f>
        <v/>
      </c>
      <c r="L15" s="37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37">
        <f>IFERROR(VLOOKUP($A16,subQ,MATCH(J$1,SUBQH,0),0),"")</f>
        <v/>
      </c>
      <c r="K16" s="37">
        <f>IFERROR(VLOOKUP($A16,subQ,MATCH(K$1,SUBQH,0),0),"")</f>
        <v/>
      </c>
      <c r="L16" s="37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37">
        <f>IFERROR(VLOOKUP($A17,subQ,MATCH(J$1,SUBQH,0),0),"")</f>
        <v/>
      </c>
      <c r="K17" s="37">
        <f>IFERROR(VLOOKUP($A17,subQ,MATCH(K$1,SUBQH,0),0),"")</f>
        <v/>
      </c>
      <c r="L17" s="37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37">
        <f>IFERROR(VLOOKUP($A18,subQ,MATCH(J$1,SUBQH,0),0),"")</f>
        <v/>
      </c>
      <c r="K18" s="37">
        <f>IFERROR(VLOOKUP($A18,subQ,MATCH(K$1,SUBQH,0),0),"")</f>
        <v/>
      </c>
      <c r="L18" s="37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37">
        <f>IFERROR(VLOOKUP($A19,subQ,MATCH(J$1,SUBQH,0),0),"")</f>
        <v/>
      </c>
      <c r="K19" s="37">
        <f>IFERROR(VLOOKUP($A19,subQ,MATCH(K$1,SUBQH,0),0),"")</f>
        <v/>
      </c>
      <c r="L19" s="37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37">
        <f>IFERROR(VLOOKUP($A20,subQ,MATCH(J$1,SUBQH,0),0),"")</f>
        <v/>
      </c>
      <c r="K20" s="37">
        <f>IFERROR(VLOOKUP($A20,subQ,MATCH(K$1,SUBQH,0),0),"")</f>
        <v/>
      </c>
      <c r="L20" s="37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37">
        <f>IFERROR(VLOOKUP($A21,subQ,MATCH(J$1,SUBQH,0),0),"")</f>
        <v/>
      </c>
      <c r="K21" s="37">
        <f>IFERROR(VLOOKUP($A21,subQ,MATCH(K$1,SUBQH,0),0),"")</f>
        <v/>
      </c>
      <c r="L21" s="37">
        <f>IFERROR(VLOOKUP($A21,subQ,MATCH(L$1,SUBQH,0),0),"")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37">
        <f>IFERROR(VLOOKUP($A22,subQ,MATCH(J$1,SUBQH,0),0),"")</f>
        <v/>
      </c>
      <c r="K22" s="37">
        <f>IFERROR(VLOOKUP($A22,subQ,MATCH(K$1,SUBQH,0),0),"")</f>
        <v/>
      </c>
      <c r="L22" s="37">
        <f>IFERROR(VLOOKUP($A22,subQ,MATCH(L$1,SUBQH,0),0),"")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37">
        <f>IFERROR(VLOOKUP($A23,subQ,MATCH(J$1,SUBQH,0),0),"")</f>
        <v/>
      </c>
      <c r="K23" s="37">
        <f>IFERROR(VLOOKUP($A23,subQ,MATCH(K$1,SUBQH,0),0),"")</f>
        <v/>
      </c>
      <c r="L23" s="37">
        <f>IFERROR(VLOOKUP($A23,subQ,MATCH(L$1,SUBQH,0),0),"")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37">
        <f>IFERROR(VLOOKUP($A24,subQ,MATCH(J$1,SUBQH,0),0),"")</f>
        <v/>
      </c>
      <c r="K24" s="37">
        <f>IFERROR(VLOOKUP($A24,subQ,MATCH(K$1,SUBQH,0),0),"")</f>
        <v/>
      </c>
      <c r="L24" s="37">
        <f>IFERROR(VLOOKUP($A24,subQ,MATCH(L$1,SUBQH,0),0),"")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37">
        <f>IFERROR(VLOOKUP($A25,subQ,MATCH(J$1,SUBQH,0),0),"")</f>
        <v/>
      </c>
      <c r="K25" s="37">
        <f>IFERROR(VLOOKUP($A25,subQ,MATCH(K$1,SUBQH,0),0),"")</f>
        <v/>
      </c>
      <c r="L25" s="37">
        <f>IFERROR(VLOOKUP($A25,subQ,MATCH(L$1,SUBQH,0),0),"")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37">
        <f>IFERROR(VLOOKUP($A26,subQ,MATCH(J$1,SUBQH,0),0),"")</f>
        <v/>
      </c>
      <c r="K26" s="37">
        <f>IFERROR(VLOOKUP($A26,subQ,MATCH(K$1,SUBQH,0),0),"")</f>
        <v/>
      </c>
      <c r="L26" s="37">
        <f>IFERROR(VLOOKUP($A26,subQ,MATCH(L$1,SUBQH,0),0),"")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37">
        <f>IFERROR(VLOOKUP($A27,subQ,MATCH(J$1,SUBQH,0),0),"")</f>
        <v/>
      </c>
      <c r="K27" s="37">
        <f>IFERROR(VLOOKUP($A27,subQ,MATCH(K$1,SUBQH,0),0),"")</f>
        <v/>
      </c>
      <c r="L27" s="37">
        <f>IFERROR(VLOOKUP($A27,subQ,MATCH(L$1,SUBQH,0),0),"")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37">
        <f>IFERROR(VLOOKUP($A28,subQ,MATCH(J$1,SUBQH,0),0),"")</f>
        <v/>
      </c>
      <c r="K28" s="37">
        <f>IFERROR(VLOOKUP($A28,subQ,MATCH(K$1,SUBQH,0),0),"")</f>
        <v/>
      </c>
      <c r="L28" s="37">
        <f>IFERROR(VLOOKUP($A28,subQ,MATCH(L$1,SUBQH,0),0),"")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37">
        <f>IFERROR(VLOOKUP($A29,subQ,MATCH(J$1,SUBQH,0),0),"")</f>
        <v/>
      </c>
      <c r="K29" s="37">
        <f>IFERROR(VLOOKUP($A29,subQ,MATCH(K$1,SUBQH,0),0),"")</f>
        <v/>
      </c>
      <c r="L29" s="37">
        <f>IFERROR(VLOOKUP($A29,subQ,MATCH(L$1,SUBQH,0),0),"")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37">
        <f>IFERROR(VLOOKUP($A30,subQ,MATCH(J$1,SUBQH,0),0),"")</f>
        <v/>
      </c>
      <c r="K30" s="37">
        <f>IFERROR(VLOOKUP($A30,subQ,MATCH(K$1,SUBQH,0),0),"")</f>
        <v/>
      </c>
      <c r="L30" s="37">
        <f>IFERROR(VLOOKUP($A30,subQ,MATCH(L$1,SUBQH,0),0),"")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37">
        <f>IFERROR(VLOOKUP($A31,subQ,MATCH(J$1,SUBQH,0),0),"")</f>
        <v/>
      </c>
      <c r="K31" s="37">
        <f>IFERROR(VLOOKUP($A31,subQ,MATCH(K$1,SUBQH,0),0),"")</f>
        <v/>
      </c>
      <c r="L31" s="37">
        <f>IFERROR(VLOOKUP($A31,subQ,MATCH(L$1,SUBQH,0),0),"")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5">
        <f>IFERROR(VLOOKUP($A32,subQ,MATCH(E$1,SUBQH,0),0),"")</f>
        <v/>
      </c>
      <c r="F32" s="25">
        <f>IFERROR(VLOOKUP($A32,subQ,MATCH(F$1,SUBQH,0),0),"")</f>
        <v/>
      </c>
      <c r="G32" s="25">
        <f>IFERROR(VLOOKUP($A32,subQ,MATCH(G$1,SUBQH,0),0),"")</f>
        <v/>
      </c>
      <c r="H32" s="25">
        <f>IFERROR(VLOOKUP($A32,subQ,MATCH(H$1,SUBQH,0),0),"")</f>
        <v/>
      </c>
      <c r="I32" s="47">
        <f>IFERROR(VLOOKUP($A32,subQ,MATCH(I$1,SUBQH,0),0),"")</f>
        <v/>
      </c>
      <c r="J32" s="31">
        <f>IFERROR(VLOOKUP($A32,subQ,MATCH(J$1,SUBQH,0),0),"")</f>
        <v/>
      </c>
      <c r="K32" s="31">
        <f>IFERROR(VLOOKUP($A32,subQ,MATCH(K$1,SUBQH,0),0),"")</f>
        <v/>
      </c>
      <c r="L32" s="31">
        <f>IFERROR(VLOOKUP($A32,subQ,MATCH(L$1,SUBQH,0),0),"")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37">
        <f>IFERROR(VLOOKUP($A33,subQ,MATCH(J$1,SUBQH,0),0),"")</f>
        <v/>
      </c>
      <c r="K33" s="37">
        <f>IFERROR(VLOOKUP($A33,subQ,MATCH(K$1,SUBQH,0),0),"")</f>
        <v/>
      </c>
      <c r="L33" s="37">
        <f>IFERROR(VLOOKUP($A33,subQ,MATCH(L$1,SUBQH,0),0),"")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37">
        <f>IFERROR(VLOOKUP($A34,subQ,MATCH(J$1,SUBQH,0),0),"")</f>
        <v/>
      </c>
      <c r="K34" s="37">
        <f>IFERROR(VLOOKUP($A34,subQ,MATCH(K$1,SUBQH,0),0),"")</f>
        <v/>
      </c>
      <c r="L34" s="37">
        <f>IFERROR(VLOOKUP($A34,subQ,MATCH(L$1,SUBQH,0),0),"")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37">
        <f>IFERROR(VLOOKUP($A35,subQ,MATCH(J$1,SUBQH,0),0),"")</f>
        <v/>
      </c>
      <c r="K35" s="37">
        <f>IFERROR(VLOOKUP($A35,subQ,MATCH(K$1,SUBQH,0),0),"")</f>
        <v/>
      </c>
      <c r="L35" s="37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37">
        <f>IFERROR(VLOOKUP($A37,subQ,MATCH(J$1,SUBQH,0),0),"")</f>
        <v/>
      </c>
      <c r="K37" s="37">
        <f>IFERROR(VLOOKUP($A37,subQ,MATCH(K$1,SUBQH,0),0),"")</f>
        <v/>
      </c>
      <c r="L37" s="37">
        <f>IFERROR(VLOOKUP($A37,subQ,MATCH(L$1,SUBQH,0),0),"")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37">
        <f>IFERROR(VLOOKUP($A38,subQ,MATCH(J$1,SUBQH,0),0),"")</f>
        <v/>
      </c>
      <c r="K38" s="37">
        <f>IFERROR(VLOOKUP($A38,subQ,MATCH(K$1,SUBQH,0),0),"")</f>
        <v/>
      </c>
      <c r="L38" s="37">
        <f>IFERROR(VLOOKUP($A38,subQ,MATCH(L$1,SUBQH,0),0),"")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19">
        <f>IFERROR(VLOOKUP($A39,subQ,MATCH(E$1,SUBQH,0),0),"")</f>
        <v/>
      </c>
      <c r="F39" s="19">
        <f>IFERROR(VLOOKUP($A39,subQ,MATCH(F$1,SUBQH,0),0),"")</f>
        <v/>
      </c>
      <c r="G39" s="19">
        <f>IFERROR(VLOOKUP($A39,subQ,MATCH(G$1,SUBQH,0),0),"")</f>
        <v/>
      </c>
      <c r="H39" s="19">
        <f>IFERROR(VLOOKUP($A39,subQ,MATCH(H$1,SUBQH,0),0),"")</f>
        <v/>
      </c>
      <c r="I39" s="46">
        <f>IFERROR(VLOOKUP($A39,subQ,MATCH(I$1,SUBQH,0),0),"")</f>
        <v/>
      </c>
      <c r="J39" s="30">
        <f>IFERROR(VLOOKUP($A39,subQ,MATCH(J$1,SUBQH,0),0),"")</f>
        <v/>
      </c>
      <c r="K39" s="30">
        <f>IFERROR(VLOOKUP($A39,subQ,MATCH(K$1,SUBQH,0),0),"")</f>
        <v/>
      </c>
      <c r="L39" s="30">
        <f>IFERROR(VLOOKUP($A39,subQ,MATCH(L$1,SUBQH,0),0),"")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19">
        <f>IFERROR(F5/E5-1,"")</f>
        <v/>
      </c>
      <c r="G40" s="19">
        <f>IFERROR(G5/F5-1,"")</f>
        <v/>
      </c>
      <c r="H40" s="19">
        <f>IFERROR(H5/G5-1,"")</f>
        <v/>
      </c>
      <c r="I40" s="46">
        <f>IFERROR(I5/H5-1,"")</f>
        <v/>
      </c>
      <c r="J40" s="30">
        <f>IFERROR(J5/I5-1,"")</f>
        <v/>
      </c>
      <c r="K40" s="30">
        <f>IFERROR(K5/J5-1,"")</f>
        <v/>
      </c>
      <c r="L40" s="30">
        <f>IFERROR(L5/K5-1,"")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19">
        <f>IFERROR(F9/E9-1,"")</f>
        <v/>
      </c>
      <c r="G41" s="19">
        <f>IFERROR(G9/F9-1,"")</f>
        <v/>
      </c>
      <c r="H41" s="19">
        <f>IFERROR(H9/G9-1,"")</f>
        <v/>
      </c>
      <c r="I41" s="46">
        <f>IFERROR(I9/H9-1,"")</f>
        <v/>
      </c>
      <c r="J41" s="30">
        <f>IFERROR(J9/I9-1,"")</f>
        <v/>
      </c>
      <c r="K41" s="30">
        <f>IFERROR(K9/J9-1,"")</f>
        <v/>
      </c>
      <c r="L41" s="30">
        <f>IFERROR(L9/K9-1,"")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19">
        <f>IFERROR(F21/E21-1,"")</f>
        <v/>
      </c>
      <c r="G42" s="19">
        <f>IFERROR(G21/F21-1,"")</f>
        <v/>
      </c>
      <c r="H42" s="19">
        <f>IFERROR(H21/G21-1,"")</f>
        <v/>
      </c>
      <c r="I42" s="46">
        <f>IFERROR(I21/H21-1,"")</f>
        <v/>
      </c>
      <c r="J42" s="30">
        <f>IFERROR(J21/I21-1,"")</f>
        <v/>
      </c>
      <c r="K42" s="30">
        <f>IFERROR(K21/J21-1,"")</f>
        <v/>
      </c>
      <c r="L42" s="30">
        <f>IFERROR(L21/K21-1,"")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19">
        <f>IFERROR(E7/D8,"")</f>
        <v/>
      </c>
      <c r="F11" s="19">
        <f>IFERROR(F7/E8,"")</f>
        <v/>
      </c>
      <c r="G11" s="19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5">
        <f>변수!D47</f>
        <v/>
      </c>
      <c r="E15" s="18">
        <f>IFERROR(ROUND($D$14*D15,-2),"")</f>
        <v/>
      </c>
      <c r="F15" s="19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5">
        <f>변수!D48</f>
        <v/>
      </c>
      <c r="E16" s="18">
        <f>IFERROR(ROUND($D$14*D16,-2),"")</f>
        <v/>
      </c>
      <c r="F16" s="19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5">
        <f>변수!D49</f>
        <v/>
      </c>
      <c r="E17" s="18">
        <f>IFERROR(ROUND($D$14*D17,-2),"")</f>
        <v/>
      </c>
      <c r="F17" s="19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5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19">
        <f>IFERROR($D$14/$D$21,"")</f>
        <v/>
      </c>
    </row>
    <row r="23">
      <c r="C23" t="inlineStr">
        <is>
          <t>COE</t>
        </is>
      </c>
      <c r="D23" s="19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19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-275.6</v>
      </c>
    </row>
    <row r="30">
      <c r="C30" s="2" t="inlineStr">
        <is>
          <t>bps_latest</t>
        </is>
      </c>
      <c r="D30" t="n">
        <v>898.4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0.85</v>
      </c>
    </row>
    <row r="33">
      <c r="C33" s="2" t="inlineStr">
        <is>
          <t>roe_fwd</t>
        </is>
      </c>
      <c r="D33" t="n">
        <v>-0.3068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19">
        <f>IFERROR(F5/E5-1,"")</f>
        <v/>
      </c>
      <c r="G6" s="19">
        <f>IFERROR(G5/F5-1,"")</f>
        <v/>
      </c>
      <c r="H6" s="19">
        <f>IFERROR(H5/G5-1,"")</f>
        <v/>
      </c>
      <c r="I6" s="19">
        <f>IFERROR(I5/H5-1,"")</f>
        <v/>
      </c>
      <c r="J6" s="19">
        <f>IFERROR(J5/I5-1,"")</f>
        <v/>
      </c>
      <c r="K6" s="19">
        <f>IFERROR(K5/J5-1,"")</f>
        <v/>
      </c>
      <c r="L6" s="19">
        <f>IFERROR(L5/K5-1,"")</f>
        <v/>
      </c>
      <c r="M6" s="19">
        <f>IFERROR(M5/L5-1,"")</f>
        <v/>
      </c>
      <c r="N6" s="19">
        <f>IFERROR(N5/M5-1,"")</f>
        <v/>
      </c>
      <c r="O6" s="19">
        <f>IFERROR(O5/N5-1,"")</f>
        <v/>
      </c>
      <c r="P6" s="19">
        <f>IFERROR(P5/O5-1,"")</f>
        <v/>
      </c>
      <c r="Q6" s="19">
        <f>IFERROR(Q5/P5-1,"")</f>
        <v/>
      </c>
      <c r="R6" s="19">
        <f>IFERROR(R5/Q5-1,"")</f>
        <v/>
      </c>
      <c r="S6" s="19">
        <f>IFERROR(S5/R5-1,"")</f>
        <v/>
      </c>
      <c r="T6" s="19">
        <f>IFERROR(T5/S5-1,"")</f>
        <v/>
      </c>
      <c r="U6" s="19">
        <f>IFERROR(U5/T5-1,"")</f>
        <v/>
      </c>
      <c r="V6" s="19">
        <f>IFERROR(V5/U5-1,"")</f>
        <v/>
      </c>
      <c r="W6" s="19">
        <f>IFERROR(W5/V5-1,"")</f>
        <v/>
      </c>
      <c r="X6" s="30">
        <f>IFERROR(X5/W5-1,"")</f>
        <v/>
      </c>
      <c r="Y6" s="30">
        <f>IFERROR(Y5/X5-1,"")</f>
        <v/>
      </c>
      <c r="Z6" s="30">
        <f>IFERROR(Z5/Y5-1,"")</f>
        <v/>
      </c>
      <c r="AA6" s="30">
        <f>IFERROR(AA5/Z5-1,"")</f>
        <v/>
      </c>
      <c r="AB6" s="30">
        <f>IFERROR(AB5/AA5-1,"")</f>
        <v/>
      </c>
      <c r="AC6" s="30">
        <f>IFERROR(AC5/AB5-1,"")</f>
        <v/>
      </c>
      <c r="AD6" s="30">
        <f>IFERROR(AD5/AC5-1,"")</f>
        <v/>
      </c>
      <c r="AE6" s="30">
        <f>IFERROR(AE5/AD5-1,"")</f>
        <v/>
      </c>
      <c r="AF6" s="30">
        <f>IFERROR(AF5/AE5-1,"")</f>
        <v/>
      </c>
      <c r="AG6" s="30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19">
        <f>IFERROR(F7/E7-1,"")</f>
        <v/>
      </c>
      <c r="G8" s="19">
        <f>IFERROR(G7/F7-1,"")</f>
        <v/>
      </c>
      <c r="H8" s="19">
        <f>IFERROR(H7/G7-1,"")</f>
        <v/>
      </c>
      <c r="I8" s="19">
        <f>IFERROR(I7/H7-1,"")</f>
        <v/>
      </c>
      <c r="J8" s="19">
        <f>IFERROR(J7/I7-1,"")</f>
        <v/>
      </c>
      <c r="K8" s="19">
        <f>IFERROR(K7/J7-1,"")</f>
        <v/>
      </c>
      <c r="L8" s="19">
        <f>IFERROR(L7/K7-1,"")</f>
        <v/>
      </c>
      <c r="M8" s="19">
        <f>IFERROR(M7/L7-1,"")</f>
        <v/>
      </c>
      <c r="N8" s="19">
        <f>IFERROR(N7/M7-1,"")</f>
        <v/>
      </c>
      <c r="O8" s="19">
        <f>IFERROR(O7/N7-1,"")</f>
        <v/>
      </c>
      <c r="P8" s="19">
        <f>IFERROR(P7/O7-1,"")</f>
        <v/>
      </c>
      <c r="Q8" s="19">
        <f>IFERROR(Q7/P7-1,"")</f>
        <v/>
      </c>
      <c r="R8" s="19">
        <f>IFERROR(R7/Q7-1,"")</f>
        <v/>
      </c>
      <c r="S8" s="19">
        <f>IFERROR(S7/R7-1,"")</f>
        <v/>
      </c>
      <c r="T8" s="19">
        <f>IFERROR(T7/S7-1,"")</f>
        <v/>
      </c>
      <c r="U8" s="19">
        <f>IFERROR(U7/T7-1,"")</f>
        <v/>
      </c>
      <c r="V8" s="19">
        <f>IFERROR(V7/U7-1,"")</f>
        <v/>
      </c>
      <c r="W8" s="19">
        <f>IFERROR(W7/V7-1,"")</f>
        <v/>
      </c>
      <c r="X8" s="30">
        <f>IFERROR(X7/W7-1,"")</f>
        <v/>
      </c>
      <c r="Y8" s="30">
        <f>IFERROR(Y7/X7-1,"")</f>
        <v/>
      </c>
      <c r="Z8" s="30">
        <f>IFERROR(Z7/Y7-1,"")</f>
        <v/>
      </c>
      <c r="AA8" s="30">
        <f>IFERROR(AA7/Z7-1,"")</f>
        <v/>
      </c>
      <c r="AB8" s="30">
        <f>IFERROR(AB7/AA7-1,"")</f>
        <v/>
      </c>
      <c r="AC8" s="30">
        <f>IFERROR(AC7/AB7-1,"")</f>
        <v/>
      </c>
      <c r="AD8" s="30">
        <f>IFERROR(AD7/AC7-1,"")</f>
        <v/>
      </c>
      <c r="AE8" s="30">
        <f>IFERROR(AE7/AD7-1,"")</f>
        <v/>
      </c>
      <c r="AF8" s="30">
        <f>IFERROR(AF7/AE7-1,"")</f>
        <v/>
      </c>
      <c r="AG8" s="30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19">
        <f>IFERROR(F9/E9-1,"")</f>
        <v/>
      </c>
      <c r="G10" s="19">
        <f>IFERROR(G9/F9-1,"")</f>
        <v/>
      </c>
      <c r="H10" s="19">
        <f>IFERROR(H9/G9-1,"")</f>
        <v/>
      </c>
      <c r="I10" s="19">
        <f>IFERROR(I9/H9-1,"")</f>
        <v/>
      </c>
      <c r="J10" s="19">
        <f>IFERROR(J9/I9-1,"")</f>
        <v/>
      </c>
      <c r="K10" s="19">
        <f>IFERROR(K9/J9-1,"")</f>
        <v/>
      </c>
      <c r="L10" s="19">
        <f>IFERROR(L9/K9-1,"")</f>
        <v/>
      </c>
      <c r="M10" s="19">
        <f>IFERROR(M9/L9-1,"")</f>
        <v/>
      </c>
      <c r="N10" s="19">
        <f>IFERROR(N9/M9-1,"")</f>
        <v/>
      </c>
      <c r="O10" s="19">
        <f>IFERROR(O9/N9-1,"")</f>
        <v/>
      </c>
      <c r="P10" s="19">
        <f>IFERROR(P9/O9-1,"")</f>
        <v/>
      </c>
      <c r="Q10" s="19">
        <f>IFERROR(Q9/P9-1,"")</f>
        <v/>
      </c>
      <c r="R10" s="19">
        <f>IFERROR(R9/Q9-1,"")</f>
        <v/>
      </c>
      <c r="S10" s="19">
        <f>IFERROR(S9/R9-1,"")</f>
        <v/>
      </c>
      <c r="T10" s="19">
        <f>IFERROR(T9/S9-1,"")</f>
        <v/>
      </c>
      <c r="U10" s="19">
        <f>IFERROR(U9/T9-1,"")</f>
        <v/>
      </c>
      <c r="V10" s="19">
        <f>IFERROR(V9/U9-1,"")</f>
        <v/>
      </c>
      <c r="W10" s="19">
        <f>IFERROR(W9/V9-1,"")</f>
        <v/>
      </c>
      <c r="X10" s="30">
        <f>IFERROR(X9/W9-1,"")</f>
        <v/>
      </c>
      <c r="Y10" s="30">
        <f>IFERROR(Y9/X9-1,"")</f>
        <v/>
      </c>
      <c r="Z10" s="30">
        <f>IFERROR(Z9/Y9-1,"")</f>
        <v/>
      </c>
      <c r="AA10" s="30">
        <f>IFERROR(AA9/Z9-1,"")</f>
        <v/>
      </c>
      <c r="AB10" s="30">
        <f>IFERROR(AB9/AA9-1,"")</f>
        <v/>
      </c>
      <c r="AC10" s="30">
        <f>IFERROR(AC9/AB9-1,"")</f>
        <v/>
      </c>
      <c r="AD10" s="30">
        <f>IFERROR(AD9/AC9-1,"")</f>
        <v/>
      </c>
      <c r="AE10" s="30">
        <f>IFERROR(AE9/AD9-1,"")</f>
        <v/>
      </c>
      <c r="AF10" s="30">
        <f>IFERROR(AF9/AE9-1,"")</f>
        <v/>
      </c>
      <c r="AG10" s="30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19">
        <f>IFERROR(F11/E11-1,"")</f>
        <v/>
      </c>
      <c r="G12" s="19">
        <f>IFERROR(G11/F11-1,"")</f>
        <v/>
      </c>
      <c r="H12" s="19">
        <f>IFERROR(H11/G11-1,"")</f>
        <v/>
      </c>
      <c r="I12" s="19">
        <f>IFERROR(I11/H11-1,"")</f>
        <v/>
      </c>
      <c r="J12" s="19">
        <f>IFERROR(J11/I11-1,"")</f>
        <v/>
      </c>
      <c r="K12" s="19">
        <f>IFERROR(K11/J11-1,"")</f>
        <v/>
      </c>
      <c r="L12" s="19">
        <f>IFERROR(L11/K11-1,"")</f>
        <v/>
      </c>
      <c r="M12" s="19">
        <f>IFERROR(M11/L11-1,"")</f>
        <v/>
      </c>
      <c r="N12" s="19">
        <f>IFERROR(N11/M11-1,"")</f>
        <v/>
      </c>
      <c r="O12" s="19">
        <f>IFERROR(O11/N11-1,"")</f>
        <v/>
      </c>
      <c r="P12" s="19">
        <f>IFERROR(P11/O11-1,"")</f>
        <v/>
      </c>
      <c r="Q12" s="19">
        <f>IFERROR(Q11/P11-1,"")</f>
        <v/>
      </c>
      <c r="R12" s="19">
        <f>IFERROR(R11/Q11-1,"")</f>
        <v/>
      </c>
      <c r="S12" s="19">
        <f>IFERROR(S11/R11-1,"")</f>
        <v/>
      </c>
      <c r="T12" s="19">
        <f>IFERROR(T11/S11-1,"")</f>
        <v/>
      </c>
      <c r="U12" s="19">
        <f>IFERROR(U11/T11-1,"")</f>
        <v/>
      </c>
      <c r="V12" s="19">
        <f>IFERROR(V11/U11-1,"")</f>
        <v/>
      </c>
      <c r="W12" s="19">
        <f>IFERROR(W11/V11-1,"")</f>
        <v/>
      </c>
      <c r="X12" s="30">
        <f>IFERROR(X11/W11-1,"")</f>
        <v/>
      </c>
      <c r="Y12" s="30">
        <f>IFERROR(Y11/X11-1,"")</f>
        <v/>
      </c>
      <c r="Z12" s="30">
        <f>IFERROR(Z11/Y11-1,"")</f>
        <v/>
      </c>
      <c r="AA12" s="30">
        <f>IFERROR(AA11/Z11-1,"")</f>
        <v/>
      </c>
      <c r="AB12" s="30">
        <f>IFERROR(AB11/AA11-1,"")</f>
        <v/>
      </c>
      <c r="AC12" s="30">
        <f>IFERROR(AC11/AB11-1,"")</f>
        <v/>
      </c>
      <c r="AD12" s="30">
        <f>IFERROR(AD11/AC11-1,"")</f>
        <v/>
      </c>
      <c r="AE12" s="30">
        <f>IFERROR(AE11/AD11-1,"")</f>
        <v/>
      </c>
      <c r="AF12" s="30">
        <f>IFERROR(AF11/AE11-1,"")</f>
        <v/>
      </c>
      <c r="AG12" s="30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19">
        <f>IFERROR(F13/E13-1,"")</f>
        <v/>
      </c>
      <c r="G14" s="19">
        <f>IFERROR(G13/F13-1,"")</f>
        <v/>
      </c>
      <c r="H14" s="19">
        <f>IFERROR(H13/G13-1,"")</f>
        <v/>
      </c>
      <c r="I14" s="19">
        <f>IFERROR(I13/H13-1,"")</f>
        <v/>
      </c>
      <c r="J14" s="19">
        <f>IFERROR(J13/I13-1,"")</f>
        <v/>
      </c>
      <c r="K14" s="19">
        <f>IFERROR(K13/J13-1,"")</f>
        <v/>
      </c>
      <c r="L14" s="19">
        <f>IFERROR(L13/K13-1,"")</f>
        <v/>
      </c>
      <c r="M14" s="19">
        <f>IFERROR(M13/L13-1,"")</f>
        <v/>
      </c>
      <c r="N14" s="19">
        <f>IFERROR(N13/M13-1,"")</f>
        <v/>
      </c>
      <c r="O14" s="19">
        <f>IFERROR(O13/N13-1,"")</f>
        <v/>
      </c>
      <c r="P14" s="19">
        <f>IFERROR(P13/O13-1,"")</f>
        <v/>
      </c>
      <c r="Q14" s="19">
        <f>IFERROR(Q13/P13-1,"")</f>
        <v/>
      </c>
      <c r="R14" s="19">
        <f>IFERROR(R13/Q13-1,"")</f>
        <v/>
      </c>
      <c r="S14" s="19">
        <f>IFERROR(S13/R13-1,"")</f>
        <v/>
      </c>
      <c r="T14" s="19">
        <f>IFERROR(T13/S13-1,"")</f>
        <v/>
      </c>
      <c r="U14" s="19">
        <f>IFERROR(U13/T13-1,"")</f>
        <v/>
      </c>
      <c r="V14" s="19">
        <f>IFERROR(V13/U13-1,"")</f>
        <v/>
      </c>
      <c r="W14" s="19">
        <f>IFERROR(W13/V13-1,"")</f>
        <v/>
      </c>
      <c r="X14" s="30">
        <f>IFERROR(X13/W13-1,"")</f>
        <v/>
      </c>
      <c r="Y14" s="30">
        <f>IFERROR(Y13/X13-1,"")</f>
        <v/>
      </c>
      <c r="Z14" s="30">
        <f>IFERROR(Z13/Y13-1,"")</f>
        <v/>
      </c>
      <c r="AA14" s="30">
        <f>IFERROR(AA13/Z13-1,"")</f>
        <v/>
      </c>
      <c r="AB14" s="30">
        <f>IFERROR(AB13/AA13-1,"")</f>
        <v/>
      </c>
      <c r="AC14" s="30">
        <f>IFERROR(AC13/AB13-1,"")</f>
        <v/>
      </c>
      <c r="AD14" s="30">
        <f>IFERROR(AD13/AC13-1,"")</f>
        <v/>
      </c>
      <c r="AE14" s="30">
        <f>IFERROR(AE13/AD13-1,"")</f>
        <v/>
      </c>
      <c r="AF14" s="30">
        <f>IFERROR(AF13/AE13-1,"")</f>
        <v/>
      </c>
      <c r="AG14" s="30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5">
        <f>변수!D57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37">
        <f>IFERROR($D$16*(X7-W7)/100,"")</f>
        <v/>
      </c>
      <c r="Y17" s="37">
        <f>IFERROR($D$16*(Y7-X7)/100,"")</f>
        <v/>
      </c>
      <c r="Z17" s="37">
        <f>IFERROR($D$16*(Z7-Y7)/100,"")</f>
        <v/>
      </c>
      <c r="AA17" s="37">
        <f>IFERROR($D$16*(AA7-Z7)/100,"")</f>
        <v/>
      </c>
      <c r="AB17" s="37">
        <f>IFERROR($D$16*(AB7-AA7)/100,"")</f>
        <v/>
      </c>
      <c r="AC17" s="37">
        <f>IFERROR($D$16*(AC7-AB7)/100,"")</f>
        <v/>
      </c>
      <c r="AD17" s="37">
        <f>IFERROR($D$16*(AD7-AC7)/100,"")</f>
        <v/>
      </c>
      <c r="AE17" s="37">
        <f>IFERROR($D$16*(AE7-AD7)/100,"")</f>
        <v/>
      </c>
      <c r="AF17" s="37">
        <f>IFERROR($D$16*(AF7-AE7)/100,"")</f>
        <v/>
      </c>
      <c r="AG17" s="37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