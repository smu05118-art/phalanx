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모델값 역산(implied): v / 매출액
매출액 × 판관비율 28.18%(최근 4분기 중위)</t>
      </text>
    </comment>
    <comment ref="AD22" authorId="0" shapeId="0">
      <text>
        <t>모델값 역산(implied): v / 매출액
매출액 × 판관비율 28.18%(최근 4분기 중위)</t>
      </text>
    </comment>
    <comment ref="AF22" authorId="0" shapeId="0">
      <text>
        <t>모델값 역산(implied): v / 매출액
매출액 × 판관비율 28.18%(최근 4분기 중위)</t>
      </text>
    </comment>
    <comment ref="AG22" authorId="0" shapeId="0">
      <text>
        <t>모델값 역산(implied): v / 매출액
매출액 × 판관비율 28.18%(최근 4분기 중위)</t>
      </text>
    </comment>
    <comment ref="AH22" authorId="0" shapeId="0">
      <text>
        <t>모델값 역산(implied): v / 매출액
매출액 × 판관비율 28.18%(최근 4분기 중위)</t>
      </text>
    </comment>
    <comment ref="AI22" authorId="0" shapeId="0">
      <text>
        <t>모델값 역산(implied): v / 매출액
매출액 × 판관비율 28.18%(최근 4분기 중위)</t>
      </text>
    </comment>
    <comment ref="AK22" authorId="0" shapeId="0">
      <text>
        <t>모델값 역산(implied): v / 매출액
매출액 × 판관비율 28.18%(최근 4분기 중위)</t>
      </text>
    </comment>
    <comment ref="AL22" authorId="0" shapeId="0">
      <text>
        <t>모델값 역산(implied): v / 매출액
매출액 × 판관비율 28.18%(최근 4분기 중위)</t>
      </text>
    </comment>
    <comment ref="AM22" authorId="0" shapeId="0">
      <text>
        <t>모델값 역산(implied): v / 매출액
매출액 × 판관비율 28.18%(최근 4분기 중위)</t>
      </text>
    </comment>
    <comment ref="AN22" authorId="0" shapeId="0">
      <text>
        <t>모델값 역산(implied): v / 매출액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v / 전년동기 − 1
최근 8분기 OPM 중위 -5.9% 유지(클립 −20~40%)</t>
      </text>
    </comment>
    <comment ref="AD24" authorId="0" shapeId="0">
      <text>
        <t>모델값 역산(implied): v / 전년동기 − 1
최근 8분기 OPM 중위 -5.9% 유지(클립 −20~40%)</t>
      </text>
    </comment>
    <comment ref="AF24" authorId="0" shapeId="0">
      <text>
        <t>모델값 역산(implied): v / 전년동기 − 1
최근 8분기 OPM 중위 -5.9% 유지(클립 −20~40%)</t>
      </text>
    </comment>
    <comment ref="AG24" authorId="0" shapeId="0">
      <text>
        <t>모델값 역산(implied): v / 전년동기 − 1
최근 8분기 OPM 중위 -5.9% 유지(클립 −20~40%)</t>
      </text>
    </comment>
    <comment ref="AH24" authorId="0" shapeId="0">
      <text>
        <t>모델값 역산(implied): v / 전년동기 − 1
최근 8분기 OPM 중위 -5.9% 유지(클립 −20~40%)</t>
      </text>
    </comment>
    <comment ref="AI24" authorId="0" shapeId="0">
      <text>
        <t>모델값 역산(implied): v / 전년동기 − 1
최근 8분기 OPM 중위 -5.9% 유지(클립 −20~40%)</t>
      </text>
    </comment>
    <comment ref="AK24" authorId="0" shapeId="0">
      <text>
        <t>모델값 역산(implied): v / 전년동기 − 1
최근 8분기 OPM 중위 -5.9% 유지(클립 −20~40%)</t>
      </text>
    </comment>
    <comment ref="AL24" authorId="0" shapeId="0">
      <text>
        <t>모델값 역산(implied): v / 전년동기 − 1
최근 8분기 OPM 중위 -5.9% 유지(클립 −20~40%)</t>
      </text>
    </comment>
    <comment ref="AM24" authorId="0" shapeId="0">
      <text>
        <t>모델값 역산(implied): v / 전년동기 − 1
최근 8분기 OPM 중위 -5.9% 유지(클립 −20~40%)</t>
      </text>
    </comment>
    <comment ref="AN24" authorId="0" shapeId="0">
      <text>
        <t>모델값 역산(implied): v / 전년동기 − 1
최근 8분기 OPM 중위 -5.9% 유지(클립 −20~40%)</t>
      </text>
    </comment>
    <comment ref="AC25" authorId="0" shapeId="0">
      <text>
        <t>모델값 역산(implied): 모델 v 그대로
이자손익 = 이자발생자산 12억 × 3.03% − 총차입금 103억 × 3.30% (연율, CF 실측) ÷ 4; 환·평가손익 0 가정</t>
      </text>
    </comment>
    <comment ref="AD25" authorId="0" shapeId="0">
      <text>
        <t>모델값 역산(implied): 모델 v 그대로
이자손익 = 이자발생자산 4억 × 3.03% − 총차입금 103억 × 3.30% (연율, CF 실측) ÷ 4; 환·평가손익 0 가정</t>
      </text>
    </comment>
    <comment ref="AF25" authorId="0" shapeId="0">
      <text>
        <t>모델값 역산(implied): 모델 v 그대로
이자손익 = 이자발생자산 -4억 × 3.03% − 총차입금 103억 × 3.30% (연율, CF 실측) ÷ 4; 환·평가손익 0 가정</t>
      </text>
    </comment>
    <comment ref="AG25" authorId="0" shapeId="0">
      <text>
        <t>모델값 역산(implied): 모델 v 그대로
이자손익 = 이자발생자산 -10억 × 3.03% − 총차입금 103억 × 3.30% (연율, CF 실측) ÷ 4; 환·평가손익 0 가정</t>
      </text>
    </comment>
    <comment ref="AH25" authorId="0" shapeId="0">
      <text>
        <t>모델값 역산(implied): 모델 v 그대로
이자손익 = 이자발생자산 -16억 × 3.03% − 총차입금 103억 × 3.30% (연율, CF 실측) ÷ 4; 환·평가손익 0 가정</t>
      </text>
    </comment>
    <comment ref="AI25" authorId="0" shapeId="0">
      <text>
        <t>모델값 역산(implied): 모델 v 그대로
이자손익 = 이자발생자산 -23억 × 3.03% − 총차입금 103억 × 3.30% (연율, CF 실측) ÷ 4; 환·평가손익 0 가정</t>
      </text>
    </comment>
    <comment ref="AK25" authorId="0" shapeId="0">
      <text>
        <t>모델값 역산(implied): 모델 v 그대로
이자손익 = 이자발생자산 -32억 × 3.03% − 총차입금 103억 × 3.30% (연율, CF 실측) ÷ 4; 환·평가손익 0 가정</t>
      </text>
    </comment>
    <comment ref="AL25" authorId="0" shapeId="0">
      <text>
        <t>모델값 역산(implied): 모델 v 그대로
이자손익 = 이자발생자산 -37억 × 3.03% − 총차입금 103억 × 3.30% (연율, CF 실측) ÷ 4; 환·평가손익 0 가정</t>
      </text>
    </comment>
    <comment ref="AM25" authorId="0" shapeId="0">
      <text>
        <t>모델값 역산(implied): 모델 v 그대로
이자손익 = 이자발생자산 -43억 × 3.03% − 총차입금 103억 × 3.30% (연율, CF 실측) ÷ 4; 환·평가손익 0 가정</t>
      </text>
    </comment>
    <comment ref="AN25" authorId="0" shapeId="0">
      <text>
        <t>모델값 역산(implied): 모델 v 그대로
이자손익 = 이자발생자산 -51억 × 3.03% − 총차입금 103억 × 3.30%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-5.9% 유지(클립 −20~40%)
[yoy]</t>
      </text>
    </comment>
    <comment ref="AD10" authorId="0" shapeId="0">
      <text>
        <t>추정: 최근 8분기 OPM 중위 -5.9% 유지(클립 −20~40%)
[yoy]</t>
      </text>
    </comment>
    <comment ref="AF10" authorId="0" shapeId="0">
      <text>
        <t>추정: 최근 8분기 OPM 중위 -5.9% 유지(클립 −20~40%)
[yoy]</t>
      </text>
    </comment>
    <comment ref="AG10" authorId="0" shapeId="0">
      <text>
        <t>추정: 최근 8분기 OPM 중위 -5.9% 유지(클립 −20~40%)
[yoy]</t>
      </text>
    </comment>
    <comment ref="AH10" authorId="0" shapeId="0">
      <text>
        <t>추정: 최근 8분기 OPM 중위 -5.9% 유지(클립 −20~40%)
[yoy]</t>
      </text>
    </comment>
    <comment ref="AI10" authorId="0" shapeId="0">
      <text>
        <t>추정: 최근 8분기 OPM 중위 -5.9% 유지(클립 −20~40%)
[yoy]</t>
      </text>
    </comment>
    <comment ref="AK10" authorId="0" shapeId="0">
      <text>
        <t>추정: 최근 8분기 OPM 중위 -5.9% 유지(클립 −20~40%)
[yoy]</t>
      </text>
    </comment>
    <comment ref="AL10" authorId="0" shapeId="0">
      <text>
        <t>추정: 최근 8분기 OPM 중위 -5.9% 유지(클립 −20~40%)
[yoy]</t>
      </text>
    </comment>
    <comment ref="AM10" authorId="0" shapeId="0">
      <text>
        <t>추정: 최근 8분기 OPM 중위 -5.9% 유지(클립 −20~40%)
[yoy]</t>
      </text>
    </comment>
    <comment ref="AN10" authorId="0" shapeId="0">
      <text>
        <t>추정: 최근 8분기 OPM 중위 -5.9% 유지(클립 −20~40%)
[yoy]</t>
      </text>
    </comment>
    <comment ref="AC11" authorId="0" shapeId="0">
      <text>
        <t>추정: 이자손익 = 이자발생자산 12억 × 3.03% − 총차입금 103억 × 3.30% (연율, CF 실측) ÷ 4; 환·평가손익 0 가정
[abs]</t>
      </text>
    </comment>
    <comment ref="AD11" authorId="0" shapeId="0">
      <text>
        <t>추정: 이자손익 = 이자발생자산 4억 × 3.03% − 총차입금 103억 × 3.30% (연율, CF 실측) ÷ 4; 환·평가손익 0 가정
[abs]</t>
      </text>
    </comment>
    <comment ref="AF11" authorId="0" shapeId="0">
      <text>
        <t>추정: 이자손익 = 이자발생자산 -4억 × 3.03% − 총차입금 103억 × 3.30% (연율, CF 실측) ÷ 4; 환·평가손익 0 가정
[abs]</t>
      </text>
    </comment>
    <comment ref="AG11" authorId="0" shapeId="0">
      <text>
        <t>추정: 이자손익 = 이자발생자산 -10억 × 3.03% − 총차입금 103억 × 3.30% (연율, CF 실측) ÷ 4; 환·평가손익 0 가정
[abs]</t>
      </text>
    </comment>
    <comment ref="AH11" authorId="0" shapeId="0">
      <text>
        <t>추정: 이자손익 = 이자발생자산 -16억 × 3.03% − 총차입금 103억 × 3.30% (연율, CF 실측) ÷ 4; 환·평가손익 0 가정
[abs]</t>
      </text>
    </comment>
    <comment ref="AI11" authorId="0" shapeId="0">
      <text>
        <t>추정: 이자손익 = 이자발생자산 -23억 × 3.03% − 총차입금 103억 × 3.30% (연율, CF 실측) ÷ 4; 환·평가손익 0 가정
[abs]</t>
      </text>
    </comment>
    <comment ref="AK11" authorId="0" shapeId="0">
      <text>
        <t>추정: 이자손익 = 이자발생자산 -32억 × 3.03% − 총차입금 103억 × 3.30% (연율, CF 실측) ÷ 4; 환·평가손익 0 가정
[abs]</t>
      </text>
    </comment>
    <comment ref="AL11" authorId="0" shapeId="0">
      <text>
        <t>추정: 이자손익 = 이자발생자산 -37억 × 3.03% − 총차입금 103억 × 3.30% (연율, CF 실측) ÷ 4; 환·평가손익 0 가정
[abs]</t>
      </text>
    </comment>
    <comment ref="AM11" authorId="0" shapeId="0">
      <text>
        <t>추정: 이자손익 = 이자발생자산 -43억 × 3.03% − 총차입금 103억 × 3.30% (연율, CF 실측) ÷ 4; 환·평가손익 0 가정
[abs]</t>
      </text>
    </comment>
    <comment ref="AN11" authorId="0" shapeId="0">
      <text>
        <t>추정: 이자손익 = 이자발생자산 -51억 × 3.03% − 총차입금 103억 × 3.30%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F25" authorId="0" shapeId="0">
      <text>
        <t>연간 실측(BS 시트에 2021.12A 없음 — 모델 a 값 직접)</t>
      </text>
    </comment>
    <comment ref="E27" authorId="0" shapeId="0">
      <text>
        <t>실측(계정 매핑 없음 — 모델값 직접) — fin.sep.cf.영업활동으로인한현금흐름</t>
      </text>
    </comment>
    <comment ref="G27" authorId="0" shapeId="0">
      <text>
        <t>실측(계정 매핑 없음 — 모델값 직접) — fin.sep.cf.영업활동으로인한현금흐름</t>
      </text>
    </comment>
    <comment ref="H27" authorId="0" shapeId="0">
      <text>
        <t>실측(계정 매핑 없음 — 모델값 직접) — fin.sep.cf.영업활동으로인한현금흐름</t>
      </text>
    </comment>
    <comment ref="I27" authorId="0" shapeId="0">
      <text>
        <t>실측(계정 매핑 없음 — 모델값 직접) — fin.sep.cf.영업활동으로인한현금흐름</t>
      </text>
    </comment>
    <comment ref="J27" authorId="0" shapeId="0">
      <text>
        <t>실측(계정 매핑 없음 — 모델값 직접) — fin.sep.cf.영업활동으로인한현금흐름</t>
      </text>
    </comment>
    <comment ref="L27" authorId="0" shapeId="0">
      <text>
        <t>실측(계정 매핑 없음 — 모델값 직접) — fin.sep.cf.영업활동으로인한현금흐름</t>
      </text>
    </comment>
    <comment ref="M27" authorId="0" shapeId="0">
      <text>
        <t>실측(계정 매핑 없음 — 모델값 직접) — fin.sep.cf.영업활동으로인한현금흐름</t>
      </text>
    </comment>
    <comment ref="N27" authorId="0" shapeId="0">
      <text>
        <t>실측(계정 매핑 없음 — 모델값 직접) — fin.sep.cf.영업활동으로인한현금흐름</t>
      </text>
    </comment>
    <comment ref="O27" authorId="0" shapeId="0">
      <text>
        <t>실측(계정 매핑 없음 — 모델값 직접) — fin.sep.cf.영업활동으로인한현금흐름</t>
      </text>
    </comment>
    <comment ref="Q27" authorId="0" shapeId="0">
      <text>
        <t>실측(계정 매핑 없음 — 모델값 직접) — fin.sep.cf.영업활동으로인한현금흐름</t>
      </text>
    </comment>
    <comment ref="R27" authorId="0" shapeId="0">
      <text>
        <t>실측(계정 매핑 없음 — 모델값 직접) — fin.sep.cf.영업활동으로인한현금흐름</t>
      </text>
    </comment>
    <comment ref="S27" authorId="0" shapeId="0">
      <text>
        <t>실측(계정 매핑 없음 — 모델값 직접) — fin.sep.cf.영업활동으로인한현금흐름</t>
      </text>
    </comment>
    <comment ref="T27" authorId="0" shapeId="0">
      <text>
        <t>실측(계정 매핑 없음 — 모델값 직접) — fin.sep.cf.영업활동으로인한현금흐름</t>
      </text>
    </comment>
    <comment ref="V27" authorId="0" shapeId="0">
      <text>
        <t>실측(계정 매핑 없음 — 모델값 직접) — fin.sep.cf.영업활동으로인한현금흐름</t>
      </text>
    </comment>
    <comment ref="W27" authorId="0" shapeId="0">
      <text>
        <t>실측(계정 매핑 없음 — 모델값 직접) — fin.sep.cf.영업활동으로인한현금흐름</t>
      </text>
    </comment>
    <comment ref="X27" authorId="0" shapeId="0">
      <text>
        <t>실측(계정 매핑 없음 — 모델값 직접) — fin.sep.cf.영업활동으로인한현금흐름</t>
      </text>
    </comment>
    <comment ref="Y27" authorId="0" shapeId="0">
      <text>
        <t>실측(계정 매핑 없음 — 모델값 직접) — fin.sep.cf.영업활동으로인한현금흐름</t>
      </text>
    </comment>
    <comment ref="AA27" authorId="0" shapeId="0">
      <text>
        <t>실측(계정 매핑 없음 — 모델값 직접) — fin.sep.cf.영업활동으로인한현금흐름</t>
      </text>
    </comment>
    <comment ref="AB27" authorId="0" shapeId="0">
      <text>
        <t>실측(계정 매핑 없음 — 모델값 직접) — fin.sep.cf.영업활동으로인한현금흐름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Y32" authorId="0" shapeId="0">
      <text>
        <t>실측(계정 매핑 없음 — 모델값 직접) — 토스 일봉 분기 평균 ÷ TTM EPS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assets/models/065570.json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25.7, "op_wape_pct": 341.0,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W15" s="18" t="n">
        <v>764</v>
      </c>
      <c r="X15" s="18" t="n">
        <v>764</v>
      </c>
      <c r="Y15" s="18" t="n">
        <v>764</v>
      </c>
      <c r="Z15" s="9" t="n"/>
      <c r="AA15" s="18" t="n">
        <v>764</v>
      </c>
      <c r="AB15" s="19" t="n">
        <v>764</v>
      </c>
      <c r="AC15" s="20" t="n">
        <v>764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W16" s="18" t="n">
        <v>764</v>
      </c>
      <c r="X16" s="18" t="n">
        <v>764</v>
      </c>
      <c r="Y16" s="18" t="n">
        <v>764</v>
      </c>
      <c r="Z16" s="9" t="n"/>
      <c r="AA16" s="18" t="n">
        <v>764</v>
      </c>
      <c r="AB16" s="19" t="n">
        <v>764</v>
      </c>
      <c r="AC16" s="20" t="n">
        <v>764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W17" s="18" t="n">
        <v>764</v>
      </c>
      <c r="X17" s="18" t="n">
        <v>764</v>
      </c>
      <c r="Y17" s="18" t="n">
        <v>764</v>
      </c>
      <c r="Z17" s="9" t="n"/>
      <c r="AA17" s="18" t="n">
        <v>764</v>
      </c>
      <c r="AB17" s="19" t="n">
        <v>764</v>
      </c>
      <c r="AC17" s="20" t="n">
        <v>764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1030.9</v>
      </c>
      <c r="W18" s="18" t="n">
        <v>764</v>
      </c>
      <c r="X18" s="18" t="n">
        <v>764</v>
      </c>
      <c r="Y18" s="18" t="n">
        <v>764</v>
      </c>
      <c r="Z18" s="9" t="n"/>
      <c r="AA18" s="18" t="n">
        <v>764</v>
      </c>
      <c r="AB18" s="19" t="n">
        <v>764</v>
      </c>
      <c r="AC18" s="20" t="n">
        <v>764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-0.052627</v>
      </c>
      <c r="AD21" s="24" t="n">
        <v>-0.052555</v>
      </c>
      <c r="AE21" s="25" t="n"/>
      <c r="AF21" s="24" t="n">
        <v>-0.052672</v>
      </c>
      <c r="AG21" s="24" t="n">
        <v>-0.052628</v>
      </c>
      <c r="AH21" s="24" t="n">
        <v>-0.026202</v>
      </c>
      <c r="AI21" s="24" t="n">
        <v>-0.026355</v>
      </c>
      <c r="AJ21" s="25" t="n"/>
      <c r="AK21" s="24" t="n">
        <v>-0.026195</v>
      </c>
      <c r="AL21" s="24" t="n">
        <v>-0.026189</v>
      </c>
      <c r="AM21" s="24" t="n">
        <v>-0.013155</v>
      </c>
      <c r="AN21" s="24" t="n">
        <v>-0.013153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0.281821</v>
      </c>
      <c r="AD22" s="24" t="n">
        <v>0.281737</v>
      </c>
      <c r="AE22" s="25">
        <f>IFERROR(subQ!AE8/subQ!AE5,"")</f>
        <v/>
      </c>
      <c r="AF22" s="24" t="n">
        <v>0.281913</v>
      </c>
      <c r="AG22" s="24" t="n">
        <v>0.281875</v>
      </c>
      <c r="AH22" s="24" t="n">
        <v>0.281751</v>
      </c>
      <c r="AI22" s="24" t="n">
        <v>0.281834</v>
      </c>
      <c r="AJ22" s="25">
        <f>IFERROR(subQ!AJ8/subQ!AJ5,"")</f>
        <v/>
      </c>
      <c r="AK22" s="24" t="n">
        <v>0.28181</v>
      </c>
      <c r="AL22" s="24" t="n">
        <v>0.281847</v>
      </c>
      <c r="AM22" s="24" t="n">
        <v>0.28175</v>
      </c>
      <c r="AN22" s="24" t="n">
        <v>0.281823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-0.058577</v>
      </c>
      <c r="AD23" s="24" t="n">
        <v>-0.058556</v>
      </c>
      <c r="AE23" s="25">
        <f>IFERROR(subQ!AE9/subQ!AE5,"")</f>
        <v/>
      </c>
      <c r="AF23" s="24" t="n">
        <v>-0.058628</v>
      </c>
      <c r="AG23" s="24" t="n">
        <v>-0.05858</v>
      </c>
      <c r="AH23" s="24" t="n">
        <v>-0.058598</v>
      </c>
      <c r="AI23" s="24" t="n">
        <v>-0.058616</v>
      </c>
      <c r="AJ23" s="25">
        <f>IFERROR(subQ!AJ9/subQ!AJ5,"")</f>
        <v/>
      </c>
      <c r="AK23" s="24" t="n">
        <v>-0.058497</v>
      </c>
      <c r="AL23" s="24" t="n">
        <v>-0.058563</v>
      </c>
      <c r="AM23" s="24" t="n">
        <v>-0.058531</v>
      </c>
      <c r="AN23" s="24" t="n">
        <v>-0.058625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0.09328400000000001</v>
      </c>
      <c r="AD24" s="24" t="n">
        <v>-4.551515</v>
      </c>
      <c r="AE24" s="25" t="n"/>
      <c r="AF24" s="24" t="n">
        <v>-0.077165</v>
      </c>
      <c r="AG24" s="24" t="n">
        <v>-1.412967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-0.76</v>
      </c>
      <c r="AD25" s="29" t="n">
        <v>-0.8100000000000001</v>
      </c>
      <c r="AE25" s="30">
        <f>subQ!AE11</f>
        <v/>
      </c>
      <c r="AF25" s="29" t="n">
        <v>-0.88</v>
      </c>
      <c r="AG25" s="29" t="n">
        <v>-0.92</v>
      </c>
      <c r="AH25" s="29" t="n">
        <v>-0.96</v>
      </c>
      <c r="AI25" s="29" t="n">
        <v>-1.02</v>
      </c>
      <c r="AJ25" s="30">
        <f>subQ!AJ11</f>
        <v/>
      </c>
      <c r="AK25" s="29" t="n">
        <v>-1.09</v>
      </c>
      <c r="AL25" s="29" t="n">
        <v>-1.13</v>
      </c>
      <c r="AM25" s="29" t="n">
        <v>-1.17</v>
      </c>
      <c r="AN25" s="29" t="n">
        <v>-1.23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-1.56</v>
      </c>
      <c r="AD27" s="29" t="n">
        <v>-1.56</v>
      </c>
      <c r="AE27" s="30">
        <f>subQ!AE13</f>
        <v/>
      </c>
      <c r="AF27" s="29" t="n">
        <v>-1.56</v>
      </c>
      <c r="AG27" s="29" t="n">
        <v>-1.56</v>
      </c>
      <c r="AH27" s="29" t="n">
        <v>-1.56</v>
      </c>
      <c r="AI27" s="29" t="n">
        <v>-1.56</v>
      </c>
      <c r="AJ27" s="30">
        <f>subQ!AJ13</f>
        <v/>
      </c>
      <c r="AK27" s="29" t="n">
        <v>-1.56</v>
      </c>
      <c r="AL27" s="29" t="n">
        <v>-1.56</v>
      </c>
      <c r="AM27" s="29" t="n">
        <v>-1.56</v>
      </c>
      <c r="AN27" s="29" t="n">
        <v>-1.56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1.2e-05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0.008999999999999999</v>
      </c>
      <c r="AD31" s="29" t="n">
        <v>0</v>
      </c>
      <c r="AE31" s="30" t="n"/>
      <c r="AF31" s="29" t="n">
        <v>0</v>
      </c>
      <c r="AG31" s="29" t="n">
        <v>0.01</v>
      </c>
      <c r="AH31" s="29" t="n">
        <v>-0.01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0.008999999999999999</v>
      </c>
      <c r="AD32" s="29" t="n">
        <v>0</v>
      </c>
      <c r="AE32" s="30" t="n"/>
      <c r="AF32" s="29" t="n">
        <v>0</v>
      </c>
      <c r="AG32" s="29" t="n">
        <v>0.01</v>
      </c>
      <c r="AH32" s="29" t="n">
        <v>-0.01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-7e-06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0.075763</v>
      </c>
      <c r="AD34" s="24" t="n">
        <v>0.08325299999999999</v>
      </c>
      <c r="AE34" s="25" t="n"/>
      <c r="AF34" s="24" t="n">
        <v>0.046573</v>
      </c>
      <c r="AG34" s="24" t="n">
        <v>0.049662</v>
      </c>
      <c r="AH34" s="24" t="n">
        <v>0.059805</v>
      </c>
      <c r="AI34" s="24" t="n">
        <v>0.066317</v>
      </c>
      <c r="AJ34" s="25" t="n"/>
      <c r="AK34" s="24" t="n">
        <v>0.038442</v>
      </c>
      <c r="AL34" s="24" t="n">
        <v>0.04114</v>
      </c>
      <c r="AM34" s="24" t="n">
        <v>0.049871</v>
      </c>
      <c r="AN34" s="24" t="n">
        <v>0.055608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-0.633466</v>
      </c>
      <c r="AD35" s="24" t="n">
        <v>-2.042353</v>
      </c>
      <c r="AE35" s="25" t="n"/>
      <c r="AF35" s="24" t="n">
        <v>1.185102</v>
      </c>
      <c r="AG35" s="24" t="n">
        <v>0.607438</v>
      </c>
      <c r="AH35" s="24" t="n">
        <v>0.476864</v>
      </c>
      <c r="AI35" s="24" t="n">
        <v>0.37946</v>
      </c>
      <c r="AJ35" s="25" t="n"/>
      <c r="AK35" s="24" t="n">
        <v>0.169716</v>
      </c>
      <c r="AL35" s="24" t="n">
        <v>0.161812</v>
      </c>
      <c r="AM35" s="24" t="n">
        <v>0.175487</v>
      </c>
      <c r="AN35" s="24" t="n">
        <v>0.174763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0.343284</v>
      </c>
      <c r="AD42" s="24" t="n">
        <v>0.411765</v>
      </c>
      <c r="AE42" s="25" t="n"/>
      <c r="AF42" s="24" t="n">
        <v>0.449275</v>
      </c>
      <c r="AG42" s="24" t="n">
        <v>0.235294</v>
      </c>
      <c r="AH42" s="24" t="n">
        <v>0.244444</v>
      </c>
      <c r="AI42" s="24" t="n">
        <v>0.260417</v>
      </c>
      <c r="AJ42" s="25" t="n"/>
      <c r="AK42" s="24" t="n">
        <v>0.28</v>
      </c>
      <c r="AL42" s="24" t="n">
        <v>0.304762</v>
      </c>
      <c r="AM42" s="24" t="n">
        <v>0.330357</v>
      </c>
      <c r="AN42" s="24" t="n">
        <v>0.380165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-0.058577</v>
      </c>
      <c r="AD44" s="24" t="n">
        <v>-0.058556</v>
      </c>
      <c r="AE44" s="25">
        <f>IFERROR(subQ!AE35/subQ!AE34,"")</f>
        <v/>
      </c>
      <c r="AF44" s="24" t="n">
        <v>-0.058628</v>
      </c>
      <c r="AG44" s="24" t="n">
        <v>-0.05858</v>
      </c>
      <c r="AH44" s="24" t="n">
        <v>-0.058598</v>
      </c>
      <c r="AI44" s="24" t="n">
        <v>-0.058616</v>
      </c>
      <c r="AJ44" s="25">
        <f>IFERROR(subQ!AJ35/subQ!AJ34,"")</f>
        <v/>
      </c>
      <c r="AK44" s="24" t="n">
        <v>-0.058497</v>
      </c>
      <c r="AL44" s="24" t="n">
        <v>-0.058563</v>
      </c>
      <c r="AM44" s="24" t="n">
        <v>-0.058531</v>
      </c>
      <c r="AN44" s="24" t="n">
        <v>-0.058625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764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양(+)EPS 분기 1개 &lt; 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0.2818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4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4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4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4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4" t="n">
        <v>36959.58</v>
      </c>
      <c r="AA5" s="18" t="n">
        <v>34858.23</v>
      </c>
      <c r="AB5" s="19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4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4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4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4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4" t="n">
        <v>1117.46</v>
      </c>
      <c r="AA6" s="18" t="n">
        <v>593.46</v>
      </c>
      <c r="AB6" s="19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4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4" t="n">
        <v>1414</v>
      </c>
      <c r="AB7" s="19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4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4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4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4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4" t="n">
        <v>150.32</v>
      </c>
      <c r="AA8" s="18" t="n">
        <v>150.32</v>
      </c>
      <c r="AB8" s="19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4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4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4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4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4" t="n">
        <v>5984.8</v>
      </c>
      <c r="AA9" s="18" t="n">
        <v>5662.36</v>
      </c>
      <c r="AB9" s="19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4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4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4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4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4" t="n">
        <v>19833.54</v>
      </c>
      <c r="AA10" s="18" t="n">
        <v>20189.19</v>
      </c>
      <c r="AB10" s="19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4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4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4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4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4" t="n">
        <v>8459.290000000001</v>
      </c>
      <c r="AA11" s="18" t="n">
        <v>8262.620000000001</v>
      </c>
      <c r="AB11" s="19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4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4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4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4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4" t="n">
        <v>0.16</v>
      </c>
      <c r="AA12" s="18" t="n">
        <v>0.28</v>
      </c>
      <c r="AB12" s="19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4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4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4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4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4" t="n">
        <v>3298.31</v>
      </c>
      <c r="AA13" s="18" t="n">
        <v>3391.54</v>
      </c>
      <c r="AB13" s="19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4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4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4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4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4" t="n">
        <v>591.17</v>
      </c>
      <c r="AA14" s="18" t="n">
        <v>591.17</v>
      </c>
      <c r="AB14" s="19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4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4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4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4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4" t="n">
        <v>591.17</v>
      </c>
      <c r="AA15" s="18" t="n">
        <v>591.17</v>
      </c>
      <c r="AB15" s="19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4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4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4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4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4" t="n">
        <v>2328.25</v>
      </c>
      <c r="AA16" s="18" t="n">
        <v>2303.86</v>
      </c>
      <c r="AB16" s="19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4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4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4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4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4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4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4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4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4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4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4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4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4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4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4" t="n">
        <v>40257.89</v>
      </c>
      <c r="AA21" s="18" t="n">
        <v>38249.76</v>
      </c>
      <c r="AB21" s="19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4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4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4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4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4" t="n">
        <v>22066.83</v>
      </c>
      <c r="AA22" s="18" t="n">
        <v>20385.83</v>
      </c>
      <c r="AB22" s="19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4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4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4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4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4" t="n">
        <v>3238.07</v>
      </c>
      <c r="AA23" s="18" t="n">
        <v>3868.77</v>
      </c>
      <c r="AB23" s="19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4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4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4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4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4" t="n">
        <v>6260.07</v>
      </c>
      <c r="AA24" s="18" t="n">
        <v>6260.07</v>
      </c>
      <c r="AB24" s="19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4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4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4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4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4" t="n">
        <v>8504.99</v>
      </c>
      <c r="AA25" s="18" t="n">
        <v>6195.06</v>
      </c>
      <c r="AB25" s="19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4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4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4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4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4" t="n">
        <v>83.06</v>
      </c>
      <c r="AA26" s="18" t="n">
        <v>52.02</v>
      </c>
      <c r="AB26" s="19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19893.17</v>
      </c>
      <c r="F27" s="34" t="n">
        <v>19893.17</v>
      </c>
      <c r="G27" s="18" t="n">
        <v>37962.53</v>
      </c>
      <c r="H27" s="18" t="n">
        <v>38279.28</v>
      </c>
      <c r="I27" s="18" t="n">
        <v>43108.2</v>
      </c>
      <c r="J27" s="18" t="n">
        <v>43160.49</v>
      </c>
      <c r="K27" s="34" t="n">
        <v>43160.49</v>
      </c>
      <c r="L27" s="18" t="n">
        <v>44828.46</v>
      </c>
      <c r="M27" s="18" t="n">
        <v>47511.87</v>
      </c>
      <c r="N27" s="18" t="n">
        <v>42907.52</v>
      </c>
      <c r="O27" s="18" t="n">
        <v>39902.65</v>
      </c>
      <c r="P27" s="34" t="n">
        <v>39902.65</v>
      </c>
      <c r="Q27" s="18" t="n">
        <v>42120.33</v>
      </c>
      <c r="R27" s="18" t="n">
        <v>38210.55</v>
      </c>
      <c r="S27" s="18" t="n">
        <v>36818.48</v>
      </c>
      <c r="T27" s="18" t="n">
        <v>38471.19</v>
      </c>
      <c r="U27" s="34" t="n">
        <v>38471.19</v>
      </c>
      <c r="V27" s="18" t="n">
        <v>34371.03</v>
      </c>
      <c r="W27" s="18" t="n">
        <v>34690.12</v>
      </c>
      <c r="X27" s="18" t="n">
        <v>25617.73</v>
      </c>
      <c r="Y27" s="18" t="n">
        <v>22149.89</v>
      </c>
      <c r="Z27" s="34" t="n">
        <v>22149.89</v>
      </c>
      <c r="AA27" s="18" t="n">
        <v>20437.85</v>
      </c>
      <c r="AB27" s="19" t="n">
        <v>26896.68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5397.01</v>
      </c>
      <c r="F28" s="34" t="n">
        <v>5397.01</v>
      </c>
      <c r="G28" s="18" t="n">
        <v>5397.01</v>
      </c>
      <c r="H28" s="18" t="n">
        <v>5397.01</v>
      </c>
      <c r="I28" s="18" t="n">
        <v>5397.01</v>
      </c>
      <c r="J28" s="18" t="n">
        <v>5397.01</v>
      </c>
      <c r="K28" s="34" t="n">
        <v>5397.01</v>
      </c>
      <c r="L28" s="18" t="n">
        <v>5532.77</v>
      </c>
      <c r="M28" s="18" t="n">
        <v>5710.57</v>
      </c>
      <c r="N28" s="18" t="n">
        <v>6161.5</v>
      </c>
      <c r="O28" s="18" t="n">
        <v>6161.5</v>
      </c>
      <c r="P28" s="34" t="n">
        <v>6161.5</v>
      </c>
      <c r="Q28" s="18" t="n">
        <v>6341.5</v>
      </c>
      <c r="R28" s="18" t="n">
        <v>6680.31</v>
      </c>
      <c r="S28" s="18" t="n">
        <v>6806.69</v>
      </c>
      <c r="T28" s="18" t="n">
        <v>7962.32</v>
      </c>
      <c r="U28" s="34" t="n">
        <v>7962.32</v>
      </c>
      <c r="V28" s="18" t="n">
        <v>8046.92</v>
      </c>
      <c r="W28" s="18" t="n">
        <v>8046.92</v>
      </c>
      <c r="X28" s="18" t="n">
        <v>8046.92</v>
      </c>
      <c r="Y28" s="18" t="n">
        <v>8046.92</v>
      </c>
      <c r="Z28" s="34" t="n">
        <v>8046.92</v>
      </c>
      <c r="AA28" s="18" t="n">
        <v>8046.92</v>
      </c>
      <c r="AB28" s="19" t="n">
        <v>8046.92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13943.45</v>
      </c>
      <c r="F29" s="34" t="n">
        <v>13943.45</v>
      </c>
      <c r="G29" s="18" t="n">
        <v>13943.45</v>
      </c>
      <c r="H29" s="18" t="n">
        <v>13943.45</v>
      </c>
      <c r="I29" s="18" t="n">
        <v>13943.45</v>
      </c>
      <c r="J29" s="18" t="n">
        <v>13943.45</v>
      </c>
      <c r="K29" s="34" t="n">
        <v>13943.45</v>
      </c>
      <c r="L29" s="18" t="n">
        <v>15499.41</v>
      </c>
      <c r="M29" s="18" t="n">
        <v>17866.21</v>
      </c>
      <c r="N29" s="18" t="n">
        <v>21735.79</v>
      </c>
      <c r="O29" s="18" t="n">
        <v>21735.79</v>
      </c>
      <c r="P29" s="34" t="n">
        <v>21735.79</v>
      </c>
      <c r="Q29" s="18" t="n">
        <v>22552.99</v>
      </c>
      <c r="R29" s="18" t="n">
        <v>26946.93</v>
      </c>
      <c r="S29" s="18" t="n">
        <v>28560.13</v>
      </c>
      <c r="T29" s="18" t="n">
        <v>30205.5</v>
      </c>
      <c r="U29" s="34" t="n">
        <v>30205.5</v>
      </c>
      <c r="V29" s="18" t="n">
        <v>30959.02</v>
      </c>
      <c r="W29" s="18" t="n">
        <v>30959.02</v>
      </c>
      <c r="X29" s="18" t="n">
        <v>30959.02</v>
      </c>
      <c r="Y29" s="18" t="n">
        <v>31102.9</v>
      </c>
      <c r="Z29" s="34" t="n">
        <v>31102.9</v>
      </c>
      <c r="AA29" s="18" t="n">
        <v>31102.9</v>
      </c>
      <c r="AB29" s="19" t="n">
        <v>31102.9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-4952.92</v>
      </c>
      <c r="F30" s="34" t="n">
        <v>-4952.92</v>
      </c>
      <c r="G30" s="18" t="n">
        <v>-1256.79</v>
      </c>
      <c r="H30" s="18" t="n">
        <v>-860.3200000000001</v>
      </c>
      <c r="I30" s="18" t="n">
        <v>-858.58</v>
      </c>
      <c r="J30" s="18" t="n">
        <v>-1350.99</v>
      </c>
      <c r="K30" s="34" t="n">
        <v>-1350.99</v>
      </c>
      <c r="L30" s="18" t="n">
        <v>-1598.89</v>
      </c>
      <c r="M30" s="18" t="n">
        <v>-1959.54</v>
      </c>
      <c r="N30" s="18" t="n">
        <v>3070.61</v>
      </c>
      <c r="O30" s="18" t="n">
        <v>3006.43</v>
      </c>
      <c r="P30" s="34" t="n">
        <v>3006.43</v>
      </c>
      <c r="Q30" s="18" t="n">
        <v>2871.19</v>
      </c>
      <c r="R30" s="18" t="n">
        <v>2378</v>
      </c>
      <c r="S30" s="18" t="n">
        <v>5143.58</v>
      </c>
      <c r="T30" s="18" t="n">
        <v>2251.77</v>
      </c>
      <c r="U30" s="34" t="n">
        <v>2251.77</v>
      </c>
      <c r="V30" s="18" t="n">
        <v>2251.77</v>
      </c>
      <c r="W30" s="18" t="n">
        <v>2251.77</v>
      </c>
      <c r="X30" s="18" t="n">
        <v>2251.77</v>
      </c>
      <c r="Y30" s="18" t="n">
        <v>2107.9</v>
      </c>
      <c r="Z30" s="34" t="n">
        <v>2107.9</v>
      </c>
      <c r="AA30" s="18" t="n">
        <v>2107.9</v>
      </c>
      <c r="AB30" s="19" t="n">
        <v>2107.9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60832.67</v>
      </c>
      <c r="F31" s="34" t="n">
        <v>60832.67</v>
      </c>
      <c r="G31" s="18" t="n">
        <v>57814.09</v>
      </c>
      <c r="H31" s="18" t="n">
        <v>49440.34</v>
      </c>
      <c r="I31" s="18" t="n">
        <v>53006.43</v>
      </c>
      <c r="J31" s="18" t="n">
        <v>19063.73</v>
      </c>
      <c r="K31" s="34" t="n">
        <v>19063.73</v>
      </c>
      <c r="L31" s="18" t="n">
        <v>15458.56</v>
      </c>
      <c r="M31" s="18" t="n">
        <v>16577.41</v>
      </c>
      <c r="N31" s="18" t="n">
        <v>11444.63</v>
      </c>
      <c r="O31" s="18" t="n">
        <v>2840.46</v>
      </c>
      <c r="P31" s="34" t="n">
        <v>2840.46</v>
      </c>
      <c r="Q31" s="18" t="n">
        <v>-343.86</v>
      </c>
      <c r="R31" s="18" t="n">
        <v>-2094.16</v>
      </c>
      <c r="S31" s="18" t="n">
        <v>-3191.02</v>
      </c>
      <c r="T31" s="18" t="n">
        <v>-23989.82</v>
      </c>
      <c r="U31" s="34" t="n">
        <v>-23989.82</v>
      </c>
      <c r="V31" s="18" t="n">
        <v>-23304.3</v>
      </c>
      <c r="W31" s="18" t="n">
        <v>-22166.42</v>
      </c>
      <c r="X31" s="18" t="n">
        <v>-22838.84</v>
      </c>
      <c r="Y31" s="18" t="n">
        <v>-23149.72</v>
      </c>
      <c r="Z31" s="34" t="n">
        <v>-23149.72</v>
      </c>
      <c r="AA31" s="18" t="n">
        <v>-23445.8</v>
      </c>
      <c r="AB31" s="19" t="n">
        <v>-26798.81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75220.2</v>
      </c>
      <c r="F32" s="34" t="n">
        <v>75220.2</v>
      </c>
      <c r="G32" s="18" t="n">
        <v>75897.75999999999</v>
      </c>
      <c r="H32" s="18" t="n">
        <v>67920.47</v>
      </c>
      <c r="I32" s="18" t="n">
        <v>71488.3</v>
      </c>
      <c r="J32" s="18" t="n">
        <v>37053.19</v>
      </c>
      <c r="K32" s="34" t="n">
        <v>37053.19</v>
      </c>
      <c r="L32" s="18" t="n">
        <v>34891.85</v>
      </c>
      <c r="M32" s="18" t="n">
        <v>38194.66</v>
      </c>
      <c r="N32" s="18" t="n">
        <v>42412.54</v>
      </c>
      <c r="O32" s="18" t="n">
        <v>33744.18</v>
      </c>
      <c r="P32" s="34" t="n">
        <v>33744.18</v>
      </c>
      <c r="Q32" s="18" t="n">
        <v>31421.82</v>
      </c>
      <c r="R32" s="18" t="n">
        <v>33911.08</v>
      </c>
      <c r="S32" s="18" t="n">
        <v>37319.38</v>
      </c>
      <c r="T32" s="18" t="n">
        <v>16429.77</v>
      </c>
      <c r="U32" s="34" t="n">
        <v>16429.77</v>
      </c>
      <c r="V32" s="18" t="n">
        <v>17953.41</v>
      </c>
      <c r="W32" s="18" t="n">
        <v>19091.3</v>
      </c>
      <c r="X32" s="18" t="n">
        <v>18418.88</v>
      </c>
      <c r="Y32" s="18" t="n">
        <v>18108</v>
      </c>
      <c r="Z32" s="34" t="n">
        <v>18108</v>
      </c>
      <c r="AA32" s="18" t="n">
        <v>17811.92</v>
      </c>
      <c r="AB32" s="19" t="n">
        <v>14458.9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95113.37</v>
      </c>
      <c r="F33" s="34" t="n">
        <v>95113.37</v>
      </c>
      <c r="G33" s="18" t="n">
        <v>113860.29</v>
      </c>
      <c r="H33" s="18" t="n">
        <v>106199.75</v>
      </c>
      <c r="I33" s="18" t="n">
        <v>114596.5</v>
      </c>
      <c r="J33" s="18" t="n">
        <v>80213.67999999999</v>
      </c>
      <c r="K33" s="34" t="n">
        <v>80213.67999999999</v>
      </c>
      <c r="L33" s="18" t="n">
        <v>79720.31</v>
      </c>
      <c r="M33" s="18" t="n">
        <v>85706.53</v>
      </c>
      <c r="N33" s="18" t="n">
        <v>85320.05</v>
      </c>
      <c r="O33" s="18" t="n">
        <v>73646.83</v>
      </c>
      <c r="P33" s="34" t="n">
        <v>73646.83</v>
      </c>
      <c r="Q33" s="18" t="n">
        <v>73542.14</v>
      </c>
      <c r="R33" s="18" t="n">
        <v>72121.63</v>
      </c>
      <c r="S33" s="18" t="n">
        <v>74137.86</v>
      </c>
      <c r="T33" s="18" t="n">
        <v>54900.96</v>
      </c>
      <c r="U33" s="34" t="n">
        <v>54900.96</v>
      </c>
      <c r="V33" s="18" t="n">
        <v>52324.45</v>
      </c>
      <c r="W33" s="18" t="n">
        <v>53781.41</v>
      </c>
      <c r="X33" s="18" t="n">
        <v>44036.61</v>
      </c>
      <c r="Y33" s="18" t="n">
        <v>40257.89</v>
      </c>
      <c r="Z33" s="34" t="n">
        <v>40257.89</v>
      </c>
      <c r="AA33" s="18" t="n">
        <v>38249.76</v>
      </c>
      <c r="AB33" s="19" t="n">
        <v>41355.58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75220.2</v>
      </c>
      <c r="F34" s="34" t="n">
        <v>75220.2</v>
      </c>
      <c r="G34" s="18" t="n">
        <v>75897.75999999999</v>
      </c>
      <c r="H34" s="18" t="n">
        <v>67920.47</v>
      </c>
      <c r="I34" s="18" t="n">
        <v>71488.3</v>
      </c>
      <c r="J34" s="18" t="n">
        <v>37053.19</v>
      </c>
      <c r="K34" s="34" t="n">
        <v>37053.19</v>
      </c>
      <c r="L34" s="18" t="n">
        <v>34891.85</v>
      </c>
      <c r="M34" s="18" t="n">
        <v>38194.66</v>
      </c>
      <c r="N34" s="18" t="n">
        <v>42412.54</v>
      </c>
      <c r="O34" s="18" t="n">
        <v>33744.18</v>
      </c>
      <c r="P34" s="34" t="n">
        <v>33744.18</v>
      </c>
      <c r="Q34" s="18" t="n">
        <v>31421.82</v>
      </c>
      <c r="R34" s="18" t="n">
        <v>33911.08</v>
      </c>
      <c r="S34" s="18" t="n">
        <v>37319.38</v>
      </c>
      <c r="T34" s="18" t="n">
        <v>16429.77</v>
      </c>
      <c r="U34" s="34" t="n">
        <v>16429.77</v>
      </c>
      <c r="V34" s="18" t="n">
        <v>17953.41</v>
      </c>
      <c r="W34" s="18" t="n">
        <v>19091.3</v>
      </c>
      <c r="X34" s="18" t="n">
        <v>18418.88</v>
      </c>
      <c r="Y34" s="18" t="n">
        <v>18108</v>
      </c>
      <c r="Z34" s="34" t="n">
        <v>18108</v>
      </c>
      <c r="AA34" s="18" t="n">
        <v>17811.92</v>
      </c>
      <c r="AB34" s="19" t="n">
        <v>14458.9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13000</v>
      </c>
      <c r="F35" s="34" t="n">
        <v>13000</v>
      </c>
      <c r="G35" s="18" t="n">
        <v>27452.92</v>
      </c>
      <c r="H35" s="18" t="n">
        <v>27688.92</v>
      </c>
      <c r="I35" s="18" t="n">
        <v>29931.86</v>
      </c>
      <c r="J35" s="18" t="n">
        <v>29872.93</v>
      </c>
      <c r="K35" s="34" t="n">
        <v>29872.93</v>
      </c>
      <c r="L35" s="18" t="n">
        <v>29076.47</v>
      </c>
      <c r="M35" s="18" t="n">
        <v>28263.44</v>
      </c>
      <c r="N35" s="18" t="n">
        <v>25414.44</v>
      </c>
      <c r="O35" s="18" t="n">
        <v>23698.5</v>
      </c>
      <c r="P35" s="34" t="n">
        <v>23698.5</v>
      </c>
      <c r="Q35" s="18" t="n">
        <v>23329.64</v>
      </c>
      <c r="R35" s="18" t="n">
        <v>20682.5</v>
      </c>
      <c r="S35" s="18" t="n">
        <v>20510.24</v>
      </c>
      <c r="T35" s="18" t="n">
        <v>19215.17</v>
      </c>
      <c r="U35" s="34" t="n">
        <v>19215.17</v>
      </c>
      <c r="V35" s="18" t="n">
        <v>16120.15</v>
      </c>
      <c r="W35" s="18" t="n">
        <v>16080.29</v>
      </c>
      <c r="X35" s="18" t="n">
        <v>9180.290000000001</v>
      </c>
      <c r="Y35" s="18" t="n">
        <v>10260.07</v>
      </c>
      <c r="Z35" s="34" t="n">
        <v>10260.07</v>
      </c>
      <c r="AA35" s="18" t="n">
        <v>10260.07</v>
      </c>
      <c r="AB35" s="19" t="n">
        <v>10260.07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9737.76</v>
      </c>
      <c r="F36" s="34" t="n">
        <v>9737.76</v>
      </c>
      <c r="G36" s="18" t="n">
        <v>4696.24</v>
      </c>
      <c r="H36" s="18" t="n">
        <v>18317</v>
      </c>
      <c r="I36" s="18" t="n">
        <v>22740.05</v>
      </c>
      <c r="J36" s="18" t="n">
        <v>22997.61</v>
      </c>
      <c r="K36" s="34" t="n">
        <v>22997.61</v>
      </c>
      <c r="L36" s="18" t="n">
        <v>25498.3</v>
      </c>
      <c r="M36" s="18" t="n">
        <v>26120.5</v>
      </c>
      <c r="N36" s="18" t="n">
        <v>22611.59</v>
      </c>
      <c r="O36" s="18" t="n">
        <v>20381.33</v>
      </c>
      <c r="P36" s="34" t="n">
        <v>20381.33</v>
      </c>
      <c r="Q36" s="18" t="n">
        <v>22355.38</v>
      </c>
      <c r="R36" s="18" t="n">
        <v>20024.24</v>
      </c>
      <c r="S36" s="18" t="n">
        <v>16236.7</v>
      </c>
      <c r="T36" s="18" t="n">
        <v>11732.7</v>
      </c>
      <c r="U36" s="34" t="n">
        <v>11732.7</v>
      </c>
      <c r="V36" s="18" t="n">
        <v>15473.87</v>
      </c>
      <c r="W36" s="18" t="n">
        <v>15507.45</v>
      </c>
      <c r="X36" s="18" t="n">
        <v>8390.83</v>
      </c>
      <c r="Y36" s="18" t="n">
        <v>9142.610000000001</v>
      </c>
      <c r="Z36" s="34" t="n">
        <v>9142.610000000001</v>
      </c>
      <c r="AA36" s="18" t="n">
        <v>9666.610000000001</v>
      </c>
      <c r="AB36" s="19" t="n">
        <v>9691.73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3766.87</v>
      </c>
      <c r="F37" s="34" t="n">
        <v>3766.87</v>
      </c>
      <c r="G37" s="18" t="n">
        <v>23277.58</v>
      </c>
      <c r="H37" s="18" t="n">
        <v>10828</v>
      </c>
      <c r="I37" s="18" t="n">
        <v>8752.040000000001</v>
      </c>
      <c r="J37" s="18" t="n">
        <v>7501.85</v>
      </c>
      <c r="K37" s="34" t="n">
        <v>7501.85</v>
      </c>
      <c r="L37" s="18" t="n">
        <v>4181.14</v>
      </c>
      <c r="M37" s="18" t="n">
        <v>5373.81</v>
      </c>
      <c r="N37" s="18" t="n">
        <v>6743.58</v>
      </c>
      <c r="O37" s="18" t="n">
        <v>5314.33</v>
      </c>
      <c r="P37" s="34" t="n">
        <v>5314.33</v>
      </c>
      <c r="Q37" s="18" t="n">
        <v>2496.95</v>
      </c>
      <c r="R37" s="18" t="n">
        <v>2133.23</v>
      </c>
      <c r="S37" s="18" t="n">
        <v>5749.98</v>
      </c>
      <c r="T37" s="18" t="n">
        <v>8073.64</v>
      </c>
      <c r="U37" s="34" t="n">
        <v>8073.64</v>
      </c>
      <c r="V37" s="18" t="n">
        <v>1237.45</v>
      </c>
      <c r="W37" s="18" t="n">
        <v>1164.01</v>
      </c>
      <c r="X37" s="18" t="n">
        <v>1380.63</v>
      </c>
      <c r="Y37" s="18" t="n">
        <v>1708.63</v>
      </c>
      <c r="Z37" s="34" t="n">
        <v>1708.63</v>
      </c>
      <c r="AA37" s="18" t="n">
        <v>1184.63</v>
      </c>
      <c r="AB37" s="19" t="n">
        <v>1159.51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F38" s="9" t="n"/>
      <c r="G38" s="18" t="n">
        <v>14452.92</v>
      </c>
      <c r="H38" s="18" t="n">
        <v>14688.92</v>
      </c>
      <c r="I38" s="18" t="n">
        <v>14931.86</v>
      </c>
      <c r="J38" s="18" t="n">
        <v>14872.93</v>
      </c>
      <c r="K38" s="34" t="n">
        <v>14872.93</v>
      </c>
      <c r="L38" s="18" t="n">
        <v>14076.47</v>
      </c>
      <c r="N38" s="18" t="n">
        <v>2568.26</v>
      </c>
      <c r="O38" s="18" t="n">
        <v>2642.91</v>
      </c>
      <c r="P38" s="34" t="n">
        <v>2642.91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종속기업및관계기업투자</t>
        </is>
      </c>
      <c r="F39" s="9" t="n"/>
      <c r="H39" s="18" t="n">
        <v>510.3</v>
      </c>
      <c r="I39" s="18" t="n">
        <v>188.97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유동성장기부채</t>
        </is>
      </c>
      <c r="F40" s="9" t="n"/>
      <c r="K40" s="9" t="n"/>
      <c r="M40" s="18" t="n">
        <v>12783.43</v>
      </c>
      <c r="N40" s="18" t="n">
        <v>9366.17</v>
      </c>
      <c r="O40" s="18" t="n">
        <v>9055.59</v>
      </c>
      <c r="P40" s="34" t="n">
        <v>9055.59</v>
      </c>
      <c r="Q40" s="18" t="n">
        <v>11329.64</v>
      </c>
      <c r="R40" s="18" t="n">
        <v>8682.5</v>
      </c>
      <c r="S40" s="18" t="n">
        <v>7610.24</v>
      </c>
      <c r="T40" s="18" t="n">
        <v>13215.17</v>
      </c>
      <c r="U40" s="34" t="n">
        <v>13215.17</v>
      </c>
      <c r="V40" s="18" t="n">
        <v>9820.200000000001</v>
      </c>
      <c r="W40" s="18" t="n">
        <v>9820.200000000001</v>
      </c>
      <c r="X40" s="18" t="n">
        <v>2920.2</v>
      </c>
      <c r="Y40" s="18" t="n">
        <v>4000</v>
      </c>
      <c r="Z40" s="34" t="n">
        <v>4000</v>
      </c>
      <c r="AA40" s="18" t="n">
        <v>4000</v>
      </c>
      <c r="AB40" s="19" t="n">
        <v>4000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F41" s="9" t="n"/>
      <c r="K41" s="9" t="n"/>
      <c r="P41" s="9" t="n"/>
      <c r="T41" s="18" t="n">
        <v>480.31</v>
      </c>
      <c r="U41" s="34" t="n">
        <v>480.31</v>
      </c>
      <c r="V41" s="18" t="n">
        <v>273.53</v>
      </c>
      <c r="W41" s="18" t="n">
        <v>247.97</v>
      </c>
      <c r="X41" s="18" t="n">
        <v>225.98</v>
      </c>
      <c r="Y41" s="18" t="n">
        <v>54.88</v>
      </c>
      <c r="Z41" s="34" t="n">
        <v>54.88</v>
      </c>
      <c r="AA41" s="18" t="n">
        <v>52.02</v>
      </c>
      <c r="AB41" s="19" t="n">
        <v>39.02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F42" s="9" t="n"/>
      <c r="K42" s="9" t="n"/>
      <c r="P42" s="9" t="n"/>
      <c r="U42" s="9" t="n"/>
      <c r="Z42" s="9" t="n"/>
      <c r="AB42" s="19" t="n">
        <v>4054.14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매출액(수익)</t>
        </is>
      </c>
      <c r="E43" s="18" t="n">
        <v>15992.82</v>
      </c>
      <c r="F43" s="9" t="n"/>
      <c r="G43" s="18" t="n">
        <v>4569.65</v>
      </c>
      <c r="H43" s="18" t="n">
        <v>8246.5</v>
      </c>
      <c r="I43" s="18" t="n">
        <v>7589.99</v>
      </c>
      <c r="J43" s="18" t="n">
        <v>11495.23</v>
      </c>
      <c r="K43" s="34" t="n">
        <v>31901.37</v>
      </c>
      <c r="L43" s="18" t="n">
        <v>7540.52</v>
      </c>
      <c r="M43" s="18" t="n">
        <v>9567.4</v>
      </c>
      <c r="N43" s="18" t="n">
        <v>7685.73</v>
      </c>
      <c r="O43" s="18" t="n">
        <v>8544.6</v>
      </c>
      <c r="P43" s="34" t="n">
        <v>33338.25</v>
      </c>
      <c r="Q43" s="18" t="n">
        <v>5822.19</v>
      </c>
      <c r="R43" s="18" t="n">
        <v>9706.65</v>
      </c>
      <c r="S43" s="18" t="n">
        <v>6533.29</v>
      </c>
      <c r="T43" s="18" t="n">
        <v>14040.92</v>
      </c>
      <c r="U43" s="34" t="n">
        <v>36103.05</v>
      </c>
      <c r="V43" s="18" t="n">
        <v>4706.32</v>
      </c>
      <c r="W43" s="18" t="n">
        <v>8117.38</v>
      </c>
      <c r="X43" s="18" t="n">
        <v>9064.01</v>
      </c>
      <c r="Y43" s="18" t="n">
        <v>11373.75</v>
      </c>
      <c r="Z43" s="34" t="n">
        <v>33261.46</v>
      </c>
      <c r="AA43" s="18" t="n">
        <v>5077.44</v>
      </c>
      <c r="AB43" s="19" t="n">
        <v>6126.42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매출원가</t>
        </is>
      </c>
      <c r="E44" s="18" t="n">
        <v>10554.05</v>
      </c>
      <c r="F44" s="9" t="n"/>
      <c r="G44" s="18" t="n">
        <v>3574.72</v>
      </c>
      <c r="H44" s="18" t="n">
        <v>11168.49</v>
      </c>
      <c r="I44" s="18" t="n">
        <v>5015.79</v>
      </c>
      <c r="J44" s="18" t="n">
        <v>10808.07</v>
      </c>
      <c r="K44" s="34" t="n">
        <v>30567.07</v>
      </c>
      <c r="L44" s="18" t="n">
        <v>4889.14</v>
      </c>
      <c r="M44" s="18" t="n">
        <v>6703.75</v>
      </c>
      <c r="N44" s="18" t="n">
        <v>5176.88</v>
      </c>
      <c r="O44" s="18" t="n">
        <v>6821.12</v>
      </c>
      <c r="P44" s="34" t="n">
        <v>23590.89</v>
      </c>
      <c r="Q44" s="18" t="n">
        <v>3978.9</v>
      </c>
      <c r="R44" s="18" t="n">
        <v>7923.34</v>
      </c>
      <c r="S44" s="18" t="n">
        <v>3995.63</v>
      </c>
      <c r="T44" s="18" t="n">
        <v>13327.8</v>
      </c>
      <c r="U44" s="34" t="n">
        <v>29225.67</v>
      </c>
      <c r="V44" s="18" t="n">
        <v>3359.8</v>
      </c>
      <c r="W44" s="18" t="n">
        <v>4269.58</v>
      </c>
      <c r="X44" s="18" t="n">
        <v>6988.31</v>
      </c>
      <c r="Y44" s="18" t="n">
        <v>8318.700000000001</v>
      </c>
      <c r="Z44" s="34" t="n">
        <v>22936.39</v>
      </c>
      <c r="AA44" s="18" t="n">
        <v>3565.04</v>
      </c>
      <c r="AB44" s="19" t="n">
        <v>3536.03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매출총이익</t>
        </is>
      </c>
      <c r="E45" s="18" t="n">
        <v>5438.78</v>
      </c>
      <c r="F45" s="9" t="n"/>
      <c r="G45" s="18" t="n">
        <v>994.9299999999999</v>
      </c>
      <c r="H45" s="18" t="n">
        <v>-2922</v>
      </c>
      <c r="I45" s="18" t="n">
        <v>2574.2</v>
      </c>
      <c r="J45" s="18" t="n">
        <v>687.16</v>
      </c>
      <c r="K45" s="34" t="n">
        <v>1334.29</v>
      </c>
      <c r="L45" s="18" t="n">
        <v>2651.37</v>
      </c>
      <c r="M45" s="18" t="n">
        <v>2863.65</v>
      </c>
      <c r="N45" s="18" t="n">
        <v>2508.86</v>
      </c>
      <c r="O45" s="18" t="n">
        <v>1723.49</v>
      </c>
      <c r="P45" s="34" t="n">
        <v>9747.370000000001</v>
      </c>
      <c r="Q45" s="18" t="n">
        <v>1843.3</v>
      </c>
      <c r="R45" s="18" t="n">
        <v>1783.31</v>
      </c>
      <c r="S45" s="18" t="n">
        <v>2537.66</v>
      </c>
      <c r="T45" s="18" t="n">
        <v>713.12</v>
      </c>
      <c r="U45" s="34" t="n">
        <v>6877.39</v>
      </c>
      <c r="V45" s="18" t="n">
        <v>1346.52</v>
      </c>
      <c r="W45" s="18" t="n">
        <v>3847.79</v>
      </c>
      <c r="X45" s="18" t="n">
        <v>2075.7</v>
      </c>
      <c r="Y45" s="18" t="n">
        <v>3055.05</v>
      </c>
      <c r="Z45" s="34" t="n">
        <v>10325.06</v>
      </c>
      <c r="AA45" s="18" t="n">
        <v>1512.4</v>
      </c>
      <c r="AB45" s="19" t="n">
        <v>2590.4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판관비</t>
        </is>
      </c>
      <c r="E46" s="18" t="n">
        <v>1361.37</v>
      </c>
      <c r="F46" s="9" t="n"/>
      <c r="G46" s="18" t="n">
        <v>4494.17</v>
      </c>
      <c r="H46" s="18" t="n">
        <v>3930.82</v>
      </c>
      <c r="I46" s="18" t="n">
        <v>4023.12</v>
      </c>
      <c r="J46" s="18" t="n">
        <v>9032.030000000001</v>
      </c>
      <c r="K46" s="34" t="n">
        <v>21480.14</v>
      </c>
      <c r="L46" s="18" t="n">
        <v>5275.42</v>
      </c>
      <c r="M46" s="18" t="n">
        <v>3031.56</v>
      </c>
      <c r="N46" s="18" t="n">
        <v>3908.65</v>
      </c>
      <c r="O46" s="18" t="n">
        <v>3657.36</v>
      </c>
      <c r="P46" s="34" t="n">
        <v>15872.99</v>
      </c>
      <c r="Q46" s="18" t="n">
        <v>3107.13</v>
      </c>
      <c r="R46" s="18" t="n">
        <v>3395.24</v>
      </c>
      <c r="S46" s="18" t="n">
        <v>3330.07</v>
      </c>
      <c r="T46" s="18" t="n">
        <v>2978.16</v>
      </c>
      <c r="U46" s="34" t="n">
        <v>12810.6</v>
      </c>
      <c r="V46" s="18" t="n">
        <v>2671.92</v>
      </c>
      <c r="W46" s="18" t="n">
        <v>2418.58</v>
      </c>
      <c r="X46" s="18" t="n">
        <v>2561.98</v>
      </c>
      <c r="Y46" s="18" t="n">
        <v>2867.2</v>
      </c>
      <c r="Z46" s="34" t="n">
        <v>10519.68</v>
      </c>
      <c r="AA46" s="18" t="n">
        <v>1834.9</v>
      </c>
      <c r="AB46" s="19" t="n">
        <v>1720.99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영업이익</t>
        </is>
      </c>
      <c r="E47" s="18" t="n">
        <v>4077.41</v>
      </c>
      <c r="F47" s="9" t="n"/>
      <c r="G47" s="18" t="n">
        <v>-3499.24</v>
      </c>
      <c r="H47" s="18" t="n">
        <v>-6852.81</v>
      </c>
      <c r="I47" s="18" t="n">
        <v>-1448.93</v>
      </c>
      <c r="J47" s="18" t="n">
        <v>-8344.870000000001</v>
      </c>
      <c r="K47" s="34" t="n">
        <v>-20145.85</v>
      </c>
      <c r="L47" s="18" t="n">
        <v>-2624.05</v>
      </c>
      <c r="M47" s="18" t="n">
        <v>-167.9</v>
      </c>
      <c r="N47" s="18" t="n">
        <v>-1399.79</v>
      </c>
      <c r="O47" s="18" t="n">
        <v>-1933.87</v>
      </c>
      <c r="P47" s="34" t="n">
        <v>-6125.61</v>
      </c>
      <c r="Q47" s="18" t="n">
        <v>-1263.84</v>
      </c>
      <c r="R47" s="18" t="n">
        <v>-1611.93</v>
      </c>
      <c r="S47" s="18" t="n">
        <v>-792.41</v>
      </c>
      <c r="T47" s="18" t="n">
        <v>-2265.03</v>
      </c>
      <c r="U47" s="34" t="n">
        <v>-5933.21</v>
      </c>
      <c r="V47" s="18" t="n">
        <v>-1325.4</v>
      </c>
      <c r="W47" s="18" t="n">
        <v>1429.21</v>
      </c>
      <c r="X47" s="18" t="n">
        <v>-486.28</v>
      </c>
      <c r="Y47" s="18" t="n">
        <v>187.86</v>
      </c>
      <c r="Z47" s="34" t="n">
        <v>-194.61</v>
      </c>
      <c r="AA47" s="18" t="n">
        <v>-322.5</v>
      </c>
      <c r="AB47" s="19" t="n">
        <v>869.4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금융수익</t>
        </is>
      </c>
      <c r="E48" s="18" t="n">
        <v>135.5</v>
      </c>
      <c r="F48" s="9" t="n"/>
      <c r="G48" s="18" t="n">
        <v>451.19</v>
      </c>
      <c r="H48" s="18" t="n">
        <v>1030.91</v>
      </c>
      <c r="I48" s="18" t="n">
        <v>2235.09</v>
      </c>
      <c r="J48" s="18" t="n">
        <v>-1997.64</v>
      </c>
      <c r="K48" s="34" t="n">
        <v>1719.55</v>
      </c>
      <c r="L48" s="18" t="n">
        <v>307.21</v>
      </c>
      <c r="M48" s="18" t="n">
        <v>1976.82</v>
      </c>
      <c r="N48" s="18" t="n">
        <v>47.96</v>
      </c>
      <c r="O48" s="18" t="n">
        <v>247.79</v>
      </c>
      <c r="P48" s="34" t="n">
        <v>2579.78</v>
      </c>
      <c r="Q48" s="18" t="n">
        <v>639.72</v>
      </c>
      <c r="R48" s="18" t="n">
        <v>123.26</v>
      </c>
      <c r="S48" s="18" t="n">
        <v>-179.94</v>
      </c>
      <c r="T48" s="18" t="n">
        <v>1220.56</v>
      </c>
      <c r="U48" s="34" t="n">
        <v>1803.6</v>
      </c>
      <c r="V48" s="18" t="n">
        <v>3328.58</v>
      </c>
      <c r="W48" s="18" t="n">
        <v>408.16</v>
      </c>
      <c r="X48" s="18" t="n">
        <v>6.04</v>
      </c>
      <c r="Y48" s="18" t="n">
        <v>1393.91</v>
      </c>
      <c r="Z48" s="34" t="n">
        <v>5136.69</v>
      </c>
      <c r="AA48" s="18" t="n">
        <v>168.79</v>
      </c>
      <c r="AB48" s="19" t="n">
        <v>132.21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금융비용</t>
        </is>
      </c>
      <c r="E49" s="18" t="n">
        <v>143.09</v>
      </c>
      <c r="F49" s="9" t="n"/>
      <c r="G49" s="18" t="n">
        <v>927.3200000000001</v>
      </c>
      <c r="H49" s="18" t="n">
        <v>1417.39</v>
      </c>
      <c r="I49" s="18" t="n">
        <v>-151.1</v>
      </c>
      <c r="J49" s="18" t="n">
        <v>2738.69</v>
      </c>
      <c r="K49" s="34" t="n">
        <v>4932.3</v>
      </c>
      <c r="L49" s="18" t="n">
        <v>1752.91</v>
      </c>
      <c r="M49" s="18" t="n">
        <v>475.08</v>
      </c>
      <c r="N49" s="18" t="n">
        <v>644.91</v>
      </c>
      <c r="O49" s="18" t="n">
        <v>4435.63</v>
      </c>
      <c r="P49" s="34" t="n">
        <v>7308.53</v>
      </c>
      <c r="Q49" s="18" t="n">
        <v>2932.81</v>
      </c>
      <c r="R49" s="18" t="n">
        <v>346.58</v>
      </c>
      <c r="S49" s="18" t="n">
        <v>346.29</v>
      </c>
      <c r="T49" s="18" t="n">
        <v>4421.62</v>
      </c>
      <c r="U49" s="34" t="n">
        <v>8047.3</v>
      </c>
      <c r="V49" s="18" t="n">
        <v>1697.88</v>
      </c>
      <c r="W49" s="18" t="n">
        <v>727.8</v>
      </c>
      <c r="X49" s="18" t="n">
        <v>179.64</v>
      </c>
      <c r="Y49" s="18" t="n">
        <v>1868.94</v>
      </c>
      <c r="Z49" s="34" t="n">
        <v>4474.26</v>
      </c>
      <c r="AA49" s="18" t="n">
        <v>147.48</v>
      </c>
      <c r="AB49" s="19" t="n">
        <v>153.88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기타영업외수익</t>
        </is>
      </c>
      <c r="E50" s="18" t="n">
        <v>17.09</v>
      </c>
      <c r="F50" s="9" t="n"/>
      <c r="G50" s="18" t="n">
        <v>17.54</v>
      </c>
      <c r="H50" s="18" t="n">
        <v>63.54</v>
      </c>
      <c r="I50" s="18" t="n">
        <v>20.87</v>
      </c>
      <c r="J50" s="18" t="n">
        <v>98.09999999999999</v>
      </c>
      <c r="K50" s="34" t="n">
        <v>200.05</v>
      </c>
      <c r="L50" s="18" t="n">
        <v>327.37</v>
      </c>
      <c r="M50" s="18" t="n">
        <v>1289.18</v>
      </c>
      <c r="N50" s="18" t="n">
        <v>201.84</v>
      </c>
      <c r="O50" s="18" t="n">
        <v>167.07</v>
      </c>
      <c r="P50" s="34" t="n">
        <v>1985.46</v>
      </c>
      <c r="Q50" s="18" t="n">
        <v>29.39</v>
      </c>
      <c r="R50" s="18" t="n">
        <v>45.02</v>
      </c>
      <c r="S50" s="18" t="n">
        <v>38.17</v>
      </c>
      <c r="T50" s="18" t="n">
        <v>21.23</v>
      </c>
      <c r="U50" s="34" t="n">
        <v>133.81</v>
      </c>
      <c r="V50" s="18" t="n">
        <v>195.6</v>
      </c>
      <c r="W50" s="18" t="n">
        <v>3.8</v>
      </c>
      <c r="X50" s="18" t="n">
        <v>911.4299999999999</v>
      </c>
      <c r="Y50" s="18" t="n">
        <v>33.72</v>
      </c>
      <c r="Z50" s="34" t="n">
        <v>1144.55</v>
      </c>
      <c r="AA50" s="18" t="n">
        <v>11.97</v>
      </c>
      <c r="AB50" s="19" t="n">
        <v>52.59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기타영업외비용</t>
        </is>
      </c>
      <c r="E51" s="18" t="n">
        <v>3056.13</v>
      </c>
      <c r="F51" s="9" t="n"/>
      <c r="G51" s="18" t="n">
        <v>24.8</v>
      </c>
      <c r="H51" s="18" t="n">
        <v>42.08</v>
      </c>
      <c r="I51" s="18" t="n">
        <v>0.27</v>
      </c>
      <c r="J51" s="18" t="n">
        <v>13281.12</v>
      </c>
      <c r="K51" s="34" t="n">
        <v>13348.27</v>
      </c>
      <c r="L51" s="18" t="n">
        <v>0.4</v>
      </c>
      <c r="M51" s="18" t="n">
        <v>1324.99</v>
      </c>
      <c r="N51" s="18" t="n">
        <v>2815.75</v>
      </c>
      <c r="O51" s="18" t="n">
        <v>2543.43</v>
      </c>
      <c r="P51" s="34" t="n">
        <v>6684.57</v>
      </c>
      <c r="Q51" s="18" t="n">
        <v>4.05</v>
      </c>
      <c r="R51" s="18" t="n">
        <v>0.22</v>
      </c>
      <c r="S51" s="18" t="n">
        <v>0.13</v>
      </c>
      <c r="T51" s="18" t="n">
        <v>13253.2</v>
      </c>
      <c r="U51" s="34" t="n">
        <v>13257.6</v>
      </c>
      <c r="V51" s="18" t="n">
        <v>22.18</v>
      </c>
      <c r="W51" s="18" t="n">
        <v>1.04</v>
      </c>
      <c r="X51" s="18" t="n">
        <v>945.96</v>
      </c>
      <c r="Y51" s="18" t="n">
        <v>228.52</v>
      </c>
      <c r="Z51" s="34" t="n">
        <v>1197.7</v>
      </c>
      <c r="AA51" s="18" t="n">
        <v>9.720000000000001</v>
      </c>
      <c r="AB51" s="19" t="n">
        <v>4266.32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법인세비용차감전계속사업이익</t>
        </is>
      </c>
      <c r="E52" s="18" t="n">
        <v>1030.76</v>
      </c>
      <c r="F52" s="9" t="n"/>
      <c r="G52" s="18" t="n">
        <v>-3982.62</v>
      </c>
      <c r="H52" s="18" t="n">
        <v>-7207.53</v>
      </c>
      <c r="I52" s="18" t="n">
        <v>636.53</v>
      </c>
      <c r="J52" s="18" t="n">
        <v>-25953.17</v>
      </c>
      <c r="K52" s="34" t="n">
        <v>-36506.79</v>
      </c>
      <c r="L52" s="18" t="n">
        <v>-3742.78</v>
      </c>
      <c r="M52" s="18" t="n">
        <v>1298.02</v>
      </c>
      <c r="N52" s="18" t="n">
        <v>-4610.66</v>
      </c>
      <c r="O52" s="18" t="n">
        <v>-8498.07</v>
      </c>
      <c r="P52" s="34" t="n">
        <v>-15553.49</v>
      </c>
      <c r="Q52" s="18" t="n">
        <v>-3531.58</v>
      </c>
      <c r="R52" s="18" t="n">
        <v>-1790.44</v>
      </c>
      <c r="S52" s="18" t="n">
        <v>-1280.6</v>
      </c>
      <c r="T52" s="18" t="n">
        <v>-18698.05</v>
      </c>
      <c r="U52" s="34" t="n">
        <v>-25300.67</v>
      </c>
      <c r="V52" s="18" t="n">
        <v>478.73</v>
      </c>
      <c r="W52" s="18" t="n">
        <v>1112.33</v>
      </c>
      <c r="X52" s="18" t="n">
        <v>-694.41</v>
      </c>
      <c r="Y52" s="18" t="n">
        <v>-481.98</v>
      </c>
      <c r="Z52" s="34" t="n">
        <v>414.67</v>
      </c>
      <c r="AA52" s="18" t="n">
        <v>-298.95</v>
      </c>
      <c r="AB52" s="19" t="n">
        <v>-3366.01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법인세비용</t>
        </is>
      </c>
      <c r="E53" s="18" t="n">
        <v>-293.39</v>
      </c>
      <c r="F53" s="9" t="n"/>
      <c r="G53" s="18" t="n">
        <v>-964.04</v>
      </c>
      <c r="H53" s="18" t="n">
        <v>1166.22</v>
      </c>
      <c r="I53" s="18" t="n">
        <v>-2929.55</v>
      </c>
      <c r="J53" s="18" t="n">
        <v>7989.52</v>
      </c>
      <c r="K53" s="34" t="n">
        <v>5262.15</v>
      </c>
      <c r="L53" s="18" t="n">
        <v>-137.61</v>
      </c>
      <c r="M53" s="18" t="n">
        <v>179.18</v>
      </c>
      <c r="N53" s="18" t="n">
        <v>522.12</v>
      </c>
      <c r="O53" s="18" t="n">
        <v>106.1</v>
      </c>
      <c r="P53" s="34" t="n">
        <v>669.79</v>
      </c>
      <c r="Q53" s="18" t="n">
        <v>-347.26</v>
      </c>
      <c r="R53" s="18" t="n">
        <v>-40.14</v>
      </c>
      <c r="S53" s="18" t="n">
        <v>-183.74</v>
      </c>
      <c r="T53" s="18" t="n">
        <v>2100.75</v>
      </c>
      <c r="U53" s="34" t="n">
        <v>1529.61</v>
      </c>
      <c r="V53" s="18" t="n">
        <v>-206.79</v>
      </c>
      <c r="W53" s="18" t="n">
        <v>-25.55</v>
      </c>
      <c r="X53" s="18" t="n">
        <v>-21.99</v>
      </c>
      <c r="Y53" s="18" t="n">
        <v>-171.1</v>
      </c>
      <c r="Z53" s="34" t="n">
        <v>-425.43</v>
      </c>
      <c r="AA53" s="18" t="n">
        <v>-2.87</v>
      </c>
      <c r="AB53" s="19" t="n">
        <v>-13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당기순이익</t>
        </is>
      </c>
      <c r="E54" s="18" t="n">
        <v>1324.15</v>
      </c>
      <c r="F54" s="9" t="n"/>
      <c r="G54" s="18" t="n">
        <v>-3018.58</v>
      </c>
      <c r="H54" s="18" t="n">
        <v>-8373.76</v>
      </c>
      <c r="I54" s="18" t="n">
        <v>3566.09</v>
      </c>
      <c r="J54" s="18" t="n">
        <v>-33942.7</v>
      </c>
      <c r="K54" s="34" t="n">
        <v>-41768.95</v>
      </c>
      <c r="L54" s="18" t="n">
        <v>-3605.17</v>
      </c>
      <c r="M54" s="18" t="n">
        <v>1118.85</v>
      </c>
      <c r="N54" s="18" t="n">
        <v>-5132.78</v>
      </c>
      <c r="O54" s="18" t="n">
        <v>-8604.17</v>
      </c>
      <c r="P54" s="34" t="n">
        <v>-16223.27</v>
      </c>
      <c r="Q54" s="18" t="n">
        <v>-3184.32</v>
      </c>
      <c r="R54" s="18" t="n">
        <v>-1750.3</v>
      </c>
      <c r="S54" s="18" t="n">
        <v>-1096.86</v>
      </c>
      <c r="T54" s="18" t="n">
        <v>-20798.8</v>
      </c>
      <c r="U54" s="34" t="n">
        <v>-26830.28</v>
      </c>
      <c r="V54" s="18" t="n">
        <v>685.52</v>
      </c>
      <c r="W54" s="18" t="n">
        <v>1137.88</v>
      </c>
      <c r="X54" s="18" t="n">
        <v>-672.42</v>
      </c>
      <c r="Y54" s="18" t="n">
        <v>-310.88</v>
      </c>
      <c r="Z54" s="34" t="n">
        <v>840.1</v>
      </c>
      <c r="AA54" s="18" t="n">
        <v>-296.08</v>
      </c>
      <c r="AB54" s="19" t="n">
        <v>-3353.01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1324.15</v>
      </c>
      <c r="F55" s="9" t="n"/>
      <c r="G55" s="18" t="n">
        <v>-3018.58</v>
      </c>
      <c r="H55" s="18" t="n">
        <v>-8373.76</v>
      </c>
      <c r="I55" s="18" t="n">
        <v>3566.09</v>
      </c>
      <c r="J55" s="18" t="n">
        <v>-33942.7</v>
      </c>
      <c r="K55" s="34" t="n">
        <v>-41768.95</v>
      </c>
      <c r="L55" s="18" t="n">
        <v>-3605.17</v>
      </c>
      <c r="M55" s="18" t="n">
        <v>1118.85</v>
      </c>
      <c r="N55" s="18" t="n">
        <v>-5132.78</v>
      </c>
      <c r="O55" s="18" t="n">
        <v>-8604.17</v>
      </c>
      <c r="P55" s="34" t="n">
        <v>-16223.27</v>
      </c>
      <c r="Q55" s="18" t="n">
        <v>-3184.32</v>
      </c>
      <c r="R55" s="18" t="n">
        <v>-1750.3</v>
      </c>
      <c r="S55" s="18" t="n">
        <v>-1096.86</v>
      </c>
      <c r="T55" s="18" t="n">
        <v>-20798.8</v>
      </c>
      <c r="U55" s="34" t="n">
        <v>-26830.28</v>
      </c>
      <c r="V55" s="18" t="n">
        <v>685.52</v>
      </c>
      <c r="W55" s="18" t="n">
        <v>1137.88</v>
      </c>
      <c r="X55" s="18" t="n">
        <v>-672.42</v>
      </c>
      <c r="Y55" s="18" t="n">
        <v>-310.88</v>
      </c>
      <c r="Z55" s="34" t="n">
        <v>840.1</v>
      </c>
      <c r="AA55" s="18" t="n">
        <v>-296.08</v>
      </c>
      <c r="AB55" s="19" t="n">
        <v>-3353.01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금융손익</t>
        </is>
      </c>
      <c r="E56" s="18" t="n">
        <v>-7.59</v>
      </c>
      <c r="F56" s="9" t="n"/>
      <c r="G56" s="18" t="n">
        <v>-476.13</v>
      </c>
      <c r="H56" s="18" t="n">
        <v>-386.48</v>
      </c>
      <c r="I56" s="18" t="n">
        <v>2386.19</v>
      </c>
      <c r="J56" s="18" t="n">
        <v>-4736.33</v>
      </c>
      <c r="K56" s="34" t="n">
        <v>-3212.75</v>
      </c>
      <c r="L56" s="18" t="n">
        <v>-1445.7</v>
      </c>
      <c r="M56" s="18" t="n">
        <v>1501.74</v>
      </c>
      <c r="N56" s="18" t="n">
        <v>-596.95</v>
      </c>
      <c r="O56" s="18" t="n">
        <v>-4187.84</v>
      </c>
      <c r="P56" s="34" t="n">
        <v>-4728.75</v>
      </c>
      <c r="Q56" s="18" t="n">
        <v>-2293.09</v>
      </c>
      <c r="R56" s="18" t="n">
        <v>-223.32</v>
      </c>
      <c r="S56" s="18" t="n">
        <v>-526.23</v>
      </c>
      <c r="T56" s="18" t="n">
        <v>-3201.06</v>
      </c>
      <c r="U56" s="34" t="n">
        <v>-6243.7</v>
      </c>
      <c r="V56" s="18" t="n">
        <v>1630.7</v>
      </c>
      <c r="W56" s="18" t="n">
        <v>-319.64</v>
      </c>
      <c r="X56" s="18" t="n">
        <v>-173.6</v>
      </c>
      <c r="Y56" s="18" t="n">
        <v>-475.03</v>
      </c>
      <c r="Z56" s="34" t="n">
        <v>662.4299999999999</v>
      </c>
      <c r="AA56" s="18" t="n">
        <v>21.31</v>
      </c>
      <c r="AB56" s="19" t="n">
        <v>-21.67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-3039.04</v>
      </c>
      <c r="F57" s="9" t="n"/>
      <c r="G57" s="18" t="n">
        <v>-7.26</v>
      </c>
      <c r="H57" s="18" t="n">
        <v>21.46</v>
      </c>
      <c r="I57" s="18" t="n">
        <v>20.6</v>
      </c>
      <c r="J57" s="18" t="n">
        <v>-13183.02</v>
      </c>
      <c r="K57" s="34" t="n">
        <v>-13148.22</v>
      </c>
      <c r="L57" s="18" t="n">
        <v>326.97</v>
      </c>
      <c r="M57" s="18" t="n">
        <v>-35.81</v>
      </c>
      <c r="N57" s="18" t="n">
        <v>-2613.91</v>
      </c>
      <c r="O57" s="18" t="n">
        <v>-2376.36</v>
      </c>
      <c r="P57" s="34" t="n">
        <v>-4699.11</v>
      </c>
      <c r="Q57" s="18" t="n">
        <v>25.34</v>
      </c>
      <c r="R57" s="18" t="n">
        <v>44.8</v>
      </c>
      <c r="S57" s="18" t="n">
        <v>38.04</v>
      </c>
      <c r="T57" s="18" t="n">
        <v>-13231.97</v>
      </c>
      <c r="U57" s="34" t="n">
        <v>-13123.79</v>
      </c>
      <c r="V57" s="18" t="n">
        <v>173.42</v>
      </c>
      <c r="W57" s="18" t="n">
        <v>2.76</v>
      </c>
      <c r="X57" s="18" t="n">
        <v>-34.53</v>
      </c>
      <c r="Y57" s="18" t="n">
        <v>-194.8</v>
      </c>
      <c r="Z57" s="34" t="n">
        <v>-53.15</v>
      </c>
      <c r="AA57" s="18" t="n">
        <v>2.25</v>
      </c>
      <c r="AB57" s="19" t="n">
        <v>-4213.73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(지배주주지분)당기순이익</t>
        </is>
      </c>
      <c r="E58" s="18" t="n">
        <v>1324.15</v>
      </c>
      <c r="F58" s="9" t="n"/>
      <c r="G58" s="18" t="n">
        <v>-3018.58</v>
      </c>
      <c r="H58" s="18" t="n">
        <v>-8373.76</v>
      </c>
      <c r="I58" s="18" t="n">
        <v>3566.09</v>
      </c>
      <c r="J58" s="18" t="n">
        <v>-33942.7</v>
      </c>
      <c r="K58" s="34" t="n">
        <v>-41768.95</v>
      </c>
      <c r="L58" s="18" t="n">
        <v>-3605.17</v>
      </c>
      <c r="M58" s="18" t="n">
        <v>1118.85</v>
      </c>
      <c r="N58" s="18" t="n">
        <v>-5132.78</v>
      </c>
      <c r="O58" s="18" t="n">
        <v>-8604.17</v>
      </c>
      <c r="P58" s="34" t="n">
        <v>-16223.27</v>
      </c>
      <c r="Q58" s="18" t="n">
        <v>-3184.32</v>
      </c>
      <c r="R58" s="18" t="n">
        <v>-1750.3</v>
      </c>
      <c r="S58" s="18" t="n">
        <v>-1096.86</v>
      </c>
      <c r="T58" s="18" t="n">
        <v>-20798.8</v>
      </c>
      <c r="U58" s="34" t="n">
        <v>-26830.28</v>
      </c>
      <c r="V58" s="18" t="n">
        <v>685.52</v>
      </c>
      <c r="W58" s="18" t="n">
        <v>1137.88</v>
      </c>
      <c r="X58" s="18" t="n">
        <v>-672.42</v>
      </c>
      <c r="Y58" s="18" t="n">
        <v>-310.88</v>
      </c>
      <c r="Z58" s="34" t="n">
        <v>840.1</v>
      </c>
      <c r="AA58" s="18" t="n">
        <v>-296.08</v>
      </c>
      <c r="AB58" s="19" t="n">
        <v>-3353.01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계속사업이익</t>
        </is>
      </c>
      <c r="E59" s="18" t="n">
        <v>1324.15</v>
      </c>
      <c r="F59" s="9" t="n"/>
      <c r="G59" s="18" t="n">
        <v>-3018.58</v>
      </c>
      <c r="H59" s="18" t="n">
        <v>-8373.76</v>
      </c>
      <c r="I59" s="18" t="n">
        <v>3566.09</v>
      </c>
      <c r="J59" s="18" t="n">
        <v>-33942.7</v>
      </c>
      <c r="K59" s="34" t="n">
        <v>-41768.95</v>
      </c>
      <c r="L59" s="18" t="n">
        <v>-3605.17</v>
      </c>
      <c r="M59" s="18" t="n">
        <v>1118.85</v>
      </c>
      <c r="N59" s="18" t="n">
        <v>-5132.78</v>
      </c>
      <c r="O59" s="18" t="n">
        <v>-8604.17</v>
      </c>
      <c r="P59" s="34" t="n">
        <v>-16223.27</v>
      </c>
      <c r="Q59" s="18" t="n">
        <v>-3184.32</v>
      </c>
      <c r="R59" s="18" t="n">
        <v>-1750.3</v>
      </c>
      <c r="S59" s="18" t="n">
        <v>-1096.86</v>
      </c>
      <c r="T59" s="18" t="n">
        <v>-20798.8</v>
      </c>
      <c r="U59" s="34" t="n">
        <v>-26830.28</v>
      </c>
      <c r="V59" s="18" t="n">
        <v>685.52</v>
      </c>
      <c r="W59" s="18" t="n">
        <v>1137.88</v>
      </c>
      <c r="X59" s="18" t="n">
        <v>-672.42</v>
      </c>
      <c r="Y59" s="18" t="n">
        <v>-310.88</v>
      </c>
      <c r="Z59" s="34" t="n">
        <v>840.1</v>
      </c>
      <c r="AA59" s="18" t="n">
        <v>-296.08</v>
      </c>
      <c r="AB59" s="19" t="n">
        <v>-3353.01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종속기업,공동지배기업및관계기업관련손익</t>
        </is>
      </c>
      <c r="F60" s="9" t="n"/>
      <c r="H60" s="18" t="n">
        <v>10.3</v>
      </c>
      <c r="I60" s="18" t="n">
        <v>-321.33</v>
      </c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지분법관련손익</t>
        </is>
      </c>
      <c r="F61" s="9" t="n"/>
      <c r="H61" s="18" t="n">
        <v>10.3</v>
      </c>
      <c r="I61" s="18" t="n">
        <v>-321.33</v>
      </c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영업활동으로인한현금흐름</t>
        </is>
      </c>
      <c r="E62" s="18" t="n">
        <v>4625.11</v>
      </c>
      <c r="F62" s="9" t="n"/>
      <c r="G62" s="18" t="n">
        <v>-1876.93</v>
      </c>
      <c r="H62" s="18" t="n">
        <v>-2471.7</v>
      </c>
      <c r="I62" s="18" t="n">
        <v>-532.79</v>
      </c>
      <c r="J62" s="18" t="n">
        <v>-2334.32</v>
      </c>
      <c r="K62" s="34" t="n">
        <v>-7215.74</v>
      </c>
      <c r="L62" s="18" t="n">
        <v>-3330.42</v>
      </c>
      <c r="M62" s="18" t="n">
        <v>-1598.54</v>
      </c>
      <c r="N62" s="18" t="n">
        <v>-2786.54</v>
      </c>
      <c r="O62" s="18" t="n">
        <v>3183.91</v>
      </c>
      <c r="P62" s="34" t="n">
        <v>-4531.59</v>
      </c>
      <c r="Q62" s="18" t="n">
        <v>-1886.85</v>
      </c>
      <c r="R62" s="18" t="n">
        <v>2705.29</v>
      </c>
      <c r="S62" s="18" t="n">
        <v>217.11</v>
      </c>
      <c r="T62" s="18" t="n">
        <v>2685.66</v>
      </c>
      <c r="U62" s="34" t="n">
        <v>3721.21</v>
      </c>
      <c r="V62" s="18" t="n">
        <v>-6821.69</v>
      </c>
      <c r="W62" s="18" t="n">
        <v>53.31</v>
      </c>
      <c r="X62" s="18" t="n">
        <v>-289.94</v>
      </c>
      <c r="Y62" s="18" t="n">
        <v>456.12</v>
      </c>
      <c r="Z62" s="34" t="n">
        <v>-6602.2</v>
      </c>
      <c r="AA62" s="18" t="n">
        <v>-383.07</v>
      </c>
      <c r="AB62" s="19" t="n">
        <v>-30.94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이자수취(CF)</t>
        </is>
      </c>
      <c r="E63" s="18" t="n">
        <v>46.44</v>
      </c>
      <c r="F63" s="9" t="n"/>
      <c r="G63" s="18" t="n">
        <v>28.85</v>
      </c>
      <c r="H63" s="18" t="n">
        <v>77.87</v>
      </c>
      <c r="I63" s="18" t="n">
        <v>116.82</v>
      </c>
      <c r="J63" s="18" t="n">
        <v>276.14</v>
      </c>
      <c r="K63" s="34" t="n">
        <v>499.68</v>
      </c>
      <c r="L63" s="18" t="n">
        <v>47.76</v>
      </c>
      <c r="M63" s="18" t="n">
        <v>24.75</v>
      </c>
      <c r="N63" s="18" t="n">
        <v>24.57</v>
      </c>
      <c r="O63" s="18" t="n">
        <v>20.23</v>
      </c>
      <c r="P63" s="34" t="n">
        <v>117.31</v>
      </c>
      <c r="Q63" s="18" t="n">
        <v>20.18</v>
      </c>
      <c r="R63" s="18" t="n">
        <v>19.49</v>
      </c>
      <c r="S63" s="18" t="n">
        <v>14.91</v>
      </c>
      <c r="T63" s="18" t="n">
        <v>15.57</v>
      </c>
      <c r="U63" s="34" t="n">
        <v>70.15000000000001</v>
      </c>
      <c r="V63" s="18" t="n">
        <v>15.14</v>
      </c>
      <c r="W63" s="18" t="n">
        <v>4</v>
      </c>
      <c r="X63" s="18" t="n">
        <v>-16.93</v>
      </c>
      <c r="Y63" s="18" t="n">
        <v>22.62</v>
      </c>
      <c r="Z63" s="34" t="n">
        <v>24.83</v>
      </c>
      <c r="AA63" s="18" t="n">
        <v>0.77</v>
      </c>
      <c r="AB63" s="19" t="n">
        <v>0.78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이자지급(CF)</t>
        </is>
      </c>
      <c r="E64" s="18" t="n">
        <v>-78.47</v>
      </c>
      <c r="F64" s="9" t="n"/>
      <c r="G64" s="18" t="n">
        <v>-94.19</v>
      </c>
      <c r="H64" s="18" t="n">
        <v>-109.72</v>
      </c>
      <c r="I64" s="18" t="n">
        <v>-120.12</v>
      </c>
      <c r="J64" s="18" t="n">
        <v>-161.65</v>
      </c>
      <c r="K64" s="34" t="n">
        <v>-485.68</v>
      </c>
      <c r="L64" s="18" t="n">
        <v>-182.17</v>
      </c>
      <c r="M64" s="18" t="n">
        <v>-203.87</v>
      </c>
      <c r="P64" s="9" t="n"/>
      <c r="Q64" s="18" t="n">
        <v>-148.93</v>
      </c>
      <c r="U64" s="9" t="n"/>
      <c r="V64" s="18" t="n">
        <v>-190.83</v>
      </c>
      <c r="Z64" s="9" t="n"/>
      <c r="AA64" s="18" t="n">
        <v>99.48999999999999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-0.44</v>
      </c>
      <c r="F65" s="9" t="n"/>
      <c r="G65" s="18" t="n">
        <v>-2.48</v>
      </c>
      <c r="H65" s="18" t="n">
        <v>9.119999999999999</v>
      </c>
      <c r="I65" s="18" t="n">
        <v>-26.09</v>
      </c>
      <c r="J65" s="18" t="n">
        <v>-24.87</v>
      </c>
      <c r="K65" s="34" t="n">
        <v>-44.32</v>
      </c>
      <c r="L65" s="18" t="n">
        <v>-0.13</v>
      </c>
      <c r="M65" s="18" t="n">
        <v>54.49</v>
      </c>
      <c r="N65" s="18" t="n">
        <v>-0.05</v>
      </c>
      <c r="O65" s="18" t="n">
        <v>-0.09</v>
      </c>
      <c r="P65" s="34" t="n">
        <v>54.22</v>
      </c>
      <c r="Q65" s="18" t="n">
        <v>-0.05</v>
      </c>
      <c r="R65" s="18" t="n">
        <v>0.25</v>
      </c>
      <c r="S65" s="18" t="n">
        <v>-0.04</v>
      </c>
      <c r="T65" s="18" t="n">
        <v>28.53</v>
      </c>
      <c r="U65" s="34" t="n">
        <v>28.69</v>
      </c>
      <c r="V65" s="18" t="n">
        <v>-0.02</v>
      </c>
      <c r="W65" s="18" t="n">
        <v>0.1</v>
      </c>
      <c r="X65" s="18" t="n">
        <v>-0.01</v>
      </c>
      <c r="Y65" s="18" t="n">
        <v>-0.03</v>
      </c>
      <c r="Z65" s="34" t="n">
        <v>0.04</v>
      </c>
      <c r="AA65" s="18" t="n">
        <v>-0.12</v>
      </c>
      <c r="AB65" s="19" t="n">
        <v>0.27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-5301.6</v>
      </c>
      <c r="F66" s="9" t="n"/>
      <c r="G66" s="18" t="n">
        <v>1371.72</v>
      </c>
      <c r="H66" s="18" t="n">
        <v>-11226.16</v>
      </c>
      <c r="I66" s="18" t="n">
        <v>-3996.09</v>
      </c>
      <c r="J66" s="18" t="n">
        <v>3153.04</v>
      </c>
      <c r="K66" s="34" t="n">
        <v>-10697.49</v>
      </c>
      <c r="L66" s="18" t="n">
        <v>177.93</v>
      </c>
      <c r="M66" s="18" t="n">
        <v>-172.31</v>
      </c>
      <c r="N66" s="18" t="n">
        <v>-1466.45</v>
      </c>
      <c r="O66" s="18" t="n">
        <v>-564.15</v>
      </c>
      <c r="P66" s="34" t="n">
        <v>-2024.98</v>
      </c>
      <c r="Q66" s="18" t="n">
        <v>-626.96</v>
      </c>
      <c r="R66" s="18" t="n">
        <v>-2950.89</v>
      </c>
      <c r="S66" s="18" t="n">
        <v>-230.2</v>
      </c>
      <c r="T66" s="18" t="n">
        <v>2905</v>
      </c>
      <c r="U66" s="34" t="n">
        <v>-903.05</v>
      </c>
      <c r="V66" s="18" t="n">
        <v>249.77</v>
      </c>
      <c r="W66" s="18" t="n">
        <v>-44.3</v>
      </c>
      <c r="X66" s="18" t="n">
        <v>7442.68</v>
      </c>
      <c r="Y66" s="18" t="n">
        <v>-1498.61</v>
      </c>
      <c r="Z66" s="34" t="n">
        <v>6149.54</v>
      </c>
      <c r="AA66" s="18" t="n">
        <v>1301.95</v>
      </c>
      <c r="AB66" s="19" t="n">
        <v>-963.01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유형자산의증가</t>
        </is>
      </c>
      <c r="E67" s="18" t="n">
        <v>19.16</v>
      </c>
      <c r="F67" s="9" t="n"/>
      <c r="G67" s="18" t="n">
        <v>27.25</v>
      </c>
      <c r="H67" s="18" t="n">
        <v>7.76</v>
      </c>
      <c r="I67" s="18" t="n">
        <v>93.90000000000001</v>
      </c>
      <c r="J67" s="18" t="n">
        <v>132.05</v>
      </c>
      <c r="K67" s="34" t="n">
        <v>260.96</v>
      </c>
      <c r="L67" s="18" t="n">
        <v>10.84</v>
      </c>
      <c r="M67" s="18" t="n">
        <v>35.62</v>
      </c>
      <c r="N67" s="18" t="n">
        <v>233.64</v>
      </c>
      <c r="O67" s="18" t="n">
        <v>116.45</v>
      </c>
      <c r="P67" s="34" t="n">
        <v>396.55</v>
      </c>
      <c r="Q67" s="18" t="n">
        <v>38.48</v>
      </c>
      <c r="R67" s="18" t="n">
        <v>68.63</v>
      </c>
      <c r="S67" s="18" t="n">
        <v>80</v>
      </c>
      <c r="T67" s="18" t="n">
        <v>3.5</v>
      </c>
      <c r="U67" s="34" t="n">
        <v>190.61</v>
      </c>
      <c r="V67" s="18" t="n">
        <v>41.5</v>
      </c>
      <c r="W67" s="18" t="n">
        <v>0</v>
      </c>
      <c r="X67" s="18" t="n">
        <v>2.58</v>
      </c>
      <c r="Y67" s="18" t="n">
        <v>10</v>
      </c>
      <c r="Z67" s="34" t="n">
        <v>54.08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CAPEX</t>
        </is>
      </c>
      <c r="E68" s="18" t="n">
        <v>1432.03</v>
      </c>
      <c r="F68" s="9" t="n"/>
      <c r="G68" s="18" t="n">
        <v>708.4299999999999</v>
      </c>
      <c r="H68" s="18" t="n">
        <v>154.6</v>
      </c>
      <c r="I68" s="18" t="n">
        <v>637.5</v>
      </c>
      <c r="J68" s="18" t="n">
        <v>1113.31</v>
      </c>
      <c r="K68" s="34" t="n">
        <v>2613.84</v>
      </c>
      <c r="L68" s="18" t="n">
        <v>10.84</v>
      </c>
      <c r="M68" s="18" t="n">
        <v>1504.48</v>
      </c>
      <c r="N68" s="18" t="n">
        <v>233.64</v>
      </c>
      <c r="O68" s="18" t="n">
        <v>540.54</v>
      </c>
      <c r="P68" s="34" t="n">
        <v>2289.5</v>
      </c>
      <c r="Q68" s="18" t="n">
        <v>194.91</v>
      </c>
      <c r="R68" s="18" t="n">
        <v>181.35</v>
      </c>
      <c r="S68" s="18" t="n">
        <v>80</v>
      </c>
      <c r="T68" s="18" t="n">
        <v>3.5</v>
      </c>
      <c r="U68" s="34" t="n">
        <v>459.76</v>
      </c>
      <c r="V68" s="18" t="n">
        <v>41.5</v>
      </c>
      <c r="W68" s="18" t="n">
        <v>0</v>
      </c>
      <c r="X68" s="18" t="n">
        <v>2.58</v>
      </c>
      <c r="Y68" s="18" t="n">
        <v>10</v>
      </c>
      <c r="Z68" s="34" t="n">
        <v>54.08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유형자산의감소</t>
        </is>
      </c>
      <c r="E69" s="18" t="n">
        <v>0</v>
      </c>
      <c r="F69" s="9" t="n"/>
      <c r="K69" s="9" t="n"/>
      <c r="N69" s="18" t="n">
        <v>0</v>
      </c>
      <c r="O69" s="18" t="n">
        <v>0</v>
      </c>
      <c r="P69" s="9" t="n"/>
      <c r="S69" s="18" t="n">
        <v>0</v>
      </c>
      <c r="U69" s="9" t="n"/>
      <c r="V69" s="18" t="n">
        <v>32.36</v>
      </c>
      <c r="W69" s="18" t="n">
        <v>0</v>
      </c>
      <c r="X69" s="18" t="n">
        <v>7489.73</v>
      </c>
      <c r="Y69" s="18" t="n">
        <v>0</v>
      </c>
      <c r="Z69" s="34" t="n">
        <v>7522.09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무형자산의증가</t>
        </is>
      </c>
      <c r="E70" s="18" t="n">
        <v>1412.87</v>
      </c>
      <c r="F70" s="9" t="n"/>
      <c r="G70" s="18" t="n">
        <v>681.1799999999999</v>
      </c>
      <c r="H70" s="18" t="n">
        <v>146.84</v>
      </c>
      <c r="I70" s="18" t="n">
        <v>543.6</v>
      </c>
      <c r="J70" s="18" t="n">
        <v>981.26</v>
      </c>
      <c r="K70" s="34" t="n">
        <v>2352.88</v>
      </c>
      <c r="N70" s="18" t="n">
        <v>0</v>
      </c>
      <c r="O70" s="18" t="n">
        <v>424.09</v>
      </c>
      <c r="P70" s="9" t="n"/>
      <c r="Q70" s="18" t="n">
        <v>156.43</v>
      </c>
      <c r="R70" s="18" t="n">
        <v>112.72</v>
      </c>
      <c r="S70" s="18" t="n">
        <v>0</v>
      </c>
      <c r="T70" s="18" t="n">
        <v>0</v>
      </c>
      <c r="U70" s="34" t="n">
        <v>269.15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-1623.97</v>
      </c>
      <c r="F71" s="9" t="n"/>
      <c r="G71" s="18" t="n">
        <v>20004.16</v>
      </c>
      <c r="H71" s="18" t="n">
        <v>287.5</v>
      </c>
      <c r="I71" s="18" t="n">
        <v>2305.42</v>
      </c>
      <c r="J71" s="18" t="n">
        <v>-1048.98</v>
      </c>
      <c r="K71" s="34" t="n">
        <v>21548.1</v>
      </c>
      <c r="L71" s="18" t="n">
        <v>-144.39</v>
      </c>
      <c r="M71" s="18" t="n">
        <v>334.27</v>
      </c>
      <c r="N71" s="18" t="n">
        <v>4913.08</v>
      </c>
      <c r="O71" s="18" t="n">
        <v>-2100.99</v>
      </c>
      <c r="P71" s="34" t="n">
        <v>3001.97</v>
      </c>
      <c r="Q71" s="18" t="n">
        <v>170.82</v>
      </c>
      <c r="R71" s="18" t="n">
        <v>-72.06999999999999</v>
      </c>
      <c r="S71" s="18" t="n">
        <v>3633.04</v>
      </c>
      <c r="T71" s="18" t="n">
        <v>-2386.55</v>
      </c>
      <c r="U71" s="34" t="n">
        <v>1345.24</v>
      </c>
      <c r="V71" s="18" t="n">
        <v>-264.66</v>
      </c>
      <c r="W71" s="18" t="n">
        <v>-80.5</v>
      </c>
      <c r="X71" s="18" t="n">
        <v>-6938.14</v>
      </c>
      <c r="Y71" s="18" t="n">
        <v>1378.16</v>
      </c>
      <c r="Z71" s="34" t="n">
        <v>-5905.14</v>
      </c>
      <c r="AA71" s="18" t="n">
        <v>-1444.78</v>
      </c>
      <c r="AB71" s="19" t="n">
        <v>969.86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I72" s="18" t="n">
        <v>11000</v>
      </c>
      <c r="J72" s="18" t="n">
        <v>0</v>
      </c>
      <c r="K72" s="9" t="n"/>
      <c r="N72" s="18" t="n">
        <v>0</v>
      </c>
      <c r="O72" s="18" t="n">
        <v>0</v>
      </c>
      <c r="P72" s="9" t="n"/>
      <c r="U72" s="9" t="n"/>
      <c r="V72" s="18" t="n">
        <v>400</v>
      </c>
      <c r="W72" s="18" t="n">
        <v>0</v>
      </c>
      <c r="X72" s="18" t="n">
        <v>0</v>
      </c>
      <c r="Y72" s="18" t="n">
        <v>0</v>
      </c>
      <c r="Z72" s="34" t="n">
        <v>400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리스부채의상환</t>
        </is>
      </c>
      <c r="E73" s="18" t="n">
        <v>55.49</v>
      </c>
      <c r="F73" s="9" t="n"/>
      <c r="G73" s="18" t="n">
        <v>55.37</v>
      </c>
      <c r="H73" s="18" t="n">
        <v>53.58</v>
      </c>
      <c r="I73" s="18" t="n">
        <v>84.87</v>
      </c>
      <c r="J73" s="18" t="n">
        <v>258.08</v>
      </c>
      <c r="K73" s="34" t="n">
        <v>451.9</v>
      </c>
      <c r="L73" s="18" t="n">
        <v>144.39</v>
      </c>
      <c r="M73" s="18" t="n">
        <v>145.73</v>
      </c>
      <c r="N73" s="18" t="n">
        <v>139.67</v>
      </c>
      <c r="O73" s="18" t="n">
        <v>104.35</v>
      </c>
      <c r="P73" s="34" t="n">
        <v>534.14</v>
      </c>
      <c r="Q73" s="18" t="n">
        <v>76.38</v>
      </c>
      <c r="R73" s="18" t="n">
        <v>72.06999999999999</v>
      </c>
      <c r="S73" s="18" t="n">
        <v>66.97</v>
      </c>
      <c r="T73" s="18" t="n">
        <v>71.54000000000001</v>
      </c>
      <c r="U73" s="34" t="n">
        <v>286.96</v>
      </c>
      <c r="V73" s="18" t="n">
        <v>64.61</v>
      </c>
      <c r="W73" s="18" t="n">
        <v>40.64</v>
      </c>
      <c r="X73" s="18" t="n">
        <v>38.14</v>
      </c>
      <c r="Y73" s="18" t="n">
        <v>35.82</v>
      </c>
      <c r="Z73" s="34" t="n">
        <v>179.21</v>
      </c>
      <c r="AA73" s="18" t="n">
        <v>30.78</v>
      </c>
      <c r="AB73" s="19" t="n">
        <v>30.14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자기주식의취득</t>
        </is>
      </c>
      <c r="E74" s="18" t="n">
        <v>2029.9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현금및현금성자산의증감</t>
        </is>
      </c>
      <c r="E76" s="18" t="n">
        <v>-2306.01</v>
      </c>
      <c r="F76" s="9" t="n"/>
      <c r="G76" s="18" t="n">
        <v>19494.43</v>
      </c>
      <c r="H76" s="18" t="n">
        <v>-13384.75</v>
      </c>
      <c r="I76" s="18" t="n">
        <v>-2180.11</v>
      </c>
      <c r="J76" s="18" t="n">
        <v>-316.49</v>
      </c>
      <c r="K76" s="34" t="n">
        <v>3613.08</v>
      </c>
      <c r="L76" s="18" t="n">
        <v>-3297.15</v>
      </c>
      <c r="M76" s="18" t="n">
        <v>-1435.23</v>
      </c>
      <c r="N76" s="18" t="n">
        <v>659.91</v>
      </c>
      <c r="O76" s="18" t="n">
        <v>514.3200000000001</v>
      </c>
      <c r="P76" s="34" t="n">
        <v>-3558.15</v>
      </c>
      <c r="Q76" s="18" t="n">
        <v>-2342.92</v>
      </c>
      <c r="R76" s="18" t="n">
        <v>-316</v>
      </c>
      <c r="S76" s="18" t="n">
        <v>3615.28</v>
      </c>
      <c r="T76" s="18" t="n">
        <v>3208.94</v>
      </c>
      <c r="U76" s="34" t="n">
        <v>4165.3</v>
      </c>
      <c r="V76" s="18" t="n">
        <v>-6836.19</v>
      </c>
      <c r="W76" s="18" t="n">
        <v>-73.44</v>
      </c>
      <c r="X76" s="18" t="n">
        <v>216.61</v>
      </c>
      <c r="Y76" s="18" t="n">
        <v>328.01</v>
      </c>
      <c r="Z76" s="34" t="n">
        <v>-6365.01</v>
      </c>
      <c r="AA76" s="18" t="n">
        <v>-524.01</v>
      </c>
      <c r="AB76" s="19" t="n">
        <v>-25.11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기말현금및현금성자산</t>
        </is>
      </c>
      <c r="E77" s="18" t="n">
        <v>-2306.02</v>
      </c>
      <c r="F77" s="9" t="n"/>
      <c r="G77" s="18" t="n">
        <v>22756.68</v>
      </c>
      <c r="H77" s="18" t="n">
        <v>-13384.76</v>
      </c>
      <c r="I77" s="18" t="n">
        <v>-2180.11</v>
      </c>
      <c r="J77" s="18" t="n">
        <v>-316.49</v>
      </c>
      <c r="K77" s="34" t="n">
        <v>6875.32</v>
      </c>
      <c r="L77" s="18" t="n">
        <v>3578.17</v>
      </c>
      <c r="M77" s="18" t="n">
        <v>-1435.23</v>
      </c>
      <c r="N77" s="18" t="n">
        <v>659.91</v>
      </c>
      <c r="O77" s="18" t="n">
        <v>514.3200000000001</v>
      </c>
      <c r="P77" s="34" t="n">
        <v>3317.17</v>
      </c>
      <c r="Q77" s="18" t="n">
        <v>974.26</v>
      </c>
      <c r="R77" s="18" t="n">
        <v>-316</v>
      </c>
      <c r="S77" s="18" t="n">
        <v>3615.28</v>
      </c>
      <c r="T77" s="18" t="n">
        <v>3208.93</v>
      </c>
      <c r="U77" s="34" t="n">
        <v>7482.47</v>
      </c>
      <c r="V77" s="18" t="n">
        <v>646.28</v>
      </c>
      <c r="W77" s="18" t="n">
        <v>-73.44</v>
      </c>
      <c r="X77" s="18" t="n">
        <v>216.62</v>
      </c>
      <c r="Y77" s="18" t="n">
        <v>328</v>
      </c>
      <c r="Z77" s="34" t="n">
        <v>1117.46</v>
      </c>
      <c r="AA77" s="18" t="n">
        <v>593.46</v>
      </c>
      <c r="AB77" s="19" t="n">
        <v>-25.12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F78" s="9" t="n"/>
      <c r="I78" s="18" t="n">
        <v>9000</v>
      </c>
      <c r="J78" s="18" t="n">
        <v>0</v>
      </c>
      <c r="K78" s="9" t="n"/>
      <c r="N78" s="18" t="n">
        <v>2000</v>
      </c>
      <c r="O78" s="18" t="n">
        <v>1480.01</v>
      </c>
      <c r="P78" s="9" t="n"/>
      <c r="U78" s="9" t="n"/>
      <c r="V78" s="18" t="n">
        <v>100.05</v>
      </c>
      <c r="W78" s="18" t="n">
        <v>39.86</v>
      </c>
      <c r="X78" s="18" t="n">
        <v>0</v>
      </c>
      <c r="Y78" s="18" t="n">
        <v>0.02</v>
      </c>
      <c r="Z78" s="34" t="n">
        <v>139.93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무형자산의감소</t>
        </is>
      </c>
      <c r="F79" s="9" t="n"/>
      <c r="K79" s="9" t="n"/>
      <c r="L79" s="18" t="n">
        <v>509.09</v>
      </c>
      <c r="M79" s="18" t="n">
        <v>0</v>
      </c>
      <c r="N79" s="18" t="n">
        <v>0</v>
      </c>
      <c r="O79" s="18" t="n">
        <v>0</v>
      </c>
      <c r="P79" s="34" t="n">
        <v>509.09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F80" s="9" t="n"/>
      <c r="K80" s="9" t="n"/>
      <c r="P80" s="9" t="n"/>
      <c r="U80" s="9" t="n"/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0.255</v>
      </c>
      <c r="F10" s="34" t="n"/>
      <c r="G10" s="18" t="n">
        <v>-0.7658</v>
      </c>
      <c r="H10" s="18" t="n">
        <v>-0.831</v>
      </c>
      <c r="I10" s="18" t="n">
        <v>-0.1909</v>
      </c>
      <c r="J10" s="18" t="n">
        <v>-0.7259</v>
      </c>
      <c r="K10" s="34">
        <f>SUM(G10:J10)</f>
        <v/>
      </c>
      <c r="L10" s="18" t="n">
        <v>-0.348</v>
      </c>
      <c r="M10" s="18" t="n">
        <v>-0.0175</v>
      </c>
      <c r="N10" s="18" t="n">
        <v>-0.1821</v>
      </c>
      <c r="O10" s="18" t="n">
        <v>-0.2263</v>
      </c>
      <c r="P10" s="34">
        <f>SUM(L10:O10)</f>
        <v/>
      </c>
      <c r="Q10" s="18" t="n">
        <v>-0.2171</v>
      </c>
      <c r="R10" s="18" t="n">
        <v>-0.1661</v>
      </c>
      <c r="S10" s="18" t="n">
        <v>-0.1213</v>
      </c>
      <c r="T10" s="18" t="n">
        <v>-0.1613</v>
      </c>
      <c r="U10" s="34">
        <f>SUM(Q10:T10)</f>
        <v/>
      </c>
      <c r="V10" s="18" t="n">
        <v>-0.2816</v>
      </c>
      <c r="W10" s="18" t="n">
        <v>0.1761</v>
      </c>
      <c r="X10" s="18" t="n">
        <v>-0.0536</v>
      </c>
      <c r="Y10" s="18" t="n">
        <v>0.0165</v>
      </c>
      <c r="Z10" s="34">
        <f>SUM(V10:Y10)</f>
        <v/>
      </c>
      <c r="AA10" s="18" t="n">
        <v>-0.0635</v>
      </c>
      <c r="AB10" s="19" t="n">
        <v>0.1419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951.13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198.93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752.2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752.2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4" t="n">
        <v>130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4" t="n">
        <v>97.38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4" t="n">
        <v>37.67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4" t="n">
        <v>32.62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4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 t="n"/>
      <c r="AB26" s="19" t="n"/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46.25</v>
      </c>
      <c r="F27" s="34" t="n"/>
      <c r="G27" s="18" t="n">
        <v>-18.77</v>
      </c>
      <c r="H27" s="18" t="n">
        <v>-24.72</v>
      </c>
      <c r="I27" s="18" t="n">
        <v>-5.33</v>
      </c>
      <c r="J27" s="18" t="n">
        <v>-23.34</v>
      </c>
      <c r="K27" s="34">
        <f>SUM(G27:J27)</f>
        <v/>
      </c>
      <c r="L27" s="18" t="n">
        <v>-33.3</v>
      </c>
      <c r="M27" s="18" t="n">
        <v>-15.99</v>
      </c>
      <c r="N27" s="18" t="n">
        <v>-27.87</v>
      </c>
      <c r="O27" s="18" t="n">
        <v>31.84</v>
      </c>
      <c r="P27" s="34">
        <f>SUM(L27:O27)</f>
        <v/>
      </c>
      <c r="Q27" s="18" t="n">
        <v>-18.87</v>
      </c>
      <c r="R27" s="18" t="n">
        <v>27.05</v>
      </c>
      <c r="S27" s="18" t="n">
        <v>2.17</v>
      </c>
      <c r="T27" s="18" t="n">
        <v>26.86</v>
      </c>
      <c r="U27" s="34">
        <f>SUM(Q27:T27)</f>
        <v/>
      </c>
      <c r="V27" s="18" t="n">
        <v>-68.22</v>
      </c>
      <c r="W27" s="18" t="n">
        <v>0.53</v>
      </c>
      <c r="X27" s="18" t="n">
        <v>-2.9</v>
      </c>
      <c r="Y27" s="18" t="n">
        <v>4.56</v>
      </c>
      <c r="Z27" s="34">
        <f>SUM(V27:Y27)</f>
        <v/>
      </c>
      <c r="AA27" s="18" t="n">
        <v>-3.83</v>
      </c>
      <c r="AB27" s="19" t="n">
        <v>-0.31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10.206</v>
      </c>
      <c r="F28" s="27">
        <f>E28</f>
        <v/>
      </c>
      <c r="G28" s="26" t="n">
        <v>10.206</v>
      </c>
      <c r="H28" s="26" t="n">
        <v>10.206</v>
      </c>
      <c r="I28" s="26" t="n">
        <v>10.206</v>
      </c>
      <c r="J28" s="26" t="n">
        <v>10.206</v>
      </c>
      <c r="K28" s="27">
        <f>J28</f>
        <v/>
      </c>
      <c r="L28" s="26" t="n">
        <v>10.206</v>
      </c>
      <c r="M28" s="26" t="n">
        <v>10.833</v>
      </c>
      <c r="N28" s="26" t="n">
        <v>10.833</v>
      </c>
      <c r="O28" s="26" t="n">
        <v>12.323</v>
      </c>
      <c r="P28" s="27">
        <f>O28</f>
        <v/>
      </c>
      <c r="Q28" s="26" t="n">
        <v>12.323</v>
      </c>
      <c r="R28" s="26" t="n">
        <v>13.361</v>
      </c>
      <c r="S28" s="26" t="n">
        <v>13.361</v>
      </c>
      <c r="T28" s="26" t="n">
        <v>15.925</v>
      </c>
      <c r="U28" s="27">
        <f>T28</f>
        <v/>
      </c>
      <c r="V28" s="26" t="n">
        <v>15.925</v>
      </c>
      <c r="W28" s="26" t="n">
        <v>16.094</v>
      </c>
      <c r="X28" s="26" t="n">
        <v>16.094</v>
      </c>
      <c r="Y28" s="26" t="n">
        <v>16.094</v>
      </c>
      <c r="Z28" s="27">
        <f>Y28</f>
        <v/>
      </c>
      <c r="AA28" s="26" t="n">
        <v>16.094</v>
      </c>
      <c r="AB28" s="28" t="n">
        <v>16.094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/>
      <c r="T32" s="18" t="n"/>
      <c r="U32" s="34">
        <f>SUM(Q32:T32)</f>
        <v/>
      </c>
      <c r="V32" s="18" t="n"/>
      <c r="W32" s="18" t="n"/>
      <c r="X32" s="18" t="n"/>
      <c r="Y32" s="18" t="n">
        <v>14.52</v>
      </c>
      <c r="Z32" s="34">
        <f>SUM(V32:Y32)</f>
        <v/>
      </c>
      <c r="AA32" s="18" t="n"/>
      <c r="AB32" s="19" t="n"/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1.08</v>
      </c>
      <c r="F33" s="34" t="n">
        <v>1.04</v>
      </c>
      <c r="G33" s="18" t="n">
        <v>0.99</v>
      </c>
      <c r="H33" s="18" t="n">
        <v>0.93</v>
      </c>
      <c r="I33" s="18" t="n">
        <v>1</v>
      </c>
      <c r="J33" s="18" t="n">
        <v>1.56</v>
      </c>
      <c r="K33" s="34">
        <f>SUM(G33:J33)</f>
        <v/>
      </c>
      <c r="L33" s="18" t="n">
        <v>1.42</v>
      </c>
      <c r="M33" s="18" t="n">
        <v>1.24</v>
      </c>
      <c r="N33" s="18" t="n">
        <v>1.37</v>
      </c>
      <c r="O33" s="18" t="n">
        <v>1.32</v>
      </c>
      <c r="P33" s="34">
        <f>SUM(L33:O33)</f>
        <v/>
      </c>
      <c r="Q33" s="18" t="n">
        <v>1.21</v>
      </c>
      <c r="R33" s="18" t="n">
        <v>1.23</v>
      </c>
      <c r="S33" s="18" t="n">
        <v>0.64</v>
      </c>
      <c r="T33" s="18" t="n">
        <v>1.77</v>
      </c>
      <c r="U33" s="34">
        <f>SUM(Q33:T33)</f>
        <v/>
      </c>
      <c r="V33" s="18" t="n">
        <v>0.91</v>
      </c>
      <c r="W33" s="18" t="n">
        <v>0.64</v>
      </c>
      <c r="X33" s="18" t="n">
        <v>0.67</v>
      </c>
      <c r="Y33" s="18" t="n">
        <v>0.68</v>
      </c>
      <c r="Z33" s="34">
        <f>SUM(V33:Y33)</f>
        <v/>
      </c>
      <c r="AA33" s="18" t="n">
        <v>0.6899999999999999</v>
      </c>
      <c r="AB33" s="19" t="n">
        <v>0.85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159.93</v>
      </c>
      <c r="F34" s="34" t="n"/>
      <c r="G34" s="18" t="n">
        <v>45.7</v>
      </c>
      <c r="H34" s="18" t="n">
        <v>82.47</v>
      </c>
      <c r="I34" s="18" t="n">
        <v>75.90000000000001</v>
      </c>
      <c r="J34" s="18" t="n">
        <v>114.95</v>
      </c>
      <c r="K34" s="34">
        <f>SUM(G34:J34)</f>
        <v/>
      </c>
      <c r="L34" s="18" t="n">
        <v>75.41</v>
      </c>
      <c r="M34" s="18" t="n">
        <v>95.67</v>
      </c>
      <c r="N34" s="18" t="n">
        <v>76.86</v>
      </c>
      <c r="O34" s="18" t="n">
        <v>85.45</v>
      </c>
      <c r="P34" s="34">
        <f>SUM(L34:O34)</f>
        <v/>
      </c>
      <c r="Q34" s="18" t="n">
        <v>58.22</v>
      </c>
      <c r="R34" s="18" t="n">
        <v>97.06999999999999</v>
      </c>
      <c r="S34" s="18" t="n">
        <v>65.33</v>
      </c>
      <c r="T34" s="18" t="n">
        <v>140.41</v>
      </c>
      <c r="U34" s="34">
        <f>SUM(Q34:T34)</f>
        <v/>
      </c>
      <c r="V34" s="18" t="n">
        <v>47.06</v>
      </c>
      <c r="W34" s="18" t="n">
        <v>81.17</v>
      </c>
      <c r="X34" s="18" t="n">
        <v>90.64</v>
      </c>
      <c r="Y34" s="18" t="n">
        <v>113.74</v>
      </c>
      <c r="Z34" s="34">
        <f>SUM(V34:Y34)</f>
        <v/>
      </c>
      <c r="AA34" s="18" t="n">
        <v>50.77</v>
      </c>
      <c r="AB34" s="19" t="n">
        <v>61.26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40.77</v>
      </c>
      <c r="F35" s="34" t="n"/>
      <c r="G35" s="18" t="n">
        <v>-34.99</v>
      </c>
      <c r="H35" s="18" t="n">
        <v>-68.53</v>
      </c>
      <c r="I35" s="18" t="n">
        <v>-14.49</v>
      </c>
      <c r="J35" s="18" t="n">
        <v>-83.45</v>
      </c>
      <c r="K35" s="34">
        <f>SUM(G35:J35)</f>
        <v/>
      </c>
      <c r="L35" s="18" t="n">
        <v>-26.24</v>
      </c>
      <c r="M35" s="18" t="n">
        <v>-1.68</v>
      </c>
      <c r="N35" s="18" t="n">
        <v>-14</v>
      </c>
      <c r="O35" s="18" t="n">
        <v>-19.34</v>
      </c>
      <c r="P35" s="34">
        <f>SUM(L35:O35)</f>
        <v/>
      </c>
      <c r="Q35" s="18" t="n">
        <v>-12.64</v>
      </c>
      <c r="R35" s="18" t="n">
        <v>-16.12</v>
      </c>
      <c r="S35" s="18" t="n">
        <v>-7.92</v>
      </c>
      <c r="T35" s="18" t="n">
        <v>-22.65</v>
      </c>
      <c r="U35" s="34">
        <f>SUM(Q35:T35)</f>
        <v/>
      </c>
      <c r="V35" s="18" t="n">
        <v>-13.25</v>
      </c>
      <c r="W35" s="18" t="n">
        <v>14.29</v>
      </c>
      <c r="X35" s="18" t="n">
        <v>-4.86</v>
      </c>
      <c r="Y35" s="18" t="n">
        <v>1.88</v>
      </c>
      <c r="Z35" s="34">
        <f>SUM(V35:Y35)</f>
        <v/>
      </c>
      <c r="AA35" s="18" t="n">
        <v>-3.23</v>
      </c>
      <c r="AB35" s="19" t="n">
        <v>8.69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-168.6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-0.1877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