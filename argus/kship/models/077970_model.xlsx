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3절 스칼라 '판관비율' 참조 — 숫자로 덮어쓰면 이 분기만 바뀐다
매출액 × 판관비율 7.88%(최근 4분기 중위)</t>
      </text>
    </comment>
    <comment ref="AD22" authorId="0" shapeId="0">
      <text>
        <t>3절 스칼라 '판관비율' 참조 — 숫자로 덮어쓰면 이 분기만 바뀐다
매출액 × 판관비율 7.88%(최근 4분기 중위)</t>
      </text>
    </comment>
    <comment ref="AF22" authorId="0" shapeId="0">
      <text>
        <t>3절 스칼라 '판관비율' 참조 — 숫자로 덮어쓰면 이 분기만 바뀐다
매출액 × 판관비율 7.88%(최근 4분기 중위)</t>
      </text>
    </comment>
    <comment ref="AG22" authorId="0" shapeId="0">
      <text>
        <t>3절 스칼라 '판관비율' 참조 — 숫자로 덮어쓰면 이 분기만 바뀐다
매출액 × 판관비율 7.88%(최근 4분기 중위)</t>
      </text>
    </comment>
    <comment ref="AH22" authorId="0" shapeId="0">
      <text>
        <t>3절 스칼라 '판관비율' 참조 — 숫자로 덮어쓰면 이 분기만 바뀐다
매출액 × 판관비율 7.88%(최근 4분기 중위)</t>
      </text>
    </comment>
    <comment ref="AI22" authorId="0" shapeId="0">
      <text>
        <t>3절 스칼라 '판관비율' 참조 — 숫자로 덮어쓰면 이 분기만 바뀐다
매출액 × 판관비율 7.88%(최근 4분기 중위)</t>
      </text>
    </comment>
    <comment ref="AK22" authorId="0" shapeId="0">
      <text>
        <t>3절 스칼라 '판관비율' 참조 — 숫자로 덮어쓰면 이 분기만 바뀐다
매출액 × 판관비율 7.88%(최근 4분기 중위)</t>
      </text>
    </comment>
    <comment ref="AL22" authorId="0" shapeId="0">
      <text>
        <t>3절 스칼라 '판관비율' 참조 — 숫자로 덮어쓰면 이 분기만 바뀐다
매출액 × 판관비율 7.88%(최근 4분기 중위)</t>
      </text>
    </comment>
    <comment ref="AM22" authorId="0" shapeId="0">
      <text>
        <t>3절 스칼라 '판관비율' 참조 — 숫자로 덮어쓰면 이 분기만 바뀐다
매출액 × 판관비율 7.88%(최근 4분기 중위)</t>
      </text>
    </comment>
    <comment ref="AN22" authorId="0" shapeId="0">
      <text>
        <t>3절 스칼라 '판관비율' 참조 — 숫자로 덮어쓰면 이 분기만 바뀐다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D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F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G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H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I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K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L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M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N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AC10" authorId="0" shapeId="0">
      <text>
        <t>추정: 최근 8분기 OPM 중위 8.6% 유지(클립 −20~40%)
[divide]</t>
      </text>
    </comment>
    <comment ref="AD10" authorId="0" shapeId="0">
      <text>
        <t>추정: 최근 8분기 OPM 중위 8.6% 유지(클립 −20~40%)
[divide]</t>
      </text>
    </comment>
    <comment ref="AF10" authorId="0" shapeId="0">
      <text>
        <t>추정: 최근 8분기 OPM 중위 8.6% 유지(클립 −20~40%)
[divide]</t>
      </text>
    </comment>
    <comment ref="AG10" authorId="0" shapeId="0">
      <text>
        <t>추정: 최근 8분기 OPM 중위 8.6% 유지(클립 −20~40%)
[divide]</t>
      </text>
    </comment>
    <comment ref="AH10" authorId="0" shapeId="0">
      <text>
        <t>추정: 최근 8분기 OPM 중위 8.6% 유지(클립 −20~40%)
[divide]</t>
      </text>
    </comment>
    <comment ref="AI10" authorId="0" shapeId="0">
      <text>
        <t>추정: 최근 8분기 OPM 중위 8.6% 유지(클립 −20~40%)
[divide]</t>
      </text>
    </comment>
    <comment ref="AK10" authorId="0" shapeId="0">
      <text>
        <t>추정: 최근 8분기 OPM 중위 8.6% 유지(클립 −20~40%)
[divide]</t>
      </text>
    </comment>
    <comment ref="AL10" authorId="0" shapeId="0">
      <text>
        <t>추정: 최근 8분기 OPM 중위 8.6% 유지(클립 −20~40%)
[divide]</t>
      </text>
    </comment>
    <comment ref="AM10" authorId="0" shapeId="0">
      <text>
        <t>추정: 최근 8분기 OPM 중위 8.6% 유지(클립 −20~40%)
[divide]</t>
      </text>
    </comment>
    <comment ref="AN10" authorId="0" shapeId="0">
      <text>
        <t>추정: 최근 8분기 OPM 중위 8.6%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1542억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1705억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1827억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1968억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2102억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2276억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2408억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2559억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2699억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[interest]</t>
      </text>
    </comment>
    <comment ref="AD12" authorId="0" shapeId="0">
      <text>
        <t>추정: 이자발생자산 1542억 × 2.33%(주석 이자수익 ÷ 평균 이자발생자산(2025Q3~2026Q2)) − 총차입금 3432억 × 3.71%(주석 이자비용 ÷ 평균 총차입금(2025Q3~2026Q2)) (연율) ÷ 4
[interest]</t>
      </text>
    </comment>
    <comment ref="AF12" authorId="0" shapeId="0">
      <text>
        <t>추정: 이자발생자산 1705억 × 2.33%(주석 이자수익 ÷ 평균 이자발생자산(2025Q3~2026Q2)) − 총차입금 3432억 × 3.71%(주석 이자비용 ÷ 평균 총차입금(2025Q3~2026Q2)) (연율) ÷ 4
[interest]</t>
      </text>
    </comment>
    <comment ref="AG12" authorId="0" shapeId="0">
      <text>
        <t>추정: 이자발생자산 1827억 × 2.33%(주석 이자수익 ÷ 평균 이자발생자산(2025Q3~2026Q2)) − 총차입금 3432억 × 3.71%(주석 이자비용 ÷ 평균 총차입금(2025Q3~2026Q2)) (연율) ÷ 4
[interest]</t>
      </text>
    </comment>
    <comment ref="AH12" authorId="0" shapeId="0">
      <text>
        <t>추정: 이자발생자산 1968억 × 2.33%(주석 이자수익 ÷ 평균 이자발생자산(2025Q3~2026Q2)) − 총차입금 3432억 × 3.71%(주석 이자비용 ÷ 평균 총차입금(2025Q3~2026Q2)) (연율) ÷ 4
[interest]</t>
      </text>
    </comment>
    <comment ref="AI12" authorId="0" shapeId="0">
      <text>
        <t>추정: 이자발생자산 2102억 × 2.33%(주석 이자수익 ÷ 평균 이자발생자산(2025Q3~2026Q2)) − 총차입금 3432억 × 3.71%(주석 이자비용 ÷ 평균 총차입금(2025Q3~2026Q2)) (연율) ÷ 4
[interest]</t>
      </text>
    </comment>
    <comment ref="AK12" authorId="0" shapeId="0">
      <text>
        <t>추정: 이자발생자산 2276억 × 2.33%(주석 이자수익 ÷ 평균 이자발생자산(2025Q3~2026Q2)) − 총차입금 3432억 × 3.71%(주석 이자비용 ÷ 평균 총차입금(2025Q3~2026Q2)) (연율) ÷ 4
[interest]</t>
      </text>
    </comment>
    <comment ref="AL12" authorId="0" shapeId="0">
      <text>
        <t>추정: 이자발생자산 2408억 × 2.33%(주석 이자수익 ÷ 평균 이자발생자산(2025Q3~2026Q2)) − 총차입금 3432억 × 3.71%(주석 이자비용 ÷ 평균 총차입금(2025Q3~2026Q2)) (연율) ÷ 4
[interest]</t>
      </text>
    </comment>
    <comment ref="AM12" authorId="0" shapeId="0">
      <text>
        <t>추정: 이자발생자산 2559억 × 2.33%(주석 이자수익 ÷ 평균 이자발생자산(2025Q3~2026Q2)) − 총차입금 3432억 × 3.71%(주석 이자비용 ÷ 평균 총차입금(2025Q3~2026Q2)) (연율) ÷ 4
[interest]</t>
      </text>
    </comment>
    <comment ref="AN12" authorId="0" shapeId="0">
      <text>
        <t>추정: 이자발생자산 2699억 × 2.33%(주석 이자수익 ÷ 평균 이자발생자산(2025Q3~2026Q2)) − 총차입금 3432억 × 3.71%(주석 이자비용 ÷ 평균 총차입금(2025Q3~2026Q2)) (연율) ÷ 4
[interest]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D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F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G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H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I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K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L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M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N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-7.6% 가 5~27% 밖; 세전 &gt; 0 분기 중위 -3.3% 도 5~27% 밖 → 법정세율 근사 22% 가정</t>
        </is>
      </c>
    </row>
    <row r="23">
      <c r="A23" t="inlineStr">
        <is>
          <t>· 판관비율 7.88%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2.33% / 부채 3.71% — 이자손익 = (전분기 이자발생자산 × 자산이자율 − 전분기 총차입금 × 부채이자율)/4, 최소자승 역산(모델 assumptions [0.0233, 0.0371]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14.9/17.5/24.6배(hist_quarterly(분기 평균가 ÷ TTM EPS, 11분기,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assets/models/077970.json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12.0, "op_wape_pct": 47.1, "n": 4, "note": "단일 회사 4분기 — 통계 아님", "driver_at_freeze": "trend_seasonal", "selection_oos_at_freeze": {"freeze": "2024Q2", "n": 4, "wape_link": 20.8, "wape_trend": 9.2,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2237.33, "rev_act": 1920.66, "op_pred": 134.15, "op_act": 154.26}, {"q": "2025Q4", "rev_pred": 2511.93, "rev_act": 2444.82, "op_pred": 150.62, "op_act": 53.68}, {"q": "2026Q1", "rev_pred": 1604.91, "rev_act": 1890.11, "op_pred": 96.23, "op_act": 175.04}, {"q": "2026Q2", "rev_pred": 2464.41, "rev_act": 2129.9, "op_pred": 147.77,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20800</v>
      </c>
      <c r="W15" s="18" t="n">
        <v>21500</v>
      </c>
      <c r="X15" s="18" t="n">
        <v>39550</v>
      </c>
      <c r="Y15" s="18" t="n">
        <v>34000</v>
      </c>
      <c r="Z15" s="9" t="n"/>
      <c r="AA15" s="18" t="n">
        <v>30650</v>
      </c>
      <c r="AB15" s="19" t="n">
        <v>29300</v>
      </c>
      <c r="AC15" s="20" t="n">
        <v>22200</v>
      </c>
      <c r="AD15" s="20" t="n">
        <v>23050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27000</v>
      </c>
      <c r="X16" s="18" t="n">
        <v>49800</v>
      </c>
      <c r="Y16" s="18" t="n">
        <v>41850</v>
      </c>
      <c r="Z16" s="9" t="n"/>
      <c r="AA16" s="18" t="n">
        <v>40500</v>
      </c>
      <c r="AB16" s="19" t="n">
        <v>67700</v>
      </c>
      <c r="AC16" s="20" t="n">
        <v>31550</v>
      </c>
      <c r="AD16" s="20" t="n">
        <v>23250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18310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20" t="n">
        <v>21750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24307.6</v>
      </c>
      <c r="W18" s="18" t="n">
        <v>23137.2</v>
      </c>
      <c r="X18" s="18" t="n">
        <v>32170.8</v>
      </c>
      <c r="Y18" s="18" t="n">
        <v>35330.5</v>
      </c>
      <c r="Z18" s="9" t="n"/>
      <c r="AA18" s="18" t="n">
        <v>34270.3</v>
      </c>
      <c r="AB18" s="19" t="n">
        <v>41308.2</v>
      </c>
      <c r="AC18" s="20" t="n">
        <v>24844.4</v>
      </c>
      <c r="AD18" s="20" t="n">
        <v>22816.7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0.09680652100000001</v>
      </c>
      <c r="AD21" s="24" t="n">
        <v>0.096802736</v>
      </c>
      <c r="AE21" s="25" t="n"/>
      <c r="AF21" s="24" t="n">
        <v>0.096806501</v>
      </c>
      <c r="AG21" s="24" t="n">
        <v>0.09680364499999999</v>
      </c>
      <c r="AH21" s="24" t="n">
        <v>0.048400496</v>
      </c>
      <c r="AI21" s="24" t="n">
        <v>0.048402375</v>
      </c>
      <c r="AJ21" s="25" t="n"/>
      <c r="AK21" s="24" t="n">
        <v>0.048401412</v>
      </c>
      <c r="AL21" s="24" t="n">
        <v>0.048401596</v>
      </c>
      <c r="AM21" s="24" t="n">
        <v>0.024201399</v>
      </c>
      <c r="AN21" s="24" t="n">
        <v>0.024202585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0.08646200699999999</v>
      </c>
      <c r="AD23" s="24" t="n">
        <v>0.08645971600000001</v>
      </c>
      <c r="AE23" s="25">
        <f>IFERROR(subQ!AE9/subQ!AE5,"")</f>
        <v/>
      </c>
      <c r="AF23" s="24" t="n">
        <v>0.086460725</v>
      </c>
      <c r="AG23" s="24" t="n">
        <v>0.08646108</v>
      </c>
      <c r="AH23" s="24" t="n">
        <v>0.086459442</v>
      </c>
      <c r="AI23" s="24" t="n">
        <v>0.086462702</v>
      </c>
      <c r="AJ23" s="25">
        <f>IFERROR(subQ!AJ9/subQ!AJ5,"")</f>
        <v/>
      </c>
      <c r="AK23" s="24" t="n">
        <v>0.08646281</v>
      </c>
      <c r="AL23" s="24" t="n">
        <v>0.08646265</v>
      </c>
      <c r="AM23" s="24" t="n">
        <v>0.086458886</v>
      </c>
      <c r="AN23" s="24" t="n">
        <v>0.086461687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5.41e-07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0.009281819</v>
      </c>
      <c r="AD31" s="30" t="n">
        <v>-0.006063628</v>
      </c>
      <c r="AE31" s="31" t="n"/>
      <c r="AF31" s="30" t="n">
        <v>0.005230261</v>
      </c>
      <c r="AG31" s="30" t="n">
        <v>0.009589881999999999</v>
      </c>
      <c r="AH31" s="30" t="n">
        <v>-0.003918981</v>
      </c>
      <c r="AI31" s="30" t="n">
        <v>0.004045721</v>
      </c>
      <c r="AJ31" s="31" t="n"/>
      <c r="AK31" s="30" t="n">
        <v>0.007552835</v>
      </c>
      <c r="AL31" s="30" t="n">
        <v>0.002446145</v>
      </c>
      <c r="AM31" s="30" t="n">
        <v>0.0006061350000000001</v>
      </c>
      <c r="AN31" s="30" t="n">
        <v>-7.082799999999999e-05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0.009281819</v>
      </c>
      <c r="AD32" s="30" t="n">
        <v>-0.006063628</v>
      </c>
      <c r="AE32" s="31" t="n"/>
      <c r="AF32" s="30" t="n">
        <v>0.005230261</v>
      </c>
      <c r="AG32" s="30" t="n">
        <v>0.009589881999999999</v>
      </c>
      <c r="AH32" s="30" t="n">
        <v>-0.003918981</v>
      </c>
      <c r="AI32" s="30" t="n">
        <v>0.004045721</v>
      </c>
      <c r="AJ32" s="31" t="n"/>
      <c r="AK32" s="30" t="n">
        <v>0.007552835</v>
      </c>
      <c r="AL32" s="30" t="n">
        <v>0.002446145</v>
      </c>
      <c r="AM32" s="30" t="n">
        <v>0.0006061350000000001</v>
      </c>
      <c r="AN32" s="30" t="n">
        <v>-7.082799999999999e-05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7.58e-07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-0.057664539</v>
      </c>
      <c r="AD34" s="24" t="n">
        <v>-0.080659446</v>
      </c>
      <c r="AE34" s="25" t="n"/>
      <c r="AF34" s="24" t="n">
        <v>-0.06604702699999999</v>
      </c>
      <c r="AG34" s="24" t="n">
        <v>-0.081257383</v>
      </c>
      <c r="AH34" s="24" t="n">
        <v>-0.08345773200000001</v>
      </c>
      <c r="AI34" s="24" t="n">
        <v>-0.119285832</v>
      </c>
      <c r="AJ34" s="25" t="n"/>
      <c r="AK34" s="24" t="n">
        <v>-0.102628655</v>
      </c>
      <c r="AL34" s="24" t="n">
        <v>-0.13099083</v>
      </c>
      <c r="AM34" s="24" t="n">
        <v>-0.138838792</v>
      </c>
      <c r="AN34" s="24" t="n">
        <v>-0.210131093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0.087217286</v>
      </c>
      <c r="AD35" s="24" t="n">
        <v>0.105730501</v>
      </c>
      <c r="AE35" s="25" t="n"/>
      <c r="AF35" s="24" t="n">
        <v>0.071986673</v>
      </c>
      <c r="AG35" s="24" t="n">
        <v>0.077166371</v>
      </c>
      <c r="AH35" s="24" t="n">
        <v>0.067594615</v>
      </c>
      <c r="AI35" s="24" t="n">
        <v>0.082938389</v>
      </c>
      <c r="AJ35" s="25" t="n"/>
      <c r="AK35" s="24" t="n">
        <v>0.058039598</v>
      </c>
      <c r="AL35" s="24" t="n">
        <v>0.06282107200000001</v>
      </c>
      <c r="AM35" s="24" t="n">
        <v>0.054450184</v>
      </c>
      <c r="AN35" s="24" t="n">
        <v>0.067294901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-0.195137281</v>
      </c>
      <c r="AD37" s="24" t="n">
        <v>-0.139890852</v>
      </c>
      <c r="AE37" s="25" t="n"/>
      <c r="AF37" s="24" t="n">
        <v>0.270287156</v>
      </c>
      <c r="AG37" s="24" t="n">
        <v>0.194346417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23050</v>
      </c>
      <c r="E43" s="2" t="inlineStr">
        <is>
          <t>원 — 네이버 정규장 종가(aik 확정종가 대조 · aik 22,500원)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14.9</v>
      </c>
      <c r="E46" s="2" t="inlineStr">
        <is>
          <t>PER 밴드 하단(배) — hist_quarterly(분기 평균가 ÷ TTM EPS, 11분기,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17.5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24.6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0.2199905040837775</v>
      </c>
      <c r="E50" s="2" t="inlineStr">
        <is>
          <t>연결 — 법인세 = MAX(세전,0) × 세율(역산, 재현 오차 ≤ 0.05억 · 모델 assumptions 0.22) · 최근 12분기 유효세율 -7.6% 가 5~27% 밖; 세전 &gt; 0 분기 중위 -3.3% 도 5~27% 밖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0.07878301633839888</v>
      </c>
      <c r="E51" s="2" t="inlineStr">
        <is>
          <t>연결 — 판관비 = 매출액 × 판관비율(역산, 재현 오차 ≤ 0.05억 · 모델 assumptions 0.0788)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0.02327319820050917</v>
      </c>
      <c r="E53" s="2" t="inlineStr">
        <is>
          <t>연결 — 이자손익 = (전분기 이자발생자산 × 자산이자율 − 전분기 총차입금 × 부채이자율)/4(역산, 재현 오차 ≤ 0.05억 · 모델 assumptions 0.0233)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0.03708423112386032</v>
      </c>
      <c r="E54" s="2" t="inlineStr">
        <is>
          <t>연결 — 같은 수식의 부채 쪽(총차입금 행이 없으면 0)(역산, 재현 오차 ≤ 0.05억 · 모델 assumptions 0.0371)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7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7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7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7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7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7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7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7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7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7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7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7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7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7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7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7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7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7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7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7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7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7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7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7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7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7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7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7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7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7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7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7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7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7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7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7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7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7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7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7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7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7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7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7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7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7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7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7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7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7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7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7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7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7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7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7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7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7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7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7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7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7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7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7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7" t="n">
        <v>116</v>
      </c>
      <c r="G23" s="18" t="n">
        <v>137</v>
      </c>
      <c r="H23" s="18" t="n">
        <v>309</v>
      </c>
      <c r="J23" s="18" t="n">
        <v>7908</v>
      </c>
      <c r="K23" s="37" t="n">
        <v>7908</v>
      </c>
      <c r="O23" s="18" t="n">
        <v>8544</v>
      </c>
      <c r="P23" s="37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7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7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7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7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7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7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7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7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7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7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7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7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7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7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7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7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7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7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7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7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7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7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7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7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7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7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7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7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7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7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7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7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7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7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7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7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7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7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7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7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7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7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7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7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7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7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7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7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7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7" t="n">
        <v>0</v>
      </c>
      <c r="W33" s="18" t="n">
        <v>136.47</v>
      </c>
      <c r="Y33" s="18" t="n">
        <v>365.37</v>
      </c>
      <c r="Z33" s="37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7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7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7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7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7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7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7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7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7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7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7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7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7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7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7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7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7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7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7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7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7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7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7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7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7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7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7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7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7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7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7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7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7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7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7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7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7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7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7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7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7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7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7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7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7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7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7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7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7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7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7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7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7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7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7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7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7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7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7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7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7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7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7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7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7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7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7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7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7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7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7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7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7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7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7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7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7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7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7" t="n">
        <v>517</v>
      </c>
      <c r="L54" s="18" t="n">
        <v>538</v>
      </c>
      <c r="O54" s="18" t="n">
        <v>678</v>
      </c>
      <c r="P54" s="37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7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7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246</v>
      </c>
      <c r="P55" s="37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7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7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7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7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V59" s="18" t="n">
        <v>0</v>
      </c>
      <c r="Y59" s="18" t="n">
        <v>0</v>
      </c>
      <c r="Z59" s="37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7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7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7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7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7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7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7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7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7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7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7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7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7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7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7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7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7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7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7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7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7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7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7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7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7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7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7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7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7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7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7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7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7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7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7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7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7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7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7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7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7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7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7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7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7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7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7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7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7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7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7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7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7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7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7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7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7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7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7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7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7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7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7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7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7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7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7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7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7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7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7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7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7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7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7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7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7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7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7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7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7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7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7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7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7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7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7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7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7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7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7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7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7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7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7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7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7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7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7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7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7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7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7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7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7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7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7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7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7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7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7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7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7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7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7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7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7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7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7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7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7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7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7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7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7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7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7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7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7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7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7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7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7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7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7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7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7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7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7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7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7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7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7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7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7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7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7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7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7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7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7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7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7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7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7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7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7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7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7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7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7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7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7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7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7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7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7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7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7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7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W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7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7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7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7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7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7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7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7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7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7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7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7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7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7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7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7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7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7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7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7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7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7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7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7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7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7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7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7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7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7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7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7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7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7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7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7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7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7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7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7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7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7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7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7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7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7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7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7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7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7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7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7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7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7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7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7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7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7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7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7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7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7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7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7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7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7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7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7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7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7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7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7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7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7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7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7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7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7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7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7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7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7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7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7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7" t="n">
        <v>0</v>
      </c>
      <c r="W35" s="18" t="n">
        <v>136.47</v>
      </c>
      <c r="Y35" s="18" t="n">
        <v>365.37</v>
      </c>
      <c r="Z35" s="37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7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7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7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7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7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7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7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7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7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7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7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7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7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7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7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7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7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7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7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7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7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7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7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7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7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7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7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7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7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7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7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7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7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7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7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7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7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7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7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7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7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7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7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7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7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7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7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7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7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7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7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7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7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7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7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7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7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7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7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7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7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7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7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7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7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7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7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7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7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7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7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7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7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7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7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7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7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7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245</v>
      </c>
      <c r="P55" s="37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7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7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7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7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7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7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7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7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7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7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7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7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7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7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7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7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7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7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7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7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7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7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7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7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7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7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7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7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7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7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7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7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7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7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7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7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7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7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7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7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7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7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7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7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7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7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7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7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7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7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7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7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7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7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7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7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7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7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7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7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7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7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7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7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7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7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7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7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7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7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7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7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7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7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7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7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7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7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7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7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7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7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7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7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7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7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7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7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7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7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7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7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7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7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7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7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7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7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7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7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7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7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7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7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7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7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7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7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7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7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7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7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7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7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7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7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7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7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7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7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7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7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7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7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7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23</v>
      </c>
      <c r="F31" s="28">
        <f>E31</f>
        <v/>
      </c>
      <c r="G31" s="27" t="n">
        <v>23</v>
      </c>
      <c r="H31" s="27" t="n">
        <v>23</v>
      </c>
      <c r="I31" s="27" t="n">
        <v>23</v>
      </c>
      <c r="J31" s="27" t="n">
        <v>23</v>
      </c>
      <c r="K31" s="28">
        <f>J31</f>
        <v/>
      </c>
      <c r="L31" s="27" t="n">
        <v>23</v>
      </c>
      <c r="M31" s="27" t="n">
        <v>23</v>
      </c>
      <c r="N31" s="27" t="n">
        <v>23</v>
      </c>
      <c r="O31" s="27" t="n">
        <v>23</v>
      </c>
      <c r="P31" s="28">
        <f>O31</f>
        <v/>
      </c>
      <c r="Q31" s="27" t="n">
        <v>23</v>
      </c>
      <c r="R31" s="27" t="n">
        <v>23</v>
      </c>
      <c r="S31" s="27" t="n">
        <v>23</v>
      </c>
      <c r="T31" s="27" t="n">
        <v>23</v>
      </c>
      <c r="U31" s="28">
        <f>T31</f>
        <v/>
      </c>
      <c r="V31" s="27" t="n">
        <v>23</v>
      </c>
      <c r="W31" s="27" t="n">
        <v>40.139</v>
      </c>
      <c r="X31" s="27" t="n">
        <v>40.139</v>
      </c>
      <c r="Y31" s="27" t="n">
        <v>40.139</v>
      </c>
      <c r="Z31" s="28">
        <f>Y31</f>
        <v/>
      </c>
      <c r="AA31" s="27" t="n">
        <v>40.139</v>
      </c>
      <c r="AB31" s="29" t="n">
        <v>40.139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7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7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7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7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7">
        <f>SUM(V37:Y37)</f>
        <v/>
      </c>
      <c r="AA37" s="18" t="n">
        <v>1890.11</v>
      </c>
      <c r="AB37" s="19" t="n">
        <v>2129.9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7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7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7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7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7">
        <f>SUM(V38:Y38)</f>
        <v/>
      </c>
      <c r="AA38" s="18" t="n">
        <v>175.04</v>
      </c>
      <c r="AB38" s="19" t="n">
        <v>249.61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1371.2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16.81</v>
      </c>
    </row>
    <row r="32">
      <c r="C32" s="2" t="inlineStr">
        <is>
          <t>pbr_now</t>
        </is>
      </c>
      <c r="D32" t="n">
        <v>2.42</v>
      </c>
    </row>
    <row r="33">
      <c r="C33" s="2" t="inlineStr">
        <is>
          <t>roe_fwd</t>
        </is>
      </c>
      <c r="D33" t="n">
        <v>0.1437</v>
      </c>
    </row>
    <row r="34">
      <c r="C34" s="2" t="inlineStr">
        <is>
          <t>fair_pbr</t>
        </is>
      </c>
      <c r="D34" t="n">
        <v>1.6</v>
      </c>
    </row>
    <row r="35">
      <c r="C35" s="2" t="inlineStr">
        <is>
          <t>fair_value_pbr</t>
        </is>
      </c>
      <c r="D35" t="n">
        <v>15300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