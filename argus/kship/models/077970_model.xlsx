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모델값 역산(implied): v / 매출액
매출액 × 판관비율 7.88%(최근 4분기 중위)</t>
      </text>
    </comment>
    <comment ref="AD22" authorId="0" shapeId="0">
      <text>
        <t>모델값 역산(implied): v / 매출액
매출액 × 판관비율 7.88%(최근 4분기 중위)</t>
      </text>
    </comment>
    <comment ref="AF22" authorId="0" shapeId="0">
      <text>
        <t>모델값 역산(implied): v / 매출액
매출액 × 판관비율 7.88%(최근 4분기 중위)</t>
      </text>
    </comment>
    <comment ref="AG22" authorId="0" shapeId="0">
      <text>
        <t>모델값 역산(implied): v / 매출액
매출액 × 판관비율 7.88%(최근 4분기 중위)</t>
      </text>
    </comment>
    <comment ref="AH22" authorId="0" shapeId="0">
      <text>
        <t>모델값 역산(implied): v / 매출액
매출액 × 판관비율 7.88%(최근 4분기 중위)</t>
      </text>
    </comment>
    <comment ref="AI22" authorId="0" shapeId="0">
      <text>
        <t>모델값 역산(implied): v / 매출액
매출액 × 판관비율 7.88%(최근 4분기 중위)</t>
      </text>
    </comment>
    <comment ref="AK22" authorId="0" shapeId="0">
      <text>
        <t>모델값 역산(implied): v / 매출액
매출액 × 판관비율 7.88%(최근 4분기 중위)</t>
      </text>
    </comment>
    <comment ref="AL22" authorId="0" shapeId="0">
      <text>
        <t>모델값 역산(implied): v / 매출액
매출액 × 판관비율 7.88%(최근 4분기 중위)</t>
      </text>
    </comment>
    <comment ref="AM22" authorId="0" shapeId="0">
      <text>
        <t>모델값 역산(implied): v / 매출액
매출액 × 판관비율 7.88%(최근 4분기 중위)</t>
      </text>
    </comment>
    <comment ref="AN22" authorId="0" shapeId="0">
      <text>
        <t>모델값 역산(implied): v / 매출액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v / 전년동기 − 1
최근 8분기 OPM 중위 8.6% 유지(클립 −20~40%)</t>
      </text>
    </comment>
    <comment ref="AD24" authorId="0" shapeId="0">
      <text>
        <t>모델값 역산(implied): v / 전년동기 − 1
최근 8분기 OPM 중위 8.6% 유지(클립 −20~40%)</t>
      </text>
    </comment>
    <comment ref="AF24" authorId="0" shapeId="0">
      <text>
        <t>모델값 역산(implied): v / 전년동기 − 1
최근 8분기 OPM 중위 8.6% 유지(클립 −20~40%)</t>
      </text>
    </comment>
    <comment ref="AG24" authorId="0" shapeId="0">
      <text>
        <t>모델값 역산(implied): v / 전년동기 − 1
최근 8분기 OPM 중위 8.6% 유지(클립 −20~40%)</t>
      </text>
    </comment>
    <comment ref="AH24" authorId="0" shapeId="0">
      <text>
        <t>모델값 역산(implied): v / 전년동기 − 1
최근 8분기 OPM 중위 8.6% 유지(클립 −20~40%)</t>
      </text>
    </comment>
    <comment ref="AI24" authorId="0" shapeId="0">
      <text>
        <t>모델값 역산(implied): v / 전년동기 − 1
최근 8분기 OPM 중위 8.6% 유지(클립 −20~40%)</t>
      </text>
    </comment>
    <comment ref="AK24" authorId="0" shapeId="0">
      <text>
        <t>모델값 역산(implied): v / 전년동기 − 1
최근 8분기 OPM 중위 8.6% 유지(클립 −20~40%)</t>
      </text>
    </comment>
    <comment ref="AL24" authorId="0" shapeId="0">
      <text>
        <t>모델값 역산(implied): v / 전년동기 − 1
최근 8분기 OPM 중위 8.6% 유지(클립 −20~40%)</t>
      </text>
    </comment>
    <comment ref="AM24" authorId="0" shapeId="0">
      <text>
        <t>모델값 역산(implied): v / 전년동기 − 1
최근 8분기 OPM 중위 8.6% 유지(클립 −20~40%)</t>
      </text>
    </comment>
    <comment ref="AN24" authorId="0" shapeId="0">
      <text>
        <t>모델값 역산(implied): v / 전년동기 − 1
최근 8분기 OPM 중위 8.6% 유지(클립 −20~40%)</t>
      </text>
    </comment>
    <comment ref="AC25" authorId="0" shapeId="0">
      <text>
        <t>모델값 역산(implied): 모델 v 그대로
이자손익 = 이자발생자산 1418억 × 2.06% − 총차입금 3432억 × 3.74% (연율, CF 실측) ÷ 4; 환·평가손익 0 가정</t>
      </text>
    </comment>
    <comment ref="AD25" authorId="0" shapeId="0">
      <text>
        <t>모델값 역산(implied): 모델 v 그대로
이자손익 = 이자발생자산 1568억 × 2.06% − 총차입금 3432억 × 3.74% (연율, CF 실측) ÷ 4; 환·평가손익 0 가정</t>
      </text>
    </comment>
    <comment ref="AF25" authorId="0" shapeId="0">
      <text>
        <t>모델값 역산(implied): 모델 v 그대로
이자손익 = 이자발생자산 1765억 × 2.06% − 총차입금 3432억 × 3.74% (연율, CF 실측) ÷ 4; 환·평가손익 0 가정</t>
      </text>
    </comment>
    <comment ref="AG25" authorId="0" shapeId="0">
      <text>
        <t>모델값 역산(implied): 모델 v 그대로
이자손익 = 이자발생자산 1913억 × 2.06% − 총차입금 3432억 × 3.74% (연율, CF 실측) ÷ 4; 환·평가손익 0 가정</t>
      </text>
    </comment>
    <comment ref="AH25" authorId="0" shapeId="0">
      <text>
        <t>모델값 역산(implied): 모델 v 그대로
이자손익 = 이자발생자산 2084억 × 2.06% − 총차입금 3432억 × 3.74% (연율, CF 실측) ÷ 4; 환·평가손익 0 가정</t>
      </text>
    </comment>
    <comment ref="AI25" authorId="0" shapeId="0">
      <text>
        <t>모델값 역산(implied): 모델 v 그대로
이자손익 = 이자발생자산 2245억 × 2.06% − 총차입금 3432억 × 3.74% (연율, CF 실측) ÷ 4; 환·평가손익 0 가정</t>
      </text>
    </comment>
    <comment ref="AK25" authorId="0" shapeId="0">
      <text>
        <t>모델값 역산(implied): 모델 v 그대로
이자손익 = 이자발생자산 2457억 × 2.06% − 총차입금 3432억 × 3.74% (연율, CF 실측) ÷ 4; 환·평가손익 0 가정</t>
      </text>
    </comment>
    <comment ref="AL25" authorId="0" shapeId="0">
      <text>
        <t>모델값 역산(implied): 모델 v 그대로
이자손익 = 이자발생자산 2617억 × 2.06% − 총차입금 3432억 × 3.74% (연율, CF 실측) ÷ 4; 환·평가손익 0 가정</t>
      </text>
    </comment>
    <comment ref="AM25" authorId="0" shapeId="0">
      <text>
        <t>모델값 역산(implied): 모델 v 그대로
이자손익 = 이자발생자산 2800억 × 2.06% − 총차입금 3432억 × 3.74% (연율, CF 실측) ÷ 4; 환·평가손익 0 가정</t>
      </text>
    </comment>
    <comment ref="AN25" authorId="0" shapeId="0">
      <text>
        <t>모델값 역산(implied): 모델 v 그대로
이자손익 = 이자발생자산 2969억 × 2.06% − 총차입금 3432억 × 3.74%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-7.6% → 5~27% 클립)</t>
      </text>
    </comment>
    <comment ref="AD27" authorId="0" shapeId="0">
      <text>
        <t>모델값 역산(implied): v / 세전이익
max(세전, 0) × 세율 5.0%(최근 12분기 유효세율 -7.6% → 5~27% 클립)</t>
      </text>
    </comment>
    <comment ref="AF27" authorId="0" shapeId="0">
      <text>
        <t>모델값 역산(implied): v / 세전이익
max(세전, 0) × 세율 5.0%(최근 12분기 유효세율 -7.6% → 5~27% 클립)</t>
      </text>
    </comment>
    <comment ref="AG27" authorId="0" shapeId="0">
      <text>
        <t>모델값 역산(implied): v / 세전이익
max(세전, 0) × 세율 5.0%(최근 12분기 유효세율 -7.6% → 5~27% 클립)</t>
      </text>
    </comment>
    <comment ref="AH27" authorId="0" shapeId="0">
      <text>
        <t>모델값 역산(implied): v / 세전이익
max(세전, 0) × 세율 5.0%(최근 12분기 유효세율 -7.6% → 5~27% 클립)</t>
      </text>
    </comment>
    <comment ref="AI27" authorId="0" shapeId="0">
      <text>
        <t>모델값 역산(implied): v / 세전이익
max(세전, 0) × 세율 5.0%(최근 12분기 유효세율 -7.6% → 5~27% 클립)</t>
      </text>
    </comment>
    <comment ref="AK27" authorId="0" shapeId="0">
      <text>
        <t>모델값 역산(implied): v / 세전이익
max(세전, 0) × 세율 5.0%(최근 12분기 유효세율 -7.6% → 5~27% 클립)</t>
      </text>
    </comment>
    <comment ref="AL27" authorId="0" shapeId="0">
      <text>
        <t>모델값 역산(implied): v / 세전이익
max(세전, 0) × 세율 5.0%(최근 12분기 유효세율 -7.6% → 5~27% 클립)</t>
      </text>
    </comment>
    <comment ref="AM27" authorId="0" shapeId="0">
      <text>
        <t>모델값 역산(implied): v / 세전이익
max(세전, 0) × 세율 5.0%(최근 12분기 유효세율 -7.6% → 5~27% 클립)</t>
      </text>
    </comment>
    <comment ref="AN27" authorId="0" shapeId="0">
      <text>
        <t>모델값 역산(implied): v / 세전이익
max(세전, 0) × 세율 5.0%(최근 12분기 유효세율 -7.6%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8.6% 유지(클립 −20~40%)
[yoy]</t>
      </text>
    </comment>
    <comment ref="AD10" authorId="0" shapeId="0">
      <text>
        <t>추정: 최근 8분기 OPM 중위 8.6% 유지(클립 −20~40%)
[yoy]</t>
      </text>
    </comment>
    <comment ref="AF10" authorId="0" shapeId="0">
      <text>
        <t>추정: 최근 8분기 OPM 중위 8.6% 유지(클립 −20~40%)
[yoy]</t>
      </text>
    </comment>
    <comment ref="AG10" authorId="0" shapeId="0">
      <text>
        <t>추정: 최근 8분기 OPM 중위 8.6% 유지(클립 −20~40%)
[yoy]</t>
      </text>
    </comment>
    <comment ref="AH10" authorId="0" shapeId="0">
      <text>
        <t>추정: 최근 8분기 OPM 중위 8.6% 유지(클립 −20~40%)
[yoy]</t>
      </text>
    </comment>
    <comment ref="AI10" authorId="0" shapeId="0">
      <text>
        <t>추정: 최근 8분기 OPM 중위 8.6% 유지(클립 −20~40%)
[yoy]</t>
      </text>
    </comment>
    <comment ref="AK10" authorId="0" shapeId="0">
      <text>
        <t>추정: 최근 8분기 OPM 중위 8.6% 유지(클립 −20~40%)
[yoy]</t>
      </text>
    </comment>
    <comment ref="AL10" authorId="0" shapeId="0">
      <text>
        <t>추정: 최근 8분기 OPM 중위 8.6% 유지(클립 −20~40%)
[yoy]</t>
      </text>
    </comment>
    <comment ref="AM10" authorId="0" shapeId="0">
      <text>
        <t>추정: 최근 8분기 OPM 중위 8.6% 유지(클립 −20~40%)
[yoy]</t>
      </text>
    </comment>
    <comment ref="AN10" authorId="0" shapeId="0">
      <text>
        <t>추정: 최근 8분기 OPM 중위 8.6% 유지(클립 −20~40%)
[yoy]</t>
      </text>
    </comment>
    <comment ref="AC11" authorId="0" shapeId="0">
      <text>
        <t>추정: 이자손익 = 이자발생자산 1418억 × 2.06% − 총차입금 3432억 × 3.74% (연율, CF 실측) ÷ 4; 환·평가손익 0 가정
[abs]</t>
      </text>
    </comment>
    <comment ref="AD11" authorId="0" shapeId="0">
      <text>
        <t>추정: 이자손익 = 이자발생자산 1568억 × 2.06% − 총차입금 3432억 × 3.74% (연율, CF 실측) ÷ 4; 환·평가손익 0 가정
[abs]</t>
      </text>
    </comment>
    <comment ref="AF11" authorId="0" shapeId="0">
      <text>
        <t>추정: 이자손익 = 이자발생자산 1765억 × 2.06% − 총차입금 3432억 × 3.74% (연율, CF 실측) ÷ 4; 환·평가손익 0 가정
[abs]</t>
      </text>
    </comment>
    <comment ref="AG11" authorId="0" shapeId="0">
      <text>
        <t>추정: 이자손익 = 이자발생자산 1913억 × 2.06% − 총차입금 3432억 × 3.74% (연율, CF 실측) ÷ 4; 환·평가손익 0 가정
[abs]</t>
      </text>
    </comment>
    <comment ref="AH11" authorId="0" shapeId="0">
      <text>
        <t>추정: 이자손익 = 이자발생자산 2084억 × 2.06% − 총차입금 3432억 × 3.74% (연율, CF 실측) ÷ 4; 환·평가손익 0 가정
[abs]</t>
      </text>
    </comment>
    <comment ref="AI11" authorId="0" shapeId="0">
      <text>
        <t>추정: 이자손익 = 이자발생자산 2245억 × 2.06% − 총차입금 3432억 × 3.74% (연율, CF 실측) ÷ 4; 환·평가손익 0 가정
[abs]</t>
      </text>
    </comment>
    <comment ref="AK11" authorId="0" shapeId="0">
      <text>
        <t>추정: 이자손익 = 이자발생자산 2457억 × 2.06% − 총차입금 3432억 × 3.74% (연율, CF 실측) ÷ 4; 환·평가손익 0 가정
[abs]</t>
      </text>
    </comment>
    <comment ref="AL11" authorId="0" shapeId="0">
      <text>
        <t>추정: 이자손익 = 이자발생자산 2617억 × 2.06% − 총차입금 3432억 × 3.74% (연율, CF 실측) ÷ 4; 환·평가손익 0 가정
[abs]</t>
      </text>
    </comment>
    <comment ref="AM11" authorId="0" shapeId="0">
      <text>
        <t>추정: 이자손익 = 이자발생자산 2800억 × 2.06% − 총차입금 3432억 × 3.74% (연율, CF 실측) ÷ 4; 환·평가손익 0 가정
[abs]</t>
      </text>
    </comment>
    <comment ref="AN11" authorId="0" shapeId="0">
      <text>
        <t>추정: 이자손익 = 이자발생자산 2969억 × 2.06% − 총차입금 3432억 × 3.74%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-7.6% → 5~27% 클립)
[ratio]</t>
      </text>
    </comment>
    <comment ref="AD14" authorId="0" shapeId="0">
      <text>
        <t>추정: max(세전, 0) × 세율 5.0%(최근 12분기 유효세율 -7.6% → 5~27% 클립)
[ratio]</t>
      </text>
    </comment>
    <comment ref="AF14" authorId="0" shapeId="0">
      <text>
        <t>추정: max(세전, 0) × 세율 5.0%(최근 12분기 유효세율 -7.6% → 5~27% 클립)
[ratio]</t>
      </text>
    </comment>
    <comment ref="AG14" authorId="0" shapeId="0">
      <text>
        <t>추정: max(세전, 0) × 세율 5.0%(최근 12분기 유효세율 -7.6% → 5~27% 클립)
[ratio]</t>
      </text>
    </comment>
    <comment ref="AH14" authorId="0" shapeId="0">
      <text>
        <t>추정: max(세전, 0) × 세율 5.0%(최근 12분기 유효세율 -7.6% → 5~27% 클립)
[ratio]</t>
      </text>
    </comment>
    <comment ref="AI14" authorId="0" shapeId="0">
      <text>
        <t>추정: max(세전, 0) × 세율 5.0%(최근 12분기 유효세율 -7.6% → 5~27% 클립)
[ratio]</t>
      </text>
    </comment>
    <comment ref="AK14" authorId="0" shapeId="0">
      <text>
        <t>추정: max(세전, 0) × 세율 5.0%(최근 12분기 유효세율 -7.6% → 5~27% 클립)
[ratio]</t>
      </text>
    </comment>
    <comment ref="AL14" authorId="0" shapeId="0">
      <text>
        <t>추정: max(세전, 0) × 세율 5.0%(최근 12분기 유효세율 -7.6% → 5~27% 클립)
[ratio]</t>
      </text>
    </comment>
    <comment ref="AM14" authorId="0" shapeId="0">
      <text>
        <t>추정: max(세전, 0) × 세율 5.0%(최근 12분기 유효세율 -7.6% → 5~27% 클립)
[ratio]</t>
      </text>
    </comment>
    <comment ref="AN14" authorId="0" shapeId="0">
      <text>
        <t>추정: max(세전, 0) × 세율 5.0%(최근 12분기 유효세율 -7.6%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assets/models/077970.json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12.0, "op_wape_pct": 47.1, "n": 4, "note": "단일 회사 4분기 — 통계 아님", "driver_at_freeze": "trend_seasonal", "selection_oos_at_freeze": {"freeze": "2024Q2", "n": 4, "wape_link": 20.8, "wape_trend": 9.2, "adopted": false},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2237.33, "rev_act": 1920.66, "op_pred": 134.15, "op_act": 154.26}, {"q": "2025Q4", "rev_pred": 2511.93, "rev_act": 2444.82, "op_pred": 150.62, "op_act": 53.68}, {"q": "2026Q1", "rev_pred": 1604.91, "rev_act": 1890.11, "op_pred": 96.23, "op_act": 175.04}, {"q": "2026Q2", "rev_pred": 2464.41, "rev_act": 2129.9, "op_pred": 147.77,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20700</v>
      </c>
      <c r="W15" s="18" t="n">
        <v>21600</v>
      </c>
      <c r="X15" s="18" t="n">
        <v>39550</v>
      </c>
      <c r="Y15" s="18" t="n">
        <v>34000</v>
      </c>
      <c r="Z15" s="9" t="n"/>
      <c r="AA15" s="18" t="n">
        <v>30600</v>
      </c>
      <c r="AB15" s="19" t="n">
        <v>29300</v>
      </c>
      <c r="AC15" s="20" t="n">
        <v>22200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30450</v>
      </c>
      <c r="X16" s="18" t="n">
        <v>49800</v>
      </c>
      <c r="Y16" s="18" t="n">
        <v>41850</v>
      </c>
      <c r="Z16" s="9" t="n"/>
      <c r="AA16" s="18" t="n">
        <v>40650</v>
      </c>
      <c r="AB16" s="19" t="n">
        <v>67700</v>
      </c>
      <c r="AC16" s="20" t="n">
        <v>31950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18180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24305.9</v>
      </c>
      <c r="W18" s="18" t="n">
        <v>23145</v>
      </c>
      <c r="X18" s="18" t="n">
        <v>32200</v>
      </c>
      <c r="Y18" s="18" t="n">
        <v>35330.5</v>
      </c>
      <c r="Z18" s="9" t="n"/>
      <c r="AA18" s="18" t="n">
        <v>34367.8</v>
      </c>
      <c r="AB18" s="19" t="n">
        <v>41451.6</v>
      </c>
      <c r="AC18" s="20" t="n">
        <v>24900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0.096807</v>
      </c>
      <c r="AD21" s="24" t="n">
        <v>0.096803</v>
      </c>
      <c r="AE21" s="25" t="n"/>
      <c r="AF21" s="24" t="n">
        <v>0.096807</v>
      </c>
      <c r="AG21" s="24" t="n">
        <v>0.096804</v>
      </c>
      <c r="AH21" s="24" t="n">
        <v>0.0484</v>
      </c>
      <c r="AI21" s="24" t="n">
        <v>0.048402</v>
      </c>
      <c r="AJ21" s="25" t="n"/>
      <c r="AK21" s="24" t="n">
        <v>0.048401</v>
      </c>
      <c r="AL21" s="24" t="n">
        <v>0.048402</v>
      </c>
      <c r="AM21" s="24" t="n">
        <v>0.024201</v>
      </c>
      <c r="AN21" s="24" t="n">
        <v>0.024203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0.078781</v>
      </c>
      <c r="AD22" s="24" t="n">
        <v>0.07878499999999999</v>
      </c>
      <c r="AE22" s="25">
        <f>IFERROR(subQ!AE8/subQ!AE5,"")</f>
        <v/>
      </c>
      <c r="AF22" s="24" t="n">
        <v>0.078781</v>
      </c>
      <c r="AG22" s="24" t="n">
        <v>0.078782</v>
      </c>
      <c r="AH22" s="24" t="n">
        <v>0.07878499999999999</v>
      </c>
      <c r="AI22" s="24" t="n">
        <v>0.07878300000000001</v>
      </c>
      <c r="AJ22" s="25">
        <f>IFERROR(subQ!AJ8/subQ!AJ5,"")</f>
        <v/>
      </c>
      <c r="AK22" s="24" t="n">
        <v>0.07878400000000001</v>
      </c>
      <c r="AL22" s="24" t="n">
        <v>0.078782</v>
      </c>
      <c r="AM22" s="24" t="n">
        <v>0.07878400000000001</v>
      </c>
      <c r="AN22" s="24" t="n">
        <v>0.07878300000000001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</v>
      </c>
      <c r="AD23" s="24" t="n">
        <v>0.08646</v>
      </c>
      <c r="AE23" s="25">
        <f>IFERROR(subQ!AE9/subQ!AE5,"")</f>
        <v/>
      </c>
      <c r="AF23" s="24" t="n">
        <v>0.086461</v>
      </c>
      <c r="AG23" s="24" t="n">
        <v>0.086461</v>
      </c>
      <c r="AH23" s="24" t="n">
        <v>0.08645899999999999</v>
      </c>
      <c r="AI23" s="24" t="n">
        <v>0.086463</v>
      </c>
      <c r="AJ23" s="25">
        <f>IFERROR(subQ!AJ9/subQ!AJ5,"")</f>
        <v/>
      </c>
      <c r="AK23" s="24" t="n">
        <v>0.086463</v>
      </c>
      <c r="AL23" s="24" t="n">
        <v>0.086463</v>
      </c>
      <c r="AM23" s="24" t="n">
        <v>0.08645899999999999</v>
      </c>
      <c r="AN23" s="24" t="n">
        <v>0.086462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0.07721</v>
      </c>
      <c r="AD24" s="24" t="n">
        <v>2.931818</v>
      </c>
      <c r="AE24" s="25" t="n"/>
      <c r="AF24" s="24" t="n">
        <v>-0.065875</v>
      </c>
      <c r="AG24" s="24" t="n">
        <v>-0.261945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-24.81</v>
      </c>
      <c r="AD25" s="29" t="n">
        <v>-24.04</v>
      </c>
      <c r="AE25" s="30">
        <f>subQ!AE11</f>
        <v/>
      </c>
      <c r="AF25" s="29" t="n">
        <v>-23.02</v>
      </c>
      <c r="AG25" s="29" t="n">
        <v>-22.25</v>
      </c>
      <c r="AH25" s="29" t="n">
        <v>-21.37</v>
      </c>
      <c r="AI25" s="29" t="n">
        <v>-20.54</v>
      </c>
      <c r="AJ25" s="30">
        <f>subQ!AJ11</f>
        <v/>
      </c>
      <c r="AK25" s="29" t="n">
        <v>-19.45</v>
      </c>
      <c r="AL25" s="29" t="n">
        <v>-18.62</v>
      </c>
      <c r="AM25" s="29" t="n">
        <v>-17.68</v>
      </c>
      <c r="AN25" s="29" t="n">
        <v>-16.8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0.050022</v>
      </c>
      <c r="AD27" s="24" t="n">
        <v>0.049998</v>
      </c>
      <c r="AE27" s="25">
        <f>IFERROR(subQ!AE14/subQ!AE13,"")</f>
        <v/>
      </c>
      <c r="AF27" s="24" t="n">
        <v>0.049994</v>
      </c>
      <c r="AG27" s="24" t="n">
        <v>0.050019</v>
      </c>
      <c r="AH27" s="24" t="n">
        <v>0.050006</v>
      </c>
      <c r="AI27" s="24" t="n">
        <v>0.050016</v>
      </c>
      <c r="AJ27" s="25">
        <f>IFERROR(subQ!AJ14/subQ!AJ13,"")</f>
        <v/>
      </c>
      <c r="AK27" s="24" t="n">
        <v>0.049979</v>
      </c>
      <c r="AL27" s="24" t="n">
        <v>0.050018</v>
      </c>
      <c r="AM27" s="24" t="n">
        <v>0.049972</v>
      </c>
      <c r="AN27" s="24" t="n">
        <v>0.050013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-0.0069</v>
      </c>
      <c r="AD30" s="29" t="n">
        <v>0</v>
      </c>
      <c r="AE30" s="30" t="n"/>
      <c r="AF30" s="29" t="n">
        <v>0</v>
      </c>
      <c r="AG30" s="29" t="n">
        <v>-0</v>
      </c>
      <c r="AH30" s="29" t="n">
        <v>0</v>
      </c>
      <c r="AI30" s="29" t="n">
        <v>-0</v>
      </c>
      <c r="AJ30" s="30" t="n"/>
      <c r="AK30" s="29" t="n">
        <v>-0.01</v>
      </c>
      <c r="AL30" s="29" t="n">
        <v>0.01</v>
      </c>
      <c r="AM30" s="29" t="n">
        <v>-0.01</v>
      </c>
      <c r="AN30" s="29" t="n">
        <v>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-0.0069</v>
      </c>
      <c r="AD31" s="29" t="n">
        <v>0</v>
      </c>
      <c r="AE31" s="30" t="n"/>
      <c r="AF31" s="29" t="n">
        <v>0</v>
      </c>
      <c r="AG31" s="29" t="n">
        <v>-0</v>
      </c>
      <c r="AH31" s="29" t="n">
        <v>0</v>
      </c>
      <c r="AI31" s="29" t="n">
        <v>-0</v>
      </c>
      <c r="AJ31" s="30" t="n"/>
      <c r="AK31" s="29" t="n">
        <v>-0.01</v>
      </c>
      <c r="AL31" s="29" t="n">
        <v>0.01</v>
      </c>
      <c r="AM31" s="29" t="n">
        <v>-0.01</v>
      </c>
      <c r="AN31" s="29" t="n">
        <v>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-0.069689</v>
      </c>
      <c r="AD33" s="24" t="n">
        <v>-0.098943</v>
      </c>
      <c r="AE33" s="25" t="n"/>
      <c r="AF33" s="24" t="n">
        <v>-0.082547</v>
      </c>
      <c r="AG33" s="24" t="n">
        <v>-0.103512</v>
      </c>
      <c r="AH33" s="24" t="n">
        <v>-0.108945</v>
      </c>
      <c r="AI33" s="24" t="n">
        <v>-0.16044</v>
      </c>
      <c r="AJ33" s="25" t="n"/>
      <c r="AK33" s="24" t="n">
        <v>-0.144681</v>
      </c>
      <c r="AL33" s="24" t="n">
        <v>-0.193906</v>
      </c>
      <c r="AM33" s="24" t="n">
        <v>-0.221591</v>
      </c>
      <c r="AN33" s="24" t="n">
        <v>-0.37145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0.105397</v>
      </c>
      <c r="AD34" s="24" t="n">
        <v>0.125943</v>
      </c>
      <c r="AE34" s="25" t="n"/>
      <c r="AF34" s="24" t="n">
        <v>0.084087</v>
      </c>
      <c r="AG34" s="24" t="n">
        <v>0.089241</v>
      </c>
      <c r="AH34" s="24" t="n">
        <v>0.07729900000000001</v>
      </c>
      <c r="AI34" s="24" t="n">
        <v>0.094156</v>
      </c>
      <c r="AJ34" s="25" t="n"/>
      <c r="AK34" s="24" t="n">
        <v>0.065147</v>
      </c>
      <c r="AL34" s="24" t="n">
        <v>0.07012</v>
      </c>
      <c r="AM34" s="24" t="n">
        <v>0.060354</v>
      </c>
      <c r="AN34" s="24" t="n">
        <v>0.074278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-0.277301</v>
      </c>
      <c r="AD40" s="24" t="n">
        <v>-0.362405</v>
      </c>
      <c r="AE40" s="25" t="n"/>
      <c r="AF40" s="24" t="n">
        <v>-0.343308</v>
      </c>
      <c r="AG40" s="24" t="n">
        <v>-0.473022</v>
      </c>
      <c r="AH40" s="24" t="n">
        <v>0.009494000000000001</v>
      </c>
      <c r="AI40" s="24" t="n">
        <v>0.062872</v>
      </c>
      <c r="AJ40" s="25" t="n"/>
      <c r="AK40" s="24" t="n">
        <v>0.019056</v>
      </c>
      <c r="AL40" s="24" t="n">
        <v>-0.07005400000000001</v>
      </c>
      <c r="AM40" s="24" t="n">
        <v>-0.06347999999999999</v>
      </c>
      <c r="AN40" s="24" t="n">
        <v>-0.056755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-0.445013</v>
      </c>
      <c r="AD41" s="24" t="n">
        <v>-0.498789</v>
      </c>
      <c r="AE41" s="25" t="n"/>
      <c r="AF41" s="24" t="n">
        <v>-0.477807</v>
      </c>
      <c r="AG41" s="24" t="n">
        <v>-0.557604</v>
      </c>
      <c r="AH41" s="24" t="n">
        <v>-0.142857</v>
      </c>
      <c r="AI41" s="24" t="n">
        <v>-0.140097</v>
      </c>
      <c r="AJ41" s="25" t="n"/>
      <c r="AK41" s="24" t="n">
        <v>-0.14</v>
      </c>
      <c r="AL41" s="24" t="n">
        <v>-0.135417</v>
      </c>
      <c r="AM41" s="24" t="n">
        <v>-0.134409</v>
      </c>
      <c r="AN41" s="24" t="n">
        <v>-0.134831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0.086462</v>
      </c>
      <c r="AD43" s="24" t="n">
        <v>0.08646</v>
      </c>
      <c r="AE43" s="25">
        <f>IFERROR(subQ!AE34/subQ!AE33,"")</f>
        <v/>
      </c>
      <c r="AF43" s="24" t="n">
        <v>0.086461</v>
      </c>
      <c r="AG43" s="24" t="n">
        <v>0.086461</v>
      </c>
      <c r="AH43" s="24" t="n">
        <v>0.08645899999999999</v>
      </c>
      <c r="AI43" s="24" t="n">
        <v>0.086463</v>
      </c>
      <c r="AJ43" s="25">
        <f>IFERROR(subQ!AJ34/subQ!AJ33,"")</f>
        <v/>
      </c>
      <c r="AK43" s="24" t="n">
        <v>0.086463</v>
      </c>
      <c r="AL43" s="24" t="n">
        <v>0.086463</v>
      </c>
      <c r="AM43" s="24" t="n">
        <v>0.08645899999999999</v>
      </c>
      <c r="AN43" s="24" t="n">
        <v>0.086462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21550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14.9</v>
      </c>
      <c r="E49" s="2" t="inlineStr">
        <is>
          <t>PER 밴드 하단(배) — hist_quarterly(분기 평균가 ÷ TTM EPS, 11분기,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17.5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24.6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0.0788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4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4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4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4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4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4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4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4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4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4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4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4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4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4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4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4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4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4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4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4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4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4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4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4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4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4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4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4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4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4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4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4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4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4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4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4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4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4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4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4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4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4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4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4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4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4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4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4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4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4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4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4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4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4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4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4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4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4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4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4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4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4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4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4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4" t="n">
        <v>116</v>
      </c>
      <c r="G23" s="18" t="n">
        <v>137</v>
      </c>
      <c r="H23" s="18" t="n">
        <v>309</v>
      </c>
      <c r="J23" s="18" t="n">
        <v>7908</v>
      </c>
      <c r="K23" s="34" t="n">
        <v>7908</v>
      </c>
      <c r="O23" s="18" t="n">
        <v>8544</v>
      </c>
      <c r="P23" s="34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4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4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4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4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4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4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4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4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4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4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4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4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4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4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4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4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4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4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4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4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4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4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4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4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4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4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4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4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4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4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4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4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4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4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4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4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4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4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4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4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4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4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4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4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4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4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4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4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4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4" t="n">
        <v>0</v>
      </c>
      <c r="W33" s="18" t="n">
        <v>136.47</v>
      </c>
      <c r="Y33" s="18" t="n">
        <v>365.37</v>
      </c>
      <c r="Z33" s="34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4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4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4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4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4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4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4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4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4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4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4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4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4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4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4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4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4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4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4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4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4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4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4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4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4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4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4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4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4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4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4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4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4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4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4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4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4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4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4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4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4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4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4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4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4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4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4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4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4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4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4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4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4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4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4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4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4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4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4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4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4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4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4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4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4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4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4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4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4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4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4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4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4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4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4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4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4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4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4" t="n">
        <v>517</v>
      </c>
      <c r="L54" s="18" t="n">
        <v>538</v>
      </c>
      <c r="O54" s="18" t="n">
        <v>678</v>
      </c>
      <c r="P54" s="34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4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4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246</v>
      </c>
      <c r="P55" s="34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4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4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4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4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V59" s="18" t="n">
        <v>0</v>
      </c>
      <c r="Y59" s="18" t="n">
        <v>0</v>
      </c>
      <c r="Z59" s="34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4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4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4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4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4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4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4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4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4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4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4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4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4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4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4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4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4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4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4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4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4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4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4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4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4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4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4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4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4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4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4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4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4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4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4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4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4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4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4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4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4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4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4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4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4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4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4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4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4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4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4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4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4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4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4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4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4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4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4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4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4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4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4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4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4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4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4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4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4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4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4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4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4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4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4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4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4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4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4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4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4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4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4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4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4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4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4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4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4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4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4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4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4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4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4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4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4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4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4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4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4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4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4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4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4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4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4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4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4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4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4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4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4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4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4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4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4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4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4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4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4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4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4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4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4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4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4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4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4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4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4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4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4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4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4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4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4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4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4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4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4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4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4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4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4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4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4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4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4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4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4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4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4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4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4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4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4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4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4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4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4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4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4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4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4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4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4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4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4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4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W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4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4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4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4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4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4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4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4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4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4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4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4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4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4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4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4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4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4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4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4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4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4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4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4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4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4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4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4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4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4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4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4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4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4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4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4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4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4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4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4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4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4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4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4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4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4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4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4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4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4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4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4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4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4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4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4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4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4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4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4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4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4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4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4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4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4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4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4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4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4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4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4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4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4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4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4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4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4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4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4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4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4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4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4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4" t="n">
        <v>0</v>
      </c>
      <c r="W35" s="18" t="n">
        <v>136.47</v>
      </c>
      <c r="Y35" s="18" t="n">
        <v>365.37</v>
      </c>
      <c r="Z35" s="34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4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4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4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4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4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4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4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4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4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4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4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4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4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4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4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4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4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4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4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4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4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4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4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4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4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4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4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4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4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4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4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4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4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4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4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4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4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4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4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4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4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4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4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4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4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4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4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4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4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4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4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4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4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4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4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4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4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4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4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4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4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4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4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4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4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4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4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4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4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4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4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4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4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4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4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4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4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4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245</v>
      </c>
      <c r="P55" s="34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4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4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4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4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4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4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4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4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4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4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4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4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4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4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4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4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4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4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4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4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4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4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4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4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4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4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4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4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4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4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4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4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4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4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4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4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4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4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4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4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4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4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4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4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4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4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4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4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4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4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4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4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4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4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4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4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4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4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4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4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4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4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4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4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4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4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4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4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4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4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4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4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4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4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4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4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4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4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4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4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4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4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4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4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4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4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4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4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4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4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4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4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4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4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4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4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4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4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4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4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4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4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4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4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4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4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4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4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4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4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4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4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4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4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4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4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4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4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4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4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4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4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4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4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4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0.021</v>
      </c>
      <c r="F10" s="34" t="n"/>
      <c r="G10" s="18" t="n">
        <v>-0.0101</v>
      </c>
      <c r="H10" s="18" t="n">
        <v>0.006</v>
      </c>
      <c r="I10" s="18" t="n">
        <v>0.0092</v>
      </c>
      <c r="J10" s="18" t="n">
        <v>-0.0505</v>
      </c>
      <c r="K10" s="34">
        <f>SUM(G10:J10)</f>
        <v/>
      </c>
      <c r="L10" s="18" t="n">
        <v>-0.003</v>
      </c>
      <c r="M10" s="18" t="n">
        <v>0.0272</v>
      </c>
      <c r="N10" s="18" t="n">
        <v>0.0136</v>
      </c>
      <c r="O10" s="18" t="n">
        <v>0.0609</v>
      </c>
      <c r="P10" s="34">
        <f>SUM(L10:O10)</f>
        <v/>
      </c>
      <c r="Q10" s="18" t="n">
        <v>0.059</v>
      </c>
      <c r="R10" s="18" t="n">
        <v>0.1103</v>
      </c>
      <c r="S10" s="18" t="n">
        <v>0.028</v>
      </c>
      <c r="T10" s="18" t="n">
        <v>0.0378</v>
      </c>
      <c r="U10" s="34">
        <f>SUM(Q10:T10)</f>
        <v/>
      </c>
      <c r="V10" s="18" t="n">
        <v>0.1111</v>
      </c>
      <c r="W10" s="18" t="n">
        <v>0.1561</v>
      </c>
      <c r="X10" s="18" t="n">
        <v>0.0803</v>
      </c>
      <c r="Y10" s="18" t="n">
        <v>0.022</v>
      </c>
      <c r="Z10" s="34">
        <f>SUM(V10:Y10)</f>
        <v/>
      </c>
      <c r="AA10" s="18" t="n">
        <v>0.0926</v>
      </c>
      <c r="AB10" s="19" t="n">
        <v>0.1172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 t="n"/>
      <c r="O15" s="18" t="n"/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106.23</v>
      </c>
      <c r="F26" s="34" t="n"/>
      <c r="G26" s="18" t="n">
        <v>224.13</v>
      </c>
      <c r="H26" s="18" t="n">
        <v>-157.4</v>
      </c>
      <c r="I26" s="18" t="n">
        <v>-178.7</v>
      </c>
      <c r="J26" s="18" t="n">
        <v>377.75</v>
      </c>
      <c r="K26" s="34">
        <f>SUM(G26:J26)</f>
        <v/>
      </c>
      <c r="L26" s="18" t="n">
        <v>-292.92</v>
      </c>
      <c r="M26" s="18" t="n">
        <v>147.28</v>
      </c>
      <c r="N26" s="18" t="n">
        <v>-201.07</v>
      </c>
      <c r="O26" s="18" t="n">
        <v>213.94</v>
      </c>
      <c r="P26" s="34">
        <f>SUM(L26:O26)</f>
        <v/>
      </c>
      <c r="Q26" s="18" t="n">
        <v>-123.74</v>
      </c>
      <c r="R26" s="18" t="n">
        <v>-174.87</v>
      </c>
      <c r="S26" s="18" t="n">
        <v>-13.49</v>
      </c>
      <c r="T26" s="18" t="n">
        <v>679.22</v>
      </c>
      <c r="U26" s="34">
        <f>SUM(Q26:T26)</f>
        <v/>
      </c>
      <c r="V26" s="18" t="n">
        <v>-461.57</v>
      </c>
      <c r="W26" s="18" t="n">
        <v>595.3200000000001</v>
      </c>
      <c r="X26" s="18" t="n">
        <v>583.1799999999999</v>
      </c>
      <c r="Y26" s="18" t="n">
        <v>11.77</v>
      </c>
      <c r="Z26" s="34">
        <f>SUM(V26:Y26)</f>
        <v/>
      </c>
      <c r="AA26" s="18" t="n">
        <v>-763.3200000000001</v>
      </c>
      <c r="AB26" s="19" t="n">
        <v>193.19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23</v>
      </c>
      <c r="F27" s="27">
        <f>E27</f>
        <v/>
      </c>
      <c r="G27" s="26" t="n">
        <v>23</v>
      </c>
      <c r="H27" s="26" t="n">
        <v>23</v>
      </c>
      <c r="I27" s="26" t="n">
        <v>23</v>
      </c>
      <c r="J27" s="26" t="n">
        <v>23</v>
      </c>
      <c r="K27" s="27">
        <f>J27</f>
        <v/>
      </c>
      <c r="L27" s="26" t="n">
        <v>23</v>
      </c>
      <c r="M27" s="26" t="n">
        <v>23</v>
      </c>
      <c r="N27" s="26" t="n">
        <v>23</v>
      </c>
      <c r="O27" s="26" t="n">
        <v>23</v>
      </c>
      <c r="P27" s="27">
        <f>O27</f>
        <v/>
      </c>
      <c r="Q27" s="26" t="n">
        <v>23</v>
      </c>
      <c r="R27" s="26" t="n">
        <v>23</v>
      </c>
      <c r="S27" s="26" t="n">
        <v>23</v>
      </c>
      <c r="T27" s="26" t="n">
        <v>23</v>
      </c>
      <c r="U27" s="27">
        <f>T27</f>
        <v/>
      </c>
      <c r="V27" s="26" t="n">
        <v>23</v>
      </c>
      <c r="W27" s="26" t="n">
        <v>40.139</v>
      </c>
      <c r="X27" s="26" t="n">
        <v>40.139</v>
      </c>
      <c r="Y27" s="26" t="n">
        <v>40.139</v>
      </c>
      <c r="Z27" s="27">
        <f>Y27</f>
        <v/>
      </c>
      <c r="AA27" s="26" t="n">
        <v>40.139</v>
      </c>
      <c r="AB27" s="28" t="n">
        <v>40.139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>
        <v>48.34</v>
      </c>
      <c r="P31" s="34">
        <f>SUM(L31:O31)</f>
        <v/>
      </c>
      <c r="Q31" s="18" t="n">
        <v>25.32</v>
      </c>
      <c r="R31" s="18" t="n">
        <v>13.1</v>
      </c>
      <c r="S31" s="18" t="n">
        <v>14.87</v>
      </c>
      <c r="T31" s="18" t="n">
        <v>16.61</v>
      </c>
      <c r="U31" s="34">
        <f>SUM(Q31:T31)</f>
        <v/>
      </c>
      <c r="V31" s="18" t="n">
        <v>15.81</v>
      </c>
      <c r="W31" s="18" t="n">
        <v>14.58</v>
      </c>
      <c r="X31" s="18" t="n">
        <v>17.49</v>
      </c>
      <c r="Y31" s="18" t="n">
        <v>18.46</v>
      </c>
      <c r="Z31" s="34">
        <f>SUM(V31:Y31)</f>
        <v/>
      </c>
      <c r="AA31" s="18" t="n">
        <v>18.38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0.82</v>
      </c>
      <c r="F32" s="34" t="n">
        <v>0.78</v>
      </c>
      <c r="G32" s="18" t="n">
        <v>0.97</v>
      </c>
      <c r="H32" s="18" t="n">
        <v>1.13</v>
      </c>
      <c r="I32" s="18" t="n">
        <v>1.25</v>
      </c>
      <c r="J32" s="18" t="n">
        <v>1.17</v>
      </c>
      <c r="K32" s="34">
        <f>SUM(G32:J32)</f>
        <v/>
      </c>
      <c r="L32" s="18" t="n">
        <v>1.2</v>
      </c>
      <c r="M32" s="18" t="n">
        <v>1.19</v>
      </c>
      <c r="N32" s="18" t="n">
        <v>1.26</v>
      </c>
      <c r="O32" s="18" t="n">
        <v>1.06</v>
      </c>
      <c r="P32" s="34">
        <f>SUM(L32:O32)</f>
        <v/>
      </c>
      <c r="Q32" s="18" t="n">
        <v>1.1</v>
      </c>
      <c r="R32" s="18" t="n">
        <v>1.2</v>
      </c>
      <c r="S32" s="18" t="n">
        <v>1.5</v>
      </c>
      <c r="T32" s="18" t="n">
        <v>1.63</v>
      </c>
      <c r="U32" s="34">
        <f>SUM(Q32:T32)</f>
        <v/>
      </c>
      <c r="V32" s="18" t="n">
        <v>1.96</v>
      </c>
      <c r="W32" s="18" t="n">
        <v>2.95</v>
      </c>
      <c r="X32" s="18" t="n">
        <v>3.91</v>
      </c>
      <c r="Y32" s="18" t="n">
        <v>4.13</v>
      </c>
      <c r="Z32" s="34">
        <f>SUM(V32:Y32)</f>
        <v/>
      </c>
      <c r="AA32" s="18" t="n">
        <v>3.83</v>
      </c>
      <c r="AB32" s="19" t="n">
        <v>4.34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1662.98</v>
      </c>
      <c r="F33" s="34" t="n"/>
      <c r="G33" s="18" t="n">
        <v>1119.18</v>
      </c>
      <c r="H33" s="18" t="n">
        <v>1049.16</v>
      </c>
      <c r="I33" s="18" t="n">
        <v>1374.16</v>
      </c>
      <c r="J33" s="18" t="n">
        <v>1897.71</v>
      </c>
      <c r="K33" s="34">
        <f>SUM(G33:J33)</f>
        <v/>
      </c>
      <c r="L33" s="18" t="n">
        <v>1169.81</v>
      </c>
      <c r="M33" s="18" t="n">
        <v>1634.37</v>
      </c>
      <c r="N33" s="18" t="n">
        <v>1385.35</v>
      </c>
      <c r="O33" s="18" t="n">
        <v>2114.24</v>
      </c>
      <c r="P33" s="34">
        <f>SUM(L33:O33)</f>
        <v/>
      </c>
      <c r="Q33" s="18" t="n">
        <v>1155.06</v>
      </c>
      <c r="R33" s="18" t="n">
        <v>1973.61</v>
      </c>
      <c r="S33" s="18" t="n">
        <v>1939.68</v>
      </c>
      <c r="T33" s="18" t="n">
        <v>2177.75</v>
      </c>
      <c r="U33" s="34">
        <f>SUM(Q33:T33)</f>
        <v/>
      </c>
      <c r="V33" s="18" t="n">
        <v>1391.39</v>
      </c>
      <c r="W33" s="18" t="n">
        <v>2136.55</v>
      </c>
      <c r="X33" s="18" t="n">
        <v>1920.66</v>
      </c>
      <c r="Y33" s="18" t="n">
        <v>2444.82</v>
      </c>
      <c r="Z33" s="34">
        <f>SUM(V33:Y33)</f>
        <v/>
      </c>
      <c r="AA33" s="18" t="n">
        <v>1890.11</v>
      </c>
      <c r="AB33" s="19" t="n">
        <v>2129.9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34.97</v>
      </c>
      <c r="F34" s="34" t="n"/>
      <c r="G34" s="18" t="n">
        <v>-11.27</v>
      </c>
      <c r="H34" s="18" t="n">
        <v>6.34</v>
      </c>
      <c r="I34" s="18" t="n">
        <v>12.66</v>
      </c>
      <c r="J34" s="18" t="n">
        <v>-95.89</v>
      </c>
      <c r="K34" s="34">
        <f>SUM(G34:J34)</f>
        <v/>
      </c>
      <c r="L34" s="18" t="n">
        <v>-3.5</v>
      </c>
      <c r="M34" s="18" t="n">
        <v>44.5</v>
      </c>
      <c r="N34" s="18" t="n">
        <v>18.84</v>
      </c>
      <c r="O34" s="18" t="n">
        <v>128.84</v>
      </c>
      <c r="P34" s="34">
        <f>SUM(L34:O34)</f>
        <v/>
      </c>
      <c r="Q34" s="18" t="n">
        <v>68.13</v>
      </c>
      <c r="R34" s="18" t="n">
        <v>217.66</v>
      </c>
      <c r="S34" s="18" t="n">
        <v>54.26</v>
      </c>
      <c r="T34" s="18" t="n">
        <v>82.31999999999999</v>
      </c>
      <c r="U34" s="34">
        <f>SUM(Q34:T34)</f>
        <v/>
      </c>
      <c r="V34" s="18" t="n">
        <v>154.52</v>
      </c>
      <c r="W34" s="18" t="n">
        <v>333.48</v>
      </c>
      <c r="X34" s="18" t="n">
        <v>154.26</v>
      </c>
      <c r="Y34" s="18" t="n">
        <v>53.68</v>
      </c>
      <c r="Z34" s="34">
        <f>SUM(V34:Y34)</f>
        <v/>
      </c>
      <c r="AA34" s="18" t="n">
        <v>175.04</v>
      </c>
      <c r="AB34" s="19" t="n">
        <v>249.61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1659.3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12.99</v>
      </c>
    </row>
    <row r="32">
      <c r="C32" s="2" t="inlineStr">
        <is>
          <t>pbr_now</t>
        </is>
      </c>
      <c r="D32" t="n">
        <v>2.26</v>
      </c>
    </row>
    <row r="33">
      <c r="C33" s="2" t="inlineStr">
        <is>
          <t>roe_fwd</t>
        </is>
      </c>
      <c r="D33" t="n">
        <v>0.1739</v>
      </c>
    </row>
    <row r="34">
      <c r="C34" s="2" t="inlineStr">
        <is>
          <t>fair_pbr</t>
        </is>
      </c>
      <c r="D34" t="n">
        <v>1.93</v>
      </c>
    </row>
    <row r="35">
      <c r="C35" s="2" t="inlineStr">
        <is>
          <t>fair_value_pbr</t>
        </is>
      </c>
      <c r="D35" t="n">
        <v>18400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