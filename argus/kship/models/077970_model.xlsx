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BS연결!$C$5:$AO$103</definedName>
    <definedName name="BS별도H">BS별도!$C$1:$AO$1</definedName>
    <definedName name="BS별도">BS별도!$C$5:$AO$92</definedName>
    <definedName name="SUBQH">subQ!$A$1:$AO$1</definedName>
    <definedName name="subQ">subQ!$A$5:$AO$42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(1+9.7%) — g=최근 4분기 합 YoY 9.7% 클립(−30~+50%), 연차별 절반 감쇠(가정)</t>
      </text>
    </comment>
    <comment ref="AD21" authorId="0" shapeId="0">
      <text>
        <t>모델값 역산(implied): v / 전년동기 − 1
전년동기 × (1+9.7%) — g=최근 4분기 합 YoY 9.7% 클립(−30~+50%), 연차별 절반 감쇠(가정)</t>
      </text>
    </comment>
    <comment ref="AF21" authorId="0" shapeId="0">
      <text>
        <t>모델값 역산(implied): v / 전년동기 − 1
전년동기 × (1+9.7%) — g=최근 4분기 합 YoY 9.7% 클립(−30~+50%), 연차별 절반 감쇠(가정)</t>
      </text>
    </comment>
    <comment ref="AG21" authorId="0" shapeId="0">
      <text>
        <t>모델값 역산(implied): v / 전년동기 − 1
전년동기 × (1+9.7%) — g=최근 4분기 합 YoY 9.7% 클립(−30~+50%), 연차별 절반 감쇠(가정)</t>
      </text>
    </comment>
    <comment ref="AH21" authorId="0" shapeId="0">
      <text>
        <t>모델값 역산(implied): v / 전년동기 − 1
전년동기 × (1+4.8%) — g=최근 4분기 합 YoY 9.7% 클립(−30~+50%), 연차별 절반 감쇠(가정)</t>
      </text>
    </comment>
    <comment ref="AI21" authorId="0" shapeId="0">
      <text>
        <t>모델값 역산(implied): v / 전년동기 − 1
전년동기 × (1+4.8%) — g=최근 4분기 합 YoY 9.7% 클립(−30~+50%), 연차별 절반 감쇠(가정)</t>
      </text>
    </comment>
    <comment ref="AK21" authorId="0" shapeId="0">
      <text>
        <t>모델값 역산(implied): v / 전년동기 − 1
전년동기 × (1+4.8%) — g=최근 4분기 합 YoY 9.7% 클립(−30~+50%), 연차별 절반 감쇠(가정)</t>
      </text>
    </comment>
    <comment ref="AL21" authorId="0" shapeId="0">
      <text>
        <t>모델값 역산(implied): v / 전년동기 − 1
전년동기 × (1+4.8%) — g=최근 4분기 합 YoY 9.7% 클립(−30~+50%), 연차별 절반 감쇠(가정)</t>
      </text>
    </comment>
    <comment ref="AM21" authorId="0" shapeId="0">
      <text>
        <t>모델값 역산(implied): v / 전년동기 − 1
전년동기 × (1+2.4%) — g=최근 4분기 합 YoY 9.7% 클립(−30~+50%), 연차별 절반 감쇠(가정)</t>
      </text>
    </comment>
    <comment ref="AN21" authorId="0" shapeId="0">
      <text>
        <t>모델값 역산(implied): v / 전년동기 − 1
전년동기 × (1+2.4%) — g=최근 4분기 합 YoY 9.7% 클립(−30~+50%), 연차별 절반 감쇠(가정)</t>
      </text>
    </comment>
    <comment ref="AC22" authorId="0" shapeId="0">
      <text>
        <t>3절 스칼라 '판관비율' 참조 — 숫자로 덮어쓰면 이 분기만 바뀐다
매출액 × 판관비율 7.88%(최근 4분기 중위)</t>
      </text>
    </comment>
    <comment ref="AD22" authorId="0" shapeId="0">
      <text>
        <t>3절 스칼라 '판관비율' 참조 — 숫자로 덮어쓰면 이 분기만 바뀐다
매출액 × 판관비율 7.88%(최근 4분기 중위)</t>
      </text>
    </comment>
    <comment ref="AF22" authorId="0" shapeId="0">
      <text>
        <t>3절 스칼라 '판관비율' 참조 — 숫자로 덮어쓰면 이 분기만 바뀐다
매출액 × 판관비율 7.88%(최근 4분기 중위)</t>
      </text>
    </comment>
    <comment ref="AG22" authorId="0" shapeId="0">
      <text>
        <t>3절 스칼라 '판관비율' 참조 — 숫자로 덮어쓰면 이 분기만 바뀐다
매출액 × 판관비율 7.88%(최근 4분기 중위)</t>
      </text>
    </comment>
    <comment ref="AH22" authorId="0" shapeId="0">
      <text>
        <t>3절 스칼라 '판관비율' 참조 — 숫자로 덮어쓰면 이 분기만 바뀐다
매출액 × 판관비율 7.88%(최근 4분기 중위)</t>
      </text>
    </comment>
    <comment ref="AI22" authorId="0" shapeId="0">
      <text>
        <t>3절 스칼라 '판관비율' 참조 — 숫자로 덮어쓰면 이 분기만 바뀐다
매출액 × 판관비율 7.88%(최근 4분기 중위)</t>
      </text>
    </comment>
    <comment ref="AK22" authorId="0" shapeId="0">
      <text>
        <t>3절 스칼라 '판관비율' 참조 — 숫자로 덮어쓰면 이 분기만 바뀐다
매출액 × 판관비율 7.88%(최근 4분기 중위)</t>
      </text>
    </comment>
    <comment ref="AL22" authorId="0" shapeId="0">
      <text>
        <t>3절 스칼라 '판관비율' 참조 — 숫자로 덮어쓰면 이 분기만 바뀐다
매출액 × 판관비율 7.88%(최근 4분기 중위)</t>
      </text>
    </comment>
    <comment ref="AM22" authorId="0" shapeId="0">
      <text>
        <t>3절 스칼라 '판관비율' 참조 — 숫자로 덮어쓰면 이 분기만 바뀐다
매출액 × 판관비율 7.88%(최근 4분기 중위)</t>
      </text>
    </comment>
    <comment ref="AN22" authorId="0" shapeId="0">
      <text>
        <t>3절 스칼라 '판관비율' 참조 — 숫자로 덮어쓰면 이 분기만 바뀐다
매출액 × 판관비율 7.88%(최근 4분기 중위)</t>
      </text>
    </comment>
    <comment ref="AC23" authorId="0" shapeId="0">
      <text>
        <t>모델값 역산(implied): v / 매출액
매출액 × OPM(최근 8분기 OPM 중위 8.6% 유지(클립 −20~40%))</t>
      </text>
    </comment>
    <comment ref="AD23" authorId="0" shapeId="0">
      <text>
        <t>모델값 역산(implied): v / 매출액
매출액 × OPM(최근 8분기 OPM 중위 8.6% 유지(클립 −20~40%))</t>
      </text>
    </comment>
    <comment ref="AF23" authorId="0" shapeId="0">
      <text>
        <t>모델값 역산(implied): v / 매출액
매출액 × OPM(최근 8분기 OPM 중위 8.6% 유지(클립 −20~40%))</t>
      </text>
    </comment>
    <comment ref="AG23" authorId="0" shapeId="0">
      <text>
        <t>모델값 역산(implied): v / 매출액
매출액 × OPM(최근 8분기 OPM 중위 8.6% 유지(클립 −20~40%))</t>
      </text>
    </comment>
    <comment ref="AH23" authorId="0" shapeId="0">
      <text>
        <t>모델값 역산(implied): v / 매출액
매출액 × OPM(최근 8분기 OPM 중위 8.6% 유지(클립 −20~40%))</t>
      </text>
    </comment>
    <comment ref="AI23" authorId="0" shapeId="0">
      <text>
        <t>모델값 역산(implied): v / 매출액
매출액 × OPM(최근 8분기 OPM 중위 8.6% 유지(클립 −20~40%))</t>
      </text>
    </comment>
    <comment ref="AK23" authorId="0" shapeId="0">
      <text>
        <t>모델값 역산(implied): v / 매출액
매출액 × OPM(최근 8분기 OPM 중위 8.6% 유지(클립 −20~40%))</t>
      </text>
    </comment>
    <comment ref="AL23" authorId="0" shapeId="0">
      <text>
        <t>모델값 역산(implied): v / 매출액
매출액 × OPM(최근 8분기 OPM 중위 8.6% 유지(클립 −20~40%))</t>
      </text>
    </comment>
    <comment ref="AM23" authorId="0" shapeId="0">
      <text>
        <t>모델값 역산(implied): v / 매출액
매출액 × OPM(최근 8분기 OPM 중위 8.6% 유지(클립 −20~40%))</t>
      </text>
    </comment>
    <comment ref="AN23" authorId="0" shapeId="0">
      <text>
        <t>모델값 역산(implied): v / 매출액
매출액 × OPM(최근 8분기 OPM 중위 8.6%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최근 4분기(2025Q3~2026Q2) 잔차 중위</t>
      </text>
    </comment>
    <comment ref="AD26" authorId="0" shapeId="0">
      <text>
        <t>모델값 역산(implied): 모델 v 그대로
최근 4분기(2025Q3~2026Q2) 잔차 중위</t>
      </text>
    </comment>
    <comment ref="AF26" authorId="0" shapeId="0">
      <text>
        <t>모델값 역산(implied): 모델 v 그대로
최근 4분기(2025Q3~2026Q2) 잔차 중위</t>
      </text>
    </comment>
    <comment ref="AG26" authorId="0" shapeId="0">
      <text>
        <t>모델값 역산(implied): 모델 v 그대로
최근 4분기(2025Q3~2026Q2) 잔차 중위</t>
      </text>
    </comment>
    <comment ref="AH26" authorId="0" shapeId="0">
      <text>
        <t>모델값 역산(implied): 모델 v 그대로
최근 4분기(2025Q3~2026Q2) 잔차 중위</t>
      </text>
    </comment>
    <comment ref="AI26" authorId="0" shapeId="0">
      <text>
        <t>모델값 역산(implied): 모델 v 그대로
최근 4분기(2025Q3~2026Q2) 잔차 중위</t>
      </text>
    </comment>
    <comment ref="AK26" authorId="0" shapeId="0">
      <text>
        <t>모델값 역산(implied): 모델 v 그대로
최근 4분기(2025Q3~2026Q2) 잔차 중위</t>
      </text>
    </comment>
    <comment ref="AL26" authorId="0" shapeId="0">
      <text>
        <t>모델값 역산(implied): 모델 v 그대로
최근 4분기(2025Q3~2026Q2) 잔차 중위</t>
      </text>
    </comment>
    <comment ref="AM26" authorId="0" shapeId="0">
      <text>
        <t>모델값 역산(implied): 모델 v 그대로
최근 4분기(2025Q3~2026Q2) 잔차 중위</t>
      </text>
    </comment>
    <comment ref="AN26" authorId="0" shapeId="0">
      <text>
        <t>모델값 역산(implied): 모델 v 그대로
최근 4분기(2025Q3~2026Q2) 잔차 중위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모델값 역산(implied): v / 세전이익 · 모델 가정 tax_schedule 0.0(r4)
max(세전, 0) × 세율 0.0%(이월결손 경로 유지 — 최근 8분기 중 세전 &gt; 0 인 8분기(2024Q3~2026Q2) 법인세/세전 중위 -3.3%·최근 4분기 중위 -1.8% 가 모두 5% 미만 → 이월결손 공제 중으로 보고 0.0% 를 2026Q4 까지 유지, 2027Q1~2028Q4 선형 램프로 법정세율 근사 22% 수렴)</t>
      </text>
    </comment>
    <comment ref="AD28" authorId="0" shapeId="0">
      <text>
        <t>모델값 역산(implied): v / 세전이익 · 모델 가정 tax_schedule 0.0(r4)
max(세전, 0) × 세율 0.0%(이월결손 경로 유지 — 최근 8분기 중 세전 &gt; 0 인 8분기(2024Q3~2026Q2) 법인세/세전 중위 -3.3%·최근 4분기 중위 -1.8% 가 모두 5% 미만 → 이월결손 공제 중으로 보고 0.0% 를 2026Q4 까지 유지, 2027Q1~2028Q4 선형 램프로 법정세율 근사 22% 수렴)</t>
      </text>
    </comment>
    <comment ref="AF28" authorId="0" shapeId="0">
      <text>
        <t>모델값 역산(implied): v / 세전이익 · 모델 가정 tax_schedule 0.0275(r4)
max(세전, 0) × 세율 2.8%(이월결손 경로 램프 1/8 — 최근 8분기 중 세전 &gt; 0 인 8분기(2024Q3~2026Q2) 법인세/세전 중위 -3.3%·최근 4분기 중위 -1.8% 가 모두 5% 미만 → 이월결손 공제 중으로 보고 0.0% 를 2026Q4 까지 유지, 2027Q1~2028Q4 선형 램프로 법정세율 근사 22% 수렴)</t>
      </text>
    </comment>
    <comment ref="AG28" authorId="0" shapeId="0">
      <text>
        <t>모델값 역산(implied): v / 세전이익 · 모델 가정 tax_schedule 0.055(r4)
max(세전, 0) × 세율 5.5%(이월결손 경로 램프 2/8 — 최근 8분기 중 세전 &gt; 0 인 8분기(2024Q3~2026Q2) 법인세/세전 중위 -3.3%·최근 4분기 중위 -1.8% 가 모두 5% 미만 → 이월결손 공제 중으로 보고 0.0% 를 2026Q4 까지 유지, 2027Q1~2028Q4 선형 램프로 법정세율 근사 22% 수렴)</t>
      </text>
    </comment>
    <comment ref="AH28" authorId="0" shapeId="0">
      <text>
        <t>모델값 역산(implied): v / 세전이익 · 모델 가정 tax_schedule 0.0825(r4)
max(세전, 0) × 세율 8.2%(이월결손 경로 램프 3/8 — 최근 8분기 중 세전 &gt; 0 인 8분기(2024Q3~2026Q2) 법인세/세전 중위 -3.3%·최근 4분기 중위 -1.8% 가 모두 5% 미만 → 이월결손 공제 중으로 보고 0.0% 를 2026Q4 까지 유지, 2027Q1~2028Q4 선형 램프로 법정세율 근사 22% 수렴)</t>
      </text>
    </comment>
    <comment ref="AI28" authorId="0" shapeId="0">
      <text>
        <t>모델값 역산(implied): v / 세전이익 · 모델 가정 tax_schedule 0.11(r4)
max(세전, 0) × 세율 11.0%(이월결손 경로 램프 4/8 — 최근 8분기 중 세전 &gt; 0 인 8분기(2024Q3~2026Q2) 법인세/세전 중위 -3.3%·최근 4분기 중위 -1.8% 가 모두 5% 미만 → 이월결손 공제 중으로 보고 0.0% 를 2026Q4 까지 유지, 2027Q1~2028Q4 선형 램프로 법정세율 근사 22% 수렴)</t>
      </text>
    </comment>
    <comment ref="AK28" authorId="0" shapeId="0">
      <text>
        <t>모델값 역산(implied): v / 세전이익 · 모델 가정 tax_schedule 0.1375(r4)
max(세전, 0) × 세율 13.8%(이월결손 경로 램프 5/8 — 최근 8분기 중 세전 &gt; 0 인 8분기(2024Q3~2026Q2) 법인세/세전 중위 -3.3%·최근 4분기 중위 -1.8% 가 모두 5% 미만 → 이월결손 공제 중으로 보고 0.0% 를 2026Q4 까지 유지, 2027Q1~2028Q4 선형 램프로 법정세율 근사 22% 수렴)</t>
      </text>
    </comment>
    <comment ref="AL28" authorId="0" shapeId="0">
      <text>
        <t>모델값 역산(implied): v / 세전이익 · 모델 가정 tax_schedule 0.165(r4)
max(세전, 0) × 세율 16.5%(이월결손 경로 램프 6/8 — 최근 8분기 중 세전 &gt; 0 인 8분기(2024Q3~2026Q2) 법인세/세전 중위 -3.3%·최근 4분기 중위 -1.8% 가 모두 5% 미만 → 이월결손 공제 중으로 보고 0.0% 를 2026Q4 까지 유지, 2027Q1~2028Q4 선형 램프로 법정세율 근사 22% 수렴)</t>
      </text>
    </comment>
    <comment ref="AM28" authorId="0" shapeId="0">
      <text>
        <t>모델값 역산(implied): v / 세전이익 · 모델 가정 tax_schedule 0.1925(r4)
max(세전, 0) × 세율 19.2%(이월결손 경로 램프 7/8 — 최근 8분기 중 세전 &gt; 0 인 8분기(2024Q3~2026Q2) 법인세/세전 중위 -3.3%·최근 4분기 중위 -1.8% 가 모두 5% 미만 → 이월결손 공제 중으로 보고 0.0% 를 2026Q4 까지 유지, 2027Q1~2028Q4 선형 램프로 법정세율 근사 22% 수렴)</t>
      </text>
    </comment>
    <comment ref="AN28" authorId="0" shapeId="0">
      <text>
        <t>모델값 역산(implied): v / 세전이익 · 모델 가정 tax_schedule 0.22(r4)
max(세전, 0) × 세율 22.0%(이월결손 경로 램프 8/8 — 최근 8분기 중 세전 &gt; 0 인 8분기(2024Q3~2026Q2) 법인세/세전 중위 -3.3%·최근 4분기 중위 -1.8% 가 모두 5% 미만 → 이월결손 공제 중으로 보고 0.0% 를 2026Q4 까지 유지, 2027Q1~2028Q4 선형 램프로 법정세율 근사 22% 수렴)</t>
      </text>
    </comment>
    <comment ref="AC29" authorId="0" shapeId="0">
      <text>
        <t>3절 스칼라 '지배주주비중' 참조 — 숫자로 덮어쓰면 이 분기만 바뀐다
당기순이익 × (1 − 비지배 비중 0.0%, 최근 8분기 실측)</t>
      </text>
    </comment>
    <comment ref="AD29" authorId="0" shapeId="0">
      <text>
        <t>3절 스칼라 '지배주주비중' 참조 — 숫자로 덮어쓰면 이 분기만 바뀐다
당기순이익 × (1 − 비지배 비중 0.0%, 최근 8분기 실측)</t>
      </text>
    </comment>
    <comment ref="AF29" authorId="0" shapeId="0">
      <text>
        <t>3절 스칼라 '지배주주비중' 참조 — 숫자로 덮어쓰면 이 분기만 바뀐다
당기순이익 × (1 − 비지배 비중 0.0%, 최근 8분기 실측)</t>
      </text>
    </comment>
    <comment ref="AG29" authorId="0" shapeId="0">
      <text>
        <t>3절 스칼라 '지배주주비중' 참조 — 숫자로 덮어쓰면 이 분기만 바뀐다
당기순이익 × (1 − 비지배 비중 0.0%, 최근 8분기 실측)</t>
      </text>
    </comment>
    <comment ref="AH29" authorId="0" shapeId="0">
      <text>
        <t>3절 스칼라 '지배주주비중' 참조 — 숫자로 덮어쓰면 이 분기만 바뀐다
당기순이익 × (1 − 비지배 비중 0.0%, 최근 8분기 실측)</t>
      </text>
    </comment>
    <comment ref="AI29" authorId="0" shapeId="0">
      <text>
        <t>3절 스칼라 '지배주주비중' 참조 — 숫자로 덮어쓰면 이 분기만 바뀐다
당기순이익 × (1 − 비지배 비중 0.0%, 최근 8분기 실측)</t>
      </text>
    </comment>
    <comment ref="AK29" authorId="0" shapeId="0">
      <text>
        <t>3절 스칼라 '지배주주비중' 참조 — 숫자로 덮어쓰면 이 분기만 바뀐다
당기순이익 × (1 − 비지배 비중 0.0%, 최근 8분기 실측)</t>
      </text>
    </comment>
    <comment ref="AL29" authorId="0" shapeId="0">
      <text>
        <t>3절 스칼라 '지배주주비중' 참조 — 숫자로 덮어쓰면 이 분기만 바뀐다
당기순이익 × (1 − 비지배 비중 0.0%, 최근 8분기 실측)</t>
      </text>
    </comment>
    <comment ref="AM29" authorId="0" shapeId="0">
      <text>
        <t>3절 스칼라 '지배주주비중' 참조 — 숫자로 덮어쓰면 이 분기만 바뀐다
당기순이익 × (1 − 비지배 비중 0.0%, 최근 8분기 실측)</t>
      </text>
    </comment>
    <comment ref="AN29" authorId="0" shapeId="0">
      <text>
        <t>3절 스칼라 '지배주주비중' 참조 — 숫자로 덮어쓰면 이 분기만 바뀐다
당기순이익 × (1 − 비지배 비중 0.0%, 최근 8분기 실측)</t>
      </text>
    </comment>
    <comment ref="AC30" authorId="0" shapeId="0">
      <text>
        <t>모델값 역산(implied): v / 전분기 − 1
마지막 실적 유지(가정)</t>
      </text>
    </comment>
    <comment ref="AD30" authorId="0" shapeId="0">
      <text>
        <t>모델값 역산(implied): v / 전분기 − 1
마지막 실적 유지(가정)</t>
      </text>
    </comment>
    <comment ref="AF30" authorId="0" shapeId="0">
      <text>
        <t>모델값 역산(implied): v / 전분기 − 1
마지막 실적 유지(가정)</t>
      </text>
    </comment>
    <comment ref="AG30" authorId="0" shapeId="0">
      <text>
        <t>모델값 역산(implied): v / 전분기 − 1
마지막 실적 유지(가정)</t>
      </text>
    </comment>
    <comment ref="AH30" authorId="0" shapeId="0">
      <text>
        <t>모델값 역산(implied): v / 전분기 − 1
마지막 실적 유지(가정)</t>
      </text>
    </comment>
    <comment ref="AI30" authorId="0" shapeId="0">
      <text>
        <t>모델값 역산(implied): v / 전분기 − 1
마지막 실적 유지(가정)</t>
      </text>
    </comment>
    <comment ref="AK30" authorId="0" shapeId="0">
      <text>
        <t>모델값 역산(implied): v / 전분기 − 1
마지막 실적 유지(가정)</t>
      </text>
    </comment>
    <comment ref="AL30" authorId="0" shapeId="0">
      <text>
        <t>모델값 역산(implied): v / 전분기 − 1
마지막 실적 유지(가정)</t>
      </text>
    </comment>
    <comment ref="AM30" authorId="0" shapeId="0">
      <text>
        <t>모델값 역산(implied): v / 전분기 − 1
마지막 실적 유지(가정)</t>
      </text>
    </comment>
    <comment ref="AN30" authorId="0" shapeId="0">
      <text>
        <t>모델값 역산(implied): v / 전분기 − 1
마지막 실적 유지(가정)</t>
      </text>
    </comment>
    <comment ref="AC31" authorId="0" shapeId="0">
      <text>
        <t>모델값 역산(implied): 전분기(시트값) + 당기순이익(시트 수식값) − v
전분기 + 당기순이익 − 배당(Q2 지급 가정)</t>
      </text>
    </comment>
    <comment ref="AD31" authorId="0" shapeId="0">
      <text>
        <t>모델값 역산(implied): 전분기(시트값) + 당기순이익(시트 수식값) − v
전분기 + 당기순이익 − 배당(Q2 지급 가정)</t>
      </text>
    </comment>
    <comment ref="AF31" authorId="0" shapeId="0">
      <text>
        <t>모델값 역산(implied): 전분기(시트값) + 당기순이익(시트 수식값) − v
전분기 + 당기순이익 − 배당(Q2 지급 가정)</t>
      </text>
    </comment>
    <comment ref="AG31" authorId="0" shapeId="0">
      <text>
        <t>모델값 역산(implied): 전분기(시트값) + 당기순이익(시트 수식값) − v
전분기 + 당기순이익 − 배당(Q2 지급 가정)</t>
      </text>
    </comment>
    <comment ref="AH31" authorId="0" shapeId="0">
      <text>
        <t>모델값 역산(implied): 전분기(시트값) + 당기순이익(시트 수식값) − v
전분기 + 당기순이익 − 배당(Q2 지급 가정)</t>
      </text>
    </comment>
    <comment ref="AI31" authorId="0" shapeId="0">
      <text>
        <t>모델값 역산(implied): 전분기(시트값) + 당기순이익(시트 수식값) − v
전분기 + 당기순이익 − 배당(Q2 지급 가정)</t>
      </text>
    </comment>
    <comment ref="AK31" authorId="0" shapeId="0">
      <text>
        <t>모델값 역산(implied): 전분기(시트값) + 당기순이익(시트 수식값) − v
전분기 + 당기순이익 − 배당(Q2 지급 가정)</t>
      </text>
    </comment>
    <comment ref="AL31" authorId="0" shapeId="0">
      <text>
        <t>모델값 역산(implied): 전분기(시트값) + 당기순이익(시트 수식값) − v
전분기 + 당기순이익 − 배당(Q2 지급 가정)</t>
      </text>
    </comment>
    <comment ref="AM31" authorId="0" shapeId="0">
      <text>
        <t>모델값 역산(implied): 전분기(시트값) + 당기순이익(시트 수식값) − v
전분기 + 당기순이익 − 배당(Q2 지급 가정)</t>
      </text>
    </comment>
    <comment ref="AN31" authorId="0" shapeId="0">
      <text>
        <t>모델값 역산(implied): 전분기(시트값) + 당기순이익(시트 수식값) − v
전분기 + 당기순이익 − 배당(Q2 지급 가정)</t>
      </text>
    </comment>
    <comment ref="AC32" authorId="0" shapeId="0">
      <text>
        <t>모델값 역산(implied): 전분기(시트값) + 지배주주순이익(시트 수식값) − v
전분기 + 지배주주순이익 − 배당</t>
      </text>
    </comment>
    <comment ref="AD32" authorId="0" shapeId="0">
      <text>
        <t>모델값 역산(implied): 전분기(시트값) + 지배주주순이익(시트 수식값) − v
전분기 + 지배주주순이익 − 배당</t>
      </text>
    </comment>
    <comment ref="AF32" authorId="0" shapeId="0">
      <text>
        <t>모델값 역산(implied): 전분기(시트값) + 지배주주순이익(시트 수식값) − v
전분기 + 지배주주순이익 − 배당</t>
      </text>
    </comment>
    <comment ref="AG32" authorId="0" shapeId="0">
      <text>
        <t>모델값 역산(implied): 전분기(시트값) + 지배주주순이익(시트 수식값) − v
전분기 + 지배주주순이익 − 배당</t>
      </text>
    </comment>
    <comment ref="AH32" authorId="0" shapeId="0">
      <text>
        <t>모델값 역산(implied): 전분기(시트값) + 지배주주순이익(시트 수식값) − v
전분기 + 지배주주순이익 − 배당</t>
      </text>
    </comment>
    <comment ref="AI32" authorId="0" shapeId="0">
      <text>
        <t>모델값 역산(implied): 전분기(시트값) + 지배주주순이익(시트 수식값) − v
전분기 + 지배주주순이익 − 배당</t>
      </text>
    </comment>
    <comment ref="AK32" authorId="0" shapeId="0">
      <text>
        <t>모델값 역산(implied): 전분기(시트값) + 지배주주순이익(시트 수식값) − v
전분기 + 지배주주순이익 − 배당</t>
      </text>
    </comment>
    <comment ref="AL32" authorId="0" shapeId="0">
      <text>
        <t>모델값 역산(implied): 전분기(시트값) + 지배주주순이익(시트 수식값) − v
전분기 + 지배주주순이익 − 배당</t>
      </text>
    </comment>
    <comment ref="AM32" authorId="0" shapeId="0">
      <text>
        <t>모델값 역산(implied): 전분기(시트값) + 지배주주순이익(시트 수식값) − v
전분기 + 지배주주순이익 − 배당</t>
      </text>
    </comment>
    <comment ref="AN32" authorId="0" shapeId="0">
      <text>
        <t>모델값 역산(implied): 전분기(시트값) + 지배주주순이익(시트 수식값) − v
전분기 + 지배주주순이익 − 배당</t>
      </text>
    </comment>
    <comment ref="AC33" authorId="0" shapeId="0">
      <text>
        <t>모델값 역산(implied): v / 전분기 − 1
마지막 실적 유지(가정)</t>
      </text>
    </comment>
    <comment ref="AD33" authorId="0" shapeId="0">
      <text>
        <t>모델값 역산(implied): v / 전분기 − 1
마지막 실적 유지(가정)</t>
      </text>
    </comment>
    <comment ref="AF33" authorId="0" shapeId="0">
      <text>
        <t>모델값 역산(implied): v / 전분기 − 1
마지막 실적 유지(가정)</t>
      </text>
    </comment>
    <comment ref="AG33" authorId="0" shapeId="0">
      <text>
        <t>모델값 역산(implied): v / 전분기 − 1
마지막 실적 유지(가정)</t>
      </text>
    </comment>
    <comment ref="AH33" authorId="0" shapeId="0">
      <text>
        <t>모델값 역산(implied): v / 전분기 − 1
마지막 실적 유지(가정)</t>
      </text>
    </comment>
    <comment ref="AI33" authorId="0" shapeId="0">
      <text>
        <t>모델값 역산(implied): v / 전분기 − 1
마지막 실적 유지(가정)</t>
      </text>
    </comment>
    <comment ref="AK33" authorId="0" shapeId="0">
      <text>
        <t>모델값 역산(implied): v / 전분기 − 1
마지막 실적 유지(가정)</t>
      </text>
    </comment>
    <comment ref="AL33" authorId="0" shapeId="0">
      <text>
        <t>모델값 역산(implied): v / 전분기 − 1
마지막 실적 유지(가정)</t>
      </text>
    </comment>
    <comment ref="AM33" authorId="0" shapeId="0">
      <text>
        <t>모델값 역산(implied): v / 전분기 − 1
마지막 실적 유지(가정)</t>
      </text>
    </comment>
    <comment ref="AN33" authorId="0" shapeId="0">
      <text>
        <t>모델값 역산(implied): v / 전분기 − 1
마지막 실적 유지(가정)</t>
      </text>
    </comment>
    <comment ref="AC34" authorId="0" shapeId="0">
      <text>
        <t>모델값 역산(implied): v / 전분기 − 1
전분기 − FCF 근사[순이익 − 배당(감가상각비 없음 → CAPEX≈감가 가정, CAPEX 중위 53억은 행에만)] (운전자본 불변·총차입금 유지 가정 → 변동은 전부 현금)</t>
      </text>
    </comment>
    <comment ref="AD34" authorId="0" shapeId="0">
      <text>
        <t>모델값 역산(implied): v / 전분기 − 1
전분기 − FCF 근사[순이익 − 배당(감가상각비 없음 → CAPEX≈감가 가정, CAPEX 중위 53억은 행에만)] (운전자본 불변·총차입금 유지 가정 → 변동은 전부 현금)</t>
      </text>
    </comment>
    <comment ref="AF34" authorId="0" shapeId="0">
      <text>
        <t>모델값 역산(implied): v / 전분기 − 1
전분기 − FCF 근사[순이익 − 배당(감가상각비 없음 → CAPEX≈감가 가정, CAPEX 중위 53억은 행에만)] (운전자본 불변·총차입금 유지 가정 → 변동은 전부 현금)</t>
      </text>
    </comment>
    <comment ref="AG34" authorId="0" shapeId="0">
      <text>
        <t>모델값 역산(implied): v / 전분기 − 1
전분기 − FCF 근사[순이익 − 배당(감가상각비 없음 → CAPEX≈감가 가정, CAPEX 중위 53억은 행에만)] (운전자본 불변·총차입금 유지 가정 → 변동은 전부 현금)</t>
      </text>
    </comment>
    <comment ref="AH34" authorId="0" shapeId="0">
      <text>
        <t>모델값 역산(implied): v / 전분기 − 1
전분기 − FCF 근사[순이익 − 배당(감가상각비 없음 → CAPEX≈감가 가정, CAPEX 중위 53억은 행에만)] (운전자본 불변·총차입금 유지 가정 → 변동은 전부 현금)</t>
      </text>
    </comment>
    <comment ref="AI34" authorId="0" shapeId="0">
      <text>
        <t>모델값 역산(implied): v / 전분기 − 1
전분기 − FCF 근사[순이익 − 배당(감가상각비 없음 → CAPEX≈감가 가정, CAPEX 중위 53억은 행에만)] (운전자본 불변·총차입금 유지 가정 → 변동은 전부 현금)</t>
      </text>
    </comment>
    <comment ref="AK34" authorId="0" shapeId="0">
      <text>
        <t>모델값 역산(implied): v / 전분기 − 1
전분기 − FCF 근사[순이익 − 배당(감가상각비 없음 → CAPEX≈감가 가정, CAPEX 중위 53억은 행에만)] (운전자본 불변·총차입금 유지 가정 → 변동은 전부 현금)</t>
      </text>
    </comment>
    <comment ref="AL34" authorId="0" shapeId="0">
      <text>
        <t>모델값 역산(implied): v / 전분기 − 1
전분기 − FCF 근사[순이익 − 배당(감가상각비 없음 → CAPEX≈감가 가정, CAPEX 중위 53억은 행에만)] (운전자본 불변·총차입금 유지 가정 → 변동은 전부 현금)</t>
      </text>
    </comment>
    <comment ref="AM34" authorId="0" shapeId="0">
      <text>
        <t>모델값 역산(implied): v / 전분기 − 1
전분기 − FCF 근사[순이익 − 배당(감가상각비 없음 → CAPEX≈감가 가정, CAPEX 중위 53억은 행에만)] (운전자본 불변·총차입금 유지 가정 → 변동은 전부 현금)</t>
      </text>
    </comment>
    <comment ref="AN34" authorId="0" shapeId="0">
      <text>
        <t>모델값 역산(implied): v / 전분기 − 1
전분기 − FCF 근사[순이익 − 배당(감가상각비 없음 → CAPEX≈감가 가정, CAPEX 중위 53억은 행에만)] (운전자본 불변·총차입금 유지 가정 → 변동은 전부 현금)</t>
      </text>
    </comment>
    <comment ref="AC35" authorId="0" shapeId="0">
      <text>
        <t>모델값 역산(implied): v / 전분기 − 1
전분기 + FCF 근사 — 순차입금 롤과 같은 가정</t>
      </text>
    </comment>
    <comment ref="AD35" authorId="0" shapeId="0">
      <text>
        <t>모델값 역산(implied): v / 전분기 − 1
전분기 + FCF 근사 — 순차입금 롤과 같은 가정</t>
      </text>
    </comment>
    <comment ref="AF35" authorId="0" shapeId="0">
      <text>
        <t>모델값 역산(implied): v / 전분기 − 1
전분기 + FCF 근사 — 순차입금 롤과 같은 가정</t>
      </text>
    </comment>
    <comment ref="AG35" authorId="0" shapeId="0">
      <text>
        <t>모델값 역산(implied): v / 전분기 − 1
전분기 + FCF 근사 — 순차입금 롤과 같은 가정</t>
      </text>
    </comment>
    <comment ref="AH35" authorId="0" shapeId="0">
      <text>
        <t>모델값 역산(implied): v / 전분기 − 1
전분기 + FCF 근사 — 순차입금 롤과 같은 가정</t>
      </text>
    </comment>
    <comment ref="AI35" authorId="0" shapeId="0">
      <text>
        <t>모델값 역산(implied): v / 전분기 − 1
전분기 + FCF 근사 — 순차입금 롤과 같은 가정</t>
      </text>
    </comment>
    <comment ref="AK35" authorId="0" shapeId="0">
      <text>
        <t>모델값 역산(implied): v / 전분기 − 1
전분기 + FCF 근사 — 순차입금 롤과 같은 가정</t>
      </text>
    </comment>
    <comment ref="AL35" authorId="0" shapeId="0">
      <text>
        <t>모델값 역산(implied): v / 전분기 − 1
전분기 + FCF 근사 — 순차입금 롤과 같은 가정</t>
      </text>
    </comment>
    <comment ref="AM35" authorId="0" shapeId="0">
      <text>
        <t>모델값 역산(implied): v / 전분기 − 1
전분기 + FCF 근사 — 순차입금 롤과 같은 가정</t>
      </text>
    </comment>
    <comment ref="AN35" authorId="0" shapeId="0">
      <text>
        <t>모델값 역산(implied): v / 전분기 − 1
전분기 + FCF 근사 — 순차입금 롤과 같은 가정</t>
      </text>
    </comment>
    <comment ref="AC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9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v / 전분기 − 1
유통주식수 유지 — fin.shares.common_outstanding(2026Q2)</t>
      </text>
    </comment>
    <comment ref="AF39" authorId="0" shapeId="0">
      <text>
        <t>모델값 역산(implied): v / 전분기 − 1
유통주식수 유지 — fin.shares.common_outstanding(2026Q2)</t>
      </text>
    </comment>
    <comment ref="AG39" authorId="0" shapeId="0">
      <text>
        <t>모델값 역산(implied): v / 전분기 − 1
유통주식수 유지 — fin.shares.common_outstanding(2026Q2)</t>
      </text>
    </comment>
    <comment ref="AH39" authorId="0" shapeId="0">
      <text>
        <t>모델값 역산(implied): v / 전분기 − 1
유통주식수 유지 — fin.shares.common_outstanding(2026Q2)</t>
      </text>
    </comment>
    <comment ref="AI39" authorId="0" shapeId="0">
      <text>
        <t>모델값 역산(implied): v / 전분기 − 1
유통주식수 유지 — fin.shares.common_outstanding(2026Q2)</t>
      </text>
    </comment>
    <comment ref="AK39" authorId="0" shapeId="0">
      <text>
        <t>모델값 역산(implied): v / 전분기 − 1
유통주식수 유지 — fin.shares.common_outstanding(2026Q2)</t>
      </text>
    </comment>
    <comment ref="AL39" authorId="0" shapeId="0">
      <text>
        <t>모델값 역산(implied): v / 전분기 − 1
유통주식수 유지 — fin.shares.common_outstanding(2026Q2)</t>
      </text>
    </comment>
    <comment ref="AM39" authorId="0" shapeId="0">
      <text>
        <t>모델값 역산(implied): v / 전분기 − 1
유통주식수 유지 — fin.shares.common_outstanding(2026Q2)</t>
      </text>
    </comment>
    <comment ref="AN39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모델 v 그대로
직전 결산 DPS 0원 유지</t>
      </text>
    </comment>
    <comment ref="AI40" authorId="0" shapeId="0">
      <text>
        <t>모델값 역산(implied): 모델 v 그대로
직전 결산 DPS 0원 유지</t>
      </text>
    </comment>
    <comment ref="AN40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(1+9.7%) — g=최근 4분기 합 YoY 9.7% 클립(−30~+50%), 연차별 절반 감쇠(가정)
[yoy]</t>
      </text>
    </comment>
    <comment ref="AD5" authorId="0" shapeId="0">
      <text>
        <t>추정: 전년동기 × (1+9.7%) — g=최근 4분기 합 YoY 9.7% 클립(−30~+50%), 연차별 절반 감쇠(가정)
[yoy]</t>
      </text>
    </comment>
    <comment ref="AF5" authorId="0" shapeId="0">
      <text>
        <t>추정: 전년동기 × (1+9.7%) — g=최근 4분기 합 YoY 9.7% 클립(−30~+50%), 연차별 절반 감쇠(가정)
[yoy]</t>
      </text>
    </comment>
    <comment ref="AG5" authorId="0" shapeId="0">
      <text>
        <t>추정: 전년동기 × (1+9.7%) — g=최근 4분기 합 YoY 9.7% 클립(−30~+50%), 연차별 절반 감쇠(가정)
[yoy]</t>
      </text>
    </comment>
    <comment ref="AH5" authorId="0" shapeId="0">
      <text>
        <t>추정: 전년동기 × (1+4.8%) — g=최근 4분기 합 YoY 9.7% 클립(−30~+50%), 연차별 절반 감쇠(가정)
[yoy]</t>
      </text>
    </comment>
    <comment ref="AI5" authorId="0" shapeId="0">
      <text>
        <t>추정: 전년동기 × (1+4.8%) — g=최근 4분기 합 YoY 9.7% 클립(−30~+50%), 연차별 절반 감쇠(가정)
[yoy]</t>
      </text>
    </comment>
    <comment ref="AK5" authorId="0" shapeId="0">
      <text>
        <t>추정: 전년동기 × (1+4.8%) — g=최근 4분기 합 YoY 9.7% 클립(−30~+50%), 연차별 절반 감쇠(가정)
[yoy]</t>
      </text>
    </comment>
    <comment ref="AL5" authorId="0" shapeId="0">
      <text>
        <t>추정: 전년동기 × (1+4.8%) — g=최근 4분기 합 YoY 9.7% 클립(−30~+50%), 연차별 절반 감쇠(가정)
[yoy]</t>
      </text>
    </comment>
    <comment ref="AM5" authorId="0" shapeId="0">
      <text>
        <t>추정: 전년동기 × (1+2.4%) — g=최근 4분기 합 YoY 9.7% 클립(−30~+50%), 연차별 절반 감쇠(가정)
[yoy]</t>
      </text>
    </comment>
    <comment ref="AN5" authorId="0" shapeId="0">
      <text>
        <t>추정: 전년동기 × (1+2.4%) — g=최근 4분기 합 YoY 9.7%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7.88%(최근 4분기 중위)
[ratio]</t>
      </text>
    </comment>
    <comment ref="AD8" authorId="0" shapeId="0">
      <text>
        <t>추정: 매출액 × 판관비율 7.88%(최근 4분기 중위)
[ratio]</t>
      </text>
    </comment>
    <comment ref="AF8" authorId="0" shapeId="0">
      <text>
        <t>추정: 매출액 × 판관비율 7.88%(최근 4분기 중위)
[ratio]</t>
      </text>
    </comment>
    <comment ref="AG8" authorId="0" shapeId="0">
      <text>
        <t>추정: 매출액 × 판관비율 7.88%(최근 4분기 중위)
[ratio]</t>
      </text>
    </comment>
    <comment ref="AH8" authorId="0" shapeId="0">
      <text>
        <t>추정: 매출액 × 판관비율 7.88%(최근 4분기 중위)
[ratio]</t>
      </text>
    </comment>
    <comment ref="AI8" authorId="0" shapeId="0">
      <text>
        <t>추정: 매출액 × 판관비율 7.88%(최근 4분기 중위)
[ratio]</t>
      </text>
    </comment>
    <comment ref="AK8" authorId="0" shapeId="0">
      <text>
        <t>추정: 매출액 × 판관비율 7.88%(최근 4분기 중위)
[ratio]</t>
      </text>
    </comment>
    <comment ref="AL8" authorId="0" shapeId="0">
      <text>
        <t>추정: 매출액 × 판관비율 7.88%(최근 4분기 중위)
[ratio]</t>
      </text>
    </comment>
    <comment ref="AM8" authorId="0" shapeId="0">
      <text>
        <t>추정: 매출액 × 판관비율 7.88%(최근 4분기 중위)
[ratio]</t>
      </text>
    </comment>
    <comment ref="AN8" authorId="0" shapeId="0">
      <text>
        <t>추정: 매출액 × 판관비율 7.88%(최근 4분기 중위)
[ratio]</t>
      </text>
    </comment>
    <comment ref="AC9" authorId="0" shapeId="0">
      <text>
        <t>추정: 매출액 × OPM(최근 8분기 OPM 중위 8.6% 유지(클립 −20~40%))
[ratio]</t>
      </text>
    </comment>
    <comment ref="AD9" authorId="0" shapeId="0">
      <text>
        <t>추정: 매출액 × OPM(최근 8분기 OPM 중위 8.6% 유지(클립 −20~40%))
[ratio]</t>
      </text>
    </comment>
    <comment ref="AF9" authorId="0" shapeId="0">
      <text>
        <t>추정: 매출액 × OPM(최근 8분기 OPM 중위 8.6% 유지(클립 −20~40%))
[ratio]</t>
      </text>
    </comment>
    <comment ref="AG9" authorId="0" shapeId="0">
      <text>
        <t>추정: 매출액 × OPM(최근 8분기 OPM 중위 8.6% 유지(클립 −20~40%))
[ratio]</t>
      </text>
    </comment>
    <comment ref="AH9" authorId="0" shapeId="0">
      <text>
        <t>추정: 매출액 × OPM(최근 8분기 OPM 중위 8.6% 유지(클립 −20~40%))
[ratio]</t>
      </text>
    </comment>
    <comment ref="AI9" authorId="0" shapeId="0">
      <text>
        <t>추정: 매출액 × OPM(최근 8분기 OPM 중위 8.6% 유지(클립 −20~40%))
[ratio]</t>
      </text>
    </comment>
    <comment ref="AK9" authorId="0" shapeId="0">
      <text>
        <t>추정: 매출액 × OPM(최근 8분기 OPM 중위 8.6% 유지(클립 −20~40%))
[ratio]</t>
      </text>
    </comment>
    <comment ref="AL9" authorId="0" shapeId="0">
      <text>
        <t>추정: 매출액 × OPM(최근 8분기 OPM 중위 8.6% 유지(클립 −20~40%))
[ratio]</t>
      </text>
    </comment>
    <comment ref="AM9" authorId="0" shapeId="0">
      <text>
        <t>추정: 매출액 × OPM(최근 8분기 OPM 중위 8.6% 유지(클립 −20~40%))
[ratio]</t>
      </text>
    </comment>
    <comment ref="AN9" authorId="0" shapeId="0">
      <text>
        <t>추정: 매출액 × OPM(최근 8분기 OPM 중위 8.6% 유지(클립 −20~40%))
[ratio]</t>
      </text>
    </comment>
    <comment ref="AC10" authorId="0" shapeId="0">
      <text>
        <t>추정: 최근 8분기 OPM 중위 8.6% 유지(클립 −20~40%)
[divide]</t>
      </text>
    </comment>
    <comment ref="AD10" authorId="0" shapeId="0">
      <text>
        <t>추정: 최근 8분기 OPM 중위 8.6% 유지(클립 −20~40%)
[divide]</t>
      </text>
    </comment>
    <comment ref="AF10" authorId="0" shapeId="0">
      <text>
        <t>추정: 최근 8분기 OPM 중위 8.6% 유지(클립 −20~40%)
[divide]</t>
      </text>
    </comment>
    <comment ref="AG10" authorId="0" shapeId="0">
      <text>
        <t>추정: 최근 8분기 OPM 중위 8.6% 유지(클립 −20~40%)
[divide]</t>
      </text>
    </comment>
    <comment ref="AH10" authorId="0" shapeId="0">
      <text>
        <t>추정: 최근 8분기 OPM 중위 8.6% 유지(클립 −20~40%)
[divide]</t>
      </text>
    </comment>
    <comment ref="AI10" authorId="0" shapeId="0">
      <text>
        <t>추정: 최근 8분기 OPM 중위 8.6% 유지(클립 −20~40%)
[divide]</t>
      </text>
    </comment>
    <comment ref="AK10" authorId="0" shapeId="0">
      <text>
        <t>추정: 최근 8분기 OPM 중위 8.6% 유지(클립 −20~40%)
[divide]</t>
      </text>
    </comment>
    <comment ref="AL10" authorId="0" shapeId="0">
      <text>
        <t>추정: 최근 8분기 OPM 중위 8.6% 유지(클립 −20~40%)
[divide]</t>
      </text>
    </comment>
    <comment ref="AM10" authorId="0" shapeId="0">
      <text>
        <t>추정: 최근 8분기 OPM 중위 8.6% 유지(클립 −20~40%)
[divide]</t>
      </text>
    </comment>
    <comment ref="AN10" authorId="0" shapeId="0">
      <text>
        <t>추정: 최근 8분기 OPM 중위 8.6% 유지(클립 −20~40%)
[divide]</t>
      </text>
    </comment>
    <comment ref="AC11" authorId="0" shapeId="0">
      <text>
        <t>추정: 이자손익 + 외환손익 0 + 파생상품손익 0 + 기타금융손익 +0.00억(최근 4분기(2025Q3~2026Q2) 잔차 중위) (항등식); 이자손익 = 이자발생자산 1418억 × 2.33%(주석 이자수익 ÷ 평균 이자발생자산(2025Q3~2026Q2)) − 총차입금 3432억 × 3.71%(주석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+0.00억(최근 4분기(2025Q3~2026Q2) 잔차 중위) (항등식); 이자손익 = 이자발생자산 1577억 × 2.33%(주석 이자수익 ÷ 평균 이자발생자산(2025Q3~2026Q2)) − 총차입금 3432억 × 3.71%(주석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+0.00억(최근 4분기(2025Q3~2026Q2) 잔차 중위) (항등식); 이자손익 = 이자발생자산 1786억 × 2.33%(주석 이자수익 ÷ 평균 이자발생자산(2025Q3~2026Q2)) − 총차입금 3432억 × 3.71%(주석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+0.00억(최근 4분기(2025Q3~2026Q2) 잔차 중위) (항등식); 이자손익 = 이자발생자산 1939억 × 2.33%(주석 이자수익 ÷ 평균 이자발생자산(2025Q3~2026Q2)) − 총차입금 3432억 × 3.71%(주석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+0.00억(최근 4분기(2025Q3~2026Q2) 잔차 중위) (항등식); 이자손익 = 이자발생자산 2111억 × 2.33%(주석 이자수익 ÷ 평균 이자발생자산(2025Q3~2026Q2)) − 총차입금 3432억 × 3.71%(주석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+0.00억(최근 4분기(2025Q3~2026Q2) 잔차 중위) (항등식); 이자손익 = 이자발생자산 2268억 × 2.33%(주석 이자수익 ÷ 평균 이자발생자산(2025Q3~2026Q2)) − 총차입금 3432억 × 3.71%(주석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+0.00억(최근 4분기(2025Q3~2026Q2) 잔차 중위) (항등식); 이자손익 = 이자발생자산 2468억 × 2.33%(주석 이자수익 ÷ 평균 이자발생자산(2025Q3~2026Q2)) − 총차입금 3432억 × 3.71%(주석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+0.00억(최근 4분기(2025Q3~2026Q2) 잔차 중위) (항등식); 이자손익 = 이자발생자산 2615억 × 2.33%(주석 이자수익 ÷ 평균 이자발생자산(2025Q3~2026Q2)) − 총차입금 3432억 × 3.71%(주석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+0.00억(최근 4분기(2025Q3~2026Q2) 잔차 중위) (항등식); 이자손익 = 이자발생자산 2778억 × 2.33%(주석 이자수익 ÷ 평균 이자발생자산(2025Q3~2026Q2)) − 총차입금 3432억 × 3.71%(주석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+0.00억(최근 4분기(2025Q3~2026Q2) 잔차 중위) (항등식); 이자손익 = 이자발생자산 2923억 × 2.33%(주석 이자수익 ÷ 평균 이자발생자산(2025Q3~2026Q2)) − 총차입금 3432억 × 3.71%(주석 이자비용 ÷ 평균 총차입금(2025Q3~2026Q2)) (연율) ÷ 4; 환율 효과는 환관련손익 행 별도
[identity]</t>
      </text>
    </comment>
    <comment ref="AC12" authorId="0" shapeId="0">
      <text>
        <t>추정: 이자발생자산 1418억 × 2.33%(주석 이자수익 ÷ 평균 이자발생자산(2025Q3~2026Q2)) − 총차입금 3432억 × 3.71%(주석 이자비용 ÷ 평균 총차입금(2025Q3~2026Q2)) (연율) ÷ 4
[interest]</t>
      </text>
    </comment>
    <comment ref="AD12" authorId="0" shapeId="0">
      <text>
        <t>추정: 이자발생자산 1577억 × 2.33%(주석 이자수익 ÷ 평균 이자발생자산(2025Q3~2026Q2)) − 총차입금 3432억 × 3.71%(주석 이자비용 ÷ 평균 총차입금(2025Q3~2026Q2)) (연율) ÷ 4
[interest]</t>
      </text>
    </comment>
    <comment ref="AF12" authorId="0" shapeId="0">
      <text>
        <t>추정: 이자발생자산 1786억 × 2.33%(주석 이자수익 ÷ 평균 이자발생자산(2025Q3~2026Q2)) − 총차입금 3432억 × 3.71%(주석 이자비용 ÷ 평균 총차입금(2025Q3~2026Q2)) (연율) ÷ 4
[interest]</t>
      </text>
    </comment>
    <comment ref="AG12" authorId="0" shapeId="0">
      <text>
        <t>추정: 이자발생자산 1939억 × 2.33%(주석 이자수익 ÷ 평균 이자발생자산(2025Q3~2026Q2)) − 총차입금 3432억 × 3.71%(주석 이자비용 ÷ 평균 총차입금(2025Q3~2026Q2)) (연율) ÷ 4
[interest]</t>
      </text>
    </comment>
    <comment ref="AH12" authorId="0" shapeId="0">
      <text>
        <t>추정: 이자발생자산 2111억 × 2.33%(주석 이자수익 ÷ 평균 이자발생자산(2025Q3~2026Q2)) − 총차입금 3432억 × 3.71%(주석 이자비용 ÷ 평균 총차입금(2025Q3~2026Q2)) (연율) ÷ 4
[interest]</t>
      </text>
    </comment>
    <comment ref="AI12" authorId="0" shapeId="0">
      <text>
        <t>추정: 이자발생자산 2268억 × 2.33%(주석 이자수익 ÷ 평균 이자발생자산(2025Q3~2026Q2)) − 총차입금 3432억 × 3.71%(주석 이자비용 ÷ 평균 총차입금(2025Q3~2026Q2)) (연율) ÷ 4
[interest]</t>
      </text>
    </comment>
    <comment ref="AK12" authorId="0" shapeId="0">
      <text>
        <t>추정: 이자발생자산 2468억 × 2.33%(주석 이자수익 ÷ 평균 이자발생자산(2025Q3~2026Q2)) − 총차입금 3432억 × 3.71%(주석 이자비용 ÷ 평균 총차입금(2025Q3~2026Q2)) (연율) ÷ 4
[interest]</t>
      </text>
    </comment>
    <comment ref="AL12" authorId="0" shapeId="0">
      <text>
        <t>추정: 이자발생자산 2615억 × 2.33%(주석 이자수익 ÷ 평균 이자발생자산(2025Q3~2026Q2)) − 총차입금 3432억 × 3.71%(주석 이자비용 ÷ 평균 총차입금(2025Q3~2026Q2)) (연율) ÷ 4
[interest]</t>
      </text>
    </comment>
    <comment ref="AM12" authorId="0" shapeId="0">
      <text>
        <t>추정: 이자발생자산 2778억 × 2.33%(주석 이자수익 ÷ 평균 이자발생자산(2025Q3~2026Q2)) − 총차입금 3432억 × 3.71%(주석 이자비용 ÷ 평균 총차입금(2025Q3~2026Q2)) (연율) ÷ 4
[interest]</t>
      </text>
    </comment>
    <comment ref="AN12" authorId="0" shapeId="0">
      <text>
        <t>추정: 이자발생자산 2923억 × 2.33%(주석 이자수익 ÷ 평균 이자발생자산(2025Q3~2026Q2)) − 총차입금 3432억 × 3.71%(주석 이자비용 ÷ 평균 총차입금(2025Q3~2026Q2)) (연율) ÷ 4
[interest]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V14" authorId="0" shapeId="0">
      <text>
        <t>BS 계정 합·차: +파생상품이익 -파생상품손실</t>
      </text>
    </comment>
    <comment ref="W14" authorId="0" shapeId="0">
      <text>
        <t>BS 계정 합·차: +파생상품이익 -파생상품손실</t>
      </text>
    </comment>
    <comment ref="X14" authorId="0" shapeId="0">
      <text>
        <t>BS 계정 합·차: +파생상품이익 -파생상품손실</t>
      </text>
    </comment>
    <comment ref="Y14" authorId="0" shapeId="0">
      <text>
        <t>BS 계정 합·차: +파생상품이익 -파생상품손실</t>
      </text>
    </comment>
    <comment ref="AA14" authorId="0" shapeId="0">
      <text>
        <t>BS 계정 합·차: +파생상품이익 -파생상품손실</t>
      </text>
    </comment>
    <comment ref="AB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최근 4분기(2025Q3~2026Q2) 잔차 중위
[abs]</t>
      </text>
    </comment>
    <comment ref="AD15" authorId="0" shapeId="0">
      <text>
        <t>추정: 최근 4분기(2025Q3~2026Q2) 잔차 중위
[abs]</t>
      </text>
    </comment>
    <comment ref="AF15" authorId="0" shapeId="0">
      <text>
        <t>추정: 최근 4분기(2025Q3~2026Q2) 잔차 중위
[abs]</t>
      </text>
    </comment>
    <comment ref="AG15" authorId="0" shapeId="0">
      <text>
        <t>추정: 최근 4분기(2025Q3~2026Q2) 잔차 중위
[abs]</t>
      </text>
    </comment>
    <comment ref="AH15" authorId="0" shapeId="0">
      <text>
        <t>추정: 최근 4분기(2025Q3~2026Q2) 잔차 중위
[abs]</t>
      </text>
    </comment>
    <comment ref="AI15" authorId="0" shapeId="0">
      <text>
        <t>추정: 최근 4분기(2025Q3~2026Q2) 잔차 중위
[abs]</t>
      </text>
    </comment>
    <comment ref="AK15" authorId="0" shapeId="0">
      <text>
        <t>추정: 최근 4분기(2025Q3~2026Q2) 잔차 중위
[abs]</t>
      </text>
    </comment>
    <comment ref="AL15" authorId="0" shapeId="0">
      <text>
        <t>추정: 최근 4분기(2025Q3~2026Q2) 잔차 중위
[abs]</t>
      </text>
    </comment>
    <comment ref="AM15" authorId="0" shapeId="0">
      <text>
        <t>추정: 최근 4분기(2025Q3~2026Q2) 잔차 중위
[abs]</t>
      </text>
    </comment>
    <comment ref="AN15" authorId="0" shapeId="0">
      <text>
        <t>추정: 최근 4분기(2025Q3~2026Q2) 잔차 중위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영업이익 + 금융손익 + 기타영업외 + 지분법 + 환관련(항등식)
[identity]</t>
      </text>
    </comment>
    <comment ref="AD17" authorId="0" shapeId="0">
      <text>
        <t>추정: 영업이익 + 금융손익 + 기타영업외 + 지분법 + 환관련(항등식)
[identity]</t>
      </text>
    </comment>
    <comment ref="AF17" authorId="0" shapeId="0">
      <text>
        <t>추정: 영업이익 + 금융손익 + 기타영업외 + 지분법 + 환관련(항등식)
[identity]</t>
      </text>
    </comment>
    <comment ref="AG17" authorId="0" shapeId="0">
      <text>
        <t>추정: 영업이익 + 금융손익 + 기타영업외 + 지분법 + 환관련(항등식)
[identity]</t>
      </text>
    </comment>
    <comment ref="AH17" authorId="0" shapeId="0">
      <text>
        <t>추정: 영업이익 + 금융손익 + 기타영업외 + 지분법 + 환관련(항등식)
[identity]</t>
      </text>
    </comment>
    <comment ref="AI17" authorId="0" shapeId="0">
      <text>
        <t>추정: 영업이익 + 금융손익 + 기타영업외 + 지분법 + 환관련(항등식)
[identity]</t>
      </text>
    </comment>
    <comment ref="AK17" authorId="0" shapeId="0">
      <text>
        <t>추정: 영업이익 + 금융손익 + 기타영업외 + 지분법 + 환관련(항등식)
[identity]</t>
      </text>
    </comment>
    <comment ref="AL17" authorId="0" shapeId="0">
      <text>
        <t>추정: 영업이익 + 금융손익 + 기타영업외 + 지분법 + 환관련(항등식)
[identity]</t>
      </text>
    </comment>
    <comment ref="AM17" authorId="0" shapeId="0">
      <text>
        <t>추정: 영업이익 + 금융손익 + 기타영업외 + 지분법 + 환관련(항등식)
[identity]</t>
      </text>
    </comment>
    <comment ref="AN17" authorId="0" shapeId="0">
      <text>
        <t>추정: 영업이익 + 금융손익 + 기타영업외 + 지분법 + 환관련(항등식)
[identity]</t>
      </text>
    </comment>
    <comment ref="AC18" authorId="0" shapeId="0">
      <text>
        <t>추정: max(세전, 0) × 세율 0.0%(이월결손 경로 유지 — 최근 8분기 중 세전 &gt; 0 인 8분기(2024Q3~2026Q2) 법인세/세전 중위 -3.3%·최근 4분기 중위 -1.8% 가 모두 5% 미만 → 이월결손 공제 중으로 보고 0.0% 를 2026Q4 까지 유지, 2027Q1~2028Q4 선형 램프로 법정세율 근사 22% 수렴)
[tax]</t>
      </text>
    </comment>
    <comment ref="AD18" authorId="0" shapeId="0">
      <text>
        <t>추정: max(세전, 0) × 세율 0.0%(이월결손 경로 유지 — 최근 8분기 중 세전 &gt; 0 인 8분기(2024Q3~2026Q2) 법인세/세전 중위 -3.3%·최근 4분기 중위 -1.8% 가 모두 5% 미만 → 이월결손 공제 중으로 보고 0.0% 를 2026Q4 까지 유지, 2027Q1~2028Q4 선형 램프로 법정세율 근사 22% 수렴)
[tax]</t>
      </text>
    </comment>
    <comment ref="AF18" authorId="0" shapeId="0">
      <text>
        <t>추정: max(세전, 0) × 세율 2.8%(이월결손 경로 램프 1/8 — 최근 8분기 중 세전 &gt; 0 인 8분기(2024Q3~2026Q2) 법인세/세전 중위 -3.3%·최근 4분기 중위 -1.8% 가 모두 5% 미만 → 이월결손 공제 중으로 보고 0.0% 를 2026Q4 까지 유지, 2027Q1~2028Q4 선형 램프로 법정세율 근사 22% 수렴)
[tax]</t>
      </text>
    </comment>
    <comment ref="AG18" authorId="0" shapeId="0">
      <text>
        <t>추정: max(세전, 0) × 세율 5.5%(이월결손 경로 램프 2/8 — 최근 8분기 중 세전 &gt; 0 인 8분기(2024Q3~2026Q2) 법인세/세전 중위 -3.3%·최근 4분기 중위 -1.8% 가 모두 5% 미만 → 이월결손 공제 중으로 보고 0.0% 를 2026Q4 까지 유지, 2027Q1~2028Q4 선형 램프로 법정세율 근사 22% 수렴)
[tax]</t>
      </text>
    </comment>
    <comment ref="AH18" authorId="0" shapeId="0">
      <text>
        <t>추정: max(세전, 0) × 세율 8.2%(이월결손 경로 램프 3/8 — 최근 8분기 중 세전 &gt; 0 인 8분기(2024Q3~2026Q2) 법인세/세전 중위 -3.3%·최근 4분기 중위 -1.8% 가 모두 5% 미만 → 이월결손 공제 중으로 보고 0.0% 를 2026Q4 까지 유지, 2027Q1~2028Q4 선형 램프로 법정세율 근사 22% 수렴)
[tax]</t>
      </text>
    </comment>
    <comment ref="AI18" authorId="0" shapeId="0">
      <text>
        <t>추정: max(세전, 0) × 세율 11.0%(이월결손 경로 램프 4/8 — 최근 8분기 중 세전 &gt; 0 인 8분기(2024Q3~2026Q2) 법인세/세전 중위 -3.3%·최근 4분기 중위 -1.8% 가 모두 5% 미만 → 이월결손 공제 중으로 보고 0.0% 를 2026Q4 까지 유지, 2027Q1~2028Q4 선형 램프로 법정세율 근사 22% 수렴)
[tax]</t>
      </text>
    </comment>
    <comment ref="AK18" authorId="0" shapeId="0">
      <text>
        <t>추정: max(세전, 0) × 세율 13.8%(이월결손 경로 램프 5/8 — 최근 8분기 중 세전 &gt; 0 인 8분기(2024Q3~2026Q2) 법인세/세전 중위 -3.3%·최근 4분기 중위 -1.8% 가 모두 5% 미만 → 이월결손 공제 중으로 보고 0.0% 를 2026Q4 까지 유지, 2027Q1~2028Q4 선형 램프로 법정세율 근사 22% 수렴)
[tax]</t>
      </text>
    </comment>
    <comment ref="AL18" authorId="0" shapeId="0">
      <text>
        <t>추정: max(세전, 0) × 세율 16.5%(이월결손 경로 램프 6/8 — 최근 8분기 중 세전 &gt; 0 인 8분기(2024Q3~2026Q2) 법인세/세전 중위 -3.3%·최근 4분기 중위 -1.8% 가 모두 5% 미만 → 이월결손 공제 중으로 보고 0.0% 를 2026Q4 까지 유지, 2027Q1~2028Q4 선형 램프로 법정세율 근사 22% 수렴)
[tax]</t>
      </text>
    </comment>
    <comment ref="AM18" authorId="0" shapeId="0">
      <text>
        <t>추정: max(세전, 0) × 세율 19.2%(이월결손 경로 램프 7/8 — 최근 8분기 중 세전 &gt; 0 인 8분기(2024Q3~2026Q2) 법인세/세전 중위 -3.3%·최근 4분기 중위 -1.8% 가 모두 5% 미만 → 이월결손 공제 중으로 보고 0.0% 를 2026Q4 까지 유지, 2027Q1~2028Q4 선형 램프로 법정세율 근사 22% 수렴)
[tax]</t>
      </text>
    </comment>
    <comment ref="AN18" authorId="0" shapeId="0">
      <text>
        <t>추정: max(세전, 0) × 세율 22.0%(이월결손 경로 램프 8/8 — 최근 8분기 중 세전 &gt; 0 인 8분기(2024Q3~2026Q2) 법인세/세전 중위 -3.3%·최근 4분기 중위 -1.8% 가 모두 5% 미만 → 이월결손 공제 중으로 보고 0.0% 를 2026Q4 까지 유지, 2027Q1~2028Q4 선형 램프로 법정세율 근사 22% 수렴)
[tax]</t>
      </text>
    </comment>
    <comment ref="AC19" authorId="0" shapeId="0">
      <text>
        <t>추정: 세전이익 − 법인세비용(항등식)
[identity]</t>
      </text>
    </comment>
    <comment ref="AD19" authorId="0" shapeId="0">
      <text>
        <t>추정: 세전이익 − 법인세비용(항등식)
[identity]</t>
      </text>
    </comment>
    <comment ref="AF19" authorId="0" shapeId="0">
      <text>
        <t>추정: 세전이익 − 법인세비용(항등식)
[identity]</t>
      </text>
    </comment>
    <comment ref="AG19" authorId="0" shapeId="0">
      <text>
        <t>추정: 세전이익 − 법인세비용(항등식)
[identity]</t>
      </text>
    </comment>
    <comment ref="AH19" authorId="0" shapeId="0">
      <text>
        <t>추정: 세전이익 − 법인세비용(항등식)
[identity]</t>
      </text>
    </comment>
    <comment ref="AI19" authorId="0" shapeId="0">
      <text>
        <t>추정: 세전이익 − 법인세비용(항등식)
[identity]</t>
      </text>
    </comment>
    <comment ref="AK19" authorId="0" shapeId="0">
      <text>
        <t>추정: 세전이익 − 법인세비용(항등식)
[identity]</t>
      </text>
    </comment>
    <comment ref="AL19" authorId="0" shapeId="0">
      <text>
        <t>추정: 세전이익 − 법인세비용(항등식)
[identity]</t>
      </text>
    </comment>
    <comment ref="AM19" authorId="0" shapeId="0">
      <text>
        <t>추정: 세전이익 − 법인세비용(항등식)
[identity]</t>
      </text>
    </comment>
    <comment ref="AN19" authorId="0" shapeId="0">
      <text>
        <t>추정: 세전이익 − 법인세비용(항등식)
[identity]</t>
      </text>
    </comment>
    <comment ref="AC20" authorId="0" shapeId="0">
      <text>
        <t>추정: 당기순이익 × (1 − 비지배 비중 0.0%, 최근 8분기 실측)
[ratio]</t>
      </text>
    </comment>
    <comment ref="AD20" authorId="0" shapeId="0">
      <text>
        <t>추정: 당기순이익 × (1 − 비지배 비중 0.0%, 최근 8분기 실측)
[ratio]</t>
      </text>
    </comment>
    <comment ref="AF20" authorId="0" shapeId="0">
      <text>
        <t>추정: 당기순이익 × (1 − 비지배 비중 0.0%, 최근 8분기 실측)
[ratio]</t>
      </text>
    </comment>
    <comment ref="AG20" authorId="0" shapeId="0">
      <text>
        <t>추정: 당기순이익 × (1 − 비지배 비중 0.0%, 최근 8분기 실측)
[ratio]</t>
      </text>
    </comment>
    <comment ref="AH20" authorId="0" shapeId="0">
      <text>
        <t>추정: 당기순이익 × (1 − 비지배 비중 0.0%, 최근 8분기 실측)
[ratio]</t>
      </text>
    </comment>
    <comment ref="AI20" authorId="0" shapeId="0">
      <text>
        <t>추정: 당기순이익 × (1 − 비지배 비중 0.0%, 최근 8분기 실측)
[ratio]</t>
      </text>
    </comment>
    <comment ref="AK20" authorId="0" shapeId="0">
      <text>
        <t>추정: 당기순이익 × (1 − 비지배 비중 0.0%, 최근 8분기 실측)
[ratio]</t>
      </text>
    </comment>
    <comment ref="AL20" authorId="0" shapeId="0">
      <text>
        <t>추정: 당기순이익 × (1 − 비지배 비중 0.0%, 최근 8분기 실측)
[ratio]</t>
      </text>
    </comment>
    <comment ref="AM20" authorId="0" shapeId="0">
      <text>
        <t>추정: 당기순이익 × (1 − 비지배 비중 0.0%, 최근 8분기 실측)
[ratio]</t>
      </text>
    </comment>
    <comment ref="AN20" authorId="0" shapeId="0">
      <text>
        <t>추정: 당기순이익 × (1 − 비지배 비중 0.0%, 최근 8분기 실측)
[ratio]</t>
      </text>
    </comment>
    <comment ref="AC21" authorId="0" shapeId="0">
      <text>
        <t>추정: 부채총계 + 자본총계(항등식)
[identity]</t>
      </text>
    </comment>
    <comment ref="AD21" authorId="0" shapeId="0">
      <text>
        <t>추정: 부채총계 + 자본총계(항등식)
[identity]</t>
      </text>
    </comment>
    <comment ref="AF21" authorId="0" shapeId="0">
      <text>
        <t>추정: 부채총계 + 자본총계(항등식)
[identity]</t>
      </text>
    </comment>
    <comment ref="AG21" authorId="0" shapeId="0">
      <text>
        <t>추정: 부채총계 + 자본총계(항등식)
[identity]</t>
      </text>
    </comment>
    <comment ref="AH21" authorId="0" shapeId="0">
      <text>
        <t>추정: 부채총계 + 자본총계(항등식)
[identity]</t>
      </text>
    </comment>
    <comment ref="AI21" authorId="0" shapeId="0">
      <text>
        <t>추정: 부채총계 + 자본총계(항등식)
[identity]</t>
      </text>
    </comment>
    <comment ref="AK21" authorId="0" shapeId="0">
      <text>
        <t>추정: 부채총계 + 자본총계(항등식)
[identity]</t>
      </text>
    </comment>
    <comment ref="AL21" authorId="0" shapeId="0">
      <text>
        <t>추정: 부채총계 + 자본총계(항등식)
[identity]</t>
      </text>
    </comment>
    <comment ref="AM21" authorId="0" shapeId="0">
      <text>
        <t>추정: 부채총계 + 자본총계(항등식)
[identity]</t>
      </text>
    </comment>
    <comment ref="AN21" authorId="0" shapeId="0">
      <text>
        <t>추정: 부채총계 + 자본총계(항등식)
[identity]</t>
      </text>
    </comment>
    <comment ref="AC22" authorId="0" shapeId="0">
      <text>
        <t>추정: 마지막 실적 유지(가정)
[qoq]</t>
      </text>
    </comment>
    <comment ref="AD22" authorId="0" shapeId="0">
      <text>
        <t>추정: 마지막 실적 유지(가정)
[qoq]</t>
      </text>
    </comment>
    <comment ref="AF22" authorId="0" shapeId="0">
      <text>
        <t>추정: 마지막 실적 유지(가정)
[qoq]</t>
      </text>
    </comment>
    <comment ref="AG22" authorId="0" shapeId="0">
      <text>
        <t>추정: 마지막 실적 유지(가정)
[qoq]</t>
      </text>
    </comment>
    <comment ref="AH22" authorId="0" shapeId="0">
      <text>
        <t>추정: 마지막 실적 유지(가정)
[qoq]</t>
      </text>
    </comment>
    <comment ref="AI22" authorId="0" shapeId="0">
      <text>
        <t>추정: 마지막 실적 유지(가정)
[qoq]</t>
      </text>
    </comment>
    <comment ref="AK22" authorId="0" shapeId="0">
      <text>
        <t>추정: 마지막 실적 유지(가정)
[qoq]</t>
      </text>
    </comment>
    <comment ref="AL22" authorId="0" shapeId="0">
      <text>
        <t>추정: 마지막 실적 유지(가정)
[qoq]</t>
      </text>
    </comment>
    <comment ref="AM22" authorId="0" shapeId="0">
      <text>
        <t>추정: 마지막 실적 유지(가정)
[qoq]</t>
      </text>
    </comment>
    <comment ref="AN22" authorId="0" shapeId="0">
      <text>
        <t>추정: 마지막 실적 유지(가정)
[qoq]</t>
      </text>
    </comment>
    <comment ref="AC23" authorId="0" shapeId="0">
      <text>
        <t>추정: 전분기 + 당기순이익 − 배당(Q2 지급 가정)
[roll]</t>
      </text>
    </comment>
    <comment ref="AD23" authorId="0" shapeId="0">
      <text>
        <t>추정: 전분기 + 당기순이익 − 배당(Q2 지급 가정)
[roll]</t>
      </text>
    </comment>
    <comment ref="AF23" authorId="0" shapeId="0">
      <text>
        <t>추정: 전분기 + 당기순이익 − 배당(Q2 지급 가정)
[roll]</t>
      </text>
    </comment>
    <comment ref="AG23" authorId="0" shapeId="0">
      <text>
        <t>추정: 전분기 + 당기순이익 − 배당(Q2 지급 가정)
[roll]</t>
      </text>
    </comment>
    <comment ref="AH23" authorId="0" shapeId="0">
      <text>
        <t>추정: 전분기 + 당기순이익 − 배당(Q2 지급 가정)
[roll]</t>
      </text>
    </comment>
    <comment ref="AI23" authorId="0" shapeId="0">
      <text>
        <t>추정: 전분기 + 당기순이익 − 배당(Q2 지급 가정)
[roll]</t>
      </text>
    </comment>
    <comment ref="AK23" authorId="0" shapeId="0">
      <text>
        <t>추정: 전분기 + 당기순이익 − 배당(Q2 지급 가정)
[roll]</t>
      </text>
    </comment>
    <comment ref="AL23" authorId="0" shapeId="0">
      <text>
        <t>추정: 전분기 + 당기순이익 − 배당(Q2 지급 가정)
[roll]</t>
      </text>
    </comment>
    <comment ref="AM23" authorId="0" shapeId="0">
      <text>
        <t>추정: 전분기 + 당기순이익 − 배당(Q2 지급 가정)
[roll]</t>
      </text>
    </comment>
    <comment ref="AN23" authorId="0" shapeId="0">
      <text>
        <t>추정: 전분기 + 당기순이익 − 배당(Q2 지급 가정)
[roll]</t>
      </text>
    </comment>
    <comment ref="AC24" authorId="0" shapeId="0">
      <text>
        <t>추정: 전분기 + 지배주주순이익 − 배당
[roll]</t>
      </text>
    </comment>
    <comment ref="AD24" authorId="0" shapeId="0">
      <text>
        <t>추정: 전분기 + 지배주주순이익 − 배당
[roll]</t>
      </text>
    </comment>
    <comment ref="AF24" authorId="0" shapeId="0">
      <text>
        <t>추정: 전분기 + 지배주주순이익 − 배당
[roll]</t>
      </text>
    </comment>
    <comment ref="AG24" authorId="0" shapeId="0">
      <text>
        <t>추정: 전분기 + 지배주주순이익 − 배당
[roll]</t>
      </text>
    </comment>
    <comment ref="AH24" authorId="0" shapeId="0">
      <text>
        <t>추정: 전분기 + 지배주주순이익 − 배당
[roll]</t>
      </text>
    </comment>
    <comment ref="AI24" authorId="0" shapeId="0">
      <text>
        <t>추정: 전분기 + 지배주주순이익 − 배당
[roll]</t>
      </text>
    </comment>
    <comment ref="AK24" authorId="0" shapeId="0">
      <text>
        <t>추정: 전분기 + 지배주주순이익 − 배당
[roll]</t>
      </text>
    </comment>
    <comment ref="AL24" authorId="0" shapeId="0">
      <text>
        <t>추정: 전분기 + 지배주주순이익 − 배당
[roll]</t>
      </text>
    </comment>
    <comment ref="AM24" authorId="0" shapeId="0">
      <text>
        <t>추정: 전분기 + 지배주주순이익 − 배당
[roll]</t>
      </text>
    </comment>
    <comment ref="AN24" authorId="0" shapeId="0">
      <text>
        <t>추정: 전분기 + 지배주주순이익 − 배당
[roll]</t>
      </text>
    </comment>
    <comment ref="AC25" authorId="0" shapeId="0">
      <text>
        <t>추정: 마지막 실적 유지(가정)
[qoq]</t>
      </text>
    </comment>
    <comment ref="AD25" authorId="0" shapeId="0">
      <text>
        <t>추정: 마지막 실적 유지(가정)
[qoq]</t>
      </text>
    </comment>
    <comment ref="AF25" authorId="0" shapeId="0">
      <text>
        <t>추정: 마지막 실적 유지(가정)
[qoq]</t>
      </text>
    </comment>
    <comment ref="AG25" authorId="0" shapeId="0">
      <text>
        <t>추정: 마지막 실적 유지(가정)
[qoq]</t>
      </text>
    </comment>
    <comment ref="AH25" authorId="0" shapeId="0">
      <text>
        <t>추정: 마지막 실적 유지(가정)
[qoq]</t>
      </text>
    </comment>
    <comment ref="AI25" authorId="0" shapeId="0">
      <text>
        <t>추정: 마지막 실적 유지(가정)
[qoq]</t>
      </text>
    </comment>
    <comment ref="AK25" authorId="0" shapeId="0">
      <text>
        <t>추정: 마지막 실적 유지(가정)
[qoq]</t>
      </text>
    </comment>
    <comment ref="AL25" authorId="0" shapeId="0">
      <text>
        <t>추정: 마지막 실적 유지(가정)
[qoq]</t>
      </text>
    </comment>
    <comment ref="AM25" authorId="0" shapeId="0">
      <text>
        <t>추정: 마지막 실적 유지(가정)
[qoq]</t>
      </text>
    </comment>
    <comment ref="AN25" authorId="0" shapeId="0">
      <text>
        <t>추정: 마지막 실적 유지(가정)
[qoq]</t>
      </text>
    </comment>
    <comment ref="AC26" authorId="0" shapeId="0">
      <text>
        <t>추정: 전분기 − FCF 근사[순이익 − 배당(감가상각비 없음 → CAPEX≈감가 가정, CAPEX 중위 53억은 행에만)] (운전자본 불변·총차입금 유지 가정 → 변동은 전부 현금)
[qoq]</t>
      </text>
    </comment>
    <comment ref="AD26" authorId="0" shapeId="0">
      <text>
        <t>추정: 전분기 − FCF 근사[순이익 − 배당(감가상각비 없음 → CAPEX≈감가 가정, CAPEX 중위 53억은 행에만)] (운전자본 불변·총차입금 유지 가정 → 변동은 전부 현금)
[qoq]</t>
      </text>
    </comment>
    <comment ref="AF26" authorId="0" shapeId="0">
      <text>
        <t>추정: 전분기 − FCF 근사[순이익 − 배당(감가상각비 없음 → CAPEX≈감가 가정, CAPEX 중위 53억은 행에만)] (운전자본 불변·총차입금 유지 가정 → 변동은 전부 현금)
[qoq]</t>
      </text>
    </comment>
    <comment ref="AG26" authorId="0" shapeId="0">
      <text>
        <t>추정: 전분기 − FCF 근사[순이익 − 배당(감가상각비 없음 → CAPEX≈감가 가정, CAPEX 중위 53억은 행에만)] (운전자본 불변·총차입금 유지 가정 → 변동은 전부 현금)
[qoq]</t>
      </text>
    </comment>
    <comment ref="AH26" authorId="0" shapeId="0">
      <text>
        <t>추정: 전분기 − FCF 근사[순이익 − 배당(감가상각비 없음 → CAPEX≈감가 가정, CAPEX 중위 53억은 행에만)] (운전자본 불변·총차입금 유지 가정 → 변동은 전부 현금)
[qoq]</t>
      </text>
    </comment>
    <comment ref="AI26" authorId="0" shapeId="0">
      <text>
        <t>추정: 전분기 − FCF 근사[순이익 − 배당(감가상각비 없음 → CAPEX≈감가 가정, CAPEX 중위 53억은 행에만)] (운전자본 불변·총차입금 유지 가정 → 변동은 전부 현금)
[qoq]</t>
      </text>
    </comment>
    <comment ref="AK26" authorId="0" shapeId="0">
      <text>
        <t>추정: 전분기 − FCF 근사[순이익 − 배당(감가상각비 없음 → CAPEX≈감가 가정, CAPEX 중위 53억은 행에만)] (운전자본 불변·총차입금 유지 가정 → 변동은 전부 현금)
[qoq]</t>
      </text>
    </comment>
    <comment ref="AL26" authorId="0" shapeId="0">
      <text>
        <t>추정: 전분기 − FCF 근사[순이익 − 배당(감가상각비 없음 → CAPEX≈감가 가정, CAPEX 중위 53억은 행에만)] (운전자본 불변·총차입금 유지 가정 → 변동은 전부 현금)
[qoq]</t>
      </text>
    </comment>
    <comment ref="AM26" authorId="0" shapeId="0">
      <text>
        <t>추정: 전분기 − FCF 근사[순이익 − 배당(감가상각비 없음 → CAPEX≈감가 가정, CAPEX 중위 53억은 행에만)] (운전자본 불변·총차입금 유지 가정 → 변동은 전부 현금)
[qoq]</t>
      </text>
    </comment>
    <comment ref="AN26" authorId="0" shapeId="0">
      <text>
        <t>추정: 전분기 − FCF 근사[순이익 − 배당(감가상각비 없음 → CAPEX≈감가 가정, CAPEX 중위 53억은 행에만)] (운전자본 불변·총차입금 유지 가정 → 변동은 전부 현금)
[qoq]</t>
      </text>
    </comment>
    <comment ref="AC27" authorId="0" shapeId="0">
      <text>
        <t>추정: 전분기 + FCF 근사 — 순차입금 롤과 같은 가정
[qoq]</t>
      </text>
    </comment>
    <comment ref="AD27" authorId="0" shapeId="0">
      <text>
        <t>추정: 전분기 + FCF 근사 — 순차입금 롤과 같은 가정
[qoq]</t>
      </text>
    </comment>
    <comment ref="AF27" authorId="0" shapeId="0">
      <text>
        <t>추정: 전분기 + FCF 근사 — 순차입금 롤과 같은 가정
[qoq]</t>
      </text>
    </comment>
    <comment ref="AG27" authorId="0" shapeId="0">
      <text>
        <t>추정: 전분기 + FCF 근사 — 순차입금 롤과 같은 가정
[qoq]</t>
      </text>
    </comment>
    <comment ref="AH27" authorId="0" shapeId="0">
      <text>
        <t>추정: 전분기 + FCF 근사 — 순차입금 롤과 같은 가정
[qoq]</t>
      </text>
    </comment>
    <comment ref="AI27" authorId="0" shapeId="0">
      <text>
        <t>추정: 전분기 + FCF 근사 — 순차입금 롤과 같은 가정
[qoq]</t>
      </text>
    </comment>
    <comment ref="AK27" authorId="0" shapeId="0">
      <text>
        <t>추정: 전분기 + FCF 근사 — 순차입금 롤과 같은 가정
[qoq]</t>
      </text>
    </comment>
    <comment ref="AL27" authorId="0" shapeId="0">
      <text>
        <t>추정: 전분기 + FCF 근사 — 순차입금 롤과 같은 가정
[qoq]</t>
      </text>
    </comment>
    <comment ref="AM27" authorId="0" shapeId="0">
      <text>
        <t>추정: 전분기 + FCF 근사 — 순차입금 롤과 같은 가정
[qoq]</t>
      </text>
    </comment>
    <comment ref="AN27" authorId="0" shapeId="0">
      <text>
        <t>추정: 전분기 + FCF 근사 — 순차입금 롤과 같은 가정
[qoq]</t>
      </text>
    </comment>
    <comment ref="AC29" authorId="0" shapeId="0">
      <text>
        <t>추정: 최근 4분기(2025Q3~2026Q2) CAPEX 중위 유지 — 순차입금 롤에 미반영(감가상각비 없음 → CAPEX≈감가 가정)
[yoy]</t>
      </text>
    </comment>
    <comment ref="AD29" authorId="0" shapeId="0">
      <text>
        <t>추정: 최근 4분기(2025Q3~2026Q2) CAPEX 중위 유지 — 순차입금 롤에 미반영(감가상각비 없음 → CAPEX≈감가 가정)
[yoy]</t>
      </text>
    </comment>
    <comment ref="AF29" authorId="0" shapeId="0">
      <text>
        <t>추정: 최근 4분기(2025Q3~2026Q2) CAPEX 중위 유지 — 순차입금 롤에 미반영(감가상각비 없음 → CAPEX≈감가 가정)
[yoy]</t>
      </text>
    </comment>
    <comment ref="AG29" authorId="0" shapeId="0">
      <text>
        <t>추정: 최근 4분기(2025Q3~2026Q2) CAPEX 중위 유지 — 순차입금 롤에 미반영(감가상각비 없음 → CAPEX≈감가 가정)
[yoy]</t>
      </text>
    </comment>
    <comment ref="AH29" authorId="0" shapeId="0">
      <text>
        <t>추정: 최근 4분기(2025Q3~2026Q2) CAPEX 중위 유지 — 순차입금 롤에 미반영(감가상각비 없음 → CAPEX≈감가 가정)
[yoy]</t>
      </text>
    </comment>
    <comment ref="AI29" authorId="0" shapeId="0">
      <text>
        <t>추정: 최근 4분기(2025Q3~2026Q2) CAPEX 중위 유지 — 순차입금 롤에 미반영(감가상각비 없음 → CAPEX≈감가 가정)
[yoy]</t>
      </text>
    </comment>
    <comment ref="AK29" authorId="0" shapeId="0">
      <text>
        <t>추정: 최근 4분기(2025Q3~2026Q2) CAPEX 중위 유지 — 순차입금 롤에 미반영(감가상각비 없음 → CAPEX≈감가 가정)
[yoy]</t>
      </text>
    </comment>
    <comment ref="AL29" authorId="0" shapeId="0">
      <text>
        <t>추정: 최근 4분기(2025Q3~2026Q2) CAPEX 중위 유지 — 순차입금 롤에 미반영(감가상각비 없음 → CAPEX≈감가 가정)
[yoy]</t>
      </text>
    </comment>
    <comment ref="AM29" authorId="0" shapeId="0">
      <text>
        <t>추정: 최근 4분기(2025Q3~2026Q2) CAPEX 중위 유지 — 순차입금 롤에 미반영(감가상각비 없음 → CAPEX≈감가 가정)
[yoy]</t>
      </text>
    </comment>
    <comment ref="AN29" authorId="0" shapeId="0">
      <text>
        <t>추정: 최근 4분기(2025Q3~2026Q2) CAPEX 중위 유지 — 순차입금 롤에 미반영(감가상각비 없음 → CAPEX≈감가 가정)
[yoy]</t>
      </text>
    </comment>
    <comment ref="E31" authorId="0" shapeId="0">
      <text>
        <t>실측(계정 매핑 없음(파생·부문·시세 행) — 모델값 직접) — fin.shares.common_outstanding</t>
      </text>
    </comment>
    <comment ref="G31" authorId="0" shapeId="0">
      <text>
        <t>실측(계정 매핑 없음(파생·부문·시세 행) — 모델값 직접) — fin.shares.common_outstanding</t>
      </text>
    </comment>
    <comment ref="H31" authorId="0" shapeId="0">
      <text>
        <t>실측(계정 매핑 없음(파생·부문·시세 행) — 모델값 직접) — fin.shares.common_outstanding</t>
      </text>
    </comment>
    <comment ref="I31" authorId="0" shapeId="0">
      <text>
        <t>실측(계정 매핑 없음(파생·부문·시세 행) — 모델값 직접) — fin.shares.common_outstanding</t>
      </text>
    </comment>
    <comment ref="J31" authorId="0" shapeId="0">
      <text>
        <t>실측(계정 매핑 없음(파생·부문·시세 행) — 모델값 직접) — fin.shares.common_outstanding</t>
      </text>
    </comment>
    <comment ref="L31" authorId="0" shapeId="0">
      <text>
        <t>실측(계정 매핑 없음(파생·부문·시세 행) — 모델값 직접) — fin.shares.common_outstanding</t>
      </text>
    </comment>
    <comment ref="M31" authorId="0" shapeId="0">
      <text>
        <t>실측(계정 매핑 없음(파생·부문·시세 행) — 모델값 직접) — fin.shares.common_outstanding</t>
      </text>
    </comment>
    <comment ref="N31" authorId="0" shapeId="0">
      <text>
        <t>실측(계정 매핑 없음(파생·부문·시세 행) — 모델값 직접) — fin.shares.common_outstanding</t>
      </text>
    </comment>
    <comment ref="O31" authorId="0" shapeId="0">
      <text>
        <t>실측(계정 매핑 없음(파생·부문·시세 행) — 모델값 직접) — fin.shares.common_outstanding</t>
      </text>
    </comment>
    <comment ref="Q31" authorId="0" shapeId="0">
      <text>
        <t>실측(계정 매핑 없음(파생·부문·시세 행) — 모델값 직접) — fin.shares.common_outstanding</t>
      </text>
    </comment>
    <comment ref="R31" authorId="0" shapeId="0">
      <text>
        <t>실측(계정 매핑 없음(파생·부문·시세 행) — 모델값 직접) — fin.shares.common_outstanding</t>
      </text>
    </comment>
    <comment ref="S31" authorId="0" shapeId="0">
      <text>
        <t>실측(계정 매핑 없음(파생·부문·시세 행) — 모델값 직접) — fin.shares.common_outstanding</t>
      </text>
    </comment>
    <comment ref="T31" authorId="0" shapeId="0">
      <text>
        <t>실측(계정 매핑 없음(파생·부문·시세 행) — 모델값 직접) — fin.shares.common_outstanding</t>
      </text>
    </comment>
    <comment ref="V31" authorId="0" shapeId="0">
      <text>
        <t>실측(계정 매핑 없음(파생·부문·시세 행) — 모델값 직접) — fin.shares.common_outstanding</t>
      </text>
    </comment>
    <comment ref="W31" authorId="0" shapeId="0">
      <text>
        <t>실측(계정 매핑 없음(파생·부문·시세 행) — 모델값 직접) — fin.shares.common_outstanding</t>
      </text>
    </comment>
    <comment ref="X31" authorId="0" shapeId="0">
      <text>
        <t>실측(계정 매핑 없음(파생·부문·시세 행) — 모델값 직접) — fin.shares.common_outstanding</t>
      </text>
    </comment>
    <comment ref="Y31" authorId="0" shapeId="0">
      <text>
        <t>실측(계정 매핑 없음(파생·부문·시세 행) — 모델값 직접) — fin.shares.common_outstanding</t>
      </text>
    </comment>
    <comment ref="AA31" authorId="0" shapeId="0">
      <text>
        <t>실측(계정 매핑 없음(파생·부문·시세 행) — 모델값 직접) — fin.shares.common_outstanding</t>
      </text>
    </comment>
    <comment ref="AB31" authorId="0" shapeId="0">
      <text>
        <t>실측(계정 매핑 없음(파생·부문·시세 행) — 모델값 직접) — fin.shares.common_outstanding</t>
      </text>
    </comment>
    <comment ref="AC31" authorId="0" shapeId="0">
      <text>
        <t>추정: 유통주식수 유지 — fin.shares.common_outstanding(2026Q2)
[qoq]</t>
      </text>
    </comment>
    <comment ref="AD31" authorId="0" shapeId="0">
      <text>
        <t>추정: 유통주식수 유지 — fin.shares.common_outstanding(2026Q2)
[qoq]</t>
      </text>
    </comment>
    <comment ref="AF31" authorId="0" shapeId="0">
      <text>
        <t>추정: 유통주식수 유지 — fin.shares.common_outstanding(2026Q2)
[qoq]</t>
      </text>
    </comment>
    <comment ref="AG31" authorId="0" shapeId="0">
      <text>
        <t>추정: 유통주식수 유지 — fin.shares.common_outstanding(2026Q2)
[qoq]</t>
      </text>
    </comment>
    <comment ref="AH31" authorId="0" shapeId="0">
      <text>
        <t>추정: 유통주식수 유지 — fin.shares.common_outstanding(2026Q2)
[qoq]</t>
      </text>
    </comment>
    <comment ref="AI31" authorId="0" shapeId="0">
      <text>
        <t>추정: 유통주식수 유지 — fin.shares.common_outstanding(2026Q2)
[qoq]</t>
      </text>
    </comment>
    <comment ref="AK31" authorId="0" shapeId="0">
      <text>
        <t>추정: 유통주식수 유지 — fin.shares.common_outstanding(2026Q2)
[qoq]</t>
      </text>
    </comment>
    <comment ref="AL31" authorId="0" shapeId="0">
      <text>
        <t>추정: 유통주식수 유지 — fin.shares.common_outstanding(2026Q2)
[qoq]</t>
      </text>
    </comment>
    <comment ref="AM31" authorId="0" shapeId="0">
      <text>
        <t>추정: 유통주식수 유지 — fin.shares.common_outstanding(2026Q2)
[qoq]</t>
      </text>
    </comment>
    <comment ref="AN31" authorId="0" shapeId="0">
      <text>
        <t>추정: 유통주식수 유지 — fin.shares.common_outstanding(2026Q2)
[qoq]</t>
      </text>
    </comment>
    <comment ref="AC32" authorId="0" shapeId="0">
      <text>
        <t>추정: 지배주주순이익 ÷ 유통주식수
[per_share]</t>
      </text>
    </comment>
    <comment ref="AD32" authorId="0" shapeId="0">
      <text>
        <t>추정: 지배주주순이익 ÷ 유통주식수
[per_share]</t>
      </text>
    </comment>
    <comment ref="AF32" authorId="0" shapeId="0">
      <text>
        <t>추정: 지배주주순이익 ÷ 유통주식수
[per_share]</t>
      </text>
    </comment>
    <comment ref="AG32" authorId="0" shapeId="0">
      <text>
        <t>추정: 지배주주순이익 ÷ 유통주식수
[per_share]</t>
      </text>
    </comment>
    <comment ref="AH32" authorId="0" shapeId="0">
      <text>
        <t>추정: 지배주주순이익 ÷ 유통주식수
[per_share]</t>
      </text>
    </comment>
    <comment ref="AI32" authorId="0" shapeId="0">
      <text>
        <t>추정: 지배주주순이익 ÷ 유통주식수
[per_share]</t>
      </text>
    </comment>
    <comment ref="AK32" authorId="0" shapeId="0">
      <text>
        <t>추정: 지배주주순이익 ÷ 유통주식수
[per_share]</t>
      </text>
    </comment>
    <comment ref="AL32" authorId="0" shapeId="0">
      <text>
        <t>추정: 지배주주순이익 ÷ 유통주식수
[per_share]</t>
      </text>
    </comment>
    <comment ref="AM32" authorId="0" shapeId="0">
      <text>
        <t>추정: 지배주주순이익 ÷ 유통주식수
[per_share]</t>
      </text>
    </comment>
    <comment ref="AN32" authorId="0" shapeId="0">
      <text>
        <t>추정: 지배주주순이익 ÷ 유통주식수
[per_share]</t>
      </text>
    </comment>
    <comment ref="AC33" authorId="0" shapeId="0">
      <text>
        <t>추정: 지배주주지분 ÷ 유통주식수
[per_share]</t>
      </text>
    </comment>
    <comment ref="AD33" authorId="0" shapeId="0">
      <text>
        <t>추정: 지배주주지분 ÷ 유통주식수
[per_share]</t>
      </text>
    </comment>
    <comment ref="AF33" authorId="0" shapeId="0">
      <text>
        <t>추정: 지배주주지분 ÷ 유통주식수
[per_share]</t>
      </text>
    </comment>
    <comment ref="AG33" authorId="0" shapeId="0">
      <text>
        <t>추정: 지배주주지분 ÷ 유통주식수
[per_share]</t>
      </text>
    </comment>
    <comment ref="AH33" authorId="0" shapeId="0">
      <text>
        <t>추정: 지배주주지분 ÷ 유통주식수
[per_share]</t>
      </text>
    </comment>
    <comment ref="AI33" authorId="0" shapeId="0">
      <text>
        <t>추정: 지배주주지분 ÷ 유통주식수
[per_share]</t>
      </text>
    </comment>
    <comment ref="AK33" authorId="0" shapeId="0">
      <text>
        <t>추정: 지배주주지분 ÷ 유통주식수
[per_share]</t>
      </text>
    </comment>
    <comment ref="AL33" authorId="0" shapeId="0">
      <text>
        <t>추정: 지배주주지분 ÷ 유통주식수
[per_share]</t>
      </text>
    </comment>
    <comment ref="AM33" authorId="0" shapeId="0">
      <text>
        <t>추정: 지배주주지분 ÷ 유통주식수
[per_share]</t>
      </text>
    </comment>
    <comment ref="AN33" authorId="0" shapeId="0">
      <text>
        <t>추정: 지배주주지분 ÷ 유통주식수
[per_share]</t>
      </text>
    </comment>
    <comment ref="E34" authorId="0" shapeId="0">
      <text>
        <t>실측(계정 매핑 없음(파생·부문·시세 행) — 모델값 직접) — fin.dividend.dps_common(연간, Q4 에 표기)</t>
      </text>
    </comment>
    <comment ref="F34" authorId="0" shapeId="0">
      <text>
        <t>연간(actual) — 분기 미완 연도, 모델 a 값 직접</t>
      </text>
    </comment>
    <comment ref="J34" authorId="0" shapeId="0">
      <text>
        <t>실측(계정 매핑 없음(파생·부문·시세 행) — 모델값 직접) — fin.dividend.dps_common(연간, Q4 에 표기)</t>
      </text>
    </comment>
    <comment ref="O34" authorId="0" shapeId="0">
      <text>
        <t>실측(계정 매핑 없음(파생·부문·시세 행) — 모델값 직접) — fin.dividend.dps_common(연간, Q4 에 표기)</t>
      </text>
    </comment>
    <comment ref="T34" authorId="0" shapeId="0">
      <text>
        <t>실측(계정 매핑 없음(파생·부문·시세 행) — 모델값 직접) — fin.dividend.dps_common(연간, Q4 에 표기)</t>
      </text>
    </comment>
    <comment ref="Y34" authorId="0" shapeId="0">
      <text>
        <t>실측(계정 매핑 없음(파생·부문·시세 행) — 모델값 직접) — fin.dividend.dps_common(연간, Q4 에 표기)</t>
      </text>
    </comment>
    <comment ref="AD34" authorId="0" shapeId="0">
      <text>
        <t>추정: 직전 결산 DPS 0원 유지
[abs]</t>
      </text>
    </comment>
    <comment ref="AI34" authorId="0" shapeId="0">
      <text>
        <t>추정: 직전 결산 DPS 0원 유지
[abs]</t>
      </text>
    </comment>
    <comment ref="AN34" authorId="0" shapeId="0">
      <text>
        <t>추정: 직전 결산 DPS 0원 유지
[abs]</t>
      </text>
    </comment>
    <comment ref="AC35" authorId="0" shapeId="0">
      <text>
        <t>추정: 현재 종가 ÷ TTM EPS(추정 포함)
[valuation]</t>
      </text>
    </comment>
    <comment ref="AD35" authorId="0" shapeId="0">
      <text>
        <t>추정: 현재 종가 ÷ TTM EPS(추정 포함)
[valuation]</t>
      </text>
    </comment>
    <comment ref="AF35" authorId="0" shapeId="0">
      <text>
        <t>추정: 현재 종가 ÷ TTM EPS(추정 포함)
[valuation]</t>
      </text>
    </comment>
    <comment ref="AG35" authorId="0" shapeId="0">
      <text>
        <t>추정: 현재 종가 ÷ TTM EPS(추정 포함)
[valuation]</t>
      </text>
    </comment>
    <comment ref="AH35" authorId="0" shapeId="0">
      <text>
        <t>추정: 현재 종가 ÷ TTM EPS(추정 포함)
[valuation]</t>
      </text>
    </comment>
    <comment ref="AI35" authorId="0" shapeId="0">
      <text>
        <t>추정: 현재 종가 ÷ TTM EPS(추정 포함)
[valuation]</t>
      </text>
    </comment>
    <comment ref="AK35" authorId="0" shapeId="0">
      <text>
        <t>추정: 현재 종가 ÷ TTM EPS(추정 포함)
[valuation]</t>
      </text>
    </comment>
    <comment ref="AL35" authorId="0" shapeId="0">
      <text>
        <t>추정: 현재 종가 ÷ TTM EPS(추정 포함)
[valuation]</t>
      </text>
    </comment>
    <comment ref="AM35" authorId="0" shapeId="0">
      <text>
        <t>추정: 현재 종가 ÷ TTM EPS(추정 포함)
[valuation]</t>
      </text>
    </comment>
    <comment ref="AN35" authorId="0" shapeId="0">
      <text>
        <t>추정: 현재 종가 ÷ TTM EPS(추정 포함)
[valuation]</t>
      </text>
    </comment>
    <comment ref="AC36" authorId="0" shapeId="0">
      <text>
        <t>추정: 현재 종가 ÷ BPS(추정 포함)
[valuation]</t>
      </text>
    </comment>
    <comment ref="AD36" authorId="0" shapeId="0">
      <text>
        <t>추정: 현재 종가 ÷ BPS(추정 포함)
[valuation]</t>
      </text>
    </comment>
    <comment ref="AF36" authorId="0" shapeId="0">
      <text>
        <t>추정: 현재 종가 ÷ BPS(추정 포함)
[valuation]</t>
      </text>
    </comment>
    <comment ref="AG36" authorId="0" shapeId="0">
      <text>
        <t>추정: 현재 종가 ÷ BPS(추정 포함)
[valuation]</t>
      </text>
    </comment>
    <comment ref="AH36" authorId="0" shapeId="0">
      <text>
        <t>추정: 현재 종가 ÷ BPS(추정 포함)
[valuation]</t>
      </text>
    </comment>
    <comment ref="AI36" authorId="0" shapeId="0">
      <text>
        <t>추정: 현재 종가 ÷ BPS(추정 포함)
[valuation]</t>
      </text>
    </comment>
    <comment ref="AK36" authorId="0" shapeId="0">
      <text>
        <t>추정: 현재 종가 ÷ BPS(추정 포함)
[valuation]</t>
      </text>
    </comment>
    <comment ref="AL36" authorId="0" shapeId="0">
      <text>
        <t>추정: 현재 종가 ÷ BPS(추정 포함)
[valuation]</t>
      </text>
    </comment>
    <comment ref="AM36" authorId="0" shapeId="0">
      <text>
        <t>추정: 현재 종가 ÷ BPS(추정 포함)
[valuation]</t>
      </text>
    </comment>
    <comment ref="AN36" authorId="0" shapeId="0">
      <text>
        <t>추정: 현재 종가 ÷ BPS(추정 포함)
[valuation]</t>
      </text>
    </comment>
    <comment ref="E37" authorId="0" shapeId="0">
      <text>
        <t>실측(계정 매핑 없음(파생·부문·시세 행) — 모델값 직접) — = 매출액(부문 미분리)</t>
      </text>
    </comment>
    <comment ref="G37" authorId="0" shapeId="0">
      <text>
        <t>실측(계정 매핑 없음(파생·부문·시세 행) — 모델값 직접) — = 매출액(부문 미분리)</t>
      </text>
    </comment>
    <comment ref="H37" authorId="0" shapeId="0">
      <text>
        <t>실측(계정 매핑 없음(파생·부문·시세 행) — 모델값 직접) — = 매출액(부문 미분리)</t>
      </text>
    </comment>
    <comment ref="I37" authorId="0" shapeId="0">
      <text>
        <t>실측(계정 매핑 없음(파생·부문·시세 행) — 모델값 직접) — = 매출액(부문 미분리)</t>
      </text>
    </comment>
    <comment ref="J37" authorId="0" shapeId="0">
      <text>
        <t>실측(계정 매핑 없음(파생·부문·시세 행) — 모델값 직접) — = 매출액(부문 미분리)</t>
      </text>
    </comment>
    <comment ref="L37" authorId="0" shapeId="0">
      <text>
        <t>실측(계정 매핑 없음(파생·부문·시세 행) — 모델값 직접) — = 매출액(부문 미분리)</t>
      </text>
    </comment>
    <comment ref="M37" authorId="0" shapeId="0">
      <text>
        <t>실측(계정 매핑 없음(파생·부문·시세 행) — 모델값 직접) — = 매출액(부문 미분리)</t>
      </text>
    </comment>
    <comment ref="N37" authorId="0" shapeId="0">
      <text>
        <t>실측(계정 매핑 없음(파생·부문·시세 행) — 모델값 직접) — = 매출액(부문 미분리)</t>
      </text>
    </comment>
    <comment ref="O37" authorId="0" shapeId="0">
      <text>
        <t>실측(계정 매핑 없음(파생·부문·시세 행) — 모델값 직접) — = 매출액(부문 미분리)</t>
      </text>
    </comment>
    <comment ref="Q37" authorId="0" shapeId="0">
      <text>
        <t>실측(계정 매핑 없음(파생·부문·시세 행) — 모델값 직접) — = 매출액(부문 미분리)</t>
      </text>
    </comment>
    <comment ref="R37" authorId="0" shapeId="0">
      <text>
        <t>실측(계정 매핑 없음(파생·부문·시세 행) — 모델값 직접) — = 매출액(부문 미분리)</t>
      </text>
    </comment>
    <comment ref="S37" authorId="0" shapeId="0">
      <text>
        <t>실측(계정 매핑 없음(파생·부문·시세 행) — 모델값 직접) — = 매출액(부문 미분리)</t>
      </text>
    </comment>
    <comment ref="T37" authorId="0" shapeId="0">
      <text>
        <t>실측(계정 매핑 없음(파생·부문·시세 행) — 모델값 직접) — = 매출액(부문 미분리)</t>
      </text>
    </comment>
    <comment ref="V37" authorId="0" shapeId="0">
      <text>
        <t>실측(계정 매핑 없음(파생·부문·시세 행) — 모델값 직접) — = 매출액(부문 미분리)</t>
      </text>
    </comment>
    <comment ref="W37" authorId="0" shapeId="0">
      <text>
        <t>실측(계정 매핑 없음(파생·부문·시세 행) — 모델값 직접) — = 매출액(부문 미분리)</t>
      </text>
    </comment>
    <comment ref="X37" authorId="0" shapeId="0">
      <text>
        <t>실측(계정 매핑 없음(파생·부문·시세 행) — 모델값 직접) — = 매출액(부문 미분리)</t>
      </text>
    </comment>
    <comment ref="Y37" authorId="0" shapeId="0">
      <text>
        <t>실측(계정 매핑 없음(파생·부문·시세 행) — 모델값 직접) — = 매출액(부문 미분리)</t>
      </text>
    </comment>
    <comment ref="AA37" authorId="0" shapeId="0">
      <text>
        <t>실측(계정 매핑 없음(파생·부문·시세 행) — 모델값 직접) — = 매출액(부문 미분리)</t>
      </text>
    </comment>
    <comment ref="AB37" authorId="0" shapeId="0">
      <text>
        <t>실측(계정 매핑 없음(파생·부문·시세 행) — 모델값 직접) — = 매출액(부문 미분리)</t>
      </text>
    </comment>
    <comment ref="AC37" authorId="0" shapeId="0">
      <text>
        <t>추정: = 매출액 추정(부문 미분리)
[identity]</t>
      </text>
    </comment>
    <comment ref="AD37" authorId="0" shapeId="0">
      <text>
        <t>추정: = 매출액 추정(부문 미분리)
[identity]</t>
      </text>
    </comment>
    <comment ref="AF37" authorId="0" shapeId="0">
      <text>
        <t>추정: = 매출액 추정(부문 미분리)
[identity]</t>
      </text>
    </comment>
    <comment ref="AG37" authorId="0" shapeId="0">
      <text>
        <t>추정: = 매출액 추정(부문 미분리)
[identity]</t>
      </text>
    </comment>
    <comment ref="AH37" authorId="0" shapeId="0">
      <text>
        <t>추정: = 매출액 추정(부문 미분리)
[identity]</t>
      </text>
    </comment>
    <comment ref="AI37" authorId="0" shapeId="0">
      <text>
        <t>추정: = 매출액 추정(부문 미분리)
[identity]</t>
      </text>
    </comment>
    <comment ref="AK37" authorId="0" shapeId="0">
      <text>
        <t>추정: = 매출액 추정(부문 미분리)
[identity]</t>
      </text>
    </comment>
    <comment ref="AL37" authorId="0" shapeId="0">
      <text>
        <t>추정: = 매출액 추정(부문 미분리)
[identity]</t>
      </text>
    </comment>
    <comment ref="AM37" authorId="0" shapeId="0">
      <text>
        <t>추정: = 매출액 추정(부문 미분리)
[identity]</t>
      </text>
    </comment>
    <comment ref="AN37" authorId="0" shapeId="0">
      <text>
        <t>추정: = 매출액 추정(부문 미분리)
[identity]</t>
      </text>
    </comment>
    <comment ref="E38" authorId="0" shapeId="0">
      <text>
        <t>실측(계정 매핑 없음(파생·부문·시세 행) — 모델값 직접) — = 영업이익(부문 미분리)</t>
      </text>
    </comment>
    <comment ref="G38" authorId="0" shapeId="0">
      <text>
        <t>실측(계정 매핑 없음(파생·부문·시세 행) — 모델값 직접) — = 영업이익(부문 미분리)</t>
      </text>
    </comment>
    <comment ref="H38" authorId="0" shapeId="0">
      <text>
        <t>실측(계정 매핑 없음(파생·부문·시세 행) — 모델값 직접) — = 영업이익(부문 미분리)</t>
      </text>
    </comment>
    <comment ref="I38" authorId="0" shapeId="0">
      <text>
        <t>실측(계정 매핑 없음(파생·부문·시세 행) — 모델값 직접) — = 영업이익(부문 미분리)</t>
      </text>
    </comment>
    <comment ref="J38" authorId="0" shapeId="0">
      <text>
        <t>실측(계정 매핑 없음(파생·부문·시세 행) — 모델값 직접) — = 영업이익(부문 미분리)</t>
      </text>
    </comment>
    <comment ref="L38" authorId="0" shapeId="0">
      <text>
        <t>실측(계정 매핑 없음(파생·부문·시세 행) — 모델값 직접) — = 영업이익(부문 미분리)</t>
      </text>
    </comment>
    <comment ref="M38" authorId="0" shapeId="0">
      <text>
        <t>실측(계정 매핑 없음(파생·부문·시세 행) — 모델값 직접) — = 영업이익(부문 미분리)</t>
      </text>
    </comment>
    <comment ref="N38" authorId="0" shapeId="0">
      <text>
        <t>실측(계정 매핑 없음(파생·부문·시세 행) — 모델값 직접) — = 영업이익(부문 미분리)</t>
      </text>
    </comment>
    <comment ref="O38" authorId="0" shapeId="0">
      <text>
        <t>실측(계정 매핑 없음(파생·부문·시세 행) — 모델값 직접) — = 영업이익(부문 미분리)</t>
      </text>
    </comment>
    <comment ref="Q38" authorId="0" shapeId="0">
      <text>
        <t>실측(계정 매핑 없음(파생·부문·시세 행) — 모델값 직접) — = 영업이익(부문 미분리)</t>
      </text>
    </comment>
    <comment ref="R38" authorId="0" shapeId="0">
      <text>
        <t>실측(계정 매핑 없음(파생·부문·시세 행) — 모델값 직접) — = 영업이익(부문 미분리)</t>
      </text>
    </comment>
    <comment ref="S38" authorId="0" shapeId="0">
      <text>
        <t>실측(계정 매핑 없음(파생·부문·시세 행) — 모델값 직접) — = 영업이익(부문 미분리)</t>
      </text>
    </comment>
    <comment ref="T38" authorId="0" shapeId="0">
      <text>
        <t>실측(계정 매핑 없음(파생·부문·시세 행) — 모델값 직접) — = 영업이익(부문 미분리)</t>
      </text>
    </comment>
    <comment ref="V38" authorId="0" shapeId="0">
      <text>
        <t>실측(계정 매핑 없음(파생·부문·시세 행) — 모델값 직접) — = 영업이익(부문 미분리)</t>
      </text>
    </comment>
    <comment ref="W38" authorId="0" shapeId="0">
      <text>
        <t>실측(계정 매핑 없음(파생·부문·시세 행) — 모델값 직접) — = 영업이익(부문 미분리)</t>
      </text>
    </comment>
    <comment ref="X38" authorId="0" shapeId="0">
      <text>
        <t>실측(계정 매핑 없음(파생·부문·시세 행) — 모델값 직접) — = 영업이익(부문 미분리)</t>
      </text>
    </comment>
    <comment ref="Y38" authorId="0" shapeId="0">
      <text>
        <t>실측(계정 매핑 없음(파생·부문·시세 행) — 모델값 직접) — = 영업이익(부문 미분리)</t>
      </text>
    </comment>
    <comment ref="AA38" authorId="0" shapeId="0">
      <text>
        <t>실측(계정 매핑 없음(파생·부문·시세 행) — 모델값 직접) — = 영업이익(부문 미분리)</t>
      </text>
    </comment>
    <comment ref="AB38" authorId="0" shapeId="0">
      <text>
        <t>실측(계정 매핑 없음(파생·부문·시세 행) — 모델값 직접) — = 영업이익(부문 미분리)</t>
      </text>
    </comment>
    <comment ref="AC38" authorId="0" shapeId="0">
      <text>
        <t>추정: = 매출액 × OPM(부문 미분리)
[identity]</t>
      </text>
    </comment>
    <comment ref="AD38" authorId="0" shapeId="0">
      <text>
        <t>추정: = 매출액 × OPM(부문 미분리)
[identity]</t>
      </text>
    </comment>
    <comment ref="AF38" authorId="0" shapeId="0">
      <text>
        <t>추정: = 매출액 × OPM(부문 미분리)
[identity]</t>
      </text>
    </comment>
    <comment ref="AG38" authorId="0" shapeId="0">
      <text>
        <t>추정: = 매출액 × OPM(부문 미분리)
[identity]</t>
      </text>
    </comment>
    <comment ref="AH38" authorId="0" shapeId="0">
      <text>
        <t>추정: = 매출액 × OPM(부문 미분리)
[identity]</t>
      </text>
    </comment>
    <comment ref="AI38" authorId="0" shapeId="0">
      <text>
        <t>추정: = 매출액 × OPM(부문 미분리)
[identity]</t>
      </text>
    </comment>
    <comment ref="AK38" authorId="0" shapeId="0">
      <text>
        <t>추정: = 매출액 × OPM(부문 미분리)
[identity]</t>
      </text>
    </comment>
    <comment ref="AL38" authorId="0" shapeId="0">
      <text>
        <t>추정: = 매출액 × OPM(부문 미분리)
[identity]</t>
      </text>
    </comment>
    <comment ref="AM38" authorId="0" shapeId="0">
      <text>
        <t>추정: = 매출액 × OPM(부문 미분리)
[identity]</t>
      </text>
    </comment>
    <comment ref="AN38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STX엔진(077970) 실적 모델 — ARGUS 한국조선</t>
        </is>
      </c>
    </row>
    <row r="2">
      <c r="A2" t="inlineStr">
        <is>
          <t>기준 분기 2026Q2 · 마지막 실적 2026Q2 · 생성 2026-10-26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0% → 22%(terminal, 2026Q4 까지 유지 → 2027Q1~2028Q4 선형 램프) — 이월결손 램프(assumptions.tax_schedule): 변수 drv:법인세비용 추정 분기 셀이 분기별 세율(3절 '세율' 스칼라 연결 안 됨 — 그 값은 시작 세율) · 근거: 최근 8분기 중 세전 &gt; 0 인 8분기(2024Q3~2026Q2) 법인세/세전 중위 -3.3%·최근 4분기 중위 -1.8% 가 모두 5% 미만 → 이월결손 공제 중으로 보고 0.0% 를 2026Q4 까지 유지, 2027Q1~2028Q4 선형 램프로 법정세율 근사 22% 수렴</t>
        </is>
      </c>
    </row>
    <row r="23">
      <c r="A23" t="inlineStr">
        <is>
          <t>· 판관비율 7.88%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2.33% / 부채 3.71% — 이자손익 = (전분기 이자발생자산 × 자산이자율 − 전분기 총차입금 × 부채이자율)/4, 최소자승 역산(모델 assumptions [0.0233, 0.0371]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판관비율, 지배주주비중, 이자율 · 연결 안 된 가정(모델값·분기별 역산 그대로): 세율(이월결손 램프(assumptions.tax_schedule, 0%→22%) — 분기별 세율 드라이버 행 사용)</t>
        </is>
      </c>
    </row>
    <row r="28">
      <c r="A28" t="inlineStr">
        <is>
          <t>· 밸류에이션 — PER 밴드 14.9/17.5/24.6배(hist_quarterly(분기 평균가 ÷ TTM EPS, 11분기, 25/50/75 백분위))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assets/models/077970.json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연동 OOS 기각 — 동결 2025Q2 이후 4분기 매출 WAPE 연동 20.9% &gt; 추세 12.0% × 1.10 (suppliers_mentions·시차 3·4분기 이동합·창 19, r=0.99 유의)): 전년동기 × (1+g) 추세 / 법인세율 이월결손 경로: 최근 양(+)세전 8분기 유효세율 중위 -3.3% → 0.0% 를 2026Q4 까지 유지, 2027Q1~2028Q4 선형 램프로 법정세율 근사 22% 수렴 — 결손 잔액·만기는 주석 미파싱(추정) / 감가상각비가 face·CF 에 없음(주석 미파싱) → EBITDA·EV/EBITDA 미산출</t>
        </is>
      </c>
    </row>
    <row r="34">
      <c r="A34" t="inlineStr">
        <is>
          <t>백테스트: {"freeze": "2025Q2", "horizon": 4, "revenue_wape_pct": 20.9, "op_wape_pct": 48.8, "n": 4, "note": "단일 회사 4분기 — 통계 아님", "driver_at_freeze": "customer_yard_revenue_weighted", "selection_oos_at_freeze": {"freeze": "2024Q2", "n": 4, "wape_link": null, "wape_trend": 9.2, "adopted": "undetermined", "decision": "undetermined", "note": "현재 채택 조합(suppliers_mentions·시차 3·ma4·창 12)을 동결 데이터로 재적합할 수 없음(짝·고객 모델 부족) → 연동 WAPE 없음, undetermined(유의성 조건만으로 채택)"},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2341.43, "rev_act": 1920.66, "op_pred": 140.4, "op_act": 154.26}, {"q": "2025Q4", "rev_pred": 3267.26, "rev_act": 2444.82, "op_pred": 195.91, "op_act": 53.68}, {"q": "2026Q1", "rev_pred": 1903.72, "rev_act": 1890.11, "op_pred": 114.15, "op_act": 175.04}, {"q": "2026Q2", "rev_pred": 2628.38, "rev_act": 2129.9, "op_pred": 157.6, "op_act": 249.61}]}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1337.49</v>
      </c>
      <c r="AE6" s="17" t="n">
        <v>1451.19</v>
      </c>
      <c r="AF6" s="16" t="n">
        <v>1324.45</v>
      </c>
      <c r="AG6" s="16" t="n">
        <v>1324.45</v>
      </c>
      <c r="AH6" s="16" t="n">
        <v>1324.45</v>
      </c>
      <c r="AI6" s="16" t="n">
        <v>1324.45</v>
      </c>
      <c r="AJ6" s="11" t="n"/>
      <c r="AK6" s="16" t="n">
        <v>1324.45</v>
      </c>
      <c r="AL6" s="16" t="n">
        <v>1324.45</v>
      </c>
      <c r="AM6" s="16" t="n">
        <v>1324.45</v>
      </c>
      <c r="AN6" s="16" t="n">
        <v>1324.45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1324.45</v>
      </c>
      <c r="AE7" s="17" t="n">
        <v>1324.45</v>
      </c>
      <c r="AF7" s="16" t="n">
        <v>1324.45</v>
      </c>
      <c r="AG7" s="16" t="n">
        <v>1324.45</v>
      </c>
      <c r="AH7" s="16" t="n">
        <v>1324.45</v>
      </c>
      <c r="AI7" s="16" t="n">
        <v>1324.45</v>
      </c>
      <c r="AJ7" s="11" t="n"/>
      <c r="AK7" s="16" t="n">
        <v>1324.45</v>
      </c>
      <c r="AL7" s="16" t="n">
        <v>1324.45</v>
      </c>
      <c r="AM7" s="16" t="n">
        <v>1324.45</v>
      </c>
      <c r="AN7" s="16" t="n">
        <v>1324.45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846.51</v>
      </c>
      <c r="AE8" s="17" t="n">
        <v>915.5700000000001</v>
      </c>
      <c r="AF8" s="16" t="n">
        <v>844.67</v>
      </c>
      <c r="AG8" s="16" t="n">
        <v>844.67</v>
      </c>
      <c r="AH8" s="16" t="n">
        <v>844.67</v>
      </c>
      <c r="AI8" s="16" t="n">
        <v>844.67</v>
      </c>
      <c r="AJ8" s="11" t="n"/>
      <c r="AK8" s="16" t="n">
        <v>844.67</v>
      </c>
      <c r="AL8" s="16" t="n">
        <v>844.67</v>
      </c>
      <c r="AM8" s="16" t="n">
        <v>844.67</v>
      </c>
      <c r="AN8" s="16" t="n">
        <v>844.67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844.67</v>
      </c>
      <c r="AE9" s="17" t="n">
        <v>844.67</v>
      </c>
      <c r="AF9" s="16" t="n">
        <v>844.67</v>
      </c>
      <c r="AG9" s="16" t="n">
        <v>844.67</v>
      </c>
      <c r="AH9" s="16" t="n">
        <v>844.67</v>
      </c>
      <c r="AI9" s="16" t="n">
        <v>844.67</v>
      </c>
      <c r="AJ9" s="11" t="n"/>
      <c r="AK9" s="16" t="n">
        <v>844.67</v>
      </c>
      <c r="AL9" s="16" t="n">
        <v>844.67</v>
      </c>
      <c r="AM9" s="16" t="n">
        <v>844.67</v>
      </c>
      <c r="AN9" s="16" t="n">
        <v>844.67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1500.06</v>
      </c>
      <c r="AE10" s="17" t="n">
        <v>1680.5</v>
      </c>
      <c r="AF10" s="16" t="n">
        <v>1482.45</v>
      </c>
      <c r="AG10" s="16" t="n">
        <v>1482.45</v>
      </c>
      <c r="AH10" s="16" t="n">
        <v>1482.45</v>
      </c>
      <c r="AI10" s="16" t="n">
        <v>1482.45</v>
      </c>
      <c r="AJ10" s="11" t="n"/>
      <c r="AK10" s="16" t="n">
        <v>1482.45</v>
      </c>
      <c r="AL10" s="16" t="n">
        <v>1482.45</v>
      </c>
      <c r="AM10" s="16" t="n">
        <v>1482.45</v>
      </c>
      <c r="AN10" s="16" t="n">
        <v>1482.45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1482.45</v>
      </c>
      <c r="AE11" s="17" t="n">
        <v>1482.45</v>
      </c>
      <c r="AF11" s="16" t="n">
        <v>1482.45</v>
      </c>
      <c r="AG11" s="16" t="n">
        <v>1482.45</v>
      </c>
      <c r="AH11" s="16" t="n">
        <v>1482.45</v>
      </c>
      <c r="AI11" s="16" t="n">
        <v>1482.45</v>
      </c>
      <c r="AJ11" s="11" t="n"/>
      <c r="AK11" s="16" t="n">
        <v>1482.45</v>
      </c>
      <c r="AL11" s="16" t="n">
        <v>1482.45</v>
      </c>
      <c r="AM11" s="16" t="n">
        <v>1482.45</v>
      </c>
      <c r="AN11" s="16" t="n">
        <v>1482.45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199.88</v>
      </c>
      <c r="AE12" s="17" t="n">
        <v>213.06</v>
      </c>
      <c r="AF12" s="16" t="n">
        <v>198.56</v>
      </c>
      <c r="AG12" s="16" t="n">
        <v>198.56</v>
      </c>
      <c r="AH12" s="16" t="n">
        <v>198.56</v>
      </c>
      <c r="AI12" s="16" t="n">
        <v>198.56</v>
      </c>
      <c r="AJ12" s="11" t="n"/>
      <c r="AK12" s="16" t="n">
        <v>198.56</v>
      </c>
      <c r="AL12" s="16" t="n">
        <v>198.56</v>
      </c>
      <c r="AM12" s="16" t="n">
        <v>198.56</v>
      </c>
      <c r="AN12" s="16" t="n">
        <v>198.56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198.56</v>
      </c>
      <c r="AE13" s="17" t="n">
        <v>198.56</v>
      </c>
      <c r="AF13" s="16" t="n">
        <v>198.56</v>
      </c>
      <c r="AG13" s="16" t="n">
        <v>198.56</v>
      </c>
      <c r="AH13" s="16" t="n">
        <v>198.56</v>
      </c>
      <c r="AI13" s="16" t="n">
        <v>198.56</v>
      </c>
      <c r="AJ13" s="11" t="n"/>
      <c r="AK13" s="16" t="n">
        <v>198.56</v>
      </c>
      <c r="AL13" s="16" t="n">
        <v>198.56</v>
      </c>
      <c r="AM13" s="16" t="n">
        <v>198.56</v>
      </c>
      <c r="AN13" s="16" t="n">
        <v>198.56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9600</v>
      </c>
      <c r="F15" s="9" t="n"/>
      <c r="G15" s="18" t="n">
        <v>12950</v>
      </c>
      <c r="H15" s="18" t="n">
        <v>14500</v>
      </c>
      <c r="I15" s="18" t="n">
        <v>12950</v>
      </c>
      <c r="J15" s="18" t="n">
        <v>13450</v>
      </c>
      <c r="K15" s="9" t="n"/>
      <c r="L15" s="18" t="n">
        <v>12780</v>
      </c>
      <c r="M15" s="18" t="n">
        <v>14220</v>
      </c>
      <c r="N15" s="18" t="n">
        <v>13070</v>
      </c>
      <c r="O15" s="18" t="n">
        <v>11850</v>
      </c>
      <c r="P15" s="9" t="n"/>
      <c r="Q15" s="18" t="n">
        <v>12970</v>
      </c>
      <c r="R15" s="18" t="n">
        <v>17100</v>
      </c>
      <c r="S15" s="18" t="n">
        <v>18120</v>
      </c>
      <c r="T15" s="18" t="n">
        <v>20100</v>
      </c>
      <c r="U15" s="9" t="n"/>
      <c r="V15" s="18" t="n">
        <v>20800</v>
      </c>
      <c r="W15" s="18" t="n">
        <v>21500</v>
      </c>
      <c r="X15" s="18" t="n">
        <v>39550</v>
      </c>
      <c r="Y15" s="18" t="n">
        <v>34000</v>
      </c>
      <c r="Z15" s="9" t="n"/>
      <c r="AA15" s="18" t="n">
        <v>30650</v>
      </c>
      <c r="AB15" s="19" t="n">
        <v>29300</v>
      </c>
      <c r="AC15" s="20" t="n">
        <v>22200</v>
      </c>
      <c r="AD15" s="20" t="n">
        <v>15780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12900</v>
      </c>
      <c r="F16" s="9" t="n"/>
      <c r="G16" s="18" t="n">
        <v>17500</v>
      </c>
      <c r="H16" s="18" t="n">
        <v>16550</v>
      </c>
      <c r="I16" s="18" t="n">
        <v>19500</v>
      </c>
      <c r="J16" s="18" t="n">
        <v>17350</v>
      </c>
      <c r="K16" s="9" t="n"/>
      <c r="L16" s="18" t="n">
        <v>14840</v>
      </c>
      <c r="M16" s="18" t="n">
        <v>16080</v>
      </c>
      <c r="N16" s="18" t="n">
        <v>16180</v>
      </c>
      <c r="O16" s="18" t="n">
        <v>13510</v>
      </c>
      <c r="P16" s="9" t="n"/>
      <c r="Q16" s="18" t="n">
        <v>13900</v>
      </c>
      <c r="R16" s="18" t="n">
        <v>18660</v>
      </c>
      <c r="S16" s="18" t="n">
        <v>24400</v>
      </c>
      <c r="T16" s="18" t="n">
        <v>22500</v>
      </c>
      <c r="U16" s="9" t="n"/>
      <c r="V16" s="18" t="n">
        <v>31650</v>
      </c>
      <c r="W16" s="18" t="n">
        <v>27000</v>
      </c>
      <c r="X16" s="18" t="n">
        <v>49800</v>
      </c>
      <c r="Y16" s="18" t="n">
        <v>41850</v>
      </c>
      <c r="Z16" s="9" t="n"/>
      <c r="AA16" s="18" t="n">
        <v>40500</v>
      </c>
      <c r="AB16" s="19" t="n">
        <v>67700</v>
      </c>
      <c r="AC16" s="20" t="n">
        <v>31550</v>
      </c>
      <c r="AD16" s="20" t="n">
        <v>23800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8370</v>
      </c>
      <c r="F17" s="9" t="n"/>
      <c r="G17" s="18" t="n">
        <v>8960</v>
      </c>
      <c r="H17" s="18" t="n">
        <v>11900</v>
      </c>
      <c r="I17" s="18" t="n">
        <v>12000</v>
      </c>
      <c r="J17" s="18" t="n">
        <v>11600</v>
      </c>
      <c r="K17" s="9" t="n"/>
      <c r="L17" s="18" t="n">
        <v>12250</v>
      </c>
      <c r="M17" s="18" t="n">
        <v>12400</v>
      </c>
      <c r="N17" s="18" t="n">
        <v>12600</v>
      </c>
      <c r="O17" s="18" t="n">
        <v>11000</v>
      </c>
      <c r="P17" s="9" t="n"/>
      <c r="Q17" s="18" t="n">
        <v>11450</v>
      </c>
      <c r="R17" s="18" t="n">
        <v>12310</v>
      </c>
      <c r="S17" s="18" t="n">
        <v>12880</v>
      </c>
      <c r="T17" s="18" t="n">
        <v>15150</v>
      </c>
      <c r="U17" s="9" t="n"/>
      <c r="V17" s="18" t="n">
        <v>19150</v>
      </c>
      <c r="W17" s="18" t="n">
        <v>18310</v>
      </c>
      <c r="X17" s="18" t="n">
        <v>19910</v>
      </c>
      <c r="Y17" s="18" t="n">
        <v>28700</v>
      </c>
      <c r="Z17" s="9" t="n"/>
      <c r="AA17" s="18" t="n">
        <v>25100</v>
      </c>
      <c r="AB17" s="19" t="n">
        <v>26200</v>
      </c>
      <c r="AC17" s="20" t="n">
        <v>18830</v>
      </c>
      <c r="AD17" s="20" t="n">
        <v>15750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10078.9</v>
      </c>
      <c r="F18" s="9" t="n"/>
      <c r="G18" s="18" t="n">
        <v>11801.9</v>
      </c>
      <c r="H18" s="18" t="n">
        <v>13670.2</v>
      </c>
      <c r="I18" s="18" t="n">
        <v>14700</v>
      </c>
      <c r="J18" s="18" t="n">
        <v>13228.2</v>
      </c>
      <c r="K18" s="9" t="n"/>
      <c r="L18" s="18" t="n">
        <v>13458.5</v>
      </c>
      <c r="M18" s="18" t="n">
        <v>13401.6</v>
      </c>
      <c r="N18" s="18" t="n">
        <v>14184.8</v>
      </c>
      <c r="O18" s="18" t="n">
        <v>11945.7</v>
      </c>
      <c r="P18" s="9" t="n"/>
      <c r="Q18" s="18" t="n">
        <v>12403.1</v>
      </c>
      <c r="R18" s="18" t="n">
        <v>14312.3</v>
      </c>
      <c r="S18" s="18" t="n">
        <v>17817.6</v>
      </c>
      <c r="T18" s="18" t="n">
        <v>19656.2</v>
      </c>
      <c r="U18" s="9" t="n"/>
      <c r="V18" s="18" t="n">
        <v>24307.6</v>
      </c>
      <c r="W18" s="18" t="n">
        <v>23137.2</v>
      </c>
      <c r="X18" s="18" t="n">
        <v>32170.8</v>
      </c>
      <c r="Y18" s="18" t="n">
        <v>35330.5</v>
      </c>
      <c r="Z18" s="9" t="n"/>
      <c r="AA18" s="18" t="n">
        <v>34270.3</v>
      </c>
      <c r="AB18" s="19" t="n">
        <v>41308.2</v>
      </c>
      <c r="AC18" s="20" t="n">
        <v>24844.4</v>
      </c>
      <c r="AD18" s="20" t="n">
        <v>19355.6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0.09680652100000001</v>
      </c>
      <c r="AD21" s="24" t="n">
        <v>0.096802736</v>
      </c>
      <c r="AE21" s="25" t="n"/>
      <c r="AF21" s="24" t="n">
        <v>0.096806501</v>
      </c>
      <c r="AG21" s="24" t="n">
        <v>0.09680364499999999</v>
      </c>
      <c r="AH21" s="24" t="n">
        <v>0.048400496</v>
      </c>
      <c r="AI21" s="24" t="n">
        <v>0.048402375</v>
      </c>
      <c r="AJ21" s="25" t="n"/>
      <c r="AK21" s="24" t="n">
        <v>0.048401412</v>
      </c>
      <c r="AL21" s="24" t="n">
        <v>0.048401596</v>
      </c>
      <c r="AM21" s="24" t="n">
        <v>0.024201399</v>
      </c>
      <c r="AN21" s="24" t="n">
        <v>0.024202585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$D$51</f>
        <v/>
      </c>
      <c r="AD22" s="26">
        <f>$D$51</f>
        <v/>
      </c>
      <c r="AE22" s="25">
        <f>IFERROR(subQ!AE8/subQ!AE5,"")</f>
        <v/>
      </c>
      <c r="AF22" s="26">
        <f>$D$51</f>
        <v/>
      </c>
      <c r="AG22" s="26">
        <f>$D$51</f>
        <v/>
      </c>
      <c r="AH22" s="26">
        <f>$D$51</f>
        <v/>
      </c>
      <c r="AI22" s="26">
        <f>$D$51</f>
        <v/>
      </c>
      <c r="AJ22" s="25">
        <f>IFERROR(subQ!AJ8/subQ!AJ5,"")</f>
        <v/>
      </c>
      <c r="AK22" s="26">
        <f>$D$51</f>
        <v/>
      </c>
      <c r="AL22" s="26">
        <f>$D$51</f>
        <v/>
      </c>
      <c r="AM22" s="26">
        <f>$D$51</f>
        <v/>
      </c>
      <c r="AN22" s="26">
        <f>$D$51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0.08646200699999999</v>
      </c>
      <c r="AD23" s="24" t="n">
        <v>0.08645971600000001</v>
      </c>
      <c r="AE23" s="25">
        <f>IFERROR(subQ!AE9/subQ!AE5,"")</f>
        <v/>
      </c>
      <c r="AF23" s="24" t="n">
        <v>0.086460725</v>
      </c>
      <c r="AG23" s="24" t="n">
        <v>0.08646108</v>
      </c>
      <c r="AH23" s="24" t="n">
        <v>0.086459442</v>
      </c>
      <c r="AI23" s="24" t="n">
        <v>0.086462702</v>
      </c>
      <c r="AJ23" s="25">
        <f>IFERROR(subQ!AJ9/subQ!AJ5,"")</f>
        <v/>
      </c>
      <c r="AK23" s="24" t="n">
        <v>0.08646281</v>
      </c>
      <c r="AL23" s="24" t="n">
        <v>0.08646265</v>
      </c>
      <c r="AM23" s="24" t="n">
        <v>0.086458886</v>
      </c>
      <c r="AN23" s="24" t="n">
        <v>0.086461687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drv:법인세비용</t>
        </is>
      </c>
      <c r="B28" s="2" t="inlineStr">
        <is>
          <t>tax</t>
        </is>
      </c>
      <c r="C28" t="inlineStr">
        <is>
          <t>법인세율(/세전) — 법인세 = MAX(세전,0) × 분기별 세율(이월결손 램프, assumptions.tax_schedule)</t>
        </is>
      </c>
      <c r="E28" s="21">
        <f>IFERROR(subQ!E18/subQ!E17,"")</f>
        <v/>
      </c>
      <c r="F28" s="22">
        <f>IFERROR(subQ!F18/subQ!F17,"")</f>
        <v/>
      </c>
      <c r="G28" s="21">
        <f>IFERROR(subQ!G18/subQ!G17,"")</f>
        <v/>
      </c>
      <c r="H28" s="21">
        <f>IFERROR(subQ!H18/subQ!H17,"")</f>
        <v/>
      </c>
      <c r="I28" s="21">
        <f>IFERROR(subQ!I18/subQ!I17,"")</f>
        <v/>
      </c>
      <c r="J28" s="21">
        <f>IFERROR(subQ!J18/subQ!J17,"")</f>
        <v/>
      </c>
      <c r="K28" s="22">
        <f>IFERROR(subQ!K18/subQ!K17,"")</f>
        <v/>
      </c>
      <c r="L28" s="21">
        <f>IFERROR(subQ!L18/subQ!L17,"")</f>
        <v/>
      </c>
      <c r="M28" s="21">
        <f>IFERROR(subQ!M18/subQ!M17,"")</f>
        <v/>
      </c>
      <c r="N28" s="21">
        <f>IFERROR(subQ!N18/subQ!N17,"")</f>
        <v/>
      </c>
      <c r="O28" s="21">
        <f>IFERROR(subQ!O18/subQ!O17,"")</f>
        <v/>
      </c>
      <c r="P28" s="22">
        <f>IFERROR(subQ!P18/subQ!P17,"")</f>
        <v/>
      </c>
      <c r="Q28" s="21">
        <f>IFERROR(subQ!Q18/subQ!Q17,"")</f>
        <v/>
      </c>
      <c r="R28" s="21">
        <f>IFERROR(subQ!R18/subQ!R17,"")</f>
        <v/>
      </c>
      <c r="S28" s="21">
        <f>IFERROR(subQ!S18/subQ!S17,"")</f>
        <v/>
      </c>
      <c r="T28" s="21">
        <f>IFERROR(subQ!T18/subQ!T17,"")</f>
        <v/>
      </c>
      <c r="U28" s="22">
        <f>IFERROR(subQ!U18/subQ!U17,"")</f>
        <v/>
      </c>
      <c r="V28" s="21">
        <f>IFERROR(subQ!V18/subQ!V17,"")</f>
        <v/>
      </c>
      <c r="W28" s="21">
        <f>IFERROR(subQ!W18/subQ!W17,"")</f>
        <v/>
      </c>
      <c r="X28" s="21">
        <f>IFERROR(subQ!X18/subQ!X17,"")</f>
        <v/>
      </c>
      <c r="Y28" s="21">
        <f>IFERROR(subQ!Y18/subQ!Y17,"")</f>
        <v/>
      </c>
      <c r="Z28" s="22">
        <f>IFERROR(subQ!Z18/subQ!Z17,"")</f>
        <v/>
      </c>
      <c r="AA28" s="21">
        <f>IFERROR(subQ!AA18/subQ!AA17,"")</f>
        <v/>
      </c>
      <c r="AB28" s="23">
        <f>IFERROR(subQ!AB18/subQ!AB17,"")</f>
        <v/>
      </c>
      <c r="AC28" s="24" t="n">
        <v>0</v>
      </c>
      <c r="AD28" s="24" t="n">
        <v>0</v>
      </c>
      <c r="AE28" s="25">
        <f>IFERROR(subQ!AE18/subQ!AE17,"")</f>
        <v/>
      </c>
      <c r="AF28" s="24" t="n">
        <v>0.027501426</v>
      </c>
      <c r="AG28" s="24" t="n">
        <v>0.055004409</v>
      </c>
      <c r="AH28" s="24" t="n">
        <v>0.08249227000000001</v>
      </c>
      <c r="AI28" s="24" t="n">
        <v>0.110007129</v>
      </c>
      <c r="AJ28" s="25">
        <f>IFERROR(subQ!AJ18/subQ!AJ17,"")</f>
        <v/>
      </c>
      <c r="AK28" s="24" t="n">
        <v>0.137518334</v>
      </c>
      <c r="AL28" s="24" t="n">
        <v>0.165001281</v>
      </c>
      <c r="AM28" s="24" t="n">
        <v>0.192474433</v>
      </c>
      <c r="AN28" s="24" t="n">
        <v>0.219996583</v>
      </c>
      <c r="AO28" s="25">
        <f>IFERROR(subQ!AO18/subQ!AO17,"")</f>
        <v/>
      </c>
    </row>
    <row r="29">
      <c r="A29" s="12" t="inlineStr">
        <is>
          <t>drv:지배주주순이익</t>
        </is>
      </c>
      <c r="B29" s="2" t="inlineStr">
        <is>
          <t>ratio</t>
        </is>
      </c>
      <c r="C29" t="inlineStr">
        <is>
          <t>지배주주 비중(/당기순이익)</t>
        </is>
      </c>
      <c r="E29" s="21">
        <f>IFERROR(subQ!E20/subQ!E19,"")</f>
        <v/>
      </c>
      <c r="F29" s="22">
        <f>IFERROR(subQ!F20/subQ!F19,"")</f>
        <v/>
      </c>
      <c r="G29" s="21">
        <f>IFERROR(subQ!G20/subQ!G19,"")</f>
        <v/>
      </c>
      <c r="H29" s="21">
        <f>IFERROR(subQ!H20/subQ!H19,"")</f>
        <v/>
      </c>
      <c r="I29" s="21">
        <f>IFERROR(subQ!I20/subQ!I19,"")</f>
        <v/>
      </c>
      <c r="J29" s="21">
        <f>IFERROR(subQ!J20/subQ!J19,"")</f>
        <v/>
      </c>
      <c r="K29" s="22">
        <f>IFERROR(subQ!K20/subQ!K19,"")</f>
        <v/>
      </c>
      <c r="L29" s="21">
        <f>IFERROR(subQ!L20/subQ!L19,"")</f>
        <v/>
      </c>
      <c r="M29" s="21">
        <f>IFERROR(subQ!M20/subQ!M19,"")</f>
        <v/>
      </c>
      <c r="N29" s="21">
        <f>IFERROR(subQ!N20/subQ!N19,"")</f>
        <v/>
      </c>
      <c r="O29" s="21">
        <f>IFERROR(subQ!O20/subQ!O19,"")</f>
        <v/>
      </c>
      <c r="P29" s="22">
        <f>IFERROR(subQ!P20/subQ!P19,"")</f>
        <v/>
      </c>
      <c r="Q29" s="21">
        <f>IFERROR(subQ!Q20/subQ!Q19,"")</f>
        <v/>
      </c>
      <c r="R29" s="21">
        <f>IFERROR(subQ!R20/subQ!R19,"")</f>
        <v/>
      </c>
      <c r="S29" s="21">
        <f>IFERROR(subQ!S20/subQ!S19,"")</f>
        <v/>
      </c>
      <c r="T29" s="21">
        <f>IFERROR(subQ!T20/subQ!T19,"")</f>
        <v/>
      </c>
      <c r="U29" s="22">
        <f>IFERROR(subQ!U20/subQ!U19,"")</f>
        <v/>
      </c>
      <c r="V29" s="21">
        <f>IFERROR(subQ!V20/subQ!V19,"")</f>
        <v/>
      </c>
      <c r="W29" s="21">
        <f>IFERROR(subQ!W20/subQ!W19,"")</f>
        <v/>
      </c>
      <c r="X29" s="21">
        <f>IFERROR(subQ!X20/subQ!X19,"")</f>
        <v/>
      </c>
      <c r="Y29" s="21">
        <f>IFERROR(subQ!Y20/subQ!Y19,"")</f>
        <v/>
      </c>
      <c r="Z29" s="22">
        <f>IFERROR(subQ!Z20/subQ!Z19,"")</f>
        <v/>
      </c>
      <c r="AA29" s="21">
        <f>IFERROR(subQ!AA20/subQ!AA19,"")</f>
        <v/>
      </c>
      <c r="AB29" s="23">
        <f>IFERROR(subQ!AB20/subQ!AB19,"")</f>
        <v/>
      </c>
      <c r="AC29" s="26">
        <f>$D$52</f>
        <v/>
      </c>
      <c r="AD29" s="26">
        <f>$D$52</f>
        <v/>
      </c>
      <c r="AE29" s="25">
        <f>IFERROR(subQ!AE20/subQ!AE19,"")</f>
        <v/>
      </c>
      <c r="AF29" s="26">
        <f>$D$52</f>
        <v/>
      </c>
      <c r="AG29" s="26">
        <f>$D$52</f>
        <v/>
      </c>
      <c r="AH29" s="26">
        <f>$D$52</f>
        <v/>
      </c>
      <c r="AI29" s="26">
        <f>$D$52</f>
        <v/>
      </c>
      <c r="AJ29" s="25">
        <f>IFERROR(subQ!AJ20/subQ!AJ19,"")</f>
        <v/>
      </c>
      <c r="AK29" s="26">
        <f>$D$52</f>
        <v/>
      </c>
      <c r="AL29" s="26">
        <f>$D$52</f>
        <v/>
      </c>
      <c r="AM29" s="26">
        <f>$D$52</f>
        <v/>
      </c>
      <c r="AN29" s="26">
        <f>$D$52</f>
        <v/>
      </c>
      <c r="AO29" s="25">
        <f>IFERROR(subQ!AO20/subQ!AO19,"")</f>
        <v/>
      </c>
    </row>
    <row r="30">
      <c r="A30" s="12" t="inlineStr">
        <is>
          <t>drv:부채총계</t>
        </is>
      </c>
      <c r="B30" s="2" t="inlineStr">
        <is>
          <t>qoq</t>
        </is>
      </c>
      <c r="C30" t="inlineStr">
        <is>
          <t>부채총계 QoQ</t>
        </is>
      </c>
      <c r="E30" s="21" t="n"/>
      <c r="F30" s="22" t="n"/>
      <c r="G30" s="21">
        <f>IFERROR(subQ!G22/subQ!E22-1,"")</f>
        <v/>
      </c>
      <c r="H30" s="21">
        <f>IFERROR(subQ!H22/subQ!G22-1,"")</f>
        <v/>
      </c>
      <c r="I30" s="21">
        <f>IFERROR(subQ!I22/subQ!H22-1,"")</f>
        <v/>
      </c>
      <c r="J30" s="21">
        <f>IFERROR(subQ!J22/subQ!I22-1,"")</f>
        <v/>
      </c>
      <c r="K30" s="22" t="n"/>
      <c r="L30" s="21">
        <f>IFERROR(subQ!L22/subQ!J22-1,"")</f>
        <v/>
      </c>
      <c r="M30" s="21">
        <f>IFERROR(subQ!M22/subQ!L22-1,"")</f>
        <v/>
      </c>
      <c r="N30" s="21">
        <f>IFERROR(subQ!N22/subQ!M22-1,"")</f>
        <v/>
      </c>
      <c r="O30" s="21">
        <f>IFERROR(subQ!O22/subQ!N22-1,"")</f>
        <v/>
      </c>
      <c r="P30" s="22" t="n"/>
      <c r="Q30" s="21">
        <f>IFERROR(subQ!Q22/subQ!O22-1,"")</f>
        <v/>
      </c>
      <c r="R30" s="21">
        <f>IFERROR(subQ!R22/subQ!Q22-1,"")</f>
        <v/>
      </c>
      <c r="S30" s="21">
        <f>IFERROR(subQ!S22/subQ!R22-1,"")</f>
        <v/>
      </c>
      <c r="T30" s="21">
        <f>IFERROR(subQ!T22/subQ!S22-1,"")</f>
        <v/>
      </c>
      <c r="U30" s="22" t="n"/>
      <c r="V30" s="21">
        <f>IFERROR(subQ!V22/subQ!T22-1,"")</f>
        <v/>
      </c>
      <c r="W30" s="21">
        <f>IFERROR(subQ!W22/subQ!V22-1,"")</f>
        <v/>
      </c>
      <c r="X30" s="21">
        <f>IFERROR(subQ!X22/subQ!W22-1,"")</f>
        <v/>
      </c>
      <c r="Y30" s="21">
        <f>IFERROR(subQ!Y22/subQ!X22-1,"")</f>
        <v/>
      </c>
      <c r="Z30" s="22" t="n"/>
      <c r="AA30" s="21">
        <f>IFERROR(subQ!AA22/subQ!Y22-1,"")</f>
        <v/>
      </c>
      <c r="AB30" s="23">
        <f>IFERROR(subQ!AB22/subQ!AA22-1,"")</f>
        <v/>
      </c>
      <c r="AC30" s="24" t="n">
        <v>5.41e-07</v>
      </c>
      <c r="AD30" s="24" t="n">
        <v>0</v>
      </c>
      <c r="AE30" s="25" t="n"/>
      <c r="AF30" s="24" t="n">
        <v>0</v>
      </c>
      <c r="AG30" s="24" t="n">
        <v>0</v>
      </c>
      <c r="AH30" s="24" t="n">
        <v>0</v>
      </c>
      <c r="AI30" s="24" t="n">
        <v>0</v>
      </c>
      <c r="AJ30" s="25" t="n"/>
      <c r="AK30" s="24" t="n">
        <v>0</v>
      </c>
      <c r="AL30" s="24" t="n">
        <v>0</v>
      </c>
      <c r="AM30" s="24" t="n">
        <v>0</v>
      </c>
      <c r="AN30" s="24" t="n">
        <v>0</v>
      </c>
      <c r="AO30" s="25" t="n"/>
    </row>
    <row r="31">
      <c r="A31" s="12" t="inlineStr">
        <is>
          <t>drv:자본총계</t>
        </is>
      </c>
      <c r="B31" s="2" t="inlineStr">
        <is>
          <t>roll</t>
        </is>
      </c>
      <c r="C31" t="inlineStr">
        <is>
          <t>자본총계 기타변동(배당 등, 억원)</t>
        </is>
      </c>
      <c r="E31" s="27" t="n"/>
      <c r="F31" s="28" t="n"/>
      <c r="G31" s="27">
        <f>IFERROR(subQ!E23+subQ!G19-subQ!G23,"")</f>
        <v/>
      </c>
      <c r="H31" s="27">
        <f>IFERROR(subQ!G23+subQ!H19-subQ!H23,"")</f>
        <v/>
      </c>
      <c r="I31" s="27">
        <f>IFERROR(subQ!H23+subQ!I19-subQ!I23,"")</f>
        <v/>
      </c>
      <c r="J31" s="27">
        <f>IFERROR(subQ!I23+subQ!J19-subQ!J23,"")</f>
        <v/>
      </c>
      <c r="K31" s="28" t="n"/>
      <c r="L31" s="27">
        <f>IFERROR(subQ!J23+subQ!L19-subQ!L23,"")</f>
        <v/>
      </c>
      <c r="M31" s="27">
        <f>IFERROR(subQ!L23+subQ!M19-subQ!M23,"")</f>
        <v/>
      </c>
      <c r="N31" s="27">
        <f>IFERROR(subQ!M23+subQ!N19-subQ!N23,"")</f>
        <v/>
      </c>
      <c r="O31" s="27">
        <f>IFERROR(subQ!N23+subQ!O19-subQ!O23,"")</f>
        <v/>
      </c>
      <c r="P31" s="28" t="n"/>
      <c r="Q31" s="27">
        <f>IFERROR(subQ!O23+subQ!Q19-subQ!Q23,"")</f>
        <v/>
      </c>
      <c r="R31" s="27">
        <f>IFERROR(subQ!Q23+subQ!R19-subQ!R23,"")</f>
        <v/>
      </c>
      <c r="S31" s="27">
        <f>IFERROR(subQ!R23+subQ!S19-subQ!S23,"")</f>
        <v/>
      </c>
      <c r="T31" s="27">
        <f>IFERROR(subQ!S23+subQ!T19-subQ!T23,"")</f>
        <v/>
      </c>
      <c r="U31" s="28" t="n"/>
      <c r="V31" s="27">
        <f>IFERROR(subQ!T23+subQ!V19-subQ!V23,"")</f>
        <v/>
      </c>
      <c r="W31" s="27">
        <f>IFERROR(subQ!V23+subQ!W19-subQ!W23,"")</f>
        <v/>
      </c>
      <c r="X31" s="27">
        <f>IFERROR(subQ!W23+subQ!X19-subQ!X23,"")</f>
        <v/>
      </c>
      <c r="Y31" s="27">
        <f>IFERROR(subQ!X23+subQ!Y19-subQ!Y23,"")</f>
        <v/>
      </c>
      <c r="Z31" s="28" t="n"/>
      <c r="AA31" s="27">
        <f>IFERROR(subQ!Y23+subQ!AA19-subQ!AA23,"")</f>
        <v/>
      </c>
      <c r="AB31" s="29">
        <f>IFERROR(subQ!AA23+subQ!AB19-subQ!AB23,"")</f>
        <v/>
      </c>
      <c r="AC31" s="30" t="n">
        <v>0.001220222</v>
      </c>
      <c r="AD31" s="30" t="n">
        <v>0.0008671660000000001</v>
      </c>
      <c r="AE31" s="31" t="n"/>
      <c r="AF31" s="30" t="n">
        <v>-0.00160795</v>
      </c>
      <c r="AG31" s="30" t="n">
        <v>0.001357101</v>
      </c>
      <c r="AH31" s="30" t="n">
        <v>-0.000606389</v>
      </c>
      <c r="AI31" s="30" t="n">
        <v>0.004095056</v>
      </c>
      <c r="AJ31" s="31" t="n"/>
      <c r="AK31" s="30" t="n">
        <v>-0.003889981</v>
      </c>
      <c r="AL31" s="30" t="n">
        <v>0.002249301</v>
      </c>
      <c r="AM31" s="30" t="n">
        <v>0.0027428</v>
      </c>
      <c r="AN31" s="30" t="n">
        <v>-0.002731924</v>
      </c>
      <c r="AO31" s="31" t="n"/>
    </row>
    <row r="32">
      <c r="A32" s="12" t="inlineStr">
        <is>
          <t>drv:지배주주지분</t>
        </is>
      </c>
      <c r="B32" s="2" t="inlineStr">
        <is>
          <t>roll</t>
        </is>
      </c>
      <c r="C32" t="inlineStr">
        <is>
          <t>지배주주지분 기타변동(배당 등, 억원)</t>
        </is>
      </c>
      <c r="E32" s="27" t="n"/>
      <c r="F32" s="28" t="n"/>
      <c r="G32" s="27">
        <f>IFERROR(subQ!E24+subQ!G20-subQ!G24,"")</f>
        <v/>
      </c>
      <c r="H32" s="27">
        <f>IFERROR(subQ!G24+subQ!H20-subQ!H24,"")</f>
        <v/>
      </c>
      <c r="I32" s="27">
        <f>IFERROR(subQ!H24+subQ!I20-subQ!I24,"")</f>
        <v/>
      </c>
      <c r="J32" s="27">
        <f>IFERROR(subQ!I24+subQ!J20-subQ!J24,"")</f>
        <v/>
      </c>
      <c r="K32" s="28" t="n"/>
      <c r="L32" s="27">
        <f>IFERROR(subQ!J24+subQ!L20-subQ!L24,"")</f>
        <v/>
      </c>
      <c r="M32" s="27">
        <f>IFERROR(subQ!L24+subQ!M20-subQ!M24,"")</f>
        <v/>
      </c>
      <c r="N32" s="27">
        <f>IFERROR(subQ!M24+subQ!N20-subQ!N24,"")</f>
        <v/>
      </c>
      <c r="O32" s="27">
        <f>IFERROR(subQ!N24+subQ!O20-subQ!O24,"")</f>
        <v/>
      </c>
      <c r="P32" s="28" t="n"/>
      <c r="Q32" s="27">
        <f>IFERROR(subQ!O24+subQ!Q20-subQ!Q24,"")</f>
        <v/>
      </c>
      <c r="R32" s="27">
        <f>IFERROR(subQ!Q24+subQ!R20-subQ!R24,"")</f>
        <v/>
      </c>
      <c r="S32" s="27">
        <f>IFERROR(subQ!R24+subQ!S20-subQ!S24,"")</f>
        <v/>
      </c>
      <c r="T32" s="27">
        <f>IFERROR(subQ!S24+subQ!T20-subQ!T24,"")</f>
        <v/>
      </c>
      <c r="U32" s="28" t="n"/>
      <c r="V32" s="27">
        <f>IFERROR(subQ!T24+subQ!V20-subQ!V24,"")</f>
        <v/>
      </c>
      <c r="W32" s="27">
        <f>IFERROR(subQ!V24+subQ!W20-subQ!W24,"")</f>
        <v/>
      </c>
      <c r="X32" s="27">
        <f>IFERROR(subQ!W24+subQ!X20-subQ!X24,"")</f>
        <v/>
      </c>
      <c r="Y32" s="27">
        <f>IFERROR(subQ!X24+subQ!Y20-subQ!Y24,"")</f>
        <v/>
      </c>
      <c r="Z32" s="28" t="n"/>
      <c r="AA32" s="27">
        <f>IFERROR(subQ!Y24+subQ!AA20-subQ!AA24,"")</f>
        <v/>
      </c>
      <c r="AB32" s="29">
        <f>IFERROR(subQ!AA24+subQ!AB20-subQ!AB24,"")</f>
        <v/>
      </c>
      <c r="AC32" s="30" t="n">
        <v>0.001220222</v>
      </c>
      <c r="AD32" s="30" t="n">
        <v>0.0008671660000000001</v>
      </c>
      <c r="AE32" s="31" t="n"/>
      <c r="AF32" s="30" t="n">
        <v>-0.00160795</v>
      </c>
      <c r="AG32" s="30" t="n">
        <v>0.001357101</v>
      </c>
      <c r="AH32" s="30" t="n">
        <v>-0.000606389</v>
      </c>
      <c r="AI32" s="30" t="n">
        <v>0.004095056</v>
      </c>
      <c r="AJ32" s="31" t="n"/>
      <c r="AK32" s="30" t="n">
        <v>-0.003889981</v>
      </c>
      <c r="AL32" s="30" t="n">
        <v>0.002249301</v>
      </c>
      <c r="AM32" s="30" t="n">
        <v>0.0027428</v>
      </c>
      <c r="AN32" s="30" t="n">
        <v>-0.002731924</v>
      </c>
      <c r="AO32" s="31" t="n"/>
    </row>
    <row r="33">
      <c r="A33" s="12" t="inlineStr">
        <is>
          <t>drv:총차입금</t>
        </is>
      </c>
      <c r="B33" s="2" t="inlineStr">
        <is>
          <t>qoq</t>
        </is>
      </c>
      <c r="C33" t="inlineStr">
        <is>
          <t>총차입금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24" t="n">
        <v>7.58e-07</v>
      </c>
      <c r="AD33" s="24" t="n">
        <v>0</v>
      </c>
      <c r="AE33" s="25" t="n"/>
      <c r="AF33" s="24" t="n">
        <v>0</v>
      </c>
      <c r="AG33" s="24" t="n">
        <v>0</v>
      </c>
      <c r="AH33" s="24" t="n">
        <v>0</v>
      </c>
      <c r="AI33" s="24" t="n">
        <v>0</v>
      </c>
      <c r="AJ33" s="25" t="n"/>
      <c r="AK33" s="24" t="n">
        <v>0</v>
      </c>
      <c r="AL33" s="24" t="n">
        <v>0</v>
      </c>
      <c r="AM33" s="24" t="n">
        <v>0</v>
      </c>
      <c r="AN33" s="24" t="n">
        <v>0</v>
      </c>
      <c r="AO33" s="25" t="n"/>
    </row>
    <row r="34">
      <c r="A34" s="12" t="inlineStr">
        <is>
          <t>drv:순차입금</t>
        </is>
      </c>
      <c r="B34" s="2" t="inlineStr">
        <is>
          <t>qoq</t>
        </is>
      </c>
      <c r="C34" t="inlineStr">
        <is>
          <t>순차입금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24" t="n">
        <v>-0.07393204</v>
      </c>
      <c r="AD34" s="24" t="n">
        <v>-0.10532172</v>
      </c>
      <c r="AE34" s="25" t="n"/>
      <c r="AF34" s="24" t="n">
        <v>-0.086364174</v>
      </c>
      <c r="AG34" s="24" t="n">
        <v>-0.105608732</v>
      </c>
      <c r="AH34" s="24" t="n">
        <v>-0.108306705</v>
      </c>
      <c r="AI34" s="24" t="n">
        <v>-0.154269738</v>
      </c>
      <c r="AJ34" s="25" t="n"/>
      <c r="AK34" s="24" t="n">
        <v>-0.134257484</v>
      </c>
      <c r="AL34" s="24" t="n">
        <v>-0.171880933</v>
      </c>
      <c r="AM34" s="24" t="n">
        <v>-0.185048848</v>
      </c>
      <c r="AN34" s="24" t="n">
        <v>-0.285444116</v>
      </c>
      <c r="AO34" s="25" t="n"/>
    </row>
    <row r="35">
      <c r="A35" s="12" t="inlineStr">
        <is>
          <t>drv:이자발생자산</t>
        </is>
      </c>
      <c r="B35" s="2" t="inlineStr">
        <is>
          <t>qoq</t>
        </is>
      </c>
      <c r="C35" t="inlineStr">
        <is>
          <t>이자발생자산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0.111814101</v>
      </c>
      <c r="AD35" s="24" t="n">
        <v>0.132688075</v>
      </c>
      <c r="AE35" s="25" t="n"/>
      <c r="AF35" s="24" t="n">
        <v>0.08593203200000001</v>
      </c>
      <c r="AG35" s="24" t="n">
        <v>0.08841895700000001</v>
      </c>
      <c r="AH35" s="24" t="n">
        <v>0.07450870800000001</v>
      </c>
      <c r="AI35" s="24" t="n">
        <v>0.088072027</v>
      </c>
      <c r="AJ35" s="25" t="n"/>
      <c r="AK35" s="24" t="n">
        <v>0.059575813</v>
      </c>
      <c r="AL35" s="24" t="n">
        <v>0.062318342</v>
      </c>
      <c r="AM35" s="24" t="n">
        <v>0.052301323</v>
      </c>
      <c r="AN35" s="24" t="n">
        <v>0.062476266</v>
      </c>
      <c r="AO35" s="25" t="n"/>
    </row>
    <row r="36">
      <c r="A36" s="12" t="inlineStr">
        <is>
          <t>drv:현금및현금성자산</t>
        </is>
      </c>
      <c r="B36" s="2" t="inlineStr">
        <is>
          <t>qoq</t>
        </is>
      </c>
      <c r="C36" t="inlineStr">
        <is>
          <t>현금및현금성자산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32" t="n"/>
      <c r="AD36" s="32" t="n"/>
      <c r="AE36" s="25" t="n"/>
      <c r="AF36" s="32" t="n"/>
      <c r="AG36" s="32" t="n"/>
      <c r="AH36" s="32" t="n"/>
      <c r="AI36" s="32" t="n"/>
      <c r="AJ36" s="25" t="n"/>
      <c r="AK36" s="32" t="n"/>
      <c r="AL36" s="32" t="n"/>
      <c r="AM36" s="32" t="n"/>
      <c r="AN36" s="32" t="n"/>
      <c r="AO36" s="25" t="n"/>
    </row>
    <row r="37">
      <c r="A37" s="12" t="inlineStr">
        <is>
          <t>drv:CAPEX</t>
        </is>
      </c>
      <c r="B37" s="2" t="inlineStr">
        <is>
          <t>yoy</t>
        </is>
      </c>
      <c r="C37" t="inlineStr">
        <is>
          <t>CAPEX YoY</t>
        </is>
      </c>
      <c r="E37" s="21" t="n"/>
      <c r="F37" s="22" t="n"/>
      <c r="G37" s="21" t="n"/>
      <c r="H37" s="21" t="n"/>
      <c r="I37" s="21" t="n"/>
      <c r="J37" s="21">
        <f>IFERROR(subQ!J29/subQ!E29-1,"")</f>
        <v/>
      </c>
      <c r="K37" s="22" t="n"/>
      <c r="L37" s="21">
        <f>IFERROR(subQ!L29/subQ!G29-1,"")</f>
        <v/>
      </c>
      <c r="M37" s="21">
        <f>IFERROR(subQ!M29/subQ!H29-1,"")</f>
        <v/>
      </c>
      <c r="N37" s="21">
        <f>IFERROR(subQ!N29/subQ!I29-1,"")</f>
        <v/>
      </c>
      <c r="O37" s="21">
        <f>IFERROR(subQ!O29/subQ!J29-1,"")</f>
        <v/>
      </c>
      <c r="P37" s="22" t="n"/>
      <c r="Q37" s="21">
        <f>IFERROR(subQ!Q29/subQ!L29-1,"")</f>
        <v/>
      </c>
      <c r="R37" s="21">
        <f>IFERROR(subQ!R29/subQ!M29-1,"")</f>
        <v/>
      </c>
      <c r="S37" s="21">
        <f>IFERROR(subQ!S29/subQ!N29-1,"")</f>
        <v/>
      </c>
      <c r="T37" s="21">
        <f>IFERROR(subQ!T29/subQ!O29-1,"")</f>
        <v/>
      </c>
      <c r="U37" s="22" t="n"/>
      <c r="V37" s="21">
        <f>IFERROR(subQ!V29/subQ!Q29-1,"")</f>
        <v/>
      </c>
      <c r="W37" s="21">
        <f>IFERROR(subQ!W29/subQ!R29-1,"")</f>
        <v/>
      </c>
      <c r="X37" s="21">
        <f>IFERROR(subQ!X29/subQ!S29-1,"")</f>
        <v/>
      </c>
      <c r="Y37" s="21">
        <f>IFERROR(subQ!Y29/subQ!T29-1,"")</f>
        <v/>
      </c>
      <c r="Z37" s="22" t="n"/>
      <c r="AA37" s="21">
        <f>IFERROR(subQ!AA29/subQ!V29-1,"")</f>
        <v/>
      </c>
      <c r="AB37" s="23">
        <f>IFERROR(subQ!AB29/subQ!W29-1,"")</f>
        <v/>
      </c>
      <c r="AC37" s="24" t="n">
        <v>-0.195137281</v>
      </c>
      <c r="AD37" s="24" t="n">
        <v>-0.139890852</v>
      </c>
      <c r="AE37" s="25" t="n"/>
      <c r="AF37" s="24" t="n">
        <v>0.270287156</v>
      </c>
      <c r="AG37" s="24" t="n">
        <v>0.194346417</v>
      </c>
      <c r="AH37" s="24" t="n">
        <v>0</v>
      </c>
      <c r="AI37" s="24" t="n">
        <v>0</v>
      </c>
      <c r="AJ37" s="25" t="n"/>
      <c r="AK37" s="24" t="n">
        <v>0</v>
      </c>
      <c r="AL37" s="24" t="n">
        <v>0</v>
      </c>
      <c r="AM37" s="24" t="n">
        <v>0</v>
      </c>
      <c r="AN37" s="24" t="n">
        <v>0</v>
      </c>
      <c r="AO37" s="25" t="n"/>
    </row>
    <row r="38">
      <c r="A38" s="12" t="inlineStr">
        <is>
          <t>drv:영업활동현금흐름</t>
        </is>
      </c>
      <c r="B38" s="2" t="inlineStr">
        <is>
          <t>yoy</t>
        </is>
      </c>
      <c r="C38" t="inlineStr">
        <is>
          <t>영업활동현금흐름 YoY</t>
        </is>
      </c>
      <c r="E38" s="21" t="n"/>
      <c r="F38" s="22" t="n"/>
      <c r="G38" s="21" t="n"/>
      <c r="H38" s="21" t="n"/>
      <c r="I38" s="21" t="n"/>
      <c r="J38" s="21">
        <f>IFERROR(subQ!J30/subQ!E30-1,"")</f>
        <v/>
      </c>
      <c r="K38" s="22" t="n"/>
      <c r="L38" s="21">
        <f>IFERROR(subQ!L30/subQ!G30-1,"")</f>
        <v/>
      </c>
      <c r="M38" s="21">
        <f>IFERROR(subQ!M30/subQ!H30-1,"")</f>
        <v/>
      </c>
      <c r="N38" s="21">
        <f>IFERROR(subQ!N30/subQ!I30-1,"")</f>
        <v/>
      </c>
      <c r="O38" s="21">
        <f>IFERROR(subQ!O30/subQ!J30-1,"")</f>
        <v/>
      </c>
      <c r="P38" s="22" t="n"/>
      <c r="Q38" s="21">
        <f>IFERROR(subQ!Q30/subQ!L30-1,"")</f>
        <v/>
      </c>
      <c r="R38" s="21">
        <f>IFERROR(subQ!R30/subQ!M30-1,"")</f>
        <v/>
      </c>
      <c r="S38" s="21">
        <f>IFERROR(subQ!S30/subQ!N30-1,"")</f>
        <v/>
      </c>
      <c r="T38" s="21">
        <f>IFERROR(subQ!T30/subQ!O30-1,"")</f>
        <v/>
      </c>
      <c r="U38" s="22" t="n"/>
      <c r="V38" s="21">
        <f>IFERROR(subQ!V30/subQ!Q30-1,"")</f>
        <v/>
      </c>
      <c r="W38" s="21">
        <f>IFERROR(subQ!W30/subQ!R30-1,"")</f>
        <v/>
      </c>
      <c r="X38" s="21">
        <f>IFERROR(subQ!X30/subQ!S30-1,"")</f>
        <v/>
      </c>
      <c r="Y38" s="21">
        <f>IFERROR(subQ!Y30/subQ!T30-1,"")</f>
        <v/>
      </c>
      <c r="Z38" s="22" t="n"/>
      <c r="AA38" s="21">
        <f>IFERROR(subQ!AA30/subQ!V30-1,"")</f>
        <v/>
      </c>
      <c r="AB38" s="23">
        <f>IFERROR(subQ!AB30/subQ!W30-1,"")</f>
        <v/>
      </c>
      <c r="AC38" s="32" t="n"/>
      <c r="AD38" s="32" t="n"/>
      <c r="AE38" s="25" t="n"/>
      <c r="AF38" s="32" t="n"/>
      <c r="AG38" s="32" t="n"/>
      <c r="AH38" s="32" t="n"/>
      <c r="AI38" s="32" t="n"/>
      <c r="AJ38" s="25" t="n"/>
      <c r="AK38" s="32" t="n"/>
      <c r="AL38" s="32" t="n"/>
      <c r="AM38" s="32" t="n"/>
      <c r="AN38" s="32" t="n"/>
      <c r="AO38" s="25" t="n"/>
    </row>
    <row r="39">
      <c r="A39" s="12" t="inlineStr">
        <is>
          <t>drv:주식수</t>
        </is>
      </c>
      <c r="B39" s="2" t="inlineStr">
        <is>
          <t>qoq</t>
        </is>
      </c>
      <c r="C39" t="inlineStr">
        <is>
          <t>주식수 QoQ</t>
        </is>
      </c>
      <c r="E39" s="21" t="n"/>
      <c r="F39" s="22" t="n"/>
      <c r="G39" s="21">
        <f>IFERROR(subQ!G31/subQ!E31-1,"")</f>
        <v/>
      </c>
      <c r="H39" s="21">
        <f>IFERROR(subQ!H31/subQ!G31-1,"")</f>
        <v/>
      </c>
      <c r="I39" s="21">
        <f>IFERROR(subQ!I31/subQ!H31-1,"")</f>
        <v/>
      </c>
      <c r="J39" s="21">
        <f>IFERROR(subQ!J31/subQ!I31-1,"")</f>
        <v/>
      </c>
      <c r="K39" s="22" t="n"/>
      <c r="L39" s="21">
        <f>IFERROR(subQ!L31/subQ!J31-1,"")</f>
        <v/>
      </c>
      <c r="M39" s="21">
        <f>IFERROR(subQ!M31/subQ!L31-1,"")</f>
        <v/>
      </c>
      <c r="N39" s="21">
        <f>IFERROR(subQ!N31/subQ!M31-1,"")</f>
        <v/>
      </c>
      <c r="O39" s="21">
        <f>IFERROR(subQ!O31/subQ!N31-1,"")</f>
        <v/>
      </c>
      <c r="P39" s="22" t="n"/>
      <c r="Q39" s="21">
        <f>IFERROR(subQ!Q31/subQ!O31-1,"")</f>
        <v/>
      </c>
      <c r="R39" s="21">
        <f>IFERROR(subQ!R31/subQ!Q31-1,"")</f>
        <v/>
      </c>
      <c r="S39" s="21">
        <f>IFERROR(subQ!S31/subQ!R31-1,"")</f>
        <v/>
      </c>
      <c r="T39" s="21">
        <f>IFERROR(subQ!T31/subQ!S31-1,"")</f>
        <v/>
      </c>
      <c r="U39" s="22" t="n"/>
      <c r="V39" s="21">
        <f>IFERROR(subQ!V31/subQ!T31-1,"")</f>
        <v/>
      </c>
      <c r="W39" s="21">
        <f>IFERROR(subQ!W31/subQ!V31-1,"")</f>
        <v/>
      </c>
      <c r="X39" s="21">
        <f>IFERROR(subQ!X31/subQ!W31-1,"")</f>
        <v/>
      </c>
      <c r="Y39" s="21">
        <f>IFERROR(subQ!Y31/subQ!X31-1,"")</f>
        <v/>
      </c>
      <c r="Z39" s="22" t="n"/>
      <c r="AA39" s="21">
        <f>IFERROR(subQ!AA31/subQ!Y31-1,"")</f>
        <v/>
      </c>
      <c r="AB39" s="23">
        <f>IFERROR(subQ!AB31/subQ!AA31-1,"")</f>
        <v/>
      </c>
      <c r="AC39" s="24" t="n">
        <v>0</v>
      </c>
      <c r="AD39" s="24" t="n">
        <v>0</v>
      </c>
      <c r="AE39" s="25" t="n"/>
      <c r="AF39" s="24" t="n">
        <v>0</v>
      </c>
      <c r="AG39" s="24" t="n">
        <v>0</v>
      </c>
      <c r="AH39" s="24" t="n">
        <v>0</v>
      </c>
      <c r="AI39" s="24" t="n">
        <v>0</v>
      </c>
      <c r="AJ39" s="25" t="n"/>
      <c r="AK39" s="24" t="n">
        <v>0</v>
      </c>
      <c r="AL39" s="24" t="n">
        <v>0</v>
      </c>
      <c r="AM39" s="24" t="n">
        <v>0</v>
      </c>
      <c r="AN39" s="24" t="n">
        <v>0</v>
      </c>
      <c r="AO39" s="25" t="n"/>
    </row>
    <row r="40">
      <c r="A40" s="12" t="inlineStr">
        <is>
          <t>drv:DPS</t>
        </is>
      </c>
      <c r="B40" s="2" t="inlineStr">
        <is>
          <t>abs</t>
        </is>
      </c>
      <c r="C40" t="inlineStr">
        <is>
          <t>DPS (가정, 원)</t>
        </is>
      </c>
      <c r="E40" s="27">
        <f>subQ!E34</f>
        <v/>
      </c>
      <c r="F40" s="28">
        <f>subQ!F34</f>
        <v/>
      </c>
      <c r="G40" s="27">
        <f>subQ!G34</f>
        <v/>
      </c>
      <c r="H40" s="27">
        <f>subQ!H34</f>
        <v/>
      </c>
      <c r="I40" s="27">
        <f>subQ!I34</f>
        <v/>
      </c>
      <c r="J40" s="27">
        <f>subQ!J34</f>
        <v/>
      </c>
      <c r="K40" s="28">
        <f>subQ!K34</f>
        <v/>
      </c>
      <c r="L40" s="27">
        <f>subQ!L34</f>
        <v/>
      </c>
      <c r="M40" s="27">
        <f>subQ!M34</f>
        <v/>
      </c>
      <c r="N40" s="27">
        <f>subQ!N34</f>
        <v/>
      </c>
      <c r="O40" s="27">
        <f>subQ!O34</f>
        <v/>
      </c>
      <c r="P40" s="28">
        <f>subQ!P34</f>
        <v/>
      </c>
      <c r="Q40" s="27">
        <f>subQ!Q34</f>
        <v/>
      </c>
      <c r="R40" s="27">
        <f>subQ!R34</f>
        <v/>
      </c>
      <c r="S40" s="27">
        <f>subQ!S34</f>
        <v/>
      </c>
      <c r="T40" s="27">
        <f>subQ!T34</f>
        <v/>
      </c>
      <c r="U40" s="28">
        <f>subQ!U34</f>
        <v/>
      </c>
      <c r="V40" s="27">
        <f>subQ!V34</f>
        <v/>
      </c>
      <c r="W40" s="27">
        <f>subQ!W34</f>
        <v/>
      </c>
      <c r="X40" s="27">
        <f>subQ!X34</f>
        <v/>
      </c>
      <c r="Y40" s="27">
        <f>subQ!Y34</f>
        <v/>
      </c>
      <c r="Z40" s="28">
        <f>subQ!Z34</f>
        <v/>
      </c>
      <c r="AA40" s="27">
        <f>subQ!AA34</f>
        <v/>
      </c>
      <c r="AB40" s="29">
        <f>subQ!AB34</f>
        <v/>
      </c>
      <c r="AC40" s="33" t="n"/>
      <c r="AD40" s="30" t="n">
        <v>0</v>
      </c>
      <c r="AE40" s="31">
        <f>subQ!AE34</f>
        <v/>
      </c>
      <c r="AF40" s="33" t="n"/>
      <c r="AG40" s="33" t="n"/>
      <c r="AH40" s="33" t="n"/>
      <c r="AI40" s="30" t="n">
        <v>0</v>
      </c>
      <c r="AJ40" s="31">
        <f>subQ!AJ34</f>
        <v/>
      </c>
      <c r="AK40" s="33" t="n"/>
      <c r="AL40" s="33" t="n"/>
      <c r="AM40" s="33" t="n"/>
      <c r="AN40" s="30" t="n">
        <v>0</v>
      </c>
      <c r="AO40" s="31">
        <f>subQ!AO34</f>
        <v/>
      </c>
    </row>
    <row r="41"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B42" s="1" t="inlineStr">
        <is>
          <t>3. 밸류에이션·스칼라</t>
        </is>
      </c>
      <c r="C42" s="2" t="inlineStr">
        <is>
          <t>노란 셀 = 가정. '연결' 표시는 추정 전 분기 수식이 이 셀을 참조한다는 뜻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sc:종가</t>
        </is>
      </c>
      <c r="C43" t="inlineStr">
        <is>
          <t>종가</t>
        </is>
      </c>
      <c r="D43" s="34" t="n">
        <v>15780</v>
      </c>
      <c r="E43" s="2" t="inlineStr">
        <is>
          <t>원 — 네이버 정규장 종가(aik 확정종가 대조 · aik 17,000원)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sc:기준일</t>
        </is>
      </c>
      <c r="C44" t="inlineStr">
        <is>
          <t>기준일</t>
        </is>
      </c>
      <c r="D44" s="35" t="inlineStr">
        <is>
          <t>20261026</t>
        </is>
      </c>
      <c r="E44" s="2" t="inlineStr">
        <is>
          <t>종가 기준일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sc:COE</t>
        </is>
      </c>
      <c r="C45" t="inlineStr">
        <is>
          <t>COE</t>
        </is>
      </c>
      <c r="D45" s="24" t="n">
        <v>0.09</v>
      </c>
      <c r="E45" s="2" t="inlineStr">
        <is>
          <t>자기자본비용(가정) — TP 적정 PBR = ROE/COE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sc:PER_lo</t>
        </is>
      </c>
      <c r="C46" t="inlineStr">
        <is>
          <t>PER_lo</t>
        </is>
      </c>
      <c r="D46" s="30" t="n">
        <v>14.9</v>
      </c>
      <c r="E46" s="2" t="inlineStr">
        <is>
          <t>PER 밴드 하단(배) — hist_quarterly(분기 평균가 ÷ TTM EPS, 11분기, 25/50/75 백분위)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sc:PER_mid</t>
        </is>
      </c>
      <c r="C47" t="inlineStr">
        <is>
          <t>PER_mid</t>
        </is>
      </c>
      <c r="D47" s="30" t="n">
        <v>17.5</v>
      </c>
      <c r="E47" s="2" t="inlineStr">
        <is>
          <t>PER 밴드 중단(배)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sc:PER_hi</t>
        </is>
      </c>
      <c r="C48" t="inlineStr">
        <is>
          <t>PER_hi</t>
        </is>
      </c>
      <c r="D48" s="30" t="n">
        <v>24.6</v>
      </c>
      <c r="E48" s="2" t="inlineStr">
        <is>
          <t>PER 밴드 상단(배)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sc:EPS_Y1가중</t>
        </is>
      </c>
      <c r="C49" t="inlineStr">
        <is>
          <t>EPS_Y1가중</t>
        </is>
      </c>
      <c r="D49" s="24" t="n">
        <v>0.5</v>
      </c>
      <c r="E49" s="2" t="inlineStr">
        <is>
          <t>12M fwd EPS = FY(last_actual연도)E × w + FY+1E × (1−w) — 기준 분기 2Q 이면 0.5(가정)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sc:세율</t>
        </is>
      </c>
      <c r="C50" t="inlineStr">
        <is>
          <t>세율</t>
        </is>
      </c>
      <c r="D50" s="36" t="n">
        <v>0</v>
      </c>
      <c r="E50" s="2" t="inlineStr">
        <is>
          <t>참고(연결 안 됨: 이월결손 램프(assumptions.tax_schedule, 0%→22%) — 분기별 세율 드라이버 행 사용) — 모델 assumptions 값(시작 0% → terminal 22%, 2026Q4 까지 유지 → 2027Q1~2028Q4 선형 램프 — 분기별 값은 2절 drv:법인세비용 행) · 최근 8분기 중 세전 &gt; 0 인 8분기(2024Q3~2026Q2) 법인세/세전 중위 -3.3%·최근 4분기 중위 -1.8% 가 모두 5% 미만 → 이월결손 공제 중으로 보고 0.0% 를 2026Q4 까지 유지, 2027Q1~2028Q4 선형 램프로 법정세율 근사 22% 수렴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sc:판관비율</t>
        </is>
      </c>
      <c r="C51" t="inlineStr">
        <is>
          <t>판관비율</t>
        </is>
      </c>
      <c r="D51" s="36" t="n">
        <v>0.07878301633839888</v>
      </c>
      <c r="E51" s="2" t="inlineStr">
        <is>
          <t>연결 — 판관비 = 매출액 × 판관비율(역산, 재현 오차 ≤ 0.05억 · 모델 assumptions 0.0788)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sc:지배주주비중</t>
        </is>
      </c>
      <c r="C52" t="inlineStr">
        <is>
          <t>지배주주비중</t>
        </is>
      </c>
      <c r="D52" s="36" t="n">
        <v>1</v>
      </c>
      <c r="E52" s="2" t="inlineStr">
        <is>
          <t>연결 — 지배주주순이익 = 당기순이익 × 비중(역산, 재현 오차 ≤ 0.05억)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sc:이자율_자산</t>
        </is>
      </c>
      <c r="C53" t="inlineStr">
        <is>
          <t>이자율_자산</t>
        </is>
      </c>
      <c r="D53" s="36" t="n">
        <v>0.02327875647844627</v>
      </c>
      <c r="E53" s="2" t="inlineStr">
        <is>
          <t>연결 — 이자손익 = (전분기 이자발생자산 × 자산이자율 − 전분기 총차입금 × 부채이자율)/4(역산, 재현 오차 ≤ 0.05억 · 모델 assumptions 0.0233)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sc:이자율_부채</t>
        </is>
      </c>
      <c r="C54" t="inlineStr">
        <is>
          <t>이자율_부채</t>
        </is>
      </c>
      <c r="D54" s="36" t="n">
        <v>0.0370888319264733</v>
      </c>
      <c r="E54" s="2" t="inlineStr">
        <is>
          <t>연결 — 같은 수식의 부채 쪽(총차입금 행이 없으면 0)(역산, 재현 오차 ≤ 0.05억 · 모델 assumptions 0.0371)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sc:배당성향</t>
        </is>
      </c>
      <c r="C55" t="inlineStr">
        <is>
          <t>배당성향</t>
        </is>
      </c>
      <c r="D55" s="24" t="n">
        <v>0</v>
      </c>
      <c r="E55" s="2" t="inlineStr">
        <is>
          <t>배당성향(참고 — 모델은 직전 DPS 유지·Q2 지급 가정)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sc:외화순노출_백만$</t>
        </is>
      </c>
      <c r="C56" t="inlineStr">
        <is>
          <t>외화순노출_백만$</t>
        </is>
      </c>
      <c r="D56" s="30" t="n"/>
      <c r="E56" s="2" t="inlineStr">
        <is>
          <t>외화 순노출 × Δ기말환율 (외화 시트 방식) — 외화 순노출 미공시(face) → 0 + 표기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sc:헤지비율</t>
        </is>
      </c>
      <c r="C57" t="inlineStr">
        <is>
          <t>헤지비율</t>
        </is>
      </c>
      <c r="D57" s="24" t="n"/>
      <c r="E57" s="2" t="inlineStr">
        <is>
          <t>sls 없음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sc:헤지환율_약정</t>
        </is>
      </c>
      <c r="C58" t="inlineStr">
        <is>
          <t>헤지환율_약정</t>
        </is>
      </c>
      <c r="D58" s="16" t="n"/>
      <c r="E58" s="2" t="inlineStr">
        <is>
          <t>sls 없음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STX엔진(연)</t>
        </is>
      </c>
      <c r="C3" s="2" t="inlineStr">
        <is>
          <t>UPDATE: 26-10-26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427101</v>
      </c>
      <c r="F5" s="37" t="n">
        <v>427101</v>
      </c>
      <c r="G5" s="18" t="n">
        <v>419659</v>
      </c>
      <c r="H5" s="18" t="n">
        <v>418966</v>
      </c>
      <c r="I5" s="18" t="n">
        <v>429083</v>
      </c>
      <c r="J5" s="18" t="n">
        <v>468460</v>
      </c>
      <c r="K5" s="37" t="n">
        <v>468460</v>
      </c>
      <c r="L5" s="18" t="n">
        <v>483477</v>
      </c>
      <c r="M5" s="18" t="n">
        <v>448281</v>
      </c>
      <c r="N5" s="18" t="n">
        <v>446925</v>
      </c>
      <c r="O5" s="18" t="n">
        <v>490899</v>
      </c>
      <c r="P5" s="37" t="n">
        <v>490899</v>
      </c>
      <c r="Q5" s="18" t="n">
        <v>573665</v>
      </c>
      <c r="R5" s="18" t="n">
        <v>596885</v>
      </c>
      <c r="S5" s="18" t="n">
        <v>572986</v>
      </c>
      <c r="T5" s="18" t="n">
        <v>555213.66</v>
      </c>
      <c r="U5" s="37" t="n">
        <v>555213.66</v>
      </c>
      <c r="V5" s="18" t="n">
        <v>525196.8199999999</v>
      </c>
      <c r="W5" s="18" t="n">
        <v>635843.1</v>
      </c>
      <c r="X5" s="18" t="n">
        <v>671710.7</v>
      </c>
      <c r="Y5" s="18" t="n">
        <v>727075.77</v>
      </c>
      <c r="Z5" s="37" t="n">
        <v>727075.77</v>
      </c>
      <c r="AA5" s="18" t="n">
        <v>774506.29</v>
      </c>
      <c r="AB5" s="19" t="n">
        <v>780031.12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104687</v>
      </c>
      <c r="F6" s="37" t="n">
        <v>104687</v>
      </c>
      <c r="G6" s="18" t="n">
        <v>109517</v>
      </c>
      <c r="H6" s="18" t="n">
        <v>76889</v>
      </c>
      <c r="I6" s="18" t="n">
        <v>56648</v>
      </c>
      <c r="J6" s="18" t="n">
        <v>88277</v>
      </c>
      <c r="K6" s="37" t="n">
        <v>88277</v>
      </c>
      <c r="L6" s="18" t="n">
        <v>63412</v>
      </c>
      <c r="M6" s="18" t="n">
        <v>71516</v>
      </c>
      <c r="N6" s="18" t="n">
        <v>57911</v>
      </c>
      <c r="O6" s="18" t="n">
        <v>86616</v>
      </c>
      <c r="P6" s="37" t="n">
        <v>86616</v>
      </c>
      <c r="Q6" s="18" t="n">
        <v>105211</v>
      </c>
      <c r="R6" s="18" t="n">
        <v>101695</v>
      </c>
      <c r="S6" s="18" t="n">
        <v>98619</v>
      </c>
      <c r="T6" s="18" t="n">
        <v>131440.92</v>
      </c>
      <c r="U6" s="37" t="n">
        <v>131440.92</v>
      </c>
      <c r="V6" s="18" t="n">
        <v>44331.39</v>
      </c>
      <c r="W6" s="18" t="n">
        <v>109016.06</v>
      </c>
      <c r="X6" s="18" t="n">
        <v>167149.21</v>
      </c>
      <c r="Y6" s="18" t="n">
        <v>164134.33</v>
      </c>
      <c r="Z6" s="37" t="n">
        <v>164134.33</v>
      </c>
      <c r="AA6" s="18" t="n">
        <v>110270.44</v>
      </c>
      <c r="AB6" s="19" t="n">
        <v>114235.36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기타유동금융자산</t>
        </is>
      </c>
      <c r="E7" s="18" t="n">
        <v>1869</v>
      </c>
      <c r="F7" s="37" t="n">
        <v>1869</v>
      </c>
      <c r="G7" s="18" t="n">
        <v>1347</v>
      </c>
      <c r="H7" s="18" t="n">
        <v>1937</v>
      </c>
      <c r="I7" s="18" t="n">
        <v>1970</v>
      </c>
      <c r="K7" s="9" t="n"/>
      <c r="L7" s="18" t="n">
        <v>9311</v>
      </c>
      <c r="M7" s="18" t="n">
        <v>369</v>
      </c>
      <c r="N7" s="18" t="n">
        <v>246</v>
      </c>
      <c r="P7" s="9" t="n"/>
      <c r="U7" s="9" t="n"/>
      <c r="Z7" s="9" t="n"/>
      <c r="AB7" s="5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매출채권및기타채권</t>
        </is>
      </c>
      <c r="E8" s="18" t="n">
        <v>93506</v>
      </c>
      <c r="F8" s="37" t="n">
        <v>93506</v>
      </c>
      <c r="G8" s="18" t="n">
        <v>71354</v>
      </c>
      <c r="H8" s="18" t="n">
        <v>73359</v>
      </c>
      <c r="I8" s="18" t="n">
        <v>96141</v>
      </c>
      <c r="J8" s="18" t="n">
        <v>110235</v>
      </c>
      <c r="K8" s="37" t="n">
        <v>110235</v>
      </c>
      <c r="L8" s="18" t="n">
        <v>112722</v>
      </c>
      <c r="M8" s="18" t="n">
        <v>104788</v>
      </c>
      <c r="N8" s="18" t="n">
        <v>105637</v>
      </c>
      <c r="O8" s="18" t="n">
        <v>136635</v>
      </c>
      <c r="P8" s="37" t="n">
        <v>136635</v>
      </c>
      <c r="Q8" s="18" t="n">
        <v>101290</v>
      </c>
      <c r="R8" s="18" t="n">
        <v>124273</v>
      </c>
      <c r="S8" s="18" t="n">
        <v>124231</v>
      </c>
      <c r="T8" s="18" t="n">
        <v>91585.37</v>
      </c>
      <c r="U8" s="37" t="n">
        <v>91585.37</v>
      </c>
      <c r="V8" s="18" t="n">
        <v>101167.75</v>
      </c>
      <c r="W8" s="18" t="n">
        <v>141419.58</v>
      </c>
      <c r="X8" s="18" t="n">
        <v>99833.50999999999</v>
      </c>
      <c r="Y8" s="18" t="n">
        <v>141748.29</v>
      </c>
      <c r="Z8" s="37" t="n">
        <v>141748.29</v>
      </c>
      <c r="AA8" s="18" t="n">
        <v>184178.49</v>
      </c>
      <c r="AB8" s="19" t="n">
        <v>137930.07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계약자산</t>
        </is>
      </c>
      <c r="E9" s="18" t="n">
        <v>16551</v>
      </c>
      <c r="F9" s="37" t="n">
        <v>16551</v>
      </c>
      <c r="G9" s="18" t="n">
        <v>16412</v>
      </c>
      <c r="H9" s="18" t="n">
        <v>17722</v>
      </c>
      <c r="I9" s="18" t="n">
        <v>17708</v>
      </c>
      <c r="J9" s="18" t="n">
        <v>12431</v>
      </c>
      <c r="K9" s="37" t="n">
        <v>12431</v>
      </c>
      <c r="L9" s="18" t="n">
        <v>18008</v>
      </c>
      <c r="M9" s="18" t="n">
        <v>15161</v>
      </c>
      <c r="N9" s="18" t="n">
        <v>14888</v>
      </c>
      <c r="O9" s="18" t="n">
        <v>6051</v>
      </c>
      <c r="P9" s="37" t="n">
        <v>6051</v>
      </c>
      <c r="Q9" s="18" t="n">
        <v>8170</v>
      </c>
      <c r="R9" s="18" t="n">
        <v>8362</v>
      </c>
      <c r="S9" s="18" t="n">
        <v>12439</v>
      </c>
      <c r="T9" s="18" t="n">
        <v>10372.02</v>
      </c>
      <c r="U9" s="37" t="n">
        <v>10372.02</v>
      </c>
      <c r="V9" s="18" t="n">
        <v>14089.45</v>
      </c>
      <c r="W9" s="18" t="n">
        <v>14583.59</v>
      </c>
      <c r="X9" s="18" t="n">
        <v>19223.46</v>
      </c>
      <c r="Y9" s="18" t="n">
        <v>24268.64</v>
      </c>
      <c r="Z9" s="37" t="n">
        <v>24268.64</v>
      </c>
      <c r="AA9" s="18" t="n">
        <v>32917.99</v>
      </c>
      <c r="AB9" s="19" t="n">
        <v>40432.66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선급금</t>
        </is>
      </c>
      <c r="E10" s="18" t="n">
        <v>22378</v>
      </c>
      <c r="F10" s="37" t="n">
        <v>22378</v>
      </c>
      <c r="G10" s="18" t="n">
        <v>37854</v>
      </c>
      <c r="H10" s="18" t="n">
        <v>39056</v>
      </c>
      <c r="I10" s="18" t="n">
        <v>35255</v>
      </c>
      <c r="J10" s="18" t="n">
        <v>47238</v>
      </c>
      <c r="K10" s="37" t="n">
        <v>47238</v>
      </c>
      <c r="L10" s="18" t="n">
        <v>55457</v>
      </c>
      <c r="M10" s="18" t="n">
        <v>59281</v>
      </c>
      <c r="N10" s="18" t="n">
        <v>54777</v>
      </c>
      <c r="O10" s="18" t="n">
        <v>53735</v>
      </c>
      <c r="P10" s="37" t="n">
        <v>53735</v>
      </c>
      <c r="Q10" s="18" t="n">
        <v>61152</v>
      </c>
      <c r="R10" s="18" t="n">
        <v>59737</v>
      </c>
      <c r="S10" s="18" t="n">
        <v>43214</v>
      </c>
      <c r="T10" s="18" t="n">
        <v>37270.7</v>
      </c>
      <c r="U10" s="37" t="n">
        <v>37270.7</v>
      </c>
      <c r="V10" s="18" t="n">
        <v>43594.87</v>
      </c>
      <c r="W10" s="18" t="n">
        <v>59011.95</v>
      </c>
      <c r="X10" s="18" t="n">
        <v>82649.35000000001</v>
      </c>
      <c r="Y10" s="18" t="n">
        <v>45267.19</v>
      </c>
      <c r="Z10" s="37" t="n">
        <v>45267.19</v>
      </c>
      <c r="AA10" s="18" t="n">
        <v>67291.78999999999</v>
      </c>
      <c r="AB10" s="19" t="n">
        <v>69367.13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선급금등</t>
        </is>
      </c>
      <c r="E11" s="18" t="n">
        <v>22378</v>
      </c>
      <c r="F11" s="37" t="n">
        <v>22378</v>
      </c>
      <c r="G11" s="18" t="n">
        <v>37854</v>
      </c>
      <c r="H11" s="18" t="n">
        <v>39056</v>
      </c>
      <c r="I11" s="18" t="n">
        <v>35255</v>
      </c>
      <c r="J11" s="18" t="n">
        <v>47238</v>
      </c>
      <c r="K11" s="37" t="n">
        <v>47238</v>
      </c>
      <c r="L11" s="18" t="n">
        <v>55457</v>
      </c>
      <c r="M11" s="18" t="n">
        <v>59281</v>
      </c>
      <c r="N11" s="18" t="n">
        <v>54777</v>
      </c>
      <c r="O11" s="18" t="n">
        <v>53735</v>
      </c>
      <c r="P11" s="37" t="n">
        <v>53735</v>
      </c>
      <c r="Q11" s="18" t="n">
        <v>61152</v>
      </c>
      <c r="R11" s="18" t="n">
        <v>59737</v>
      </c>
      <c r="S11" s="18" t="n">
        <v>43214</v>
      </c>
      <c r="T11" s="18" t="n">
        <v>37270.7</v>
      </c>
      <c r="U11" s="37" t="n">
        <v>37270.7</v>
      </c>
      <c r="V11" s="18" t="n">
        <v>43594.87</v>
      </c>
      <c r="W11" s="18" t="n">
        <v>59011.95</v>
      </c>
      <c r="X11" s="18" t="n">
        <v>82649.35000000001</v>
      </c>
      <c r="Y11" s="18" t="n">
        <v>45267.19</v>
      </c>
      <c r="Z11" s="37" t="n">
        <v>45267.19</v>
      </c>
      <c r="AA11" s="18" t="n">
        <v>67291.78999999999</v>
      </c>
      <c r="AB11" s="19" t="n">
        <v>69367.13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28491</v>
      </c>
      <c r="F12" s="37" t="n">
        <v>28491</v>
      </c>
      <c r="G12" s="18" t="n">
        <v>43066</v>
      </c>
      <c r="H12" s="18" t="n">
        <v>45573</v>
      </c>
      <c r="I12" s="18" t="n">
        <v>40730</v>
      </c>
      <c r="J12" s="18" t="n">
        <v>47238</v>
      </c>
      <c r="K12" s="37" t="n">
        <v>47238</v>
      </c>
      <c r="L12" s="18" t="n">
        <v>60042</v>
      </c>
      <c r="M12" s="18" t="n">
        <v>63155</v>
      </c>
      <c r="N12" s="18" t="n">
        <v>59037</v>
      </c>
      <c r="O12" s="18" t="n">
        <v>53735</v>
      </c>
      <c r="P12" s="37" t="n">
        <v>53735</v>
      </c>
      <c r="Q12" s="18" t="n">
        <v>61152</v>
      </c>
      <c r="R12" s="18" t="n">
        <v>59737</v>
      </c>
      <c r="S12" s="18" t="n">
        <v>43214</v>
      </c>
      <c r="T12" s="18" t="n">
        <v>37270.7</v>
      </c>
      <c r="U12" s="37" t="n">
        <v>37270.7</v>
      </c>
      <c r="V12" s="18" t="n">
        <v>43594.87</v>
      </c>
      <c r="W12" s="18" t="n">
        <v>59011.95</v>
      </c>
      <c r="X12" s="18" t="n">
        <v>82649.35000000001</v>
      </c>
      <c r="Y12" s="18" t="n">
        <v>45267.19</v>
      </c>
      <c r="Z12" s="37" t="n">
        <v>45267.19</v>
      </c>
      <c r="AA12" s="18" t="n">
        <v>67291.78999999999</v>
      </c>
      <c r="AB12" s="19" t="n">
        <v>69367.13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재고자산</t>
        </is>
      </c>
      <c r="E13" s="18" t="n">
        <v>181566</v>
      </c>
      <c r="F13" s="37" t="n">
        <v>181566</v>
      </c>
      <c r="G13" s="18" t="n">
        <v>176620</v>
      </c>
      <c r="H13" s="18" t="n">
        <v>197952</v>
      </c>
      <c r="I13" s="18" t="n">
        <v>204463</v>
      </c>
      <c r="J13" s="18" t="n">
        <v>188620</v>
      </c>
      <c r="K13" s="37" t="n">
        <v>188620</v>
      </c>
      <c r="L13" s="18" t="n">
        <v>216215</v>
      </c>
      <c r="M13" s="18" t="n">
        <v>191044</v>
      </c>
      <c r="N13" s="18" t="n">
        <v>208383</v>
      </c>
      <c r="O13" s="18" t="n">
        <v>205831</v>
      </c>
      <c r="P13" s="37" t="n">
        <v>205831</v>
      </c>
      <c r="Q13" s="18" t="n">
        <v>292688</v>
      </c>
      <c r="R13" s="18" t="n">
        <v>299546</v>
      </c>
      <c r="S13" s="18" t="n">
        <v>289626</v>
      </c>
      <c r="T13" s="18" t="n">
        <v>276995.24</v>
      </c>
      <c r="U13" s="37" t="n">
        <v>276995.24</v>
      </c>
      <c r="V13" s="18" t="n">
        <v>316005.61</v>
      </c>
      <c r="W13" s="18" t="n">
        <v>303625.35</v>
      </c>
      <c r="X13" s="18" t="n">
        <v>295599.49</v>
      </c>
      <c r="Y13" s="18" t="n">
        <v>337393.7</v>
      </c>
      <c r="Z13" s="37" t="n">
        <v>337393.7</v>
      </c>
      <c r="AA13" s="18" t="n">
        <v>360422.92</v>
      </c>
      <c r="AB13" s="19" t="n">
        <v>396142.96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당기법인세자산(선급법인세)</t>
        </is>
      </c>
      <c r="E14" s="18" t="n">
        <v>81</v>
      </c>
      <c r="F14" s="37" t="n">
        <v>81</v>
      </c>
      <c r="G14" s="18" t="n">
        <v>35</v>
      </c>
      <c r="H14" s="18" t="n">
        <v>58</v>
      </c>
      <c r="I14" s="18" t="n">
        <v>30</v>
      </c>
      <c r="J14" s="18" t="n">
        <v>161</v>
      </c>
      <c r="K14" s="37" t="n">
        <v>161</v>
      </c>
      <c r="L14" s="18" t="n">
        <v>576</v>
      </c>
      <c r="M14" s="18" t="n">
        <v>592</v>
      </c>
      <c r="N14" s="18" t="n">
        <v>662</v>
      </c>
      <c r="O14" s="18" t="n">
        <v>338</v>
      </c>
      <c r="P14" s="37" t="n">
        <v>338</v>
      </c>
      <c r="Q14" s="18" t="n">
        <v>449</v>
      </c>
      <c r="R14" s="18" t="n">
        <v>235</v>
      </c>
      <c r="S14" s="18" t="n">
        <v>113</v>
      </c>
      <c r="T14" s="18" t="n">
        <v>89.04000000000001</v>
      </c>
      <c r="U14" s="37" t="n">
        <v>89.04000000000001</v>
      </c>
      <c r="V14" s="18" t="n">
        <v>202.74</v>
      </c>
      <c r="Y14" s="18" t="n">
        <v>0</v>
      </c>
      <c r="Z14" s="37" t="n">
        <v>0</v>
      </c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유동확정계약자산</t>
        </is>
      </c>
      <c r="E15" s="18" t="n">
        <v>350</v>
      </c>
      <c r="F15" s="37" t="n">
        <v>350</v>
      </c>
      <c r="G15" s="18" t="n">
        <v>1308</v>
      </c>
      <c r="H15" s="18" t="n">
        <v>5476</v>
      </c>
      <c r="I15" s="18" t="n">
        <v>11393</v>
      </c>
      <c r="J15" s="18" t="n">
        <v>3636</v>
      </c>
      <c r="K15" s="37" t="n">
        <v>3636</v>
      </c>
      <c r="L15" s="18" t="n">
        <v>3034</v>
      </c>
      <c r="M15" s="18" t="n">
        <v>1652</v>
      </c>
      <c r="N15" s="18" t="n">
        <v>161</v>
      </c>
      <c r="P15" s="9" t="n"/>
      <c r="T15" s="18" t="n">
        <v>0</v>
      </c>
      <c r="U15" s="37" t="n">
        <v>0</v>
      </c>
      <c r="Z15" s="9" t="n"/>
      <c r="AB15" s="5" t="n"/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단기금융자산</t>
        </is>
      </c>
      <c r="E16" s="18" t="n">
        <v>350</v>
      </c>
      <c r="F16" s="37" t="n">
        <v>350</v>
      </c>
      <c r="G16" s="18" t="n">
        <v>1308</v>
      </c>
      <c r="H16" s="18" t="n">
        <v>5476</v>
      </c>
      <c r="I16" s="18" t="n">
        <v>11393</v>
      </c>
      <c r="J16" s="18" t="n">
        <v>13435</v>
      </c>
      <c r="K16" s="37" t="n">
        <v>13435</v>
      </c>
      <c r="L16" s="18" t="n">
        <v>3191</v>
      </c>
      <c r="M16" s="18" t="n">
        <v>1656</v>
      </c>
      <c r="N16" s="18" t="n">
        <v>161</v>
      </c>
      <c r="O16" s="18" t="n">
        <v>246</v>
      </c>
      <c r="P16" s="37" t="n">
        <v>246</v>
      </c>
      <c r="Q16" s="18" t="n">
        <v>265</v>
      </c>
      <c r="R16" s="18" t="n">
        <v>631</v>
      </c>
      <c r="S16" s="18" t="n">
        <v>304</v>
      </c>
      <c r="T16" s="18" t="n">
        <v>2099.22</v>
      </c>
      <c r="U16" s="37" t="n">
        <v>2099.22</v>
      </c>
      <c r="V16" s="18" t="n">
        <v>2970.12</v>
      </c>
      <c r="W16" s="18" t="n">
        <v>2591.2</v>
      </c>
      <c r="X16" s="18" t="n">
        <v>2267.23</v>
      </c>
      <c r="Y16" s="18" t="n">
        <v>7272.27</v>
      </c>
      <c r="Z16" s="37" t="n">
        <v>7272.27</v>
      </c>
      <c r="AA16" s="18" t="n">
        <v>14347.17</v>
      </c>
      <c r="AB16" s="19" t="n">
        <v>14513.68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비유동자산</t>
        </is>
      </c>
      <c r="E17" s="18" t="n">
        <v>410379</v>
      </c>
      <c r="F17" s="37" t="n">
        <v>410379</v>
      </c>
      <c r="G17" s="18" t="n">
        <v>410733</v>
      </c>
      <c r="H17" s="18" t="n">
        <v>424700</v>
      </c>
      <c r="I17" s="18" t="n">
        <v>414494</v>
      </c>
      <c r="J17" s="18" t="n">
        <v>384928</v>
      </c>
      <c r="K17" s="37" t="n">
        <v>384928</v>
      </c>
      <c r="L17" s="18" t="n">
        <v>383836</v>
      </c>
      <c r="M17" s="18" t="n">
        <v>397592</v>
      </c>
      <c r="N17" s="18" t="n">
        <v>394369</v>
      </c>
      <c r="O17" s="18" t="n">
        <v>408235</v>
      </c>
      <c r="P17" s="37" t="n">
        <v>408235</v>
      </c>
      <c r="Q17" s="18" t="n">
        <v>400160</v>
      </c>
      <c r="R17" s="18" t="n">
        <v>397844</v>
      </c>
      <c r="S17" s="18" t="n">
        <v>407675</v>
      </c>
      <c r="T17" s="18" t="n">
        <v>413596.78</v>
      </c>
      <c r="U17" s="37" t="n">
        <v>413596.78</v>
      </c>
      <c r="V17" s="18" t="n">
        <v>421271</v>
      </c>
      <c r="W17" s="18" t="n">
        <v>418959.12</v>
      </c>
      <c r="X17" s="18" t="n">
        <v>426031.29</v>
      </c>
      <c r="Y17" s="18" t="n">
        <v>430459.27</v>
      </c>
      <c r="Z17" s="37" t="n">
        <v>430459.27</v>
      </c>
      <c r="AA17" s="18" t="n">
        <v>435031.3</v>
      </c>
      <c r="AB17" s="19" t="n">
        <v>435088.73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294844</v>
      </c>
      <c r="F18" s="37" t="n">
        <v>294844</v>
      </c>
      <c r="G18" s="18" t="n">
        <v>295003</v>
      </c>
      <c r="H18" s="18" t="n">
        <v>294595</v>
      </c>
      <c r="I18" s="18" t="n">
        <v>293592</v>
      </c>
      <c r="J18" s="18" t="n">
        <v>277601</v>
      </c>
      <c r="K18" s="37" t="n">
        <v>277601</v>
      </c>
      <c r="L18" s="18" t="n">
        <v>276311</v>
      </c>
      <c r="M18" s="18" t="n">
        <v>276022</v>
      </c>
      <c r="N18" s="18" t="n">
        <v>276121</v>
      </c>
      <c r="O18" s="18" t="n">
        <v>276836</v>
      </c>
      <c r="P18" s="37" t="n">
        <v>276836</v>
      </c>
      <c r="Q18" s="18" t="n">
        <v>275194</v>
      </c>
      <c r="R18" s="18" t="n">
        <v>275524</v>
      </c>
      <c r="S18" s="18" t="n">
        <v>275750</v>
      </c>
      <c r="T18" s="18" t="n">
        <v>276213.39</v>
      </c>
      <c r="U18" s="37" t="n">
        <v>276213.39</v>
      </c>
      <c r="V18" s="18" t="n">
        <v>274955.99</v>
      </c>
      <c r="W18" s="18" t="n">
        <v>274865.01</v>
      </c>
      <c r="X18" s="18" t="n">
        <v>274481.36</v>
      </c>
      <c r="Y18" s="18" t="n">
        <v>279161.3</v>
      </c>
      <c r="Z18" s="37" t="n">
        <v>279161.3</v>
      </c>
      <c r="AA18" s="18" t="n">
        <v>278468.27</v>
      </c>
      <c r="AB18" s="19" t="n">
        <v>277656.07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10813</v>
      </c>
      <c r="F19" s="37" t="n">
        <v>10813</v>
      </c>
      <c r="G19" s="18" t="n">
        <v>10622</v>
      </c>
      <c r="H19" s="18" t="n">
        <v>10628</v>
      </c>
      <c r="I19" s="18" t="n">
        <v>4927</v>
      </c>
      <c r="J19" s="18" t="n">
        <v>8804</v>
      </c>
      <c r="K19" s="37" t="n">
        <v>8804</v>
      </c>
      <c r="L19" s="18" t="n">
        <v>8740</v>
      </c>
      <c r="M19" s="18" t="n">
        <v>13881</v>
      </c>
      <c r="N19" s="18" t="n">
        <v>14115</v>
      </c>
      <c r="O19" s="18" t="n">
        <v>15207</v>
      </c>
      <c r="P19" s="37" t="n">
        <v>15207</v>
      </c>
      <c r="Q19" s="18" t="n">
        <v>15260</v>
      </c>
      <c r="R19" s="18" t="n">
        <v>16402</v>
      </c>
      <c r="S19" s="18" t="n">
        <v>19723</v>
      </c>
      <c r="T19" s="18" t="n">
        <v>22836.62</v>
      </c>
      <c r="U19" s="37" t="n">
        <v>22836.62</v>
      </c>
      <c r="V19" s="18" t="n">
        <v>24197.62</v>
      </c>
      <c r="W19" s="18" t="n">
        <v>24870.96</v>
      </c>
      <c r="X19" s="18" t="n">
        <v>27837.23</v>
      </c>
      <c r="Y19" s="18" t="n">
        <v>28831.72</v>
      </c>
      <c r="Z19" s="37" t="n">
        <v>28831.72</v>
      </c>
      <c r="AA19" s="18" t="n">
        <v>28307.74</v>
      </c>
      <c r="AB19" s="19" t="n">
        <v>28571.1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투자부동산</t>
        </is>
      </c>
      <c r="E20" s="18" t="n">
        <v>58779</v>
      </c>
      <c r="F20" s="37" t="n">
        <v>58779</v>
      </c>
      <c r="G20" s="18" t="n">
        <v>58343</v>
      </c>
      <c r="H20" s="18" t="n">
        <v>57907</v>
      </c>
      <c r="I20" s="18" t="n">
        <v>57471</v>
      </c>
      <c r="J20" s="18" t="n">
        <v>57035</v>
      </c>
      <c r="K20" s="37" t="n">
        <v>57035</v>
      </c>
      <c r="L20" s="18" t="n">
        <v>56599</v>
      </c>
      <c r="M20" s="18" t="n">
        <v>56164</v>
      </c>
      <c r="N20" s="18" t="n">
        <v>55728</v>
      </c>
      <c r="O20" s="18" t="n">
        <v>55292</v>
      </c>
      <c r="P20" s="37" t="n">
        <v>55292</v>
      </c>
      <c r="Q20" s="18" t="n">
        <v>54856</v>
      </c>
      <c r="R20" s="18" t="n">
        <v>54420</v>
      </c>
      <c r="S20" s="18" t="n">
        <v>53985</v>
      </c>
      <c r="T20" s="18" t="n">
        <v>53548.82</v>
      </c>
      <c r="U20" s="37" t="n">
        <v>53548.82</v>
      </c>
      <c r="V20" s="18" t="n">
        <v>53113.02</v>
      </c>
      <c r="W20" s="18" t="n">
        <v>52677.22</v>
      </c>
      <c r="X20" s="18" t="n">
        <v>52241.42</v>
      </c>
      <c r="Y20" s="18" t="n">
        <v>51805.62</v>
      </c>
      <c r="Z20" s="37" t="n">
        <v>51805.62</v>
      </c>
      <c r="AA20" s="18" t="n">
        <v>51369.82</v>
      </c>
      <c r="AB20" s="19" t="n">
        <v>50934.02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장기매출채권및기타채권</t>
        </is>
      </c>
      <c r="E21" s="18" t="n">
        <v>6806</v>
      </c>
      <c r="F21" s="37" t="n">
        <v>6806</v>
      </c>
      <c r="G21" s="18" t="n">
        <v>6977</v>
      </c>
      <c r="H21" s="18" t="n">
        <v>5599</v>
      </c>
      <c r="I21" s="18" t="n">
        <v>5417</v>
      </c>
      <c r="J21" s="18" t="n">
        <v>3884</v>
      </c>
      <c r="K21" s="37" t="n">
        <v>3884</v>
      </c>
      <c r="L21" s="18" t="n">
        <v>2004</v>
      </c>
      <c r="M21" s="18" t="n">
        <v>3480</v>
      </c>
      <c r="N21" s="18" t="n">
        <v>2243</v>
      </c>
      <c r="O21" s="18" t="n">
        <v>3617</v>
      </c>
      <c r="P21" s="37" t="n">
        <v>3617</v>
      </c>
      <c r="Q21" s="18" t="n">
        <v>1050</v>
      </c>
      <c r="R21" s="18" t="n">
        <v>3586</v>
      </c>
      <c r="S21" s="18" t="n">
        <v>2431</v>
      </c>
      <c r="T21" s="18" t="n">
        <v>582.2</v>
      </c>
      <c r="U21" s="37" t="n">
        <v>582.2</v>
      </c>
      <c r="V21" s="18" t="n">
        <v>484.9</v>
      </c>
      <c r="W21" s="18" t="n">
        <v>484.9</v>
      </c>
      <c r="X21" s="18" t="n">
        <v>484.9</v>
      </c>
      <c r="Y21" s="18" t="n">
        <v>222.04</v>
      </c>
      <c r="Z21" s="37" t="n">
        <v>222.04</v>
      </c>
      <c r="AA21" s="18" t="n">
        <v>222.04</v>
      </c>
      <c r="AB21" s="19" t="n">
        <v>222.04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비유동확정계약자산</t>
        </is>
      </c>
      <c r="E22" s="18" t="n">
        <v>116</v>
      </c>
      <c r="F22" s="37" t="n">
        <v>116</v>
      </c>
      <c r="G22" s="18" t="n">
        <v>137</v>
      </c>
      <c r="H22" s="18" t="n">
        <v>309</v>
      </c>
      <c r="K22" s="9" t="n"/>
      <c r="P22" s="9" t="n"/>
      <c r="U22" s="9" t="n"/>
      <c r="Z22" s="9" t="n"/>
      <c r="AB22" s="5" t="n"/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투자자산</t>
        </is>
      </c>
      <c r="E23" s="18" t="n">
        <v>116</v>
      </c>
      <c r="F23" s="37" t="n">
        <v>116</v>
      </c>
      <c r="G23" s="18" t="n">
        <v>137</v>
      </c>
      <c r="H23" s="18" t="n">
        <v>309</v>
      </c>
      <c r="J23" s="18" t="n">
        <v>7908</v>
      </c>
      <c r="K23" s="37" t="n">
        <v>7908</v>
      </c>
      <c r="O23" s="18" t="n">
        <v>8544</v>
      </c>
      <c r="P23" s="37" t="n">
        <v>8544</v>
      </c>
      <c r="Q23" s="18" t="n">
        <v>8493</v>
      </c>
      <c r="R23" s="18" t="n">
        <v>8865</v>
      </c>
      <c r="S23" s="18" t="n">
        <v>8865</v>
      </c>
      <c r="T23" s="18" t="n">
        <v>9170.530000000001</v>
      </c>
      <c r="U23" s="37" t="n">
        <v>9170.530000000001</v>
      </c>
      <c r="V23" s="18" t="n">
        <v>9194</v>
      </c>
      <c r="W23" s="18" t="n">
        <v>10943.74</v>
      </c>
      <c r="X23" s="18" t="n">
        <v>12875.88</v>
      </c>
      <c r="Y23" s="18" t="n">
        <v>12966.37</v>
      </c>
      <c r="Z23" s="37" t="n">
        <v>12966.37</v>
      </c>
      <c r="AA23" s="18" t="n">
        <v>13432.55</v>
      </c>
      <c r="AB23" s="19" t="n">
        <v>13057.94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기타비유동자산</t>
        </is>
      </c>
      <c r="E24" s="18" t="n">
        <v>27855</v>
      </c>
      <c r="F24" s="37" t="n">
        <v>27855</v>
      </c>
      <c r="G24" s="18" t="n">
        <v>28532</v>
      </c>
      <c r="H24" s="18" t="n">
        <v>45285</v>
      </c>
      <c r="I24" s="18" t="n">
        <v>45058</v>
      </c>
      <c r="J24" s="18" t="n">
        <v>27933</v>
      </c>
      <c r="K24" s="37" t="n">
        <v>27933</v>
      </c>
      <c r="L24" s="18" t="n">
        <v>30592</v>
      </c>
      <c r="M24" s="18" t="n">
        <v>37897</v>
      </c>
      <c r="N24" s="18" t="n">
        <v>36049</v>
      </c>
      <c r="O24" s="18" t="n">
        <v>46788</v>
      </c>
      <c r="P24" s="37" t="n">
        <v>46788</v>
      </c>
      <c r="Q24" s="18" t="n">
        <v>43327</v>
      </c>
      <c r="R24" s="18" t="n">
        <v>37118</v>
      </c>
      <c r="S24" s="18" t="n">
        <v>44856</v>
      </c>
      <c r="T24" s="18" t="n">
        <v>47670.29</v>
      </c>
      <c r="U24" s="37" t="n">
        <v>47670.29</v>
      </c>
      <c r="V24" s="18" t="n">
        <v>55623.46</v>
      </c>
      <c r="W24" s="18" t="n">
        <v>51532.58</v>
      </c>
      <c r="X24" s="18" t="n">
        <v>54032.38</v>
      </c>
      <c r="Y24" s="18" t="n">
        <v>54407.5</v>
      </c>
      <c r="Z24" s="37" t="n">
        <v>54407.5</v>
      </c>
      <c r="AA24" s="18" t="n">
        <v>60106.78</v>
      </c>
      <c r="AB24" s="19" t="n">
        <v>61512.53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자산총계</t>
        </is>
      </c>
      <c r="E25" s="18" t="n">
        <v>837480</v>
      </c>
      <c r="F25" s="37" t="n">
        <v>837480</v>
      </c>
      <c r="G25" s="18" t="n">
        <v>830392</v>
      </c>
      <c r="H25" s="18" t="n">
        <v>843666</v>
      </c>
      <c r="I25" s="18" t="n">
        <v>843577</v>
      </c>
      <c r="J25" s="18" t="n">
        <v>853388</v>
      </c>
      <c r="K25" s="37" t="n">
        <v>853388</v>
      </c>
      <c r="L25" s="18" t="n">
        <v>867313</v>
      </c>
      <c r="M25" s="18" t="n">
        <v>845873</v>
      </c>
      <c r="N25" s="18" t="n">
        <v>841294</v>
      </c>
      <c r="O25" s="18" t="n">
        <v>899134</v>
      </c>
      <c r="P25" s="37" t="n">
        <v>899134</v>
      </c>
      <c r="Q25" s="18" t="n">
        <v>973825</v>
      </c>
      <c r="R25" s="18" t="n">
        <v>994729</v>
      </c>
      <c r="S25" s="18" t="n">
        <v>980661</v>
      </c>
      <c r="T25" s="18" t="n">
        <v>968810.4399999999</v>
      </c>
      <c r="U25" s="37" t="n">
        <v>968810.4399999999</v>
      </c>
      <c r="V25" s="18" t="n">
        <v>946467.8199999999</v>
      </c>
      <c r="W25" s="18" t="n">
        <v>1054802.22</v>
      </c>
      <c r="X25" s="18" t="n">
        <v>1097741.99</v>
      </c>
      <c r="Y25" s="18" t="n">
        <v>1157535.04</v>
      </c>
      <c r="Z25" s="37" t="n">
        <v>1157535.04</v>
      </c>
      <c r="AA25" s="18" t="n">
        <v>1209537.59</v>
      </c>
      <c r="AB25" s="19" t="n">
        <v>1215119.85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유동부채</t>
        </is>
      </c>
      <c r="E26" s="18" t="n">
        <v>490794</v>
      </c>
      <c r="F26" s="37" t="n">
        <v>490794</v>
      </c>
      <c r="G26" s="18" t="n">
        <v>485500</v>
      </c>
      <c r="H26" s="18" t="n">
        <v>499331</v>
      </c>
      <c r="I26" s="18" t="n">
        <v>508648</v>
      </c>
      <c r="J26" s="18" t="n">
        <v>539906</v>
      </c>
      <c r="K26" s="37" t="n">
        <v>539906</v>
      </c>
      <c r="L26" s="18" t="n">
        <v>555109</v>
      </c>
      <c r="M26" s="18" t="n">
        <v>531035</v>
      </c>
      <c r="N26" s="18" t="n">
        <v>525406</v>
      </c>
      <c r="O26" s="18" t="n">
        <v>577722</v>
      </c>
      <c r="P26" s="37" t="n">
        <v>577722</v>
      </c>
      <c r="Q26" s="18" t="n">
        <v>650598</v>
      </c>
      <c r="R26" s="18" t="n">
        <v>655142</v>
      </c>
      <c r="S26" s="18" t="n">
        <v>638608</v>
      </c>
      <c r="T26" s="18" t="n">
        <v>628413.77</v>
      </c>
      <c r="U26" s="37" t="n">
        <v>628413.77</v>
      </c>
      <c r="V26" s="18" t="n">
        <v>592952.6</v>
      </c>
      <c r="W26" s="18" t="n">
        <v>670122.46</v>
      </c>
      <c r="X26" s="18" t="n">
        <v>696259.97</v>
      </c>
      <c r="Y26" s="18" t="n">
        <v>744923.47</v>
      </c>
      <c r="Z26" s="37" t="n">
        <v>744923.47</v>
      </c>
      <c r="AA26" s="18" t="n">
        <v>779610.83</v>
      </c>
      <c r="AB26" s="19" t="n">
        <v>762086.76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매입채무및기타채무</t>
        </is>
      </c>
      <c r="E27" s="18" t="n">
        <v>73675</v>
      </c>
      <c r="F27" s="37" t="n">
        <v>73675</v>
      </c>
      <c r="G27" s="18" t="n">
        <v>74364</v>
      </c>
      <c r="H27" s="18" t="n">
        <v>75215</v>
      </c>
      <c r="I27" s="18" t="n">
        <v>69718</v>
      </c>
      <c r="J27" s="18" t="n">
        <v>117660</v>
      </c>
      <c r="K27" s="37" t="n">
        <v>117660</v>
      </c>
      <c r="L27" s="18" t="n">
        <v>103041</v>
      </c>
      <c r="M27" s="18" t="n">
        <v>98226</v>
      </c>
      <c r="N27" s="18" t="n">
        <v>104555</v>
      </c>
      <c r="O27" s="18" t="n">
        <v>132747</v>
      </c>
      <c r="P27" s="37" t="n">
        <v>132747</v>
      </c>
      <c r="Q27" s="18" t="n">
        <v>126425</v>
      </c>
      <c r="R27" s="18" t="n">
        <v>117556</v>
      </c>
      <c r="S27" s="18" t="n">
        <v>110425</v>
      </c>
      <c r="T27" s="18" t="n">
        <v>134985.47</v>
      </c>
      <c r="U27" s="37" t="n">
        <v>134985.47</v>
      </c>
      <c r="V27" s="18" t="n">
        <v>122331.51</v>
      </c>
      <c r="W27" s="18" t="n">
        <v>111544.62</v>
      </c>
      <c r="X27" s="18" t="n">
        <v>107069.3</v>
      </c>
      <c r="Y27" s="18" t="n">
        <v>162339.59</v>
      </c>
      <c r="Z27" s="37" t="n">
        <v>162339.59</v>
      </c>
      <c r="AA27" s="18" t="n">
        <v>121590.24</v>
      </c>
      <c r="AB27" s="19" t="n">
        <v>117415.48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단기차입금</t>
        </is>
      </c>
      <c r="E28" s="18" t="n">
        <v>258774</v>
      </c>
      <c r="F28" s="37" t="n">
        <v>258774</v>
      </c>
      <c r="G28" s="18" t="n">
        <v>245826</v>
      </c>
      <c r="H28" s="18" t="n">
        <v>234164</v>
      </c>
      <c r="I28" s="18" t="n">
        <v>239521</v>
      </c>
      <c r="J28" s="18" t="n">
        <v>237830</v>
      </c>
      <c r="K28" s="37" t="n">
        <v>237830</v>
      </c>
      <c r="L28" s="18" t="n">
        <v>251122</v>
      </c>
      <c r="M28" s="18" t="n">
        <v>244348</v>
      </c>
      <c r="N28" s="18" t="n">
        <v>245130</v>
      </c>
      <c r="O28" s="18" t="n">
        <v>259304</v>
      </c>
      <c r="P28" s="37" t="n">
        <v>259304</v>
      </c>
      <c r="Q28" s="18" t="n">
        <v>299177</v>
      </c>
      <c r="R28" s="18" t="n">
        <v>324065</v>
      </c>
      <c r="S28" s="18" t="n">
        <v>328481</v>
      </c>
      <c r="T28" s="18" t="n">
        <v>312315.66</v>
      </c>
      <c r="U28" s="37" t="n">
        <v>312315.66</v>
      </c>
      <c r="V28" s="18" t="n">
        <v>282732.55</v>
      </c>
      <c r="W28" s="18" t="n">
        <v>294527.04</v>
      </c>
      <c r="X28" s="18" t="n">
        <v>306662.23</v>
      </c>
      <c r="Y28" s="18" t="n">
        <v>311529.62</v>
      </c>
      <c r="Z28" s="37" t="n">
        <v>311529.62</v>
      </c>
      <c r="AA28" s="18" t="n">
        <v>351081.7</v>
      </c>
      <c r="AB28" s="19" t="n">
        <v>343225.74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선수금</t>
        </is>
      </c>
      <c r="E29" s="18" t="n">
        <v>115626</v>
      </c>
      <c r="F29" s="37" t="n">
        <v>115626</v>
      </c>
      <c r="G29" s="18" t="n">
        <v>127445</v>
      </c>
      <c r="H29" s="18" t="n">
        <v>143159</v>
      </c>
      <c r="I29" s="18" t="n">
        <v>149799</v>
      </c>
      <c r="J29" s="18" t="n">
        <v>148760</v>
      </c>
      <c r="K29" s="37" t="n">
        <v>148760</v>
      </c>
      <c r="L29" s="18" t="n">
        <v>172442</v>
      </c>
      <c r="M29" s="18" t="n">
        <v>154229</v>
      </c>
      <c r="N29" s="18" t="n">
        <v>145822</v>
      </c>
      <c r="O29" s="18" t="n">
        <v>165492</v>
      </c>
      <c r="P29" s="37" t="n">
        <v>165492</v>
      </c>
      <c r="Q29" s="18" t="n">
        <v>201790</v>
      </c>
      <c r="R29" s="18" t="n">
        <v>185409</v>
      </c>
      <c r="S29" s="18" t="n">
        <v>174218</v>
      </c>
      <c r="T29" s="18" t="n">
        <v>153797.27</v>
      </c>
      <c r="U29" s="37" t="n">
        <v>153797.27</v>
      </c>
      <c r="V29" s="18" t="n">
        <v>157194.14</v>
      </c>
      <c r="W29" s="18" t="n">
        <v>228975.9</v>
      </c>
      <c r="X29" s="18" t="n">
        <v>254095.51</v>
      </c>
      <c r="Y29" s="18" t="n">
        <v>246853.68</v>
      </c>
      <c r="Z29" s="37" t="n">
        <v>246853.68</v>
      </c>
      <c r="AA29" s="18" t="n">
        <v>284936.28</v>
      </c>
      <c r="AB29" s="19" t="n">
        <v>274435.18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기타유동부채</t>
        </is>
      </c>
      <c r="E30" s="18" t="n">
        <v>134856</v>
      </c>
      <c r="F30" s="37" t="n">
        <v>134856</v>
      </c>
      <c r="G30" s="18" t="n">
        <v>144778</v>
      </c>
      <c r="H30" s="18" t="n">
        <v>157926</v>
      </c>
      <c r="I30" s="18" t="n">
        <v>165101</v>
      </c>
      <c r="J30" s="18" t="n">
        <v>148760</v>
      </c>
      <c r="K30" s="37" t="n">
        <v>148760</v>
      </c>
      <c r="L30" s="18" t="n">
        <v>172442</v>
      </c>
      <c r="M30" s="18" t="n">
        <v>154346</v>
      </c>
      <c r="N30" s="18" t="n">
        <v>145922</v>
      </c>
      <c r="O30" s="18" t="n">
        <v>165492</v>
      </c>
      <c r="P30" s="37" t="n">
        <v>165492</v>
      </c>
      <c r="Q30" s="18" t="n">
        <v>201790</v>
      </c>
      <c r="R30" s="18" t="n">
        <v>185409</v>
      </c>
      <c r="S30" s="18" t="n">
        <v>174218</v>
      </c>
      <c r="T30" s="18" t="n">
        <v>153797.27</v>
      </c>
      <c r="U30" s="37" t="n">
        <v>153797.27</v>
      </c>
      <c r="V30" s="18" t="n">
        <v>157194.14</v>
      </c>
      <c r="W30" s="18" t="n">
        <v>228975.9</v>
      </c>
      <c r="X30" s="18" t="n">
        <v>254095.51</v>
      </c>
      <c r="Y30" s="18" t="n">
        <v>246853.68</v>
      </c>
      <c r="Z30" s="37" t="n">
        <v>246853.68</v>
      </c>
      <c r="AA30" s="18" t="n">
        <v>284936.28</v>
      </c>
      <c r="AB30" s="19" t="n">
        <v>274435.18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계약부채</t>
        </is>
      </c>
      <c r="E31" s="18" t="n">
        <v>19819</v>
      </c>
      <c r="F31" s="37" t="n">
        <v>19819</v>
      </c>
      <c r="G31" s="18" t="n">
        <v>15981</v>
      </c>
      <c r="H31" s="18" t="n">
        <v>23164</v>
      </c>
      <c r="I31" s="18" t="n">
        <v>21926</v>
      </c>
      <c r="J31" s="18" t="n">
        <v>22131</v>
      </c>
      <c r="K31" s="37" t="n">
        <v>22131</v>
      </c>
      <c r="L31" s="18" t="n">
        <v>17119</v>
      </c>
      <c r="M31" s="18" t="n">
        <v>25586</v>
      </c>
      <c r="N31" s="18" t="n">
        <v>22713</v>
      </c>
      <c r="O31" s="18" t="n">
        <v>13439</v>
      </c>
      <c r="P31" s="37" t="n">
        <v>13439</v>
      </c>
      <c r="Q31" s="18" t="n">
        <v>19077</v>
      </c>
      <c r="R31" s="18" t="n">
        <v>23427</v>
      </c>
      <c r="S31" s="18" t="n">
        <v>20654</v>
      </c>
      <c r="T31" s="18" t="n">
        <v>21720.44</v>
      </c>
      <c r="U31" s="37" t="n">
        <v>21720.44</v>
      </c>
      <c r="V31" s="18" t="n">
        <v>26179.81</v>
      </c>
      <c r="W31" s="18" t="n">
        <v>29457.74</v>
      </c>
      <c r="X31" s="18" t="n">
        <v>22200.95</v>
      </c>
      <c r="Y31" s="18" t="n">
        <v>16414.21</v>
      </c>
      <c r="Z31" s="37" t="n">
        <v>16414.21</v>
      </c>
      <c r="AA31" s="18" t="n">
        <v>14563.47</v>
      </c>
      <c r="AB31" s="19" t="n">
        <v>18282.17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단기충당부채</t>
        </is>
      </c>
      <c r="E32" s="18" t="n">
        <v>3350</v>
      </c>
      <c r="F32" s="37" t="n">
        <v>3350</v>
      </c>
      <c r="G32" s="18" t="n">
        <v>3248</v>
      </c>
      <c r="H32" s="18" t="n">
        <v>3556</v>
      </c>
      <c r="I32" s="18" t="n">
        <v>3582</v>
      </c>
      <c r="J32" s="18" t="n">
        <v>7638</v>
      </c>
      <c r="K32" s="37" t="n">
        <v>7638</v>
      </c>
      <c r="L32" s="18" t="n">
        <v>6994</v>
      </c>
      <c r="M32" s="18" t="n">
        <v>7057</v>
      </c>
      <c r="N32" s="18" t="n">
        <v>6817</v>
      </c>
      <c r="O32" s="18" t="n">
        <v>5455</v>
      </c>
      <c r="P32" s="37" t="n">
        <v>5455</v>
      </c>
      <c r="Q32" s="18" t="n">
        <v>3799</v>
      </c>
      <c r="R32" s="18" t="n">
        <v>3913</v>
      </c>
      <c r="S32" s="18" t="n">
        <v>4067</v>
      </c>
      <c r="T32" s="18" t="n">
        <v>4096.2</v>
      </c>
      <c r="U32" s="37" t="n">
        <v>4096.2</v>
      </c>
      <c r="V32" s="18" t="n">
        <v>3702.52</v>
      </c>
      <c r="W32" s="18" t="n">
        <v>4768.62</v>
      </c>
      <c r="X32" s="18" t="n">
        <v>5357.8</v>
      </c>
      <c r="Y32" s="18" t="n">
        <v>6030.41</v>
      </c>
      <c r="Z32" s="37" t="n">
        <v>6030.41</v>
      </c>
      <c r="AA32" s="18" t="n">
        <v>6053.63</v>
      </c>
      <c r="AB32" s="19" t="n">
        <v>6813.49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단기파생상품부채</t>
        </is>
      </c>
      <c r="E33" s="18" t="n">
        <v>320</v>
      </c>
      <c r="F33" s="37" t="n">
        <v>320</v>
      </c>
      <c r="G33" s="18" t="n">
        <v>1303</v>
      </c>
      <c r="H33" s="18" t="n">
        <v>5086</v>
      </c>
      <c r="I33" s="18" t="n">
        <v>8800</v>
      </c>
      <c r="J33" s="18" t="n">
        <v>5099</v>
      </c>
      <c r="K33" s="37" t="n">
        <v>5099</v>
      </c>
      <c r="L33" s="18" t="n">
        <v>3750</v>
      </c>
      <c r="M33" s="18" t="n">
        <v>1472</v>
      </c>
      <c r="N33" s="18" t="n">
        <v>269</v>
      </c>
      <c r="P33" s="9" t="n"/>
      <c r="S33" s="18" t="n">
        <v>67</v>
      </c>
      <c r="T33" s="18" t="n">
        <v>0</v>
      </c>
      <c r="U33" s="37" t="n">
        <v>0</v>
      </c>
      <c r="W33" s="18" t="n">
        <v>136.47</v>
      </c>
      <c r="Y33" s="18" t="n">
        <v>365.37</v>
      </c>
      <c r="Z33" s="37" t="n">
        <v>365.37</v>
      </c>
      <c r="AA33" s="18" t="n">
        <v>340.01</v>
      </c>
      <c r="AB33" s="19" t="n">
        <v>113.4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단기금융부채</t>
        </is>
      </c>
      <c r="E34" s="18" t="n">
        <v>320</v>
      </c>
      <c r="F34" s="37" t="n">
        <v>320</v>
      </c>
      <c r="G34" s="18" t="n">
        <v>1303</v>
      </c>
      <c r="H34" s="18" t="n">
        <v>5086</v>
      </c>
      <c r="I34" s="18" t="n">
        <v>8800</v>
      </c>
      <c r="J34" s="18" t="n">
        <v>5099</v>
      </c>
      <c r="K34" s="37" t="n">
        <v>5099</v>
      </c>
      <c r="L34" s="18" t="n">
        <v>3750</v>
      </c>
      <c r="M34" s="18" t="n">
        <v>1472</v>
      </c>
      <c r="N34" s="18" t="n">
        <v>269</v>
      </c>
      <c r="P34" s="9" t="n"/>
      <c r="S34" s="18" t="n">
        <v>67</v>
      </c>
      <c r="T34" s="18" t="n">
        <v>0</v>
      </c>
      <c r="U34" s="37" t="n">
        <v>0</v>
      </c>
      <c r="W34" s="18" t="n">
        <v>136.47</v>
      </c>
      <c r="Y34" s="18" t="n">
        <v>365.37</v>
      </c>
      <c r="Z34" s="37" t="n">
        <v>365.37</v>
      </c>
      <c r="AA34" s="18" t="n">
        <v>340.01</v>
      </c>
      <c r="AB34" s="19" t="n">
        <v>113.4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비유동부채</t>
        </is>
      </c>
      <c r="E35" s="18" t="n">
        <v>62711</v>
      </c>
      <c r="F35" s="37" t="n">
        <v>62711</v>
      </c>
      <c r="G35" s="18" t="n">
        <v>63980</v>
      </c>
      <c r="H35" s="18" t="n">
        <v>65384</v>
      </c>
      <c r="I35" s="18" t="n">
        <v>64134</v>
      </c>
      <c r="J35" s="18" t="n">
        <v>53237</v>
      </c>
      <c r="K35" s="37" t="n">
        <v>53237</v>
      </c>
      <c r="L35" s="18" t="n">
        <v>54695</v>
      </c>
      <c r="M35" s="18" t="n">
        <v>55653</v>
      </c>
      <c r="N35" s="18" t="n">
        <v>56884</v>
      </c>
      <c r="O35" s="18" t="n">
        <v>61778</v>
      </c>
      <c r="P35" s="37" t="n">
        <v>61778</v>
      </c>
      <c r="Q35" s="18" t="n">
        <v>63017</v>
      </c>
      <c r="R35" s="18" t="n">
        <v>64959</v>
      </c>
      <c r="S35" s="18" t="n">
        <v>68478</v>
      </c>
      <c r="T35" s="18" t="n">
        <v>63826.9</v>
      </c>
      <c r="U35" s="37" t="n">
        <v>63826.9</v>
      </c>
      <c r="V35" s="18" t="n">
        <v>68180.17999999999</v>
      </c>
      <c r="W35" s="18" t="n">
        <v>69631.87</v>
      </c>
      <c r="X35" s="18" t="n">
        <v>70886.72</v>
      </c>
      <c r="Y35" s="18" t="n">
        <v>69640.48</v>
      </c>
      <c r="Z35" s="37" t="n">
        <v>69640.48</v>
      </c>
      <c r="AA35" s="18" t="n">
        <v>69514.3</v>
      </c>
      <c r="AB35" s="19" t="n">
        <v>70097.78999999999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확정급여부채</t>
        </is>
      </c>
      <c r="E36" s="18" t="n">
        <v>37822</v>
      </c>
      <c r="F36" s="37" t="n">
        <v>37822</v>
      </c>
      <c r="G36" s="18" t="n">
        <v>38382</v>
      </c>
      <c r="H36" s="18" t="n">
        <v>39270</v>
      </c>
      <c r="I36" s="18" t="n">
        <v>39628</v>
      </c>
      <c r="J36" s="18" t="n">
        <v>31428</v>
      </c>
      <c r="K36" s="37" t="n">
        <v>31428</v>
      </c>
      <c r="L36" s="18" t="n">
        <v>32304</v>
      </c>
      <c r="M36" s="18" t="n">
        <v>33129</v>
      </c>
      <c r="N36" s="18" t="n">
        <v>33653</v>
      </c>
      <c r="O36" s="18" t="n">
        <v>35753</v>
      </c>
      <c r="P36" s="37" t="n">
        <v>35753</v>
      </c>
      <c r="Q36" s="18" t="n">
        <v>36629</v>
      </c>
      <c r="R36" s="18" t="n">
        <v>37141</v>
      </c>
      <c r="S36" s="18" t="n">
        <v>38123</v>
      </c>
      <c r="T36" s="18" t="n">
        <v>38703.49</v>
      </c>
      <c r="U36" s="37" t="n">
        <v>38703.49</v>
      </c>
      <c r="V36" s="18" t="n">
        <v>39698.49</v>
      </c>
      <c r="W36" s="18" t="n">
        <v>40688.94</v>
      </c>
      <c r="X36" s="18" t="n">
        <v>41679.69</v>
      </c>
      <c r="Y36" s="18" t="n">
        <v>41792.43</v>
      </c>
      <c r="Z36" s="37" t="n">
        <v>41792.43</v>
      </c>
      <c r="AA36" s="18" t="n">
        <v>42881.13</v>
      </c>
      <c r="AB36" s="19" t="n">
        <v>43871.59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이연법인세부채</t>
        </is>
      </c>
      <c r="E37" s="18" t="n">
        <v>19326</v>
      </c>
      <c r="F37" s="37" t="n">
        <v>19326</v>
      </c>
      <c r="G37" s="18" t="n">
        <v>19581</v>
      </c>
      <c r="H37" s="18" t="n">
        <v>19234</v>
      </c>
      <c r="I37" s="18" t="n">
        <v>17225</v>
      </c>
      <c r="J37" s="18" t="n">
        <v>15323</v>
      </c>
      <c r="K37" s="37" t="n">
        <v>15323</v>
      </c>
      <c r="L37" s="18" t="n">
        <v>15651</v>
      </c>
      <c r="M37" s="18" t="n">
        <v>15811</v>
      </c>
      <c r="N37" s="18" t="n">
        <v>16079</v>
      </c>
      <c r="O37" s="18" t="n">
        <v>18509</v>
      </c>
      <c r="P37" s="37" t="n">
        <v>18509</v>
      </c>
      <c r="Q37" s="18" t="n">
        <v>18509</v>
      </c>
      <c r="R37" s="18" t="n">
        <v>18360</v>
      </c>
      <c r="S37" s="18" t="n">
        <v>18444</v>
      </c>
      <c r="T37" s="18" t="n">
        <v>12296.12</v>
      </c>
      <c r="U37" s="37" t="n">
        <v>12296.12</v>
      </c>
      <c r="V37" s="18" t="n">
        <v>12078.9</v>
      </c>
      <c r="W37" s="18" t="n">
        <v>12011.73</v>
      </c>
      <c r="X37" s="18" t="n">
        <v>11986.17</v>
      </c>
      <c r="Y37" s="18" t="n">
        <v>3948.84</v>
      </c>
      <c r="Z37" s="37" t="n">
        <v>3948.84</v>
      </c>
      <c r="AA37" s="18" t="n">
        <v>2842</v>
      </c>
      <c r="AB37" s="19" t="n">
        <v>2711.72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장기충당부채</t>
        </is>
      </c>
      <c r="E38" s="18" t="n">
        <v>365</v>
      </c>
      <c r="F38" s="37" t="n">
        <v>365</v>
      </c>
      <c r="G38" s="18" t="n">
        <v>400</v>
      </c>
      <c r="K38" s="9" t="n"/>
      <c r="P38" s="9" t="n"/>
      <c r="U38" s="9" t="n"/>
      <c r="Z38" s="9" t="n"/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장기파생상품부채</t>
        </is>
      </c>
      <c r="E39" s="18" t="n">
        <v>152</v>
      </c>
      <c r="F39" s="37" t="n">
        <v>152</v>
      </c>
      <c r="G39" s="18" t="n">
        <v>133</v>
      </c>
      <c r="H39" s="18" t="n">
        <v>308</v>
      </c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장기금융부채</t>
        </is>
      </c>
      <c r="E40" s="18" t="n">
        <v>152</v>
      </c>
      <c r="F40" s="37" t="n">
        <v>152</v>
      </c>
      <c r="G40" s="18" t="n">
        <v>133</v>
      </c>
      <c r="H40" s="18" t="n">
        <v>308</v>
      </c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기타비유동부채</t>
        </is>
      </c>
      <c r="E41" s="18" t="n">
        <v>5046</v>
      </c>
      <c r="F41" s="37" t="n">
        <v>5046</v>
      </c>
      <c r="G41" s="18" t="n">
        <v>5484</v>
      </c>
      <c r="H41" s="18" t="n">
        <v>6572</v>
      </c>
      <c r="I41" s="18" t="n">
        <v>7281</v>
      </c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부채총계</t>
        </is>
      </c>
      <c r="E42" s="18" t="n">
        <v>553505</v>
      </c>
      <c r="F42" s="37" t="n">
        <v>553505</v>
      </c>
      <c r="G42" s="18" t="n">
        <v>549480</v>
      </c>
      <c r="H42" s="18" t="n">
        <v>564715</v>
      </c>
      <c r="I42" s="18" t="n">
        <v>572782</v>
      </c>
      <c r="J42" s="18" t="n">
        <v>593143</v>
      </c>
      <c r="K42" s="37" t="n">
        <v>593143</v>
      </c>
      <c r="L42" s="18" t="n">
        <v>609804</v>
      </c>
      <c r="M42" s="18" t="n">
        <v>586688</v>
      </c>
      <c r="N42" s="18" t="n">
        <v>582290</v>
      </c>
      <c r="O42" s="18" t="n">
        <v>639500</v>
      </c>
      <c r="P42" s="37" t="n">
        <v>639500</v>
      </c>
      <c r="Q42" s="18" t="n">
        <v>713615</v>
      </c>
      <c r="R42" s="18" t="n">
        <v>720101</v>
      </c>
      <c r="S42" s="18" t="n">
        <v>707086</v>
      </c>
      <c r="T42" s="18" t="n">
        <v>692240.66</v>
      </c>
      <c r="U42" s="37" t="n">
        <v>692240.66</v>
      </c>
      <c r="V42" s="18" t="n">
        <v>661132.78</v>
      </c>
      <c r="W42" s="18" t="n">
        <v>739754.33</v>
      </c>
      <c r="X42" s="18" t="n">
        <v>767146.6899999999</v>
      </c>
      <c r="Y42" s="18" t="n">
        <v>814563.95</v>
      </c>
      <c r="Z42" s="37" t="n">
        <v>814563.95</v>
      </c>
      <c r="AA42" s="18" t="n">
        <v>849125.13</v>
      </c>
      <c r="AB42" s="19" t="n">
        <v>832184.55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자본금</t>
        </is>
      </c>
      <c r="E43" s="18" t="n">
        <v>69141</v>
      </c>
      <c r="F43" s="37" t="n">
        <v>69141</v>
      </c>
      <c r="G43" s="18" t="n">
        <v>69141</v>
      </c>
      <c r="H43" s="18" t="n">
        <v>69141</v>
      </c>
      <c r="I43" s="18" t="n">
        <v>69141</v>
      </c>
      <c r="J43" s="18" t="n">
        <v>69141</v>
      </c>
      <c r="K43" s="37" t="n">
        <v>69141</v>
      </c>
      <c r="L43" s="18" t="n">
        <v>69141</v>
      </c>
      <c r="M43" s="18" t="n">
        <v>69141</v>
      </c>
      <c r="N43" s="18" t="n">
        <v>69141</v>
      </c>
      <c r="O43" s="18" t="n">
        <v>69141</v>
      </c>
      <c r="P43" s="37" t="n">
        <v>69141</v>
      </c>
      <c r="Q43" s="18" t="n">
        <v>69141</v>
      </c>
      <c r="R43" s="18" t="n">
        <v>69141</v>
      </c>
      <c r="S43" s="18" t="n">
        <v>69141</v>
      </c>
      <c r="T43" s="18" t="n">
        <v>69140.75</v>
      </c>
      <c r="U43" s="37" t="n">
        <v>69140.75</v>
      </c>
      <c r="V43" s="18" t="n">
        <v>100370.28</v>
      </c>
      <c r="W43" s="18" t="n">
        <v>100370.28</v>
      </c>
      <c r="X43" s="18" t="n">
        <v>100370.28</v>
      </c>
      <c r="Y43" s="18" t="n">
        <v>100370.28</v>
      </c>
      <c r="Z43" s="37" t="n">
        <v>100370.28</v>
      </c>
      <c r="AA43" s="18" t="n">
        <v>100370.28</v>
      </c>
      <c r="AB43" s="19" t="n">
        <v>100370.28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자본잉여금</t>
        </is>
      </c>
      <c r="E44" s="18" t="n">
        <v>471577</v>
      </c>
      <c r="F44" s="37" t="n">
        <v>471577</v>
      </c>
      <c r="G44" s="18" t="n">
        <v>471577</v>
      </c>
      <c r="H44" s="18" t="n">
        <v>471577</v>
      </c>
      <c r="I44" s="18" t="n">
        <v>471577</v>
      </c>
      <c r="J44" s="18" t="n">
        <v>471577</v>
      </c>
      <c r="K44" s="37" t="n">
        <v>471577</v>
      </c>
      <c r="L44" s="18" t="n">
        <v>471577</v>
      </c>
      <c r="M44" s="18" t="n">
        <v>471577</v>
      </c>
      <c r="N44" s="18" t="n">
        <v>471577</v>
      </c>
      <c r="O44" s="18" t="n">
        <v>471577</v>
      </c>
      <c r="P44" s="37" t="n">
        <v>471577</v>
      </c>
      <c r="Q44" s="18" t="n">
        <v>471577</v>
      </c>
      <c r="R44" s="18" t="n">
        <v>471577</v>
      </c>
      <c r="S44" s="18" t="n">
        <v>471577</v>
      </c>
      <c r="T44" s="18" t="n">
        <v>471577.41</v>
      </c>
      <c r="U44" s="37" t="n">
        <v>471577.41</v>
      </c>
      <c r="V44" s="18" t="n">
        <v>129217.93</v>
      </c>
      <c r="W44" s="18" t="n">
        <v>129217.93</v>
      </c>
      <c r="X44" s="18" t="n">
        <v>129217.93</v>
      </c>
      <c r="Y44" s="18" t="n">
        <v>129217.93</v>
      </c>
      <c r="Z44" s="37" t="n">
        <v>129217.93</v>
      </c>
      <c r="AA44" s="18" t="n">
        <v>129217.93</v>
      </c>
      <c r="AB44" s="19" t="n">
        <v>129217.93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기타자본</t>
        </is>
      </c>
      <c r="E45" s="18" t="n">
        <v>89149</v>
      </c>
      <c r="F45" s="37" t="n">
        <v>89149</v>
      </c>
      <c r="G45" s="18" t="n">
        <v>89149</v>
      </c>
      <c r="H45" s="18" t="n">
        <v>89149</v>
      </c>
      <c r="I45" s="18" t="n">
        <v>89149</v>
      </c>
      <c r="J45" s="18" t="n">
        <v>89149</v>
      </c>
      <c r="K45" s="37" t="n">
        <v>89149</v>
      </c>
      <c r="L45" s="18" t="n">
        <v>89149</v>
      </c>
      <c r="M45" s="18" t="n">
        <v>89149</v>
      </c>
      <c r="N45" s="18" t="n">
        <v>89149</v>
      </c>
      <c r="O45" s="18" t="n">
        <v>89149</v>
      </c>
      <c r="P45" s="37" t="n">
        <v>89149</v>
      </c>
      <c r="Q45" s="18" t="n">
        <v>89149</v>
      </c>
      <c r="R45" s="18" t="n">
        <v>89149</v>
      </c>
      <c r="S45" s="18" t="n">
        <v>89149</v>
      </c>
      <c r="T45" s="18" t="n">
        <v>89149.06</v>
      </c>
      <c r="U45" s="37" t="n">
        <v>89149.06</v>
      </c>
      <c r="V45" s="18" t="n">
        <v>-5201.6</v>
      </c>
      <c r="W45" s="18" t="n">
        <v>-5201.6</v>
      </c>
      <c r="X45" s="18" t="n">
        <v>-5201.6</v>
      </c>
      <c r="Y45" s="18" t="n">
        <v>-5201.6</v>
      </c>
      <c r="Z45" s="37" t="n">
        <v>-5201.6</v>
      </c>
      <c r="AA45" s="18" t="n">
        <v>-5201.6</v>
      </c>
      <c r="AB45" s="19" t="n">
        <v>-5201.6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기타포괄이익누계액</t>
        </is>
      </c>
      <c r="E46" s="18" t="n">
        <v>50061</v>
      </c>
      <c r="F46" s="37" t="n">
        <v>50061</v>
      </c>
      <c r="G46" s="18" t="n">
        <v>50202</v>
      </c>
      <c r="H46" s="18" t="n">
        <v>49708</v>
      </c>
      <c r="I46" s="18" t="n">
        <v>48154</v>
      </c>
      <c r="J46" s="18" t="n">
        <v>50330</v>
      </c>
      <c r="K46" s="37" t="n">
        <v>50330</v>
      </c>
      <c r="L46" s="18" t="n">
        <v>51013</v>
      </c>
      <c r="M46" s="18" t="n">
        <v>50909</v>
      </c>
      <c r="N46" s="18" t="n">
        <v>51166</v>
      </c>
      <c r="O46" s="18" t="n">
        <v>49573</v>
      </c>
      <c r="P46" s="37" t="n">
        <v>49573</v>
      </c>
      <c r="Q46" s="18" t="n">
        <v>49939</v>
      </c>
      <c r="R46" s="18" t="n">
        <v>50659</v>
      </c>
      <c r="S46" s="18" t="n">
        <v>50508</v>
      </c>
      <c r="T46" s="18" t="n">
        <v>52039</v>
      </c>
      <c r="U46" s="37" t="n">
        <v>52039</v>
      </c>
      <c r="V46" s="18" t="n">
        <v>52618.12</v>
      </c>
      <c r="W46" s="18" t="n">
        <v>52616.82</v>
      </c>
      <c r="X46" s="18" t="n">
        <v>54114.38</v>
      </c>
      <c r="Y46" s="18" t="n">
        <v>54259.1</v>
      </c>
      <c r="Z46" s="37" t="n">
        <v>54259.1</v>
      </c>
      <c r="AA46" s="18" t="n">
        <v>55032.86</v>
      </c>
      <c r="AB46" s="19" t="n">
        <v>55399.4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이익잉여금</t>
        </is>
      </c>
      <c r="E47" s="18" t="n">
        <v>-395953</v>
      </c>
      <c r="F47" s="37" t="n">
        <v>-395953</v>
      </c>
      <c r="G47" s="18" t="n">
        <v>-399157</v>
      </c>
      <c r="H47" s="18" t="n">
        <v>-400624</v>
      </c>
      <c r="I47" s="18" t="n">
        <v>-407226</v>
      </c>
      <c r="J47" s="18" t="n">
        <v>-419952</v>
      </c>
      <c r="K47" s="37" t="n">
        <v>-419952</v>
      </c>
      <c r="L47" s="18" t="n">
        <v>-423371</v>
      </c>
      <c r="M47" s="18" t="n">
        <v>-421591</v>
      </c>
      <c r="N47" s="18" t="n">
        <v>-422029</v>
      </c>
      <c r="O47" s="18" t="n">
        <v>-419806</v>
      </c>
      <c r="P47" s="37" t="n">
        <v>-419806</v>
      </c>
      <c r="Q47" s="18" t="n">
        <v>-419596</v>
      </c>
      <c r="R47" s="18" t="n">
        <v>-405898</v>
      </c>
      <c r="S47" s="18" t="n">
        <v>-406800</v>
      </c>
      <c r="T47" s="18" t="n">
        <v>-405336.46</v>
      </c>
      <c r="U47" s="37" t="n">
        <v>-405336.46</v>
      </c>
      <c r="V47" s="18" t="n">
        <v>8330.309999999999</v>
      </c>
      <c r="W47" s="18" t="n">
        <v>38044.46</v>
      </c>
      <c r="X47" s="18" t="n">
        <v>52094.31</v>
      </c>
      <c r="Y47" s="18" t="n">
        <v>64325.38</v>
      </c>
      <c r="Z47" s="37" t="n">
        <v>64325.38</v>
      </c>
      <c r="AA47" s="18" t="n">
        <v>80992.98</v>
      </c>
      <c r="AB47" s="19" t="n">
        <v>103149.29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자본총계</t>
        </is>
      </c>
      <c r="E48" s="18" t="n">
        <v>283975</v>
      </c>
      <c r="F48" s="37" t="n">
        <v>283975</v>
      </c>
      <c r="G48" s="18" t="n">
        <v>280912</v>
      </c>
      <c r="H48" s="18" t="n">
        <v>278951</v>
      </c>
      <c r="I48" s="18" t="n">
        <v>270795</v>
      </c>
      <c r="J48" s="18" t="n">
        <v>260245</v>
      </c>
      <c r="K48" s="37" t="n">
        <v>260245</v>
      </c>
      <c r="L48" s="18" t="n">
        <v>257509</v>
      </c>
      <c r="M48" s="18" t="n">
        <v>259185</v>
      </c>
      <c r="N48" s="18" t="n">
        <v>259004</v>
      </c>
      <c r="O48" s="18" t="n">
        <v>259634</v>
      </c>
      <c r="P48" s="37" t="n">
        <v>259634</v>
      </c>
      <c r="Q48" s="18" t="n">
        <v>260210</v>
      </c>
      <c r="R48" s="18" t="n">
        <v>274628</v>
      </c>
      <c r="S48" s="18" t="n">
        <v>273575</v>
      </c>
      <c r="T48" s="18" t="n">
        <v>276569.77</v>
      </c>
      <c r="U48" s="37" t="n">
        <v>276569.77</v>
      </c>
      <c r="V48" s="18" t="n">
        <v>285335.04</v>
      </c>
      <c r="W48" s="18" t="n">
        <v>315047.89</v>
      </c>
      <c r="X48" s="18" t="n">
        <v>330595.29</v>
      </c>
      <c r="Y48" s="18" t="n">
        <v>342971.09</v>
      </c>
      <c r="Z48" s="37" t="n">
        <v>342971.09</v>
      </c>
      <c r="AA48" s="18" t="n">
        <v>360412.45</v>
      </c>
      <c r="AB48" s="19" t="n">
        <v>382935.31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부채와자본총계</t>
        </is>
      </c>
      <c r="E49" s="18" t="n">
        <v>837480</v>
      </c>
      <c r="F49" s="37" t="n">
        <v>837480</v>
      </c>
      <c r="G49" s="18" t="n">
        <v>830392</v>
      </c>
      <c r="H49" s="18" t="n">
        <v>843666</v>
      </c>
      <c r="I49" s="18" t="n">
        <v>843577</v>
      </c>
      <c r="J49" s="18" t="n">
        <v>853388</v>
      </c>
      <c r="K49" s="37" t="n">
        <v>853388</v>
      </c>
      <c r="L49" s="18" t="n">
        <v>867313</v>
      </c>
      <c r="M49" s="18" t="n">
        <v>845873</v>
      </c>
      <c r="N49" s="18" t="n">
        <v>841294</v>
      </c>
      <c r="O49" s="18" t="n">
        <v>899134</v>
      </c>
      <c r="P49" s="37" t="n">
        <v>899134</v>
      </c>
      <c r="Q49" s="18" t="n">
        <v>973825</v>
      </c>
      <c r="R49" s="18" t="n">
        <v>994729</v>
      </c>
      <c r="S49" s="18" t="n">
        <v>980661</v>
      </c>
      <c r="T49" s="18" t="n">
        <v>968810.4399999999</v>
      </c>
      <c r="U49" s="37" t="n">
        <v>968810.4399999999</v>
      </c>
      <c r="V49" s="18" t="n">
        <v>946467.8199999999</v>
      </c>
      <c r="W49" s="18" t="n">
        <v>1054802.22</v>
      </c>
      <c r="X49" s="18" t="n">
        <v>1097741.99</v>
      </c>
      <c r="Y49" s="18" t="n">
        <v>1157535.04</v>
      </c>
      <c r="Z49" s="37" t="n">
        <v>1157535.04</v>
      </c>
      <c r="AA49" s="18" t="n">
        <v>1209537.59</v>
      </c>
      <c r="AB49" s="19" t="n">
        <v>1215119.85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지배주주지분</t>
        </is>
      </c>
      <c r="E50" s="18" t="n">
        <v>283975</v>
      </c>
      <c r="F50" s="37" t="n">
        <v>283975</v>
      </c>
      <c r="G50" s="18" t="n">
        <v>280912</v>
      </c>
      <c r="H50" s="18" t="n">
        <v>278951</v>
      </c>
      <c r="I50" s="18" t="n">
        <v>270795</v>
      </c>
      <c r="J50" s="18" t="n">
        <v>260245</v>
      </c>
      <c r="K50" s="37" t="n">
        <v>260245</v>
      </c>
      <c r="L50" s="18" t="n">
        <v>257509</v>
      </c>
      <c r="M50" s="18" t="n">
        <v>259185</v>
      </c>
      <c r="N50" s="18" t="n">
        <v>259004</v>
      </c>
      <c r="O50" s="18" t="n">
        <v>259634</v>
      </c>
      <c r="P50" s="37" t="n">
        <v>259634</v>
      </c>
      <c r="Q50" s="18" t="n">
        <v>260210</v>
      </c>
      <c r="R50" s="18" t="n">
        <v>274628</v>
      </c>
      <c r="S50" s="18" t="n">
        <v>273575</v>
      </c>
      <c r="T50" s="18" t="n">
        <v>276569.77</v>
      </c>
      <c r="U50" s="37" t="n">
        <v>276569.77</v>
      </c>
      <c r="V50" s="18" t="n">
        <v>285335.04</v>
      </c>
      <c r="W50" s="18" t="n">
        <v>315047.89</v>
      </c>
      <c r="X50" s="18" t="n">
        <v>330595.29</v>
      </c>
      <c r="Y50" s="18" t="n">
        <v>342971.09</v>
      </c>
      <c r="Z50" s="37" t="n">
        <v>342971.09</v>
      </c>
      <c r="AA50" s="18" t="n">
        <v>360412.45</v>
      </c>
      <c r="AB50" s="19" t="n">
        <v>382935.31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총차입금</t>
        </is>
      </c>
      <c r="E51" s="18" t="n">
        <v>258774</v>
      </c>
      <c r="F51" s="37" t="n">
        <v>258774</v>
      </c>
      <c r="G51" s="18" t="n">
        <v>245826</v>
      </c>
      <c r="H51" s="18" t="n">
        <v>234164</v>
      </c>
      <c r="I51" s="18" t="n">
        <v>239521</v>
      </c>
      <c r="J51" s="18" t="n">
        <v>237830</v>
      </c>
      <c r="K51" s="37" t="n">
        <v>237830</v>
      </c>
      <c r="L51" s="18" t="n">
        <v>251122</v>
      </c>
      <c r="M51" s="18" t="n">
        <v>244348</v>
      </c>
      <c r="N51" s="18" t="n">
        <v>245130</v>
      </c>
      <c r="O51" s="18" t="n">
        <v>259304</v>
      </c>
      <c r="P51" s="37" t="n">
        <v>259304</v>
      </c>
      <c r="Q51" s="18" t="n">
        <v>299177</v>
      </c>
      <c r="R51" s="18" t="n">
        <v>324065</v>
      </c>
      <c r="S51" s="18" t="n">
        <v>328481</v>
      </c>
      <c r="T51" s="18" t="n">
        <v>312315.66</v>
      </c>
      <c r="U51" s="37" t="n">
        <v>312315.66</v>
      </c>
      <c r="V51" s="18" t="n">
        <v>286065.88</v>
      </c>
      <c r="W51" s="18" t="n">
        <v>297443.71</v>
      </c>
      <c r="X51" s="18" t="n">
        <v>309162.23</v>
      </c>
      <c r="Y51" s="18" t="n">
        <v>313612.95</v>
      </c>
      <c r="Z51" s="37" t="n">
        <v>313612.95</v>
      </c>
      <c r="AA51" s="18" t="n">
        <v>352748.37</v>
      </c>
      <c r="AB51" s="19" t="n">
        <v>343225.74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순차입금</t>
        </is>
      </c>
      <c r="E52" s="18" t="n">
        <v>153737</v>
      </c>
      <c r="F52" s="37" t="n">
        <v>153737</v>
      </c>
      <c r="G52" s="18" t="n">
        <v>135001</v>
      </c>
      <c r="H52" s="18" t="n">
        <v>151799</v>
      </c>
      <c r="I52" s="18" t="n">
        <v>171480</v>
      </c>
      <c r="J52" s="18" t="n">
        <v>136118</v>
      </c>
      <c r="K52" s="37" t="n">
        <v>136118</v>
      </c>
      <c r="L52" s="18" t="n">
        <v>184519</v>
      </c>
      <c r="M52" s="18" t="n">
        <v>171176</v>
      </c>
      <c r="N52" s="18" t="n">
        <v>187058</v>
      </c>
      <c r="O52" s="18" t="n">
        <v>172442</v>
      </c>
      <c r="P52" s="37" t="n">
        <v>172442</v>
      </c>
      <c r="Q52" s="18" t="n">
        <v>193701</v>
      </c>
      <c r="R52" s="18" t="n">
        <v>221739</v>
      </c>
      <c r="S52" s="18" t="n">
        <v>229558</v>
      </c>
      <c r="T52" s="18" t="n">
        <v>178775.52</v>
      </c>
      <c r="U52" s="37" t="n">
        <v>178775.52</v>
      </c>
      <c r="V52" s="18" t="n">
        <v>238764.37</v>
      </c>
      <c r="W52" s="18" t="n">
        <v>185836.45</v>
      </c>
      <c r="X52" s="18" t="n">
        <v>139745.79</v>
      </c>
      <c r="Y52" s="18" t="n">
        <v>142206.35</v>
      </c>
      <c r="Z52" s="37" t="n">
        <v>142206.35</v>
      </c>
      <c r="AA52" s="18" t="n">
        <v>228130.76</v>
      </c>
      <c r="AB52" s="19" t="n">
        <v>214476.7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이자발생자산</t>
        </is>
      </c>
      <c r="E53" s="18" t="n">
        <v>105037</v>
      </c>
      <c r="F53" s="37" t="n">
        <v>105037</v>
      </c>
      <c r="G53" s="18" t="n">
        <v>110825</v>
      </c>
      <c r="H53" s="18" t="n">
        <v>82365</v>
      </c>
      <c r="I53" s="18" t="n">
        <v>68041</v>
      </c>
      <c r="J53" s="18" t="n">
        <v>109620</v>
      </c>
      <c r="K53" s="37" t="n">
        <v>109620</v>
      </c>
      <c r="L53" s="18" t="n">
        <v>66603</v>
      </c>
      <c r="M53" s="18" t="n">
        <v>73172</v>
      </c>
      <c r="N53" s="18" t="n">
        <v>58072</v>
      </c>
      <c r="O53" s="18" t="n">
        <v>95406</v>
      </c>
      <c r="P53" s="37" t="n">
        <v>95406</v>
      </c>
      <c r="Q53" s="18" t="n">
        <v>113969</v>
      </c>
      <c r="R53" s="18" t="n">
        <v>111191</v>
      </c>
      <c r="S53" s="18" t="n">
        <v>107788</v>
      </c>
      <c r="T53" s="18" t="n">
        <v>142710.67</v>
      </c>
      <c r="U53" s="37" t="n">
        <v>142710.67</v>
      </c>
      <c r="V53" s="18" t="n">
        <v>56495.51</v>
      </c>
      <c r="W53" s="18" t="n">
        <v>122551</v>
      </c>
      <c r="X53" s="18" t="n">
        <v>182292.32</v>
      </c>
      <c r="Y53" s="18" t="n">
        <v>184372.97</v>
      </c>
      <c r="Z53" s="37" t="n">
        <v>184372.97</v>
      </c>
      <c r="AA53" s="18" t="n">
        <v>138050.16</v>
      </c>
      <c r="AB53" s="19" t="n">
        <v>141806.98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당기법인세부채(미지급법인세)</t>
        </is>
      </c>
      <c r="F54" s="9" t="n"/>
      <c r="H54" s="18" t="n">
        <v>220</v>
      </c>
      <c r="J54" s="18" t="n">
        <v>517</v>
      </c>
      <c r="K54" s="37" t="n">
        <v>517</v>
      </c>
      <c r="L54" s="18" t="n">
        <v>538</v>
      </c>
      <c r="O54" s="18" t="n">
        <v>678</v>
      </c>
      <c r="P54" s="37" t="n">
        <v>678</v>
      </c>
      <c r="Q54" s="18" t="n">
        <v>217</v>
      </c>
      <c r="R54" s="18" t="n">
        <v>268</v>
      </c>
      <c r="S54" s="18" t="n">
        <v>263</v>
      </c>
      <c r="T54" s="18" t="n">
        <v>904.99</v>
      </c>
      <c r="U54" s="37" t="n">
        <v>904.99</v>
      </c>
      <c r="V54" s="18" t="n">
        <v>518.28</v>
      </c>
      <c r="W54" s="18" t="n">
        <v>573.14</v>
      </c>
      <c r="X54" s="18" t="n">
        <v>741.8200000000001</v>
      </c>
      <c r="Y54" s="18" t="n">
        <v>1190.8</v>
      </c>
      <c r="Z54" s="37" t="n">
        <v>1190.8</v>
      </c>
      <c r="AA54" s="18" t="n">
        <v>858.39</v>
      </c>
      <c r="AB54" s="19" t="n">
        <v>1667.6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단기금융상품</t>
        </is>
      </c>
      <c r="F55" s="9" t="n"/>
      <c r="J55" s="18" t="n">
        <v>8945</v>
      </c>
      <c r="K55" s="37" t="n">
        <v>8945</v>
      </c>
      <c r="O55" s="18" t="n">
        <v>246</v>
      </c>
      <c r="P55" s="37" t="n">
        <v>246</v>
      </c>
      <c r="Q55" s="18" t="n">
        <v>250</v>
      </c>
      <c r="R55" s="18" t="n">
        <v>175</v>
      </c>
      <c r="S55" s="18" t="n">
        <v>177</v>
      </c>
      <c r="T55" s="18" t="n">
        <v>186.4</v>
      </c>
      <c r="U55" s="37" t="n">
        <v>186.4</v>
      </c>
      <c r="V55" s="18" t="n">
        <v>192.05</v>
      </c>
      <c r="W55" s="18" t="n">
        <v>335.26</v>
      </c>
      <c r="X55" s="18" t="n">
        <v>308.59</v>
      </c>
      <c r="Y55" s="18" t="n">
        <v>6009.5</v>
      </c>
      <c r="Z55" s="37" t="n">
        <v>6009.5</v>
      </c>
      <c r="AA55" s="18" t="n">
        <v>12950.3</v>
      </c>
      <c r="AB55" s="19" t="n">
        <v>13183.48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유동파생상품자산</t>
        </is>
      </c>
      <c r="F56" s="9" t="n"/>
      <c r="J56" s="18" t="n">
        <v>854</v>
      </c>
      <c r="K56" s="37" t="n">
        <v>854</v>
      </c>
      <c r="L56" s="18" t="n">
        <v>157</v>
      </c>
      <c r="M56" s="18" t="n">
        <v>4</v>
      </c>
      <c r="P56" s="9" t="n"/>
      <c r="Q56" s="18" t="n">
        <v>15</v>
      </c>
      <c r="R56" s="18" t="n">
        <v>456</v>
      </c>
      <c r="S56" s="18" t="n">
        <v>127</v>
      </c>
      <c r="T56" s="18" t="n">
        <v>1912.82</v>
      </c>
      <c r="U56" s="37" t="n">
        <v>1912.82</v>
      </c>
      <c r="V56" s="18" t="n">
        <v>2778.07</v>
      </c>
      <c r="W56" s="18" t="n">
        <v>2255.94</v>
      </c>
      <c r="X56" s="18" t="n">
        <v>1958.64</v>
      </c>
      <c r="Y56" s="18" t="n">
        <v>1262.77</v>
      </c>
      <c r="Z56" s="37" t="n">
        <v>1262.77</v>
      </c>
      <c r="AA56" s="18" t="n">
        <v>1396.87</v>
      </c>
      <c r="AB56" s="19" t="n">
        <v>1330.2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장기금융자산</t>
        </is>
      </c>
      <c r="F57" s="9" t="n"/>
      <c r="J57" s="18" t="n">
        <v>7908</v>
      </c>
      <c r="K57" s="37" t="n">
        <v>7908</v>
      </c>
      <c r="O57" s="18" t="n">
        <v>8544</v>
      </c>
      <c r="P57" s="37" t="n">
        <v>8544</v>
      </c>
      <c r="Q57" s="18" t="n">
        <v>8493</v>
      </c>
      <c r="R57" s="18" t="n">
        <v>8865</v>
      </c>
      <c r="S57" s="18" t="n">
        <v>8865</v>
      </c>
      <c r="T57" s="18" t="n">
        <v>9170.530000000001</v>
      </c>
      <c r="U57" s="37" t="n">
        <v>9170.530000000001</v>
      </c>
      <c r="V57" s="18" t="n">
        <v>9194</v>
      </c>
      <c r="W57" s="18" t="n">
        <v>10943.74</v>
      </c>
      <c r="X57" s="18" t="n">
        <v>12875.88</v>
      </c>
      <c r="Y57" s="18" t="n">
        <v>12966.37</v>
      </c>
      <c r="Z57" s="37" t="n">
        <v>12966.37</v>
      </c>
      <c r="AA57" s="18" t="n">
        <v>13432.55</v>
      </c>
      <c r="AB57" s="19" t="n">
        <v>13057.94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이연법인세자산</t>
        </is>
      </c>
      <c r="F58" s="9" t="n"/>
      <c r="J58" s="18" t="n">
        <v>1034</v>
      </c>
      <c r="K58" s="37" t="n">
        <v>1034</v>
      </c>
      <c r="L58" s="18" t="n">
        <v>1093</v>
      </c>
      <c r="M58" s="18" t="n">
        <v>1175</v>
      </c>
      <c r="N58" s="18" t="n">
        <v>1222</v>
      </c>
      <c r="O58" s="18" t="n">
        <v>1167</v>
      </c>
      <c r="P58" s="37" t="n">
        <v>1167</v>
      </c>
      <c r="Q58" s="18" t="n">
        <v>1141</v>
      </c>
      <c r="R58" s="18" t="n">
        <v>1338</v>
      </c>
      <c r="S58" s="18" t="n">
        <v>1193</v>
      </c>
      <c r="T58" s="18" t="n">
        <v>1216.28</v>
      </c>
      <c r="U58" s="37" t="n">
        <v>1216.28</v>
      </c>
      <c r="V58" s="18" t="n">
        <v>1306.08</v>
      </c>
      <c r="W58" s="18" t="n">
        <v>1150.03</v>
      </c>
      <c r="X58" s="18" t="n">
        <v>1177.09</v>
      </c>
      <c r="Y58" s="18" t="n">
        <v>1184.13</v>
      </c>
      <c r="Z58" s="37" t="n">
        <v>1184.13</v>
      </c>
      <c r="AA58" s="18" t="n">
        <v>1226.72</v>
      </c>
      <c r="AB58" s="19" t="n">
        <v>1329.81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비지배주주지분</t>
        </is>
      </c>
      <c r="F59" s="9" t="n"/>
      <c r="K59" s="9" t="n"/>
      <c r="P59" s="9" t="n"/>
      <c r="T59" s="18" t="n">
        <v>0</v>
      </c>
      <c r="U59" s="37" t="n">
        <v>0</v>
      </c>
      <c r="V59" s="18" t="n">
        <v>0</v>
      </c>
      <c r="Y59" s="18" t="n">
        <v>0</v>
      </c>
      <c r="Z59" s="37" t="n">
        <v>0</v>
      </c>
      <c r="AA59" s="18" t="n">
        <v>0</v>
      </c>
      <c r="AB59" s="19" t="n">
        <v>0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장기차입금</t>
        </is>
      </c>
      <c r="F60" s="9" t="n"/>
      <c r="K60" s="9" t="n"/>
      <c r="P60" s="9" t="n"/>
      <c r="U60" s="9" t="n"/>
      <c r="V60" s="18" t="n">
        <v>3333.33</v>
      </c>
      <c r="W60" s="18" t="n">
        <v>2916.67</v>
      </c>
      <c r="X60" s="18" t="n">
        <v>2500</v>
      </c>
      <c r="Y60" s="18" t="n">
        <v>2083.33</v>
      </c>
      <c r="Z60" s="37" t="n">
        <v>2083.33</v>
      </c>
      <c r="AA60" s="18" t="n">
        <v>1666.67</v>
      </c>
      <c r="AB60" s="19" t="n">
        <v>0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매출액(수익)</t>
        </is>
      </c>
      <c r="E61" s="18" t="n">
        <v>166298</v>
      </c>
      <c r="F61" s="9" t="n"/>
      <c r="G61" s="18" t="n">
        <v>111918</v>
      </c>
      <c r="H61" s="18" t="n">
        <v>104916</v>
      </c>
      <c r="I61" s="18" t="n">
        <v>137416</v>
      </c>
      <c r="J61" s="18" t="n">
        <v>189771</v>
      </c>
      <c r="K61" s="37" t="n">
        <v>544021</v>
      </c>
      <c r="L61" s="18" t="n">
        <v>116981</v>
      </c>
      <c r="M61" s="18" t="n">
        <v>163437</v>
      </c>
      <c r="N61" s="18" t="n">
        <v>138535</v>
      </c>
      <c r="O61" s="18" t="n">
        <v>211424</v>
      </c>
      <c r="P61" s="37" t="n">
        <v>630377</v>
      </c>
      <c r="Q61" s="18" t="n">
        <v>115506</v>
      </c>
      <c r="R61" s="18" t="n">
        <v>197361</v>
      </c>
      <c r="S61" s="18" t="n">
        <v>193968</v>
      </c>
      <c r="T61" s="18" t="n">
        <v>217774.81</v>
      </c>
      <c r="U61" s="37" t="n">
        <v>724609.8100000001</v>
      </c>
      <c r="V61" s="18" t="n">
        <v>139139.48</v>
      </c>
      <c r="W61" s="18" t="n">
        <v>213655.14</v>
      </c>
      <c r="X61" s="18" t="n">
        <v>192065.78</v>
      </c>
      <c r="Y61" s="18" t="n">
        <v>244481.52</v>
      </c>
      <c r="Z61" s="37" t="n">
        <v>789341.92</v>
      </c>
      <c r="AA61" s="18" t="n">
        <v>189010.55</v>
      </c>
      <c r="AB61" s="19" t="n">
        <v>212989.81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매출원가</t>
        </is>
      </c>
      <c r="E62" s="18" t="n">
        <v>153568</v>
      </c>
      <c r="F62" s="9" t="n"/>
      <c r="G62" s="18" t="n">
        <v>102002</v>
      </c>
      <c r="H62" s="18" t="n">
        <v>94134</v>
      </c>
      <c r="I62" s="18" t="n">
        <v>123454</v>
      </c>
      <c r="J62" s="18" t="n">
        <v>187549</v>
      </c>
      <c r="K62" s="37" t="n">
        <v>507139</v>
      </c>
      <c r="L62" s="18" t="n">
        <v>106684</v>
      </c>
      <c r="M62" s="18" t="n">
        <v>147883</v>
      </c>
      <c r="N62" s="18" t="n">
        <v>124055</v>
      </c>
      <c r="O62" s="18" t="n">
        <v>183854</v>
      </c>
      <c r="P62" s="37" t="n">
        <v>562476</v>
      </c>
      <c r="Q62" s="18" t="n">
        <v>96814</v>
      </c>
      <c r="R62" s="18" t="n">
        <v>163746</v>
      </c>
      <c r="S62" s="18" t="n">
        <v>174757</v>
      </c>
      <c r="T62" s="18" t="n">
        <v>190738.86</v>
      </c>
      <c r="U62" s="37" t="n">
        <v>626055.86</v>
      </c>
      <c r="V62" s="18" t="n">
        <v>110316.18</v>
      </c>
      <c r="W62" s="18" t="n">
        <v>167284.32</v>
      </c>
      <c r="X62" s="18" t="n">
        <v>160267.71</v>
      </c>
      <c r="Y62" s="18" t="n">
        <v>219538.39</v>
      </c>
      <c r="Z62" s="37" t="n">
        <v>657406.6</v>
      </c>
      <c r="AA62" s="18" t="n">
        <v>156859.27</v>
      </c>
      <c r="AB62" s="19" t="n">
        <v>171641.61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매출총이익</t>
        </is>
      </c>
      <c r="E63" s="18" t="n">
        <v>12730</v>
      </c>
      <c r="F63" s="9" t="n"/>
      <c r="G63" s="18" t="n">
        <v>9916</v>
      </c>
      <c r="H63" s="18" t="n">
        <v>10782</v>
      </c>
      <c r="I63" s="18" t="n">
        <v>13962</v>
      </c>
      <c r="J63" s="18" t="n">
        <v>2222</v>
      </c>
      <c r="K63" s="37" t="n">
        <v>36882</v>
      </c>
      <c r="L63" s="18" t="n">
        <v>10297</v>
      </c>
      <c r="M63" s="18" t="n">
        <v>15554</v>
      </c>
      <c r="N63" s="18" t="n">
        <v>14480</v>
      </c>
      <c r="O63" s="18" t="n">
        <v>27570</v>
      </c>
      <c r="P63" s="37" t="n">
        <v>67901</v>
      </c>
      <c r="Q63" s="18" t="n">
        <v>18692</v>
      </c>
      <c r="R63" s="18" t="n">
        <v>33615</v>
      </c>
      <c r="S63" s="18" t="n">
        <v>19211</v>
      </c>
      <c r="T63" s="18" t="n">
        <v>27035.94</v>
      </c>
      <c r="U63" s="37" t="n">
        <v>98553.94</v>
      </c>
      <c r="V63" s="18" t="n">
        <v>28823.29</v>
      </c>
      <c r="W63" s="18" t="n">
        <v>46370.82</v>
      </c>
      <c r="X63" s="18" t="n">
        <v>31798.07</v>
      </c>
      <c r="Y63" s="18" t="n">
        <v>24943.14</v>
      </c>
      <c r="Z63" s="37" t="n">
        <v>131935.32</v>
      </c>
      <c r="AA63" s="18" t="n">
        <v>32151.29</v>
      </c>
      <c r="AB63" s="19" t="n">
        <v>41348.2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판관비</t>
        </is>
      </c>
      <c r="E64" s="18" t="n">
        <v>9233</v>
      </c>
      <c r="F64" s="9" t="n"/>
      <c r="G64" s="18" t="n">
        <v>11043</v>
      </c>
      <c r="H64" s="18" t="n">
        <v>10148</v>
      </c>
      <c r="I64" s="18" t="n">
        <v>12696</v>
      </c>
      <c r="J64" s="18" t="n">
        <v>11811</v>
      </c>
      <c r="K64" s="37" t="n">
        <v>45698</v>
      </c>
      <c r="L64" s="18" t="n">
        <v>10647</v>
      </c>
      <c r="M64" s="18" t="n">
        <v>11104</v>
      </c>
      <c r="N64" s="18" t="n">
        <v>12596</v>
      </c>
      <c r="O64" s="18" t="n">
        <v>14686</v>
      </c>
      <c r="P64" s="37" t="n">
        <v>49033</v>
      </c>
      <c r="Q64" s="18" t="n">
        <v>11879</v>
      </c>
      <c r="R64" s="18" t="n">
        <v>11849</v>
      </c>
      <c r="S64" s="18" t="n">
        <v>13785</v>
      </c>
      <c r="T64" s="18" t="n">
        <v>18804.11</v>
      </c>
      <c r="U64" s="37" t="n">
        <v>56317.11</v>
      </c>
      <c r="V64" s="18" t="n">
        <v>13371.5</v>
      </c>
      <c r="W64" s="18" t="n">
        <v>13023.2</v>
      </c>
      <c r="X64" s="18" t="n">
        <v>16372.1</v>
      </c>
      <c r="Y64" s="18" t="n">
        <v>19575.57</v>
      </c>
      <c r="Z64" s="37" t="n">
        <v>62342.37</v>
      </c>
      <c r="AA64" s="18" t="n">
        <v>14647.77</v>
      </c>
      <c r="AB64" s="19" t="n">
        <v>16387.54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영업이익</t>
        </is>
      </c>
      <c r="E65" s="18" t="n">
        <v>3497</v>
      </c>
      <c r="F65" s="9" t="n"/>
      <c r="G65" s="18" t="n">
        <v>-1127</v>
      </c>
      <c r="H65" s="18" t="n">
        <v>634</v>
      </c>
      <c r="I65" s="18" t="n">
        <v>1266</v>
      </c>
      <c r="J65" s="18" t="n">
        <v>-9589</v>
      </c>
      <c r="K65" s="37" t="n">
        <v>-8816</v>
      </c>
      <c r="L65" s="18" t="n">
        <v>-350</v>
      </c>
      <c r="M65" s="18" t="n">
        <v>4450</v>
      </c>
      <c r="N65" s="18" t="n">
        <v>1884</v>
      </c>
      <c r="O65" s="18" t="n">
        <v>12884</v>
      </c>
      <c r="P65" s="37" t="n">
        <v>18868</v>
      </c>
      <c r="Q65" s="18" t="n">
        <v>6813</v>
      </c>
      <c r="R65" s="18" t="n">
        <v>21766</v>
      </c>
      <c r="S65" s="18" t="n">
        <v>5426</v>
      </c>
      <c r="T65" s="18" t="n">
        <v>8231.84</v>
      </c>
      <c r="U65" s="37" t="n">
        <v>42236.84</v>
      </c>
      <c r="V65" s="18" t="n">
        <v>15451.79</v>
      </c>
      <c r="W65" s="18" t="n">
        <v>33347.62</v>
      </c>
      <c r="X65" s="18" t="n">
        <v>15425.96</v>
      </c>
      <c r="Y65" s="18" t="n">
        <v>5367.57</v>
      </c>
      <c r="Z65" s="37" t="n">
        <v>69592.94</v>
      </c>
      <c r="AA65" s="18" t="n">
        <v>17503.52</v>
      </c>
      <c r="AB65" s="19" t="n">
        <v>24960.66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기타영업외수익</t>
        </is>
      </c>
      <c r="E66" s="18" t="n">
        <v>1510</v>
      </c>
      <c r="F66" s="9" t="n"/>
      <c r="G66" s="18" t="n">
        <v>166</v>
      </c>
      <c r="H66" s="18" t="n">
        <v>610</v>
      </c>
      <c r="I66" s="18" t="n">
        <v>7482</v>
      </c>
      <c r="J66" s="18" t="n">
        <v>4832</v>
      </c>
      <c r="K66" s="37" t="n">
        <v>13090</v>
      </c>
      <c r="L66" s="18" t="n">
        <v>2784</v>
      </c>
      <c r="M66" s="18" t="n">
        <v>1172</v>
      </c>
      <c r="N66" s="18" t="n">
        <v>521</v>
      </c>
      <c r="O66" s="18" t="n">
        <v>323</v>
      </c>
      <c r="P66" s="37" t="n">
        <v>4800</v>
      </c>
      <c r="Q66" s="18" t="n">
        <v>369</v>
      </c>
      <c r="R66" s="18" t="n">
        <v>86</v>
      </c>
      <c r="S66" s="18" t="n">
        <v>110</v>
      </c>
      <c r="T66" s="18" t="n">
        <v>733.37</v>
      </c>
      <c r="U66" s="37" t="n">
        <v>1298.37</v>
      </c>
      <c r="V66" s="18" t="n">
        <v>144.29</v>
      </c>
      <c r="W66" s="18" t="n">
        <v>316.01</v>
      </c>
      <c r="X66" s="18" t="n">
        <v>319.07</v>
      </c>
      <c r="Y66" s="18" t="n">
        <v>3239.91</v>
      </c>
      <c r="Z66" s="37" t="n">
        <v>4019.28</v>
      </c>
      <c r="AA66" s="18" t="n">
        <v>292.11</v>
      </c>
      <c r="AB66" s="19" t="n">
        <v>1206.58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기타영업외비용</t>
        </is>
      </c>
      <c r="E67" s="18" t="n">
        <v>653</v>
      </c>
      <c r="F67" s="9" t="n"/>
      <c r="G67" s="18" t="n">
        <v>510</v>
      </c>
      <c r="H67" s="18" t="n">
        <v>1266</v>
      </c>
      <c r="I67" s="18" t="n">
        <v>5762</v>
      </c>
      <c r="J67" s="18" t="n">
        <v>17578</v>
      </c>
      <c r="K67" s="37" t="n">
        <v>25116</v>
      </c>
      <c r="L67" s="18" t="n">
        <v>527</v>
      </c>
      <c r="M67" s="18" t="n">
        <v>123</v>
      </c>
      <c r="N67" s="18" t="n">
        <v>248</v>
      </c>
      <c r="O67" s="18" t="n">
        <v>134</v>
      </c>
      <c r="P67" s="37" t="n">
        <v>1032</v>
      </c>
      <c r="Q67" s="18" t="n">
        <v>260</v>
      </c>
      <c r="R67" s="18" t="n">
        <v>42</v>
      </c>
      <c r="S67" s="18" t="n">
        <v>286</v>
      </c>
      <c r="T67" s="18" t="n">
        <v>397.6</v>
      </c>
      <c r="U67" s="37" t="n">
        <v>985.6</v>
      </c>
      <c r="V67" s="18" t="n">
        <v>55.62</v>
      </c>
      <c r="W67" s="18" t="n">
        <v>48.25</v>
      </c>
      <c r="X67" s="18" t="n">
        <v>212.2</v>
      </c>
      <c r="Y67" s="18" t="n">
        <v>29.17</v>
      </c>
      <c r="Z67" s="37" t="n">
        <v>345.24</v>
      </c>
      <c r="AA67" s="18" t="n">
        <v>40.41</v>
      </c>
      <c r="AB67" s="19" t="n">
        <v>37.46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금융수익</t>
        </is>
      </c>
      <c r="E68" s="18" t="n">
        <v>5813</v>
      </c>
      <c r="F68" s="9" t="n"/>
      <c r="G68" s="18" t="n">
        <v>3668</v>
      </c>
      <c r="H68" s="18" t="n">
        <v>8257</v>
      </c>
      <c r="I68" s="18" t="n">
        <v>6495</v>
      </c>
      <c r="J68" s="18" t="n">
        <v>3691</v>
      </c>
      <c r="K68" s="37" t="n">
        <v>22111</v>
      </c>
      <c r="L68" s="18" t="n">
        <v>7183</v>
      </c>
      <c r="M68" s="18" t="n">
        <v>2564</v>
      </c>
      <c r="N68" s="18" t="n">
        <v>3842</v>
      </c>
      <c r="O68" s="18" t="n">
        <v>845</v>
      </c>
      <c r="P68" s="37" t="n">
        <v>14434</v>
      </c>
      <c r="Q68" s="18" t="n">
        <v>4427</v>
      </c>
      <c r="R68" s="18" t="n">
        <v>3387</v>
      </c>
      <c r="S68" s="18" t="n">
        <v>1859</v>
      </c>
      <c r="T68" s="18" t="n">
        <v>5647.04</v>
      </c>
      <c r="U68" s="37" t="n">
        <v>15320.04</v>
      </c>
      <c r="V68" s="18" t="n">
        <v>8907.68</v>
      </c>
      <c r="W68" s="18" t="n">
        <v>5220.41</v>
      </c>
      <c r="X68" s="18" t="n">
        <v>5460.16</v>
      </c>
      <c r="Y68" s="18" t="n">
        <v>6209.93</v>
      </c>
      <c r="Z68" s="37" t="n">
        <v>25798.18</v>
      </c>
      <c r="AA68" s="18" t="n">
        <v>7249.34</v>
      </c>
      <c r="AB68" s="19" t="n">
        <v>5004.28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금융비용</t>
        </is>
      </c>
      <c r="E69" s="18" t="n">
        <v>6246</v>
      </c>
      <c r="F69" s="9" t="n"/>
      <c r="G69" s="18" t="n">
        <v>4817</v>
      </c>
      <c r="H69" s="18" t="n">
        <v>9803</v>
      </c>
      <c r="I69" s="18" t="n">
        <v>16494</v>
      </c>
      <c r="J69" s="18" t="n">
        <v>-1435</v>
      </c>
      <c r="K69" s="37" t="n">
        <v>29679</v>
      </c>
      <c r="L69" s="18" t="n">
        <v>11995</v>
      </c>
      <c r="M69" s="18" t="n">
        <v>5957</v>
      </c>
      <c r="N69" s="18" t="n">
        <v>6003</v>
      </c>
      <c r="O69" s="18" t="n">
        <v>5459</v>
      </c>
      <c r="P69" s="37" t="n">
        <v>29414</v>
      </c>
      <c r="Q69" s="18" t="n">
        <v>8516</v>
      </c>
      <c r="R69" s="18" t="n">
        <v>9304</v>
      </c>
      <c r="S69" s="18" t="n">
        <v>5000</v>
      </c>
      <c r="T69" s="18" t="n">
        <v>12790.71</v>
      </c>
      <c r="U69" s="37" t="n">
        <v>35610.71</v>
      </c>
      <c r="V69" s="18" t="n">
        <v>14147.18</v>
      </c>
      <c r="W69" s="18" t="n">
        <v>8704.559999999999</v>
      </c>
      <c r="X69" s="18" t="n">
        <v>6847.06</v>
      </c>
      <c r="Y69" s="18" t="n">
        <v>7527.65</v>
      </c>
      <c r="Z69" s="37" t="n">
        <v>37226.45</v>
      </c>
      <c r="AA69" s="18" t="n">
        <v>9006.18</v>
      </c>
      <c r="AB69" s="19" t="n">
        <v>7917.91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법인세비용차감전계속사업이익</t>
        </is>
      </c>
      <c r="E70" s="18" t="n">
        <v>3921</v>
      </c>
      <c r="F70" s="9" t="n"/>
      <c r="G70" s="18" t="n">
        <v>-2620</v>
      </c>
      <c r="H70" s="18" t="n">
        <v>-1568</v>
      </c>
      <c r="I70" s="18" t="n">
        <v>-7013</v>
      </c>
      <c r="J70" s="18" t="n">
        <v>-17209</v>
      </c>
      <c r="K70" s="37" t="n">
        <v>-28410</v>
      </c>
      <c r="L70" s="18" t="n">
        <v>-2905</v>
      </c>
      <c r="M70" s="18" t="n">
        <v>2106</v>
      </c>
      <c r="N70" s="18" t="n">
        <v>-4</v>
      </c>
      <c r="O70" s="18" t="n">
        <v>8459</v>
      </c>
      <c r="P70" s="37" t="n">
        <v>7656</v>
      </c>
      <c r="Q70" s="18" t="n">
        <v>2833</v>
      </c>
      <c r="R70" s="18" t="n">
        <v>15893</v>
      </c>
      <c r="S70" s="18" t="n">
        <v>2109</v>
      </c>
      <c r="T70" s="18" t="n">
        <v>1423.93</v>
      </c>
      <c r="U70" s="37" t="n">
        <v>22258.93</v>
      </c>
      <c r="V70" s="18" t="n">
        <v>10300.95</v>
      </c>
      <c r="W70" s="18" t="n">
        <v>30131.23</v>
      </c>
      <c r="X70" s="18" t="n">
        <v>14145.93</v>
      </c>
      <c r="Y70" s="18" t="n">
        <v>7260.59</v>
      </c>
      <c r="Z70" s="37" t="n">
        <v>61838.7</v>
      </c>
      <c r="AA70" s="18" t="n">
        <v>15998.38</v>
      </c>
      <c r="AB70" s="19" t="n">
        <v>23216.15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법인세비용</t>
        </is>
      </c>
      <c r="E71" s="18" t="n">
        <v>-365</v>
      </c>
      <c r="F71" s="9" t="n"/>
      <c r="G71" s="18" t="n">
        <v>348</v>
      </c>
      <c r="H71" s="18" t="n">
        <v>-335</v>
      </c>
      <c r="I71" s="18" t="n">
        <v>-648</v>
      </c>
      <c r="J71" s="18" t="n">
        <v>-1093</v>
      </c>
      <c r="K71" s="37" t="n">
        <v>-1728</v>
      </c>
      <c r="L71" s="18" t="n">
        <v>278</v>
      </c>
      <c r="M71" s="18" t="n">
        <v>93</v>
      </c>
      <c r="N71" s="18" t="n">
        <v>198</v>
      </c>
      <c r="O71" s="18" t="n">
        <v>1402</v>
      </c>
      <c r="P71" s="37" t="n">
        <v>1971</v>
      </c>
      <c r="Q71" s="18" t="n">
        <v>431</v>
      </c>
      <c r="R71" s="18" t="n">
        <v>26</v>
      </c>
      <c r="S71" s="18" t="n">
        <v>-124</v>
      </c>
      <c r="T71" s="18" t="n">
        <v>-5289.85</v>
      </c>
      <c r="U71" s="37" t="n">
        <v>-4956.85</v>
      </c>
      <c r="V71" s="18" t="n">
        <v>-245.71</v>
      </c>
      <c r="W71" s="18" t="n">
        <v>417.08</v>
      </c>
      <c r="X71" s="18" t="n">
        <v>96.09</v>
      </c>
      <c r="Y71" s="18" t="n">
        <v>-7376.97</v>
      </c>
      <c r="Z71" s="37" t="n">
        <v>-7109.51</v>
      </c>
      <c r="AA71" s="18" t="n">
        <v>-669.22</v>
      </c>
      <c r="AB71" s="19" t="n">
        <v>1059.84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당기순이익</t>
        </is>
      </c>
      <c r="E72" s="18" t="n">
        <v>4286</v>
      </c>
      <c r="F72" s="9" t="n"/>
      <c r="G72" s="18" t="n">
        <v>-2968</v>
      </c>
      <c r="H72" s="18" t="n">
        <v>-1233</v>
      </c>
      <c r="I72" s="18" t="n">
        <v>-6365</v>
      </c>
      <c r="J72" s="18" t="n">
        <v>-16116</v>
      </c>
      <c r="K72" s="37" t="n">
        <v>-26682</v>
      </c>
      <c r="L72" s="18" t="n">
        <v>-3183</v>
      </c>
      <c r="M72" s="18" t="n">
        <v>2013</v>
      </c>
      <c r="P72" s="9" t="n"/>
      <c r="Q72" s="18" t="n">
        <v>2402</v>
      </c>
      <c r="R72" s="18" t="n">
        <v>15868</v>
      </c>
      <c r="S72" s="18" t="n">
        <v>2234</v>
      </c>
      <c r="T72" s="18" t="n">
        <v>6713.79</v>
      </c>
      <c r="U72" s="37" t="n">
        <v>27217.79</v>
      </c>
      <c r="V72" s="18" t="n">
        <v>10546.67</v>
      </c>
      <c r="W72" s="18" t="n">
        <v>29714.15</v>
      </c>
      <c r="X72" s="18" t="n">
        <v>14049.84</v>
      </c>
      <c r="Y72" s="18" t="n">
        <v>14637.56</v>
      </c>
      <c r="Z72" s="37" t="n">
        <v>68948.22</v>
      </c>
      <c r="AA72" s="18" t="n">
        <v>16667.61</v>
      </c>
      <c r="AB72" s="19" t="n">
        <v>22156.31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총포괄손익</t>
        </is>
      </c>
      <c r="E73" s="18" t="n">
        <v>21420</v>
      </c>
      <c r="F73" s="9" t="n"/>
      <c r="G73" s="18" t="n">
        <v>-2827</v>
      </c>
      <c r="H73" s="18" t="n">
        <v>-1726</v>
      </c>
      <c r="I73" s="18" t="n">
        <v>-7920</v>
      </c>
      <c r="J73" s="18" t="n">
        <v>-10311</v>
      </c>
      <c r="K73" s="37" t="n">
        <v>-22784</v>
      </c>
      <c r="L73" s="18" t="n">
        <v>-2500</v>
      </c>
      <c r="M73" s="18" t="n">
        <v>1908</v>
      </c>
      <c r="N73" s="18" t="n">
        <v>55</v>
      </c>
      <c r="O73" s="18" t="n">
        <v>988</v>
      </c>
      <c r="P73" s="37" t="n">
        <v>451</v>
      </c>
      <c r="Q73" s="18" t="n">
        <v>2768</v>
      </c>
      <c r="R73" s="18" t="n">
        <v>16588</v>
      </c>
      <c r="S73" s="18" t="n">
        <v>2083</v>
      </c>
      <c r="T73" s="18" t="n">
        <v>5529.9</v>
      </c>
      <c r="U73" s="37" t="n">
        <v>26968.9</v>
      </c>
      <c r="V73" s="18" t="n">
        <v>11125.79</v>
      </c>
      <c r="W73" s="18" t="n">
        <v>29712.85</v>
      </c>
      <c r="X73" s="18" t="n">
        <v>15547.4</v>
      </c>
      <c r="Y73" s="18" t="n">
        <v>12375.79</v>
      </c>
      <c r="Z73" s="37" t="n">
        <v>68761.83</v>
      </c>
      <c r="AA73" s="18" t="n">
        <v>17441.36</v>
      </c>
      <c r="AB73" s="19" t="n">
        <v>22522.85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(지배주주지분)당기순이익</t>
        </is>
      </c>
      <c r="E74" s="18" t="n">
        <v>4286</v>
      </c>
      <c r="F74" s="9" t="n"/>
      <c r="G74" s="18" t="n">
        <v>-2968</v>
      </c>
      <c r="H74" s="18" t="n">
        <v>-1233</v>
      </c>
      <c r="I74" s="18" t="n">
        <v>-6365</v>
      </c>
      <c r="J74" s="18" t="n">
        <v>-16116</v>
      </c>
      <c r="K74" s="37" t="n">
        <v>-26682</v>
      </c>
      <c r="L74" s="18" t="n">
        <v>-3183</v>
      </c>
      <c r="M74" s="18" t="n">
        <v>2013</v>
      </c>
      <c r="N74" s="18" t="n">
        <v>-202</v>
      </c>
      <c r="O74" s="18" t="n">
        <v>7057</v>
      </c>
      <c r="P74" s="37" t="n">
        <v>5685</v>
      </c>
      <c r="Q74" s="18" t="n">
        <v>2402</v>
      </c>
      <c r="R74" s="18" t="n">
        <v>15868</v>
      </c>
      <c r="S74" s="18" t="n">
        <v>2234</v>
      </c>
      <c r="T74" s="18" t="n">
        <v>6713.79</v>
      </c>
      <c r="U74" s="37" t="n">
        <v>27217.79</v>
      </c>
      <c r="V74" s="18" t="n">
        <v>10546.67</v>
      </c>
      <c r="W74" s="18" t="n">
        <v>29714.15</v>
      </c>
      <c r="X74" s="18" t="n">
        <v>14049.84</v>
      </c>
      <c r="Y74" s="18" t="n">
        <v>14637.56</v>
      </c>
      <c r="Z74" s="37" t="n">
        <v>68948.22</v>
      </c>
      <c r="AA74" s="18" t="n">
        <v>16667.61</v>
      </c>
      <c r="AB74" s="19" t="n">
        <v>22156.31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금융손익</t>
        </is>
      </c>
      <c r="E75" s="18" t="n">
        <v>-433</v>
      </c>
      <c r="F75" s="9" t="n"/>
      <c r="G75" s="18" t="n">
        <v>-1149</v>
      </c>
      <c r="H75" s="18" t="n">
        <v>-1546</v>
      </c>
      <c r="I75" s="18" t="n">
        <v>-9999</v>
      </c>
      <c r="J75" s="18" t="n">
        <v>5126</v>
      </c>
      <c r="K75" s="37" t="n">
        <v>-7568</v>
      </c>
      <c r="L75" s="18" t="n">
        <v>-4812</v>
      </c>
      <c r="M75" s="18" t="n">
        <v>-3393</v>
      </c>
      <c r="N75" s="18" t="n">
        <v>-2161</v>
      </c>
      <c r="O75" s="18" t="n">
        <v>-4614</v>
      </c>
      <c r="P75" s="37" t="n">
        <v>-14980</v>
      </c>
      <c r="Q75" s="18" t="n">
        <v>-4089</v>
      </c>
      <c r="R75" s="18" t="n">
        <v>-5917</v>
      </c>
      <c r="S75" s="18" t="n">
        <v>-3141</v>
      </c>
      <c r="T75" s="18" t="n">
        <v>-7143.67</v>
      </c>
      <c r="U75" s="37" t="n">
        <v>-20290.67</v>
      </c>
      <c r="V75" s="18" t="n">
        <v>-5239.5</v>
      </c>
      <c r="W75" s="18" t="n">
        <v>-3484.15</v>
      </c>
      <c r="X75" s="18" t="n">
        <v>-1386.9</v>
      </c>
      <c r="Y75" s="18" t="n">
        <v>-1317.72</v>
      </c>
      <c r="Z75" s="37" t="n">
        <v>-11428.27</v>
      </c>
      <c r="AA75" s="18" t="n">
        <v>-1756.84</v>
      </c>
      <c r="AB75" s="19" t="n">
        <v>-2913.63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기타영업외손익</t>
        </is>
      </c>
      <c r="E76" s="18" t="n">
        <v>857</v>
      </c>
      <c r="F76" s="9" t="n"/>
      <c r="G76" s="18" t="n">
        <v>-344</v>
      </c>
      <c r="H76" s="18" t="n">
        <v>-656</v>
      </c>
      <c r="I76" s="18" t="n">
        <v>1720</v>
      </c>
      <c r="J76" s="18" t="n">
        <v>-12746</v>
      </c>
      <c r="K76" s="37" t="n">
        <v>-12026</v>
      </c>
      <c r="L76" s="18" t="n">
        <v>2257</v>
      </c>
      <c r="M76" s="18" t="n">
        <v>1049</v>
      </c>
      <c r="N76" s="18" t="n">
        <v>273</v>
      </c>
      <c r="O76" s="18" t="n">
        <v>189</v>
      </c>
      <c r="P76" s="37" t="n">
        <v>3768</v>
      </c>
      <c r="Q76" s="18" t="n">
        <v>109</v>
      </c>
      <c r="R76" s="18" t="n">
        <v>44</v>
      </c>
      <c r="S76" s="18" t="n">
        <v>-176</v>
      </c>
      <c r="T76" s="18" t="n">
        <v>335.77</v>
      </c>
      <c r="U76" s="37" t="n">
        <v>312.77</v>
      </c>
      <c r="V76" s="18" t="n">
        <v>88.67</v>
      </c>
      <c r="W76" s="18" t="n">
        <v>267.76</v>
      </c>
      <c r="X76" s="18" t="n">
        <v>106.87</v>
      </c>
      <c r="Y76" s="18" t="n">
        <v>3210.74</v>
      </c>
      <c r="Z76" s="37" t="n">
        <v>3674.04</v>
      </c>
      <c r="AA76" s="18" t="n">
        <v>251.7</v>
      </c>
      <c r="AB76" s="19" t="n">
        <v>1169.12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계속사업이익</t>
        </is>
      </c>
      <c r="E77" s="18" t="n">
        <v>4286</v>
      </c>
      <c r="F77" s="9" t="n"/>
      <c r="G77" s="18" t="n">
        <v>-2968</v>
      </c>
      <c r="H77" s="18" t="n">
        <v>-1233</v>
      </c>
      <c r="I77" s="18" t="n">
        <v>-6365</v>
      </c>
      <c r="J77" s="18" t="n">
        <v>-16116</v>
      </c>
      <c r="K77" s="37" t="n">
        <v>-26682</v>
      </c>
      <c r="L77" s="18" t="n">
        <v>-3183</v>
      </c>
      <c r="M77" s="18" t="n">
        <v>2013</v>
      </c>
      <c r="P77" s="9" t="n"/>
      <c r="Q77" s="18" t="n">
        <v>2402</v>
      </c>
      <c r="R77" s="18" t="n">
        <v>15868</v>
      </c>
      <c r="S77" s="18" t="n">
        <v>2234</v>
      </c>
      <c r="T77" s="18" t="n">
        <v>6713.79</v>
      </c>
      <c r="U77" s="37" t="n">
        <v>27217.79</v>
      </c>
      <c r="V77" s="18" t="n">
        <v>10546.67</v>
      </c>
      <c r="W77" s="18" t="n">
        <v>29714.15</v>
      </c>
      <c r="X77" s="18" t="n">
        <v>14049.84</v>
      </c>
      <c r="Y77" s="18" t="n">
        <v>14637.56</v>
      </c>
      <c r="Z77" s="37" t="n">
        <v>68948.22</v>
      </c>
      <c r="AA77" s="18" t="n">
        <v>16667.61</v>
      </c>
      <c r="AB77" s="19" t="n">
        <v>22156.31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(비지배주주지분)당기순이익</t>
        </is>
      </c>
      <c r="F78" s="9" t="n"/>
      <c r="K78" s="9" t="n"/>
      <c r="P78" s="9" t="n"/>
      <c r="U78" s="9" t="n"/>
      <c r="V78" s="18" t="n">
        <v>0</v>
      </c>
      <c r="W78" s="18" t="n">
        <v>0</v>
      </c>
      <c r="Z78" s="9" t="n"/>
      <c r="AA78" s="18" t="n">
        <v>0</v>
      </c>
      <c r="AB78" s="19" t="n">
        <v>0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이자수익</t>
        </is>
      </c>
      <c r="F79" s="9" t="n"/>
      <c r="K79" s="9" t="n"/>
      <c r="P79" s="9" t="n"/>
      <c r="U79" s="9" t="n"/>
      <c r="V79" s="18" t="n">
        <v>576.6799999999999</v>
      </c>
      <c r="W79" s="18" t="n">
        <v>400.92</v>
      </c>
      <c r="X79" s="18" t="n">
        <v>922.1</v>
      </c>
      <c r="Y79" s="18" t="n">
        <v>987.34</v>
      </c>
      <c r="Z79" s="37" t="n">
        <v>2887.04</v>
      </c>
      <c r="AA79" s="18" t="n">
        <v>1064.78</v>
      </c>
      <c r="AB79" s="19" t="n">
        <v>789.85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이자비용</t>
        </is>
      </c>
      <c r="F80" s="9" t="n"/>
      <c r="K80" s="9" t="n"/>
      <c r="P80" s="9" t="n"/>
      <c r="U80" s="9" t="n"/>
      <c r="V80" s="18" t="n">
        <v>3462.5</v>
      </c>
      <c r="W80" s="18" t="n">
        <v>3010.97</v>
      </c>
      <c r="X80" s="18" t="n">
        <v>3040.12</v>
      </c>
      <c r="Y80" s="18" t="n">
        <v>3046.07</v>
      </c>
      <c r="Z80" s="37" t="n">
        <v>12559.66</v>
      </c>
      <c r="AA80" s="18" t="n">
        <v>2998.65</v>
      </c>
      <c r="AB80" s="19" t="n">
        <v>3144.86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외환차익</t>
        </is>
      </c>
      <c r="F81" s="9" t="n"/>
      <c r="K81" s="9" t="n"/>
      <c r="P81" s="9" t="n"/>
      <c r="U81" s="9" t="n"/>
      <c r="V81" s="18" t="n">
        <v>5809.42</v>
      </c>
      <c r="W81" s="18" t="n">
        <v>3862.33</v>
      </c>
      <c r="X81" s="18" t="n">
        <v>3295.81</v>
      </c>
      <c r="Y81" s="18" t="n">
        <v>3510.15</v>
      </c>
      <c r="Z81" s="37" t="n">
        <v>16477.71</v>
      </c>
      <c r="AA81" s="18" t="n">
        <v>3089.73</v>
      </c>
      <c r="AB81" s="19" t="n">
        <v>3226.71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외환차손</t>
        </is>
      </c>
      <c r="F82" s="9" t="n"/>
      <c r="K82" s="9" t="n"/>
      <c r="P82" s="9" t="n"/>
      <c r="U82" s="9" t="n"/>
      <c r="V82" s="18" t="n">
        <v>6418.45</v>
      </c>
      <c r="W82" s="18" t="n">
        <v>6115.47</v>
      </c>
      <c r="X82" s="18" t="n">
        <v>3773.07</v>
      </c>
      <c r="Y82" s="18" t="n">
        <v>5374.45</v>
      </c>
      <c r="Z82" s="37" t="n">
        <v>21681.44</v>
      </c>
      <c r="AA82" s="18" t="n">
        <v>2962.93</v>
      </c>
      <c r="AB82" s="19" t="n">
        <v>4245.05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외화환산이익</t>
        </is>
      </c>
      <c r="F83" s="9" t="n"/>
      <c r="K83" s="9" t="n"/>
      <c r="P83" s="9" t="n"/>
      <c r="U83" s="9" t="n"/>
      <c r="V83" s="18" t="n">
        <v>437.15</v>
      </c>
      <c r="W83" s="18" t="n">
        <v>517.77</v>
      </c>
      <c r="X83" s="18" t="n">
        <v>-32.47</v>
      </c>
      <c r="Y83" s="18" t="n">
        <v>506.15</v>
      </c>
      <c r="Z83" s="37" t="n">
        <v>1428.6</v>
      </c>
      <c r="AA83" s="18" t="n">
        <v>1833.46</v>
      </c>
      <c r="AB83" s="19" t="n">
        <v>-339.54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외화환산손실</t>
        </is>
      </c>
      <c r="F84" s="9" t="n"/>
      <c r="K84" s="9" t="n"/>
      <c r="P84" s="9" t="n"/>
      <c r="U84" s="9" t="n"/>
      <c r="V84" s="18" t="n">
        <v>4165.37</v>
      </c>
      <c r="W84" s="18" t="n">
        <v>-558.36</v>
      </c>
      <c r="X84" s="18" t="n">
        <v>170.33</v>
      </c>
      <c r="Y84" s="18" t="n">
        <v>-1258.24</v>
      </c>
      <c r="Z84" s="37" t="n">
        <v>2519.1</v>
      </c>
      <c r="AA84" s="18" t="n">
        <v>3044.6</v>
      </c>
      <c r="AB84" s="19" t="n">
        <v>528.01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파생상품이익</t>
        </is>
      </c>
      <c r="F85" s="9" t="n"/>
      <c r="K85" s="9" t="n"/>
      <c r="P85" s="9" t="n"/>
      <c r="U85" s="9" t="n"/>
      <c r="V85" s="18" t="n">
        <v>2084.44</v>
      </c>
      <c r="W85" s="18" t="n">
        <v>439.39</v>
      </c>
      <c r="X85" s="18" t="n">
        <v>1274.73</v>
      </c>
      <c r="Y85" s="18" t="n">
        <v>1191.65</v>
      </c>
      <c r="Z85" s="37" t="n">
        <v>4990.21</v>
      </c>
      <c r="AA85" s="18" t="n">
        <v>1261.37</v>
      </c>
      <c r="AB85" s="19" t="n">
        <v>1327.25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파생상품손실</t>
        </is>
      </c>
      <c r="F86" s="9" t="n"/>
      <c r="K86" s="9" t="n"/>
      <c r="P86" s="9" t="n"/>
      <c r="U86" s="9" t="n"/>
      <c r="V86" s="18" t="n">
        <v>100.87</v>
      </c>
      <c r="W86" s="18" t="n">
        <v>136.47</v>
      </c>
      <c r="X86" s="18" t="n">
        <v>-136.47</v>
      </c>
      <c r="Y86" s="18" t="n">
        <v>365.37</v>
      </c>
      <c r="Z86" s="37" t="n">
        <v>466.24</v>
      </c>
      <c r="AA86" s="18" t="n">
        <v>0</v>
      </c>
      <c r="AB86" s="19" t="n">
        <v>0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이자손익</t>
        </is>
      </c>
      <c r="F87" s="9" t="n"/>
      <c r="K87" s="9" t="n"/>
      <c r="P87" s="9" t="n"/>
      <c r="U87" s="9" t="n"/>
      <c r="V87" s="18" t="n">
        <v>-2885.82</v>
      </c>
      <c r="W87" s="18" t="n">
        <v>-2610.05</v>
      </c>
      <c r="X87" s="18" t="n">
        <v>-2118.02</v>
      </c>
      <c r="Y87" s="18" t="n">
        <v>-2058.73</v>
      </c>
      <c r="Z87" s="37" t="n">
        <v>-9672.620000000001</v>
      </c>
      <c r="AA87" s="18" t="n">
        <v>-1933.87</v>
      </c>
      <c r="AB87" s="19" t="n">
        <v>-2355.01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영업활동으로인한현금흐름</t>
        </is>
      </c>
      <c r="E88" s="18" t="n">
        <v>10623</v>
      </c>
      <c r="F88" s="9" t="n"/>
      <c r="G88" s="18" t="n">
        <v>22413</v>
      </c>
      <c r="H88" s="18" t="n">
        <v>-15740</v>
      </c>
      <c r="I88" s="18" t="n">
        <v>-17870</v>
      </c>
      <c r="J88" s="18" t="n">
        <v>37775</v>
      </c>
      <c r="K88" s="37" t="n">
        <v>26578</v>
      </c>
      <c r="L88" s="18" t="n">
        <v>-29292</v>
      </c>
      <c r="M88" s="18" t="n">
        <v>14728</v>
      </c>
      <c r="N88" s="18" t="n">
        <v>-20107</v>
      </c>
      <c r="O88" s="18" t="n">
        <v>21394</v>
      </c>
      <c r="P88" s="37" t="n">
        <v>-13277</v>
      </c>
      <c r="Q88" s="18" t="n">
        <v>-12374</v>
      </c>
      <c r="R88" s="18" t="n">
        <v>-17487</v>
      </c>
      <c r="S88" s="18" t="n">
        <v>-1349</v>
      </c>
      <c r="T88" s="18" t="n">
        <v>67922.2</v>
      </c>
      <c r="U88" s="37" t="n">
        <v>36712.2</v>
      </c>
      <c r="V88" s="18" t="n">
        <v>-46156.78</v>
      </c>
      <c r="W88" s="18" t="n">
        <v>59531.99</v>
      </c>
      <c r="X88" s="18" t="n">
        <v>58318.39</v>
      </c>
      <c r="Y88" s="18" t="n">
        <v>1177.45</v>
      </c>
      <c r="Z88" s="37" t="n">
        <v>72871.05</v>
      </c>
      <c r="AA88" s="18" t="n">
        <v>-76331.59</v>
      </c>
      <c r="AB88" s="19" t="n">
        <v>19318.66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이자수취(CF)</t>
        </is>
      </c>
      <c r="E89" s="18" t="n">
        <v>123</v>
      </c>
      <c r="F89" s="9" t="n"/>
      <c r="G89" s="18" t="n">
        <v>179</v>
      </c>
      <c r="H89" s="18" t="n">
        <v>199</v>
      </c>
      <c r="I89" s="18" t="n">
        <v>263</v>
      </c>
      <c r="J89" s="18" t="n">
        <v>406</v>
      </c>
      <c r="K89" s="37" t="n">
        <v>1047</v>
      </c>
      <c r="L89" s="18" t="n">
        <v>562</v>
      </c>
      <c r="M89" s="18" t="n">
        <v>681</v>
      </c>
      <c r="N89" s="18" t="n">
        <v>490</v>
      </c>
      <c r="O89" s="18" t="n">
        <v>540</v>
      </c>
      <c r="P89" s="37" t="n">
        <v>2273</v>
      </c>
      <c r="Q89" s="18" t="n">
        <v>755</v>
      </c>
      <c r="R89" s="18" t="n">
        <v>850</v>
      </c>
      <c r="S89" s="18" t="n">
        <v>821</v>
      </c>
      <c r="T89" s="18" t="n">
        <v>766.36</v>
      </c>
      <c r="U89" s="37" t="n">
        <v>3192.36</v>
      </c>
      <c r="V89" s="18" t="n">
        <v>708.77</v>
      </c>
      <c r="W89" s="18" t="n">
        <v>519.1</v>
      </c>
      <c r="X89" s="18" t="n">
        <v>796.51</v>
      </c>
      <c r="Y89" s="18" t="n">
        <v>934.38</v>
      </c>
      <c r="Z89" s="37" t="n">
        <v>2958.76</v>
      </c>
      <c r="AA89" s="18" t="n">
        <v>790.1</v>
      </c>
      <c r="AB89" s="19" t="n">
        <v>814.35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법인세납부(CF)</t>
        </is>
      </c>
      <c r="E90" s="18" t="n">
        <v>-19</v>
      </c>
      <c r="F90" s="9" t="n"/>
      <c r="G90" s="18" t="n">
        <v>-49</v>
      </c>
      <c r="H90" s="18" t="n">
        <v>-233</v>
      </c>
      <c r="I90" s="18" t="n">
        <v>-235</v>
      </c>
      <c r="J90" s="18" t="n">
        <v>-167</v>
      </c>
      <c r="K90" s="37" t="n">
        <v>-684</v>
      </c>
      <c r="L90" s="18" t="n">
        <v>-403</v>
      </c>
      <c r="M90" s="18" t="n">
        <v>-578</v>
      </c>
      <c r="N90" s="18" t="n">
        <v>-74</v>
      </c>
      <c r="O90" s="18" t="n">
        <v>485</v>
      </c>
      <c r="P90" s="37" t="n">
        <v>-570</v>
      </c>
      <c r="Q90" s="18" t="n">
        <v>-987</v>
      </c>
      <c r="R90" s="18" t="n">
        <v>-151</v>
      </c>
      <c r="S90" s="18" t="n">
        <v>458</v>
      </c>
      <c r="T90" s="18" t="n">
        <v>-126.56</v>
      </c>
      <c r="U90" s="37" t="n">
        <v>-806.5599999999999</v>
      </c>
      <c r="V90" s="18" t="n">
        <v>-579.24</v>
      </c>
      <c r="W90" s="18" t="n">
        <v>-199.74</v>
      </c>
      <c r="X90" s="18" t="n">
        <v>-181.13</v>
      </c>
      <c r="Y90" s="18" t="n">
        <v>-404.22</v>
      </c>
      <c r="Z90" s="37" t="n">
        <v>-1364.33</v>
      </c>
      <c r="AA90" s="18" t="n">
        <v>-718.13</v>
      </c>
      <c r="AB90" s="19" t="n">
        <v>-437.46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투자활동으로인한현금흐름</t>
        </is>
      </c>
      <c r="E91" s="18" t="n">
        <v>-4004</v>
      </c>
      <c r="F91" s="9" t="n"/>
      <c r="G91" s="18" t="n">
        <v>-1864</v>
      </c>
      <c r="H91" s="18" t="n">
        <v>-1747</v>
      </c>
      <c r="I91" s="18" t="n">
        <v>-1328</v>
      </c>
      <c r="J91" s="18" t="n">
        <v>-10286</v>
      </c>
      <c r="K91" s="37" t="n">
        <v>-15225</v>
      </c>
      <c r="L91" s="18" t="n">
        <v>-2713</v>
      </c>
      <c r="M91" s="18" t="n">
        <v>2675</v>
      </c>
      <c r="N91" s="18" t="n">
        <v>7226</v>
      </c>
      <c r="O91" s="18" t="n">
        <v>-3524</v>
      </c>
      <c r="P91" s="37" t="n">
        <v>3664</v>
      </c>
      <c r="Q91" s="18" t="n">
        <v>-1304</v>
      </c>
      <c r="R91" s="18" t="n">
        <v>-2574</v>
      </c>
      <c r="S91" s="18" t="n">
        <v>-4842</v>
      </c>
      <c r="T91" s="18" t="n">
        <v>-6178.13</v>
      </c>
      <c r="U91" s="37" t="n">
        <v>-14898.13</v>
      </c>
      <c r="V91" s="18" t="n">
        <v>-3405.46</v>
      </c>
      <c r="W91" s="18" t="n">
        <v>-3982.16</v>
      </c>
      <c r="X91" s="18" t="n">
        <v>-8356.719999999999</v>
      </c>
      <c r="Y91" s="18" t="n">
        <v>-10864.63</v>
      </c>
      <c r="Z91" s="37" t="n">
        <v>-26608.97</v>
      </c>
      <c r="AA91" s="18" t="n">
        <v>-12043.6</v>
      </c>
      <c r="AB91" s="19" t="n">
        <v>-3810.84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유형자산의감소</t>
        </is>
      </c>
      <c r="E92" s="18" t="n">
        <v>2</v>
      </c>
      <c r="F92" s="9" t="n"/>
      <c r="G92" s="18" t="n">
        <v>16</v>
      </c>
      <c r="H92" s="18" t="n">
        <v>1</v>
      </c>
      <c r="I92" s="18" t="n">
        <v>0</v>
      </c>
      <c r="J92" s="18" t="n">
        <v>0</v>
      </c>
      <c r="K92" s="37" t="n">
        <v>17</v>
      </c>
      <c r="L92" s="18" t="n">
        <v>8</v>
      </c>
      <c r="M92" s="18" t="n">
        <v>49</v>
      </c>
      <c r="N92" s="18" t="n">
        <v>41</v>
      </c>
      <c r="O92" s="18" t="n">
        <v>36</v>
      </c>
      <c r="P92" s="37" t="n">
        <v>134</v>
      </c>
      <c r="U92" s="9" t="n"/>
      <c r="X92" s="18" t="n">
        <v>0</v>
      </c>
      <c r="Y92" s="18" t="n">
        <v>0</v>
      </c>
      <c r="Z92" s="9" t="n"/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무형자산의감소</t>
        </is>
      </c>
      <c r="E93" s="18" t="n">
        <v>0</v>
      </c>
      <c r="F93" s="9" t="n"/>
      <c r="K93" s="9" t="n"/>
      <c r="O93" s="18" t="n">
        <v>0</v>
      </c>
      <c r="P93" s="9" t="n"/>
      <c r="U93" s="9" t="n"/>
      <c r="Z93" s="9" t="n"/>
      <c r="AB93" s="5" t="n"/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유형자산의증가</t>
        </is>
      </c>
      <c r="E94" s="18" t="n">
        <v>4056</v>
      </c>
      <c r="F94" s="9" t="n"/>
      <c r="G94" s="18" t="n">
        <v>2839</v>
      </c>
      <c r="H94" s="18" t="n">
        <v>1627</v>
      </c>
      <c r="I94" s="18" t="n">
        <v>1350</v>
      </c>
      <c r="J94" s="18" t="n">
        <v>6375</v>
      </c>
      <c r="K94" s="37" t="n">
        <v>12191</v>
      </c>
      <c r="L94" s="18" t="n">
        <v>2140</v>
      </c>
      <c r="M94" s="18" t="n">
        <v>1654</v>
      </c>
      <c r="N94" s="18" t="n">
        <v>2441</v>
      </c>
      <c r="O94" s="18" t="n">
        <v>2452</v>
      </c>
      <c r="P94" s="37" t="n">
        <v>8687</v>
      </c>
      <c r="Q94" s="18" t="n">
        <v>1497</v>
      </c>
      <c r="R94" s="18" t="n">
        <v>1154</v>
      </c>
      <c r="S94" s="18" t="n">
        <v>2444</v>
      </c>
      <c r="T94" s="18" t="n">
        <v>4076.71</v>
      </c>
      <c r="U94" s="37" t="n">
        <v>9171.709999999999</v>
      </c>
      <c r="V94" s="18" t="n">
        <v>1803.95</v>
      </c>
      <c r="W94" s="18" t="n">
        <v>2075.63</v>
      </c>
      <c r="X94" s="18" t="n">
        <v>2292.47</v>
      </c>
      <c r="Y94" s="18" t="n">
        <v>3740.95</v>
      </c>
      <c r="Z94" s="37" t="n">
        <v>9913</v>
      </c>
      <c r="AA94" s="18" t="n">
        <v>4123.91</v>
      </c>
      <c r="AB94" s="19" t="n">
        <v>3655.7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CAPEX</t>
        </is>
      </c>
      <c r="E95" s="18" t="n">
        <v>4352</v>
      </c>
      <c r="F95" s="9" t="n"/>
      <c r="G95" s="18" t="n">
        <v>2845</v>
      </c>
      <c r="H95" s="18" t="n">
        <v>1872</v>
      </c>
      <c r="I95" s="18" t="n">
        <v>1351</v>
      </c>
      <c r="J95" s="18" t="n">
        <v>6613</v>
      </c>
      <c r="K95" s="37" t="n">
        <v>12681</v>
      </c>
      <c r="L95" s="18" t="n">
        <v>2346</v>
      </c>
      <c r="M95" s="18" t="n">
        <v>5924</v>
      </c>
      <c r="N95" s="18" t="n">
        <v>2814</v>
      </c>
      <c r="O95" s="18" t="n">
        <v>4855</v>
      </c>
      <c r="P95" s="37" t="n">
        <v>15939</v>
      </c>
      <c r="Q95" s="18" t="n">
        <v>1691</v>
      </c>
      <c r="R95" s="18" t="n">
        <v>2529</v>
      </c>
      <c r="S95" s="18" t="n">
        <v>4840</v>
      </c>
      <c r="T95" s="18" t="n">
        <v>9289.530000000001</v>
      </c>
      <c r="U95" s="37" t="n">
        <v>18349.53</v>
      </c>
      <c r="V95" s="18" t="n">
        <v>3348.64</v>
      </c>
      <c r="W95" s="18" t="n">
        <v>2805.15</v>
      </c>
      <c r="X95" s="18" t="n">
        <v>6618.52</v>
      </c>
      <c r="Y95" s="18" t="n">
        <v>6193.4</v>
      </c>
      <c r="Z95" s="37" t="n">
        <v>18965.71</v>
      </c>
      <c r="AA95" s="18" t="n">
        <v>4193.54</v>
      </c>
      <c r="AB95" s="19" t="n">
        <v>4460.18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무형자산의증가</t>
        </is>
      </c>
      <c r="E96" s="18" t="n">
        <v>296</v>
      </c>
      <c r="F96" s="9" t="n"/>
      <c r="G96" s="18" t="n">
        <v>6</v>
      </c>
      <c r="H96" s="18" t="n">
        <v>245</v>
      </c>
      <c r="I96" s="18" t="n">
        <v>1</v>
      </c>
      <c r="J96" s="18" t="n">
        <v>238</v>
      </c>
      <c r="K96" s="37" t="n">
        <v>490</v>
      </c>
      <c r="L96" s="18" t="n">
        <v>206</v>
      </c>
      <c r="M96" s="18" t="n">
        <v>4270</v>
      </c>
      <c r="N96" s="18" t="n">
        <v>373</v>
      </c>
      <c r="O96" s="18" t="n">
        <v>2403</v>
      </c>
      <c r="P96" s="37" t="n">
        <v>7252</v>
      </c>
      <c r="Q96" s="18" t="n">
        <v>194</v>
      </c>
      <c r="R96" s="18" t="n">
        <v>1375</v>
      </c>
      <c r="S96" s="18" t="n">
        <v>2396</v>
      </c>
      <c r="T96" s="18" t="n">
        <v>5212.82</v>
      </c>
      <c r="U96" s="37" t="n">
        <v>9177.82</v>
      </c>
      <c r="V96" s="18" t="n">
        <v>1544.69</v>
      </c>
      <c r="W96" s="18" t="n">
        <v>729.52</v>
      </c>
      <c r="X96" s="18" t="n">
        <v>4326.05</v>
      </c>
      <c r="Y96" s="18" t="n">
        <v>2452.45</v>
      </c>
      <c r="Z96" s="37" t="n">
        <v>9052.709999999999</v>
      </c>
      <c r="AA96" s="18" t="n">
        <v>69.63</v>
      </c>
      <c r="AB96" s="19" t="n">
        <v>804.48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재무활동으로인한현금흐름</t>
        </is>
      </c>
      <c r="E97" s="18" t="n">
        <v>-4942</v>
      </c>
      <c r="F97" s="9" t="n"/>
      <c r="G97" s="18" t="n">
        <v>-15747</v>
      </c>
      <c r="H97" s="18" t="n">
        <v>-15216</v>
      </c>
      <c r="I97" s="18" t="n">
        <v>-1336</v>
      </c>
      <c r="J97" s="18" t="n">
        <v>4482</v>
      </c>
      <c r="K97" s="37" t="n">
        <v>-27817</v>
      </c>
      <c r="L97" s="18" t="n">
        <v>6953</v>
      </c>
      <c r="M97" s="18" t="n">
        <v>-9276</v>
      </c>
      <c r="N97" s="18" t="n">
        <v>-819</v>
      </c>
      <c r="O97" s="18" t="n">
        <v>10922</v>
      </c>
      <c r="P97" s="37" t="n">
        <v>7780</v>
      </c>
      <c r="Q97" s="18" t="n">
        <v>31980</v>
      </c>
      <c r="R97" s="18" t="n">
        <v>16235</v>
      </c>
      <c r="S97" s="18" t="n">
        <v>3587</v>
      </c>
      <c r="T97" s="18" t="n">
        <v>-29864</v>
      </c>
      <c r="U97" s="37" t="n">
        <v>21938</v>
      </c>
      <c r="V97" s="18" t="n">
        <v>-37647.71</v>
      </c>
      <c r="W97" s="18" t="n">
        <v>9555.040000000001</v>
      </c>
      <c r="X97" s="18" t="n">
        <v>7400.18</v>
      </c>
      <c r="Y97" s="18" t="n">
        <v>6846.89</v>
      </c>
      <c r="Z97" s="37" t="n">
        <v>-13845.6</v>
      </c>
      <c r="AA97" s="18" t="n">
        <v>33688.69</v>
      </c>
      <c r="AB97" s="19" t="n">
        <v>-11849.37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차입금의증가</t>
        </is>
      </c>
      <c r="E98" s="18" t="n">
        <v>20587</v>
      </c>
      <c r="F98" s="9" t="n"/>
      <c r="G98" s="18" t="n">
        <v>16172</v>
      </c>
      <c r="H98" s="18" t="n">
        <v>16355</v>
      </c>
      <c r="I98" s="18" t="n">
        <v>27368</v>
      </c>
      <c r="J98" s="18" t="n">
        <v>42367</v>
      </c>
      <c r="K98" s="37" t="n">
        <v>102262</v>
      </c>
      <c r="L98" s="18" t="n">
        <v>31430</v>
      </c>
      <c r="M98" s="18" t="n">
        <v>17223</v>
      </c>
      <c r="N98" s="18" t="n">
        <v>27781</v>
      </c>
      <c r="O98" s="18" t="n">
        <v>39836</v>
      </c>
      <c r="P98" s="37" t="n">
        <v>116270</v>
      </c>
      <c r="Q98" s="18" t="n">
        <v>57603</v>
      </c>
      <c r="R98" s="18" t="n">
        <v>45824</v>
      </c>
      <c r="S98" s="18" t="n">
        <v>54976</v>
      </c>
      <c r="T98" s="18" t="n">
        <v>39763.36</v>
      </c>
      <c r="U98" s="37" t="n">
        <v>198166.36</v>
      </c>
      <c r="V98" s="18" t="n">
        <v>31485.56</v>
      </c>
      <c r="W98" s="18" t="n">
        <v>66430.27</v>
      </c>
      <c r="X98" s="18" t="n">
        <v>48797.62</v>
      </c>
      <c r="Y98" s="18" t="n">
        <v>53985.05</v>
      </c>
      <c r="Z98" s="37" t="n">
        <v>200698.5</v>
      </c>
      <c r="AA98" s="18" t="n">
        <v>55996.23</v>
      </c>
      <c r="AB98" s="19" t="n">
        <v>70864.23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차입금의감소</t>
        </is>
      </c>
      <c r="E99" s="18" t="n">
        <v>23472</v>
      </c>
      <c r="F99" s="9" t="n"/>
      <c r="G99" s="18" t="n">
        <v>29714</v>
      </c>
      <c r="H99" s="18" t="n">
        <v>29251</v>
      </c>
      <c r="I99" s="18" t="n">
        <v>26233</v>
      </c>
      <c r="J99" s="18" t="n">
        <v>36891</v>
      </c>
      <c r="K99" s="37" t="n">
        <v>122089</v>
      </c>
      <c r="L99" s="18" t="n">
        <v>21774</v>
      </c>
      <c r="M99" s="18" t="n">
        <v>23278</v>
      </c>
      <c r="N99" s="18" t="n">
        <v>26088</v>
      </c>
      <c r="O99" s="18" t="n">
        <v>23959</v>
      </c>
      <c r="P99" s="37" t="n">
        <v>95099</v>
      </c>
      <c r="Q99" s="18" t="n">
        <v>20037</v>
      </c>
      <c r="R99" s="18" t="n">
        <v>23849</v>
      </c>
      <c r="S99" s="18" t="n">
        <v>46830</v>
      </c>
      <c r="T99" s="18" t="n">
        <v>62068.43</v>
      </c>
      <c r="U99" s="37" t="n">
        <v>152784.43</v>
      </c>
      <c r="V99" s="18" t="n">
        <v>61680.16</v>
      </c>
      <c r="W99" s="18" t="n">
        <v>53031.07</v>
      </c>
      <c r="X99" s="18" t="n">
        <v>38603.34</v>
      </c>
      <c r="Y99" s="18" t="n">
        <v>47787.13</v>
      </c>
      <c r="Z99" s="37" t="n">
        <v>201101.7</v>
      </c>
      <c r="AA99" s="18" t="n">
        <v>19778.46</v>
      </c>
      <c r="AB99" s="19" t="n">
        <v>80909.11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리스부채의상환</t>
        </is>
      </c>
      <c r="E100" s="18" t="n">
        <v>350</v>
      </c>
      <c r="F100" s="9" t="n"/>
      <c r="G100" s="18" t="n">
        <v>354</v>
      </c>
      <c r="H100" s="18" t="n">
        <v>330</v>
      </c>
      <c r="I100" s="18" t="n">
        <v>788</v>
      </c>
      <c r="K100" s="9" t="n"/>
      <c r="L100" s="18" t="n">
        <v>409</v>
      </c>
      <c r="M100" s="18" t="n">
        <v>411</v>
      </c>
      <c r="N100" s="18" t="n">
        <v>434</v>
      </c>
      <c r="O100" s="18" t="n">
        <v>438</v>
      </c>
      <c r="P100" s="37" t="n">
        <v>1692</v>
      </c>
      <c r="Q100" s="18" t="n">
        <v>425</v>
      </c>
      <c r="R100" s="18" t="n">
        <v>404</v>
      </c>
      <c r="S100" s="18" t="n">
        <v>463</v>
      </c>
      <c r="T100" s="18" t="n">
        <v>468.43</v>
      </c>
      <c r="U100" s="37" t="n">
        <v>1760.43</v>
      </c>
      <c r="V100" s="18" t="n">
        <v>482.26</v>
      </c>
      <c r="W100" s="18" t="n">
        <v>472.72</v>
      </c>
      <c r="X100" s="18" t="n">
        <v>494.78</v>
      </c>
      <c r="Y100" s="18" t="n">
        <v>499.92</v>
      </c>
      <c r="Z100" s="37" t="n">
        <v>1949.68</v>
      </c>
      <c r="AA100" s="18" t="n">
        <v>505.42</v>
      </c>
      <c r="AB100" s="19" t="n">
        <v>514.65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이자지급(CF)</t>
        </is>
      </c>
      <c r="E101" s="18" t="n">
        <v>-1506</v>
      </c>
      <c r="F101" s="9" t="n"/>
      <c r="G101" s="18" t="n">
        <v>-1616</v>
      </c>
      <c r="H101" s="18" t="n">
        <v>-1787</v>
      </c>
      <c r="I101" s="18" t="n">
        <v>-1911</v>
      </c>
      <c r="J101" s="18" t="n">
        <v>-2401</v>
      </c>
      <c r="K101" s="37" t="n">
        <v>-7715</v>
      </c>
      <c r="L101" s="18" t="n">
        <v>-2632</v>
      </c>
      <c r="M101" s="18" t="n">
        <v>-2707</v>
      </c>
      <c r="N101" s="18" t="n">
        <v>-2577</v>
      </c>
      <c r="O101" s="18" t="n">
        <v>-4377</v>
      </c>
      <c r="P101" s="37" t="n">
        <v>-12293</v>
      </c>
      <c r="Q101" s="18" t="n">
        <v>-3486</v>
      </c>
      <c r="R101" s="18" t="n">
        <v>-3471</v>
      </c>
      <c r="S101" s="18" t="n">
        <v>-3891</v>
      </c>
      <c r="T101" s="18" t="n">
        <v>-4378.41</v>
      </c>
      <c r="U101" s="37" t="n">
        <v>-15226.41</v>
      </c>
      <c r="V101" s="18" t="n">
        <v>-4699.27</v>
      </c>
      <c r="W101" s="18" t="n">
        <v>-3804.76</v>
      </c>
      <c r="X101" s="18" t="n">
        <v>-3280.91</v>
      </c>
      <c r="Y101" s="18" t="n">
        <v>-3637.66</v>
      </c>
      <c r="Z101" s="37" t="n">
        <v>-15422.6</v>
      </c>
      <c r="AA101" s="18" t="n">
        <v>-2387.88</v>
      </c>
      <c r="AB101" s="19" t="n">
        <v>-3035.56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현금및현금성자산의증감</t>
        </is>
      </c>
      <c r="E102" s="18" t="n">
        <v>1635</v>
      </c>
      <c r="F102" s="9" t="n"/>
      <c r="G102" s="18" t="n">
        <v>4830</v>
      </c>
      <c r="H102" s="18" t="n">
        <v>-32628</v>
      </c>
      <c r="I102" s="18" t="n">
        <v>-20241</v>
      </c>
      <c r="J102" s="18" t="n">
        <v>31629</v>
      </c>
      <c r="K102" s="37" t="n">
        <v>-16410</v>
      </c>
      <c r="L102" s="18" t="n">
        <v>-24865</v>
      </c>
      <c r="M102" s="18" t="n">
        <v>8104</v>
      </c>
      <c r="N102" s="18" t="n">
        <v>-13605</v>
      </c>
      <c r="O102" s="18" t="n">
        <v>28705</v>
      </c>
      <c r="P102" s="37" t="n">
        <v>-1661</v>
      </c>
      <c r="Q102" s="18" t="n">
        <v>18596</v>
      </c>
      <c r="R102" s="18" t="n">
        <v>-3516</v>
      </c>
      <c r="S102" s="18" t="n">
        <v>-3208</v>
      </c>
      <c r="T102" s="18" t="n">
        <v>31880.07</v>
      </c>
      <c r="U102" s="37" t="n">
        <v>43752.07</v>
      </c>
      <c r="V102" s="18" t="n">
        <v>-87209.95</v>
      </c>
      <c r="W102" s="18" t="n">
        <v>65104.87</v>
      </c>
      <c r="X102" s="18" t="n">
        <v>57361.85</v>
      </c>
      <c r="Y102" s="18" t="n">
        <v>-2840.29</v>
      </c>
      <c r="Z102" s="37" t="n">
        <v>32416.48</v>
      </c>
      <c r="AA102" s="18" t="n">
        <v>-54686.5</v>
      </c>
      <c r="AB102" s="19" t="n">
        <v>3658.45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기말현금및현금성자산</t>
        </is>
      </c>
      <c r="E103" s="18" t="n">
        <v>1635</v>
      </c>
      <c r="F103" s="9" t="n"/>
      <c r="G103" s="18" t="n">
        <v>109517</v>
      </c>
      <c r="H103" s="18" t="n">
        <v>-32628</v>
      </c>
      <c r="I103" s="18" t="n">
        <v>-20241</v>
      </c>
      <c r="J103" s="18" t="n">
        <v>31629</v>
      </c>
      <c r="K103" s="37" t="n">
        <v>88277</v>
      </c>
      <c r="L103" s="18" t="n">
        <v>63412</v>
      </c>
      <c r="M103" s="18" t="n">
        <v>8104</v>
      </c>
      <c r="N103" s="18" t="n">
        <v>-13605</v>
      </c>
      <c r="O103" s="18" t="n">
        <v>28705</v>
      </c>
      <c r="P103" s="37" t="n">
        <v>86616</v>
      </c>
      <c r="Q103" s="18" t="n">
        <v>105211</v>
      </c>
      <c r="R103" s="18" t="n">
        <v>-3516</v>
      </c>
      <c r="S103" s="18" t="n">
        <v>-3076</v>
      </c>
      <c r="T103" s="18" t="n">
        <v>32821.92</v>
      </c>
      <c r="U103" s="37" t="n">
        <v>131440.92</v>
      </c>
      <c r="V103" s="18" t="n">
        <v>44331.39</v>
      </c>
      <c r="W103" s="18" t="n">
        <v>64684.67</v>
      </c>
      <c r="X103" s="18" t="n">
        <v>58133.15</v>
      </c>
      <c r="Y103" s="18" t="n">
        <v>-3014.88</v>
      </c>
      <c r="Z103" s="37" t="n">
        <v>164134.33</v>
      </c>
      <c r="AA103" s="18" t="n">
        <v>110270.44</v>
      </c>
      <c r="AB103" s="19" t="n">
        <v>3964.92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STX엔진(별)</t>
        </is>
      </c>
      <c r="C3" s="2" t="inlineStr">
        <is>
          <t>UPDATE: 26-10-26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405872</v>
      </c>
      <c r="F5" s="37" t="n">
        <v>405872</v>
      </c>
      <c r="G5" s="18" t="n">
        <v>400593</v>
      </c>
      <c r="H5" s="18" t="n">
        <v>400955</v>
      </c>
      <c r="I5" s="18" t="n">
        <v>411164</v>
      </c>
      <c r="J5" s="18" t="n">
        <v>452931</v>
      </c>
      <c r="K5" s="37" t="n">
        <v>452931</v>
      </c>
      <c r="L5" s="18" t="n">
        <v>467142</v>
      </c>
      <c r="M5" s="18" t="n">
        <v>430434</v>
      </c>
      <c r="N5" s="18" t="n">
        <v>426456</v>
      </c>
      <c r="O5" s="18" t="n">
        <v>473638</v>
      </c>
      <c r="P5" s="37" t="n">
        <v>473638</v>
      </c>
      <c r="Q5" s="18" t="n">
        <v>552266</v>
      </c>
      <c r="R5" s="18" t="n">
        <v>570673</v>
      </c>
      <c r="S5" s="18" t="n">
        <v>545197</v>
      </c>
      <c r="T5" s="18" t="n">
        <v>527154.66</v>
      </c>
      <c r="U5" s="37" t="n">
        <v>527154.66</v>
      </c>
      <c r="V5" s="18" t="n">
        <v>497251.45</v>
      </c>
      <c r="W5" s="18" t="n">
        <v>606147.76</v>
      </c>
      <c r="X5" s="18" t="n">
        <v>638990.13</v>
      </c>
      <c r="Y5" s="18" t="n">
        <v>698966.09</v>
      </c>
      <c r="Z5" s="37" t="n">
        <v>698966.09</v>
      </c>
      <c r="AA5" s="18" t="n">
        <v>743955.36</v>
      </c>
      <c r="AB5" s="19" t="n">
        <v>748842.33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102715</v>
      </c>
      <c r="F6" s="37" t="n">
        <v>102715</v>
      </c>
      <c r="G6" s="18" t="n">
        <v>106855</v>
      </c>
      <c r="H6" s="18" t="n">
        <v>74388</v>
      </c>
      <c r="I6" s="18" t="n">
        <v>52061</v>
      </c>
      <c r="J6" s="18" t="n">
        <v>84255</v>
      </c>
      <c r="K6" s="37" t="n">
        <v>84255</v>
      </c>
      <c r="L6" s="18" t="n">
        <v>58442</v>
      </c>
      <c r="M6" s="18" t="n">
        <v>65990</v>
      </c>
      <c r="N6" s="18" t="n">
        <v>49445</v>
      </c>
      <c r="O6" s="18" t="n">
        <v>77545</v>
      </c>
      <c r="P6" s="37" t="n">
        <v>77545</v>
      </c>
      <c r="Q6" s="18" t="n">
        <v>98884</v>
      </c>
      <c r="R6" s="18" t="n">
        <v>96304</v>
      </c>
      <c r="S6" s="18" t="n">
        <v>88464</v>
      </c>
      <c r="T6" s="18" t="n">
        <v>122652.27</v>
      </c>
      <c r="U6" s="37" t="n">
        <v>122652.27</v>
      </c>
      <c r="V6" s="18" t="n">
        <v>36540.03</v>
      </c>
      <c r="W6" s="18" t="n">
        <v>101134.73</v>
      </c>
      <c r="X6" s="18" t="n">
        <v>156209.85</v>
      </c>
      <c r="Y6" s="18" t="n">
        <v>152795.42</v>
      </c>
      <c r="Z6" s="37" t="n">
        <v>152795.42</v>
      </c>
      <c r="AA6" s="18" t="n">
        <v>98302.8</v>
      </c>
      <c r="AB6" s="19" t="n">
        <v>100829.96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기타유동금융자산</t>
        </is>
      </c>
      <c r="E7" s="18" t="n">
        <v>1869</v>
      </c>
      <c r="F7" s="37" t="n">
        <v>1869</v>
      </c>
      <c r="G7" s="18" t="n">
        <v>1347</v>
      </c>
      <c r="H7" s="18" t="n">
        <v>1937</v>
      </c>
      <c r="I7" s="18" t="n">
        <v>1970</v>
      </c>
      <c r="K7" s="9" t="n"/>
      <c r="L7" s="18" t="n">
        <v>9311</v>
      </c>
      <c r="M7" s="18" t="n">
        <v>369</v>
      </c>
      <c r="N7" s="18" t="n">
        <v>246</v>
      </c>
      <c r="P7" s="9" t="n"/>
      <c r="U7" s="9" t="n"/>
      <c r="Z7" s="9" t="n"/>
      <c r="AB7" s="5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매출채권및기타채권</t>
        </is>
      </c>
      <c r="E8" s="18" t="n">
        <v>96356</v>
      </c>
      <c r="F8" s="37" t="n">
        <v>96356</v>
      </c>
      <c r="G8" s="18" t="n">
        <v>75272</v>
      </c>
      <c r="H8" s="18" t="n">
        <v>76904</v>
      </c>
      <c r="I8" s="18" t="n">
        <v>99940</v>
      </c>
      <c r="J8" s="18" t="n">
        <v>115691</v>
      </c>
      <c r="K8" s="37" t="n">
        <v>115691</v>
      </c>
      <c r="L8" s="18" t="n">
        <v>119120</v>
      </c>
      <c r="M8" s="18" t="n">
        <v>109020</v>
      </c>
      <c r="N8" s="18" t="n">
        <v>109440</v>
      </c>
      <c r="O8" s="18" t="n">
        <v>143338</v>
      </c>
      <c r="P8" s="37" t="n">
        <v>143338</v>
      </c>
      <c r="Q8" s="18" t="n">
        <v>101730</v>
      </c>
      <c r="R8" s="18" t="n">
        <v>121927</v>
      </c>
      <c r="S8" s="18" t="n">
        <v>124069</v>
      </c>
      <c r="T8" s="18" t="n">
        <v>91329.36</v>
      </c>
      <c r="U8" s="37" t="n">
        <v>91329.36</v>
      </c>
      <c r="V8" s="18" t="n">
        <v>99087.97</v>
      </c>
      <c r="W8" s="18" t="n">
        <v>137384.39</v>
      </c>
      <c r="X8" s="18" t="n">
        <v>97040.08</v>
      </c>
      <c r="Y8" s="18" t="n">
        <v>138447.21</v>
      </c>
      <c r="Z8" s="37" t="n">
        <v>138447.21</v>
      </c>
      <c r="AA8" s="18" t="n">
        <v>179257.1</v>
      </c>
      <c r="AB8" s="19" t="n">
        <v>134803.19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계약자산</t>
        </is>
      </c>
      <c r="E9" s="18" t="n">
        <v>3792</v>
      </c>
      <c r="F9" s="37" t="n">
        <v>3792</v>
      </c>
      <c r="G9" s="18" t="n">
        <v>5379</v>
      </c>
      <c r="H9" s="18" t="n">
        <v>8663</v>
      </c>
      <c r="I9" s="18" t="n">
        <v>10439</v>
      </c>
      <c r="J9" s="18" t="n">
        <v>7445</v>
      </c>
      <c r="K9" s="37" t="n">
        <v>7445</v>
      </c>
      <c r="L9" s="18" t="n">
        <v>14293</v>
      </c>
      <c r="M9" s="18" t="n">
        <v>13542</v>
      </c>
      <c r="N9" s="18" t="n">
        <v>13328</v>
      </c>
      <c r="O9" s="18" t="n">
        <v>6051</v>
      </c>
      <c r="P9" s="37" t="n">
        <v>6051</v>
      </c>
      <c r="Q9" s="18" t="n">
        <v>8170</v>
      </c>
      <c r="R9" s="18" t="n">
        <v>8362</v>
      </c>
      <c r="S9" s="18" t="n">
        <v>12439</v>
      </c>
      <c r="T9" s="18" t="n">
        <v>10372.02</v>
      </c>
      <c r="U9" s="37" t="n">
        <v>10372.02</v>
      </c>
      <c r="V9" s="18" t="n">
        <v>14089.45</v>
      </c>
      <c r="W9" s="18" t="n">
        <v>14583.59</v>
      </c>
      <c r="X9" s="18" t="n">
        <v>19223.46</v>
      </c>
      <c r="Y9" s="18" t="n">
        <v>24268.64</v>
      </c>
      <c r="Z9" s="37" t="n">
        <v>24268.64</v>
      </c>
      <c r="AA9" s="18" t="n">
        <v>32917.99</v>
      </c>
      <c r="AB9" s="19" t="n">
        <v>40291.51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선급금</t>
        </is>
      </c>
      <c r="E10" s="18" t="n">
        <v>21732</v>
      </c>
      <c r="F10" s="37" t="n">
        <v>21732</v>
      </c>
      <c r="G10" s="18" t="n">
        <v>36915</v>
      </c>
      <c r="H10" s="18" t="n">
        <v>38068</v>
      </c>
      <c r="I10" s="18" t="n">
        <v>34339</v>
      </c>
      <c r="J10" s="18" t="n">
        <v>45188</v>
      </c>
      <c r="K10" s="37" t="n">
        <v>45188</v>
      </c>
      <c r="L10" s="18" t="n">
        <v>53090</v>
      </c>
      <c r="M10" s="18" t="n">
        <v>55911</v>
      </c>
      <c r="N10" s="18" t="n">
        <v>52386</v>
      </c>
      <c r="O10" s="18" t="n">
        <v>50349</v>
      </c>
      <c r="P10" s="37" t="n">
        <v>50349</v>
      </c>
      <c r="Q10" s="18" t="n">
        <v>56958</v>
      </c>
      <c r="R10" s="18" t="n">
        <v>54450</v>
      </c>
      <c r="S10" s="18" t="n">
        <v>37909</v>
      </c>
      <c r="T10" s="18" t="n">
        <v>31880.82</v>
      </c>
      <c r="U10" s="37" t="n">
        <v>31880.82</v>
      </c>
      <c r="V10" s="18" t="n">
        <v>37975.62</v>
      </c>
      <c r="W10" s="18" t="n">
        <v>53600.66</v>
      </c>
      <c r="X10" s="18" t="n">
        <v>76966.03999999999</v>
      </c>
      <c r="Y10" s="18" t="n">
        <v>45155.2</v>
      </c>
      <c r="Z10" s="37" t="n">
        <v>45155.2</v>
      </c>
      <c r="AA10" s="18" t="n">
        <v>66916.50999999999</v>
      </c>
      <c r="AB10" s="19" t="n">
        <v>69202.67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선급금등</t>
        </is>
      </c>
      <c r="E11" s="18" t="n">
        <v>21732</v>
      </c>
      <c r="F11" s="37" t="n">
        <v>21732</v>
      </c>
      <c r="G11" s="18" t="n">
        <v>36915</v>
      </c>
      <c r="H11" s="18" t="n">
        <v>38068</v>
      </c>
      <c r="I11" s="18" t="n">
        <v>34339</v>
      </c>
      <c r="J11" s="18" t="n">
        <v>45188</v>
      </c>
      <c r="K11" s="37" t="n">
        <v>45188</v>
      </c>
      <c r="L11" s="18" t="n">
        <v>53090</v>
      </c>
      <c r="M11" s="18" t="n">
        <v>55911</v>
      </c>
      <c r="N11" s="18" t="n">
        <v>52386</v>
      </c>
      <c r="O11" s="18" t="n">
        <v>50349</v>
      </c>
      <c r="P11" s="37" t="n">
        <v>50349</v>
      </c>
      <c r="Q11" s="18" t="n">
        <v>56958</v>
      </c>
      <c r="R11" s="18" t="n">
        <v>54450</v>
      </c>
      <c r="S11" s="18" t="n">
        <v>37909</v>
      </c>
      <c r="T11" s="18" t="n">
        <v>31880.82</v>
      </c>
      <c r="U11" s="37" t="n">
        <v>31880.82</v>
      </c>
      <c r="V11" s="18" t="n">
        <v>37975.62</v>
      </c>
      <c r="W11" s="18" t="n">
        <v>53600.66</v>
      </c>
      <c r="X11" s="18" t="n">
        <v>76966.03999999999</v>
      </c>
      <c r="Y11" s="18" t="n">
        <v>45155.2</v>
      </c>
      <c r="Z11" s="37" t="n">
        <v>45155.2</v>
      </c>
      <c r="AA11" s="18" t="n">
        <v>66916.50999999999</v>
      </c>
      <c r="AB11" s="19" t="n">
        <v>69202.67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27350</v>
      </c>
      <c r="F12" s="37" t="n">
        <v>27350</v>
      </c>
      <c r="G12" s="18" t="n">
        <v>41681</v>
      </c>
      <c r="H12" s="18" t="n">
        <v>44126</v>
      </c>
      <c r="I12" s="18" t="n">
        <v>39377</v>
      </c>
      <c r="J12" s="18" t="n">
        <v>45188</v>
      </c>
      <c r="K12" s="37" t="n">
        <v>45188</v>
      </c>
      <c r="L12" s="18" t="n">
        <v>57300</v>
      </c>
      <c r="M12" s="18" t="n">
        <v>59292</v>
      </c>
      <c r="N12" s="18" t="n">
        <v>56221</v>
      </c>
      <c r="O12" s="18" t="n">
        <v>50349</v>
      </c>
      <c r="P12" s="37" t="n">
        <v>50349</v>
      </c>
      <c r="Q12" s="18" t="n">
        <v>56958</v>
      </c>
      <c r="R12" s="18" t="n">
        <v>54450</v>
      </c>
      <c r="S12" s="18" t="n">
        <v>37909</v>
      </c>
      <c r="T12" s="18" t="n">
        <v>31880.82</v>
      </c>
      <c r="U12" s="37" t="n">
        <v>31880.82</v>
      </c>
      <c r="V12" s="18" t="n">
        <v>37975.62</v>
      </c>
      <c r="W12" s="18" t="n">
        <v>53600.66</v>
      </c>
      <c r="X12" s="18" t="n">
        <v>76966.03999999999</v>
      </c>
      <c r="Y12" s="18" t="n">
        <v>45155.2</v>
      </c>
      <c r="Z12" s="37" t="n">
        <v>45155.2</v>
      </c>
      <c r="AA12" s="18" t="n">
        <v>66916.50999999999</v>
      </c>
      <c r="AB12" s="19" t="n">
        <v>69202.67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재고자산</t>
        </is>
      </c>
      <c r="E13" s="18" t="n">
        <v>173359</v>
      </c>
      <c r="F13" s="37" t="n">
        <v>173359</v>
      </c>
      <c r="G13" s="18" t="n">
        <v>168716</v>
      </c>
      <c r="H13" s="18" t="n">
        <v>189403</v>
      </c>
      <c r="I13" s="18" t="n">
        <v>195954</v>
      </c>
      <c r="J13" s="18" t="n">
        <v>179148</v>
      </c>
      <c r="K13" s="37" t="n">
        <v>179148</v>
      </c>
      <c r="L13" s="18" t="n">
        <v>205238</v>
      </c>
      <c r="M13" s="18" t="n">
        <v>180378</v>
      </c>
      <c r="N13" s="18" t="n">
        <v>197356</v>
      </c>
      <c r="O13" s="18" t="n">
        <v>195192</v>
      </c>
      <c r="P13" s="37" t="n">
        <v>195192</v>
      </c>
      <c r="Q13" s="18" t="n">
        <v>282247</v>
      </c>
      <c r="R13" s="18" t="n">
        <v>287218</v>
      </c>
      <c r="S13" s="18" t="n">
        <v>278451</v>
      </c>
      <c r="T13" s="18" t="n">
        <v>265187.12</v>
      </c>
      <c r="U13" s="37" t="n">
        <v>265187.12</v>
      </c>
      <c r="V13" s="18" t="n">
        <v>304338.01</v>
      </c>
      <c r="W13" s="18" t="n">
        <v>292182.57</v>
      </c>
      <c r="X13" s="18" t="n">
        <v>283099.6</v>
      </c>
      <c r="Y13" s="18" t="n">
        <v>325059.44</v>
      </c>
      <c r="Z13" s="37" t="n">
        <v>325059.44</v>
      </c>
      <c r="AA13" s="18" t="n">
        <v>348560.66</v>
      </c>
      <c r="AB13" s="19" t="n">
        <v>383422.98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당기법인세자산(선급법인세)</t>
        </is>
      </c>
      <c r="E14" s="18" t="n">
        <v>81</v>
      </c>
      <c r="F14" s="37" t="n">
        <v>81</v>
      </c>
      <c r="G14" s="18" t="n">
        <v>35</v>
      </c>
      <c r="H14" s="18" t="n">
        <v>58</v>
      </c>
      <c r="I14" s="18" t="n">
        <v>30</v>
      </c>
      <c r="J14" s="18" t="n">
        <v>161</v>
      </c>
      <c r="K14" s="37" t="n">
        <v>161</v>
      </c>
      <c r="L14" s="18" t="n">
        <v>247</v>
      </c>
      <c r="M14" s="18" t="n">
        <v>188</v>
      </c>
      <c r="N14" s="18" t="n">
        <v>259</v>
      </c>
      <c r="O14" s="18" t="n">
        <v>338</v>
      </c>
      <c r="P14" s="37" t="n">
        <v>338</v>
      </c>
      <c r="Q14" s="18" t="n">
        <v>449</v>
      </c>
      <c r="R14" s="18" t="n">
        <v>235</v>
      </c>
      <c r="S14" s="18" t="n">
        <v>113</v>
      </c>
      <c r="T14" s="18" t="n">
        <v>89.04000000000001</v>
      </c>
      <c r="U14" s="37" t="n">
        <v>89.04000000000001</v>
      </c>
      <c r="V14" s="18" t="n">
        <v>202.74</v>
      </c>
      <c r="W14" s="18" t="n">
        <v>0</v>
      </c>
      <c r="Y14" s="18" t="n">
        <v>0</v>
      </c>
      <c r="Z14" s="37" t="n">
        <v>0</v>
      </c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유동확정계약자산</t>
        </is>
      </c>
      <c r="E15" s="18" t="n">
        <v>350</v>
      </c>
      <c r="F15" s="37" t="n">
        <v>350</v>
      </c>
      <c r="G15" s="18" t="n">
        <v>1308</v>
      </c>
      <c r="H15" s="18" t="n">
        <v>5476</v>
      </c>
      <c r="I15" s="18" t="n">
        <v>11393</v>
      </c>
      <c r="J15" s="18" t="n">
        <v>3636</v>
      </c>
      <c r="K15" s="37" t="n">
        <v>3636</v>
      </c>
      <c r="L15" s="18" t="n">
        <v>3034</v>
      </c>
      <c r="M15" s="18" t="n">
        <v>1652</v>
      </c>
      <c r="N15" s="18" t="n">
        <v>161</v>
      </c>
      <c r="P15" s="9" t="n"/>
      <c r="T15" s="18" t="n">
        <v>0</v>
      </c>
      <c r="U15" s="37" t="n">
        <v>0</v>
      </c>
      <c r="Z15" s="9" t="n"/>
      <c r="AB15" s="5" t="n"/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단기금융자산</t>
        </is>
      </c>
      <c r="E16" s="18" t="n">
        <v>350</v>
      </c>
      <c r="F16" s="37" t="n">
        <v>350</v>
      </c>
      <c r="G16" s="18" t="n">
        <v>1308</v>
      </c>
      <c r="H16" s="18" t="n">
        <v>5476</v>
      </c>
      <c r="I16" s="18" t="n">
        <v>11393</v>
      </c>
      <c r="J16" s="18" t="n">
        <v>13435</v>
      </c>
      <c r="K16" s="37" t="n">
        <v>13435</v>
      </c>
      <c r="L16" s="18" t="n">
        <v>3191</v>
      </c>
      <c r="M16" s="18" t="n">
        <v>1655</v>
      </c>
      <c r="N16" s="18" t="n">
        <v>161</v>
      </c>
      <c r="O16" s="18" t="n">
        <v>245</v>
      </c>
      <c r="P16" s="37" t="n">
        <v>245</v>
      </c>
      <c r="Q16" s="18" t="n">
        <v>265</v>
      </c>
      <c r="R16" s="18" t="n">
        <v>631</v>
      </c>
      <c r="S16" s="18" t="n">
        <v>304</v>
      </c>
      <c r="T16" s="18" t="n">
        <v>2099.22</v>
      </c>
      <c r="U16" s="37" t="n">
        <v>2099.22</v>
      </c>
      <c r="V16" s="18" t="n">
        <v>2970.12</v>
      </c>
      <c r="W16" s="18" t="n">
        <v>2591.2</v>
      </c>
      <c r="X16" s="18" t="n">
        <v>2267.23</v>
      </c>
      <c r="Y16" s="18" t="n">
        <v>7272.27</v>
      </c>
      <c r="Z16" s="37" t="n">
        <v>7272.27</v>
      </c>
      <c r="AA16" s="18" t="n">
        <v>14347.17</v>
      </c>
      <c r="AB16" s="19" t="n">
        <v>14513.68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비유동자산</t>
        </is>
      </c>
      <c r="E17" s="18" t="n">
        <v>417202</v>
      </c>
      <c r="F17" s="37" t="n">
        <v>417202</v>
      </c>
      <c r="G17" s="18" t="n">
        <v>415697</v>
      </c>
      <c r="H17" s="18" t="n">
        <v>428603</v>
      </c>
      <c r="I17" s="18" t="n">
        <v>416936</v>
      </c>
      <c r="J17" s="18" t="n">
        <v>384615</v>
      </c>
      <c r="K17" s="37" t="n">
        <v>384615</v>
      </c>
      <c r="L17" s="18" t="n">
        <v>382554</v>
      </c>
      <c r="M17" s="18" t="n">
        <v>395160</v>
      </c>
      <c r="N17" s="18" t="n">
        <v>392066</v>
      </c>
      <c r="O17" s="18" t="n">
        <v>406236</v>
      </c>
      <c r="P17" s="37" t="n">
        <v>406236</v>
      </c>
      <c r="Q17" s="18" t="n">
        <v>398393</v>
      </c>
      <c r="R17" s="18" t="n">
        <v>394807</v>
      </c>
      <c r="S17" s="18" t="n">
        <v>404991</v>
      </c>
      <c r="T17" s="18" t="n">
        <v>410535.95</v>
      </c>
      <c r="U17" s="37" t="n">
        <v>410535.95</v>
      </c>
      <c r="V17" s="18" t="n">
        <v>418370.24</v>
      </c>
      <c r="W17" s="18" t="n">
        <v>415470.15</v>
      </c>
      <c r="X17" s="18" t="n">
        <v>422774.1</v>
      </c>
      <c r="Y17" s="18" t="n">
        <v>426768.34</v>
      </c>
      <c r="Z17" s="37" t="n">
        <v>426768.34</v>
      </c>
      <c r="AA17" s="18" t="n">
        <v>431552.29</v>
      </c>
      <c r="AB17" s="19" t="n">
        <v>431810.94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종속기업및관계기업투자</t>
        </is>
      </c>
      <c r="E18" s="18" t="n">
        <v>480</v>
      </c>
      <c r="F18" s="37" t="n">
        <v>480</v>
      </c>
      <c r="G18" s="18" t="n">
        <v>480</v>
      </c>
      <c r="H18" s="18" t="n">
        <v>480</v>
      </c>
      <c r="I18" s="18" t="n">
        <v>480</v>
      </c>
      <c r="J18" s="18" t="n">
        <v>480</v>
      </c>
      <c r="K18" s="37" t="n">
        <v>480</v>
      </c>
      <c r="L18" s="18" t="n">
        <v>480</v>
      </c>
      <c r="M18" s="18" t="n">
        <v>480</v>
      </c>
      <c r="N18" s="18" t="n">
        <v>480</v>
      </c>
      <c r="O18" s="18" t="n">
        <v>480</v>
      </c>
      <c r="P18" s="37" t="n">
        <v>480</v>
      </c>
      <c r="Q18" s="18" t="n">
        <v>480</v>
      </c>
      <c r="R18" s="18" t="n">
        <v>480</v>
      </c>
      <c r="S18" s="18" t="n">
        <v>480</v>
      </c>
      <c r="T18" s="18" t="n">
        <v>480.39</v>
      </c>
      <c r="U18" s="37" t="n">
        <v>480.39</v>
      </c>
      <c r="V18" s="18" t="n">
        <v>480.39</v>
      </c>
      <c r="W18" s="18" t="n">
        <v>480.39</v>
      </c>
      <c r="X18" s="18" t="n">
        <v>480.39</v>
      </c>
      <c r="Y18" s="18" t="n">
        <v>480.39</v>
      </c>
      <c r="Z18" s="37" t="n">
        <v>480.39</v>
      </c>
      <c r="AA18" s="18" t="n">
        <v>480.39</v>
      </c>
      <c r="AB18" s="19" t="n">
        <v>480.39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투자자산</t>
        </is>
      </c>
      <c r="E19" s="18" t="n">
        <v>596</v>
      </c>
      <c r="F19" s="37" t="n">
        <v>596</v>
      </c>
      <c r="G19" s="18" t="n">
        <v>617</v>
      </c>
      <c r="H19" s="18" t="n">
        <v>790</v>
      </c>
      <c r="I19" s="18" t="n">
        <v>480</v>
      </c>
      <c r="J19" s="18" t="n">
        <v>8388</v>
      </c>
      <c r="K19" s="37" t="n">
        <v>8388</v>
      </c>
      <c r="L19" s="18" t="n">
        <v>480</v>
      </c>
      <c r="M19" s="18" t="n">
        <v>480</v>
      </c>
      <c r="N19" s="18" t="n">
        <v>480</v>
      </c>
      <c r="O19" s="18" t="n">
        <v>9024</v>
      </c>
      <c r="P19" s="37" t="n">
        <v>9024</v>
      </c>
      <c r="Q19" s="18" t="n">
        <v>8974</v>
      </c>
      <c r="R19" s="18" t="n">
        <v>9345</v>
      </c>
      <c r="S19" s="18" t="n">
        <v>9345</v>
      </c>
      <c r="T19" s="18" t="n">
        <v>9650.92</v>
      </c>
      <c r="U19" s="37" t="n">
        <v>9650.92</v>
      </c>
      <c r="V19" s="18" t="n">
        <v>9674.389999999999</v>
      </c>
      <c r="W19" s="18" t="n">
        <v>11424.13</v>
      </c>
      <c r="X19" s="18" t="n">
        <v>13356.27</v>
      </c>
      <c r="Y19" s="18" t="n">
        <v>13446.76</v>
      </c>
      <c r="Z19" s="37" t="n">
        <v>13446.76</v>
      </c>
      <c r="AA19" s="18" t="n">
        <v>13912.94</v>
      </c>
      <c r="AB19" s="19" t="n">
        <v>13538.33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유형자산</t>
        </is>
      </c>
      <c r="E20" s="18" t="n">
        <v>293349</v>
      </c>
      <c r="F20" s="37" t="n">
        <v>293349</v>
      </c>
      <c r="G20" s="18" t="n">
        <v>292930</v>
      </c>
      <c r="H20" s="18" t="n">
        <v>292794</v>
      </c>
      <c r="I20" s="18" t="n">
        <v>291807</v>
      </c>
      <c r="J20" s="18" t="n">
        <v>275550</v>
      </c>
      <c r="K20" s="37" t="n">
        <v>275550</v>
      </c>
      <c r="L20" s="18" t="n">
        <v>274460</v>
      </c>
      <c r="M20" s="18" t="n">
        <v>274399</v>
      </c>
      <c r="N20" s="18" t="n">
        <v>274676</v>
      </c>
      <c r="O20" s="18" t="n">
        <v>275636</v>
      </c>
      <c r="P20" s="37" t="n">
        <v>275636</v>
      </c>
      <c r="Q20" s="18" t="n">
        <v>274203</v>
      </c>
      <c r="R20" s="18" t="n">
        <v>273470</v>
      </c>
      <c r="S20" s="18" t="n">
        <v>273899</v>
      </c>
      <c r="T20" s="18" t="n">
        <v>274013.18</v>
      </c>
      <c r="U20" s="37" t="n">
        <v>274013.18</v>
      </c>
      <c r="V20" s="18" t="n">
        <v>273009.95</v>
      </c>
      <c r="W20" s="18" t="n">
        <v>272162.08</v>
      </c>
      <c r="X20" s="18" t="n">
        <v>272041.99</v>
      </c>
      <c r="Y20" s="18" t="n">
        <v>276298.06</v>
      </c>
      <c r="Z20" s="37" t="n">
        <v>276298.06</v>
      </c>
      <c r="AA20" s="18" t="n">
        <v>275865.77</v>
      </c>
      <c r="AB20" s="19" t="n">
        <v>275361.54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무형자산</t>
        </is>
      </c>
      <c r="E21" s="18" t="n">
        <v>10813</v>
      </c>
      <c r="F21" s="37" t="n">
        <v>10813</v>
      </c>
      <c r="G21" s="18" t="n">
        <v>10622</v>
      </c>
      <c r="H21" s="18" t="n">
        <v>10628</v>
      </c>
      <c r="I21" s="18" t="n">
        <v>4927</v>
      </c>
      <c r="J21" s="18" t="n">
        <v>8804</v>
      </c>
      <c r="K21" s="37" t="n">
        <v>8804</v>
      </c>
      <c r="L21" s="18" t="n">
        <v>8741</v>
      </c>
      <c r="M21" s="18" t="n">
        <v>13881</v>
      </c>
      <c r="N21" s="18" t="n">
        <v>14115</v>
      </c>
      <c r="O21" s="18" t="n">
        <v>15207</v>
      </c>
      <c r="P21" s="37" t="n">
        <v>15207</v>
      </c>
      <c r="Q21" s="18" t="n">
        <v>15260</v>
      </c>
      <c r="R21" s="18" t="n">
        <v>16402</v>
      </c>
      <c r="S21" s="18" t="n">
        <v>19723</v>
      </c>
      <c r="T21" s="18" t="n">
        <v>22836.62</v>
      </c>
      <c r="U21" s="37" t="n">
        <v>22836.62</v>
      </c>
      <c r="V21" s="18" t="n">
        <v>24197.62</v>
      </c>
      <c r="W21" s="18" t="n">
        <v>24870.96</v>
      </c>
      <c r="X21" s="18" t="n">
        <v>27837.23</v>
      </c>
      <c r="Y21" s="18" t="n">
        <v>28831.72</v>
      </c>
      <c r="Z21" s="37" t="n">
        <v>28831.72</v>
      </c>
      <c r="AA21" s="18" t="n">
        <v>28307.74</v>
      </c>
      <c r="AB21" s="19" t="n">
        <v>28571.1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투자부동산</t>
        </is>
      </c>
      <c r="E22" s="18" t="n">
        <v>58778</v>
      </c>
      <c r="F22" s="37" t="n">
        <v>58778</v>
      </c>
      <c r="G22" s="18" t="n">
        <v>58343</v>
      </c>
      <c r="H22" s="18" t="n">
        <v>57907</v>
      </c>
      <c r="I22" s="18" t="n">
        <v>57471</v>
      </c>
      <c r="J22" s="18" t="n">
        <v>57035</v>
      </c>
      <c r="K22" s="37" t="n">
        <v>57035</v>
      </c>
      <c r="L22" s="18" t="n">
        <v>56599</v>
      </c>
      <c r="M22" s="18" t="n">
        <v>56164</v>
      </c>
      <c r="N22" s="18" t="n">
        <v>55728</v>
      </c>
      <c r="O22" s="18" t="n">
        <v>55292</v>
      </c>
      <c r="P22" s="37" t="n">
        <v>55292</v>
      </c>
      <c r="Q22" s="18" t="n">
        <v>54856</v>
      </c>
      <c r="R22" s="18" t="n">
        <v>54420</v>
      </c>
      <c r="S22" s="18" t="n">
        <v>53985</v>
      </c>
      <c r="T22" s="18" t="n">
        <v>53548.82</v>
      </c>
      <c r="U22" s="37" t="n">
        <v>53548.82</v>
      </c>
      <c r="V22" s="18" t="n">
        <v>53113.02</v>
      </c>
      <c r="W22" s="18" t="n">
        <v>52677.22</v>
      </c>
      <c r="X22" s="18" t="n">
        <v>52241.42</v>
      </c>
      <c r="Y22" s="18" t="n">
        <v>51805.62</v>
      </c>
      <c r="Z22" s="37" t="n">
        <v>51805.62</v>
      </c>
      <c r="AA22" s="18" t="n">
        <v>51369.82</v>
      </c>
      <c r="AB22" s="19" t="n">
        <v>50934.02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장기매출채권및기타채권</t>
        </is>
      </c>
      <c r="E23" s="18" t="n">
        <v>6806</v>
      </c>
      <c r="F23" s="37" t="n">
        <v>6806</v>
      </c>
      <c r="G23" s="18" t="n">
        <v>6976</v>
      </c>
      <c r="H23" s="18" t="n">
        <v>5599</v>
      </c>
      <c r="I23" s="18" t="n">
        <v>5417</v>
      </c>
      <c r="J23" s="18" t="n">
        <v>3884</v>
      </c>
      <c r="K23" s="37" t="n">
        <v>3884</v>
      </c>
      <c r="L23" s="18" t="n">
        <v>2004</v>
      </c>
      <c r="M23" s="18" t="n">
        <v>3480</v>
      </c>
      <c r="N23" s="18" t="n">
        <v>2243</v>
      </c>
      <c r="O23" s="18" t="n">
        <v>3618</v>
      </c>
      <c r="P23" s="37" t="n">
        <v>3618</v>
      </c>
      <c r="Q23" s="18" t="n">
        <v>1050</v>
      </c>
      <c r="R23" s="18" t="n">
        <v>3586</v>
      </c>
      <c r="S23" s="18" t="n">
        <v>2431</v>
      </c>
      <c r="T23" s="18" t="n">
        <v>582.2</v>
      </c>
      <c r="U23" s="37" t="n">
        <v>582.2</v>
      </c>
      <c r="V23" s="18" t="n">
        <v>484.9</v>
      </c>
      <c r="W23" s="18" t="n">
        <v>484.9</v>
      </c>
      <c r="X23" s="18" t="n">
        <v>484.9</v>
      </c>
      <c r="Y23" s="18" t="n">
        <v>222.04</v>
      </c>
      <c r="Z23" s="37" t="n">
        <v>222.04</v>
      </c>
      <c r="AA23" s="18" t="n">
        <v>222.04</v>
      </c>
      <c r="AB23" s="19" t="n">
        <v>222.04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비유동확정계약자산</t>
        </is>
      </c>
      <c r="E24" s="18" t="n">
        <v>116</v>
      </c>
      <c r="F24" s="37" t="n">
        <v>116</v>
      </c>
      <c r="G24" s="18" t="n">
        <v>137</v>
      </c>
      <c r="H24" s="18" t="n">
        <v>310</v>
      </c>
      <c r="K24" s="9" t="n"/>
      <c r="P24" s="9" t="n"/>
      <c r="U24" s="9" t="n"/>
      <c r="Z24" s="9" t="n"/>
      <c r="AB24" s="5" t="n"/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기타비유동자산</t>
        </is>
      </c>
      <c r="E25" s="18" t="n">
        <v>27720</v>
      </c>
      <c r="F25" s="37" t="n">
        <v>27720</v>
      </c>
      <c r="G25" s="18" t="n">
        <v>28401</v>
      </c>
      <c r="H25" s="18" t="n">
        <v>45162</v>
      </c>
      <c r="I25" s="18" t="n">
        <v>44950</v>
      </c>
      <c r="J25" s="18" t="n">
        <v>27933</v>
      </c>
      <c r="K25" s="37" t="n">
        <v>27933</v>
      </c>
      <c r="L25" s="18" t="n">
        <v>30583</v>
      </c>
      <c r="M25" s="18" t="n">
        <v>37889</v>
      </c>
      <c r="N25" s="18" t="n">
        <v>36041</v>
      </c>
      <c r="O25" s="18" t="n">
        <v>46788</v>
      </c>
      <c r="P25" s="37" t="n">
        <v>46788</v>
      </c>
      <c r="Q25" s="18" t="n">
        <v>43327</v>
      </c>
      <c r="R25" s="18" t="n">
        <v>37118</v>
      </c>
      <c r="S25" s="18" t="n">
        <v>44856</v>
      </c>
      <c r="T25" s="18" t="n">
        <v>47670.29</v>
      </c>
      <c r="U25" s="37" t="n">
        <v>47670.29</v>
      </c>
      <c r="V25" s="18" t="n">
        <v>55623.46</v>
      </c>
      <c r="W25" s="18" t="n">
        <v>51532.58</v>
      </c>
      <c r="X25" s="18" t="n">
        <v>54032.38</v>
      </c>
      <c r="Y25" s="18" t="n">
        <v>54407.5</v>
      </c>
      <c r="Z25" s="37" t="n">
        <v>54407.5</v>
      </c>
      <c r="AA25" s="18" t="n">
        <v>60106.78</v>
      </c>
      <c r="AB25" s="19" t="n">
        <v>61512.53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자산총계</t>
        </is>
      </c>
      <c r="E26" s="18" t="n">
        <v>823074</v>
      </c>
      <c r="F26" s="37" t="n">
        <v>823074</v>
      </c>
      <c r="G26" s="18" t="n">
        <v>816290</v>
      </c>
      <c r="H26" s="18" t="n">
        <v>829558</v>
      </c>
      <c r="I26" s="18" t="n">
        <v>828100</v>
      </c>
      <c r="J26" s="18" t="n">
        <v>837546</v>
      </c>
      <c r="K26" s="37" t="n">
        <v>837546</v>
      </c>
      <c r="L26" s="18" t="n">
        <v>849696</v>
      </c>
      <c r="M26" s="18" t="n">
        <v>825594</v>
      </c>
      <c r="N26" s="18" t="n">
        <v>818522</v>
      </c>
      <c r="O26" s="18" t="n">
        <v>879874</v>
      </c>
      <c r="P26" s="37" t="n">
        <v>879874</v>
      </c>
      <c r="Q26" s="18" t="n">
        <v>950659</v>
      </c>
      <c r="R26" s="18" t="n">
        <v>965480</v>
      </c>
      <c r="S26" s="18" t="n">
        <v>950188</v>
      </c>
      <c r="T26" s="18" t="n">
        <v>937690.62</v>
      </c>
      <c r="U26" s="37" t="n">
        <v>937690.62</v>
      </c>
      <c r="V26" s="18" t="n">
        <v>915621.6899999999</v>
      </c>
      <c r="W26" s="18" t="n">
        <v>1021617.9</v>
      </c>
      <c r="X26" s="18" t="n">
        <v>1061764.24</v>
      </c>
      <c r="Y26" s="18" t="n">
        <v>1125734.42</v>
      </c>
      <c r="Z26" s="37" t="n">
        <v>1125734.42</v>
      </c>
      <c r="AA26" s="18" t="n">
        <v>1175507.64</v>
      </c>
      <c r="AB26" s="19" t="n">
        <v>1180653.27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유동부채</t>
        </is>
      </c>
      <c r="E27" s="18" t="n">
        <v>485167</v>
      </c>
      <c r="F27" s="37" t="n">
        <v>485167</v>
      </c>
      <c r="G27" s="18" t="n">
        <v>481597</v>
      </c>
      <c r="H27" s="18" t="n">
        <v>496193</v>
      </c>
      <c r="I27" s="18" t="n">
        <v>505630</v>
      </c>
      <c r="J27" s="18" t="n">
        <v>535074</v>
      </c>
      <c r="K27" s="37" t="n">
        <v>535074</v>
      </c>
      <c r="L27" s="18" t="n">
        <v>550972</v>
      </c>
      <c r="M27" s="18" t="n">
        <v>526597</v>
      </c>
      <c r="N27" s="18" t="n">
        <v>521090</v>
      </c>
      <c r="O27" s="18" t="n">
        <v>571394</v>
      </c>
      <c r="P27" s="37" t="n">
        <v>571394</v>
      </c>
      <c r="Q27" s="18" t="n">
        <v>642802</v>
      </c>
      <c r="R27" s="18" t="n">
        <v>645408</v>
      </c>
      <c r="S27" s="18" t="n">
        <v>628054</v>
      </c>
      <c r="T27" s="18" t="n">
        <v>617217.75</v>
      </c>
      <c r="U27" s="37" t="n">
        <v>617217.75</v>
      </c>
      <c r="V27" s="18" t="n">
        <v>582997.72</v>
      </c>
      <c r="W27" s="18" t="n">
        <v>660191.77</v>
      </c>
      <c r="X27" s="18" t="n">
        <v>685454.11</v>
      </c>
      <c r="Y27" s="18" t="n">
        <v>739416.83</v>
      </c>
      <c r="Z27" s="37" t="n">
        <v>739416.83</v>
      </c>
      <c r="AA27" s="18" t="n">
        <v>773946.48</v>
      </c>
      <c r="AB27" s="19" t="n">
        <v>757572.63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매입채무및기타채무</t>
        </is>
      </c>
      <c r="E28" s="18" t="n">
        <v>69062</v>
      </c>
      <c r="F28" s="37" t="n">
        <v>69062</v>
      </c>
      <c r="G28" s="18" t="n">
        <v>71709</v>
      </c>
      <c r="H28" s="18" t="n">
        <v>73414</v>
      </c>
      <c r="I28" s="18" t="n">
        <v>67827</v>
      </c>
      <c r="J28" s="18" t="n">
        <v>113827</v>
      </c>
      <c r="K28" s="37" t="n">
        <v>113827</v>
      </c>
      <c r="L28" s="18" t="n">
        <v>99870</v>
      </c>
      <c r="M28" s="18" t="n">
        <v>94831</v>
      </c>
      <c r="N28" s="18" t="n">
        <v>101280</v>
      </c>
      <c r="O28" s="18" t="n">
        <v>129153</v>
      </c>
      <c r="P28" s="37" t="n">
        <v>129153</v>
      </c>
      <c r="Q28" s="18" t="n">
        <v>122860</v>
      </c>
      <c r="R28" s="18" t="n">
        <v>113745</v>
      </c>
      <c r="S28" s="18" t="n">
        <v>106033</v>
      </c>
      <c r="T28" s="18" t="n">
        <v>130891.92</v>
      </c>
      <c r="U28" s="37" t="n">
        <v>130891.92</v>
      </c>
      <c r="V28" s="18" t="n">
        <v>119099.54</v>
      </c>
      <c r="W28" s="18" t="n">
        <v>108069.23</v>
      </c>
      <c r="X28" s="18" t="n">
        <v>103305.28</v>
      </c>
      <c r="Y28" s="18" t="n">
        <v>158154.38</v>
      </c>
      <c r="Z28" s="37" t="n">
        <v>158154.38</v>
      </c>
      <c r="AA28" s="18" t="n">
        <v>117403.29</v>
      </c>
      <c r="AB28" s="19" t="n">
        <v>114135.87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단기차입금</t>
        </is>
      </c>
      <c r="E29" s="18" t="n">
        <v>258774</v>
      </c>
      <c r="F29" s="37" t="n">
        <v>258774</v>
      </c>
      <c r="G29" s="18" t="n">
        <v>245826</v>
      </c>
      <c r="H29" s="18" t="n">
        <v>234164</v>
      </c>
      <c r="I29" s="18" t="n">
        <v>239521</v>
      </c>
      <c r="J29" s="18" t="n">
        <v>237830</v>
      </c>
      <c r="K29" s="37" t="n">
        <v>237830</v>
      </c>
      <c r="L29" s="18" t="n">
        <v>251122</v>
      </c>
      <c r="M29" s="18" t="n">
        <v>244348</v>
      </c>
      <c r="N29" s="18" t="n">
        <v>245130</v>
      </c>
      <c r="O29" s="18" t="n">
        <v>259304</v>
      </c>
      <c r="P29" s="37" t="n">
        <v>259304</v>
      </c>
      <c r="Q29" s="18" t="n">
        <v>299178</v>
      </c>
      <c r="R29" s="18" t="n">
        <v>324066</v>
      </c>
      <c r="S29" s="18" t="n">
        <v>328482</v>
      </c>
      <c r="T29" s="18" t="n">
        <v>312315.66</v>
      </c>
      <c r="U29" s="37" t="n">
        <v>312315.66</v>
      </c>
      <c r="V29" s="18" t="n">
        <v>282732.55</v>
      </c>
      <c r="W29" s="18" t="n">
        <v>294527.04</v>
      </c>
      <c r="X29" s="18" t="n">
        <v>306662.23</v>
      </c>
      <c r="Y29" s="18" t="n">
        <v>311529.62</v>
      </c>
      <c r="Z29" s="37" t="n">
        <v>311529.62</v>
      </c>
      <c r="AA29" s="18" t="n">
        <v>351081.7</v>
      </c>
      <c r="AB29" s="19" t="n">
        <v>343225.74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선수금</t>
        </is>
      </c>
      <c r="E30" s="18" t="n">
        <v>115116</v>
      </c>
      <c r="F30" s="37" t="n">
        <v>115116</v>
      </c>
      <c r="G30" s="18" t="n">
        <v>126961</v>
      </c>
      <c r="H30" s="18" t="n">
        <v>142740</v>
      </c>
      <c r="I30" s="18" t="n">
        <v>149380</v>
      </c>
      <c r="J30" s="18" t="n">
        <v>148334</v>
      </c>
      <c r="K30" s="37" t="n">
        <v>148334</v>
      </c>
      <c r="L30" s="18" t="n">
        <v>172073</v>
      </c>
      <c r="M30" s="18" t="n">
        <v>153302</v>
      </c>
      <c r="N30" s="18" t="n">
        <v>144849</v>
      </c>
      <c r="O30" s="18" t="n">
        <v>164569</v>
      </c>
      <c r="P30" s="37" t="n">
        <v>164569</v>
      </c>
      <c r="Q30" s="18" t="n">
        <v>201073</v>
      </c>
      <c r="R30" s="18" t="n">
        <v>184940</v>
      </c>
      <c r="S30" s="18" t="n">
        <v>173409</v>
      </c>
      <c r="T30" s="18" t="n">
        <v>152879.4</v>
      </c>
      <c r="U30" s="37" t="n">
        <v>152879.4</v>
      </c>
      <c r="V30" s="18" t="n">
        <v>156566.2</v>
      </c>
      <c r="W30" s="18" t="n">
        <v>228529.26</v>
      </c>
      <c r="X30" s="18" t="n">
        <v>253231.74</v>
      </c>
      <c r="Y30" s="18" t="n">
        <v>246226.99</v>
      </c>
      <c r="Z30" s="37" t="n">
        <v>246226.99</v>
      </c>
      <c r="AA30" s="18" t="n">
        <v>284238.47</v>
      </c>
      <c r="AB30" s="19" t="n">
        <v>273941.24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기타유동부채</t>
        </is>
      </c>
      <c r="E31" s="18" t="n">
        <v>133842</v>
      </c>
      <c r="F31" s="37" t="n">
        <v>133842</v>
      </c>
      <c r="G31" s="18" t="n">
        <v>143530</v>
      </c>
      <c r="H31" s="18" t="n">
        <v>156809</v>
      </c>
      <c r="I31" s="18" t="n">
        <v>163974</v>
      </c>
      <c r="J31" s="18" t="n">
        <v>148334</v>
      </c>
      <c r="K31" s="37" t="n">
        <v>148334</v>
      </c>
      <c r="L31" s="18" t="n">
        <v>172073</v>
      </c>
      <c r="M31" s="18" t="n">
        <v>153303</v>
      </c>
      <c r="N31" s="18" t="n">
        <v>144881</v>
      </c>
      <c r="O31" s="18" t="n">
        <v>164569</v>
      </c>
      <c r="P31" s="37" t="n">
        <v>164569</v>
      </c>
      <c r="Q31" s="18" t="n">
        <v>201073</v>
      </c>
      <c r="R31" s="18" t="n">
        <v>184940</v>
      </c>
      <c r="S31" s="18" t="n">
        <v>173409</v>
      </c>
      <c r="T31" s="18" t="n">
        <v>152879.4</v>
      </c>
      <c r="U31" s="37" t="n">
        <v>152879.4</v>
      </c>
      <c r="V31" s="18" t="n">
        <v>156566.2</v>
      </c>
      <c r="W31" s="18" t="n">
        <v>228529.26</v>
      </c>
      <c r="X31" s="18" t="n">
        <v>253231.74</v>
      </c>
      <c r="Y31" s="18" t="n">
        <v>246226.99</v>
      </c>
      <c r="Z31" s="37" t="n">
        <v>246226.99</v>
      </c>
      <c r="AA31" s="18" t="n">
        <v>284238.47</v>
      </c>
      <c r="AB31" s="19" t="n">
        <v>273941.24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계약부채</t>
        </is>
      </c>
      <c r="E32" s="18" t="n">
        <v>19819</v>
      </c>
      <c r="F32" s="37" t="n">
        <v>19819</v>
      </c>
      <c r="G32" s="18" t="n">
        <v>15981</v>
      </c>
      <c r="H32" s="18" t="n">
        <v>23164</v>
      </c>
      <c r="I32" s="18" t="n">
        <v>21926</v>
      </c>
      <c r="J32" s="18" t="n">
        <v>22131</v>
      </c>
      <c r="K32" s="37" t="n">
        <v>22131</v>
      </c>
      <c r="L32" s="18" t="n">
        <v>17119</v>
      </c>
      <c r="M32" s="18" t="n">
        <v>25586</v>
      </c>
      <c r="N32" s="18" t="n">
        <v>22713</v>
      </c>
      <c r="O32" s="18" t="n">
        <v>12408</v>
      </c>
      <c r="P32" s="37" t="n">
        <v>12408</v>
      </c>
      <c r="Q32" s="18" t="n">
        <v>15933</v>
      </c>
      <c r="R32" s="18" t="n">
        <v>18411</v>
      </c>
      <c r="S32" s="18" t="n">
        <v>15683</v>
      </c>
      <c r="T32" s="18" t="n">
        <v>16564.66</v>
      </c>
      <c r="U32" s="37" t="n">
        <v>16564.66</v>
      </c>
      <c r="V32" s="18" t="n">
        <v>20824.64</v>
      </c>
      <c r="W32" s="18" t="n">
        <v>24089.25</v>
      </c>
      <c r="X32" s="18" t="n">
        <v>16654.72</v>
      </c>
      <c r="Y32" s="18" t="n">
        <v>16414.21</v>
      </c>
      <c r="Z32" s="37" t="n">
        <v>16414.21</v>
      </c>
      <c r="AA32" s="18" t="n">
        <v>14540.06</v>
      </c>
      <c r="AB32" s="19" t="n">
        <v>18282.17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단기충당부채</t>
        </is>
      </c>
      <c r="E33" s="18" t="n">
        <v>3350</v>
      </c>
      <c r="F33" s="37" t="n">
        <v>3350</v>
      </c>
      <c r="G33" s="18" t="n">
        <v>3248</v>
      </c>
      <c r="H33" s="18" t="n">
        <v>3556</v>
      </c>
      <c r="I33" s="18" t="n">
        <v>3582</v>
      </c>
      <c r="J33" s="18" t="n">
        <v>7637</v>
      </c>
      <c r="K33" s="37" t="n">
        <v>7637</v>
      </c>
      <c r="L33" s="18" t="n">
        <v>6994</v>
      </c>
      <c r="M33" s="18" t="n">
        <v>7057</v>
      </c>
      <c r="N33" s="18" t="n">
        <v>6817</v>
      </c>
      <c r="O33" s="18" t="n">
        <v>5419</v>
      </c>
      <c r="P33" s="37" t="n">
        <v>5419</v>
      </c>
      <c r="Q33" s="18" t="n">
        <v>3758</v>
      </c>
      <c r="R33" s="18" t="n">
        <v>3868</v>
      </c>
      <c r="S33" s="18" t="n">
        <v>4025</v>
      </c>
      <c r="T33" s="18" t="n">
        <v>4057.78</v>
      </c>
      <c r="U33" s="37" t="n">
        <v>4057.78</v>
      </c>
      <c r="V33" s="18" t="n">
        <v>3652.06</v>
      </c>
      <c r="W33" s="18" t="n">
        <v>4718.02</v>
      </c>
      <c r="X33" s="18" t="n">
        <v>5313.64</v>
      </c>
      <c r="Y33" s="18" t="n">
        <v>5965.25</v>
      </c>
      <c r="Z33" s="37" t="n">
        <v>5965.25</v>
      </c>
      <c r="AA33" s="18" t="n">
        <v>5988.67</v>
      </c>
      <c r="AB33" s="19" t="n">
        <v>6742.73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단기파생상품부채</t>
        </is>
      </c>
      <c r="E34" s="18" t="n">
        <v>320</v>
      </c>
      <c r="F34" s="37" t="n">
        <v>320</v>
      </c>
      <c r="G34" s="18" t="n">
        <v>1303</v>
      </c>
      <c r="H34" s="18" t="n">
        <v>5086</v>
      </c>
      <c r="I34" s="18" t="n">
        <v>8800</v>
      </c>
      <c r="J34" s="18" t="n">
        <v>5099</v>
      </c>
      <c r="K34" s="37" t="n">
        <v>5099</v>
      </c>
      <c r="L34" s="18" t="n">
        <v>3750</v>
      </c>
      <c r="M34" s="18" t="n">
        <v>1472</v>
      </c>
      <c r="N34" s="18" t="n">
        <v>269</v>
      </c>
      <c r="P34" s="9" t="n"/>
      <c r="S34" s="18" t="n">
        <v>67</v>
      </c>
      <c r="T34" s="18" t="n">
        <v>0</v>
      </c>
      <c r="U34" s="37" t="n">
        <v>0</v>
      </c>
      <c r="W34" s="18" t="n">
        <v>136.47</v>
      </c>
      <c r="Y34" s="18" t="n">
        <v>365.37</v>
      </c>
      <c r="Z34" s="37" t="n">
        <v>365.37</v>
      </c>
      <c r="AA34" s="18" t="n">
        <v>340.01</v>
      </c>
      <c r="AB34" s="19" t="n">
        <v>113.4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단기금융부채</t>
        </is>
      </c>
      <c r="E35" s="18" t="n">
        <v>320</v>
      </c>
      <c r="F35" s="37" t="n">
        <v>320</v>
      </c>
      <c r="G35" s="18" t="n">
        <v>1303</v>
      </c>
      <c r="H35" s="18" t="n">
        <v>5086</v>
      </c>
      <c r="I35" s="18" t="n">
        <v>8800</v>
      </c>
      <c r="J35" s="18" t="n">
        <v>5099</v>
      </c>
      <c r="K35" s="37" t="n">
        <v>5099</v>
      </c>
      <c r="L35" s="18" t="n">
        <v>3750</v>
      </c>
      <c r="M35" s="18" t="n">
        <v>1472</v>
      </c>
      <c r="N35" s="18" t="n">
        <v>269</v>
      </c>
      <c r="P35" s="9" t="n"/>
      <c r="S35" s="18" t="n">
        <v>67</v>
      </c>
      <c r="T35" s="18" t="n">
        <v>0</v>
      </c>
      <c r="U35" s="37" t="n">
        <v>0</v>
      </c>
      <c r="W35" s="18" t="n">
        <v>136.47</v>
      </c>
      <c r="Y35" s="18" t="n">
        <v>365.37</v>
      </c>
      <c r="Z35" s="37" t="n">
        <v>365.37</v>
      </c>
      <c r="AA35" s="18" t="n">
        <v>340.01</v>
      </c>
      <c r="AB35" s="19" t="n">
        <v>113.4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비유동부채</t>
        </is>
      </c>
      <c r="E36" s="18" t="n">
        <v>62829</v>
      </c>
      <c r="F36" s="37" t="n">
        <v>62829</v>
      </c>
      <c r="G36" s="18" t="n">
        <v>63778</v>
      </c>
      <c r="H36" s="18" t="n">
        <v>65447</v>
      </c>
      <c r="I36" s="18" t="n">
        <v>64260</v>
      </c>
      <c r="J36" s="18" t="n">
        <v>52289</v>
      </c>
      <c r="K36" s="37" t="n">
        <v>52289</v>
      </c>
      <c r="L36" s="18" t="n">
        <v>53933</v>
      </c>
      <c r="M36" s="18" t="n">
        <v>55061</v>
      </c>
      <c r="N36" s="18" t="n">
        <v>56398</v>
      </c>
      <c r="O36" s="18" t="n">
        <v>61441</v>
      </c>
      <c r="P36" s="37" t="n">
        <v>61441</v>
      </c>
      <c r="Q36" s="18" t="n">
        <v>62779</v>
      </c>
      <c r="R36" s="18" t="n">
        <v>64063</v>
      </c>
      <c r="S36" s="18" t="n">
        <v>67717</v>
      </c>
      <c r="T36" s="18" t="n">
        <v>62949.37</v>
      </c>
      <c r="U36" s="37" t="n">
        <v>62949.37</v>
      </c>
      <c r="V36" s="18" t="n">
        <v>67459.88</v>
      </c>
      <c r="W36" s="18" t="n">
        <v>68297.7</v>
      </c>
      <c r="X36" s="18" t="n">
        <v>69769.71000000001</v>
      </c>
      <c r="Y36" s="18" t="n">
        <v>68295.34</v>
      </c>
      <c r="Z36" s="37" t="n">
        <v>68295.34</v>
      </c>
      <c r="AA36" s="18" t="n">
        <v>68360.64</v>
      </c>
      <c r="AB36" s="19" t="n">
        <v>69118.28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확정급여부채</t>
        </is>
      </c>
      <c r="E37" s="18" t="n">
        <v>37822</v>
      </c>
      <c r="F37" s="37" t="n">
        <v>37822</v>
      </c>
      <c r="G37" s="18" t="n">
        <v>38382</v>
      </c>
      <c r="H37" s="18" t="n">
        <v>39270</v>
      </c>
      <c r="I37" s="18" t="n">
        <v>39628</v>
      </c>
      <c r="J37" s="18" t="n">
        <v>31428</v>
      </c>
      <c r="K37" s="37" t="n">
        <v>31428</v>
      </c>
      <c r="L37" s="18" t="n">
        <v>32304</v>
      </c>
      <c r="M37" s="18" t="n">
        <v>33129</v>
      </c>
      <c r="N37" s="18" t="n">
        <v>33653</v>
      </c>
      <c r="O37" s="18" t="n">
        <v>35753</v>
      </c>
      <c r="P37" s="37" t="n">
        <v>35753</v>
      </c>
      <c r="Q37" s="18" t="n">
        <v>36629</v>
      </c>
      <c r="R37" s="18" t="n">
        <v>37141</v>
      </c>
      <c r="S37" s="18" t="n">
        <v>38123</v>
      </c>
      <c r="T37" s="18" t="n">
        <v>38703.49</v>
      </c>
      <c r="U37" s="37" t="n">
        <v>38703.49</v>
      </c>
      <c r="V37" s="18" t="n">
        <v>39698.49</v>
      </c>
      <c r="W37" s="18" t="n">
        <v>40688.94</v>
      </c>
      <c r="X37" s="18" t="n">
        <v>41679.69</v>
      </c>
      <c r="Y37" s="18" t="n">
        <v>41792.43</v>
      </c>
      <c r="Z37" s="37" t="n">
        <v>41792.43</v>
      </c>
      <c r="AA37" s="18" t="n">
        <v>42881.13</v>
      </c>
      <c r="AB37" s="19" t="n">
        <v>43871.59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이연법인세부채</t>
        </is>
      </c>
      <c r="E38" s="18" t="n">
        <v>20151</v>
      </c>
      <c r="F38" s="37" t="n">
        <v>20151</v>
      </c>
      <c r="G38" s="18" t="n">
        <v>20439</v>
      </c>
      <c r="H38" s="18" t="n">
        <v>20124</v>
      </c>
      <c r="I38" s="18" t="n">
        <v>18129</v>
      </c>
      <c r="J38" s="18" t="n">
        <v>15323</v>
      </c>
      <c r="K38" s="37" t="n">
        <v>15323</v>
      </c>
      <c r="L38" s="18" t="n">
        <v>15650</v>
      </c>
      <c r="M38" s="18" t="n">
        <v>15811</v>
      </c>
      <c r="N38" s="18" t="n">
        <v>16080</v>
      </c>
      <c r="O38" s="18" t="n">
        <v>18509</v>
      </c>
      <c r="P38" s="37" t="n">
        <v>18509</v>
      </c>
      <c r="Q38" s="18" t="n">
        <v>18509</v>
      </c>
      <c r="R38" s="18" t="n">
        <v>18360</v>
      </c>
      <c r="S38" s="18" t="n">
        <v>18444</v>
      </c>
      <c r="T38" s="18" t="n">
        <v>12296.12</v>
      </c>
      <c r="U38" s="37" t="n">
        <v>12296.12</v>
      </c>
      <c r="V38" s="18" t="n">
        <v>12078.9</v>
      </c>
      <c r="W38" s="18" t="n">
        <v>12011.73</v>
      </c>
      <c r="X38" s="18" t="n">
        <v>11986.17</v>
      </c>
      <c r="Y38" s="18" t="n">
        <v>3948.84</v>
      </c>
      <c r="Z38" s="37" t="n">
        <v>3948.84</v>
      </c>
      <c r="AA38" s="18" t="n">
        <v>2842</v>
      </c>
      <c r="AB38" s="19" t="n">
        <v>2711.72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장기충당부채</t>
        </is>
      </c>
      <c r="E39" s="18" t="n">
        <v>364</v>
      </c>
      <c r="F39" s="37" t="n">
        <v>364</v>
      </c>
      <c r="G39" s="18" t="n">
        <v>400</v>
      </c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장기파생상품부채</t>
        </is>
      </c>
      <c r="E40" s="18" t="n">
        <v>152</v>
      </c>
      <c r="F40" s="37" t="n">
        <v>152</v>
      </c>
      <c r="G40" s="18" t="n">
        <v>133</v>
      </c>
      <c r="H40" s="18" t="n">
        <v>308</v>
      </c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장기금융부채</t>
        </is>
      </c>
      <c r="E41" s="18" t="n">
        <v>152</v>
      </c>
      <c r="F41" s="37" t="n">
        <v>152</v>
      </c>
      <c r="G41" s="18" t="n">
        <v>133</v>
      </c>
      <c r="H41" s="18" t="n">
        <v>308</v>
      </c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기타비유동부채</t>
        </is>
      </c>
      <c r="E42" s="18" t="n">
        <v>4340</v>
      </c>
      <c r="F42" s="37" t="n">
        <v>4340</v>
      </c>
      <c r="G42" s="18" t="n">
        <v>4424</v>
      </c>
      <c r="H42" s="18" t="n">
        <v>5745</v>
      </c>
      <c r="I42" s="18" t="n">
        <v>6503</v>
      </c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부채총계</t>
        </is>
      </c>
      <c r="E43" s="18" t="n">
        <v>547996</v>
      </c>
      <c r="F43" s="37" t="n">
        <v>547996</v>
      </c>
      <c r="G43" s="18" t="n">
        <v>545375</v>
      </c>
      <c r="H43" s="18" t="n">
        <v>561640</v>
      </c>
      <c r="I43" s="18" t="n">
        <v>569890</v>
      </c>
      <c r="J43" s="18" t="n">
        <v>587363</v>
      </c>
      <c r="K43" s="37" t="n">
        <v>587363</v>
      </c>
      <c r="L43" s="18" t="n">
        <v>604905</v>
      </c>
      <c r="M43" s="18" t="n">
        <v>581658</v>
      </c>
      <c r="N43" s="18" t="n">
        <v>577488</v>
      </c>
      <c r="O43" s="18" t="n">
        <v>632835</v>
      </c>
      <c r="P43" s="37" t="n">
        <v>632835</v>
      </c>
      <c r="Q43" s="18" t="n">
        <v>705581</v>
      </c>
      <c r="R43" s="18" t="n">
        <v>709471</v>
      </c>
      <c r="S43" s="18" t="n">
        <v>695771</v>
      </c>
      <c r="T43" s="18" t="n">
        <v>680167.12</v>
      </c>
      <c r="U43" s="37" t="n">
        <v>680167.12</v>
      </c>
      <c r="V43" s="18" t="n">
        <v>650457.59</v>
      </c>
      <c r="W43" s="18" t="n">
        <v>728489.47</v>
      </c>
      <c r="X43" s="18" t="n">
        <v>755223.8199999999</v>
      </c>
      <c r="Y43" s="18" t="n">
        <v>807712.16</v>
      </c>
      <c r="Z43" s="37" t="n">
        <v>807712.16</v>
      </c>
      <c r="AA43" s="18" t="n">
        <v>842307.12</v>
      </c>
      <c r="AB43" s="19" t="n">
        <v>826690.91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자본금</t>
        </is>
      </c>
      <c r="E44" s="18" t="n">
        <v>69141</v>
      </c>
      <c r="F44" s="37" t="n">
        <v>69141</v>
      </c>
      <c r="G44" s="18" t="n">
        <v>69141</v>
      </c>
      <c r="H44" s="18" t="n">
        <v>69141</v>
      </c>
      <c r="I44" s="18" t="n">
        <v>69141</v>
      </c>
      <c r="J44" s="18" t="n">
        <v>69141</v>
      </c>
      <c r="K44" s="37" t="n">
        <v>69141</v>
      </c>
      <c r="L44" s="18" t="n">
        <v>69141</v>
      </c>
      <c r="M44" s="18" t="n">
        <v>69141</v>
      </c>
      <c r="N44" s="18" t="n">
        <v>69141</v>
      </c>
      <c r="O44" s="18" t="n">
        <v>69141</v>
      </c>
      <c r="P44" s="37" t="n">
        <v>69141</v>
      </c>
      <c r="Q44" s="18" t="n">
        <v>69141</v>
      </c>
      <c r="R44" s="18" t="n">
        <v>69141</v>
      </c>
      <c r="S44" s="18" t="n">
        <v>69141</v>
      </c>
      <c r="T44" s="18" t="n">
        <v>69140.75</v>
      </c>
      <c r="U44" s="37" t="n">
        <v>69140.75</v>
      </c>
      <c r="V44" s="18" t="n">
        <v>100370.28</v>
      </c>
      <c r="W44" s="18" t="n">
        <v>100370.28</v>
      </c>
      <c r="X44" s="18" t="n">
        <v>100370.28</v>
      </c>
      <c r="Y44" s="18" t="n">
        <v>100370.28</v>
      </c>
      <c r="Z44" s="37" t="n">
        <v>100370.28</v>
      </c>
      <c r="AA44" s="18" t="n">
        <v>100370.28</v>
      </c>
      <c r="AB44" s="19" t="n">
        <v>100370.28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자본잉여금</t>
        </is>
      </c>
      <c r="E45" s="18" t="n">
        <v>460456</v>
      </c>
      <c r="F45" s="37" t="n">
        <v>460456</v>
      </c>
      <c r="G45" s="18" t="n">
        <v>460456</v>
      </c>
      <c r="H45" s="18" t="n">
        <v>460456</v>
      </c>
      <c r="I45" s="18" t="n">
        <v>460456</v>
      </c>
      <c r="J45" s="18" t="n">
        <v>460456</v>
      </c>
      <c r="K45" s="37" t="n">
        <v>460456</v>
      </c>
      <c r="L45" s="18" t="n">
        <v>460456</v>
      </c>
      <c r="M45" s="18" t="n">
        <v>460456</v>
      </c>
      <c r="N45" s="18" t="n">
        <v>460456</v>
      </c>
      <c r="O45" s="18" t="n">
        <v>460456</v>
      </c>
      <c r="P45" s="37" t="n">
        <v>460456</v>
      </c>
      <c r="Q45" s="18" t="n">
        <v>460456</v>
      </c>
      <c r="R45" s="18" t="n">
        <v>460456</v>
      </c>
      <c r="S45" s="18" t="n">
        <v>460456</v>
      </c>
      <c r="T45" s="18" t="n">
        <v>460455.49</v>
      </c>
      <c r="U45" s="37" t="n">
        <v>460455.49</v>
      </c>
      <c r="V45" s="18" t="n">
        <v>118096.01</v>
      </c>
      <c r="W45" s="18" t="n">
        <v>118096.01</v>
      </c>
      <c r="X45" s="18" t="n">
        <v>118096.01</v>
      </c>
      <c r="Y45" s="18" t="n">
        <v>118096.01</v>
      </c>
      <c r="Z45" s="37" t="n">
        <v>118096.01</v>
      </c>
      <c r="AA45" s="18" t="n">
        <v>118096.01</v>
      </c>
      <c r="AB45" s="19" t="n">
        <v>118096.01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기타자본</t>
        </is>
      </c>
      <c r="E46" s="18" t="n">
        <v>94221</v>
      </c>
      <c r="F46" s="37" t="n">
        <v>94221</v>
      </c>
      <c r="G46" s="18" t="n">
        <v>94221</v>
      </c>
      <c r="H46" s="18" t="n">
        <v>94221</v>
      </c>
      <c r="I46" s="18" t="n">
        <v>94221</v>
      </c>
      <c r="J46" s="18" t="n">
        <v>94221</v>
      </c>
      <c r="K46" s="37" t="n">
        <v>94221</v>
      </c>
      <c r="L46" s="18" t="n">
        <v>94221</v>
      </c>
      <c r="M46" s="18" t="n">
        <v>94221</v>
      </c>
      <c r="N46" s="18" t="n">
        <v>94221</v>
      </c>
      <c r="O46" s="18" t="n">
        <v>94221</v>
      </c>
      <c r="P46" s="37" t="n">
        <v>94221</v>
      </c>
      <c r="Q46" s="18" t="n">
        <v>94221</v>
      </c>
      <c r="R46" s="18" t="n">
        <v>94221</v>
      </c>
      <c r="S46" s="18" t="n">
        <v>94221</v>
      </c>
      <c r="T46" s="18" t="n">
        <v>94220.47</v>
      </c>
      <c r="U46" s="37" t="n">
        <v>94220.47</v>
      </c>
      <c r="V46" s="18" t="n">
        <v>-130.19</v>
      </c>
      <c r="W46" s="18" t="n">
        <v>-130.19</v>
      </c>
      <c r="X46" s="18" t="n">
        <v>-130.19</v>
      </c>
      <c r="Y46" s="18" t="n">
        <v>-130.19</v>
      </c>
      <c r="Z46" s="37" t="n">
        <v>-130.19</v>
      </c>
      <c r="AA46" s="18" t="n">
        <v>-130.19</v>
      </c>
      <c r="AB46" s="19" t="n">
        <v>-130.19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기타포괄이익누계액</t>
        </is>
      </c>
      <c r="E47" s="18" t="n">
        <v>46124</v>
      </c>
      <c r="F47" s="37" t="n">
        <v>46124</v>
      </c>
      <c r="G47" s="18" t="n">
        <v>46132</v>
      </c>
      <c r="H47" s="18" t="n">
        <v>46115</v>
      </c>
      <c r="I47" s="18" t="n">
        <v>43793</v>
      </c>
      <c r="J47" s="18" t="n">
        <v>46634</v>
      </c>
      <c r="K47" s="37" t="n">
        <v>46634</v>
      </c>
      <c r="L47" s="18" t="n">
        <v>46596</v>
      </c>
      <c r="M47" s="18" t="n">
        <v>46643</v>
      </c>
      <c r="N47" s="18" t="n">
        <v>46725</v>
      </c>
      <c r="O47" s="18" t="n">
        <v>45248</v>
      </c>
      <c r="P47" s="37" t="n">
        <v>45248</v>
      </c>
      <c r="Q47" s="18" t="n">
        <v>45245</v>
      </c>
      <c r="R47" s="18" t="n">
        <v>45405</v>
      </c>
      <c r="S47" s="18" t="n">
        <v>45414</v>
      </c>
      <c r="T47" s="18" t="n">
        <v>45843.32</v>
      </c>
      <c r="U47" s="37" t="n">
        <v>45843.32</v>
      </c>
      <c r="V47" s="18" t="n">
        <v>45895.24</v>
      </c>
      <c r="W47" s="18" t="n">
        <v>46431.85</v>
      </c>
      <c r="X47" s="18" t="n">
        <v>47157.4</v>
      </c>
      <c r="Y47" s="18" t="n">
        <v>46542.89</v>
      </c>
      <c r="Z47" s="37" t="n">
        <v>46542.89</v>
      </c>
      <c r="AA47" s="18" t="n">
        <v>46078.18</v>
      </c>
      <c r="AB47" s="19" t="n">
        <v>45851.63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이익잉여금</t>
        </is>
      </c>
      <c r="E48" s="18" t="n">
        <v>-394864</v>
      </c>
      <c r="F48" s="37" t="n">
        <v>-394864</v>
      </c>
      <c r="G48" s="18" t="n">
        <v>-399035</v>
      </c>
      <c r="H48" s="18" t="n">
        <v>-402015</v>
      </c>
      <c r="I48" s="18" t="n">
        <v>-409401</v>
      </c>
      <c r="J48" s="18" t="n">
        <v>-420269</v>
      </c>
      <c r="K48" s="37" t="n">
        <v>-420269</v>
      </c>
      <c r="L48" s="18" t="n">
        <v>-425623</v>
      </c>
      <c r="M48" s="18" t="n">
        <v>-426525</v>
      </c>
      <c r="N48" s="18" t="n">
        <v>-429509</v>
      </c>
      <c r="O48" s="18" t="n">
        <v>-422027</v>
      </c>
      <c r="P48" s="37" t="n">
        <v>-422027</v>
      </c>
      <c r="Q48" s="18" t="n">
        <v>-423985</v>
      </c>
      <c r="R48" s="18" t="n">
        <v>-413214</v>
      </c>
      <c r="S48" s="18" t="n">
        <v>-414815</v>
      </c>
      <c r="T48" s="18" t="n">
        <v>-412136.54</v>
      </c>
      <c r="U48" s="37" t="n">
        <v>-412136.54</v>
      </c>
      <c r="V48" s="18" t="n">
        <v>932.75</v>
      </c>
      <c r="W48" s="18" t="n">
        <v>28360.48</v>
      </c>
      <c r="X48" s="18" t="n">
        <v>41046.92</v>
      </c>
      <c r="Y48" s="18" t="n">
        <v>53143.27</v>
      </c>
      <c r="Z48" s="37" t="n">
        <v>53143.27</v>
      </c>
      <c r="AA48" s="18" t="n">
        <v>68786.24000000001</v>
      </c>
      <c r="AB48" s="19" t="n">
        <v>89774.63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자본총계</t>
        </is>
      </c>
      <c r="E49" s="18" t="n">
        <v>275078</v>
      </c>
      <c r="F49" s="37" t="n">
        <v>275078</v>
      </c>
      <c r="G49" s="18" t="n">
        <v>270915</v>
      </c>
      <c r="H49" s="18" t="n">
        <v>267918</v>
      </c>
      <c r="I49" s="18" t="n">
        <v>258210</v>
      </c>
      <c r="J49" s="18" t="n">
        <v>250183</v>
      </c>
      <c r="K49" s="37" t="n">
        <v>250183</v>
      </c>
      <c r="L49" s="18" t="n">
        <v>244791</v>
      </c>
      <c r="M49" s="18" t="n">
        <v>243936</v>
      </c>
      <c r="N49" s="18" t="n">
        <v>241034</v>
      </c>
      <c r="O49" s="18" t="n">
        <v>247039</v>
      </c>
      <c r="P49" s="37" t="n">
        <v>247039</v>
      </c>
      <c r="Q49" s="18" t="n">
        <v>245078</v>
      </c>
      <c r="R49" s="18" t="n">
        <v>256009</v>
      </c>
      <c r="S49" s="18" t="n">
        <v>254417</v>
      </c>
      <c r="T49" s="18" t="n">
        <v>257523.49</v>
      </c>
      <c r="U49" s="37" t="n">
        <v>257523.49</v>
      </c>
      <c r="V49" s="18" t="n">
        <v>265164.1</v>
      </c>
      <c r="W49" s="18" t="n">
        <v>293128.43</v>
      </c>
      <c r="X49" s="18" t="n">
        <v>306540.42</v>
      </c>
      <c r="Y49" s="18" t="n">
        <v>318022.26</v>
      </c>
      <c r="Z49" s="37" t="n">
        <v>318022.26</v>
      </c>
      <c r="AA49" s="18" t="n">
        <v>333200.53</v>
      </c>
      <c r="AB49" s="19" t="n">
        <v>353962.36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부채와자본총계</t>
        </is>
      </c>
      <c r="E50" s="18" t="n">
        <v>823074</v>
      </c>
      <c r="F50" s="37" t="n">
        <v>823074</v>
      </c>
      <c r="G50" s="18" t="n">
        <v>816290</v>
      </c>
      <c r="H50" s="18" t="n">
        <v>829558</v>
      </c>
      <c r="I50" s="18" t="n">
        <v>828100</v>
      </c>
      <c r="J50" s="18" t="n">
        <v>837546</v>
      </c>
      <c r="K50" s="37" t="n">
        <v>837546</v>
      </c>
      <c r="L50" s="18" t="n">
        <v>849696</v>
      </c>
      <c r="M50" s="18" t="n">
        <v>825594</v>
      </c>
      <c r="N50" s="18" t="n">
        <v>818522</v>
      </c>
      <c r="O50" s="18" t="n">
        <v>879874</v>
      </c>
      <c r="P50" s="37" t="n">
        <v>879874</v>
      </c>
      <c r="Q50" s="18" t="n">
        <v>950659</v>
      </c>
      <c r="R50" s="18" t="n">
        <v>965480</v>
      </c>
      <c r="S50" s="18" t="n">
        <v>950188</v>
      </c>
      <c r="T50" s="18" t="n">
        <v>937690.62</v>
      </c>
      <c r="U50" s="37" t="n">
        <v>937690.62</v>
      </c>
      <c r="V50" s="18" t="n">
        <v>915621.6899999999</v>
      </c>
      <c r="W50" s="18" t="n">
        <v>1021617.9</v>
      </c>
      <c r="X50" s="18" t="n">
        <v>1061764.24</v>
      </c>
      <c r="Y50" s="18" t="n">
        <v>1125734.42</v>
      </c>
      <c r="Z50" s="37" t="n">
        <v>1125734.42</v>
      </c>
      <c r="AA50" s="18" t="n">
        <v>1175507.64</v>
      </c>
      <c r="AB50" s="19" t="n">
        <v>1180653.27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지배주주지분</t>
        </is>
      </c>
      <c r="E51" s="18" t="n">
        <v>275078</v>
      </c>
      <c r="F51" s="37" t="n">
        <v>275078</v>
      </c>
      <c r="G51" s="18" t="n">
        <v>270915</v>
      </c>
      <c r="H51" s="18" t="n">
        <v>267918</v>
      </c>
      <c r="I51" s="18" t="n">
        <v>258210</v>
      </c>
      <c r="J51" s="18" t="n">
        <v>250183</v>
      </c>
      <c r="K51" s="37" t="n">
        <v>250183</v>
      </c>
      <c r="L51" s="18" t="n">
        <v>244791</v>
      </c>
      <c r="M51" s="18" t="n">
        <v>243936</v>
      </c>
      <c r="N51" s="18" t="n">
        <v>241034</v>
      </c>
      <c r="O51" s="18" t="n">
        <v>247039</v>
      </c>
      <c r="P51" s="37" t="n">
        <v>247039</v>
      </c>
      <c r="Q51" s="18" t="n">
        <v>245078</v>
      </c>
      <c r="R51" s="18" t="n">
        <v>256009</v>
      </c>
      <c r="S51" s="18" t="n">
        <v>254417</v>
      </c>
      <c r="T51" s="18" t="n">
        <v>257523.49</v>
      </c>
      <c r="U51" s="37" t="n">
        <v>257523.49</v>
      </c>
      <c r="V51" s="18" t="n">
        <v>265164.1</v>
      </c>
      <c r="W51" s="18" t="n">
        <v>293128.43</v>
      </c>
      <c r="X51" s="18" t="n">
        <v>306540.42</v>
      </c>
      <c r="Y51" s="18" t="n">
        <v>318022.26</v>
      </c>
      <c r="Z51" s="37" t="n">
        <v>318022.26</v>
      </c>
      <c r="AA51" s="18" t="n">
        <v>333200.53</v>
      </c>
      <c r="AB51" s="19" t="n">
        <v>353962.36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총차입금</t>
        </is>
      </c>
      <c r="E52" s="18" t="n">
        <v>258774</v>
      </c>
      <c r="F52" s="37" t="n">
        <v>258774</v>
      </c>
      <c r="G52" s="18" t="n">
        <v>245826</v>
      </c>
      <c r="H52" s="18" t="n">
        <v>234164</v>
      </c>
      <c r="I52" s="18" t="n">
        <v>239521</v>
      </c>
      <c r="J52" s="18" t="n">
        <v>237830</v>
      </c>
      <c r="K52" s="37" t="n">
        <v>237830</v>
      </c>
      <c r="L52" s="18" t="n">
        <v>251122</v>
      </c>
      <c r="M52" s="18" t="n">
        <v>244348</v>
      </c>
      <c r="N52" s="18" t="n">
        <v>245130</v>
      </c>
      <c r="O52" s="18" t="n">
        <v>259304</v>
      </c>
      <c r="P52" s="37" t="n">
        <v>259304</v>
      </c>
      <c r="Q52" s="18" t="n">
        <v>299178</v>
      </c>
      <c r="R52" s="18" t="n">
        <v>324066</v>
      </c>
      <c r="S52" s="18" t="n">
        <v>328482</v>
      </c>
      <c r="T52" s="18" t="n">
        <v>312315.66</v>
      </c>
      <c r="U52" s="37" t="n">
        <v>312315.66</v>
      </c>
      <c r="V52" s="18" t="n">
        <v>286065.88</v>
      </c>
      <c r="W52" s="18" t="n">
        <v>297443.71</v>
      </c>
      <c r="X52" s="18" t="n">
        <v>309162.23</v>
      </c>
      <c r="Y52" s="18" t="n">
        <v>313612.95</v>
      </c>
      <c r="Z52" s="37" t="n">
        <v>313612.95</v>
      </c>
      <c r="AA52" s="18" t="n">
        <v>352748.37</v>
      </c>
      <c r="AB52" s="19" t="n">
        <v>343225.74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순차입금</t>
        </is>
      </c>
      <c r="E53" s="18" t="n">
        <v>155709</v>
      </c>
      <c r="F53" s="37" t="n">
        <v>155709</v>
      </c>
      <c r="G53" s="18" t="n">
        <v>137663</v>
      </c>
      <c r="H53" s="18" t="n">
        <v>154300</v>
      </c>
      <c r="I53" s="18" t="n">
        <v>176067</v>
      </c>
      <c r="J53" s="18" t="n">
        <v>140140</v>
      </c>
      <c r="K53" s="37" t="n">
        <v>140140</v>
      </c>
      <c r="L53" s="18" t="n">
        <v>189489</v>
      </c>
      <c r="M53" s="18" t="n">
        <v>176703</v>
      </c>
      <c r="N53" s="18" t="n">
        <v>195524</v>
      </c>
      <c r="O53" s="18" t="n">
        <v>181514</v>
      </c>
      <c r="P53" s="37" t="n">
        <v>181514</v>
      </c>
      <c r="Q53" s="18" t="n">
        <v>200029</v>
      </c>
      <c r="R53" s="18" t="n">
        <v>227131</v>
      </c>
      <c r="S53" s="18" t="n">
        <v>239714</v>
      </c>
      <c r="T53" s="18" t="n">
        <v>187564.17</v>
      </c>
      <c r="U53" s="37" t="n">
        <v>187564.17</v>
      </c>
      <c r="V53" s="18" t="n">
        <v>246555.73</v>
      </c>
      <c r="W53" s="18" t="n">
        <v>193717.78</v>
      </c>
      <c r="X53" s="18" t="n">
        <v>150685.15</v>
      </c>
      <c r="Y53" s="18" t="n">
        <v>153545.26</v>
      </c>
      <c r="Z53" s="37" t="n">
        <v>153545.26</v>
      </c>
      <c r="AA53" s="18" t="n">
        <v>240098.4</v>
      </c>
      <c r="AB53" s="19" t="n">
        <v>227882.1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이자발생자산</t>
        </is>
      </c>
      <c r="E54" s="18" t="n">
        <v>103065</v>
      </c>
      <c r="F54" s="37" t="n">
        <v>103065</v>
      </c>
      <c r="G54" s="18" t="n">
        <v>108163</v>
      </c>
      <c r="H54" s="18" t="n">
        <v>79864</v>
      </c>
      <c r="I54" s="18" t="n">
        <v>63454</v>
      </c>
      <c r="J54" s="18" t="n">
        <v>105598</v>
      </c>
      <c r="K54" s="37" t="n">
        <v>105598</v>
      </c>
      <c r="L54" s="18" t="n">
        <v>61633</v>
      </c>
      <c r="M54" s="18" t="n">
        <v>67645</v>
      </c>
      <c r="N54" s="18" t="n">
        <v>49606</v>
      </c>
      <c r="O54" s="18" t="n">
        <v>86334</v>
      </c>
      <c r="P54" s="37" t="n">
        <v>86334</v>
      </c>
      <c r="Q54" s="18" t="n">
        <v>107643</v>
      </c>
      <c r="R54" s="18" t="n">
        <v>105800</v>
      </c>
      <c r="S54" s="18" t="n">
        <v>97633</v>
      </c>
      <c r="T54" s="18" t="n">
        <v>133922.02</v>
      </c>
      <c r="U54" s="37" t="n">
        <v>133922.02</v>
      </c>
      <c r="V54" s="18" t="n">
        <v>48704.15</v>
      </c>
      <c r="W54" s="18" t="n">
        <v>114669.67</v>
      </c>
      <c r="X54" s="18" t="n">
        <v>171352.96</v>
      </c>
      <c r="Y54" s="18" t="n">
        <v>173034.06</v>
      </c>
      <c r="Z54" s="37" t="n">
        <v>173034.06</v>
      </c>
      <c r="AA54" s="18" t="n">
        <v>126082.52</v>
      </c>
      <c r="AB54" s="19" t="n">
        <v>128401.58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단기금융상품</t>
        </is>
      </c>
      <c r="F55" s="9" t="n"/>
      <c r="J55" s="18" t="n">
        <v>8945</v>
      </c>
      <c r="K55" s="37" t="n">
        <v>8945</v>
      </c>
      <c r="O55" s="18" t="n">
        <v>245</v>
      </c>
      <c r="P55" s="37" t="n">
        <v>245</v>
      </c>
      <c r="Q55" s="18" t="n">
        <v>250</v>
      </c>
      <c r="R55" s="18" t="n">
        <v>175</v>
      </c>
      <c r="S55" s="18" t="n">
        <v>177</v>
      </c>
      <c r="T55" s="18" t="n">
        <v>186.4</v>
      </c>
      <c r="U55" s="37" t="n">
        <v>186.4</v>
      </c>
      <c r="V55" s="18" t="n">
        <v>192.05</v>
      </c>
      <c r="W55" s="18" t="n">
        <v>335.26</v>
      </c>
      <c r="X55" s="18" t="n">
        <v>308.59</v>
      </c>
      <c r="Y55" s="18" t="n">
        <v>6009.5</v>
      </c>
      <c r="Z55" s="37" t="n">
        <v>6009.5</v>
      </c>
      <c r="AA55" s="18" t="n">
        <v>12950.3</v>
      </c>
      <c r="AB55" s="19" t="n">
        <v>13183.48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유동파생상품자산</t>
        </is>
      </c>
      <c r="F56" s="9" t="n"/>
      <c r="J56" s="18" t="n">
        <v>854</v>
      </c>
      <c r="K56" s="37" t="n">
        <v>854</v>
      </c>
      <c r="L56" s="18" t="n">
        <v>157</v>
      </c>
      <c r="M56" s="18" t="n">
        <v>3</v>
      </c>
      <c r="P56" s="9" t="n"/>
      <c r="Q56" s="18" t="n">
        <v>15</v>
      </c>
      <c r="R56" s="18" t="n">
        <v>456</v>
      </c>
      <c r="S56" s="18" t="n">
        <v>127</v>
      </c>
      <c r="T56" s="18" t="n">
        <v>1912.82</v>
      </c>
      <c r="U56" s="37" t="n">
        <v>1912.82</v>
      </c>
      <c r="V56" s="18" t="n">
        <v>2778.07</v>
      </c>
      <c r="W56" s="18" t="n">
        <v>2255.94</v>
      </c>
      <c r="X56" s="18" t="n">
        <v>1958.64</v>
      </c>
      <c r="Y56" s="18" t="n">
        <v>1262.77</v>
      </c>
      <c r="Z56" s="37" t="n">
        <v>1262.77</v>
      </c>
      <c r="AA56" s="18" t="n">
        <v>1396.87</v>
      </c>
      <c r="AB56" s="19" t="n">
        <v>1330.2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장기금융자산</t>
        </is>
      </c>
      <c r="F57" s="9" t="n"/>
      <c r="J57" s="18" t="n">
        <v>7908</v>
      </c>
      <c r="K57" s="37" t="n">
        <v>7908</v>
      </c>
      <c r="O57" s="18" t="n">
        <v>8544</v>
      </c>
      <c r="P57" s="37" t="n">
        <v>8544</v>
      </c>
      <c r="Q57" s="18" t="n">
        <v>8494</v>
      </c>
      <c r="R57" s="18" t="n">
        <v>8865</v>
      </c>
      <c r="S57" s="18" t="n">
        <v>8865</v>
      </c>
      <c r="T57" s="18" t="n">
        <v>9170.530000000001</v>
      </c>
      <c r="U57" s="37" t="n">
        <v>9170.530000000001</v>
      </c>
      <c r="V57" s="18" t="n">
        <v>9194</v>
      </c>
      <c r="W57" s="18" t="n">
        <v>10943.74</v>
      </c>
      <c r="X57" s="18" t="n">
        <v>12875.88</v>
      </c>
      <c r="Y57" s="18" t="n">
        <v>12966.37</v>
      </c>
      <c r="Z57" s="37" t="n">
        <v>12966.37</v>
      </c>
      <c r="AA57" s="18" t="n">
        <v>13432.55</v>
      </c>
      <c r="AB57" s="19" t="n">
        <v>13057.94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당기법인세부채(미지급법인세)</t>
        </is>
      </c>
      <c r="F58" s="9" t="n"/>
      <c r="K58" s="9" t="n"/>
      <c r="P58" s="9" t="n"/>
      <c r="R58" s="18" t="n">
        <v>18</v>
      </c>
      <c r="U58" s="9" t="n"/>
      <c r="W58" s="18" t="n">
        <v>122.51</v>
      </c>
      <c r="X58" s="18" t="n">
        <v>226.28</v>
      </c>
      <c r="Y58" s="18" t="n">
        <v>628.52</v>
      </c>
      <c r="Z58" s="37" t="n">
        <v>628.52</v>
      </c>
      <c r="AA58" s="18" t="n">
        <v>254.13</v>
      </c>
      <c r="AB58" s="19" t="n">
        <v>1131.48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장기차입금</t>
        </is>
      </c>
      <c r="F59" s="9" t="n"/>
      <c r="K59" s="9" t="n"/>
      <c r="P59" s="9" t="n"/>
      <c r="U59" s="9" t="n"/>
      <c r="V59" s="18" t="n">
        <v>3333.33</v>
      </c>
      <c r="W59" s="18" t="n">
        <v>2916.67</v>
      </c>
      <c r="X59" s="18" t="n">
        <v>2500</v>
      </c>
      <c r="Y59" s="18" t="n">
        <v>2083.33</v>
      </c>
      <c r="Z59" s="37" t="n">
        <v>2083.33</v>
      </c>
      <c r="AA59" s="18" t="n">
        <v>1666.67</v>
      </c>
      <c r="AB59" s="19" t="n">
        <v>0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매출액(수익)</t>
        </is>
      </c>
      <c r="E60" s="18" t="n">
        <v>151774</v>
      </c>
      <c r="F60" s="9" t="n"/>
      <c r="G60" s="18" t="n">
        <v>105667</v>
      </c>
      <c r="H60" s="18" t="n">
        <v>97882</v>
      </c>
      <c r="I60" s="18" t="n">
        <v>127452</v>
      </c>
      <c r="J60" s="18" t="n">
        <v>183734</v>
      </c>
      <c r="K60" s="37" t="n">
        <v>514735</v>
      </c>
      <c r="L60" s="18" t="n">
        <v>107440</v>
      </c>
      <c r="M60" s="18" t="n">
        <v>152706</v>
      </c>
      <c r="N60" s="18" t="n">
        <v>128856</v>
      </c>
      <c r="O60" s="18" t="n">
        <v>207937</v>
      </c>
      <c r="P60" s="37" t="n">
        <v>596939</v>
      </c>
      <c r="Q60" s="18" t="n">
        <v>104766</v>
      </c>
      <c r="R60" s="18" t="n">
        <v>188265</v>
      </c>
      <c r="S60" s="18" t="n">
        <v>184391</v>
      </c>
      <c r="T60" s="18" t="n">
        <v>210535.76</v>
      </c>
      <c r="U60" s="37" t="n">
        <v>687957.76</v>
      </c>
      <c r="V60" s="18" t="n">
        <v>128358.99</v>
      </c>
      <c r="W60" s="18" t="n">
        <v>203266.1</v>
      </c>
      <c r="X60" s="18" t="n">
        <v>182355.89</v>
      </c>
      <c r="Y60" s="18" t="n">
        <v>230837.49</v>
      </c>
      <c r="Z60" s="37" t="n">
        <v>744818.47</v>
      </c>
      <c r="AA60" s="18" t="n">
        <v>177968.18</v>
      </c>
      <c r="AB60" s="19" t="n">
        <v>203304.81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매출원가</t>
        </is>
      </c>
      <c r="E61" s="18" t="n">
        <v>143366</v>
      </c>
      <c r="F61" s="9" t="n"/>
      <c r="G61" s="18" t="n">
        <v>98006</v>
      </c>
      <c r="H61" s="18" t="n">
        <v>90104</v>
      </c>
      <c r="I61" s="18" t="n">
        <v>117455</v>
      </c>
      <c r="J61" s="18" t="n">
        <v>185083</v>
      </c>
      <c r="K61" s="37" t="n">
        <v>490648</v>
      </c>
      <c r="L61" s="18" t="n">
        <v>101507</v>
      </c>
      <c r="M61" s="18" t="n">
        <v>141996</v>
      </c>
      <c r="N61" s="18" t="n">
        <v>118151</v>
      </c>
      <c r="O61" s="18" t="n">
        <v>178994</v>
      </c>
      <c r="P61" s="37" t="n">
        <v>540648</v>
      </c>
      <c r="Q61" s="18" t="n">
        <v>90336</v>
      </c>
      <c r="R61" s="18" t="n">
        <v>160310</v>
      </c>
      <c r="S61" s="18" t="n">
        <v>168527</v>
      </c>
      <c r="T61" s="18" t="n">
        <v>185741.93</v>
      </c>
      <c r="U61" s="37" t="n">
        <v>604914.9300000001</v>
      </c>
      <c r="V61" s="18" t="n">
        <v>103364.44</v>
      </c>
      <c r="W61" s="18" t="n">
        <v>162453.25</v>
      </c>
      <c r="X61" s="18" t="n">
        <v>154679.16</v>
      </c>
      <c r="Y61" s="18" t="n">
        <v>209087.33</v>
      </c>
      <c r="Z61" s="37" t="n">
        <v>629584.1800000001</v>
      </c>
      <c r="AA61" s="18" t="n">
        <v>150128.93</v>
      </c>
      <c r="AB61" s="19" t="n">
        <v>166101.53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매출총이익</t>
        </is>
      </c>
      <c r="E62" s="18" t="n">
        <v>8408</v>
      </c>
      <c r="F62" s="9" t="n"/>
      <c r="G62" s="18" t="n">
        <v>7661</v>
      </c>
      <c r="H62" s="18" t="n">
        <v>7778</v>
      </c>
      <c r="I62" s="18" t="n">
        <v>9997</v>
      </c>
      <c r="J62" s="18" t="n">
        <v>-1349</v>
      </c>
      <c r="K62" s="37" t="n">
        <v>24087</v>
      </c>
      <c r="L62" s="18" t="n">
        <v>5933</v>
      </c>
      <c r="M62" s="18" t="n">
        <v>10710</v>
      </c>
      <c r="N62" s="18" t="n">
        <v>10705</v>
      </c>
      <c r="O62" s="18" t="n">
        <v>28943</v>
      </c>
      <c r="P62" s="37" t="n">
        <v>56291</v>
      </c>
      <c r="Q62" s="18" t="n">
        <v>14430</v>
      </c>
      <c r="R62" s="18" t="n">
        <v>27955</v>
      </c>
      <c r="S62" s="18" t="n">
        <v>15864</v>
      </c>
      <c r="T62" s="18" t="n">
        <v>24793.83</v>
      </c>
      <c r="U62" s="37" t="n">
        <v>83042.83</v>
      </c>
      <c r="V62" s="18" t="n">
        <v>24994.55</v>
      </c>
      <c r="W62" s="18" t="n">
        <v>40812.85</v>
      </c>
      <c r="X62" s="18" t="n">
        <v>27676.73</v>
      </c>
      <c r="Y62" s="18" t="n">
        <v>21750.15</v>
      </c>
      <c r="Z62" s="37" t="n">
        <v>115234.28</v>
      </c>
      <c r="AA62" s="18" t="n">
        <v>27839.26</v>
      </c>
      <c r="AB62" s="19" t="n">
        <v>37203.28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판관비</t>
        </is>
      </c>
      <c r="E63" s="18" t="n">
        <v>3938</v>
      </c>
      <c r="F63" s="9" t="n"/>
      <c r="G63" s="18" t="n">
        <v>9519</v>
      </c>
      <c r="H63" s="18" t="n">
        <v>8396</v>
      </c>
      <c r="I63" s="18" t="n">
        <v>9998</v>
      </c>
      <c r="J63" s="18" t="n">
        <v>8060</v>
      </c>
      <c r="K63" s="37" t="n">
        <v>35973</v>
      </c>
      <c r="L63" s="18" t="n">
        <v>8220</v>
      </c>
      <c r="M63" s="18" t="n">
        <v>8720</v>
      </c>
      <c r="N63" s="18" t="n">
        <v>10561</v>
      </c>
      <c r="O63" s="18" t="n">
        <v>12228</v>
      </c>
      <c r="P63" s="37" t="n">
        <v>39729</v>
      </c>
      <c r="Q63" s="18" t="n">
        <v>9558</v>
      </c>
      <c r="R63" s="18" t="n">
        <v>9138</v>
      </c>
      <c r="S63" s="18" t="n">
        <v>11380</v>
      </c>
      <c r="T63" s="18" t="n">
        <v>15594.89</v>
      </c>
      <c r="U63" s="37" t="n">
        <v>45670.89</v>
      </c>
      <c r="V63" s="18" t="n">
        <v>10288.5</v>
      </c>
      <c r="W63" s="18" t="n">
        <v>10221.68</v>
      </c>
      <c r="X63" s="18" t="n">
        <v>13448.64</v>
      </c>
      <c r="Y63" s="18" t="n">
        <v>16522.16</v>
      </c>
      <c r="Z63" s="37" t="n">
        <v>50480.98</v>
      </c>
      <c r="AA63" s="18" t="n">
        <v>11357.24</v>
      </c>
      <c r="AB63" s="19" t="n">
        <v>13203.91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영업이익</t>
        </is>
      </c>
      <c r="E64" s="18" t="n">
        <v>4470</v>
      </c>
      <c r="F64" s="9" t="n"/>
      <c r="G64" s="18" t="n">
        <v>-1858</v>
      </c>
      <c r="H64" s="18" t="n">
        <v>-618</v>
      </c>
      <c r="I64" s="18" t="n">
        <v>-1</v>
      </c>
      <c r="J64" s="18" t="n">
        <v>-9409</v>
      </c>
      <c r="K64" s="37" t="n">
        <v>-11886</v>
      </c>
      <c r="L64" s="18" t="n">
        <v>-2287</v>
      </c>
      <c r="M64" s="18" t="n">
        <v>1990</v>
      </c>
      <c r="N64" s="18" t="n">
        <v>144</v>
      </c>
      <c r="O64" s="18" t="n">
        <v>16715</v>
      </c>
      <c r="P64" s="37" t="n">
        <v>16562</v>
      </c>
      <c r="Q64" s="18" t="n">
        <v>4872</v>
      </c>
      <c r="R64" s="18" t="n">
        <v>18817</v>
      </c>
      <c r="S64" s="18" t="n">
        <v>4484</v>
      </c>
      <c r="T64" s="18" t="n">
        <v>9198.940000000001</v>
      </c>
      <c r="U64" s="37" t="n">
        <v>37371.94</v>
      </c>
      <c r="V64" s="18" t="n">
        <v>14706.05</v>
      </c>
      <c r="W64" s="18" t="n">
        <v>30591.17</v>
      </c>
      <c r="X64" s="18" t="n">
        <v>14228.09</v>
      </c>
      <c r="Y64" s="18" t="n">
        <v>5227.99</v>
      </c>
      <c r="Z64" s="37" t="n">
        <v>64753.3</v>
      </c>
      <c r="AA64" s="18" t="n">
        <v>16482.02</v>
      </c>
      <c r="AB64" s="19" t="n">
        <v>23999.37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기타영업외수익</t>
        </is>
      </c>
      <c r="E65" s="18" t="n">
        <v>2021</v>
      </c>
      <c r="F65" s="9" t="n"/>
      <c r="G65" s="18" t="n">
        <v>106</v>
      </c>
      <c r="H65" s="18" t="n">
        <v>598</v>
      </c>
      <c r="I65" s="18" t="n">
        <v>7464</v>
      </c>
      <c r="J65" s="18" t="n">
        <v>4821</v>
      </c>
      <c r="K65" s="37" t="n">
        <v>12989</v>
      </c>
      <c r="L65" s="18" t="n">
        <v>2770</v>
      </c>
      <c r="M65" s="18" t="n">
        <v>1233</v>
      </c>
      <c r="N65" s="18" t="n">
        <v>291</v>
      </c>
      <c r="O65" s="18" t="n">
        <v>221</v>
      </c>
      <c r="P65" s="37" t="n">
        <v>4515</v>
      </c>
      <c r="Q65" s="18" t="n">
        <v>324</v>
      </c>
      <c r="R65" s="18" t="n">
        <v>71</v>
      </c>
      <c r="S65" s="18" t="n">
        <v>63</v>
      </c>
      <c r="T65" s="18" t="n">
        <v>688.04</v>
      </c>
      <c r="U65" s="37" t="n">
        <v>1146.04</v>
      </c>
      <c r="V65" s="18" t="n">
        <v>75.45999999999999</v>
      </c>
      <c r="W65" s="18" t="n">
        <v>225.8</v>
      </c>
      <c r="X65" s="18" t="n">
        <v>296.37</v>
      </c>
      <c r="Y65" s="18" t="n">
        <v>3070.28</v>
      </c>
      <c r="Z65" s="37" t="n">
        <v>3667.91</v>
      </c>
      <c r="AA65" s="18" t="n">
        <v>243.34</v>
      </c>
      <c r="AB65" s="19" t="n">
        <v>1104.45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기타영업외비용</t>
        </is>
      </c>
      <c r="E66" s="18" t="n">
        <v>653</v>
      </c>
      <c r="F66" s="9" t="n"/>
      <c r="G66" s="18" t="n">
        <v>510</v>
      </c>
      <c r="H66" s="18" t="n">
        <v>1173</v>
      </c>
      <c r="I66" s="18" t="n">
        <v>6098</v>
      </c>
      <c r="J66" s="18" t="n">
        <v>17412</v>
      </c>
      <c r="K66" s="37" t="n">
        <v>25193</v>
      </c>
      <c r="L66" s="18" t="n">
        <v>364</v>
      </c>
      <c r="M66" s="18" t="n">
        <v>123</v>
      </c>
      <c r="N66" s="18" t="n">
        <v>248</v>
      </c>
      <c r="O66" s="18" t="n">
        <v>112</v>
      </c>
      <c r="P66" s="37" t="n">
        <v>847</v>
      </c>
      <c r="Q66" s="18" t="n">
        <v>261</v>
      </c>
      <c r="R66" s="18" t="n">
        <v>36</v>
      </c>
      <c r="S66" s="18" t="n">
        <v>286</v>
      </c>
      <c r="T66" s="18" t="n">
        <v>392.46</v>
      </c>
      <c r="U66" s="37" t="n">
        <v>975.46</v>
      </c>
      <c r="V66" s="18" t="n">
        <v>54.76</v>
      </c>
      <c r="W66" s="18" t="n">
        <v>48.25</v>
      </c>
      <c r="X66" s="18" t="n">
        <v>209.14</v>
      </c>
      <c r="Y66" s="18" t="n">
        <v>24.38</v>
      </c>
      <c r="Z66" s="37" t="n">
        <v>336.53</v>
      </c>
      <c r="AA66" s="18" t="n">
        <v>39.21</v>
      </c>
      <c r="AB66" s="19" t="n">
        <v>37.44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금융수익</t>
        </is>
      </c>
      <c r="E67" s="18" t="n">
        <v>5707</v>
      </c>
      <c r="F67" s="9" t="n"/>
      <c r="G67" s="18" t="n">
        <v>3485</v>
      </c>
      <c r="H67" s="18" t="n">
        <v>7944</v>
      </c>
      <c r="I67" s="18" t="n">
        <v>6052</v>
      </c>
      <c r="J67" s="18" t="n">
        <v>4384</v>
      </c>
      <c r="K67" s="37" t="n">
        <v>21865</v>
      </c>
      <c r="L67" s="18" t="n">
        <v>7007</v>
      </c>
      <c r="M67" s="18" t="n">
        <v>2296</v>
      </c>
      <c r="N67" s="18" t="n">
        <v>3232</v>
      </c>
      <c r="O67" s="18" t="n">
        <v>1572</v>
      </c>
      <c r="P67" s="37" t="n">
        <v>14107</v>
      </c>
      <c r="Q67" s="18" t="n">
        <v>4043</v>
      </c>
      <c r="R67" s="18" t="n">
        <v>3469</v>
      </c>
      <c r="S67" s="18" t="n">
        <v>1687</v>
      </c>
      <c r="T67" s="18" t="n">
        <v>5234.29</v>
      </c>
      <c r="U67" s="37" t="n">
        <v>14433.29</v>
      </c>
      <c r="V67" s="18" t="n">
        <v>8761.540000000001</v>
      </c>
      <c r="W67" s="18" t="n">
        <v>5127.74</v>
      </c>
      <c r="X67" s="18" t="n">
        <v>5374.05</v>
      </c>
      <c r="Y67" s="18" t="n">
        <v>6145.05</v>
      </c>
      <c r="Z67" s="37" t="n">
        <v>25408.38</v>
      </c>
      <c r="AA67" s="18" t="n">
        <v>7142.89</v>
      </c>
      <c r="AB67" s="19" t="n">
        <v>4894.05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금융비용</t>
        </is>
      </c>
      <c r="E68" s="18" t="n">
        <v>6216</v>
      </c>
      <c r="F68" s="9" t="n"/>
      <c r="G68" s="18" t="n">
        <v>4804</v>
      </c>
      <c r="H68" s="18" t="n">
        <v>9801</v>
      </c>
      <c r="I68" s="18" t="n">
        <v>16487</v>
      </c>
      <c r="J68" s="18" t="n">
        <v>-1459</v>
      </c>
      <c r="K68" s="37" t="n">
        <v>29633</v>
      </c>
      <c r="L68" s="18" t="n">
        <v>11907</v>
      </c>
      <c r="M68" s="18" t="n">
        <v>5916</v>
      </c>
      <c r="N68" s="18" t="n">
        <v>5922</v>
      </c>
      <c r="O68" s="18" t="n">
        <v>5239</v>
      </c>
      <c r="P68" s="37" t="n">
        <v>28984</v>
      </c>
      <c r="Q68" s="18" t="n">
        <v>8429</v>
      </c>
      <c r="R68" s="18" t="n">
        <v>9234</v>
      </c>
      <c r="S68" s="18" t="n">
        <v>4742</v>
      </c>
      <c r="T68" s="18" t="n">
        <v>12690.42</v>
      </c>
      <c r="U68" s="37" t="n">
        <v>35095.42</v>
      </c>
      <c r="V68" s="18" t="n">
        <v>13771.76</v>
      </c>
      <c r="W68" s="18" t="n">
        <v>8281.299999999999</v>
      </c>
      <c r="X68" s="18" t="n">
        <v>6989.43</v>
      </c>
      <c r="Y68" s="18" t="n">
        <v>7573.23</v>
      </c>
      <c r="Z68" s="37" t="n">
        <v>36615.72</v>
      </c>
      <c r="AA68" s="18" t="n">
        <v>8860.889999999999</v>
      </c>
      <c r="AB68" s="19" t="n">
        <v>7882.02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법인세비용차감전계속사업이익</t>
        </is>
      </c>
      <c r="E69" s="18" t="n">
        <v>5329</v>
      </c>
      <c r="F69" s="9" t="n"/>
      <c r="G69" s="18" t="n">
        <v>-3581</v>
      </c>
      <c r="H69" s="18" t="n">
        <v>-3050</v>
      </c>
      <c r="I69" s="18" t="n">
        <v>-9070</v>
      </c>
      <c r="J69" s="18" t="n">
        <v>-16157</v>
      </c>
      <c r="K69" s="37" t="n">
        <v>-31858</v>
      </c>
      <c r="L69" s="18" t="n">
        <v>-4781</v>
      </c>
      <c r="M69" s="18" t="n">
        <v>-520</v>
      </c>
      <c r="N69" s="18" t="n">
        <v>-2503</v>
      </c>
      <c r="O69" s="18" t="n">
        <v>13157</v>
      </c>
      <c r="P69" s="37" t="n">
        <v>5353</v>
      </c>
      <c r="Q69" s="18" t="n">
        <v>549</v>
      </c>
      <c r="R69" s="18" t="n">
        <v>13087</v>
      </c>
      <c r="S69" s="18" t="n">
        <v>1206</v>
      </c>
      <c r="T69" s="18" t="n">
        <v>2038.4</v>
      </c>
      <c r="U69" s="37" t="n">
        <v>16880.4</v>
      </c>
      <c r="V69" s="18" t="n">
        <v>9716.530000000001</v>
      </c>
      <c r="W69" s="18" t="n">
        <v>27615.15</v>
      </c>
      <c r="X69" s="18" t="n">
        <v>12699.95</v>
      </c>
      <c r="Y69" s="18" t="n">
        <v>6845.71</v>
      </c>
      <c r="Z69" s="37" t="n">
        <v>56877.34</v>
      </c>
      <c r="AA69" s="18" t="n">
        <v>14968.14</v>
      </c>
      <c r="AB69" s="19" t="n">
        <v>22078.42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</t>
        </is>
      </c>
      <c r="E70" s="18" t="n">
        <v>-627</v>
      </c>
      <c r="F70" s="9" t="n"/>
      <c r="G70" s="18" t="n">
        <v>354</v>
      </c>
      <c r="H70" s="18" t="n">
        <v>-303</v>
      </c>
      <c r="I70" s="18" t="n">
        <v>-1921</v>
      </c>
      <c r="J70" s="18" t="n">
        <v>-1899</v>
      </c>
      <c r="K70" s="37" t="n">
        <v>-3769</v>
      </c>
      <c r="L70" s="18" t="n">
        <v>337</v>
      </c>
      <c r="M70" s="18" t="n">
        <v>148</v>
      </c>
      <c r="N70" s="18" t="n">
        <v>246</v>
      </c>
      <c r="O70" s="18" t="n">
        <v>841</v>
      </c>
      <c r="P70" s="37" t="n">
        <v>1572</v>
      </c>
      <c r="Q70" s="18" t="n">
        <v>315</v>
      </c>
      <c r="R70" s="18" t="n">
        <v>147</v>
      </c>
      <c r="S70" s="18" t="n">
        <v>-328</v>
      </c>
      <c r="T70" s="18" t="n">
        <v>-5889.48</v>
      </c>
      <c r="U70" s="37" t="n">
        <v>-5755.48</v>
      </c>
      <c r="V70" s="18" t="n">
        <v>-232.67</v>
      </c>
      <c r="W70" s="18" t="n">
        <v>187.43</v>
      </c>
      <c r="X70" s="18" t="n">
        <v>13.51</v>
      </c>
      <c r="Y70" s="18" t="n">
        <v>-7657.11</v>
      </c>
      <c r="Z70" s="37" t="n">
        <v>-7688.84</v>
      </c>
      <c r="AA70" s="18" t="n">
        <v>-674.84</v>
      </c>
      <c r="AB70" s="19" t="n">
        <v>1090.03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당기순이익</t>
        </is>
      </c>
      <c r="E71" s="18" t="n">
        <v>5956</v>
      </c>
      <c r="F71" s="9" t="n"/>
      <c r="G71" s="18" t="n">
        <v>-3935</v>
      </c>
      <c r="H71" s="18" t="n">
        <v>-2747</v>
      </c>
      <c r="I71" s="18" t="n">
        <v>-7149</v>
      </c>
      <c r="J71" s="18" t="n">
        <v>-14258</v>
      </c>
      <c r="K71" s="37" t="n">
        <v>-28089</v>
      </c>
      <c r="L71" s="18" t="n">
        <v>-5118</v>
      </c>
      <c r="M71" s="18" t="n">
        <v>-668</v>
      </c>
      <c r="P71" s="9" t="n"/>
      <c r="Q71" s="18" t="n">
        <v>234</v>
      </c>
      <c r="R71" s="18" t="n">
        <v>12940</v>
      </c>
      <c r="S71" s="18" t="n">
        <v>1534</v>
      </c>
      <c r="T71" s="18" t="n">
        <v>7927.87</v>
      </c>
      <c r="U71" s="37" t="n">
        <v>22635.87</v>
      </c>
      <c r="V71" s="18" t="n">
        <v>9949.200000000001</v>
      </c>
      <c r="W71" s="18" t="n">
        <v>27427.73</v>
      </c>
      <c r="X71" s="18" t="n">
        <v>12686.44</v>
      </c>
      <c r="Y71" s="18" t="n">
        <v>14502.83</v>
      </c>
      <c r="Z71" s="37" t="n">
        <v>64566.2</v>
      </c>
      <c r="AA71" s="18" t="n">
        <v>15642.98</v>
      </c>
      <c r="AB71" s="19" t="n">
        <v>20988.39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총포괄손익</t>
        </is>
      </c>
      <c r="E72" s="18" t="n">
        <v>23149</v>
      </c>
      <c r="F72" s="9" t="n"/>
      <c r="G72" s="18" t="n">
        <v>-3927</v>
      </c>
      <c r="H72" s="18" t="n">
        <v>-2764</v>
      </c>
      <c r="I72" s="18" t="n">
        <v>-9459</v>
      </c>
      <c r="J72" s="18" t="n">
        <v>-7788</v>
      </c>
      <c r="K72" s="37" t="n">
        <v>-23938</v>
      </c>
      <c r="L72" s="18" t="n">
        <v>-5156</v>
      </c>
      <c r="M72" s="18" t="n">
        <v>-621</v>
      </c>
      <c r="N72" s="18" t="n">
        <v>-2667</v>
      </c>
      <c r="O72" s="18" t="n">
        <v>6364</v>
      </c>
      <c r="P72" s="37" t="n">
        <v>-2080</v>
      </c>
      <c r="Q72" s="18" t="n">
        <v>230</v>
      </c>
      <c r="R72" s="18" t="n">
        <v>13100</v>
      </c>
      <c r="S72" s="18" t="n">
        <v>1544</v>
      </c>
      <c r="T72" s="18" t="n">
        <v>5641.2</v>
      </c>
      <c r="U72" s="37" t="n">
        <v>20515.2</v>
      </c>
      <c r="V72" s="18" t="n">
        <v>10001.12</v>
      </c>
      <c r="W72" s="18" t="n">
        <v>27964.33</v>
      </c>
      <c r="X72" s="18" t="n">
        <v>13411.98</v>
      </c>
      <c r="Y72" s="18" t="n">
        <v>11481.84</v>
      </c>
      <c r="Z72" s="37" t="n">
        <v>62859.27</v>
      </c>
      <c r="AA72" s="18" t="n">
        <v>15178.27</v>
      </c>
      <c r="AB72" s="19" t="n">
        <v>20761.83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금융손익</t>
        </is>
      </c>
      <c r="E73" s="18" t="n">
        <v>-509</v>
      </c>
      <c r="F73" s="9" t="n"/>
      <c r="G73" s="18" t="n">
        <v>-1319</v>
      </c>
      <c r="H73" s="18" t="n">
        <v>-1857</v>
      </c>
      <c r="I73" s="18" t="n">
        <v>-10435</v>
      </c>
      <c r="J73" s="18" t="n">
        <v>5843</v>
      </c>
      <c r="K73" s="37" t="n">
        <v>-7768</v>
      </c>
      <c r="L73" s="18" t="n">
        <v>-4900</v>
      </c>
      <c r="M73" s="18" t="n">
        <v>-3620</v>
      </c>
      <c r="N73" s="18" t="n">
        <v>-2690</v>
      </c>
      <c r="O73" s="18" t="n">
        <v>-3667</v>
      </c>
      <c r="P73" s="37" t="n">
        <v>-14877</v>
      </c>
      <c r="Q73" s="18" t="n">
        <v>-4386</v>
      </c>
      <c r="R73" s="18" t="n">
        <v>-5765</v>
      </c>
      <c r="S73" s="18" t="n">
        <v>-3055</v>
      </c>
      <c r="T73" s="18" t="n">
        <v>-7456.13</v>
      </c>
      <c r="U73" s="37" t="n">
        <v>-20662.13</v>
      </c>
      <c r="V73" s="18" t="n">
        <v>-5010.22</v>
      </c>
      <c r="W73" s="18" t="n">
        <v>-3153.56</v>
      </c>
      <c r="X73" s="18" t="n">
        <v>-1615.38</v>
      </c>
      <c r="Y73" s="18" t="n">
        <v>-1428.18</v>
      </c>
      <c r="Z73" s="37" t="n">
        <v>-11207.34</v>
      </c>
      <c r="AA73" s="18" t="n">
        <v>-1718</v>
      </c>
      <c r="AB73" s="19" t="n">
        <v>-2987.97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기타영업외손익</t>
        </is>
      </c>
      <c r="E74" s="18" t="n">
        <v>1368</v>
      </c>
      <c r="F74" s="9" t="n"/>
      <c r="G74" s="18" t="n">
        <v>-404</v>
      </c>
      <c r="H74" s="18" t="n">
        <v>-575</v>
      </c>
      <c r="I74" s="18" t="n">
        <v>1366</v>
      </c>
      <c r="J74" s="18" t="n">
        <v>-12591</v>
      </c>
      <c r="K74" s="37" t="n">
        <v>-12204</v>
      </c>
      <c r="L74" s="18" t="n">
        <v>2406</v>
      </c>
      <c r="M74" s="18" t="n">
        <v>1110</v>
      </c>
      <c r="N74" s="18" t="n">
        <v>43</v>
      </c>
      <c r="O74" s="18" t="n">
        <v>109</v>
      </c>
      <c r="P74" s="37" t="n">
        <v>3668</v>
      </c>
      <c r="Q74" s="18" t="n">
        <v>63</v>
      </c>
      <c r="R74" s="18" t="n">
        <v>35</v>
      </c>
      <c r="S74" s="18" t="n">
        <v>-223</v>
      </c>
      <c r="T74" s="18" t="n">
        <v>295.58</v>
      </c>
      <c r="U74" s="37" t="n">
        <v>170.58</v>
      </c>
      <c r="V74" s="18" t="n">
        <v>20.7</v>
      </c>
      <c r="W74" s="18" t="n">
        <v>177.55</v>
      </c>
      <c r="X74" s="18" t="n">
        <v>87.23</v>
      </c>
      <c r="Y74" s="18" t="n">
        <v>3045.9</v>
      </c>
      <c r="Z74" s="37" t="n">
        <v>3331.38</v>
      </c>
      <c r="AA74" s="18" t="n">
        <v>204.13</v>
      </c>
      <c r="AB74" s="19" t="n">
        <v>1067.01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(지배주주지분)당기순이익</t>
        </is>
      </c>
      <c r="E75" s="18" t="n">
        <v>5956</v>
      </c>
      <c r="F75" s="9" t="n"/>
      <c r="G75" s="18" t="n">
        <v>-3935</v>
      </c>
      <c r="H75" s="18" t="n">
        <v>-2747</v>
      </c>
      <c r="I75" s="18" t="n">
        <v>-7149</v>
      </c>
      <c r="J75" s="18" t="n">
        <v>-14258</v>
      </c>
      <c r="K75" s="37" t="n">
        <v>-28089</v>
      </c>
      <c r="L75" s="18" t="n">
        <v>-5118</v>
      </c>
      <c r="M75" s="18" t="n">
        <v>-668</v>
      </c>
      <c r="P75" s="9" t="n"/>
      <c r="Q75" s="18" t="n">
        <v>234</v>
      </c>
      <c r="R75" s="18" t="n">
        <v>12940</v>
      </c>
      <c r="S75" s="18" t="n">
        <v>1534</v>
      </c>
      <c r="T75" s="18" t="n">
        <v>7927.87</v>
      </c>
      <c r="U75" s="37" t="n">
        <v>22635.87</v>
      </c>
      <c r="V75" s="18" t="n">
        <v>9949.200000000001</v>
      </c>
      <c r="W75" s="18" t="n">
        <v>27427.73</v>
      </c>
      <c r="X75" s="18" t="n">
        <v>12686.44</v>
      </c>
      <c r="Y75" s="18" t="n">
        <v>14502.83</v>
      </c>
      <c r="Z75" s="37" t="n">
        <v>64566.2</v>
      </c>
      <c r="AA75" s="18" t="n">
        <v>15642.98</v>
      </c>
      <c r="AB75" s="19" t="n">
        <v>20988.39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계속사업이익</t>
        </is>
      </c>
      <c r="E76" s="18" t="n">
        <v>5956</v>
      </c>
      <c r="F76" s="9" t="n"/>
      <c r="G76" s="18" t="n">
        <v>-3935</v>
      </c>
      <c r="H76" s="18" t="n">
        <v>-2747</v>
      </c>
      <c r="I76" s="18" t="n">
        <v>-7149</v>
      </c>
      <c r="J76" s="18" t="n">
        <v>-14258</v>
      </c>
      <c r="K76" s="37" t="n">
        <v>-28089</v>
      </c>
      <c r="L76" s="18" t="n">
        <v>-5118</v>
      </c>
      <c r="M76" s="18" t="n">
        <v>-668</v>
      </c>
      <c r="P76" s="9" t="n"/>
      <c r="Q76" s="18" t="n">
        <v>234</v>
      </c>
      <c r="R76" s="18" t="n">
        <v>12940</v>
      </c>
      <c r="S76" s="18" t="n">
        <v>1534</v>
      </c>
      <c r="T76" s="18" t="n">
        <v>7927.87</v>
      </c>
      <c r="U76" s="37" t="n">
        <v>22635.87</v>
      </c>
      <c r="V76" s="18" t="n">
        <v>9949.200000000001</v>
      </c>
      <c r="W76" s="18" t="n">
        <v>27427.73</v>
      </c>
      <c r="X76" s="18" t="n">
        <v>12686.44</v>
      </c>
      <c r="Y76" s="18" t="n">
        <v>14502.83</v>
      </c>
      <c r="Z76" s="37" t="n">
        <v>64566.2</v>
      </c>
      <c r="AA76" s="18" t="n">
        <v>15642.98</v>
      </c>
      <c r="AB76" s="19" t="n">
        <v>20988.39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영업활동으로인한현금흐름</t>
        </is>
      </c>
      <c r="E77" s="18" t="n">
        <v>10932</v>
      </c>
      <c r="F77" s="9" t="n"/>
      <c r="G77" s="18" t="n">
        <v>21572</v>
      </c>
      <c r="H77" s="18" t="n">
        <v>-15753</v>
      </c>
      <c r="I77" s="18" t="n">
        <v>-20263</v>
      </c>
      <c r="J77" s="18" t="n">
        <v>38307</v>
      </c>
      <c r="K77" s="37" t="n">
        <v>23863</v>
      </c>
      <c r="L77" s="18" t="n">
        <v>-30265</v>
      </c>
      <c r="M77" s="18" t="n">
        <v>13953</v>
      </c>
      <c r="N77" s="18" t="n">
        <v>-23171</v>
      </c>
      <c r="O77" s="18" t="n">
        <v>20519</v>
      </c>
      <c r="P77" s="37" t="n">
        <v>-18964</v>
      </c>
      <c r="Q77" s="18" t="n">
        <v>-9647</v>
      </c>
      <c r="R77" s="18" t="n">
        <v>-16675</v>
      </c>
      <c r="S77" s="18" t="n">
        <v>-6467</v>
      </c>
      <c r="T77" s="18" t="n">
        <v>69391.00999999999</v>
      </c>
      <c r="U77" s="37" t="n">
        <v>36602.01</v>
      </c>
      <c r="V77" s="18" t="n">
        <v>-45360.66</v>
      </c>
      <c r="W77" s="18" t="n">
        <v>58870.67</v>
      </c>
      <c r="X77" s="18" t="n">
        <v>55201.46</v>
      </c>
      <c r="Y77" s="18" t="n">
        <v>772.4400000000001</v>
      </c>
      <c r="Z77" s="37" t="n">
        <v>69483.91</v>
      </c>
      <c r="AA77" s="18" t="n">
        <v>-76767.64999999999</v>
      </c>
      <c r="AB77" s="19" t="n">
        <v>17789.56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이자수취(CF)</t>
        </is>
      </c>
      <c r="E78" s="18" t="n">
        <v>123</v>
      </c>
      <c r="F78" s="9" t="n"/>
      <c r="G78" s="18" t="n">
        <v>179</v>
      </c>
      <c r="H78" s="18" t="n">
        <v>199</v>
      </c>
      <c r="I78" s="18" t="n">
        <v>248</v>
      </c>
      <c r="J78" s="18" t="n">
        <v>420</v>
      </c>
      <c r="K78" s="37" t="n">
        <v>1046</v>
      </c>
      <c r="L78" s="18" t="n">
        <v>557</v>
      </c>
      <c r="M78" s="18" t="n">
        <v>666</v>
      </c>
      <c r="N78" s="18" t="n">
        <v>468</v>
      </c>
      <c r="O78" s="18" t="n">
        <v>519</v>
      </c>
      <c r="P78" s="37" t="n">
        <v>2210</v>
      </c>
      <c r="Q78" s="18" t="n">
        <v>726</v>
      </c>
      <c r="R78" s="18" t="n">
        <v>813</v>
      </c>
      <c r="S78" s="18" t="n">
        <v>771</v>
      </c>
      <c r="T78" s="18" t="n">
        <v>728.8200000000001</v>
      </c>
      <c r="U78" s="37" t="n">
        <v>3038.82</v>
      </c>
      <c r="V78" s="18" t="n">
        <v>676.13</v>
      </c>
      <c r="W78" s="18" t="n">
        <v>491.47</v>
      </c>
      <c r="X78" s="18" t="n">
        <v>763.13</v>
      </c>
      <c r="Y78" s="18" t="n">
        <v>906.33</v>
      </c>
      <c r="Z78" s="37" t="n">
        <v>2837.06</v>
      </c>
      <c r="AA78" s="18" t="n">
        <v>759.38</v>
      </c>
      <c r="AB78" s="19" t="n">
        <v>782.11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법인세납부(CF)</t>
        </is>
      </c>
      <c r="E79" s="18" t="n">
        <v>-19</v>
      </c>
      <c r="F79" s="9" t="n"/>
      <c r="G79" s="18" t="n">
        <v>-23</v>
      </c>
      <c r="H79" s="18" t="n">
        <v>-30</v>
      </c>
      <c r="I79" s="18" t="n">
        <v>-38</v>
      </c>
      <c r="J79" s="18" t="n">
        <v>-64</v>
      </c>
      <c r="K79" s="37" t="n">
        <v>-155</v>
      </c>
      <c r="L79" s="18" t="n">
        <v>-86</v>
      </c>
      <c r="M79" s="18" t="n">
        <v>59</v>
      </c>
      <c r="N79" s="18" t="n">
        <v>-71</v>
      </c>
      <c r="O79" s="18" t="n">
        <v>-79</v>
      </c>
      <c r="P79" s="37" t="n">
        <v>-177</v>
      </c>
      <c r="Q79" s="18" t="n">
        <v>-426</v>
      </c>
      <c r="R79" s="18" t="n">
        <v>529</v>
      </c>
      <c r="S79" s="18" t="n">
        <v>-117</v>
      </c>
      <c r="T79" s="18" t="n">
        <v>-111.69</v>
      </c>
      <c r="U79" s="37" t="n">
        <v>-125.69</v>
      </c>
      <c r="V79" s="18" t="n">
        <v>-103.36</v>
      </c>
      <c r="W79" s="18" t="n">
        <v>-54.96</v>
      </c>
      <c r="X79" s="18" t="n">
        <v>-116.81</v>
      </c>
      <c r="Y79" s="18" t="n">
        <v>-138.82</v>
      </c>
      <c r="Z79" s="37" t="n">
        <v>-413.95</v>
      </c>
      <c r="AA79" s="18" t="n">
        <v>-692.36</v>
      </c>
      <c r="AB79" s="19" t="n">
        <v>-288.49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투자활동으로인한현금흐름</t>
        </is>
      </c>
      <c r="E80" s="18" t="n">
        <v>-3908</v>
      </c>
      <c r="F80" s="9" t="n"/>
      <c r="G80" s="18" t="n">
        <v>-1867</v>
      </c>
      <c r="H80" s="18" t="n">
        <v>-1658</v>
      </c>
      <c r="I80" s="18" t="n">
        <v>-1349</v>
      </c>
      <c r="J80" s="18" t="n">
        <v>-10287</v>
      </c>
      <c r="K80" s="37" t="n">
        <v>-15161</v>
      </c>
      <c r="L80" s="18" t="n">
        <v>-2725</v>
      </c>
      <c r="M80" s="18" t="n">
        <v>2646</v>
      </c>
      <c r="N80" s="18" t="n">
        <v>7221</v>
      </c>
      <c r="O80" s="18" t="n">
        <v>-3566</v>
      </c>
      <c r="P80" s="37" t="n">
        <v>3576</v>
      </c>
      <c r="Q80" s="18" t="n">
        <v>-1302</v>
      </c>
      <c r="R80" s="18" t="n">
        <v>-2479</v>
      </c>
      <c r="S80" s="18" t="n">
        <v>-4817</v>
      </c>
      <c r="T80" s="18" t="n">
        <v>-6023.35</v>
      </c>
      <c r="U80" s="37" t="n">
        <v>-14621.35</v>
      </c>
      <c r="V80" s="18" t="n">
        <v>-3384.58</v>
      </c>
      <c r="W80" s="18" t="n">
        <v>-3938</v>
      </c>
      <c r="X80" s="18" t="n">
        <v>-8326.129999999999</v>
      </c>
      <c r="Y80" s="18" t="n">
        <v>-10840.86</v>
      </c>
      <c r="Z80" s="37" t="n">
        <v>-26489.57</v>
      </c>
      <c r="AA80" s="18" t="n">
        <v>-12042.32</v>
      </c>
      <c r="AB80" s="19" t="n">
        <v>-3810.41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유형자산의감소</t>
        </is>
      </c>
      <c r="E81" s="18" t="n">
        <v>2</v>
      </c>
      <c r="F81" s="9" t="n"/>
      <c r="G81" s="18" t="n">
        <v>16</v>
      </c>
      <c r="H81" s="18" t="n">
        <v>1</v>
      </c>
      <c r="I81" s="18" t="n">
        <v>0</v>
      </c>
      <c r="J81" s="18" t="n">
        <v>0</v>
      </c>
      <c r="K81" s="37" t="n">
        <v>17</v>
      </c>
      <c r="L81" s="18" t="n">
        <v>2</v>
      </c>
      <c r="M81" s="18" t="n">
        <v>0</v>
      </c>
      <c r="N81" s="18" t="n">
        <v>40</v>
      </c>
      <c r="O81" s="18" t="n">
        <v>0</v>
      </c>
      <c r="P81" s="37" t="n">
        <v>42</v>
      </c>
      <c r="U81" s="9" t="n"/>
      <c r="X81" s="18" t="n">
        <v>0</v>
      </c>
      <c r="Y81" s="18" t="n">
        <v>0</v>
      </c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무형자산의감소</t>
        </is>
      </c>
      <c r="E82" s="18" t="n">
        <v>0</v>
      </c>
      <c r="F82" s="9" t="n"/>
      <c r="K82" s="9" t="n"/>
      <c r="O82" s="18" t="n">
        <v>0</v>
      </c>
      <c r="P82" s="9" t="n"/>
      <c r="U82" s="9" t="n"/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유형자산의증가</t>
        </is>
      </c>
      <c r="E83" s="18" t="n">
        <v>3955</v>
      </c>
      <c r="F83" s="9" t="n"/>
      <c r="G83" s="18" t="n">
        <v>2833</v>
      </c>
      <c r="H83" s="18" t="n">
        <v>1545</v>
      </c>
      <c r="I83" s="18" t="n">
        <v>1333</v>
      </c>
      <c r="J83" s="18" t="n">
        <v>6370</v>
      </c>
      <c r="K83" s="37" t="n">
        <v>12081</v>
      </c>
      <c r="L83" s="18" t="n">
        <v>2139</v>
      </c>
      <c r="M83" s="18" t="n">
        <v>1628</v>
      </c>
      <c r="N83" s="18" t="n">
        <v>2440</v>
      </c>
      <c r="O83" s="18" t="n">
        <v>2450</v>
      </c>
      <c r="P83" s="37" t="n">
        <v>8657</v>
      </c>
      <c r="Q83" s="18" t="n">
        <v>1489</v>
      </c>
      <c r="R83" s="18" t="n">
        <v>1061</v>
      </c>
      <c r="S83" s="18" t="n">
        <v>2419</v>
      </c>
      <c r="T83" s="18" t="n">
        <v>3921.59</v>
      </c>
      <c r="U83" s="37" t="n">
        <v>8890.59</v>
      </c>
      <c r="V83" s="18" t="n">
        <v>1784.27</v>
      </c>
      <c r="W83" s="18" t="n">
        <v>2032.07</v>
      </c>
      <c r="X83" s="18" t="n">
        <v>2261.89</v>
      </c>
      <c r="Y83" s="18" t="n">
        <v>3717.21</v>
      </c>
      <c r="Z83" s="37" t="n">
        <v>9795.440000000001</v>
      </c>
      <c r="AA83" s="18" t="n">
        <v>4122.64</v>
      </c>
      <c r="AB83" s="19" t="n">
        <v>3655.69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CAPEX</t>
        </is>
      </c>
      <c r="E84" s="18" t="n">
        <v>4251</v>
      </c>
      <c r="F84" s="9" t="n"/>
      <c r="G84" s="18" t="n">
        <v>2839</v>
      </c>
      <c r="H84" s="18" t="n">
        <v>1790</v>
      </c>
      <c r="I84" s="18" t="n">
        <v>1334</v>
      </c>
      <c r="J84" s="18" t="n">
        <v>6608</v>
      </c>
      <c r="K84" s="37" t="n">
        <v>12571</v>
      </c>
      <c r="L84" s="18" t="n">
        <v>2345</v>
      </c>
      <c r="M84" s="18" t="n">
        <v>5898</v>
      </c>
      <c r="N84" s="18" t="n">
        <v>2813</v>
      </c>
      <c r="O84" s="18" t="n">
        <v>4854</v>
      </c>
      <c r="P84" s="37" t="n">
        <v>15910</v>
      </c>
      <c r="Q84" s="18" t="n">
        <v>1683</v>
      </c>
      <c r="R84" s="18" t="n">
        <v>2436</v>
      </c>
      <c r="S84" s="18" t="n">
        <v>4815</v>
      </c>
      <c r="T84" s="18" t="n">
        <v>9134.41</v>
      </c>
      <c r="U84" s="37" t="n">
        <v>18068.41</v>
      </c>
      <c r="V84" s="18" t="n">
        <v>3328.96</v>
      </c>
      <c r="W84" s="18" t="n">
        <v>2761.59</v>
      </c>
      <c r="X84" s="18" t="n">
        <v>6587.94</v>
      </c>
      <c r="Y84" s="18" t="n">
        <v>6169.66</v>
      </c>
      <c r="Z84" s="37" t="n">
        <v>18848.15</v>
      </c>
      <c r="AA84" s="18" t="n">
        <v>4192.27</v>
      </c>
      <c r="AB84" s="19" t="n">
        <v>4460.17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무형자산의증가</t>
        </is>
      </c>
      <c r="E85" s="18" t="n">
        <v>296</v>
      </c>
      <c r="F85" s="9" t="n"/>
      <c r="G85" s="18" t="n">
        <v>6</v>
      </c>
      <c r="H85" s="18" t="n">
        <v>245</v>
      </c>
      <c r="I85" s="18" t="n">
        <v>1</v>
      </c>
      <c r="J85" s="18" t="n">
        <v>238</v>
      </c>
      <c r="K85" s="37" t="n">
        <v>490</v>
      </c>
      <c r="L85" s="18" t="n">
        <v>206</v>
      </c>
      <c r="M85" s="18" t="n">
        <v>4270</v>
      </c>
      <c r="N85" s="18" t="n">
        <v>373</v>
      </c>
      <c r="O85" s="18" t="n">
        <v>2404</v>
      </c>
      <c r="P85" s="37" t="n">
        <v>7253</v>
      </c>
      <c r="Q85" s="18" t="n">
        <v>194</v>
      </c>
      <c r="R85" s="18" t="n">
        <v>1375</v>
      </c>
      <c r="S85" s="18" t="n">
        <v>2396</v>
      </c>
      <c r="T85" s="18" t="n">
        <v>5212.82</v>
      </c>
      <c r="U85" s="37" t="n">
        <v>9177.82</v>
      </c>
      <c r="V85" s="18" t="n">
        <v>1544.69</v>
      </c>
      <c r="W85" s="18" t="n">
        <v>729.52</v>
      </c>
      <c r="X85" s="18" t="n">
        <v>4326.05</v>
      </c>
      <c r="Y85" s="18" t="n">
        <v>2452.45</v>
      </c>
      <c r="Z85" s="37" t="n">
        <v>9052.709999999999</v>
      </c>
      <c r="AA85" s="18" t="n">
        <v>69.63</v>
      </c>
      <c r="AB85" s="19" t="n">
        <v>804.48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재무활동으로인한현금흐름</t>
        </is>
      </c>
      <c r="E86" s="18" t="n">
        <v>-4764</v>
      </c>
      <c r="F86" s="9" t="n"/>
      <c r="G86" s="18" t="n">
        <v>-15565</v>
      </c>
      <c r="H86" s="18" t="n">
        <v>-15056</v>
      </c>
      <c r="I86" s="18" t="n">
        <v>-715</v>
      </c>
      <c r="J86" s="18" t="n">
        <v>4174</v>
      </c>
      <c r="K86" s="37" t="n">
        <v>-27162</v>
      </c>
      <c r="L86" s="18" t="n">
        <v>7177</v>
      </c>
      <c r="M86" s="18" t="n">
        <v>-9051</v>
      </c>
      <c r="N86" s="18" t="n">
        <v>-595</v>
      </c>
      <c r="O86" s="18" t="n">
        <v>11147</v>
      </c>
      <c r="P86" s="37" t="n">
        <v>8678</v>
      </c>
      <c r="Q86" s="18" t="n">
        <v>32205</v>
      </c>
      <c r="R86" s="18" t="n">
        <v>16442</v>
      </c>
      <c r="S86" s="18" t="n">
        <v>3853</v>
      </c>
      <c r="T86" s="18" t="n">
        <v>-29591.91</v>
      </c>
      <c r="U86" s="37" t="n">
        <v>22908.09</v>
      </c>
      <c r="V86" s="18" t="n">
        <v>-37367.01</v>
      </c>
      <c r="W86" s="18" t="n">
        <v>9831.59</v>
      </c>
      <c r="X86" s="18" t="n">
        <v>7699.62</v>
      </c>
      <c r="Y86" s="18" t="n">
        <v>7147.42</v>
      </c>
      <c r="Z86" s="37" t="n">
        <v>-12688.38</v>
      </c>
      <c r="AA86" s="18" t="n">
        <v>33992.33</v>
      </c>
      <c r="AB86" s="19" t="n">
        <v>-11543.99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차입금의증가</t>
        </is>
      </c>
      <c r="E87" s="18" t="n">
        <v>20587</v>
      </c>
      <c r="F87" s="9" t="n"/>
      <c r="G87" s="18" t="n">
        <v>16172</v>
      </c>
      <c r="H87" s="18" t="n">
        <v>16355</v>
      </c>
      <c r="I87" s="18" t="n">
        <v>27368</v>
      </c>
      <c r="J87" s="18" t="n">
        <v>42367</v>
      </c>
      <c r="K87" s="37" t="n">
        <v>102262</v>
      </c>
      <c r="L87" s="18" t="n">
        <v>31430</v>
      </c>
      <c r="M87" s="18" t="n">
        <v>17223</v>
      </c>
      <c r="N87" s="18" t="n">
        <v>27781</v>
      </c>
      <c r="O87" s="18" t="n">
        <v>39836</v>
      </c>
      <c r="P87" s="37" t="n">
        <v>116270</v>
      </c>
      <c r="Q87" s="18" t="n">
        <v>57603</v>
      </c>
      <c r="R87" s="18" t="n">
        <v>45824</v>
      </c>
      <c r="S87" s="18" t="n">
        <v>54975</v>
      </c>
      <c r="T87" s="18" t="n">
        <v>39764.36</v>
      </c>
      <c r="U87" s="37" t="n">
        <v>198166.36</v>
      </c>
      <c r="V87" s="18" t="n">
        <v>31485.56</v>
      </c>
      <c r="W87" s="18" t="n">
        <v>66430.27</v>
      </c>
      <c r="X87" s="18" t="n">
        <v>48797.62</v>
      </c>
      <c r="Y87" s="18" t="n">
        <v>53985.05</v>
      </c>
      <c r="Z87" s="37" t="n">
        <v>200698.5</v>
      </c>
      <c r="AA87" s="18" t="n">
        <v>55996.23</v>
      </c>
      <c r="AB87" s="19" t="n">
        <v>70864.23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차입금의감소</t>
        </is>
      </c>
      <c r="E88" s="18" t="n">
        <v>23472</v>
      </c>
      <c r="F88" s="9" t="n"/>
      <c r="G88" s="18" t="n">
        <v>29714</v>
      </c>
      <c r="H88" s="18" t="n">
        <v>29251</v>
      </c>
      <c r="I88" s="18" t="n">
        <v>26233</v>
      </c>
      <c r="J88" s="18" t="n">
        <v>36891</v>
      </c>
      <c r="K88" s="37" t="n">
        <v>122089</v>
      </c>
      <c r="L88" s="18" t="n">
        <v>21774</v>
      </c>
      <c r="M88" s="18" t="n">
        <v>23278</v>
      </c>
      <c r="N88" s="18" t="n">
        <v>26088</v>
      </c>
      <c r="O88" s="18" t="n">
        <v>23959</v>
      </c>
      <c r="P88" s="37" t="n">
        <v>95099</v>
      </c>
      <c r="Q88" s="18" t="n">
        <v>20037</v>
      </c>
      <c r="R88" s="18" t="n">
        <v>23849</v>
      </c>
      <c r="S88" s="18" t="n">
        <v>46830</v>
      </c>
      <c r="T88" s="18" t="n">
        <v>62068.43</v>
      </c>
      <c r="U88" s="37" t="n">
        <v>152784.43</v>
      </c>
      <c r="V88" s="18" t="n">
        <v>61680.16</v>
      </c>
      <c r="W88" s="18" t="n">
        <v>53031.07</v>
      </c>
      <c r="X88" s="18" t="n">
        <v>38603.34</v>
      </c>
      <c r="Y88" s="18" t="n">
        <v>47787.13</v>
      </c>
      <c r="Z88" s="37" t="n">
        <v>201101.7</v>
      </c>
      <c r="AA88" s="18" t="n">
        <v>19778.46</v>
      </c>
      <c r="AB88" s="19" t="n">
        <v>80909.11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리스부채의상환</t>
        </is>
      </c>
      <c r="E89" s="18" t="n">
        <v>173</v>
      </c>
      <c r="F89" s="9" t="n"/>
      <c r="G89" s="18" t="n">
        <v>172</v>
      </c>
      <c r="H89" s="18" t="n">
        <v>170</v>
      </c>
      <c r="I89" s="18" t="n">
        <v>167</v>
      </c>
      <c r="J89" s="18" t="n">
        <v>180</v>
      </c>
      <c r="K89" s="37" t="n">
        <v>689</v>
      </c>
      <c r="L89" s="18" t="n">
        <v>185</v>
      </c>
      <c r="M89" s="18" t="n">
        <v>185</v>
      </c>
      <c r="N89" s="18" t="n">
        <v>211</v>
      </c>
      <c r="O89" s="18" t="n">
        <v>213</v>
      </c>
      <c r="P89" s="37" t="n">
        <v>794</v>
      </c>
      <c r="Q89" s="18" t="n">
        <v>200</v>
      </c>
      <c r="R89" s="18" t="n">
        <v>188</v>
      </c>
      <c r="S89" s="18" t="n">
        <v>195</v>
      </c>
      <c r="T89" s="18" t="n">
        <v>197.79</v>
      </c>
      <c r="U89" s="37" t="n">
        <v>780.79</v>
      </c>
      <c r="V89" s="18" t="n">
        <v>201.56</v>
      </c>
      <c r="W89" s="18" t="n">
        <v>196.18</v>
      </c>
      <c r="X89" s="18" t="n">
        <v>195.33</v>
      </c>
      <c r="Y89" s="18" t="n">
        <v>199.38</v>
      </c>
      <c r="Z89" s="37" t="n">
        <v>792.45</v>
      </c>
      <c r="AA89" s="18" t="n">
        <v>201.77</v>
      </c>
      <c r="AB89" s="19" t="n">
        <v>209.28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이자지급(CF)</t>
        </is>
      </c>
      <c r="E90" s="18" t="n">
        <v>-1506</v>
      </c>
      <c r="F90" s="9" t="n"/>
      <c r="G90" s="18" t="n">
        <v>-1616</v>
      </c>
      <c r="H90" s="18" t="n">
        <v>-1787</v>
      </c>
      <c r="I90" s="18" t="n">
        <v>-1911</v>
      </c>
      <c r="J90" s="18" t="n">
        <v>-2401</v>
      </c>
      <c r="K90" s="37" t="n">
        <v>-7715</v>
      </c>
      <c r="L90" s="18" t="n">
        <v>-2632</v>
      </c>
      <c r="M90" s="18" t="n">
        <v>-2708</v>
      </c>
      <c r="N90" s="18" t="n">
        <v>-2576</v>
      </c>
      <c r="O90" s="18" t="n">
        <v>-4377</v>
      </c>
      <c r="P90" s="37" t="n">
        <v>-12293</v>
      </c>
      <c r="Q90" s="18" t="n">
        <v>-3486</v>
      </c>
      <c r="R90" s="18" t="n">
        <v>-3471</v>
      </c>
      <c r="S90" s="18" t="n">
        <v>-3891</v>
      </c>
      <c r="T90" s="18" t="n">
        <v>-4378.41</v>
      </c>
      <c r="U90" s="37" t="n">
        <v>-15226.41</v>
      </c>
      <c r="V90" s="18" t="n">
        <v>-4699.27</v>
      </c>
      <c r="W90" s="18" t="n">
        <v>-3804.76</v>
      </c>
      <c r="X90" s="18" t="n">
        <v>-3280.91</v>
      </c>
      <c r="Y90" s="18" t="n">
        <v>-3637.66</v>
      </c>
      <c r="Z90" s="37" t="n">
        <v>-15422.6</v>
      </c>
      <c r="AA90" s="18" t="n">
        <v>-2387.88</v>
      </c>
      <c r="AB90" s="19" t="n">
        <v>-3035.56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현금및현금성자산의증감</t>
        </is>
      </c>
      <c r="E91" s="18" t="n">
        <v>2260</v>
      </c>
      <c r="F91" s="9" t="n"/>
      <c r="G91" s="18" t="n">
        <v>4140</v>
      </c>
      <c r="H91" s="18" t="n">
        <v>-32467</v>
      </c>
      <c r="I91" s="18" t="n">
        <v>-22327</v>
      </c>
      <c r="J91" s="18" t="n">
        <v>32194</v>
      </c>
      <c r="K91" s="37" t="n">
        <v>-18460</v>
      </c>
      <c r="L91" s="18" t="n">
        <v>-25813</v>
      </c>
      <c r="M91" s="18" t="n">
        <v>7548</v>
      </c>
      <c r="N91" s="18" t="n">
        <v>-16545</v>
      </c>
      <c r="O91" s="18" t="n">
        <v>28100</v>
      </c>
      <c r="P91" s="37" t="n">
        <v>-6710</v>
      </c>
      <c r="Q91" s="18" t="n">
        <v>21256</v>
      </c>
      <c r="R91" s="18" t="n">
        <v>-2712</v>
      </c>
      <c r="S91" s="18" t="n">
        <v>-7431</v>
      </c>
      <c r="T91" s="18" t="n">
        <v>33775.75</v>
      </c>
      <c r="U91" s="37" t="n">
        <v>44888.75</v>
      </c>
      <c r="V91" s="18" t="n">
        <v>-86112.24000000001</v>
      </c>
      <c r="W91" s="18" t="n">
        <v>64764.26</v>
      </c>
      <c r="X91" s="18" t="n">
        <v>54574.94</v>
      </c>
      <c r="Y91" s="18" t="n">
        <v>-2921</v>
      </c>
      <c r="Z91" s="37" t="n">
        <v>30305.96</v>
      </c>
      <c r="AA91" s="18" t="n">
        <v>-54817.65</v>
      </c>
      <c r="AB91" s="19" t="n">
        <v>2435.17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기말현금및현금성자산</t>
        </is>
      </c>
      <c r="E92" s="18" t="n">
        <v>2260</v>
      </c>
      <c r="F92" s="9" t="n"/>
      <c r="G92" s="18" t="n">
        <v>106855</v>
      </c>
      <c r="H92" s="18" t="n">
        <v>-32467</v>
      </c>
      <c r="I92" s="18" t="n">
        <v>-22327</v>
      </c>
      <c r="J92" s="18" t="n">
        <v>32194</v>
      </c>
      <c r="K92" s="37" t="n">
        <v>84255</v>
      </c>
      <c r="L92" s="18" t="n">
        <v>58442</v>
      </c>
      <c r="M92" s="18" t="n">
        <v>7548</v>
      </c>
      <c r="N92" s="18" t="n">
        <v>-16545</v>
      </c>
      <c r="O92" s="18" t="n">
        <v>28100</v>
      </c>
      <c r="P92" s="37" t="n">
        <v>77545</v>
      </c>
      <c r="Q92" s="18" t="n">
        <v>98884</v>
      </c>
      <c r="R92" s="18" t="n">
        <v>-2580</v>
      </c>
      <c r="S92" s="18" t="n">
        <v>-7840</v>
      </c>
      <c r="T92" s="18" t="n">
        <v>34188.27</v>
      </c>
      <c r="U92" s="37" t="n">
        <v>122652.27</v>
      </c>
      <c r="V92" s="18" t="n">
        <v>36540.03</v>
      </c>
      <c r="W92" s="18" t="n">
        <v>64594.7</v>
      </c>
      <c r="X92" s="18" t="n">
        <v>55075.12</v>
      </c>
      <c r="Y92" s="18" t="n">
        <v>-3414.43</v>
      </c>
      <c r="Z92" s="37" t="n">
        <v>152795.42</v>
      </c>
      <c r="AA92" s="18" t="n">
        <v>98302.8</v>
      </c>
      <c r="AB92" s="19" t="n">
        <v>2527.16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 t="n"/>
      <c r="H12" s="18" t="n"/>
      <c r="I12" s="18" t="n"/>
      <c r="J12" s="18" t="n"/>
      <c r="K12" s="37">
        <f>SUM(G12:J12)</f>
        <v/>
      </c>
      <c r="L12" s="18" t="n"/>
      <c r="M12" s="18" t="n"/>
      <c r="N12" s="18" t="n"/>
      <c r="O12" s="18" t="n"/>
      <c r="P12" s="37">
        <f>SUM(L12:O12)</f>
        <v/>
      </c>
      <c r="Q12" s="18" t="n"/>
      <c r="R12" s="18" t="n"/>
      <c r="S12" s="18" t="n"/>
      <c r="T12" s="18" t="n"/>
      <c r="U12" s="37">
        <f>SUM(Q12:T12)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IFERROR((AB27*변수!$D$53-AB25*변수!$D$54)/4,"")</f>
        <v/>
      </c>
      <c r="AD12" s="20">
        <f>IFERROR((AC27*변수!$D$53-AC25*변수!$D$54)/4,"")</f>
        <v/>
      </c>
      <c r="AE12" s="38">
        <f>SUM(AA12:AD12)</f>
        <v/>
      </c>
      <c r="AF12" s="20">
        <f>IFERROR((AD27*변수!$D$53-AD25*변수!$D$54)/4,"")</f>
        <v/>
      </c>
      <c r="AG12" s="20">
        <f>IFERROR((AF27*변수!$D$53-AF25*변수!$D$54)/4,"")</f>
        <v/>
      </c>
      <c r="AH12" s="20">
        <f>IFERROR((AG27*변수!$D$53-AG25*변수!$D$54)/4,"")</f>
        <v/>
      </c>
      <c r="AI12" s="20">
        <f>IFERROR((AH27*변수!$D$53-AH25*변수!$D$54)/4,"")</f>
        <v/>
      </c>
      <c r="AJ12" s="38">
        <f>SUM(AF12:AI12)</f>
        <v/>
      </c>
      <c r="AK12" s="20">
        <f>IFERROR((AI27*변수!$D$53-AI25*변수!$D$54)/4,"")</f>
        <v/>
      </c>
      <c r="AL12" s="20">
        <f>IFERROR((AK27*변수!$D$53-AK25*변수!$D$54)/4,"")</f>
        <v/>
      </c>
      <c r="AM12" s="20">
        <f>IFERROR((AL27*변수!$D$53-AL25*변수!$D$54)/4,"")</f>
        <v/>
      </c>
      <c r="AN12" s="20">
        <f>IFERROR((AM27*변수!$D$53-AM25*변수!$D$54)/4,"")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 t="n"/>
      <c r="H13" s="18" t="n"/>
      <c r="I13" s="18" t="n"/>
      <c r="J13" s="18" t="n"/>
      <c r="K13" s="37">
        <f>SUM(G13:J13)</f>
        <v/>
      </c>
      <c r="L13" s="18" t="n"/>
      <c r="M13" s="18" t="n"/>
      <c r="N13" s="18" t="n"/>
      <c r="O13" s="18" t="n"/>
      <c r="P13" s="37">
        <f>SUM(L13:O13)</f>
        <v/>
      </c>
      <c r="Q13" s="18" t="n"/>
      <c r="R13" s="18" t="n"/>
      <c r="S13" s="18" t="n"/>
      <c r="T13" s="18" t="n"/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 t="n"/>
      <c r="H14" s="18" t="n"/>
      <c r="I14" s="18" t="n"/>
      <c r="J14" s="18" t="n"/>
      <c r="K14" s="37">
        <f>SUM(G14:J14)</f>
        <v/>
      </c>
      <c r="L14" s="18" t="n"/>
      <c r="M14" s="18" t="n"/>
      <c r="N14" s="18" t="n"/>
      <c r="O14" s="18" t="n"/>
      <c r="P14" s="37">
        <f>SUM(L14:O14)</f>
        <v/>
      </c>
      <c r="Q14" s="18" t="n"/>
      <c r="R14" s="18" t="n"/>
      <c r="S14" s="18" t="n"/>
      <c r="T14" s="18" t="n"/>
      <c r="U14" s="37">
        <f>SUM(Q14:T14)</f>
        <v/>
      </c>
      <c r="V14" s="18">
        <f>IFERROR((VLOOKUP("파생상품이익",BS연결,MATCH(V$1,BS연결H,0),0)-VLOOKUP("파생상품손실",BS연결,MATCH(V$1,BS연결H,0),0))/100,"")</f>
        <v/>
      </c>
      <c r="W14" s="18">
        <f>IFERROR((VLOOKUP("파생상품이익",BS연결,MATCH(W$1,BS연결H,0),0)-VLOOKUP("파생상품손실",BS연결,MATCH(W$1,BS연결H,0),0))/100,"")</f>
        <v/>
      </c>
      <c r="X14" s="18">
        <f>IFERROR((VLOOKUP("파생상품이익",BS연결,MATCH(X$1,BS연결H,0),0)-VLOOKUP("파생상품손실",BS연결,MATCH(X$1,BS연결H,0),0))/100,"")</f>
        <v/>
      </c>
      <c r="Y14" s="18">
        <f>IFERROR((VLOOKUP("파생상품이익",BS연결,MATCH(Y$1,BS연결H,0),0)-VLOOKUP("파생상품손실",BS연결,MATCH(Y$1,BS연결H,0),0))/100,"")</f>
        <v/>
      </c>
      <c r="Z14" s="37">
        <f>SUM(V14:Y14)</f>
        <v/>
      </c>
      <c r="AA14" s="18">
        <f>IFERROR((VLOOKUP("파생상품이익",BS연결,MATCH(AA$1,BS연결H,0),0)-VLOOKUP("파생상품손실",BS연결,MATCH(AA$1,BS연결H,0),0))/100,"")</f>
        <v/>
      </c>
      <c r="AB14" s="19">
        <f>IFERROR((VLOOKUP("파생상품이익",BS연결,MATCH(AB$1,BS연결H,0),0)-VLOOKUP("파생상품손실",BS연결,MATCH(AB$1,BS연결H,0),0))/100,"")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 t="n"/>
      <c r="H15" s="18" t="n"/>
      <c r="I15" s="18" t="n"/>
      <c r="J15" s="18" t="n"/>
      <c r="K15" s="37">
        <f>SUM(G15:J15)</f>
        <v/>
      </c>
      <c r="L15" s="18" t="n"/>
      <c r="M15" s="18" t="n"/>
      <c r="N15" s="18" t="n"/>
      <c r="O15" s="18" t="n"/>
      <c r="P15" s="37">
        <f>SUM(L15:O15)</f>
        <v/>
      </c>
      <c r="Q15" s="18" t="n"/>
      <c r="R15" s="18" t="n"/>
      <c r="S15" s="18" t="n"/>
      <c r="T15" s="18" t="n"/>
      <c r="U15" s="37">
        <f>SUM(Q15:T15)</f>
        <v/>
      </c>
      <c r="V15" s="18">
        <f>IFERROR(V11-V12-V13-V14,"")</f>
        <v/>
      </c>
      <c r="W15" s="18">
        <f>IFERROR(W11-W12-W13-W14,"")</f>
        <v/>
      </c>
      <c r="X15" s="18">
        <f>IFERROR(X11-X12-X13-X14,"")</f>
        <v/>
      </c>
      <c r="Y15" s="18">
        <f>IFERROR(Y11-Y12-Y13-Y14,"")</f>
        <v/>
      </c>
      <c r="Z15" s="37">
        <f>SUM(V15:Y15)</f>
        <v/>
      </c>
      <c r="AA15" s="18">
        <f>IFERROR(AA11-AA12-AA13-AA14,"")</f>
        <v/>
      </c>
      <c r="AB15" s="19">
        <f>IFERROR(AB11-AB12-AB13-AB14,"")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세전이익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법인세비용차감전계속사업이익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IFERROR(AC9+AC11+AC16,"")</f>
        <v/>
      </c>
      <c r="AD17" s="20">
        <f>IFERROR(AD9+AD11+AD16,"")</f>
        <v/>
      </c>
      <c r="AE17" s="38">
        <f>SUM(AA17:AD17)</f>
        <v/>
      </c>
      <c r="AF17" s="20">
        <f>IFERROR(AF9+AF11+AF16,"")</f>
        <v/>
      </c>
      <c r="AG17" s="20">
        <f>IFERROR(AG9+AG11+AG16,"")</f>
        <v/>
      </c>
      <c r="AH17" s="20">
        <f>IFERROR(AH9+AH11+AH16,"")</f>
        <v/>
      </c>
      <c r="AI17" s="20">
        <f>IFERROR(AI9+AI11+AI16,"")</f>
        <v/>
      </c>
      <c r="AJ17" s="38">
        <f>SUM(AF17:AI17)</f>
        <v/>
      </c>
      <c r="AK17" s="20">
        <f>IFERROR(AK9+AK11+AK16,"")</f>
        <v/>
      </c>
      <c r="AL17" s="20">
        <f>IFERROR(AL9+AL11+AL16,"")</f>
        <v/>
      </c>
      <c r="AM17" s="20">
        <f>IFERROR(AM9+AM11+AM16,"")</f>
        <v/>
      </c>
      <c r="AN17" s="20">
        <f>IFERROR(AN9+AN11+AN16,"")</f>
        <v/>
      </c>
      <c r="AO17" s="38">
        <f>SUM(AK17:AN17)</f>
        <v/>
      </c>
    </row>
    <row r="18">
      <c r="A18" s="12" t="inlineStr">
        <is>
          <t>법인세비용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IFERROR(MAX(AC17,0)*변수!AC28,"")</f>
        <v/>
      </c>
      <c r="AD18" s="20">
        <f>IFERROR(MAX(AD17,0)*변수!AD28,"")</f>
        <v/>
      </c>
      <c r="AE18" s="38">
        <f>SUM(AA18:AD18)</f>
        <v/>
      </c>
      <c r="AF18" s="20">
        <f>IFERROR(MAX(AF17,0)*변수!AF28,"")</f>
        <v/>
      </c>
      <c r="AG18" s="20">
        <f>IFERROR(MAX(AG17,0)*변수!AG28,"")</f>
        <v/>
      </c>
      <c r="AH18" s="20">
        <f>IFERROR(MAX(AH17,0)*변수!AH28,"")</f>
        <v/>
      </c>
      <c r="AI18" s="20">
        <f>IFERROR(MAX(AI17,0)*변수!AI28,"")</f>
        <v/>
      </c>
      <c r="AJ18" s="38">
        <f>SUM(AF18:AI18)</f>
        <v/>
      </c>
      <c r="AK18" s="20">
        <f>IFERROR(MAX(AK17,0)*변수!AK28,"")</f>
        <v/>
      </c>
      <c r="AL18" s="20">
        <f>IFERROR(MAX(AL17,0)*변수!AL28,"")</f>
        <v/>
      </c>
      <c r="AM18" s="20">
        <f>IFERROR(MAX(AM17,0)*변수!AM28,"")</f>
        <v/>
      </c>
      <c r="AN18" s="20">
        <f>IFERROR(MAX(AN17,0)*변수!AN28,"")</f>
        <v/>
      </c>
      <c r="AO18" s="38">
        <f>SUM(AK18:AN18)</f>
        <v/>
      </c>
    </row>
    <row r="19">
      <c r="A19" s="12" t="inlineStr">
        <is>
          <t>당기순이익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당기순이익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 t="n"/>
      <c r="O19" s="18" t="n"/>
      <c r="P19" s="37">
        <f>SUM(L19:O19)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IFERROR(AC17-AC18,"")</f>
        <v/>
      </c>
      <c r="AD19" s="20">
        <f>IFERROR(AD17-AD18,"")</f>
        <v/>
      </c>
      <c r="AE19" s="38">
        <f>SUM(AA19:AD19)</f>
        <v/>
      </c>
      <c r="AF19" s="20">
        <f>IFERROR(AF17-AF18,"")</f>
        <v/>
      </c>
      <c r="AG19" s="20">
        <f>IFERROR(AG17-AG18,"")</f>
        <v/>
      </c>
      <c r="AH19" s="20">
        <f>IFERROR(AH17-AH18,"")</f>
        <v/>
      </c>
      <c r="AI19" s="20">
        <f>IFERROR(AI17-AI18,"")</f>
        <v/>
      </c>
      <c r="AJ19" s="38">
        <f>SUM(AF19:AI19)</f>
        <v/>
      </c>
      <c r="AK19" s="20">
        <f>IFERROR(AK17-AK18,"")</f>
        <v/>
      </c>
      <c r="AL19" s="20">
        <f>IFERROR(AL17-AL18,"")</f>
        <v/>
      </c>
      <c r="AM19" s="20">
        <f>IFERROR(AM17-AM18,"")</f>
        <v/>
      </c>
      <c r="AN19" s="20">
        <f>IFERROR(AN17-AN18,"")</f>
        <v/>
      </c>
      <c r="AO19" s="38">
        <f>SUM(AK19:AN19)</f>
        <v/>
      </c>
    </row>
    <row r="20">
      <c r="A20" s="12" t="inlineStr">
        <is>
          <t>지배주주순이익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(지배주주지분)당기순이익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IFERROR(AC19*변수!AC29,"")</f>
        <v/>
      </c>
      <c r="AD20" s="20">
        <f>IFERROR(AD19*변수!AD29,"")</f>
        <v/>
      </c>
      <c r="AE20" s="38">
        <f>SUM(AA20:AD20)</f>
        <v/>
      </c>
      <c r="AF20" s="20">
        <f>IFERROR(AF19*변수!AF29,"")</f>
        <v/>
      </c>
      <c r="AG20" s="20">
        <f>IFERROR(AG19*변수!AG29,"")</f>
        <v/>
      </c>
      <c r="AH20" s="20">
        <f>IFERROR(AH19*변수!AH29,"")</f>
        <v/>
      </c>
      <c r="AI20" s="20">
        <f>IFERROR(AI19*변수!AI29,"")</f>
        <v/>
      </c>
      <c r="AJ20" s="38">
        <f>SUM(AF20:AI20)</f>
        <v/>
      </c>
      <c r="AK20" s="20">
        <f>IFERROR(AK19*변수!AK29,"")</f>
        <v/>
      </c>
      <c r="AL20" s="20">
        <f>IFERROR(AL19*변수!AL29,"")</f>
        <v/>
      </c>
      <c r="AM20" s="20">
        <f>IFERROR(AM19*변수!AM29,"")</f>
        <v/>
      </c>
      <c r="AN20" s="20">
        <f>IFERROR(AN19*변수!AN29,"")</f>
        <v/>
      </c>
      <c r="AO20" s="38">
        <f>SUM(AK20:AN20)</f>
        <v/>
      </c>
    </row>
    <row r="21">
      <c r="A21" s="12" t="inlineStr">
        <is>
          <t>자산총계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자산총계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IFERROR(AC22+AC23,"")</f>
        <v/>
      </c>
      <c r="AD21" s="20">
        <f>IFERROR(AD22+AD23,"")</f>
        <v/>
      </c>
      <c r="AE21" s="38">
        <f>AD21</f>
        <v/>
      </c>
      <c r="AF21" s="20">
        <f>IFERROR(AF22+AF23,"")</f>
        <v/>
      </c>
      <c r="AG21" s="20">
        <f>IFERROR(AG22+AG23,"")</f>
        <v/>
      </c>
      <c r="AH21" s="20">
        <f>IFERROR(AH22+AH23,"")</f>
        <v/>
      </c>
      <c r="AI21" s="20">
        <f>IFERROR(AI22+AI23,"")</f>
        <v/>
      </c>
      <c r="AJ21" s="38">
        <f>AI21</f>
        <v/>
      </c>
      <c r="AK21" s="20">
        <f>IFERROR(AK22+AK23,"")</f>
        <v/>
      </c>
      <c r="AL21" s="20">
        <f>IFERROR(AL22+AL23,"")</f>
        <v/>
      </c>
      <c r="AM21" s="20">
        <f>IFERROR(AM22+AM23,"")</f>
        <v/>
      </c>
      <c r="AN21" s="20">
        <f>IFERROR(AN22+AN23,"")</f>
        <v/>
      </c>
      <c r="AO21" s="38">
        <f>AN21</f>
        <v/>
      </c>
    </row>
    <row r="22">
      <c r="A22" s="12" t="inlineStr">
        <is>
          <t>부채총계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부채총계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IFERROR(AB22*(1+변수!AC30),"")</f>
        <v/>
      </c>
      <c r="AD22" s="20">
        <f>IFERROR(AC22*(1+변수!AD30),"")</f>
        <v/>
      </c>
      <c r="AE22" s="38">
        <f>AD22</f>
        <v/>
      </c>
      <c r="AF22" s="20">
        <f>IFERROR(AD22*(1+변수!AF30),"")</f>
        <v/>
      </c>
      <c r="AG22" s="20">
        <f>IFERROR(AF22*(1+변수!AG30),"")</f>
        <v/>
      </c>
      <c r="AH22" s="20">
        <f>IFERROR(AG22*(1+변수!AH30),"")</f>
        <v/>
      </c>
      <c r="AI22" s="20">
        <f>IFERROR(AH22*(1+변수!AI30),"")</f>
        <v/>
      </c>
      <c r="AJ22" s="38">
        <f>AI22</f>
        <v/>
      </c>
      <c r="AK22" s="20">
        <f>IFERROR(AI22*(1+변수!AK30),"")</f>
        <v/>
      </c>
      <c r="AL22" s="20">
        <f>IFERROR(AK22*(1+변수!AL30),"")</f>
        <v/>
      </c>
      <c r="AM22" s="20">
        <f>IFERROR(AL22*(1+변수!AM30),"")</f>
        <v/>
      </c>
      <c r="AN22" s="20">
        <f>IFERROR(AM22*(1+변수!AN30),"")</f>
        <v/>
      </c>
      <c r="AO22" s="38">
        <f>AN22</f>
        <v/>
      </c>
    </row>
    <row r="23">
      <c r="A23" s="12" t="inlineStr">
        <is>
          <t>자본총계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자본총계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IFERROR(AB23+AC19-변수!AC31,"")</f>
        <v/>
      </c>
      <c r="AD23" s="20">
        <f>IFERROR(AC23+AD19-변수!AD31,"")</f>
        <v/>
      </c>
      <c r="AE23" s="38">
        <f>AD23</f>
        <v/>
      </c>
      <c r="AF23" s="20">
        <f>IFERROR(AD23+AF19-변수!AF31,"")</f>
        <v/>
      </c>
      <c r="AG23" s="20">
        <f>IFERROR(AF23+AG19-변수!AG31,"")</f>
        <v/>
      </c>
      <c r="AH23" s="20">
        <f>IFERROR(AG23+AH19-변수!AH31,"")</f>
        <v/>
      </c>
      <c r="AI23" s="20">
        <f>IFERROR(AH23+AI19-변수!AI31,"")</f>
        <v/>
      </c>
      <c r="AJ23" s="38">
        <f>AI23</f>
        <v/>
      </c>
      <c r="AK23" s="20">
        <f>IFERROR(AI23+AK19-변수!AK31,"")</f>
        <v/>
      </c>
      <c r="AL23" s="20">
        <f>IFERROR(AK23+AL19-변수!AL31,"")</f>
        <v/>
      </c>
      <c r="AM23" s="20">
        <f>IFERROR(AL23+AM19-변수!AM31,"")</f>
        <v/>
      </c>
      <c r="AN23" s="20">
        <f>IFERROR(AM23+AN19-변수!AN31,"")</f>
        <v/>
      </c>
      <c r="AO23" s="38">
        <f>AN23</f>
        <v/>
      </c>
    </row>
    <row r="24">
      <c r="A24" s="12" t="inlineStr">
        <is>
          <t>지배주주지분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지배주주지분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IFERROR(AB24+AC20-변수!AC32,"")</f>
        <v/>
      </c>
      <c r="AD24" s="20">
        <f>IFERROR(AC24+AD20-변수!AD32,"")</f>
        <v/>
      </c>
      <c r="AE24" s="38">
        <f>AD24</f>
        <v/>
      </c>
      <c r="AF24" s="20">
        <f>IFERROR(AD24+AF20-변수!AF32,"")</f>
        <v/>
      </c>
      <c r="AG24" s="20">
        <f>IFERROR(AF24+AG20-변수!AG32,"")</f>
        <v/>
      </c>
      <c r="AH24" s="20">
        <f>IFERROR(AG24+AH20-변수!AH32,"")</f>
        <v/>
      </c>
      <c r="AI24" s="20">
        <f>IFERROR(AH24+AI20-변수!AI32,"")</f>
        <v/>
      </c>
      <c r="AJ24" s="38">
        <f>AI24</f>
        <v/>
      </c>
      <c r="AK24" s="20">
        <f>IFERROR(AI24+AK20-변수!AK32,"")</f>
        <v/>
      </c>
      <c r="AL24" s="20">
        <f>IFERROR(AK24+AL20-변수!AL32,"")</f>
        <v/>
      </c>
      <c r="AM24" s="20">
        <f>IFERROR(AL24+AM20-변수!AM32,"")</f>
        <v/>
      </c>
      <c r="AN24" s="20">
        <f>IFERROR(AM24+AN20-변수!AN32,"")</f>
        <v/>
      </c>
      <c r="AO24" s="38">
        <f>AN24</f>
        <v/>
      </c>
    </row>
    <row r="25">
      <c r="A25" s="12" t="inlineStr">
        <is>
          <t>총차입금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총차입금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IFERROR(AB25*(1+변수!AC33),"")</f>
        <v/>
      </c>
      <c r="AD25" s="20">
        <f>IFERROR(AC25*(1+변수!AD33),"")</f>
        <v/>
      </c>
      <c r="AE25" s="38">
        <f>AD25</f>
        <v/>
      </c>
      <c r="AF25" s="20">
        <f>IFERROR(AD25*(1+변수!AF33),"")</f>
        <v/>
      </c>
      <c r="AG25" s="20">
        <f>IFERROR(AF25*(1+변수!AG33),"")</f>
        <v/>
      </c>
      <c r="AH25" s="20">
        <f>IFERROR(AG25*(1+변수!AH33),"")</f>
        <v/>
      </c>
      <c r="AI25" s="20">
        <f>IFERROR(AH25*(1+변수!AI33),"")</f>
        <v/>
      </c>
      <c r="AJ25" s="38">
        <f>AI25</f>
        <v/>
      </c>
      <c r="AK25" s="20">
        <f>IFERROR(AI25*(1+변수!AK33),"")</f>
        <v/>
      </c>
      <c r="AL25" s="20">
        <f>IFERROR(AK25*(1+변수!AL33),"")</f>
        <v/>
      </c>
      <c r="AM25" s="20">
        <f>IFERROR(AL25*(1+변수!AM33),"")</f>
        <v/>
      </c>
      <c r="AN25" s="20">
        <f>IFERROR(AM25*(1+변수!AN33),"")</f>
        <v/>
      </c>
      <c r="AO25" s="38">
        <f>AN25</f>
        <v/>
      </c>
    </row>
    <row r="26">
      <c r="A26" s="12" t="inlineStr">
        <is>
          <t>순차입금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순차입금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IFERROR(AB26*(1+변수!AC34),"")</f>
        <v/>
      </c>
      <c r="AD26" s="20">
        <f>IFERROR(AC26*(1+변수!AD34),"")</f>
        <v/>
      </c>
      <c r="AE26" s="38">
        <f>AD26</f>
        <v/>
      </c>
      <c r="AF26" s="20">
        <f>IFERROR(AD26*(1+변수!AF34),"")</f>
        <v/>
      </c>
      <c r="AG26" s="20">
        <f>IFERROR(AF26*(1+변수!AG34),"")</f>
        <v/>
      </c>
      <c r="AH26" s="20">
        <f>IFERROR(AG26*(1+변수!AH34),"")</f>
        <v/>
      </c>
      <c r="AI26" s="20">
        <f>IFERROR(AH26*(1+변수!AI34),"")</f>
        <v/>
      </c>
      <c r="AJ26" s="38">
        <f>AI26</f>
        <v/>
      </c>
      <c r="AK26" s="20">
        <f>IFERROR(AI26*(1+변수!AK34),"")</f>
        <v/>
      </c>
      <c r="AL26" s="20">
        <f>IFERROR(AK26*(1+변수!AL34),"")</f>
        <v/>
      </c>
      <c r="AM26" s="20">
        <f>IFERROR(AL26*(1+변수!AM34),"")</f>
        <v/>
      </c>
      <c r="AN26" s="20">
        <f>IFERROR(AM26*(1+변수!AN34),"")</f>
        <v/>
      </c>
      <c r="AO26" s="38">
        <f>AN26</f>
        <v/>
      </c>
    </row>
    <row r="27">
      <c r="A27" s="12" t="inlineStr">
        <is>
          <t>이자발생자산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이자발생자산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현금및현금성자산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현금및현금성자산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 t="n"/>
      <c r="AD28" s="20" t="n"/>
      <c r="AE28" s="38">
        <f>AD28</f>
        <v/>
      </c>
      <c r="AF28" s="20" t="n"/>
      <c r="AG28" s="20" t="n"/>
      <c r="AH28" s="20" t="n"/>
      <c r="AI28" s="20" t="n"/>
      <c r="AJ28" s="38">
        <f>AI28</f>
        <v/>
      </c>
      <c r="AK28" s="20" t="n"/>
      <c r="AL28" s="20" t="n"/>
      <c r="AM28" s="20" t="n"/>
      <c r="AN28" s="20" t="n"/>
      <c r="AO28" s="38">
        <f>AN28</f>
        <v/>
      </c>
    </row>
    <row r="29">
      <c r="A29" s="12" t="inlineStr">
        <is>
          <t>CAPEX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CAPEX</t>
        </is>
      </c>
      <c r="E29" s="18">
        <f>IFERROR(VLOOKUP($D29,BS연결,MATCH(E$1,BS연결H,0),0)/100,"")</f>
        <v/>
      </c>
      <c r="F29" s="37" t="n"/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IFERROR(X29*(1+변수!AC37),"")</f>
        <v/>
      </c>
      <c r="AD29" s="20">
        <f>IFERROR(Y29*(1+변수!AD37),"")</f>
        <v/>
      </c>
      <c r="AE29" s="38">
        <f>SUM(AA29:AD29)</f>
        <v/>
      </c>
      <c r="AF29" s="20">
        <f>IFERROR(AA29*(1+변수!AF37),"")</f>
        <v/>
      </c>
      <c r="AG29" s="20">
        <f>IFERROR(AB29*(1+변수!AG37),"")</f>
        <v/>
      </c>
      <c r="AH29" s="20">
        <f>IFERROR(AC29*(1+변수!AH37),"")</f>
        <v/>
      </c>
      <c r="AI29" s="20">
        <f>IFERROR(AD29*(1+변수!AI37),"")</f>
        <v/>
      </c>
      <c r="AJ29" s="38">
        <f>SUM(AF29:AI29)</f>
        <v/>
      </c>
      <c r="AK29" s="20">
        <f>IFERROR(AF29*(1+변수!AK37),"")</f>
        <v/>
      </c>
      <c r="AL29" s="20">
        <f>IFERROR(AG29*(1+변수!AL37),"")</f>
        <v/>
      </c>
      <c r="AM29" s="20">
        <f>IFERROR(AH29*(1+변수!AM37),"")</f>
        <v/>
      </c>
      <c r="AN29" s="20">
        <f>IFERROR(AI29*(1+변수!AN37),"")</f>
        <v/>
      </c>
      <c r="AO29" s="38">
        <f>SUM(AK29:AN29)</f>
        <v/>
      </c>
    </row>
    <row r="30">
      <c r="A30" s="12" t="inlineStr">
        <is>
          <t>영업활동현금흐름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영업활동으로인한현금흐름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SUM(AA30:AD30)</f>
        <v/>
      </c>
      <c r="AF30" s="20" t="n"/>
      <c r="AG30" s="20" t="n"/>
      <c r="AH30" s="20" t="n"/>
      <c r="AI30" s="20" t="n"/>
      <c r="AJ30" s="38">
        <f>SUM(AF30:AI30)</f>
        <v/>
      </c>
      <c r="AK30" s="20" t="n"/>
      <c r="AL30" s="20" t="n"/>
      <c r="AM30" s="20" t="n"/>
      <c r="AN30" s="20" t="n"/>
      <c r="AO30" s="38">
        <f>SUM(AK30:AN30)</f>
        <v/>
      </c>
    </row>
    <row r="31">
      <c r="A31" s="12" t="inlineStr">
        <is>
          <t>주식수</t>
        </is>
      </c>
      <c r="B31" t="inlineStr">
        <is>
          <t>주당</t>
        </is>
      </c>
      <c r="C31" t="inlineStr">
        <is>
          <t>백만주</t>
        </is>
      </c>
      <c r="D31" t="inlineStr">
        <is>
          <t>유통주식수</t>
        </is>
      </c>
      <c r="E31" s="27" t="n">
        <v>23</v>
      </c>
      <c r="F31" s="28">
        <f>E31</f>
        <v/>
      </c>
      <c r="G31" s="27" t="n">
        <v>23</v>
      </c>
      <c r="H31" s="27" t="n">
        <v>23</v>
      </c>
      <c r="I31" s="27" t="n">
        <v>23</v>
      </c>
      <c r="J31" s="27" t="n">
        <v>23</v>
      </c>
      <c r="K31" s="28">
        <f>J31</f>
        <v/>
      </c>
      <c r="L31" s="27" t="n">
        <v>23</v>
      </c>
      <c r="M31" s="27" t="n">
        <v>23</v>
      </c>
      <c r="N31" s="27" t="n">
        <v>23</v>
      </c>
      <c r="O31" s="27" t="n">
        <v>23</v>
      </c>
      <c r="P31" s="28">
        <f>O31</f>
        <v/>
      </c>
      <c r="Q31" s="27" t="n">
        <v>23</v>
      </c>
      <c r="R31" s="27" t="n">
        <v>23</v>
      </c>
      <c r="S31" s="27" t="n">
        <v>23</v>
      </c>
      <c r="T31" s="27" t="n">
        <v>23</v>
      </c>
      <c r="U31" s="28">
        <f>T31</f>
        <v/>
      </c>
      <c r="V31" s="27" t="n">
        <v>23</v>
      </c>
      <c r="W31" s="27" t="n">
        <v>40.139</v>
      </c>
      <c r="X31" s="27" t="n">
        <v>40.139</v>
      </c>
      <c r="Y31" s="27" t="n">
        <v>40.139</v>
      </c>
      <c r="Z31" s="28">
        <f>Y31</f>
        <v/>
      </c>
      <c r="AA31" s="27" t="n">
        <v>40.139</v>
      </c>
      <c r="AB31" s="29" t="n">
        <v>40.139</v>
      </c>
      <c r="AC31" s="33">
        <f>IFERROR(AB31*(1+변수!AC39),"")</f>
        <v/>
      </c>
      <c r="AD31" s="33">
        <f>IFERROR(AC31*(1+변수!AD39),"")</f>
        <v/>
      </c>
      <c r="AE31" s="31">
        <f>AD31</f>
        <v/>
      </c>
      <c r="AF31" s="33">
        <f>IFERROR(AD31*(1+변수!AF39),"")</f>
        <v/>
      </c>
      <c r="AG31" s="33">
        <f>IFERROR(AF31*(1+변수!AG39),"")</f>
        <v/>
      </c>
      <c r="AH31" s="33">
        <f>IFERROR(AG31*(1+변수!AH39),"")</f>
        <v/>
      </c>
      <c r="AI31" s="33">
        <f>IFERROR(AH31*(1+변수!AI39),"")</f>
        <v/>
      </c>
      <c r="AJ31" s="31">
        <f>AI31</f>
        <v/>
      </c>
      <c r="AK31" s="33">
        <f>IFERROR(AI31*(1+변수!AK39),"")</f>
        <v/>
      </c>
      <c r="AL31" s="33">
        <f>IFERROR(AK31*(1+변수!AL39),"")</f>
        <v/>
      </c>
      <c r="AM31" s="33">
        <f>IFERROR(AL31*(1+변수!AM39),"")</f>
        <v/>
      </c>
      <c r="AN31" s="33">
        <f>IFERROR(AM31*(1+변수!AN39),"")</f>
        <v/>
      </c>
      <c r="AO31" s="31">
        <f>AN31</f>
        <v/>
      </c>
    </row>
    <row r="32">
      <c r="A32" s="12" t="inlineStr">
        <is>
          <t>EPS</t>
        </is>
      </c>
      <c r="B32" t="inlineStr">
        <is>
          <t>주당</t>
        </is>
      </c>
      <c r="C32" t="inlineStr">
        <is>
          <t>원</t>
        </is>
      </c>
      <c r="D32" t="inlineStr">
        <is>
          <t>EPS</t>
        </is>
      </c>
      <c r="E32" s="18">
        <f>IFERROR(E20*100/E31,"")</f>
        <v/>
      </c>
      <c r="F32" s="37" t="n"/>
      <c r="G32" s="18">
        <f>IFERROR(G20*100/G31,"")</f>
        <v/>
      </c>
      <c r="H32" s="18">
        <f>IFERROR(H20*100/H31,"")</f>
        <v/>
      </c>
      <c r="I32" s="18">
        <f>IFERROR(I20*100/I31,"")</f>
        <v/>
      </c>
      <c r="J32" s="18">
        <f>IFERROR(J20*100/J31,"")</f>
        <v/>
      </c>
      <c r="K32" s="37">
        <f>SUM(G32:J32)</f>
        <v/>
      </c>
      <c r="L32" s="18">
        <f>IFERROR(L20*100/L31,"")</f>
        <v/>
      </c>
      <c r="M32" s="18">
        <f>IFERROR(M20*100/M31,"")</f>
        <v/>
      </c>
      <c r="N32" s="18">
        <f>IFERROR(N20*100/N31,"")</f>
        <v/>
      </c>
      <c r="O32" s="18">
        <f>IFERROR(O20*100/O31,"")</f>
        <v/>
      </c>
      <c r="P32" s="37">
        <f>SUM(L32:O32)</f>
        <v/>
      </c>
      <c r="Q32" s="18">
        <f>IFERROR(Q20*100/Q31,"")</f>
        <v/>
      </c>
      <c r="R32" s="18">
        <f>IFERROR(R20*100/R31,"")</f>
        <v/>
      </c>
      <c r="S32" s="18">
        <f>IFERROR(S20*100/S31,"")</f>
        <v/>
      </c>
      <c r="T32" s="18">
        <f>IFERROR(T20*100/T31,"")</f>
        <v/>
      </c>
      <c r="U32" s="37">
        <f>SUM(Q32:T32)</f>
        <v/>
      </c>
      <c r="V32" s="18">
        <f>IFERROR(V20*100/V31,"")</f>
        <v/>
      </c>
      <c r="W32" s="18">
        <f>IFERROR(W20*100/W31,"")</f>
        <v/>
      </c>
      <c r="X32" s="18">
        <f>IFERROR(X20*100/X31,"")</f>
        <v/>
      </c>
      <c r="Y32" s="18">
        <f>IFERROR(Y20*100/Y31,"")</f>
        <v/>
      </c>
      <c r="Z32" s="37">
        <f>SUM(V32:Y32)</f>
        <v/>
      </c>
      <c r="AA32" s="18">
        <f>IFERROR(AA20*100/AA31,"")</f>
        <v/>
      </c>
      <c r="AB32" s="19">
        <f>IFERROR(AB20*100/AB31,"")</f>
        <v/>
      </c>
      <c r="AC32" s="20">
        <f>IFERROR(AC20*100/AC31,"")</f>
        <v/>
      </c>
      <c r="AD32" s="20">
        <f>IFERROR(AD20*100/AD31,"")</f>
        <v/>
      </c>
      <c r="AE32" s="38">
        <f>SUM(AA32:AD32)</f>
        <v/>
      </c>
      <c r="AF32" s="20">
        <f>IFERROR(AF20*100/AF31,"")</f>
        <v/>
      </c>
      <c r="AG32" s="20">
        <f>IFERROR(AG20*100/AG31,"")</f>
        <v/>
      </c>
      <c r="AH32" s="20">
        <f>IFERROR(AH20*100/AH31,"")</f>
        <v/>
      </c>
      <c r="AI32" s="20">
        <f>IFERROR(AI20*100/AI31,"")</f>
        <v/>
      </c>
      <c r="AJ32" s="38">
        <f>SUM(AF32:AI32)</f>
        <v/>
      </c>
      <c r="AK32" s="20">
        <f>IFERROR(AK20*100/AK31,"")</f>
        <v/>
      </c>
      <c r="AL32" s="20">
        <f>IFERROR(AL20*100/AL31,"")</f>
        <v/>
      </c>
      <c r="AM32" s="20">
        <f>IFERROR(AM20*100/AM31,"")</f>
        <v/>
      </c>
      <c r="AN32" s="20">
        <f>IFERROR(AN20*100/AN31,"")</f>
        <v/>
      </c>
      <c r="AO32" s="38">
        <f>SUM(AK32:AN32)</f>
        <v/>
      </c>
    </row>
    <row r="33">
      <c r="A33" s="12" t="inlineStr">
        <is>
          <t>BPS</t>
        </is>
      </c>
      <c r="B33" t="inlineStr">
        <is>
          <t>주당</t>
        </is>
      </c>
      <c r="C33" t="inlineStr">
        <is>
          <t>원</t>
        </is>
      </c>
      <c r="D33" t="inlineStr">
        <is>
          <t>BPS</t>
        </is>
      </c>
      <c r="E33" s="18">
        <f>IFERROR(E24*100/E31,"")</f>
        <v/>
      </c>
      <c r="F33" s="37">
        <f>E33</f>
        <v/>
      </c>
      <c r="G33" s="18">
        <f>IFERROR(G24*100/G31,"")</f>
        <v/>
      </c>
      <c r="H33" s="18">
        <f>IFERROR(H24*100/H31,"")</f>
        <v/>
      </c>
      <c r="I33" s="18">
        <f>IFERROR(I24*100/I31,"")</f>
        <v/>
      </c>
      <c r="J33" s="18">
        <f>IFERROR(J24*100/J31,"")</f>
        <v/>
      </c>
      <c r="K33" s="37">
        <f>J33</f>
        <v/>
      </c>
      <c r="L33" s="18">
        <f>IFERROR(L24*100/L31,"")</f>
        <v/>
      </c>
      <c r="M33" s="18">
        <f>IFERROR(M24*100/M31,"")</f>
        <v/>
      </c>
      <c r="N33" s="18">
        <f>IFERROR(N24*100/N31,"")</f>
        <v/>
      </c>
      <c r="O33" s="18">
        <f>IFERROR(O24*100/O31,"")</f>
        <v/>
      </c>
      <c r="P33" s="37">
        <f>O33</f>
        <v/>
      </c>
      <c r="Q33" s="18">
        <f>IFERROR(Q24*100/Q31,"")</f>
        <v/>
      </c>
      <c r="R33" s="18">
        <f>IFERROR(R24*100/R31,"")</f>
        <v/>
      </c>
      <c r="S33" s="18">
        <f>IFERROR(S24*100/S31,"")</f>
        <v/>
      </c>
      <c r="T33" s="18">
        <f>IFERROR(T24*100/T31,"")</f>
        <v/>
      </c>
      <c r="U33" s="37">
        <f>T33</f>
        <v/>
      </c>
      <c r="V33" s="18">
        <f>IFERROR(V24*100/V31,"")</f>
        <v/>
      </c>
      <c r="W33" s="18">
        <f>IFERROR(W24*100/W31,"")</f>
        <v/>
      </c>
      <c r="X33" s="18">
        <f>IFERROR(X24*100/X31,"")</f>
        <v/>
      </c>
      <c r="Y33" s="18">
        <f>IFERROR(Y24*100/Y31,"")</f>
        <v/>
      </c>
      <c r="Z33" s="37">
        <f>Y33</f>
        <v/>
      </c>
      <c r="AA33" s="18">
        <f>IFERROR(AA24*100/AA31,"")</f>
        <v/>
      </c>
      <c r="AB33" s="19">
        <f>IFERROR(AB24*100/AB31,"")</f>
        <v/>
      </c>
      <c r="AC33" s="20">
        <f>IFERROR(AC24*100/AC31,"")</f>
        <v/>
      </c>
      <c r="AD33" s="20">
        <f>IFERROR(AD24*100/AD31,"")</f>
        <v/>
      </c>
      <c r="AE33" s="38">
        <f>AD33</f>
        <v/>
      </c>
      <c r="AF33" s="20">
        <f>IFERROR(AF24*100/AF31,"")</f>
        <v/>
      </c>
      <c r="AG33" s="20">
        <f>IFERROR(AG24*100/AG31,"")</f>
        <v/>
      </c>
      <c r="AH33" s="20">
        <f>IFERROR(AH24*100/AH31,"")</f>
        <v/>
      </c>
      <c r="AI33" s="20">
        <f>IFERROR(AI24*100/AI31,"")</f>
        <v/>
      </c>
      <c r="AJ33" s="38">
        <f>AI33</f>
        <v/>
      </c>
      <c r="AK33" s="20">
        <f>IFERROR(AK24*100/AK31,"")</f>
        <v/>
      </c>
      <c r="AL33" s="20">
        <f>IFERROR(AL24*100/AL31,"")</f>
        <v/>
      </c>
      <c r="AM33" s="20">
        <f>IFERROR(AM24*100/AM31,"")</f>
        <v/>
      </c>
      <c r="AN33" s="20">
        <f>IFERROR(AN24*100/AN31,"")</f>
        <v/>
      </c>
      <c r="AO33" s="38">
        <f>AN33</f>
        <v/>
      </c>
    </row>
    <row r="34">
      <c r="A34" s="12" t="inlineStr">
        <is>
          <t>DPS</t>
        </is>
      </c>
      <c r="B34" t="inlineStr">
        <is>
          <t>주당</t>
        </is>
      </c>
      <c r="C34" t="inlineStr">
        <is>
          <t>원</t>
        </is>
      </c>
      <c r="D34" t="inlineStr">
        <is>
          <t>DPS(보통주)</t>
        </is>
      </c>
      <c r="E34" s="18" t="n">
        <v>0</v>
      </c>
      <c r="F34" s="37" t="n">
        <v>0</v>
      </c>
      <c r="G34" s="18" t="n"/>
      <c r="H34" s="18" t="n"/>
      <c r="I34" s="18" t="n"/>
      <c r="J34" s="18" t="n">
        <v>0</v>
      </c>
      <c r="K34" s="37">
        <f>SUM(G34:J34)</f>
        <v/>
      </c>
      <c r="L34" s="18" t="n"/>
      <c r="M34" s="18" t="n"/>
      <c r="N34" s="18" t="n"/>
      <c r="O34" s="18" t="n">
        <v>0</v>
      </c>
      <c r="P34" s="37">
        <f>SUM(L34:O34)</f>
        <v/>
      </c>
      <c r="Q34" s="18" t="n"/>
      <c r="R34" s="18" t="n"/>
      <c r="S34" s="18" t="n"/>
      <c r="T34" s="18" t="n">
        <v>0</v>
      </c>
      <c r="U34" s="37">
        <f>SUM(Q34:T34)</f>
        <v/>
      </c>
      <c r="V34" s="18" t="n"/>
      <c r="W34" s="18" t="n"/>
      <c r="X34" s="18" t="n"/>
      <c r="Y34" s="18" t="n">
        <v>0</v>
      </c>
      <c r="Z34" s="37">
        <f>SUM(V34:Y34)</f>
        <v/>
      </c>
      <c r="AA34" s="18" t="n"/>
      <c r="AB34" s="19" t="n"/>
      <c r="AC34" s="20" t="n"/>
      <c r="AD34" s="20">
        <f>변수!AD40</f>
        <v/>
      </c>
      <c r="AE34" s="38">
        <f>SUM(AA34:AD34)</f>
        <v/>
      </c>
      <c r="AF34" s="20" t="n"/>
      <c r="AG34" s="20" t="n"/>
      <c r="AH34" s="20" t="n"/>
      <c r="AI34" s="20">
        <f>변수!AI40</f>
        <v/>
      </c>
      <c r="AJ34" s="38">
        <f>SUM(AF34:AI34)</f>
        <v/>
      </c>
      <c r="AK34" s="20" t="n"/>
      <c r="AL34" s="20" t="n"/>
      <c r="AM34" s="20" t="n"/>
      <c r="AN34" s="20">
        <f>변수!AN40</f>
        <v/>
      </c>
      <c r="AO34" s="38">
        <f>SUM(AK34:AN34)</f>
        <v/>
      </c>
    </row>
    <row r="35">
      <c r="A35" s="12" t="inlineStr">
        <is>
          <t>PER</t>
        </is>
      </c>
      <c r="B35" t="inlineStr">
        <is>
          <t>주당</t>
        </is>
      </c>
      <c r="C35" t="inlineStr">
        <is>
          <t>배</t>
        </is>
      </c>
      <c r="D35" t="inlineStr">
        <is>
          <t>PER</t>
        </is>
      </c>
      <c r="E35" s="13" t="n"/>
      <c r="F35" s="14">
        <f>E35</f>
        <v/>
      </c>
      <c r="G35" s="13" t="n"/>
      <c r="H35" s="13" t="n"/>
      <c r="I35" s="13" t="n"/>
      <c r="J35" s="13" t="n"/>
      <c r="K35" s="14">
        <f>J35</f>
        <v/>
      </c>
      <c r="L35" s="13" t="n"/>
      <c r="M35" s="13" t="n"/>
      <c r="N35" s="13" t="n"/>
      <c r="O35" s="13">
        <f>IFERROR(변수!O18/(L32+M32+N32+O32),"")</f>
        <v/>
      </c>
      <c r="P35" s="14">
        <f>O35</f>
        <v/>
      </c>
      <c r="Q35" s="13">
        <f>IFERROR(변수!Q18/(M32+N32+O32+Q32),"")</f>
        <v/>
      </c>
      <c r="R35" s="13">
        <f>IFERROR(변수!R18/(N32+O32+Q32+R32),"")</f>
        <v/>
      </c>
      <c r="S35" s="13">
        <f>IFERROR(변수!S18/(O32+Q32+R32+S32),"")</f>
        <v/>
      </c>
      <c r="T35" s="13">
        <f>IFERROR(변수!T18/(Q32+R32+S32+T32),"")</f>
        <v/>
      </c>
      <c r="U35" s="14">
        <f>T35</f>
        <v/>
      </c>
      <c r="V35" s="13">
        <f>IFERROR(변수!V18/(R32+S32+T32+V32),"")</f>
        <v/>
      </c>
      <c r="W35" s="13">
        <f>IFERROR(변수!W18/(S32+T32+V32+W32),"")</f>
        <v/>
      </c>
      <c r="X35" s="13">
        <f>IFERROR(변수!X18/(T32+V32+W32+X32),"")</f>
        <v/>
      </c>
      <c r="Y35" s="13">
        <f>IFERROR(변수!Y18/(V32+W32+X32+Y32),"")</f>
        <v/>
      </c>
      <c r="Z35" s="14">
        <f>Y35</f>
        <v/>
      </c>
      <c r="AA35" s="13">
        <f>IFERROR(변수!AA18/(W32+X32+Y32+AA32),"")</f>
        <v/>
      </c>
      <c r="AB35" s="15">
        <f>IFERROR(변수!AB18/(X32+Y32+AA32+AB32),"")</f>
        <v/>
      </c>
      <c r="AC35" s="39">
        <f>IFERROR(변수!$D$43/(Y32+AA32+AB32+AC32),"")</f>
        <v/>
      </c>
      <c r="AD35" s="39">
        <f>IFERROR(변수!$D$43/(AA32+AB32+AC32+AD32),"")</f>
        <v/>
      </c>
      <c r="AE35" s="40">
        <f>AD35</f>
        <v/>
      </c>
      <c r="AF35" s="39">
        <f>IFERROR(변수!$D$43/(AB32+AC32+AD32+AF32),"")</f>
        <v/>
      </c>
      <c r="AG35" s="39">
        <f>IFERROR(변수!$D$43/(AC32+AD32+AF32+AG32),"")</f>
        <v/>
      </c>
      <c r="AH35" s="39">
        <f>IFERROR(변수!$D$43/(AD32+AF32+AG32+AH32),"")</f>
        <v/>
      </c>
      <c r="AI35" s="39">
        <f>IFERROR(변수!$D$43/(AF32+AG32+AH32+AI32),"")</f>
        <v/>
      </c>
      <c r="AJ35" s="40">
        <f>AI35</f>
        <v/>
      </c>
      <c r="AK35" s="39">
        <f>IFERROR(변수!$D$43/(AG32+AH32+AI32+AK32),"")</f>
        <v/>
      </c>
      <c r="AL35" s="39">
        <f>IFERROR(변수!$D$43/(AH32+AI32+AK32+AL32),"")</f>
        <v/>
      </c>
      <c r="AM35" s="39">
        <f>IFERROR(변수!$D$43/(AI32+AK32+AL32+AM32),"")</f>
        <v/>
      </c>
      <c r="AN35" s="39">
        <f>IFERROR(변수!$D$43/(AK32+AL32+AM32+AN32),"")</f>
        <v/>
      </c>
      <c r="AO35" s="40">
        <f>AN35</f>
        <v/>
      </c>
    </row>
    <row r="36">
      <c r="A36" s="12" t="inlineStr">
        <is>
          <t>PBR</t>
        </is>
      </c>
      <c r="B36" t="inlineStr">
        <is>
          <t>주당</t>
        </is>
      </c>
      <c r="C36" t="inlineStr">
        <is>
          <t>배</t>
        </is>
      </c>
      <c r="D36" t="inlineStr">
        <is>
          <t>PBR</t>
        </is>
      </c>
      <c r="E36" s="13">
        <f>IFERROR(변수!E18/E33,"")</f>
        <v/>
      </c>
      <c r="F36" s="14">
        <f>E36</f>
        <v/>
      </c>
      <c r="G36" s="13">
        <f>IFERROR(변수!G18/G33,"")</f>
        <v/>
      </c>
      <c r="H36" s="13">
        <f>IFERROR(변수!H18/H33,"")</f>
        <v/>
      </c>
      <c r="I36" s="13">
        <f>IFERROR(변수!I18/I33,"")</f>
        <v/>
      </c>
      <c r="J36" s="13">
        <f>IFERROR(변수!J18/J33,"")</f>
        <v/>
      </c>
      <c r="K36" s="14">
        <f>J36</f>
        <v/>
      </c>
      <c r="L36" s="13">
        <f>IFERROR(변수!L18/L33,"")</f>
        <v/>
      </c>
      <c r="M36" s="13">
        <f>IFERROR(변수!M18/M33,"")</f>
        <v/>
      </c>
      <c r="N36" s="13">
        <f>IFERROR(변수!N18/N33,"")</f>
        <v/>
      </c>
      <c r="O36" s="13">
        <f>IFERROR(변수!O18/O33,"")</f>
        <v/>
      </c>
      <c r="P36" s="14">
        <f>O36</f>
        <v/>
      </c>
      <c r="Q36" s="13">
        <f>IFERROR(변수!Q18/Q33,"")</f>
        <v/>
      </c>
      <c r="R36" s="13">
        <f>IFERROR(변수!R18/R33,"")</f>
        <v/>
      </c>
      <c r="S36" s="13">
        <f>IFERROR(변수!S18/S33,"")</f>
        <v/>
      </c>
      <c r="T36" s="13">
        <f>IFERROR(변수!T18/T33,"")</f>
        <v/>
      </c>
      <c r="U36" s="14">
        <f>T36</f>
        <v/>
      </c>
      <c r="V36" s="13">
        <f>IFERROR(변수!V18/V33,"")</f>
        <v/>
      </c>
      <c r="W36" s="13">
        <f>IFERROR(변수!W18/W33,"")</f>
        <v/>
      </c>
      <c r="X36" s="13">
        <f>IFERROR(변수!X18/X33,"")</f>
        <v/>
      </c>
      <c r="Y36" s="13">
        <f>IFERROR(변수!Y18/Y33,"")</f>
        <v/>
      </c>
      <c r="Z36" s="14">
        <f>Y36</f>
        <v/>
      </c>
      <c r="AA36" s="13">
        <f>IFERROR(변수!AA18/AA33,"")</f>
        <v/>
      </c>
      <c r="AB36" s="15">
        <f>IFERROR(변수!AB18/AB33,"")</f>
        <v/>
      </c>
      <c r="AC36" s="39">
        <f>IFERROR(변수!$D$43/AC33,"")</f>
        <v/>
      </c>
      <c r="AD36" s="39">
        <f>IFERROR(변수!$D$43/AD33,"")</f>
        <v/>
      </c>
      <c r="AE36" s="40">
        <f>AD36</f>
        <v/>
      </c>
      <c r="AF36" s="39">
        <f>IFERROR(변수!$D$43/AF33,"")</f>
        <v/>
      </c>
      <c r="AG36" s="39">
        <f>IFERROR(변수!$D$43/AG33,"")</f>
        <v/>
      </c>
      <c r="AH36" s="39">
        <f>IFERROR(변수!$D$43/AH33,"")</f>
        <v/>
      </c>
      <c r="AI36" s="39">
        <f>IFERROR(변수!$D$43/AI33,"")</f>
        <v/>
      </c>
      <c r="AJ36" s="40">
        <f>AI36</f>
        <v/>
      </c>
      <c r="AK36" s="39">
        <f>IFERROR(변수!$D$43/AK33,"")</f>
        <v/>
      </c>
      <c r="AL36" s="39">
        <f>IFERROR(변수!$D$43/AL33,"")</f>
        <v/>
      </c>
      <c r="AM36" s="39">
        <f>IFERROR(변수!$D$43/AM33,"")</f>
        <v/>
      </c>
      <c r="AN36" s="39">
        <f>IFERROR(변수!$D$43/AN33,"")</f>
        <v/>
      </c>
      <c r="AO36" s="40">
        <f>AN36</f>
        <v/>
      </c>
    </row>
    <row r="37">
      <c r="A37" s="12" t="inlineStr">
        <is>
          <t>매출전사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매출 전사(부문 미분리)</t>
        </is>
      </c>
      <c r="E37" s="18" t="n">
        <v>1662.98</v>
      </c>
      <c r="F37" s="37" t="n"/>
      <c r="G37" s="18" t="n">
        <v>1119.18</v>
      </c>
      <c r="H37" s="18" t="n">
        <v>1049.16</v>
      </c>
      <c r="I37" s="18" t="n">
        <v>1374.16</v>
      </c>
      <c r="J37" s="18" t="n">
        <v>1897.71</v>
      </c>
      <c r="K37" s="37">
        <f>SUM(G37:J37)</f>
        <v/>
      </c>
      <c r="L37" s="18" t="n">
        <v>1169.81</v>
      </c>
      <c r="M37" s="18" t="n">
        <v>1634.37</v>
      </c>
      <c r="N37" s="18" t="n">
        <v>1385.35</v>
      </c>
      <c r="O37" s="18" t="n">
        <v>2114.24</v>
      </c>
      <c r="P37" s="37">
        <f>SUM(L37:O37)</f>
        <v/>
      </c>
      <c r="Q37" s="18" t="n">
        <v>1155.06</v>
      </c>
      <c r="R37" s="18" t="n">
        <v>1973.61</v>
      </c>
      <c r="S37" s="18" t="n">
        <v>1939.68</v>
      </c>
      <c r="T37" s="18" t="n">
        <v>2177.75</v>
      </c>
      <c r="U37" s="37">
        <f>SUM(Q37:T37)</f>
        <v/>
      </c>
      <c r="V37" s="18" t="n">
        <v>1391.39</v>
      </c>
      <c r="W37" s="18" t="n">
        <v>2136.55</v>
      </c>
      <c r="X37" s="18" t="n">
        <v>1920.66</v>
      </c>
      <c r="Y37" s="18" t="n">
        <v>2444.82</v>
      </c>
      <c r="Z37" s="37">
        <f>SUM(V37:Y37)</f>
        <v/>
      </c>
      <c r="AA37" s="18" t="n">
        <v>1890.11</v>
      </c>
      <c r="AB37" s="19" t="n">
        <v>2129.9</v>
      </c>
      <c r="AC37" s="20">
        <f>IFERROR(AC5,"")</f>
        <v/>
      </c>
      <c r="AD37" s="20">
        <f>IFERROR(AD5,"")</f>
        <v/>
      </c>
      <c r="AE37" s="38">
        <f>SUM(AA37:AD37)</f>
        <v/>
      </c>
      <c r="AF37" s="20">
        <f>IFERROR(AF5,"")</f>
        <v/>
      </c>
      <c r="AG37" s="20">
        <f>IFERROR(AG5,"")</f>
        <v/>
      </c>
      <c r="AH37" s="20">
        <f>IFERROR(AH5,"")</f>
        <v/>
      </c>
      <c r="AI37" s="20">
        <f>IFERROR(AI5,"")</f>
        <v/>
      </c>
      <c r="AJ37" s="38">
        <f>SUM(AF37:AI37)</f>
        <v/>
      </c>
      <c r="AK37" s="20">
        <f>IFERROR(AK5,"")</f>
        <v/>
      </c>
      <c r="AL37" s="20">
        <f>IFERROR(AL5,"")</f>
        <v/>
      </c>
      <c r="AM37" s="20">
        <f>IFERROR(AM5,"")</f>
        <v/>
      </c>
      <c r="AN37" s="20">
        <f>IFERROR(AN5,"")</f>
        <v/>
      </c>
      <c r="AO37" s="38">
        <f>SUM(AK37:AN37)</f>
        <v/>
      </c>
    </row>
    <row r="38">
      <c r="A38" s="12" t="inlineStr">
        <is>
          <t>OP전사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OP 전사(부문 미분리)</t>
        </is>
      </c>
      <c r="E38" s="18" t="n">
        <v>34.97</v>
      </c>
      <c r="F38" s="37" t="n"/>
      <c r="G38" s="18" t="n">
        <v>-11.27</v>
      </c>
      <c r="H38" s="18" t="n">
        <v>6.34</v>
      </c>
      <c r="I38" s="18" t="n">
        <v>12.66</v>
      </c>
      <c r="J38" s="18" t="n">
        <v>-95.89</v>
      </c>
      <c r="K38" s="37">
        <f>SUM(G38:J38)</f>
        <v/>
      </c>
      <c r="L38" s="18" t="n">
        <v>-3.5</v>
      </c>
      <c r="M38" s="18" t="n">
        <v>44.5</v>
      </c>
      <c r="N38" s="18" t="n">
        <v>18.84</v>
      </c>
      <c r="O38" s="18" t="n">
        <v>128.84</v>
      </c>
      <c r="P38" s="37">
        <f>SUM(L38:O38)</f>
        <v/>
      </c>
      <c r="Q38" s="18" t="n">
        <v>68.13</v>
      </c>
      <c r="R38" s="18" t="n">
        <v>217.66</v>
      </c>
      <c r="S38" s="18" t="n">
        <v>54.26</v>
      </c>
      <c r="T38" s="18" t="n">
        <v>82.31999999999999</v>
      </c>
      <c r="U38" s="37">
        <f>SUM(Q38:T38)</f>
        <v/>
      </c>
      <c r="V38" s="18" t="n">
        <v>154.52</v>
      </c>
      <c r="W38" s="18" t="n">
        <v>333.48</v>
      </c>
      <c r="X38" s="18" t="n">
        <v>154.26</v>
      </c>
      <c r="Y38" s="18" t="n">
        <v>53.68</v>
      </c>
      <c r="Z38" s="37">
        <f>SUM(V38:Y38)</f>
        <v/>
      </c>
      <c r="AA38" s="18" t="n">
        <v>175.04</v>
      </c>
      <c r="AB38" s="19" t="n">
        <v>249.61</v>
      </c>
      <c r="AC38" s="20">
        <f>IFERROR(AC9,"")</f>
        <v/>
      </c>
      <c r="AD38" s="20">
        <f>IFERROR(AD9,"")</f>
        <v/>
      </c>
      <c r="AE38" s="38">
        <f>SUM(AA38:AD38)</f>
        <v/>
      </c>
      <c r="AF38" s="20">
        <f>IFERROR(AF9,"")</f>
        <v/>
      </c>
      <c r="AG38" s="20">
        <f>IFERROR(AG9,"")</f>
        <v/>
      </c>
      <c r="AH38" s="20">
        <f>IFERROR(AH9,"")</f>
        <v/>
      </c>
      <c r="AI38" s="20">
        <f>IFERROR(AI9,"")</f>
        <v/>
      </c>
      <c r="AJ38" s="38">
        <f>SUM(AF38:AI38)</f>
        <v/>
      </c>
      <c r="AK38" s="20">
        <f>IFERROR(AK9,"")</f>
        <v/>
      </c>
      <c r="AL38" s="20">
        <f>IFERROR(AL9,"")</f>
        <v/>
      </c>
      <c r="AM38" s="20">
        <f>IFERROR(AM9,"")</f>
        <v/>
      </c>
      <c r="AN38" s="20">
        <f>IFERROR(AN9,"")</f>
        <v/>
      </c>
      <c r="AO38" s="38">
        <f>SUM(AK38:AN38)</f>
        <v/>
      </c>
    </row>
    <row r="39">
      <c r="B39" s="2" t="inlineStr">
        <is>
          <t>비율(참고)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NPM</t>
        </is>
      </c>
      <c r="C40" t="inlineStr">
        <is>
          <t>%</t>
        </is>
      </c>
      <c r="D40" t="inlineStr">
        <is>
          <t>지배주주순이익 / 매출액</t>
        </is>
      </c>
      <c r="E40" s="21">
        <f>IFERROR(E20/E5,"")</f>
        <v/>
      </c>
      <c r="F40" s="22">
        <f>IFERROR(F20/F5,"")</f>
        <v/>
      </c>
      <c r="G40" s="21">
        <f>IFERROR(G20/G5,"")</f>
        <v/>
      </c>
      <c r="H40" s="21">
        <f>IFERROR(H20/H5,"")</f>
        <v/>
      </c>
      <c r="I40" s="21">
        <f>IFERROR(I20/I5,"")</f>
        <v/>
      </c>
      <c r="J40" s="21">
        <f>IFERROR(J20/J5,"")</f>
        <v/>
      </c>
      <c r="K40" s="22">
        <f>IFERROR(K20/K5,"")</f>
        <v/>
      </c>
      <c r="L40" s="21">
        <f>IFERROR(L20/L5,"")</f>
        <v/>
      </c>
      <c r="M40" s="21">
        <f>IFERROR(M20/M5,"")</f>
        <v/>
      </c>
      <c r="N40" s="21">
        <f>IFERROR(N20/N5,"")</f>
        <v/>
      </c>
      <c r="O40" s="21">
        <f>IFERROR(O20/O5,"")</f>
        <v/>
      </c>
      <c r="P40" s="22">
        <f>IFERROR(P20/P5,"")</f>
        <v/>
      </c>
      <c r="Q40" s="21">
        <f>IFERROR(Q20/Q5,"")</f>
        <v/>
      </c>
      <c r="R40" s="21">
        <f>IFERROR(R20/R5,"")</f>
        <v/>
      </c>
      <c r="S40" s="21">
        <f>IFERROR(S20/S5,"")</f>
        <v/>
      </c>
      <c r="T40" s="21">
        <f>IFERROR(T20/T5,"")</f>
        <v/>
      </c>
      <c r="U40" s="22">
        <f>IFERROR(U20/U5,"")</f>
        <v/>
      </c>
      <c r="V40" s="21">
        <f>IFERROR(V20/V5,"")</f>
        <v/>
      </c>
      <c r="W40" s="21">
        <f>IFERROR(W20/W5,"")</f>
        <v/>
      </c>
      <c r="X40" s="21">
        <f>IFERROR(X20/X5,"")</f>
        <v/>
      </c>
      <c r="Y40" s="21">
        <f>IFERROR(Y20/Y5,"")</f>
        <v/>
      </c>
      <c r="Z40" s="22">
        <f>IFERROR(Z20/Z5,"")</f>
        <v/>
      </c>
      <c r="AA40" s="21">
        <f>IFERROR(AA20/AA5,"")</f>
        <v/>
      </c>
      <c r="AB40" s="23">
        <f>IFERROR(AB20/AB5,"")</f>
        <v/>
      </c>
      <c r="AC40" s="32">
        <f>IFERROR(AC20/AC5,"")</f>
        <v/>
      </c>
      <c r="AD40" s="32">
        <f>IFERROR(AD20/AD5,"")</f>
        <v/>
      </c>
      <c r="AE40" s="25">
        <f>IFERROR(AE20/AE5,"")</f>
        <v/>
      </c>
      <c r="AF40" s="32">
        <f>IFERROR(AF20/AF5,"")</f>
        <v/>
      </c>
      <c r="AG40" s="32">
        <f>IFERROR(AG20/AG5,"")</f>
        <v/>
      </c>
      <c r="AH40" s="32">
        <f>IFERROR(AH20/AH5,"")</f>
        <v/>
      </c>
      <c r="AI40" s="32">
        <f>IFERROR(AI20/AI5,"")</f>
        <v/>
      </c>
      <c r="AJ40" s="25">
        <f>IFERROR(AJ20/AJ5,"")</f>
        <v/>
      </c>
      <c r="AK40" s="32">
        <f>IFERROR(AK20/AK5,"")</f>
        <v/>
      </c>
      <c r="AL40" s="32">
        <f>IFERROR(AL20/AL5,"")</f>
        <v/>
      </c>
      <c r="AM40" s="32">
        <f>IFERROR(AM20/AM5,"")</f>
        <v/>
      </c>
      <c r="AN40" s="32">
        <f>IFERROR(AN20/AN5,"")</f>
        <v/>
      </c>
      <c r="AO40" s="25">
        <f>IFERROR(AO20/AO5,"")</f>
        <v/>
      </c>
    </row>
    <row r="41">
      <c r="A41" s="12" t="inlineStr">
        <is>
          <t>매출원가율</t>
        </is>
      </c>
      <c r="C41" t="inlineStr">
        <is>
          <t>%</t>
        </is>
      </c>
      <c r="D41" t="inlineStr">
        <is>
          <t>매출원가 / 매출액</t>
        </is>
      </c>
      <c r="E41" s="21">
        <f>IFERROR(E6/E5,"")</f>
        <v/>
      </c>
      <c r="F41" s="22">
        <f>IFERROR(F6/F5,"")</f>
        <v/>
      </c>
      <c r="G41" s="21">
        <f>IFERROR(G6/G5,"")</f>
        <v/>
      </c>
      <c r="H41" s="21">
        <f>IFERROR(H6/H5,"")</f>
        <v/>
      </c>
      <c r="I41" s="21">
        <f>IFERROR(I6/I5,"")</f>
        <v/>
      </c>
      <c r="J41" s="21">
        <f>IFERROR(J6/J5,"")</f>
        <v/>
      </c>
      <c r="K41" s="22">
        <f>IFERROR(K6/K5,"")</f>
        <v/>
      </c>
      <c r="L41" s="21">
        <f>IFERROR(L6/L5,"")</f>
        <v/>
      </c>
      <c r="M41" s="21">
        <f>IFERROR(M6/M5,"")</f>
        <v/>
      </c>
      <c r="N41" s="21">
        <f>IFERROR(N6/N5,"")</f>
        <v/>
      </c>
      <c r="O41" s="21">
        <f>IFERROR(O6/O5,"")</f>
        <v/>
      </c>
      <c r="P41" s="22">
        <f>IFERROR(P6/P5,"")</f>
        <v/>
      </c>
      <c r="Q41" s="21">
        <f>IFERROR(Q6/Q5,"")</f>
        <v/>
      </c>
      <c r="R41" s="21">
        <f>IFERROR(R6/R5,"")</f>
        <v/>
      </c>
      <c r="S41" s="21">
        <f>IFERROR(S6/S5,"")</f>
        <v/>
      </c>
      <c r="T41" s="21">
        <f>IFERROR(T6/T5,"")</f>
        <v/>
      </c>
      <c r="U41" s="22">
        <f>IFERROR(U6/U5,"")</f>
        <v/>
      </c>
      <c r="V41" s="21">
        <f>IFERROR(V6/V5,"")</f>
        <v/>
      </c>
      <c r="W41" s="21">
        <f>IFERROR(W6/W5,"")</f>
        <v/>
      </c>
      <c r="X41" s="21">
        <f>IFERROR(X6/X5,"")</f>
        <v/>
      </c>
      <c r="Y41" s="21">
        <f>IFERROR(Y6/Y5,"")</f>
        <v/>
      </c>
      <c r="Z41" s="22">
        <f>IFERROR(Z6/Z5,"")</f>
        <v/>
      </c>
      <c r="AA41" s="21">
        <f>IFERROR(AA6/AA5,"")</f>
        <v/>
      </c>
      <c r="AB41" s="23">
        <f>IFERROR(AB6/AB5,"")</f>
        <v/>
      </c>
      <c r="AC41" s="32">
        <f>IFERROR(AC6/AC5,"")</f>
        <v/>
      </c>
      <c r="AD41" s="32">
        <f>IFERROR(AD6/AD5,"")</f>
        <v/>
      </c>
      <c r="AE41" s="25">
        <f>IFERROR(AE6/AE5,"")</f>
        <v/>
      </c>
      <c r="AF41" s="32">
        <f>IFERROR(AF6/AF5,"")</f>
        <v/>
      </c>
      <c r="AG41" s="32">
        <f>IFERROR(AG6/AG5,"")</f>
        <v/>
      </c>
      <c r="AH41" s="32">
        <f>IFERROR(AH6/AH5,"")</f>
        <v/>
      </c>
      <c r="AI41" s="32">
        <f>IFERROR(AI6/AI5,"")</f>
        <v/>
      </c>
      <c r="AJ41" s="25">
        <f>IFERROR(AJ6/AJ5,"")</f>
        <v/>
      </c>
      <c r="AK41" s="32">
        <f>IFERROR(AK6/AK5,"")</f>
        <v/>
      </c>
      <c r="AL41" s="32">
        <f>IFERROR(AL6/AL5,"")</f>
        <v/>
      </c>
      <c r="AM41" s="32">
        <f>IFERROR(AM6/AM5,"")</f>
        <v/>
      </c>
      <c r="AN41" s="32">
        <f>IFERROR(AN6/AN5,"")</f>
        <v/>
      </c>
      <c r="AO41" s="25">
        <f>IFERROR(AO6/AO5,"")</f>
        <v/>
      </c>
    </row>
    <row r="42">
      <c r="A42" s="12" t="inlineStr">
        <is>
          <t>판관비율</t>
        </is>
      </c>
      <c r="C42" t="inlineStr">
        <is>
          <t>%</t>
        </is>
      </c>
      <c r="D42" t="inlineStr">
        <is>
          <t>판관비 / 매출액</t>
        </is>
      </c>
      <c r="E42" s="21">
        <f>IFERROR(E8/E5,"")</f>
        <v/>
      </c>
      <c r="F42" s="22">
        <f>IFERROR(F8/F5,"")</f>
        <v/>
      </c>
      <c r="G42" s="21">
        <f>IFERROR(G8/G5,"")</f>
        <v/>
      </c>
      <c r="H42" s="21">
        <f>IFERROR(H8/H5,"")</f>
        <v/>
      </c>
      <c r="I42" s="21">
        <f>IFERROR(I8/I5,"")</f>
        <v/>
      </c>
      <c r="J42" s="21">
        <f>IFERROR(J8/J5,"")</f>
        <v/>
      </c>
      <c r="K42" s="22">
        <f>IFERROR(K8/K5,"")</f>
        <v/>
      </c>
      <c r="L42" s="21">
        <f>IFERROR(L8/L5,"")</f>
        <v/>
      </c>
      <c r="M42" s="21">
        <f>IFERROR(M8/M5,"")</f>
        <v/>
      </c>
      <c r="N42" s="21">
        <f>IFERROR(N8/N5,"")</f>
        <v/>
      </c>
      <c r="O42" s="21">
        <f>IFERROR(O8/O5,"")</f>
        <v/>
      </c>
      <c r="P42" s="22">
        <f>IFERROR(P8/P5,"")</f>
        <v/>
      </c>
      <c r="Q42" s="21">
        <f>IFERROR(Q8/Q5,"")</f>
        <v/>
      </c>
      <c r="R42" s="21">
        <f>IFERROR(R8/R5,"")</f>
        <v/>
      </c>
      <c r="S42" s="21">
        <f>IFERROR(S8/S5,"")</f>
        <v/>
      </c>
      <c r="T42" s="21">
        <f>IFERROR(T8/T5,"")</f>
        <v/>
      </c>
      <c r="U42" s="22">
        <f>IFERROR(U8/U5,"")</f>
        <v/>
      </c>
      <c r="V42" s="21">
        <f>IFERROR(V8/V5,"")</f>
        <v/>
      </c>
      <c r="W42" s="21">
        <f>IFERROR(W8/W5,"")</f>
        <v/>
      </c>
      <c r="X42" s="21">
        <f>IFERROR(X8/X5,"")</f>
        <v/>
      </c>
      <c r="Y42" s="21">
        <f>IFERROR(Y8/Y5,"")</f>
        <v/>
      </c>
      <c r="Z42" s="22">
        <f>IFERROR(Z8/Z5,"")</f>
        <v/>
      </c>
      <c r="AA42" s="21">
        <f>IFERROR(AA8/AA5,"")</f>
        <v/>
      </c>
      <c r="AB42" s="23">
        <f>IFERROR(AB8/AB5,"")</f>
        <v/>
      </c>
      <c r="AC42" s="32">
        <f>IFERROR(AC8/AC5,"")</f>
        <v/>
      </c>
      <c r="AD42" s="32">
        <f>IFERROR(AD8/AD5,"")</f>
        <v/>
      </c>
      <c r="AE42" s="25">
        <f>IFERROR(AE8/AE5,"")</f>
        <v/>
      </c>
      <c r="AF42" s="32">
        <f>IFERROR(AF8/AF5,"")</f>
        <v/>
      </c>
      <c r="AG42" s="32">
        <f>IFERROR(AG8/AG5,"")</f>
        <v/>
      </c>
      <c r="AH42" s="32">
        <f>IFERROR(AH8/AH5,"")</f>
        <v/>
      </c>
      <c r="AI42" s="32">
        <f>IFERROR(AI8/AI5,"")</f>
        <v/>
      </c>
      <c r="AJ42" s="25">
        <f>IFERROR(AJ8/AJ5,"")</f>
        <v/>
      </c>
      <c r="AK42" s="32">
        <f>IFERROR(AK8/AK5,"")</f>
        <v/>
      </c>
      <c r="AL42" s="32">
        <f>IFERROR(AL8/AL5,"")</f>
        <v/>
      </c>
      <c r="AM42" s="32">
        <f>IFERROR(AM8/AM5,"")</f>
        <v/>
      </c>
      <c r="AN42" s="32">
        <f>IFERROR(AN8/AN5,"")</f>
        <v/>
      </c>
      <c r="AO42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변수!D43</f>
        <v/>
      </c>
      <c r="W2" s="42" t="n"/>
    </row>
    <row r="3">
      <c r="C3" t="inlineStr">
        <is>
          <t>기준일:</t>
        </is>
      </c>
      <c r="D3" t="inlineStr">
        <is>
          <t>20261026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27">
        <f>IFERROR(VLOOKUP($A31,subQ,MATCH(I$1,SUBQH,0),0),"")</f>
        <v/>
      </c>
      <c r="J31" s="27">
        <f>IFERROR(VLOOKUP($A31,subQ,MATCH(J$1,SUBQH,0),0),"")</f>
        <v/>
      </c>
      <c r="K31" s="27">
        <f>IFERROR(VLOOKUP($A31,subQ,MATCH(K$1,SUBQH,0),0),"")</f>
        <v/>
      </c>
      <c r="L31" s="27">
        <f>IFERROR(VLOOKUP($A31,subQ,MATCH(L$1,SUBQH,0),0),"")</f>
        <v/>
      </c>
      <c r="M31" s="27">
        <f>IFERROR(VLOOKUP($A31,subQ,MATCH(M$1,SUBQH,0),0),"")</f>
        <v/>
      </c>
      <c r="N31" s="27">
        <f>IFERROR(VLOOKUP($A31,subQ,MATCH(N$1,SUBQH,0),0),"")</f>
        <v/>
      </c>
      <c r="O31" s="27">
        <f>IFERROR(VLOOKUP($A31,subQ,MATCH(O$1,SUBQH,0),0),"")</f>
        <v/>
      </c>
      <c r="P31" s="27">
        <f>IFERROR(VLOOKUP($A31,subQ,MATCH(P$1,SUBQH,0),0),"")</f>
        <v/>
      </c>
      <c r="Q31" s="27">
        <f>IFERROR(VLOOKUP($A31,subQ,MATCH(Q$1,SUBQH,0),0),"")</f>
        <v/>
      </c>
      <c r="R31" s="27">
        <f>IFERROR(VLOOKUP($A31,subQ,MATCH(R$1,SUBQH,0),0),"")</f>
        <v/>
      </c>
      <c r="S31" s="27">
        <f>IFERROR(VLOOKUP($A31,subQ,MATCH(S$1,SUBQH,0),0),"")</f>
        <v/>
      </c>
      <c r="T31" s="27">
        <f>IFERROR(VLOOKUP($A31,subQ,MATCH(T$1,SUBQH,0),0),"")</f>
        <v/>
      </c>
      <c r="U31" s="27">
        <f>IFERROR(VLOOKUP($A31,subQ,MATCH(U$1,SUBQH,0),0),"")</f>
        <v/>
      </c>
      <c r="V31" s="27">
        <f>IFERROR(VLOOKUP($A31,subQ,MATCH(V$1,SUBQH,0),0),"")</f>
        <v/>
      </c>
      <c r="W31" s="47">
        <f>IFERROR(VLOOKUP($A31,subQ,MATCH(W$1,SUBQH,0),0),"")</f>
        <v/>
      </c>
      <c r="X31" s="33">
        <f>IFERROR(VLOOKUP($A31,subQ,MATCH(X$1,SUBQH,0),0),"")</f>
        <v/>
      </c>
      <c r="Y31" s="33">
        <f>IFERROR(VLOOKUP($A31,subQ,MATCH(Y$1,SUBQH,0),0),"")</f>
        <v/>
      </c>
      <c r="Z31" s="33">
        <f>IFERROR(VLOOKUP($A31,subQ,MATCH(Z$1,SUBQH,0),0),"")</f>
        <v/>
      </c>
      <c r="AA31" s="33">
        <f>IFERROR(VLOOKUP($A31,subQ,MATCH(AA$1,SUBQH,0),0),"")</f>
        <v/>
      </c>
      <c r="AB31" s="33">
        <f>IFERROR(VLOOKUP($A31,subQ,MATCH(AB$1,SUBQH,0),0),"")</f>
        <v/>
      </c>
      <c r="AC31" s="33">
        <f>IFERROR(VLOOKUP($A31,subQ,MATCH(AC$1,SUBQH,0),0),"")</f>
        <v/>
      </c>
      <c r="AD31" s="33">
        <f>IFERROR(VLOOKUP($A31,subQ,MATCH(AD$1,SUBQH,0),0),"")</f>
        <v/>
      </c>
      <c r="AE31" s="33">
        <f>IFERROR(VLOOKUP($A31,subQ,MATCH(AE$1,SUBQH,0),0),"")</f>
        <v/>
      </c>
      <c r="AF31" s="33">
        <f>IFERROR(VLOOKUP($A31,subQ,MATCH(AF$1,SUBQH,0),0),"")</f>
        <v/>
      </c>
      <c r="AG31" s="33">
        <f>IFERROR(VLOOKUP($A31,subQ,MATCH(AG$1,SUBQH,0),0),"")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48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  <c r="AD35" s="39">
        <f>IFERROR(VLOOKUP($A35,subQ,MATCH(AD$1,SUBQH,0),0),"")</f>
        <v/>
      </c>
      <c r="AE35" s="39">
        <f>IFERROR(VLOOKUP($A35,subQ,MATCH(AE$1,SUBQH,0),0),"")</f>
        <v/>
      </c>
      <c r="AF35" s="39">
        <f>IFERROR(VLOOKUP($A35,subQ,MATCH(AF$1,SUBQH,0),0),"")</f>
        <v/>
      </c>
      <c r="AG35" s="39">
        <f>IFERROR(VLOOKUP($A35,subQ,MATCH(AG$1,SUBQH,0),0),"")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8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5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21">
        <f>IFERROR(VLOOKUP($A39,subQ,MATCH(I$1,SUBQH,0),0),"")</f>
        <v/>
      </c>
      <c r="J39" s="21">
        <f>IFERROR(VLOOKUP($A39,subQ,MATCH(J$1,SUBQH,0),0),"")</f>
        <v/>
      </c>
      <c r="K39" s="21">
        <f>IFERROR(VLOOKUP($A39,subQ,MATCH(K$1,SUBQH,0),0),"")</f>
        <v/>
      </c>
      <c r="L39" s="21">
        <f>IFERROR(VLOOKUP($A39,subQ,MATCH(L$1,SUBQH,0),0),"")</f>
        <v/>
      </c>
      <c r="M39" s="21">
        <f>IFERROR(VLOOKUP($A39,subQ,MATCH(M$1,SUBQH,0),0),"")</f>
        <v/>
      </c>
      <c r="N39" s="21">
        <f>IFERROR(VLOOKUP($A39,subQ,MATCH(N$1,SUBQH,0),0),"")</f>
        <v/>
      </c>
      <c r="O39" s="21">
        <f>IFERROR(VLOOKUP($A39,subQ,MATCH(O$1,SUBQH,0),0),"")</f>
        <v/>
      </c>
      <c r="P39" s="21">
        <f>IFERROR(VLOOKUP($A39,subQ,MATCH(P$1,SUBQH,0),0),"")</f>
        <v/>
      </c>
      <c r="Q39" s="21">
        <f>IFERROR(VLOOKUP($A39,subQ,MATCH(Q$1,SUBQH,0),0),"")</f>
        <v/>
      </c>
      <c r="R39" s="21">
        <f>IFERROR(VLOOKUP($A39,subQ,MATCH(R$1,SUBQH,0),0),"")</f>
        <v/>
      </c>
      <c r="S39" s="21">
        <f>IFERROR(VLOOKUP($A39,subQ,MATCH(S$1,SUBQH,0),0),"")</f>
        <v/>
      </c>
      <c r="T39" s="21">
        <f>IFERROR(VLOOKUP($A39,subQ,MATCH(T$1,SUBQH,0),0),"")</f>
        <v/>
      </c>
      <c r="U39" s="21">
        <f>IFERROR(VLOOKUP($A39,subQ,MATCH(U$1,SUBQH,0),0),"")</f>
        <v/>
      </c>
      <c r="V39" s="21">
        <f>IFERROR(VLOOKUP($A39,subQ,MATCH(V$1,SUBQH,0),0),"")</f>
        <v/>
      </c>
      <c r="W39" s="46">
        <f>IFERROR(VLOOKUP($A39,subQ,MATCH(W$1,SUBQH,0),0),"")</f>
        <v/>
      </c>
      <c r="X39" s="32">
        <f>IFERROR(VLOOKUP($A39,subQ,MATCH(X$1,SUBQH,0),0),"")</f>
        <v/>
      </c>
      <c r="Y39" s="32">
        <f>IFERROR(VLOOKUP($A39,subQ,MATCH(Y$1,SUBQH,0),0),"")</f>
        <v/>
      </c>
      <c r="Z39" s="32">
        <f>IFERROR(VLOOKUP($A39,subQ,MATCH(Z$1,SUBQH,0),0),"")</f>
        <v/>
      </c>
      <c r="AA39" s="32">
        <f>IFERROR(VLOOKUP($A39,subQ,MATCH(AA$1,SUBQH,0),0),"")</f>
        <v/>
      </c>
      <c r="AB39" s="32">
        <f>IFERROR(VLOOKUP($A39,subQ,MATCH(AB$1,SUBQH,0),0),"")</f>
        <v/>
      </c>
      <c r="AC39" s="32">
        <f>IFERROR(VLOOKUP($A39,subQ,MATCH(AC$1,SUBQH,0),0),"")</f>
        <v/>
      </c>
      <c r="AD39" s="32">
        <f>IFERROR(VLOOKUP($A39,subQ,MATCH(AD$1,SUBQH,0),0),"")</f>
        <v/>
      </c>
      <c r="AE39" s="32">
        <f>IFERROR(VLOOKUP($A39,subQ,MATCH(AE$1,SUBQH,0),0),"")</f>
        <v/>
      </c>
      <c r="AF39" s="32">
        <f>IFERROR(VLOOKUP($A39,subQ,MATCH(AF$1,SUBQH,0),0),"")</f>
        <v/>
      </c>
      <c r="AG39" s="32">
        <f>IFERROR(VLOOKUP($A39,subQ,MATCH(AG$1,SUBQH,0),0),"")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I40" s="21">
        <f>IFERROR(I5/E5-1,"")</f>
        <v/>
      </c>
      <c r="J40" s="21">
        <f>IFERROR(J5/F5-1,"")</f>
        <v/>
      </c>
      <c r="K40" s="21">
        <f>IFERROR(K5/G5-1,"")</f>
        <v/>
      </c>
      <c r="L40" s="21">
        <f>IFERROR(L5/H5-1,"")</f>
        <v/>
      </c>
      <c r="M40" s="21">
        <f>IFERROR(M5/I5-1,"")</f>
        <v/>
      </c>
      <c r="N40" s="21">
        <f>IFERROR(N5/J5-1,"")</f>
        <v/>
      </c>
      <c r="O40" s="21">
        <f>IFERROR(O5/K5-1,"")</f>
        <v/>
      </c>
      <c r="P40" s="21">
        <f>IFERROR(P5/L5-1,"")</f>
        <v/>
      </c>
      <c r="Q40" s="21">
        <f>IFERROR(Q5/M5-1,"")</f>
        <v/>
      </c>
      <c r="R40" s="21">
        <f>IFERROR(R5/N5-1,"")</f>
        <v/>
      </c>
      <c r="S40" s="21">
        <f>IFERROR(S5/O5-1,"")</f>
        <v/>
      </c>
      <c r="T40" s="21">
        <f>IFERROR(T5/P5-1,"")</f>
        <v/>
      </c>
      <c r="U40" s="21">
        <f>IFERROR(U5/Q5-1,"")</f>
        <v/>
      </c>
      <c r="V40" s="21">
        <f>IFERROR(V5/R5-1,"")</f>
        <v/>
      </c>
      <c r="W40" s="46">
        <f>IFERROR(W5/S5-1,"")</f>
        <v/>
      </c>
      <c r="X40" s="32">
        <f>IFERROR(X5/T5-1,"")</f>
        <v/>
      </c>
      <c r="Y40" s="32">
        <f>IFERROR(Y5/U5-1,"")</f>
        <v/>
      </c>
      <c r="Z40" s="32">
        <f>IFERROR(Z5/V5-1,"")</f>
        <v/>
      </c>
      <c r="AA40" s="32">
        <f>IFERROR(AA5/W5-1,"")</f>
        <v/>
      </c>
      <c r="AB40" s="32">
        <f>IFERROR(AB5/X5-1,"")</f>
        <v/>
      </c>
      <c r="AC40" s="32">
        <f>IFERROR(AC5/Y5-1,"")</f>
        <v/>
      </c>
      <c r="AD40" s="32">
        <f>IFERROR(AD5/Z5-1,"")</f>
        <v/>
      </c>
      <c r="AE40" s="32">
        <f>IFERROR(AE5/AA5-1,"")</f>
        <v/>
      </c>
      <c r="AF40" s="32">
        <f>IFERROR(AF5/AB5-1,"")</f>
        <v/>
      </c>
      <c r="AG40" s="32">
        <f>IFERROR(AG5/AC5-1,"")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I41" s="21">
        <f>IFERROR(I9/E9-1,"")</f>
        <v/>
      </c>
      <c r="J41" s="21">
        <f>IFERROR(J9/F9-1,"")</f>
        <v/>
      </c>
      <c r="K41" s="21">
        <f>IFERROR(K9/G9-1,"")</f>
        <v/>
      </c>
      <c r="L41" s="21">
        <f>IFERROR(L9/H9-1,"")</f>
        <v/>
      </c>
      <c r="M41" s="21">
        <f>IFERROR(M9/I9-1,"")</f>
        <v/>
      </c>
      <c r="N41" s="21">
        <f>IFERROR(N9/J9-1,"")</f>
        <v/>
      </c>
      <c r="O41" s="21">
        <f>IFERROR(O9/K9-1,"")</f>
        <v/>
      </c>
      <c r="P41" s="21">
        <f>IFERROR(P9/L9-1,"")</f>
        <v/>
      </c>
      <c r="Q41" s="21">
        <f>IFERROR(Q9/M9-1,"")</f>
        <v/>
      </c>
      <c r="R41" s="21">
        <f>IFERROR(R9/N9-1,"")</f>
        <v/>
      </c>
      <c r="S41" s="21">
        <f>IFERROR(S9/O9-1,"")</f>
        <v/>
      </c>
      <c r="T41" s="21">
        <f>IFERROR(T9/P9-1,"")</f>
        <v/>
      </c>
      <c r="U41" s="21">
        <f>IFERROR(U9/Q9-1,"")</f>
        <v/>
      </c>
      <c r="V41" s="21">
        <f>IFERROR(V9/R9-1,"")</f>
        <v/>
      </c>
      <c r="W41" s="46">
        <f>IFERROR(W9/S9-1,"")</f>
        <v/>
      </c>
      <c r="X41" s="32">
        <f>IFERROR(X9/T9-1,"")</f>
        <v/>
      </c>
      <c r="Y41" s="32">
        <f>IFERROR(Y9/U9-1,"")</f>
        <v/>
      </c>
      <c r="Z41" s="32">
        <f>IFERROR(Z9/V9-1,"")</f>
        <v/>
      </c>
      <c r="AA41" s="32">
        <f>IFERROR(AA9/W9-1,"")</f>
        <v/>
      </c>
      <c r="AB41" s="32">
        <f>IFERROR(AB9/X9-1,"")</f>
        <v/>
      </c>
      <c r="AC41" s="32">
        <f>IFERROR(AC9/Y9-1,"")</f>
        <v/>
      </c>
      <c r="AD41" s="32">
        <f>IFERROR(AD9/Z9-1,"")</f>
        <v/>
      </c>
      <c r="AE41" s="32">
        <f>IFERROR(AE9/AA9-1,"")</f>
        <v/>
      </c>
      <c r="AF41" s="32">
        <f>IFERROR(AF9/AB9-1,"")</f>
        <v/>
      </c>
      <c r="AG41" s="32">
        <f>IFERROR(AG9/AC9-1,"")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I42" s="21">
        <f>IFERROR(I20/E20-1,"")</f>
        <v/>
      </c>
      <c r="J42" s="21">
        <f>IFERROR(J20/F20-1,"")</f>
        <v/>
      </c>
      <c r="K42" s="21">
        <f>IFERROR(K20/G20-1,"")</f>
        <v/>
      </c>
      <c r="L42" s="21">
        <f>IFERROR(L20/H20-1,"")</f>
        <v/>
      </c>
      <c r="M42" s="21">
        <f>IFERROR(M20/I20-1,"")</f>
        <v/>
      </c>
      <c r="N42" s="21">
        <f>IFERROR(N20/J20-1,"")</f>
        <v/>
      </c>
      <c r="O42" s="21">
        <f>IFERROR(O20/K20-1,"")</f>
        <v/>
      </c>
      <c r="P42" s="21">
        <f>IFERROR(P20/L20-1,"")</f>
        <v/>
      </c>
      <c r="Q42" s="21">
        <f>IFERROR(Q20/M20-1,"")</f>
        <v/>
      </c>
      <c r="R42" s="21">
        <f>IFERROR(R20/N20-1,"")</f>
        <v/>
      </c>
      <c r="S42" s="21">
        <f>IFERROR(S20/O20-1,"")</f>
        <v/>
      </c>
      <c r="T42" s="21">
        <f>IFERROR(T20/P20-1,"")</f>
        <v/>
      </c>
      <c r="U42" s="21">
        <f>IFERROR(U20/Q20-1,"")</f>
        <v/>
      </c>
      <c r="V42" s="21">
        <f>IFERROR(V20/R20-1,"")</f>
        <v/>
      </c>
      <c r="W42" s="46">
        <f>IFERROR(W20/S20-1,"")</f>
        <v/>
      </c>
      <c r="X42" s="32">
        <f>IFERROR(X20/T20-1,"")</f>
        <v/>
      </c>
      <c r="Y42" s="32">
        <f>IFERROR(Y20/U20-1,"")</f>
        <v/>
      </c>
      <c r="Z42" s="32">
        <f>IFERROR(Z20/V20-1,"")</f>
        <v/>
      </c>
      <c r="AA42" s="32">
        <f>IFERROR(AA20/W20-1,"")</f>
        <v/>
      </c>
      <c r="AB42" s="32">
        <f>IFERROR(AB20/X20-1,"")</f>
        <v/>
      </c>
      <c r="AC42" s="32">
        <f>IFERROR(AC20/Y20-1,"")</f>
        <v/>
      </c>
      <c r="AD42" s="32">
        <f>IFERROR(AD20/Z20-1,"")</f>
        <v/>
      </c>
      <c r="AE42" s="32">
        <f>IFERROR(AE20/AA20-1,"")</f>
        <v/>
      </c>
      <c r="AF42" s="32">
        <f>IFERROR(AF20/AB20-1,"")</f>
        <v/>
      </c>
      <c r="AG42" s="32">
        <f>IFERROR(AG20/AC20-1,"")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변수!D43</f>
        <v/>
      </c>
      <c r="I2" s="42" t="n"/>
    </row>
    <row r="3">
      <c r="C3" t="inlineStr">
        <is>
          <t>기준일:</t>
        </is>
      </c>
      <c r="D3" t="inlineStr">
        <is>
          <t>20261026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47">
        <f>IFERROR(VLOOKUP($A31,subQ,MATCH(I$1,SUBQH,0),0),"")</f>
        <v/>
      </c>
      <c r="J31" s="33">
        <f>IFERROR(VLOOKUP($A31,subQ,MATCH(J$1,SUBQH,0),0),"")</f>
        <v/>
      </c>
      <c r="K31" s="33">
        <f>IFERROR(VLOOKUP($A31,subQ,MATCH(K$1,SUBQH,0),0),"")</f>
        <v/>
      </c>
      <c r="L31" s="33">
        <f>IFERROR(VLOOKUP($A31,subQ,MATCH(L$1,SUBQH,0),0),"")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48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  <c r="L35" s="39">
        <f>IFERROR(VLOOKUP($A35,subQ,MATCH(L$1,SUBQH,0),0),"")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8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5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46">
        <f>IFERROR(VLOOKUP($A39,subQ,MATCH(I$1,SUBQH,0),0),"")</f>
        <v/>
      </c>
      <c r="J39" s="32">
        <f>IFERROR(VLOOKUP($A39,subQ,MATCH(J$1,SUBQH,0),0),"")</f>
        <v/>
      </c>
      <c r="K39" s="32">
        <f>IFERROR(VLOOKUP($A39,subQ,MATCH(K$1,SUBQH,0),0),"")</f>
        <v/>
      </c>
      <c r="L39" s="32">
        <f>IFERROR(VLOOKUP($A39,subQ,MATCH(L$1,SUBQH,0),0),"")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F40" s="21">
        <f>IFERROR(F5/E5-1,"")</f>
        <v/>
      </c>
      <c r="G40" s="21">
        <f>IFERROR(G5/F5-1,"")</f>
        <v/>
      </c>
      <c r="H40" s="21">
        <f>IFERROR(H5/G5-1,"")</f>
        <v/>
      </c>
      <c r="I40" s="46">
        <f>IFERROR(I5/H5-1,"")</f>
        <v/>
      </c>
      <c r="J40" s="32">
        <f>IFERROR(J5/I5-1,"")</f>
        <v/>
      </c>
      <c r="K40" s="32">
        <f>IFERROR(K5/J5-1,"")</f>
        <v/>
      </c>
      <c r="L40" s="32">
        <f>IFERROR(L5/K5-1,"")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F41" s="21">
        <f>IFERROR(F9/E9-1,"")</f>
        <v/>
      </c>
      <c r="G41" s="21">
        <f>IFERROR(G9/F9-1,"")</f>
        <v/>
      </c>
      <c r="H41" s="21">
        <f>IFERROR(H9/G9-1,"")</f>
        <v/>
      </c>
      <c r="I41" s="46">
        <f>IFERROR(I9/H9-1,"")</f>
        <v/>
      </c>
      <c r="J41" s="32">
        <f>IFERROR(J9/I9-1,"")</f>
        <v/>
      </c>
      <c r="K41" s="32">
        <f>IFERROR(K9/J9-1,"")</f>
        <v/>
      </c>
      <c r="L41" s="32">
        <f>IFERROR(L9/K9-1,"")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F42" s="21">
        <f>IFERROR(F20/E20-1,"")</f>
        <v/>
      </c>
      <c r="G42" s="21">
        <f>IFERROR(G20/F20-1,"")</f>
        <v/>
      </c>
      <c r="H42" s="21">
        <f>IFERROR(H20/G20-1,"")</f>
        <v/>
      </c>
      <c r="I42" s="46">
        <f>IFERROR(I20/H20-1,"")</f>
        <v/>
      </c>
      <c r="J42" s="32">
        <f>IFERROR(J20/I20-1,"")</f>
        <v/>
      </c>
      <c r="K42" s="32">
        <f>IFERROR(K20/J20-1,"")</f>
        <v/>
      </c>
      <c r="L42" s="32">
        <f>IFERROR(L20/K20-1,"")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변수!D43</f>
        <v/>
      </c>
    </row>
    <row r="2">
      <c r="B2" s="1" t="inlineStr">
        <is>
          <t>기준일</t>
        </is>
      </c>
      <c r="C2">
        <f>변수!D44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IFERROR(E7*변수!D49+F7*(1-변수!D49),"")</f>
        <v/>
      </c>
    </row>
    <row r="15">
      <c r="C15" t="inlineStr">
        <is>
          <t>적정가치 @PER_lo</t>
        </is>
      </c>
      <c r="D15" s="27">
        <f>변수!D46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변수!D47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변수!D48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변수!D45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1725.7</v>
      </c>
    </row>
    <row r="30">
      <c r="C30" s="2" t="inlineStr">
        <is>
          <t>bps_latest</t>
        </is>
      </c>
      <c r="D30" t="n">
        <v>9540.299999999999</v>
      </c>
    </row>
    <row r="31">
      <c r="C31" s="2" t="inlineStr">
        <is>
          <t>per_now</t>
        </is>
      </c>
      <c r="D31" t="n">
        <v>9.140000000000001</v>
      </c>
    </row>
    <row r="32">
      <c r="C32" s="2" t="inlineStr">
        <is>
          <t>pbr_now</t>
        </is>
      </c>
      <c r="D32" t="n">
        <v>1.65</v>
      </c>
    </row>
    <row r="33">
      <c r="C33" s="2" t="inlineStr">
        <is>
          <t>roe_fwd</t>
        </is>
      </c>
      <c r="D33" t="n">
        <v>0.1809</v>
      </c>
    </row>
    <row r="34">
      <c r="C34" s="2" t="inlineStr">
        <is>
          <t>fair_pbr</t>
        </is>
      </c>
      <c r="D34" t="n">
        <v>2.01</v>
      </c>
    </row>
    <row r="35">
      <c r="C35" s="2" t="inlineStr">
        <is>
          <t>fair_value_pbr</t>
        </is>
      </c>
      <c r="D35" t="n">
        <v>19200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변수!D56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2026-10-26T00:00:00Z</dcterms:created>
  <dcterms:modified xsi:type="dcterms:W3CDTF">2026-10-26T00:00:00Z</dcterms:modified>
</cp:coreProperties>
</file>