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BS연결!$C$5:$AO$94</definedName>
    <definedName name="BS별도H">BS별도!$C$1:$AO$1</definedName>
    <definedName name="BS별도">BS별도!$C$5:$AO$92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이동합(t−3) 117168억 × 비례계수 0.0825 × 계절비중 Q3 0.244(계절비중 — 최근 3개 연도(2026, 2025, 2024) 분기/연간 비중 평균; 격자 lag0~4×창8/12/19×수준·YoY·4Q합 중 최대 r=0.99, n=13, 창 19)</t>
      </text>
    </comment>
    <comment ref="AD21" authorId="0" shapeId="0">
      <text>
        <t>모델값 역산(implied): v / 전년동기 − 1
고객지수 4분기 이동합(t−3) 119542억 × 비례계수 0.0825 × 계절비중 Q4 0.315(계절비중 — 최근 3개 연도(2026, 2025, 2024) 분기/연간 비중 평균; 격자 lag0~4×창8/12/19×수준·YoY·4Q합 중 최대 r=0.99, n=13, 창 19)</t>
      </text>
    </comment>
    <comment ref="AF21" authorId="0" shapeId="0">
      <text>
        <t>모델값 역산(implied): v / 전년동기 − 1
고객지수 4분기 이동합(t−3) 133026억 × 비례계수 0.0825 × 계절비중 Q1 0.174(계절비중 — 최근 3개 연도(2026, 2025, 2024) 분기/연간 비중 평균; 격자 lag0~4×창8/12/19×수준·YoY·4Q합 중 최대 r=0.99, n=13, 창 19)</t>
      </text>
    </comment>
    <comment ref="AG21" authorId="0" shapeId="0">
      <text>
        <t>모델값 역산(implied): v / 전년동기 − 1
고객지수 4분기 이동합(t−3) 142294억 × 비례계수 0.0825 × 계절비중 Q2 0.267(계절비중 — 최근 3개 연도(2026, 2025, 2024) 분기/연간 비중 평균; 격자 lag0~4×창8/12/19×수준·YoY·4Q합 중 최대 r=0.99, n=13, 창 19)</t>
      </text>
    </comment>
    <comment ref="AH21" authorId="0" shapeId="0">
      <text>
        <t>모델값 역산(implied): v / 전년동기 − 1
고객지수 4분기 이동합(t−3) 150036억 × 비례계수 0.0825 × 계절비중 Q3 0.244(계절비중 — 최근 3개 연도(2026, 2025, 2024) 분기/연간 비중 평균; 격자 lag0~4×창8/12/19×수준·YoY·4Q합 중 최대 r=0.99, n=13, 창 19)</t>
      </text>
    </comment>
    <comment ref="AI21" authorId="0" shapeId="0">
      <text>
        <t>모델값 역산(implied): v / 전년동기 − 1
고객지수 4분기 이동합(t−3) 157217억 × 비례계수 0.0825 × 계절비중 Q4 0.315(계절비중 — 최근 3개 연도(2026, 2025, 2024) 분기/연간 비중 평균; 격자 lag0~4×창8/12/19×수준·YoY·4Q합 중 최대 r=0.99, n=13, 창 19)</t>
      </text>
    </comment>
    <comment ref="AK21" authorId="0" shapeId="0">
      <text>
        <t>모델값 역산(implied): v / 전년동기 − 1
고객지수 4분기 이동합(t−3) 151360억 × 비례계수 0.0825 × 계절비중 Q1 0.174(계절비중 — 최근 3개 연도(2026, 2025, 2024) 분기/연간 비중 평균; 격자 lag0~4×창8/12/19×수준·YoY·4Q합 중 최대 r=0.99, n=13, 창 19)</t>
      </text>
    </comment>
    <comment ref="AL21" authorId="0" shapeId="0">
      <text>
        <t>모델값 역산(implied): v / 전년동기 − 1
고객지수 4분기 이동합(t−3) 151017억 × 비례계수 0.0825 × 계절비중 Q2 0.267(계절비중 — 최근 3개 연도(2026, 2025, 2024) 분기/연간 비중 평균; 격자 lag0~4×창8/12/19×수준·YoY·4Q합 중 최대 r=0.99, n=13, 창 19)</t>
      </text>
    </comment>
    <comment ref="AM21" authorId="0" shapeId="0">
      <text>
        <t>모델값 역산(implied): v / 전년동기 − 1
고객지수 4분기 이동합(t−3) 149619억 × 비례계수 0.0825 × 계절비중 Q3 0.244(계절비중 — 최근 3개 연도(2026, 2025, 2024) 분기/연간 비중 평균; 격자 lag0~4×창8/12/19×수준·YoY·4Q합 중 최대 r=0.99, n=13, 창 19)</t>
      </text>
    </comment>
    <comment ref="AN21" authorId="0" shapeId="0">
      <text>
        <t>모델값 역산(implied): v / 전년동기 − 1
고객지수 4분기 이동합(t−3) 147411억 × 비례계수 0.0825 × 계절비중 Q4 0.315(계절비중 — 최근 3개 연도(2026, 2025, 2024) 분기/연간 비중 평균; 격자 lag0~4×창8/12/19×수준·YoY·4Q합 중 최대 r=0.99, n=13, 창 19)</t>
      </text>
    </comment>
    <comment ref="AC22" authorId="0" shapeId="0">
      <text>
        <t>모델값 역산(implied): v / 매출액
매출액 × 판관비율 7.88%(최근 4분기 중위)</t>
      </text>
    </comment>
    <comment ref="AD22" authorId="0" shapeId="0">
      <text>
        <t>모델값 역산(implied): v / 매출액
매출액 × 판관비율 7.88%(최근 4분기 중위)</t>
      </text>
    </comment>
    <comment ref="AF22" authorId="0" shapeId="0">
      <text>
        <t>모델값 역산(implied): v / 매출액
매출액 × 판관비율 7.88%(최근 4분기 중위)</t>
      </text>
    </comment>
    <comment ref="AG22" authorId="0" shapeId="0">
      <text>
        <t>모델값 역산(implied): v / 매출액
매출액 × 판관비율 7.88%(최근 4분기 중위)</t>
      </text>
    </comment>
    <comment ref="AH22" authorId="0" shapeId="0">
      <text>
        <t>모델값 역산(implied): v / 매출액
매출액 × 판관비율 7.88%(최근 4분기 중위)</t>
      </text>
    </comment>
    <comment ref="AI22" authorId="0" shapeId="0">
      <text>
        <t>모델값 역산(implied): v / 매출액
매출액 × 판관비율 7.88%(최근 4분기 중위)</t>
      </text>
    </comment>
    <comment ref="AK22" authorId="0" shapeId="0">
      <text>
        <t>모델값 역산(implied): v / 매출액
매출액 × 판관비율 7.88%(최근 4분기 중위)</t>
      </text>
    </comment>
    <comment ref="AL22" authorId="0" shapeId="0">
      <text>
        <t>모델값 역산(implied): v / 매출액
매출액 × 판관비율 7.88%(최근 4분기 중위)</t>
      </text>
    </comment>
    <comment ref="AM22" authorId="0" shapeId="0">
      <text>
        <t>모델값 역산(implied): v / 매출액
매출액 × 판관비율 7.88%(최근 4분기 중위)</t>
      </text>
    </comment>
    <comment ref="AN22" authorId="0" shapeId="0">
      <text>
        <t>모델값 역산(implied): v / 매출액
매출액 × 판관비율 7.88%(최근 4분기 중위)</t>
      </text>
    </comment>
    <comment ref="AC23" authorId="0" shapeId="0">
      <text>
        <t>모델값 역산(implied): v / 매출액
매출액 × OPM(최근 8분기 OPM 중위 8.6% 유지)</t>
      </text>
    </comment>
    <comment ref="AD23" authorId="0" shapeId="0">
      <text>
        <t>모델값 역산(implied): v / 매출액
매출액 × OPM(최근 8분기 OPM 중위 8.6% 유지)</t>
      </text>
    </comment>
    <comment ref="AF23" authorId="0" shapeId="0">
      <text>
        <t>모델값 역산(implied): v / 매출액
매출액 × OPM(최근 8분기 OPM 중위 8.6% 유지)</t>
      </text>
    </comment>
    <comment ref="AG23" authorId="0" shapeId="0">
      <text>
        <t>모델값 역산(implied): v / 매출액
매출액 × OPM(최근 8분기 OPM 중위 8.6% 유지)</t>
      </text>
    </comment>
    <comment ref="AH23" authorId="0" shapeId="0">
      <text>
        <t>모델값 역산(implied): v / 매출액
매출액 × OPM(최근 8분기 OPM 중위 8.6% 유지)</t>
      </text>
    </comment>
    <comment ref="AI23" authorId="0" shapeId="0">
      <text>
        <t>모델값 역산(implied): v / 매출액
매출액 × OPM(최근 8분기 OPM 중위 8.6% 유지)</t>
      </text>
    </comment>
    <comment ref="AK23" authorId="0" shapeId="0">
      <text>
        <t>모델값 역산(implied): v / 매출액
매출액 × OPM(최근 8분기 OPM 중위 8.6% 유지)</t>
      </text>
    </comment>
    <comment ref="AL23" authorId="0" shapeId="0">
      <text>
        <t>모델값 역산(implied): v / 매출액
매출액 × OPM(최근 8분기 OPM 중위 8.6% 유지)</t>
      </text>
    </comment>
    <comment ref="AM23" authorId="0" shapeId="0">
      <text>
        <t>모델값 역산(implied): v / 매출액
매출액 × OPM(최근 8분기 OPM 중위 8.6% 유지)</t>
      </text>
    </comment>
    <comment ref="AN23" authorId="0" shapeId="0">
      <text>
        <t>모델값 역산(implied): v / 매출액
매출액 × OPM(최근 8분기 OPM 중위 8.6% 유지)</t>
      </text>
    </comment>
    <comment ref="AC24" authorId="0" shapeId="0">
      <text>
        <t>모델값 역산(implied): v / 전년동기 − 1
최근 8분기 OPM 중위 8.6% 유지</t>
      </text>
    </comment>
    <comment ref="AD24" authorId="0" shapeId="0">
      <text>
        <t>모델값 역산(implied): v / 전년동기 − 1
최근 8분기 OPM 중위 8.6% 유지</t>
      </text>
    </comment>
    <comment ref="AF24" authorId="0" shapeId="0">
      <text>
        <t>모델값 역산(implied): v / 전년동기 − 1
최근 8분기 OPM 중위 8.6% 유지</t>
      </text>
    </comment>
    <comment ref="AG24" authorId="0" shapeId="0">
      <text>
        <t>모델값 역산(implied): v / 전년동기 − 1
최근 8분기 OPM 중위 8.6% 유지</t>
      </text>
    </comment>
    <comment ref="AH24" authorId="0" shapeId="0">
      <text>
        <t>모델값 역산(implied): v / 전년동기 − 1
최근 8분기 OPM 중위 8.6% 유지</t>
      </text>
    </comment>
    <comment ref="AI24" authorId="0" shapeId="0">
      <text>
        <t>모델값 역산(implied): v / 전년동기 − 1
최근 8분기 OPM 중위 8.6% 유지</t>
      </text>
    </comment>
    <comment ref="AK24" authorId="0" shapeId="0">
      <text>
        <t>모델값 역산(implied): v / 전년동기 − 1
최근 8분기 OPM 중위 8.6% 유지</t>
      </text>
    </comment>
    <comment ref="AL24" authorId="0" shapeId="0">
      <text>
        <t>모델값 역산(implied): v / 전년동기 − 1
최근 8분기 OPM 중위 8.6% 유지</t>
      </text>
    </comment>
    <comment ref="AM24" authorId="0" shapeId="0">
      <text>
        <t>모델값 역산(implied): v / 전년동기 − 1
최근 8분기 OPM 중위 8.6% 유지</t>
      </text>
    </comment>
    <comment ref="AN24" authorId="0" shapeId="0">
      <text>
        <t>모델값 역산(implied): v / 전년동기 − 1
최근 8분기 OPM 중위 8.6% 유지</t>
      </text>
    </comment>
    <comment ref="AC25" authorId="0" shapeId="0">
      <text>
        <t>모델값 역산(implied): 모델 v 그대로
이자손익 = 이자발생자산 1418억 × 2.06% − 총차입금 3432억 × 3.74% (연율, CF 실측) ÷ 4; 환·평가손익 0 가정</t>
      </text>
    </comment>
    <comment ref="AD25" authorId="0" shapeId="0">
      <text>
        <t>모델값 역산(implied): 모델 v 그대로
이자손익 = 이자발생자산 1588억 × 2.06% − 총차입금 3432억 × 3.74% (연율, CF 실측) ÷ 4; 환·평가손익 0 가정</t>
      </text>
    </comment>
    <comment ref="AF25" authorId="0" shapeId="0">
      <text>
        <t>모델값 역산(implied): 모델 v 그대로
이자손익 = 이자발생자산 1821억 × 2.06% − 총차입금 3432억 × 3.74% (연율, CF 실측) ÷ 4; 환·평가손익 0 가정</t>
      </text>
    </comment>
    <comment ref="AG25" authorId="0" shapeId="0">
      <text>
        <t>모델값 역산(implied): 모델 v 그대로
이자손익 = 이자발생자산 1956억 × 2.06% − 총차입금 3432억 × 3.74% (연율, CF 실측) ÷ 4; 환·평가손익 0 가정</t>
      </text>
    </comment>
    <comment ref="AH25" authorId="0" shapeId="0">
      <text>
        <t>모델값 역산(implied): 모델 v 그대로
이자손익 = 이자발생자산 2192억 × 2.06% − 총차입금 3432억 × 3.74% (연율, CF 실측) ÷ 4; 환·평가손익 0 가정</t>
      </text>
    </comment>
    <comment ref="AI25" authorId="0" shapeId="0">
      <text>
        <t>모델값 역산(implied): 모델 v 그대로
이자손익 = 이자발생자산 2420억 × 2.06% − 총차입금 3432억 × 3.74% (연율, CF 실측) ÷ 4; 환·평가손익 0 가정</t>
      </text>
    </comment>
    <comment ref="AK25" authorId="0" shapeId="0">
      <text>
        <t>모델값 역산(implied): 모델 v 그대로
이자손익 = 이자발생자산 2738억 × 2.06% − 총차입금 3432억 × 3.74% (연율, CF 실측) ÷ 4; 환·평가손익 0 가정</t>
      </text>
    </comment>
    <comment ref="AL25" authorId="0" shapeId="0">
      <text>
        <t>모델값 역산(implied): 모델 v 그대로
이자손익 = 이자발생자산 2899억 × 2.06% − 총차입금 3432억 × 3.74% (연율, CF 실측) ÷ 4; 환·평가손익 0 가정</t>
      </text>
    </comment>
    <comment ref="AM25" authorId="0" shapeId="0">
      <text>
        <t>모델값 역산(implied): 모델 v 그대로
이자손익 = 이자발생자산 3156억 × 2.06% − 총차입금 3432억 × 3.74% (연율, CF 실측) ÷ 4; 환·평가손익 0 가정</t>
      </text>
    </comment>
    <comment ref="AN25" authorId="0" shapeId="0">
      <text>
        <t>모델값 역산(implied): 모델 v 그대로
이자손익 = 이자발생자산 3388억 × 2.06% − 총차입금 3432억 × 3.74%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-7.6% → 5~27% 클립)</t>
      </text>
    </comment>
    <comment ref="AD27" authorId="0" shapeId="0">
      <text>
        <t>모델값 역산(implied): v / 세전이익
max(세전, 0) × 세율 5.0%(최근 12분기 유효세율 -7.6% → 5~27% 클립)</t>
      </text>
    </comment>
    <comment ref="AF27" authorId="0" shapeId="0">
      <text>
        <t>모델값 역산(implied): v / 세전이익
max(세전, 0) × 세율 5.0%(최근 12분기 유효세율 -7.6% → 5~27% 클립)</t>
      </text>
    </comment>
    <comment ref="AG27" authorId="0" shapeId="0">
      <text>
        <t>모델값 역산(implied): v / 세전이익
max(세전, 0) × 세율 5.0%(최근 12분기 유효세율 -7.6% → 5~27% 클립)</t>
      </text>
    </comment>
    <comment ref="AH27" authorId="0" shapeId="0">
      <text>
        <t>모델값 역산(implied): v / 세전이익
max(세전, 0) × 세율 5.0%(최근 12분기 유효세율 -7.6% → 5~27% 클립)</t>
      </text>
    </comment>
    <comment ref="AI27" authorId="0" shapeId="0">
      <text>
        <t>모델값 역산(implied): v / 세전이익
max(세전, 0) × 세율 5.0%(최근 12분기 유효세율 -7.6% → 5~27% 클립)</t>
      </text>
    </comment>
    <comment ref="AK27" authorId="0" shapeId="0">
      <text>
        <t>모델값 역산(implied): v / 세전이익
max(세전, 0) × 세율 5.0%(최근 12분기 유효세율 -7.6% → 5~27% 클립)</t>
      </text>
    </comment>
    <comment ref="AL27" authorId="0" shapeId="0">
      <text>
        <t>모델값 역산(implied): v / 세전이익
max(세전, 0) × 세율 5.0%(최근 12분기 유효세율 -7.6% → 5~27% 클립)</t>
      </text>
    </comment>
    <comment ref="AM27" authorId="0" shapeId="0">
      <text>
        <t>모델값 역산(implied): v / 세전이익
max(세전, 0) × 세율 5.0%(최근 12분기 유효세율 -7.6% → 5~27% 클립)</t>
      </text>
    </comment>
    <comment ref="AN27" authorId="0" shapeId="0">
      <text>
        <t>모델값 역산(implied): v / 세전이익
max(세전, 0) × 세율 5.0%(최근 12분기 유효세율 -7.6%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이동합(t−3) 117168억 × 비례계수 0.0825 × 계절비중 Q3 0.244(계절비중 — 최근 3개 연도(2026, 2025, 2024) 분기/연간 비중 평균; 격자 lag0~4×창8/12/19×수준·YoY·4Q합 중 최대 r=0.99, n=13, 창 19)
[yoy]</t>
      </text>
    </comment>
    <comment ref="AD5" authorId="0" shapeId="0">
      <text>
        <t>추정: 고객지수 4분기 이동합(t−3) 119542억 × 비례계수 0.0825 × 계절비중 Q4 0.315(계절비중 — 최근 3개 연도(2026, 2025, 2024) 분기/연간 비중 평균; 격자 lag0~4×창8/12/19×수준·YoY·4Q합 중 최대 r=0.99, n=13, 창 19)
[yoy]</t>
      </text>
    </comment>
    <comment ref="AF5" authorId="0" shapeId="0">
      <text>
        <t>추정: 고객지수 4분기 이동합(t−3) 133026억 × 비례계수 0.0825 × 계절비중 Q1 0.174(계절비중 — 최근 3개 연도(2026, 2025, 2024) 분기/연간 비중 평균; 격자 lag0~4×창8/12/19×수준·YoY·4Q합 중 최대 r=0.99, n=13, 창 19)
[yoy]</t>
      </text>
    </comment>
    <comment ref="AG5" authorId="0" shapeId="0">
      <text>
        <t>추정: 고객지수 4분기 이동합(t−3) 142294억 × 비례계수 0.0825 × 계절비중 Q2 0.267(계절비중 — 최근 3개 연도(2026, 2025, 2024) 분기/연간 비중 평균; 격자 lag0~4×창8/12/19×수준·YoY·4Q합 중 최대 r=0.99, n=13, 창 19)
[yoy]</t>
      </text>
    </comment>
    <comment ref="AH5" authorId="0" shapeId="0">
      <text>
        <t>추정: 고객지수 4분기 이동합(t−3) 150036억 × 비례계수 0.0825 × 계절비중 Q3 0.244(계절비중 — 최근 3개 연도(2026, 2025, 2024) 분기/연간 비중 평균; 격자 lag0~4×창8/12/19×수준·YoY·4Q합 중 최대 r=0.99, n=13, 창 19)
[yoy]</t>
      </text>
    </comment>
    <comment ref="AI5" authorId="0" shapeId="0">
      <text>
        <t>추정: 고객지수 4분기 이동합(t−3) 157217억 × 비례계수 0.0825 × 계절비중 Q4 0.315(계절비중 — 최근 3개 연도(2026, 2025, 2024) 분기/연간 비중 평균; 격자 lag0~4×창8/12/19×수준·YoY·4Q합 중 최대 r=0.99, n=13, 창 19)
[yoy]</t>
      </text>
    </comment>
    <comment ref="AK5" authorId="0" shapeId="0">
      <text>
        <t>추정: 고객지수 4분기 이동합(t−3) 151360억 × 비례계수 0.0825 × 계절비중 Q1 0.174(계절비중 — 최근 3개 연도(2026, 2025, 2024) 분기/연간 비중 평균; 격자 lag0~4×창8/12/19×수준·YoY·4Q합 중 최대 r=0.99, n=13, 창 19)
[yoy]</t>
      </text>
    </comment>
    <comment ref="AL5" authorId="0" shapeId="0">
      <text>
        <t>추정: 고객지수 4분기 이동합(t−3) 151017억 × 비례계수 0.0825 × 계절비중 Q2 0.267(계절비중 — 최근 3개 연도(2026, 2025, 2024) 분기/연간 비중 평균; 격자 lag0~4×창8/12/19×수준·YoY·4Q합 중 최대 r=0.99, n=13, 창 19)
[yoy]</t>
      </text>
    </comment>
    <comment ref="AM5" authorId="0" shapeId="0">
      <text>
        <t>추정: 고객지수 4분기 이동합(t−3) 149619억 × 비례계수 0.0825 × 계절비중 Q3 0.244(계절비중 — 최근 3개 연도(2026, 2025, 2024) 분기/연간 비중 평균; 격자 lag0~4×창8/12/19×수준·YoY·4Q합 중 최대 r=0.99, n=13, 창 19)
[yoy]</t>
      </text>
    </comment>
    <comment ref="AN5" authorId="0" shapeId="0">
      <text>
        <t>추정: 고객지수 4분기 이동합(t−3) 147411억 × 비례계수 0.0825 × 계절비중 Q4 0.315(계절비중 — 최근 3개 연도(2026, 2025, 2024) 분기/연간 비중 평균; 격자 lag0~4×창8/12/19×수준·YoY·4Q합 중 최대 r=0.99, n=13,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유지)
[ratio]</t>
      </text>
    </comment>
    <comment ref="AD9" authorId="0" shapeId="0">
      <text>
        <t>추정: 매출액 × OPM(최근 8분기 OPM 중위 8.6% 유지)
[ratio]</t>
      </text>
    </comment>
    <comment ref="AF9" authorId="0" shapeId="0">
      <text>
        <t>추정: 매출액 × OPM(최근 8분기 OPM 중위 8.6% 유지)
[ratio]</t>
      </text>
    </comment>
    <comment ref="AG9" authorId="0" shapeId="0">
      <text>
        <t>추정: 매출액 × OPM(최근 8분기 OPM 중위 8.6% 유지)
[ratio]</t>
      </text>
    </comment>
    <comment ref="AH9" authorId="0" shapeId="0">
      <text>
        <t>추정: 매출액 × OPM(최근 8분기 OPM 중위 8.6% 유지)
[ratio]</t>
      </text>
    </comment>
    <comment ref="AI9" authorId="0" shapeId="0">
      <text>
        <t>추정: 매출액 × OPM(최근 8분기 OPM 중위 8.6% 유지)
[ratio]</t>
      </text>
    </comment>
    <comment ref="AK9" authorId="0" shapeId="0">
      <text>
        <t>추정: 매출액 × OPM(최근 8분기 OPM 중위 8.6% 유지)
[ratio]</t>
      </text>
    </comment>
    <comment ref="AL9" authorId="0" shapeId="0">
      <text>
        <t>추정: 매출액 × OPM(최근 8분기 OPM 중위 8.6% 유지)
[ratio]</t>
      </text>
    </comment>
    <comment ref="AM9" authorId="0" shapeId="0">
      <text>
        <t>추정: 매출액 × OPM(최근 8분기 OPM 중위 8.6% 유지)
[ratio]</t>
      </text>
    </comment>
    <comment ref="AN9" authorId="0" shapeId="0">
      <text>
        <t>추정: 매출액 × OPM(최근 8분기 OPM 중위 8.6%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8.6% 유지
[yoy]</t>
      </text>
    </comment>
    <comment ref="AD10" authorId="0" shapeId="0">
      <text>
        <t>추정: 최근 8분기 OPM 중위 8.6% 유지
[yoy]</t>
      </text>
    </comment>
    <comment ref="AF10" authorId="0" shapeId="0">
      <text>
        <t>추정: 최근 8분기 OPM 중위 8.6% 유지
[yoy]</t>
      </text>
    </comment>
    <comment ref="AG10" authorId="0" shapeId="0">
      <text>
        <t>추정: 최근 8분기 OPM 중위 8.6% 유지
[yoy]</t>
      </text>
    </comment>
    <comment ref="AH10" authorId="0" shapeId="0">
      <text>
        <t>추정: 최근 8분기 OPM 중위 8.6% 유지
[yoy]</t>
      </text>
    </comment>
    <comment ref="AI10" authorId="0" shapeId="0">
      <text>
        <t>추정: 최근 8분기 OPM 중위 8.6% 유지
[yoy]</t>
      </text>
    </comment>
    <comment ref="AK10" authorId="0" shapeId="0">
      <text>
        <t>추정: 최근 8분기 OPM 중위 8.6% 유지
[yoy]</t>
      </text>
    </comment>
    <comment ref="AL10" authorId="0" shapeId="0">
      <text>
        <t>추정: 최근 8분기 OPM 중위 8.6% 유지
[yoy]</t>
      </text>
    </comment>
    <comment ref="AM10" authorId="0" shapeId="0">
      <text>
        <t>추정: 최근 8분기 OPM 중위 8.6% 유지
[yoy]</t>
      </text>
    </comment>
    <comment ref="AN10" authorId="0" shapeId="0">
      <text>
        <t>추정: 최근 8분기 OPM 중위 8.6% 유지
[yoy]</t>
      </text>
    </comment>
    <comment ref="AC11" authorId="0" shapeId="0">
      <text>
        <t>추정: 이자손익 = 이자발생자산 1418억 × 2.06% − 총차입금 3432억 × 3.74% (연율, CF 실측) ÷ 4; 환·평가손익 0 가정
[abs]</t>
      </text>
    </comment>
    <comment ref="AD11" authorId="0" shapeId="0">
      <text>
        <t>추정: 이자손익 = 이자발생자산 1588억 × 2.06% − 총차입금 3432억 × 3.74% (연율, CF 실측) ÷ 4; 환·평가손익 0 가정
[abs]</t>
      </text>
    </comment>
    <comment ref="AF11" authorId="0" shapeId="0">
      <text>
        <t>추정: 이자손익 = 이자발생자산 1821억 × 2.06% − 총차입금 3432억 × 3.74% (연율, CF 실측) ÷ 4; 환·평가손익 0 가정
[abs]</t>
      </text>
    </comment>
    <comment ref="AG11" authorId="0" shapeId="0">
      <text>
        <t>추정: 이자손익 = 이자발생자산 1956억 × 2.06% − 총차입금 3432억 × 3.74% (연율, CF 실측) ÷ 4; 환·평가손익 0 가정
[abs]</t>
      </text>
    </comment>
    <comment ref="AH11" authorId="0" shapeId="0">
      <text>
        <t>추정: 이자손익 = 이자발생자산 2192억 × 2.06% − 총차입금 3432억 × 3.74% (연율, CF 실측) ÷ 4; 환·평가손익 0 가정
[abs]</t>
      </text>
    </comment>
    <comment ref="AI11" authorId="0" shapeId="0">
      <text>
        <t>추정: 이자손익 = 이자발생자산 2420억 × 2.06% − 총차입금 3432억 × 3.74% (연율, CF 실측) ÷ 4; 환·평가손익 0 가정
[abs]</t>
      </text>
    </comment>
    <comment ref="AK11" authorId="0" shapeId="0">
      <text>
        <t>추정: 이자손익 = 이자발생자산 2738억 × 2.06% − 총차입금 3432억 × 3.74% (연율, CF 실측) ÷ 4; 환·평가손익 0 가정
[abs]</t>
      </text>
    </comment>
    <comment ref="AL11" authorId="0" shapeId="0">
      <text>
        <t>추정: 이자손익 = 이자발생자산 2899억 × 2.06% − 총차입금 3432억 × 3.74% (연율, CF 실측) ÷ 4; 환·평가손익 0 가정
[abs]</t>
      </text>
    </comment>
    <comment ref="AM11" authorId="0" shapeId="0">
      <text>
        <t>추정: 이자손익 = 이자발생자산 3156억 × 2.06% − 총차입금 3432억 × 3.74% (연율, CF 실측) ÷ 4; 환·평가손익 0 가정
[abs]</t>
      </text>
    </comment>
    <comment ref="AN11" authorId="0" shapeId="0">
      <text>
        <t>추정: 이자손익 = 이자발생자산 3388억 × 2.06% − 총차입금 3432억 × 3.74%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-7.6% → 5~27% 클립)
[ratio]</t>
      </text>
    </comment>
    <comment ref="AD14" authorId="0" shapeId="0">
      <text>
        <t>추정: max(세전, 0) × 세율 5.0%(최근 12분기 유효세율 -7.6% → 5~27% 클립)
[ratio]</t>
      </text>
    </comment>
    <comment ref="AF14" authorId="0" shapeId="0">
      <text>
        <t>추정: max(세전, 0) × 세율 5.0%(최근 12분기 유효세율 -7.6% → 5~27% 클립)
[ratio]</t>
      </text>
    </comment>
    <comment ref="AG14" authorId="0" shapeId="0">
      <text>
        <t>추정: max(세전, 0) × 세율 5.0%(최근 12분기 유효세율 -7.6% → 5~27% 클립)
[ratio]</t>
      </text>
    </comment>
    <comment ref="AH14" authorId="0" shapeId="0">
      <text>
        <t>추정: max(세전, 0) × 세율 5.0%(최근 12분기 유효세율 -7.6% → 5~27% 클립)
[ratio]</t>
      </text>
    </comment>
    <comment ref="AI14" authorId="0" shapeId="0">
      <text>
        <t>추정: max(세전, 0) × 세율 5.0%(최근 12분기 유효세율 -7.6% → 5~27% 클립)
[ratio]</t>
      </text>
    </comment>
    <comment ref="AK14" authorId="0" shapeId="0">
      <text>
        <t>추정: max(세전, 0) × 세율 5.0%(최근 12분기 유효세율 -7.6% → 5~27% 클립)
[ratio]</t>
      </text>
    </comment>
    <comment ref="AL14" authorId="0" shapeId="0">
      <text>
        <t>추정: max(세전, 0) × 세율 5.0%(최근 12분기 유효세율 -7.6% → 5~27% 클립)
[ratio]</t>
      </text>
    </comment>
    <comment ref="AM14" authorId="0" shapeId="0">
      <text>
        <t>추정: max(세전, 0) × 세율 5.0%(최근 12분기 유효세율 -7.6% → 5~27% 클립)
[ratio]</t>
      </text>
    </comment>
    <comment ref="AN14" authorId="0" shapeId="0">
      <text>
        <t>추정: max(세전, 0) × 세율 5.0%(최근 12분기 유효세율 -7.6%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추정(가정 셀 참조 불가 — 기준값 없음, 모델값 직접): 직전 결산 DPS 0원 유지</t>
      </text>
    </comment>
    <comment ref="AI30" authorId="0" shapeId="0">
      <text>
        <t>추정(가정 셀 참조 불가 — 기준값 없음, 모델값 직접): 직전 결산 DPS 0원 유지</t>
      </text>
    </comment>
    <comment ref="AN30" authorId="0" shapeId="0">
      <text>
        <t>추정(가정 셀 참조 불가 — 기준값 없음, 모델값 직접): 직전 결산 DPS 0원 유지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assets/models/077970.json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20.9, "op_wape_pct": 48.8,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2341.43, "rev_act": 1920.66, "op_pred": 140.4, "op_act": 154.26}, {"q": "2025Q4", "rev_pred": 3267.26, "rev_act": 2444.82, "op_pred": 195.91, "op_act": 53.68}, {"q": "2026Q1", "rev_pred": 1903.72, "rev_act": 1890.11, "op_pred": 114.15, "op_act": 175.04}, {"q": "2026Q2", "rev_pred": 2628.38, "rev_act": 2129.9, "op_pred": 157.6,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20700</v>
      </c>
      <c r="W15" s="18" t="n">
        <v>21600</v>
      </c>
      <c r="X15" s="18" t="n">
        <v>39550</v>
      </c>
      <c r="Y15" s="18" t="n">
        <v>34000</v>
      </c>
      <c r="Z15" s="9" t="n"/>
      <c r="AA15" s="18" t="n">
        <v>30600</v>
      </c>
      <c r="AB15" s="19" t="n">
        <v>29300</v>
      </c>
      <c r="AC15" s="20" t="n">
        <v>22200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30450</v>
      </c>
      <c r="X16" s="18" t="n">
        <v>49800</v>
      </c>
      <c r="Y16" s="18" t="n">
        <v>41850</v>
      </c>
      <c r="Z16" s="9" t="n"/>
      <c r="AA16" s="18" t="n">
        <v>40650</v>
      </c>
      <c r="AB16" s="19" t="n">
        <v>67700</v>
      </c>
      <c r="AC16" s="20" t="n">
        <v>31950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18180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24305.9</v>
      </c>
      <c r="W18" s="18" t="n">
        <v>23145</v>
      </c>
      <c r="X18" s="18" t="n">
        <v>32200</v>
      </c>
      <c r="Y18" s="18" t="n">
        <v>35330.5</v>
      </c>
      <c r="Z18" s="9" t="n"/>
      <c r="AA18" s="18" t="n">
        <v>34367.8</v>
      </c>
      <c r="AB18" s="19" t="n">
        <v>41451.6</v>
      </c>
      <c r="AC18" s="20" t="n">
        <v>24900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0.225955</v>
      </c>
      <c r="AD21" s="24" t="n">
        <v>0.271577</v>
      </c>
      <c r="AE21" s="25" t="n"/>
      <c r="AF21" s="24" t="n">
        <v>0.008854000000000001</v>
      </c>
      <c r="AG21" s="24" t="n">
        <v>0.474019</v>
      </c>
      <c r="AH21" s="24" t="n">
        <v>0.280523</v>
      </c>
      <c r="AI21" s="24" t="n">
        <v>0.31516</v>
      </c>
      <c r="AJ21" s="25" t="n"/>
      <c r="AK21" s="24" t="n">
        <v>0.137825</v>
      </c>
      <c r="AL21" s="24" t="n">
        <v>0.061306</v>
      </c>
      <c r="AM21" s="24" t="n">
        <v>-0.002783</v>
      </c>
      <c r="AN21" s="24" t="n">
        <v>-0.062372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0.07878499999999999</v>
      </c>
      <c r="AD22" s="24" t="n">
        <v>0.07878400000000001</v>
      </c>
      <c r="AE22" s="25">
        <f>IFERROR(subQ!AE8/subQ!AE5,"")</f>
        <v/>
      </c>
      <c r="AF22" s="24" t="n">
        <v>0.07878499999999999</v>
      </c>
      <c r="AG22" s="24" t="n">
        <v>0.07878300000000001</v>
      </c>
      <c r="AH22" s="24" t="n">
        <v>0.07878499999999999</v>
      </c>
      <c r="AI22" s="24" t="n">
        <v>0.07878400000000001</v>
      </c>
      <c r="AJ22" s="25">
        <f>IFERROR(subQ!AJ8/subQ!AJ5,"")</f>
        <v/>
      </c>
      <c r="AK22" s="24" t="n">
        <v>0.078782</v>
      </c>
      <c r="AL22" s="24" t="n">
        <v>0.078782</v>
      </c>
      <c r="AM22" s="24" t="n">
        <v>0.078782</v>
      </c>
      <c r="AN22" s="24" t="n">
        <v>0.07878400000000001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0.08645899999999999</v>
      </c>
      <c r="AD23" s="24" t="n">
        <v>0.086462</v>
      </c>
      <c r="AE23" s="25">
        <f>IFERROR(subQ!AE9/subQ!AE5,"")</f>
        <v/>
      </c>
      <c r="AF23" s="24" t="n">
        <v>0.086462</v>
      </c>
      <c r="AG23" s="24" t="n">
        <v>0.086463</v>
      </c>
      <c r="AH23" s="24" t="n">
        <v>0.08645899999999999</v>
      </c>
      <c r="AI23" s="24" t="n">
        <v>0.086461</v>
      </c>
      <c r="AJ23" s="25">
        <f>IFERROR(subQ!AJ9/subQ!AJ5,"")</f>
        <v/>
      </c>
      <c r="AK23" s="24" t="n">
        <v>0.086461</v>
      </c>
      <c r="AL23" s="24" t="n">
        <v>0.086462</v>
      </c>
      <c r="AM23" s="24" t="n">
        <v>0.086461</v>
      </c>
      <c r="AN23" s="24" t="n">
        <v>0.086461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0.07721</v>
      </c>
      <c r="AD24" s="24" t="n">
        <v>2.931818</v>
      </c>
      <c r="AE24" s="25" t="n"/>
      <c r="AF24" s="24" t="n">
        <v>-0.065875</v>
      </c>
      <c r="AG24" s="24" t="n">
        <v>-0.261945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-24.81</v>
      </c>
      <c r="AD25" s="29" t="n">
        <v>-23.93</v>
      </c>
      <c r="AE25" s="30">
        <f>subQ!AE11</f>
        <v/>
      </c>
      <c r="AF25" s="29" t="n">
        <v>-22.73</v>
      </c>
      <c r="AG25" s="29" t="n">
        <v>-22.03</v>
      </c>
      <c r="AH25" s="29" t="n">
        <v>-20.81</v>
      </c>
      <c r="AI25" s="29" t="n">
        <v>-19.64</v>
      </c>
      <c r="AJ25" s="30">
        <f>subQ!AJ11</f>
        <v/>
      </c>
      <c r="AK25" s="29" t="n">
        <v>-18</v>
      </c>
      <c r="AL25" s="29" t="n">
        <v>-17.17</v>
      </c>
      <c r="AM25" s="29" t="n">
        <v>-15.84</v>
      </c>
      <c r="AN25" s="29" t="n">
        <v>-14.64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0.050006</v>
      </c>
      <c r="AD27" s="24" t="n">
        <v>0.049988</v>
      </c>
      <c r="AE27" s="25">
        <f>IFERROR(subQ!AE14/subQ!AE13,"")</f>
        <v/>
      </c>
      <c r="AF27" s="24" t="n">
        <v>0.050021</v>
      </c>
      <c r="AG27" s="24" t="n">
        <v>0.049998</v>
      </c>
      <c r="AH27" s="24" t="n">
        <v>0.049983</v>
      </c>
      <c r="AI27" s="24" t="n">
        <v>0.049991</v>
      </c>
      <c r="AJ27" s="25">
        <f>IFERROR(subQ!AJ14/subQ!AJ13,"")</f>
        <v/>
      </c>
      <c r="AK27" s="24" t="n">
        <v>0.050003</v>
      </c>
      <c r="AL27" s="24" t="n">
        <v>0.050015</v>
      </c>
      <c r="AM27" s="24" t="n">
        <v>0.050014</v>
      </c>
      <c r="AN27" s="24" t="n">
        <v>0.049998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1e-06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0.0031</v>
      </c>
      <c r="AD30" s="29" t="n">
        <v>-0.01</v>
      </c>
      <c r="AE30" s="30" t="n"/>
      <c r="AF30" s="29" t="n">
        <v>0</v>
      </c>
      <c r="AG30" s="29" t="n">
        <v>0</v>
      </c>
      <c r="AH30" s="29" t="n">
        <v>0</v>
      </c>
      <c r="AI30" s="29" t="n">
        <v>0</v>
      </c>
      <c r="AJ30" s="30" t="n"/>
      <c r="AK30" s="29" t="n">
        <v>0</v>
      </c>
      <c r="AL30" s="29" t="n">
        <v>0</v>
      </c>
      <c r="AM30" s="29" t="n">
        <v>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0.0031</v>
      </c>
      <c r="AD31" s="29" t="n">
        <v>-0.01</v>
      </c>
      <c r="AE31" s="30" t="n"/>
      <c r="AF31" s="29" t="n">
        <v>0</v>
      </c>
      <c r="AG31" s="29" t="n">
        <v>0</v>
      </c>
      <c r="AH31" s="29" t="n">
        <v>0</v>
      </c>
      <c r="AI31" s="29" t="n">
        <v>0</v>
      </c>
      <c r="AJ31" s="30" t="n"/>
      <c r="AK31" s="29" t="n">
        <v>0</v>
      </c>
      <c r="AL31" s="29" t="n">
        <v>0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-0.07918699999999999</v>
      </c>
      <c r="AD33" s="24" t="n">
        <v>-0.117786</v>
      </c>
      <c r="AE33" s="25" t="n"/>
      <c r="AF33" s="24" t="n">
        <v>-0.077501</v>
      </c>
      <c r="AG33" s="24" t="n">
        <v>-0.147417</v>
      </c>
      <c r="AH33" s="24" t="n">
        <v>-0.166302</v>
      </c>
      <c r="AI33" s="24" t="n">
        <v>-0.277623</v>
      </c>
      <c r="AJ33" s="25" t="n"/>
      <c r="AK33" s="24" t="n">
        <v>-0.195219</v>
      </c>
      <c r="AL33" s="24" t="n">
        <v>-0.387506</v>
      </c>
      <c r="AM33" s="24" t="n">
        <v>-0.5701079999999999</v>
      </c>
      <c r="AN33" s="24" t="n">
        <v>-1.721009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0.119769</v>
      </c>
      <c r="AD34" s="24" t="n">
        <v>0.146488</v>
      </c>
      <c r="AE34" s="25" t="n"/>
      <c r="AF34" s="24" t="n">
        <v>0.074171</v>
      </c>
      <c r="AG34" s="24" t="n">
        <v>0.121163</v>
      </c>
      <c r="AH34" s="24" t="n">
        <v>0.103941</v>
      </c>
      <c r="AI34" s="24" t="n">
        <v>0.131041</v>
      </c>
      <c r="AJ34" s="25" t="n"/>
      <c r="AK34" s="24" t="n">
        <v>0.058852</v>
      </c>
      <c r="AL34" s="24" t="n">
        <v>0.088793</v>
      </c>
      <c r="AM34" s="24" t="n">
        <v>0.07348399999999999</v>
      </c>
      <c r="AN34" s="24" t="n">
        <v>0.088835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-0.297885</v>
      </c>
      <c r="AD40" s="24" t="n">
        <v>-0.407367</v>
      </c>
      <c r="AE40" s="25" t="n"/>
      <c r="AF40" s="24" t="n">
        <v>-0.379761</v>
      </c>
      <c r="AG40" s="24" t="n">
        <v>-0.546856</v>
      </c>
      <c r="AH40" s="24" t="n">
        <v>-0.153909</v>
      </c>
      <c r="AI40" s="24" t="n">
        <v>-0.138026</v>
      </c>
      <c r="AJ40" s="25" t="n"/>
      <c r="AK40" s="24" t="n">
        <v>-0.195614</v>
      </c>
      <c r="AL40" s="24" t="n">
        <v>-0.196061</v>
      </c>
      <c r="AM40" s="24" t="n">
        <v>-0.139557</v>
      </c>
      <c r="AN40" s="24" t="n">
        <v>-0.036055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-0.44757</v>
      </c>
      <c r="AD41" s="24" t="n">
        <v>-0.506053</v>
      </c>
      <c r="AE41" s="25" t="n"/>
      <c r="AF41" s="24" t="n">
        <v>-0.483029</v>
      </c>
      <c r="AG41" s="24" t="n">
        <v>-0.56682</v>
      </c>
      <c r="AH41" s="24" t="n">
        <v>-0.171296</v>
      </c>
      <c r="AI41" s="24" t="n">
        <v>-0.176471</v>
      </c>
      <c r="AJ41" s="25" t="n"/>
      <c r="AK41" s="24" t="n">
        <v>-0.176768</v>
      </c>
      <c r="AL41" s="24" t="n">
        <v>-0.175532</v>
      </c>
      <c r="AM41" s="24" t="n">
        <v>-0.167598</v>
      </c>
      <c r="AN41" s="24" t="n">
        <v>-0.154762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0.08645899999999999</v>
      </c>
      <c r="AD43" s="24" t="n">
        <v>0.086462</v>
      </c>
      <c r="AE43" s="25">
        <f>IFERROR(subQ!AE34/subQ!AE33,"")</f>
        <v/>
      </c>
      <c r="AF43" s="24" t="n">
        <v>0.086462</v>
      </c>
      <c r="AG43" s="24" t="n">
        <v>0.086463</v>
      </c>
      <c r="AH43" s="24" t="n">
        <v>0.08645899999999999</v>
      </c>
      <c r="AI43" s="24" t="n">
        <v>0.086461</v>
      </c>
      <c r="AJ43" s="25">
        <f>IFERROR(subQ!AJ34/subQ!AJ33,"")</f>
        <v/>
      </c>
      <c r="AK43" s="24" t="n">
        <v>0.086461</v>
      </c>
      <c r="AL43" s="24" t="n">
        <v>0.086462</v>
      </c>
      <c r="AM43" s="24" t="n">
        <v>0.086461</v>
      </c>
      <c r="AN43" s="24" t="n">
        <v>0.086461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21550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14.9</v>
      </c>
      <c r="E49" s="2" t="inlineStr">
        <is>
          <t>PER 밴드 하단(배) — hist_quarterly(분기 평균가 ÷ TTM EPS, 11분기,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17.5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24.6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0.05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0.0788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4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4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4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4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4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4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4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4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4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4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4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4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4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4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4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4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4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4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4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4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4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4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4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4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4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4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4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4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4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4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4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4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4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4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4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4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4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4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4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4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4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4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4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4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4" t="n">
        <v>89.04000000000001</v>
      </c>
      <c r="V14" s="18" t="n">
        <v>202.74</v>
      </c>
      <c r="Y14" s="18" t="n">
        <v>0</v>
      </c>
      <c r="Z14" s="34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4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4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4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4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4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4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4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4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4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4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4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4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4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4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4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4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4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4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4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4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4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4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4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4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4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4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4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4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4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4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4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4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4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4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4" t="n">
        <v>116</v>
      </c>
      <c r="G23" s="18" t="n">
        <v>137</v>
      </c>
      <c r="H23" s="18" t="n">
        <v>309</v>
      </c>
      <c r="J23" s="18" t="n">
        <v>7908</v>
      </c>
      <c r="K23" s="34" t="n">
        <v>7908</v>
      </c>
      <c r="O23" s="18" t="n">
        <v>8544</v>
      </c>
      <c r="P23" s="34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4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4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4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4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4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4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4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4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4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4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4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4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4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4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4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4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4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4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4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4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4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4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4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4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4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4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4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4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4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4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4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4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4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4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4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4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4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4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4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4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4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4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4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4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4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4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4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4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4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4" t="n">
        <v>0</v>
      </c>
      <c r="W33" s="18" t="n">
        <v>136.47</v>
      </c>
      <c r="Y33" s="18" t="n">
        <v>365.37</v>
      </c>
      <c r="Z33" s="34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4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4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4" t="n">
        <v>0</v>
      </c>
      <c r="W34" s="18" t="n">
        <v>136.47</v>
      </c>
      <c r="Y34" s="18" t="n">
        <v>365.37</v>
      </c>
      <c r="Z34" s="34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4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4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4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4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4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4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4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4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4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4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4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4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4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4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4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4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4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4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4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4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4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4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4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4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4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4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4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4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4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4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4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4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4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4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4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4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4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4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4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4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4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4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4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4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4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4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4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4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4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4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4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4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4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4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4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4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4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4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4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4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4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4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4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4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4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4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4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4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4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4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4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4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4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4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4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4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4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4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4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4" t="n">
        <v>517</v>
      </c>
      <c r="L54" s="18" t="n">
        <v>538</v>
      </c>
      <c r="O54" s="18" t="n">
        <v>678</v>
      </c>
      <c r="P54" s="34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4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4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4" t="n">
        <v>8945</v>
      </c>
      <c r="O55" s="18" t="n">
        <v>246</v>
      </c>
      <c r="P55" s="34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4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4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4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4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4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4" t="n">
        <v>7908</v>
      </c>
      <c r="O57" s="18" t="n">
        <v>8544</v>
      </c>
      <c r="P57" s="34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4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4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4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4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4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4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4" t="n">
        <v>0</v>
      </c>
      <c r="V59" s="18" t="n">
        <v>0</v>
      </c>
      <c r="Y59" s="18" t="n">
        <v>0</v>
      </c>
      <c r="Z59" s="34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4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4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4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4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4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4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4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4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4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4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4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4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4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4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4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4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4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4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4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4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4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4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4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4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4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4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4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4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4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4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4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4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4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4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4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4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4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4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4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4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4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4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4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4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4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4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4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4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4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4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4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4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4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4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4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4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4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4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4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4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4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4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4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4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4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4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4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10623</v>
      </c>
      <c r="F79" s="9" t="n"/>
      <c r="G79" s="18" t="n">
        <v>22413</v>
      </c>
      <c r="H79" s="18" t="n">
        <v>-15740</v>
      </c>
      <c r="I79" s="18" t="n">
        <v>-17870</v>
      </c>
      <c r="J79" s="18" t="n">
        <v>37775</v>
      </c>
      <c r="K79" s="34" t="n">
        <v>26578</v>
      </c>
      <c r="L79" s="18" t="n">
        <v>-29292</v>
      </c>
      <c r="M79" s="18" t="n">
        <v>14728</v>
      </c>
      <c r="N79" s="18" t="n">
        <v>-20107</v>
      </c>
      <c r="O79" s="18" t="n">
        <v>21394</v>
      </c>
      <c r="P79" s="34" t="n">
        <v>-13277</v>
      </c>
      <c r="Q79" s="18" t="n">
        <v>-12374</v>
      </c>
      <c r="R79" s="18" t="n">
        <v>-17487</v>
      </c>
      <c r="S79" s="18" t="n">
        <v>-1349</v>
      </c>
      <c r="T79" s="18" t="n">
        <v>67922.2</v>
      </c>
      <c r="U79" s="34" t="n">
        <v>36712.2</v>
      </c>
      <c r="V79" s="18" t="n">
        <v>-46156.78</v>
      </c>
      <c r="W79" s="18" t="n">
        <v>59531.99</v>
      </c>
      <c r="X79" s="18" t="n">
        <v>58318.39</v>
      </c>
      <c r="Y79" s="18" t="n">
        <v>1177.45</v>
      </c>
      <c r="Z79" s="34" t="n">
        <v>72871.05</v>
      </c>
      <c r="AA79" s="18" t="n">
        <v>-76331.59</v>
      </c>
      <c r="AB79" s="19" t="n">
        <v>19318.66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E80" s="18" t="n">
        <v>123</v>
      </c>
      <c r="F80" s="9" t="n"/>
      <c r="G80" s="18" t="n">
        <v>179</v>
      </c>
      <c r="H80" s="18" t="n">
        <v>199</v>
      </c>
      <c r="I80" s="18" t="n">
        <v>263</v>
      </c>
      <c r="J80" s="18" t="n">
        <v>406</v>
      </c>
      <c r="K80" s="34" t="n">
        <v>1047</v>
      </c>
      <c r="L80" s="18" t="n">
        <v>562</v>
      </c>
      <c r="M80" s="18" t="n">
        <v>681</v>
      </c>
      <c r="N80" s="18" t="n">
        <v>490</v>
      </c>
      <c r="O80" s="18" t="n">
        <v>540</v>
      </c>
      <c r="P80" s="34" t="n">
        <v>2273</v>
      </c>
      <c r="Q80" s="18" t="n">
        <v>755</v>
      </c>
      <c r="R80" s="18" t="n">
        <v>850</v>
      </c>
      <c r="S80" s="18" t="n">
        <v>821</v>
      </c>
      <c r="T80" s="18" t="n">
        <v>766.36</v>
      </c>
      <c r="U80" s="34" t="n">
        <v>3192.36</v>
      </c>
      <c r="V80" s="18" t="n">
        <v>708.77</v>
      </c>
      <c r="W80" s="18" t="n">
        <v>519.1</v>
      </c>
      <c r="X80" s="18" t="n">
        <v>796.51</v>
      </c>
      <c r="Y80" s="18" t="n">
        <v>934.38</v>
      </c>
      <c r="Z80" s="34" t="n">
        <v>2958.76</v>
      </c>
      <c r="AA80" s="18" t="n">
        <v>790.1</v>
      </c>
      <c r="AB80" s="19" t="n">
        <v>814.35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-19</v>
      </c>
      <c r="F81" s="9" t="n"/>
      <c r="G81" s="18" t="n">
        <v>-49</v>
      </c>
      <c r="H81" s="18" t="n">
        <v>-233</v>
      </c>
      <c r="I81" s="18" t="n">
        <v>-235</v>
      </c>
      <c r="J81" s="18" t="n">
        <v>-167</v>
      </c>
      <c r="K81" s="34" t="n">
        <v>-684</v>
      </c>
      <c r="L81" s="18" t="n">
        <v>-403</v>
      </c>
      <c r="M81" s="18" t="n">
        <v>-578</v>
      </c>
      <c r="N81" s="18" t="n">
        <v>-74</v>
      </c>
      <c r="O81" s="18" t="n">
        <v>485</v>
      </c>
      <c r="P81" s="34" t="n">
        <v>-570</v>
      </c>
      <c r="Q81" s="18" t="n">
        <v>-987</v>
      </c>
      <c r="R81" s="18" t="n">
        <v>-151</v>
      </c>
      <c r="S81" s="18" t="n">
        <v>458</v>
      </c>
      <c r="T81" s="18" t="n">
        <v>-126.56</v>
      </c>
      <c r="U81" s="34" t="n">
        <v>-806.5599999999999</v>
      </c>
      <c r="V81" s="18" t="n">
        <v>-579.24</v>
      </c>
      <c r="W81" s="18" t="n">
        <v>-199.74</v>
      </c>
      <c r="X81" s="18" t="n">
        <v>-181.13</v>
      </c>
      <c r="Y81" s="18" t="n">
        <v>-404.22</v>
      </c>
      <c r="Z81" s="34" t="n">
        <v>-1364.33</v>
      </c>
      <c r="AA81" s="18" t="n">
        <v>-718.13</v>
      </c>
      <c r="AB81" s="19" t="n">
        <v>-437.46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-4004</v>
      </c>
      <c r="F82" s="9" t="n"/>
      <c r="G82" s="18" t="n">
        <v>-1864</v>
      </c>
      <c r="H82" s="18" t="n">
        <v>-1747</v>
      </c>
      <c r="I82" s="18" t="n">
        <v>-1328</v>
      </c>
      <c r="J82" s="18" t="n">
        <v>-10286</v>
      </c>
      <c r="K82" s="34" t="n">
        <v>-15225</v>
      </c>
      <c r="L82" s="18" t="n">
        <v>-2713</v>
      </c>
      <c r="M82" s="18" t="n">
        <v>2675</v>
      </c>
      <c r="N82" s="18" t="n">
        <v>7226</v>
      </c>
      <c r="O82" s="18" t="n">
        <v>-3524</v>
      </c>
      <c r="P82" s="34" t="n">
        <v>3664</v>
      </c>
      <c r="Q82" s="18" t="n">
        <v>-1304</v>
      </c>
      <c r="R82" s="18" t="n">
        <v>-2574</v>
      </c>
      <c r="S82" s="18" t="n">
        <v>-4842</v>
      </c>
      <c r="T82" s="18" t="n">
        <v>-6178.13</v>
      </c>
      <c r="U82" s="34" t="n">
        <v>-14898.13</v>
      </c>
      <c r="V82" s="18" t="n">
        <v>-3405.46</v>
      </c>
      <c r="W82" s="18" t="n">
        <v>-3982.16</v>
      </c>
      <c r="X82" s="18" t="n">
        <v>-8356.719999999999</v>
      </c>
      <c r="Y82" s="18" t="n">
        <v>-10864.63</v>
      </c>
      <c r="Z82" s="34" t="n">
        <v>-26608.97</v>
      </c>
      <c r="AA82" s="18" t="n">
        <v>-12043.6</v>
      </c>
      <c r="AB82" s="19" t="n">
        <v>-3810.84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2</v>
      </c>
      <c r="F83" s="9" t="n"/>
      <c r="G83" s="18" t="n">
        <v>16</v>
      </c>
      <c r="H83" s="18" t="n">
        <v>1</v>
      </c>
      <c r="I83" s="18" t="n">
        <v>0</v>
      </c>
      <c r="J83" s="18" t="n">
        <v>0</v>
      </c>
      <c r="K83" s="34" t="n">
        <v>17</v>
      </c>
      <c r="L83" s="18" t="n">
        <v>8</v>
      </c>
      <c r="M83" s="18" t="n">
        <v>49</v>
      </c>
      <c r="N83" s="18" t="n">
        <v>41</v>
      </c>
      <c r="O83" s="18" t="n">
        <v>36</v>
      </c>
      <c r="P83" s="34" t="n">
        <v>134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18" t="n">
        <v>0</v>
      </c>
      <c r="F84" s="9" t="n"/>
      <c r="K84" s="9" t="n"/>
      <c r="O84" s="18" t="n">
        <v>0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4056</v>
      </c>
      <c r="F85" s="9" t="n"/>
      <c r="G85" s="18" t="n">
        <v>2839</v>
      </c>
      <c r="H85" s="18" t="n">
        <v>1627</v>
      </c>
      <c r="I85" s="18" t="n">
        <v>1350</v>
      </c>
      <c r="J85" s="18" t="n">
        <v>6375</v>
      </c>
      <c r="K85" s="34" t="n">
        <v>12191</v>
      </c>
      <c r="L85" s="18" t="n">
        <v>2140</v>
      </c>
      <c r="M85" s="18" t="n">
        <v>1654</v>
      </c>
      <c r="N85" s="18" t="n">
        <v>2441</v>
      </c>
      <c r="O85" s="18" t="n">
        <v>2452</v>
      </c>
      <c r="P85" s="34" t="n">
        <v>8687</v>
      </c>
      <c r="Q85" s="18" t="n">
        <v>1497</v>
      </c>
      <c r="R85" s="18" t="n">
        <v>1154</v>
      </c>
      <c r="S85" s="18" t="n">
        <v>2444</v>
      </c>
      <c r="T85" s="18" t="n">
        <v>4076.71</v>
      </c>
      <c r="U85" s="34" t="n">
        <v>9171.709999999999</v>
      </c>
      <c r="V85" s="18" t="n">
        <v>1803.95</v>
      </c>
      <c r="W85" s="18" t="n">
        <v>2075.63</v>
      </c>
      <c r="X85" s="18" t="n">
        <v>2292.47</v>
      </c>
      <c r="Y85" s="18" t="n">
        <v>3740.95</v>
      </c>
      <c r="Z85" s="34" t="n">
        <v>9913</v>
      </c>
      <c r="AA85" s="18" t="n">
        <v>4123.91</v>
      </c>
      <c r="AB85" s="19" t="n">
        <v>3655.7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4352</v>
      </c>
      <c r="F86" s="9" t="n"/>
      <c r="G86" s="18" t="n">
        <v>2845</v>
      </c>
      <c r="H86" s="18" t="n">
        <v>1872</v>
      </c>
      <c r="I86" s="18" t="n">
        <v>1351</v>
      </c>
      <c r="J86" s="18" t="n">
        <v>6613</v>
      </c>
      <c r="K86" s="34" t="n">
        <v>12681</v>
      </c>
      <c r="L86" s="18" t="n">
        <v>2346</v>
      </c>
      <c r="M86" s="18" t="n">
        <v>5924</v>
      </c>
      <c r="N86" s="18" t="n">
        <v>2814</v>
      </c>
      <c r="O86" s="18" t="n">
        <v>4855</v>
      </c>
      <c r="P86" s="34" t="n">
        <v>15939</v>
      </c>
      <c r="Q86" s="18" t="n">
        <v>1691</v>
      </c>
      <c r="R86" s="18" t="n">
        <v>2529</v>
      </c>
      <c r="S86" s="18" t="n">
        <v>4840</v>
      </c>
      <c r="T86" s="18" t="n">
        <v>9289.530000000001</v>
      </c>
      <c r="U86" s="34" t="n">
        <v>18349.53</v>
      </c>
      <c r="V86" s="18" t="n">
        <v>3348.64</v>
      </c>
      <c r="W86" s="18" t="n">
        <v>2805.15</v>
      </c>
      <c r="X86" s="18" t="n">
        <v>6618.52</v>
      </c>
      <c r="Y86" s="18" t="n">
        <v>6193.4</v>
      </c>
      <c r="Z86" s="34" t="n">
        <v>18965.71</v>
      </c>
      <c r="AA86" s="18" t="n">
        <v>4193.54</v>
      </c>
      <c r="AB86" s="19" t="n">
        <v>4460.18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296</v>
      </c>
      <c r="F87" s="9" t="n"/>
      <c r="G87" s="18" t="n">
        <v>6</v>
      </c>
      <c r="H87" s="18" t="n">
        <v>245</v>
      </c>
      <c r="I87" s="18" t="n">
        <v>1</v>
      </c>
      <c r="J87" s="18" t="n">
        <v>238</v>
      </c>
      <c r="K87" s="34" t="n">
        <v>490</v>
      </c>
      <c r="L87" s="18" t="n">
        <v>206</v>
      </c>
      <c r="M87" s="18" t="n">
        <v>4270</v>
      </c>
      <c r="N87" s="18" t="n">
        <v>373</v>
      </c>
      <c r="O87" s="18" t="n">
        <v>2403</v>
      </c>
      <c r="P87" s="34" t="n">
        <v>7252</v>
      </c>
      <c r="Q87" s="18" t="n">
        <v>194</v>
      </c>
      <c r="R87" s="18" t="n">
        <v>1375</v>
      </c>
      <c r="S87" s="18" t="n">
        <v>2396</v>
      </c>
      <c r="T87" s="18" t="n">
        <v>5212.82</v>
      </c>
      <c r="U87" s="34" t="n">
        <v>9177.82</v>
      </c>
      <c r="V87" s="18" t="n">
        <v>1544.69</v>
      </c>
      <c r="W87" s="18" t="n">
        <v>729.52</v>
      </c>
      <c r="X87" s="18" t="n">
        <v>4326.05</v>
      </c>
      <c r="Y87" s="18" t="n">
        <v>2452.45</v>
      </c>
      <c r="Z87" s="34" t="n">
        <v>9052.709999999999</v>
      </c>
      <c r="AA87" s="18" t="n">
        <v>69.63</v>
      </c>
      <c r="AB87" s="19" t="n">
        <v>804.48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-4942</v>
      </c>
      <c r="F88" s="9" t="n"/>
      <c r="G88" s="18" t="n">
        <v>-15747</v>
      </c>
      <c r="H88" s="18" t="n">
        <v>-15216</v>
      </c>
      <c r="I88" s="18" t="n">
        <v>-1336</v>
      </c>
      <c r="J88" s="18" t="n">
        <v>4482</v>
      </c>
      <c r="K88" s="34" t="n">
        <v>-27817</v>
      </c>
      <c r="L88" s="18" t="n">
        <v>6953</v>
      </c>
      <c r="M88" s="18" t="n">
        <v>-9276</v>
      </c>
      <c r="N88" s="18" t="n">
        <v>-819</v>
      </c>
      <c r="O88" s="18" t="n">
        <v>10922</v>
      </c>
      <c r="P88" s="34" t="n">
        <v>7780</v>
      </c>
      <c r="Q88" s="18" t="n">
        <v>31980</v>
      </c>
      <c r="R88" s="18" t="n">
        <v>16235</v>
      </c>
      <c r="S88" s="18" t="n">
        <v>3587</v>
      </c>
      <c r="T88" s="18" t="n">
        <v>-29864</v>
      </c>
      <c r="U88" s="34" t="n">
        <v>21938</v>
      </c>
      <c r="V88" s="18" t="n">
        <v>-37647.71</v>
      </c>
      <c r="W88" s="18" t="n">
        <v>9555.040000000001</v>
      </c>
      <c r="X88" s="18" t="n">
        <v>7400.18</v>
      </c>
      <c r="Y88" s="18" t="n">
        <v>6846.89</v>
      </c>
      <c r="Z88" s="34" t="n">
        <v>-13845.6</v>
      </c>
      <c r="AA88" s="18" t="n">
        <v>33688.69</v>
      </c>
      <c r="AB88" s="19" t="n">
        <v>-11849.37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차입금의증가</t>
        </is>
      </c>
      <c r="E89" s="18" t="n">
        <v>20587</v>
      </c>
      <c r="F89" s="9" t="n"/>
      <c r="G89" s="18" t="n">
        <v>16172</v>
      </c>
      <c r="H89" s="18" t="n">
        <v>16355</v>
      </c>
      <c r="I89" s="18" t="n">
        <v>27368</v>
      </c>
      <c r="J89" s="18" t="n">
        <v>42367</v>
      </c>
      <c r="K89" s="34" t="n">
        <v>102262</v>
      </c>
      <c r="L89" s="18" t="n">
        <v>31430</v>
      </c>
      <c r="M89" s="18" t="n">
        <v>17223</v>
      </c>
      <c r="N89" s="18" t="n">
        <v>27781</v>
      </c>
      <c r="O89" s="18" t="n">
        <v>39836</v>
      </c>
      <c r="P89" s="34" t="n">
        <v>116270</v>
      </c>
      <c r="Q89" s="18" t="n">
        <v>57603</v>
      </c>
      <c r="R89" s="18" t="n">
        <v>45824</v>
      </c>
      <c r="S89" s="18" t="n">
        <v>54976</v>
      </c>
      <c r="T89" s="18" t="n">
        <v>39763.36</v>
      </c>
      <c r="U89" s="34" t="n">
        <v>198166.36</v>
      </c>
      <c r="V89" s="18" t="n">
        <v>31485.56</v>
      </c>
      <c r="W89" s="18" t="n">
        <v>66430.27</v>
      </c>
      <c r="X89" s="18" t="n">
        <v>48797.62</v>
      </c>
      <c r="Y89" s="18" t="n">
        <v>53985.05</v>
      </c>
      <c r="Z89" s="34" t="n">
        <v>200698.5</v>
      </c>
      <c r="AA89" s="18" t="n">
        <v>55996.23</v>
      </c>
      <c r="AB89" s="19" t="n">
        <v>70864.23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차입금의감소</t>
        </is>
      </c>
      <c r="E90" s="18" t="n">
        <v>23472</v>
      </c>
      <c r="F90" s="9" t="n"/>
      <c r="G90" s="18" t="n">
        <v>29714</v>
      </c>
      <c r="H90" s="18" t="n">
        <v>29251</v>
      </c>
      <c r="I90" s="18" t="n">
        <v>26233</v>
      </c>
      <c r="J90" s="18" t="n">
        <v>36891</v>
      </c>
      <c r="K90" s="34" t="n">
        <v>122089</v>
      </c>
      <c r="L90" s="18" t="n">
        <v>21774</v>
      </c>
      <c r="M90" s="18" t="n">
        <v>23278</v>
      </c>
      <c r="N90" s="18" t="n">
        <v>26088</v>
      </c>
      <c r="O90" s="18" t="n">
        <v>23959</v>
      </c>
      <c r="P90" s="34" t="n">
        <v>95099</v>
      </c>
      <c r="Q90" s="18" t="n">
        <v>20037</v>
      </c>
      <c r="R90" s="18" t="n">
        <v>23849</v>
      </c>
      <c r="S90" s="18" t="n">
        <v>46830</v>
      </c>
      <c r="T90" s="18" t="n">
        <v>62068.43</v>
      </c>
      <c r="U90" s="34" t="n">
        <v>152784.43</v>
      </c>
      <c r="V90" s="18" t="n">
        <v>61680.16</v>
      </c>
      <c r="W90" s="18" t="n">
        <v>53031.07</v>
      </c>
      <c r="X90" s="18" t="n">
        <v>38603.34</v>
      </c>
      <c r="Y90" s="18" t="n">
        <v>47787.13</v>
      </c>
      <c r="Z90" s="34" t="n">
        <v>201101.7</v>
      </c>
      <c r="AA90" s="18" t="n">
        <v>19778.46</v>
      </c>
      <c r="AB90" s="19" t="n">
        <v>80909.11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350</v>
      </c>
      <c r="F91" s="9" t="n"/>
      <c r="G91" s="18" t="n">
        <v>354</v>
      </c>
      <c r="H91" s="18" t="n">
        <v>330</v>
      </c>
      <c r="I91" s="18" t="n">
        <v>788</v>
      </c>
      <c r="K91" s="9" t="n"/>
      <c r="L91" s="18" t="n">
        <v>409</v>
      </c>
      <c r="M91" s="18" t="n">
        <v>411</v>
      </c>
      <c r="N91" s="18" t="n">
        <v>434</v>
      </c>
      <c r="O91" s="18" t="n">
        <v>438</v>
      </c>
      <c r="P91" s="34" t="n">
        <v>1692</v>
      </c>
      <c r="Q91" s="18" t="n">
        <v>425</v>
      </c>
      <c r="R91" s="18" t="n">
        <v>404</v>
      </c>
      <c r="S91" s="18" t="n">
        <v>463</v>
      </c>
      <c r="T91" s="18" t="n">
        <v>468.43</v>
      </c>
      <c r="U91" s="34" t="n">
        <v>1760.43</v>
      </c>
      <c r="V91" s="18" t="n">
        <v>482.26</v>
      </c>
      <c r="W91" s="18" t="n">
        <v>472.72</v>
      </c>
      <c r="X91" s="18" t="n">
        <v>494.78</v>
      </c>
      <c r="Y91" s="18" t="n">
        <v>499.92</v>
      </c>
      <c r="Z91" s="34" t="n">
        <v>1949.68</v>
      </c>
      <c r="AA91" s="18" t="n">
        <v>505.42</v>
      </c>
      <c r="AB91" s="19" t="n">
        <v>514.65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이자지급(CF)</t>
        </is>
      </c>
      <c r="E92" s="18" t="n">
        <v>-1506</v>
      </c>
      <c r="F92" s="9" t="n"/>
      <c r="G92" s="18" t="n">
        <v>-1616</v>
      </c>
      <c r="H92" s="18" t="n">
        <v>-1787</v>
      </c>
      <c r="I92" s="18" t="n">
        <v>-1911</v>
      </c>
      <c r="J92" s="18" t="n">
        <v>-2401</v>
      </c>
      <c r="K92" s="34" t="n">
        <v>-7715</v>
      </c>
      <c r="L92" s="18" t="n">
        <v>-2632</v>
      </c>
      <c r="M92" s="18" t="n">
        <v>-2707</v>
      </c>
      <c r="N92" s="18" t="n">
        <v>-2577</v>
      </c>
      <c r="O92" s="18" t="n">
        <v>-4377</v>
      </c>
      <c r="P92" s="34" t="n">
        <v>-12293</v>
      </c>
      <c r="Q92" s="18" t="n">
        <v>-3486</v>
      </c>
      <c r="R92" s="18" t="n">
        <v>-3471</v>
      </c>
      <c r="S92" s="18" t="n">
        <v>-3891</v>
      </c>
      <c r="T92" s="18" t="n">
        <v>-4378.41</v>
      </c>
      <c r="U92" s="34" t="n">
        <v>-15226.41</v>
      </c>
      <c r="V92" s="18" t="n">
        <v>-4699.27</v>
      </c>
      <c r="W92" s="18" t="n">
        <v>-3804.76</v>
      </c>
      <c r="X92" s="18" t="n">
        <v>-3280.91</v>
      </c>
      <c r="Y92" s="18" t="n">
        <v>-3637.66</v>
      </c>
      <c r="Z92" s="34" t="n">
        <v>-15422.6</v>
      </c>
      <c r="AA92" s="18" t="n">
        <v>-2387.88</v>
      </c>
      <c r="AB92" s="19" t="n">
        <v>-3035.56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1635</v>
      </c>
      <c r="F93" s="9" t="n"/>
      <c r="G93" s="18" t="n">
        <v>4830</v>
      </c>
      <c r="H93" s="18" t="n">
        <v>-32628</v>
      </c>
      <c r="I93" s="18" t="n">
        <v>-20241</v>
      </c>
      <c r="J93" s="18" t="n">
        <v>31629</v>
      </c>
      <c r="K93" s="34" t="n">
        <v>-16410</v>
      </c>
      <c r="L93" s="18" t="n">
        <v>-24865</v>
      </c>
      <c r="M93" s="18" t="n">
        <v>8104</v>
      </c>
      <c r="N93" s="18" t="n">
        <v>-13605</v>
      </c>
      <c r="O93" s="18" t="n">
        <v>28705</v>
      </c>
      <c r="P93" s="34" t="n">
        <v>-1661</v>
      </c>
      <c r="Q93" s="18" t="n">
        <v>18596</v>
      </c>
      <c r="R93" s="18" t="n">
        <v>-3516</v>
      </c>
      <c r="S93" s="18" t="n">
        <v>-3208</v>
      </c>
      <c r="T93" s="18" t="n">
        <v>31880.07</v>
      </c>
      <c r="U93" s="34" t="n">
        <v>43752.07</v>
      </c>
      <c r="V93" s="18" t="n">
        <v>-87209.95</v>
      </c>
      <c r="W93" s="18" t="n">
        <v>65104.87</v>
      </c>
      <c r="X93" s="18" t="n">
        <v>57361.85</v>
      </c>
      <c r="Y93" s="18" t="n">
        <v>-2840.29</v>
      </c>
      <c r="Z93" s="34" t="n">
        <v>32416.48</v>
      </c>
      <c r="AA93" s="18" t="n">
        <v>-54686.5</v>
      </c>
      <c r="AB93" s="19" t="n">
        <v>3658.45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1635</v>
      </c>
      <c r="F94" s="9" t="n"/>
      <c r="G94" s="18" t="n">
        <v>109517</v>
      </c>
      <c r="H94" s="18" t="n">
        <v>-32628</v>
      </c>
      <c r="I94" s="18" t="n">
        <v>-20241</v>
      </c>
      <c r="J94" s="18" t="n">
        <v>31629</v>
      </c>
      <c r="K94" s="34" t="n">
        <v>88277</v>
      </c>
      <c r="L94" s="18" t="n">
        <v>63412</v>
      </c>
      <c r="M94" s="18" t="n">
        <v>8104</v>
      </c>
      <c r="N94" s="18" t="n">
        <v>-13605</v>
      </c>
      <c r="O94" s="18" t="n">
        <v>28705</v>
      </c>
      <c r="P94" s="34" t="n">
        <v>86616</v>
      </c>
      <c r="Q94" s="18" t="n">
        <v>105211</v>
      </c>
      <c r="R94" s="18" t="n">
        <v>-3516</v>
      </c>
      <c r="S94" s="18" t="n">
        <v>-3076</v>
      </c>
      <c r="T94" s="18" t="n">
        <v>32821.92</v>
      </c>
      <c r="U94" s="34" t="n">
        <v>131440.92</v>
      </c>
      <c r="V94" s="18" t="n">
        <v>44331.39</v>
      </c>
      <c r="W94" s="18" t="n">
        <v>64684.67</v>
      </c>
      <c r="X94" s="18" t="n">
        <v>58133.15</v>
      </c>
      <c r="Y94" s="18" t="n">
        <v>-3014.88</v>
      </c>
      <c r="Z94" s="34" t="n">
        <v>164134.33</v>
      </c>
      <c r="AA94" s="18" t="n">
        <v>110270.44</v>
      </c>
      <c r="AB94" s="19" t="n">
        <v>3964.92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4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4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4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4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4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4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4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4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4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4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4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4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4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4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4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4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4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4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4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4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4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4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4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4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4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4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4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4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4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4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4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4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4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4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4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4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4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4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4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4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4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4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4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4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4" t="n">
        <v>89.04000000000001</v>
      </c>
      <c r="V14" s="18" t="n">
        <v>202.74</v>
      </c>
      <c r="W14" s="18" t="n">
        <v>0</v>
      </c>
      <c r="Y14" s="18" t="n">
        <v>0</v>
      </c>
      <c r="Z14" s="34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4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4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4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4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4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4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4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4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4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4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4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4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4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4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4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4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4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4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4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4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4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4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4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4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4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4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4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4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4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4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4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4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4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4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4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4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4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4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4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4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4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4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4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4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4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4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4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4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4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4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4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4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4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4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4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4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4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4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4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4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4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4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4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4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4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4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4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4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4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4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4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4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4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4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4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4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4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4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4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4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4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4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4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4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4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4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4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4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4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4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4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4" t="n">
        <v>0</v>
      </c>
      <c r="W34" s="18" t="n">
        <v>136.47</v>
      </c>
      <c r="Y34" s="18" t="n">
        <v>365.37</v>
      </c>
      <c r="Z34" s="34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4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4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4" t="n">
        <v>0</v>
      </c>
      <c r="W35" s="18" t="n">
        <v>136.47</v>
      </c>
      <c r="Y35" s="18" t="n">
        <v>365.37</v>
      </c>
      <c r="Z35" s="34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4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4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4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4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4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4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4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4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4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4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4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4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4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4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4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4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4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4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4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4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4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4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4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4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4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4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4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4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4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4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4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4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4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4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4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4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4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4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4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4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4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4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4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4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4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4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4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4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4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4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4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4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4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4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4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4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4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4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4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4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4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4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4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4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4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4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4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4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4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4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4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4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4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4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4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4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4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4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4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4" t="n">
        <v>8945</v>
      </c>
      <c r="O55" s="18" t="n">
        <v>245</v>
      </c>
      <c r="P55" s="34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4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4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4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4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4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4" t="n">
        <v>7908</v>
      </c>
      <c r="O57" s="18" t="n">
        <v>8544</v>
      </c>
      <c r="P57" s="34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4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4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4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4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4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4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4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4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4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4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4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4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4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4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4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4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4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4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4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4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4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4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4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4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4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4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4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4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4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4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4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4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4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4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4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4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4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4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4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4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4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4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4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4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4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4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4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4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4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4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4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4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4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4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4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4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4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4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4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4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4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4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4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4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4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4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4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4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4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4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4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4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4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4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4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4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4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4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4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4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4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4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4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4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4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4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4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4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4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4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4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4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4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4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4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4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4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4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4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4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4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4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4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4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4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4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4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4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4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4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4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4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4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4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4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4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4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4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4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4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4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4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4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4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4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4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4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0.021</v>
      </c>
      <c r="F10" s="34" t="n"/>
      <c r="G10" s="18" t="n">
        <v>-0.0101</v>
      </c>
      <c r="H10" s="18" t="n">
        <v>0.006</v>
      </c>
      <c r="I10" s="18" t="n">
        <v>0.0092</v>
      </c>
      <c r="J10" s="18" t="n">
        <v>-0.0505</v>
      </c>
      <c r="K10" s="34">
        <f>SUM(G10:J10)</f>
        <v/>
      </c>
      <c r="L10" s="18" t="n">
        <v>-0.003</v>
      </c>
      <c r="M10" s="18" t="n">
        <v>0.0272</v>
      </c>
      <c r="N10" s="18" t="n">
        <v>0.0136</v>
      </c>
      <c r="O10" s="18" t="n">
        <v>0.0609</v>
      </c>
      <c r="P10" s="34">
        <f>SUM(L10:O10)</f>
        <v/>
      </c>
      <c r="Q10" s="18" t="n">
        <v>0.059</v>
      </c>
      <c r="R10" s="18" t="n">
        <v>0.1103</v>
      </c>
      <c r="S10" s="18" t="n">
        <v>0.028</v>
      </c>
      <c r="T10" s="18" t="n">
        <v>0.0378</v>
      </c>
      <c r="U10" s="34">
        <f>SUM(Q10:T10)</f>
        <v/>
      </c>
      <c r="V10" s="18" t="n">
        <v>0.1111</v>
      </c>
      <c r="W10" s="18" t="n">
        <v>0.1561</v>
      </c>
      <c r="X10" s="18" t="n">
        <v>0.0803</v>
      </c>
      <c r="Y10" s="18" t="n">
        <v>0.022</v>
      </c>
      <c r="Z10" s="34">
        <f>SUM(V10:Y10)</f>
        <v/>
      </c>
      <c r="AA10" s="18" t="n">
        <v>0.0926</v>
      </c>
      <c r="AB10" s="19" t="n">
        <v>0.1172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 t="n"/>
      <c r="O15" s="18" t="n"/>
      <c r="P15" s="34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106.23</v>
      </c>
      <c r="F26" s="34" t="n"/>
      <c r="G26" s="18" t="n">
        <v>224.13</v>
      </c>
      <c r="H26" s="18" t="n">
        <v>-157.4</v>
      </c>
      <c r="I26" s="18" t="n">
        <v>-178.7</v>
      </c>
      <c r="J26" s="18" t="n">
        <v>377.75</v>
      </c>
      <c r="K26" s="34">
        <f>SUM(G26:J26)</f>
        <v/>
      </c>
      <c r="L26" s="18" t="n">
        <v>-292.92</v>
      </c>
      <c r="M26" s="18" t="n">
        <v>147.28</v>
      </c>
      <c r="N26" s="18" t="n">
        <v>-201.07</v>
      </c>
      <c r="O26" s="18" t="n">
        <v>213.94</v>
      </c>
      <c r="P26" s="34">
        <f>SUM(L26:O26)</f>
        <v/>
      </c>
      <c r="Q26" s="18" t="n">
        <v>-123.74</v>
      </c>
      <c r="R26" s="18" t="n">
        <v>-174.87</v>
      </c>
      <c r="S26" s="18" t="n">
        <v>-13.49</v>
      </c>
      <c r="T26" s="18" t="n">
        <v>679.22</v>
      </c>
      <c r="U26" s="34">
        <f>SUM(Q26:T26)</f>
        <v/>
      </c>
      <c r="V26" s="18" t="n">
        <v>-461.57</v>
      </c>
      <c r="W26" s="18" t="n">
        <v>595.3200000000001</v>
      </c>
      <c r="X26" s="18" t="n">
        <v>583.1799999999999</v>
      </c>
      <c r="Y26" s="18" t="n">
        <v>11.77</v>
      </c>
      <c r="Z26" s="34">
        <f>SUM(V26:Y26)</f>
        <v/>
      </c>
      <c r="AA26" s="18" t="n">
        <v>-763.3200000000001</v>
      </c>
      <c r="AB26" s="19" t="n">
        <v>193.19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23</v>
      </c>
      <c r="F27" s="27">
        <f>E27</f>
        <v/>
      </c>
      <c r="G27" s="26" t="n">
        <v>23</v>
      </c>
      <c r="H27" s="26" t="n">
        <v>23</v>
      </c>
      <c r="I27" s="26" t="n">
        <v>23</v>
      </c>
      <c r="J27" s="26" t="n">
        <v>23</v>
      </c>
      <c r="K27" s="27">
        <f>J27</f>
        <v/>
      </c>
      <c r="L27" s="26" t="n">
        <v>23</v>
      </c>
      <c r="M27" s="26" t="n">
        <v>23</v>
      </c>
      <c r="N27" s="26" t="n">
        <v>23</v>
      </c>
      <c r="O27" s="26" t="n">
        <v>23</v>
      </c>
      <c r="P27" s="27">
        <f>O27</f>
        <v/>
      </c>
      <c r="Q27" s="26" t="n">
        <v>23</v>
      </c>
      <c r="R27" s="26" t="n">
        <v>23</v>
      </c>
      <c r="S27" s="26" t="n">
        <v>23</v>
      </c>
      <c r="T27" s="26" t="n">
        <v>23</v>
      </c>
      <c r="U27" s="27">
        <f>T27</f>
        <v/>
      </c>
      <c r="V27" s="26" t="n">
        <v>23</v>
      </c>
      <c r="W27" s="26" t="n">
        <v>40.139</v>
      </c>
      <c r="X27" s="26" t="n">
        <v>40.139</v>
      </c>
      <c r="Y27" s="26" t="n">
        <v>40.139</v>
      </c>
      <c r="Z27" s="27">
        <f>Y27</f>
        <v/>
      </c>
      <c r="AA27" s="26" t="n">
        <v>40.139</v>
      </c>
      <c r="AB27" s="28" t="n">
        <v>40.139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0</v>
      </c>
      <c r="U30" s="34">
        <f>SUM(Q30:T30)</f>
        <v/>
      </c>
      <c r="V30" s="18" t="n"/>
      <c r="W30" s="18" t="n"/>
      <c r="X30" s="18" t="n"/>
      <c r="Y30" s="18" t="n">
        <v>0</v>
      </c>
      <c r="Z30" s="34">
        <f>SUM(V30:Y30)</f>
        <v/>
      </c>
      <c r="AA30" s="18" t="n"/>
      <c r="AB30" s="19" t="n"/>
      <c r="AC30" s="20" t="n"/>
      <c r="AD30" s="20" t="n">
        <v>0</v>
      </c>
      <c r="AE30" s="35">
        <f>SUM(AA30:AD30)</f>
        <v/>
      </c>
      <c r="AF30" s="20" t="n"/>
      <c r="AG30" s="20" t="n"/>
      <c r="AH30" s="20" t="n"/>
      <c r="AI30" s="20" t="n">
        <v>0</v>
      </c>
      <c r="AJ30" s="35">
        <f>SUM(AF30:AI30)</f>
        <v/>
      </c>
      <c r="AK30" s="20" t="n"/>
      <c r="AL30" s="20" t="n"/>
      <c r="AM30" s="20" t="n"/>
      <c r="AN30" s="20" t="n">
        <v>0</v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/>
      <c r="K31" s="34">
        <f>SUM(G31:J31)</f>
        <v/>
      </c>
      <c r="L31" s="18" t="n"/>
      <c r="M31" s="18" t="n"/>
      <c r="N31" s="18" t="n"/>
      <c r="O31" s="18" t="n">
        <v>48.34</v>
      </c>
      <c r="P31" s="34">
        <f>SUM(L31:O31)</f>
        <v/>
      </c>
      <c r="Q31" s="18" t="n">
        <v>25.32</v>
      </c>
      <c r="R31" s="18" t="n">
        <v>13.1</v>
      </c>
      <c r="S31" s="18" t="n">
        <v>14.87</v>
      </c>
      <c r="T31" s="18" t="n">
        <v>16.61</v>
      </c>
      <c r="U31" s="34">
        <f>SUM(Q31:T31)</f>
        <v/>
      </c>
      <c r="V31" s="18" t="n">
        <v>15.81</v>
      </c>
      <c r="W31" s="18" t="n">
        <v>14.58</v>
      </c>
      <c r="X31" s="18" t="n">
        <v>17.49</v>
      </c>
      <c r="Y31" s="18" t="n">
        <v>18.46</v>
      </c>
      <c r="Z31" s="34">
        <f>SUM(V31:Y31)</f>
        <v/>
      </c>
      <c r="AA31" s="18" t="n">
        <v>18.38</v>
      </c>
      <c r="AB31" s="19" t="n">
        <v>24.65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0.82</v>
      </c>
      <c r="F32" s="34" t="n">
        <v>0.78</v>
      </c>
      <c r="G32" s="18" t="n">
        <v>0.97</v>
      </c>
      <c r="H32" s="18" t="n">
        <v>1.13</v>
      </c>
      <c r="I32" s="18" t="n">
        <v>1.25</v>
      </c>
      <c r="J32" s="18" t="n">
        <v>1.17</v>
      </c>
      <c r="K32" s="34">
        <f>SUM(G32:J32)</f>
        <v/>
      </c>
      <c r="L32" s="18" t="n">
        <v>1.2</v>
      </c>
      <c r="M32" s="18" t="n">
        <v>1.19</v>
      </c>
      <c r="N32" s="18" t="n">
        <v>1.26</v>
      </c>
      <c r="O32" s="18" t="n">
        <v>1.06</v>
      </c>
      <c r="P32" s="34">
        <f>SUM(L32:O32)</f>
        <v/>
      </c>
      <c r="Q32" s="18" t="n">
        <v>1.1</v>
      </c>
      <c r="R32" s="18" t="n">
        <v>1.2</v>
      </c>
      <c r="S32" s="18" t="n">
        <v>1.5</v>
      </c>
      <c r="T32" s="18" t="n">
        <v>1.63</v>
      </c>
      <c r="U32" s="34">
        <f>SUM(Q32:T32)</f>
        <v/>
      </c>
      <c r="V32" s="18" t="n">
        <v>1.96</v>
      </c>
      <c r="W32" s="18" t="n">
        <v>2.95</v>
      </c>
      <c r="X32" s="18" t="n">
        <v>3.91</v>
      </c>
      <c r="Y32" s="18" t="n">
        <v>4.13</v>
      </c>
      <c r="Z32" s="34">
        <f>SUM(V32:Y32)</f>
        <v/>
      </c>
      <c r="AA32" s="18" t="n">
        <v>3.83</v>
      </c>
      <c r="AB32" s="19" t="n">
        <v>4.34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1662.98</v>
      </c>
      <c r="F33" s="34" t="n"/>
      <c r="G33" s="18" t="n">
        <v>1119.18</v>
      </c>
      <c r="H33" s="18" t="n">
        <v>1049.16</v>
      </c>
      <c r="I33" s="18" t="n">
        <v>1374.16</v>
      </c>
      <c r="J33" s="18" t="n">
        <v>1897.71</v>
      </c>
      <c r="K33" s="34">
        <f>SUM(G33:J33)</f>
        <v/>
      </c>
      <c r="L33" s="18" t="n">
        <v>1169.81</v>
      </c>
      <c r="M33" s="18" t="n">
        <v>1634.37</v>
      </c>
      <c r="N33" s="18" t="n">
        <v>1385.35</v>
      </c>
      <c r="O33" s="18" t="n">
        <v>2114.24</v>
      </c>
      <c r="P33" s="34">
        <f>SUM(L33:O33)</f>
        <v/>
      </c>
      <c r="Q33" s="18" t="n">
        <v>1155.06</v>
      </c>
      <c r="R33" s="18" t="n">
        <v>1973.61</v>
      </c>
      <c r="S33" s="18" t="n">
        <v>1939.68</v>
      </c>
      <c r="T33" s="18" t="n">
        <v>2177.75</v>
      </c>
      <c r="U33" s="34">
        <f>SUM(Q33:T33)</f>
        <v/>
      </c>
      <c r="V33" s="18" t="n">
        <v>1391.39</v>
      </c>
      <c r="W33" s="18" t="n">
        <v>2136.55</v>
      </c>
      <c r="X33" s="18" t="n">
        <v>1920.66</v>
      </c>
      <c r="Y33" s="18" t="n">
        <v>2444.82</v>
      </c>
      <c r="Z33" s="34">
        <f>SUM(V33:Y33)</f>
        <v/>
      </c>
      <c r="AA33" s="18" t="n">
        <v>1890.11</v>
      </c>
      <c r="AB33" s="19" t="n">
        <v>2129.9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34.97</v>
      </c>
      <c r="F34" s="34" t="n"/>
      <c r="G34" s="18" t="n">
        <v>-11.27</v>
      </c>
      <c r="H34" s="18" t="n">
        <v>6.34</v>
      </c>
      <c r="I34" s="18" t="n">
        <v>12.66</v>
      </c>
      <c r="J34" s="18" t="n">
        <v>-95.89</v>
      </c>
      <c r="K34" s="34">
        <f>SUM(G34:J34)</f>
        <v/>
      </c>
      <c r="L34" s="18" t="n">
        <v>-3.5</v>
      </c>
      <c r="M34" s="18" t="n">
        <v>44.5</v>
      </c>
      <c r="N34" s="18" t="n">
        <v>18.84</v>
      </c>
      <c r="O34" s="18" t="n">
        <v>128.84</v>
      </c>
      <c r="P34" s="34">
        <f>SUM(L34:O34)</f>
        <v/>
      </c>
      <c r="Q34" s="18" t="n">
        <v>68.13</v>
      </c>
      <c r="R34" s="18" t="n">
        <v>217.66</v>
      </c>
      <c r="S34" s="18" t="n">
        <v>54.26</v>
      </c>
      <c r="T34" s="18" t="n">
        <v>82.31999999999999</v>
      </c>
      <c r="U34" s="34">
        <f>SUM(Q34:T34)</f>
        <v/>
      </c>
      <c r="V34" s="18" t="n">
        <v>154.52</v>
      </c>
      <c r="W34" s="18" t="n">
        <v>333.48</v>
      </c>
      <c r="X34" s="18" t="n">
        <v>154.26</v>
      </c>
      <c r="Y34" s="18" t="n">
        <v>53.68</v>
      </c>
      <c r="Z34" s="34">
        <f>SUM(V34:Y34)</f>
        <v/>
      </c>
      <c r="AA34" s="18" t="n">
        <v>175.04</v>
      </c>
      <c r="AB34" s="19" t="n">
        <v>249.61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1929.3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11.17</v>
      </c>
    </row>
    <row r="32">
      <c r="C32" s="2" t="inlineStr">
        <is>
          <t>pbr_now</t>
        </is>
      </c>
      <c r="D32" t="n">
        <v>2.26</v>
      </c>
    </row>
    <row r="33">
      <c r="C33" s="2" t="inlineStr">
        <is>
          <t>roe_fwd</t>
        </is>
      </c>
      <c r="D33" t="n">
        <v>0.2022</v>
      </c>
    </row>
    <row r="34">
      <c r="C34" s="2" t="inlineStr">
        <is>
          <t>fair_pbr</t>
        </is>
      </c>
      <c r="D34" t="n">
        <v>2.25</v>
      </c>
    </row>
    <row r="35">
      <c r="C35" s="2" t="inlineStr">
        <is>
          <t>fair_value_pbr</t>
        </is>
      </c>
      <c r="D35" t="n">
        <v>21500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