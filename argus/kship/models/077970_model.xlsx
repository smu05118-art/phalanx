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모델값 역산(implied): v / 매출액
매출액 × 판관비율 7.88%(최근 4분기 중위)</t>
      </text>
    </comment>
    <comment ref="AD22" authorId="0" shapeId="0">
      <text>
        <t>모델값 역산(implied): v / 매출액
매출액 × 판관비율 7.88%(최근 4분기 중위)</t>
      </text>
    </comment>
    <comment ref="AF22" authorId="0" shapeId="0">
      <text>
        <t>모델값 역산(implied): v / 매출액
매출액 × 판관비율 7.88%(최근 4분기 중위)</t>
      </text>
    </comment>
    <comment ref="AG22" authorId="0" shapeId="0">
      <text>
        <t>모델값 역산(implied): v / 매출액
매출액 × 판관비율 7.88%(최근 4분기 중위)</t>
      </text>
    </comment>
    <comment ref="AH22" authorId="0" shapeId="0">
      <text>
        <t>모델값 역산(implied): v / 매출액
매출액 × 판관비율 7.88%(최근 4분기 중위)</t>
      </text>
    </comment>
    <comment ref="AI22" authorId="0" shapeId="0">
      <text>
        <t>모델값 역산(implied): v / 매출액
매출액 × 판관비율 7.88%(최근 4분기 중위)</t>
      </text>
    </comment>
    <comment ref="AK22" authorId="0" shapeId="0">
      <text>
        <t>모델값 역산(implied): v / 매출액
매출액 × 판관비율 7.88%(최근 4분기 중위)</t>
      </text>
    </comment>
    <comment ref="AL22" authorId="0" shapeId="0">
      <text>
        <t>모델값 역산(implied): v / 매출액
매출액 × 판관비율 7.88%(최근 4분기 중위)</t>
      </text>
    </comment>
    <comment ref="AM22" authorId="0" shapeId="0">
      <text>
        <t>모델값 역산(implied): v / 매출액
매출액 × 판관비율 7.88%(최근 4분기 중위)</t>
      </text>
    </comment>
    <comment ref="AN22" authorId="0" shapeId="0">
      <text>
        <t>모델값 역산(implied): v / 매출액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v / 전년동기 − 1
최근 8분기 OPM 중위 8.6% 유지(클립 −20~40%)</t>
      </text>
    </comment>
    <comment ref="AD24" authorId="0" shapeId="0">
      <text>
        <t>모델값 역산(implied): v / 전년동기 − 1
최근 8분기 OPM 중위 8.6% 유지(클립 −20~40%)</t>
      </text>
    </comment>
    <comment ref="AF24" authorId="0" shapeId="0">
      <text>
        <t>모델값 역산(implied): v / 전년동기 − 1
최근 8분기 OPM 중위 8.6% 유지(클립 −20~40%)</t>
      </text>
    </comment>
    <comment ref="AG24" authorId="0" shapeId="0">
      <text>
        <t>모델값 역산(implied): v / 전년동기 − 1
최근 8분기 OPM 중위 8.6% 유지(클립 −20~40%)</t>
      </text>
    </comment>
    <comment ref="AH24" authorId="0" shapeId="0">
      <text>
        <t>모델값 역산(implied): v / 전년동기 − 1
최근 8분기 OPM 중위 8.6% 유지(클립 −20~40%)</t>
      </text>
    </comment>
    <comment ref="AI24" authorId="0" shapeId="0">
      <text>
        <t>모델값 역산(implied): v / 전년동기 − 1
최근 8분기 OPM 중위 8.6% 유지(클립 −20~40%)</t>
      </text>
    </comment>
    <comment ref="AK24" authorId="0" shapeId="0">
      <text>
        <t>모델값 역산(implied): v / 전년동기 − 1
최근 8분기 OPM 중위 8.6% 유지(클립 −20~40%)</t>
      </text>
    </comment>
    <comment ref="AL24" authorId="0" shapeId="0">
      <text>
        <t>모델값 역산(implied): v / 전년동기 − 1
최근 8분기 OPM 중위 8.6% 유지(클립 −20~40%)</t>
      </text>
    </comment>
    <comment ref="AM24" authorId="0" shapeId="0">
      <text>
        <t>모델값 역산(implied): v / 전년동기 − 1
최근 8분기 OPM 중위 8.6% 유지(클립 −20~40%)</t>
      </text>
    </comment>
    <comment ref="AN24" authorId="0" shapeId="0">
      <text>
        <t>모델값 역산(implied): v / 전년동기 − 1
최근 8분기 OPM 중위 8.6% 유지(클립 −20~40%)</t>
      </text>
    </comment>
    <comment ref="AC25" authorId="0" shapeId="0">
      <text>
        <t>모델값 역산(implied): 모델 v 그대로
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1418억 × 2.33%(주석 이자수익 ÷ 평균 이자발생자산(2025Q3~2026Q2)) − 총차입금 3432억 × 3.71%(주석 이자비용 ÷ 평균 총차입금(2025Q3~2026Q2)) (연율) ÷ 4</t>
      </text>
    </comment>
    <comment ref="AD26" authorId="0" shapeId="0">
      <text>
        <t>모델값 역산(implied): 모델 v 그대로
이자발생자산 1542억 × 2.33%(주석 이자수익 ÷ 평균 이자발생자산(2025Q3~2026Q2)) − 총차입금 3432억 × 3.71%(주석 이자비용 ÷ 평균 총차입금(2025Q3~2026Q2)) (연율) ÷ 4</t>
      </text>
    </comment>
    <comment ref="AF26" authorId="0" shapeId="0">
      <text>
        <t>모델값 역산(implied): 모델 v 그대로
이자발생자산 1705억 × 2.33%(주석 이자수익 ÷ 평균 이자발생자산(2025Q3~2026Q2)) − 총차입금 3432억 × 3.71%(주석 이자비용 ÷ 평균 총차입금(2025Q3~2026Q2)) (연율) ÷ 4</t>
      </text>
    </comment>
    <comment ref="AG26" authorId="0" shapeId="0">
      <text>
        <t>모델값 역산(implied): 모델 v 그대로
이자발생자산 1827억 × 2.33%(주석 이자수익 ÷ 평균 이자발생자산(2025Q3~2026Q2)) − 총차입금 3432억 × 3.71%(주석 이자비용 ÷ 평균 총차입금(2025Q3~2026Q2)) (연율) ÷ 4</t>
      </text>
    </comment>
    <comment ref="AH26" authorId="0" shapeId="0">
      <text>
        <t>모델값 역산(implied): 모델 v 그대로
이자발생자산 1968억 × 2.33%(주석 이자수익 ÷ 평균 이자발생자산(2025Q3~2026Q2)) − 총차입금 3432억 × 3.71%(주석 이자비용 ÷ 평균 총차입금(2025Q3~2026Q2)) (연율) ÷ 4</t>
      </text>
    </comment>
    <comment ref="AI26" authorId="0" shapeId="0">
      <text>
        <t>모델값 역산(implied): 모델 v 그대로
이자발생자산 2102억 × 2.33%(주석 이자수익 ÷ 평균 이자발생자산(2025Q3~2026Q2)) − 총차입금 3432억 × 3.71%(주석 이자비용 ÷ 평균 총차입금(2025Q3~2026Q2)) (연율) ÷ 4</t>
      </text>
    </comment>
    <comment ref="AK26" authorId="0" shapeId="0">
      <text>
        <t>모델값 역산(implied): 모델 v 그대로
이자발생자산 2276억 × 2.33%(주석 이자수익 ÷ 평균 이자발생자산(2025Q3~2026Q2)) − 총차입금 3432억 × 3.71%(주석 이자비용 ÷ 평균 총차입금(2025Q3~2026Q2)) (연율) ÷ 4</t>
      </text>
    </comment>
    <comment ref="AL26" authorId="0" shapeId="0">
      <text>
        <t>모델값 역산(implied): 모델 v 그대로
이자발생자산 2408억 × 2.33%(주석 이자수익 ÷ 평균 이자발생자산(2025Q3~2026Q2)) − 총차입금 3432억 × 3.71%(주석 이자비용 ÷ 평균 총차입금(2025Q3~2026Q2)) (연율) ÷ 4</t>
      </text>
    </comment>
    <comment ref="AM26" authorId="0" shapeId="0">
      <text>
        <t>모델값 역산(implied): 모델 v 그대로
이자발생자산 2559억 × 2.33%(주석 이자수익 ÷ 평균 이자발생자산(2025Q3~2026Q2)) − 총차입금 3432억 × 3.71%(주석 이자비용 ÷ 평균 총차입금(2025Q3~2026Q2)) (연율) ÷ 4</t>
      </text>
    </comment>
    <comment ref="AN26" authorId="0" shapeId="0">
      <text>
        <t>모델값 역산(implied): 모델 v 그대로
이자발생자산 2699억 × 2.33%(주석 이자수익 ÷ 평균 이자발생자산(2025Q3~2026Q2)) − 총차입금 3432억 × 3.71%(주석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D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D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F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G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H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I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K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L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M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N31" authorId="0" shapeId="0">
      <text>
        <t>모델값 역산(implied): v / 세전이익
max(세전, 0) × 세율 22.0%(최근 12분기 유효세율 -7.6% 가 5~27% 밖; 세전 &gt; 0 분기 중위 -3.3% 도 5~27% 밖 → 법정세율 근사 22% 가정)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8.6% 유지(클립 −20~40%)
[yoy]</t>
      </text>
    </comment>
    <comment ref="AD10" authorId="0" shapeId="0">
      <text>
        <t>추정: 최근 8분기 OPM 중위 8.6% 유지(클립 −20~40%)
[yoy]</t>
      </text>
    </comment>
    <comment ref="AF10" authorId="0" shapeId="0">
      <text>
        <t>추정: 최근 8분기 OPM 중위 8.6% 유지(클립 −20~40%)
[yoy]</t>
      </text>
    </comment>
    <comment ref="AG10" authorId="0" shapeId="0">
      <text>
        <t>추정: 최근 8분기 OPM 중위 8.6% 유지(클립 −20~40%)
[yoy]</t>
      </text>
    </comment>
    <comment ref="AH10" authorId="0" shapeId="0">
      <text>
        <t>추정: 최근 8분기 OPM 중위 8.6% 유지(클립 −20~40%)
[yoy]</t>
      </text>
    </comment>
    <comment ref="AI10" authorId="0" shapeId="0">
      <text>
        <t>추정: 최근 8분기 OPM 중위 8.6% 유지(클립 −20~40%)
[yoy]</t>
      </text>
    </comment>
    <comment ref="AK10" authorId="0" shapeId="0">
      <text>
        <t>추정: 최근 8분기 OPM 중위 8.6% 유지(클립 −20~40%)
[yoy]</t>
      </text>
    </comment>
    <comment ref="AL10" authorId="0" shapeId="0">
      <text>
        <t>추정: 최근 8분기 OPM 중위 8.6% 유지(클립 −20~40%)
[yoy]</t>
      </text>
    </comment>
    <comment ref="AM10" authorId="0" shapeId="0">
      <text>
        <t>추정: 최근 8분기 OPM 중위 8.6% 유지(클립 −20~40%)
[yoy]</t>
      </text>
    </comment>
    <comment ref="AN10" authorId="0" shapeId="0">
      <text>
        <t>추정: 최근 8분기 OPM 중위 8.6% 유지(클립 −20~40%)
[yoy]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[abs]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[abs]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[abs]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[abs]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[abs]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[abs]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[abs]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[abs]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[abs]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[abs]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[abs]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최근 4분기(2025Q3~2026Q2) 잔차 중위</t>
      </text>
    </comment>
    <comment ref="AD15" authorId="0" shapeId="0">
      <text>
        <t>추정: 최근 4분기(2025Q3~2026Q2) 잔차 중위
[yoy]</t>
      </text>
    </comment>
    <comment ref="AF15" authorId="0" shapeId="0">
      <text>
        <t>추정(가정 셀 참조 불가 — 기준값 없음, 모델값 직접): 최근 4분기(2025Q3~2026Q2) 잔차 중위</t>
      </text>
    </comment>
    <comment ref="AG15" authorId="0" shapeId="0">
      <text>
        <t>추정(가정 셀 참조 불가 — 기준값 없음, 모델값 직접): 최근 4분기(2025Q3~2026Q2) 잔차 중위</t>
      </text>
    </comment>
    <comment ref="AH15" authorId="0" shapeId="0">
      <text>
        <t>추정(가정 셀 참조 불가 — 기준값 없음, 모델값 직접): 최근 4분기(2025Q3~2026Q2) 잔차 중위</t>
      </text>
    </comment>
    <comment ref="AI15" authorId="0" shapeId="0">
      <text>
        <t>추정(가정 셀 참조 불가 — 기준값 없음, 모델값 직접): 최근 4분기(2025Q3~2026Q2) 잔차 중위</t>
      </text>
    </comment>
    <comment ref="AK15" authorId="0" shapeId="0">
      <text>
        <t>추정(가정 셀 참조 불가 — 기준값 없음, 모델값 직접): 최근 4분기(2025Q3~2026Q2) 잔차 중위</t>
      </text>
    </comment>
    <comment ref="AL15" authorId="0" shapeId="0">
      <text>
        <t>추정(가정 셀 참조 불가 — 기준값 없음, 모델값 직접): 최근 4분기(2025Q3~2026Q2) 잔차 중위</t>
      </text>
    </comment>
    <comment ref="AM15" authorId="0" shapeId="0">
      <text>
        <t>추정(가정 셀 참조 불가 — 기준값 없음, 모델값 직접): 최근 4분기(2025Q3~2026Q2) 잔차 중위</t>
      </text>
    </comment>
    <comment ref="AN15" authorId="0" shapeId="0">
      <text>
        <t>추정(가정 셀 참조 불가 — 기준값 없음, 모델값 직접): 최근 4분기(2025Q3~2026Q2) 잔차 중위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추정(가정 셀 참조 불가 — 기준값 없음, 모델값 직접): 직전 결산 DPS 0원 유지</t>
      </text>
    </comment>
    <comment ref="AI34" authorId="0" shapeId="0">
      <text>
        <t>추정(가정 셀 참조 불가 — 기준값 없음, 모델값 직접): 직전 결산 DPS 0원 유지</t>
      </text>
    </comment>
    <comment ref="AN34" authorId="0" shapeId="0">
      <text>
        <t>추정(가정 셀 참조 불가 — 기준값 없음, 모델값 직접): 직전 결산 DPS 0원 유지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assets/models/077970.json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20700</v>
      </c>
      <c r="W15" s="18" t="n">
        <v>21600</v>
      </c>
      <c r="X15" s="18" t="n">
        <v>39550</v>
      </c>
      <c r="Y15" s="18" t="n">
        <v>34000</v>
      </c>
      <c r="Z15" s="9" t="n"/>
      <c r="AA15" s="18" t="n">
        <v>30600</v>
      </c>
      <c r="AB15" s="19" t="n">
        <v>29300</v>
      </c>
      <c r="AC15" s="20" t="n">
        <v>22200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30450</v>
      </c>
      <c r="X16" s="18" t="n">
        <v>49800</v>
      </c>
      <c r="Y16" s="18" t="n">
        <v>41850</v>
      </c>
      <c r="Z16" s="9" t="n"/>
      <c r="AA16" s="18" t="n">
        <v>40650</v>
      </c>
      <c r="AB16" s="19" t="n">
        <v>67700</v>
      </c>
      <c r="AC16" s="20" t="n">
        <v>31950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18180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24305.9</v>
      </c>
      <c r="W18" s="18" t="n">
        <v>23145</v>
      </c>
      <c r="X18" s="18" t="n">
        <v>32200</v>
      </c>
      <c r="Y18" s="18" t="n">
        <v>35330.5</v>
      </c>
      <c r="Z18" s="9" t="n"/>
      <c r="AA18" s="18" t="n">
        <v>34367.8</v>
      </c>
      <c r="AB18" s="19" t="n">
        <v>41451.6</v>
      </c>
      <c r="AC18" s="20" t="n">
        <v>24900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0.096807</v>
      </c>
      <c r="AD21" s="24" t="n">
        <v>0.096803</v>
      </c>
      <c r="AE21" s="25" t="n"/>
      <c r="AF21" s="24" t="n">
        <v>0.096807</v>
      </c>
      <c r="AG21" s="24" t="n">
        <v>0.096804</v>
      </c>
      <c r="AH21" s="24" t="n">
        <v>0.0484</v>
      </c>
      <c r="AI21" s="24" t="n">
        <v>0.048402</v>
      </c>
      <c r="AJ21" s="25" t="n"/>
      <c r="AK21" s="24" t="n">
        <v>0.048401</v>
      </c>
      <c r="AL21" s="24" t="n">
        <v>0.048402</v>
      </c>
      <c r="AM21" s="24" t="n">
        <v>0.024201</v>
      </c>
      <c r="AN21" s="24" t="n">
        <v>0.024203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0.078781</v>
      </c>
      <c r="AD22" s="24" t="n">
        <v>0.07878499999999999</v>
      </c>
      <c r="AE22" s="25">
        <f>IFERROR(subQ!AE8/subQ!AE5,"")</f>
        <v/>
      </c>
      <c r="AF22" s="24" t="n">
        <v>0.078781</v>
      </c>
      <c r="AG22" s="24" t="n">
        <v>0.078782</v>
      </c>
      <c r="AH22" s="24" t="n">
        <v>0.07878499999999999</v>
      </c>
      <c r="AI22" s="24" t="n">
        <v>0.07878300000000001</v>
      </c>
      <c r="AJ22" s="25">
        <f>IFERROR(subQ!AJ8/subQ!AJ5,"")</f>
        <v/>
      </c>
      <c r="AK22" s="24" t="n">
        <v>0.07878400000000001</v>
      </c>
      <c r="AL22" s="24" t="n">
        <v>0.078782</v>
      </c>
      <c r="AM22" s="24" t="n">
        <v>0.07878400000000001</v>
      </c>
      <c r="AN22" s="24" t="n">
        <v>0.07878300000000001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</v>
      </c>
      <c r="AD23" s="24" t="n">
        <v>0.08646</v>
      </c>
      <c r="AE23" s="25">
        <f>IFERROR(subQ!AE9/subQ!AE5,"")</f>
        <v/>
      </c>
      <c r="AF23" s="24" t="n">
        <v>0.086461</v>
      </c>
      <c r="AG23" s="24" t="n">
        <v>0.086461</v>
      </c>
      <c r="AH23" s="24" t="n">
        <v>0.08645899999999999</v>
      </c>
      <c r="AI23" s="24" t="n">
        <v>0.086463</v>
      </c>
      <c r="AJ23" s="25">
        <f>IFERROR(subQ!AJ9/subQ!AJ5,"")</f>
        <v/>
      </c>
      <c r="AK23" s="24" t="n">
        <v>0.086463</v>
      </c>
      <c r="AL23" s="24" t="n">
        <v>0.086463</v>
      </c>
      <c r="AM23" s="24" t="n">
        <v>0.08645899999999999</v>
      </c>
      <c r="AN23" s="24" t="n">
        <v>0.086462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0.07721</v>
      </c>
      <c r="AD24" s="24" t="n">
        <v>2.931818</v>
      </c>
      <c r="AE24" s="25" t="n"/>
      <c r="AF24" s="24" t="n">
        <v>-0.065875</v>
      </c>
      <c r="AG24" s="24" t="n">
        <v>-0.261945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-23.57</v>
      </c>
      <c r="AD25" s="29" t="n">
        <v>-22.85</v>
      </c>
      <c r="AE25" s="30">
        <f>subQ!AE11</f>
        <v/>
      </c>
      <c r="AF25" s="29" t="n">
        <v>-21.9</v>
      </c>
      <c r="AG25" s="29" t="n">
        <v>-21.19</v>
      </c>
      <c r="AH25" s="29" t="n">
        <v>-20.37</v>
      </c>
      <c r="AI25" s="29" t="n">
        <v>-19.59</v>
      </c>
      <c r="AJ25" s="30">
        <f>subQ!AJ11</f>
        <v/>
      </c>
      <c r="AK25" s="29" t="n">
        <v>-18.58</v>
      </c>
      <c r="AL25" s="29" t="n">
        <v>-17.81</v>
      </c>
      <c r="AM25" s="29" t="n">
        <v>-16.93</v>
      </c>
      <c r="AN25" s="29" t="n">
        <v>-16.12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-23.57</v>
      </c>
      <c r="AD26" s="29" t="n">
        <v>-22.85</v>
      </c>
      <c r="AE26" s="30">
        <f>subQ!AE12</f>
        <v/>
      </c>
      <c r="AF26" s="29" t="n">
        <v>-21.9</v>
      </c>
      <c r="AG26" s="29" t="n">
        <v>-21.19</v>
      </c>
      <c r="AH26" s="29" t="n">
        <v>-20.37</v>
      </c>
      <c r="AI26" s="29" t="n">
        <v>-19.59</v>
      </c>
      <c r="AJ26" s="30">
        <f>subQ!AJ12</f>
        <v/>
      </c>
      <c r="AK26" s="29" t="n">
        <v>-18.58</v>
      </c>
      <c r="AL26" s="29" t="n">
        <v>-17.81</v>
      </c>
      <c r="AM26" s="29" t="n">
        <v>-16.93</v>
      </c>
      <c r="AN26" s="29" t="n">
        <v>-16.12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24" t="n">
        <v>-1</v>
      </c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0.21998</v>
      </c>
      <c r="AD31" s="24" t="n">
        <v>0.220011</v>
      </c>
      <c r="AE31" s="25">
        <f>IFERROR(subQ!AE18/subQ!AE17,"")</f>
        <v/>
      </c>
      <c r="AF31" s="24" t="n">
        <v>0.219969</v>
      </c>
      <c r="AG31" s="24" t="n">
        <v>0.219979</v>
      </c>
      <c r="AH31" s="24" t="n">
        <v>0.220014</v>
      </c>
      <c r="AI31" s="24" t="n">
        <v>0.219985</v>
      </c>
      <c r="AJ31" s="25">
        <f>IFERROR(subQ!AJ18/subQ!AJ17,"")</f>
        <v/>
      </c>
      <c r="AK31" s="24" t="n">
        <v>0.219972</v>
      </c>
      <c r="AL31" s="24" t="n">
        <v>0.220005</v>
      </c>
      <c r="AM31" s="24" t="n">
        <v>0.219996</v>
      </c>
      <c r="AN31" s="24" t="n">
        <v>0.219989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1e-06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0.0031</v>
      </c>
      <c r="AD34" s="29" t="n">
        <v>-0.01</v>
      </c>
      <c r="AE34" s="30" t="n"/>
      <c r="AF34" s="29" t="n">
        <v>0</v>
      </c>
      <c r="AG34" s="29" t="n">
        <v>0.01</v>
      </c>
      <c r="AH34" s="29" t="n">
        <v>0</v>
      </c>
      <c r="AI34" s="29" t="n">
        <v>0</v>
      </c>
      <c r="AJ34" s="30" t="n"/>
      <c r="AK34" s="29" t="n">
        <v>0</v>
      </c>
      <c r="AL34" s="29" t="n">
        <v>-0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0.0031</v>
      </c>
      <c r="AD35" s="29" t="n">
        <v>-0.01</v>
      </c>
      <c r="AE35" s="30" t="n"/>
      <c r="AF35" s="29" t="n">
        <v>0</v>
      </c>
      <c r="AG35" s="29" t="n">
        <v>0.01</v>
      </c>
      <c r="AH35" s="29" t="n">
        <v>0</v>
      </c>
      <c r="AI35" s="29" t="n">
        <v>0</v>
      </c>
      <c r="AJ35" s="30" t="n"/>
      <c r="AK35" s="29" t="n">
        <v>0</v>
      </c>
      <c r="AL35" s="29" t="n">
        <v>-0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1e-06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-0.057665</v>
      </c>
      <c r="AD37" s="24" t="n">
        <v>-0.08065899999999999</v>
      </c>
      <c r="AE37" s="25" t="n"/>
      <c r="AF37" s="24" t="n">
        <v>-0.06604699999999999</v>
      </c>
      <c r="AG37" s="24" t="n">
        <v>-0.081257</v>
      </c>
      <c r="AH37" s="24" t="n">
        <v>-0.083458</v>
      </c>
      <c r="AI37" s="24" t="n">
        <v>-0.119286</v>
      </c>
      <c r="AJ37" s="25" t="n"/>
      <c r="AK37" s="24" t="n">
        <v>-0.102629</v>
      </c>
      <c r="AL37" s="24" t="n">
        <v>-0.130991</v>
      </c>
      <c r="AM37" s="24" t="n">
        <v>-0.138839</v>
      </c>
      <c r="AN37" s="24" t="n">
        <v>-0.210131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0.087217</v>
      </c>
      <c r="AD38" s="24" t="n">
        <v>0.105731</v>
      </c>
      <c r="AE38" s="25" t="n"/>
      <c r="AF38" s="24" t="n">
        <v>0.071987</v>
      </c>
      <c r="AG38" s="24" t="n">
        <v>0.077166</v>
      </c>
      <c r="AH38" s="24" t="n">
        <v>0.067595</v>
      </c>
      <c r="AI38" s="24" t="n">
        <v>0.082938</v>
      </c>
      <c r="AJ38" s="25" t="n"/>
      <c r="AK38" s="24" t="n">
        <v>0.05804</v>
      </c>
      <c r="AL38" s="24" t="n">
        <v>0.062821</v>
      </c>
      <c r="AM38" s="24" t="n">
        <v>0.05445</v>
      </c>
      <c r="AN38" s="24" t="n">
        <v>0.06729499999999999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-0.248714</v>
      </c>
      <c r="AD44" s="24" t="n">
        <v>-0.305525</v>
      </c>
      <c r="AE44" s="25" t="n"/>
      <c r="AF44" s="24" t="n">
        <v>-0.254081</v>
      </c>
      <c r="AG44" s="24" t="n">
        <v>-0.362272</v>
      </c>
      <c r="AH44" s="24" t="n">
        <v>0.175799</v>
      </c>
      <c r="AI44" s="24" t="n">
        <v>0.181747</v>
      </c>
      <c r="AJ44" s="25" t="n"/>
      <c r="AK44" s="24" t="n">
        <v>0.086798</v>
      </c>
      <c r="AL44" s="24" t="n">
        <v>-0.068702</v>
      </c>
      <c r="AM44" s="24" t="n">
        <v>-0.062136</v>
      </c>
      <c r="AN44" s="24" t="n">
        <v>-0.055446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-0.439898</v>
      </c>
      <c r="AD45" s="24" t="n">
        <v>-0.491525</v>
      </c>
      <c r="AE45" s="25" t="n"/>
      <c r="AF45" s="24" t="n">
        <v>-0.467363</v>
      </c>
      <c r="AG45" s="24" t="n">
        <v>-0.546083</v>
      </c>
      <c r="AH45" s="24" t="n">
        <v>-0.123288</v>
      </c>
      <c r="AI45" s="24" t="n">
        <v>-0.119048</v>
      </c>
      <c r="AJ45" s="25" t="n"/>
      <c r="AK45" s="24" t="n">
        <v>-0.122549</v>
      </c>
      <c r="AL45" s="24" t="n">
        <v>-0.116751</v>
      </c>
      <c r="AM45" s="24" t="n">
        <v>-0.119792</v>
      </c>
      <c r="AN45" s="24" t="n">
        <v>-0.118919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0.086462</v>
      </c>
      <c r="AD47" s="24" t="n">
        <v>0.08646</v>
      </c>
      <c r="AE47" s="25">
        <f>IFERROR(subQ!AE38/subQ!AE37,"")</f>
        <v/>
      </c>
      <c r="AF47" s="24" t="n">
        <v>0.086461</v>
      </c>
      <c r="AG47" s="24" t="n">
        <v>0.086461</v>
      </c>
      <c r="AH47" s="24" t="n">
        <v>0.08645899999999999</v>
      </c>
      <c r="AI47" s="24" t="n">
        <v>0.086463</v>
      </c>
      <c r="AJ47" s="25">
        <f>IFERROR(subQ!AJ38/subQ!AJ37,"")</f>
        <v/>
      </c>
      <c r="AK47" s="24" t="n">
        <v>0.086463</v>
      </c>
      <c r="AL47" s="24" t="n">
        <v>0.086463</v>
      </c>
      <c r="AM47" s="24" t="n">
        <v>0.08645899999999999</v>
      </c>
      <c r="AN47" s="24" t="n">
        <v>0.086462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21550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14.9</v>
      </c>
      <c r="E53" s="2" t="inlineStr">
        <is>
          <t>PER 밴드 하단(배) — hist_quarterly(분기 평균가 ÷ TTM EPS, 11분기,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17.5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24.6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0.22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0.0788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4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4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4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4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4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4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4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4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4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4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4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4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4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4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4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4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4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4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4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4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4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4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4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4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4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4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4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4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4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4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4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4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4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4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4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4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4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4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4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4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4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4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4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4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4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4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4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4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4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4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4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4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4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4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4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4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4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4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4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4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4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4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4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4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4" t="n">
        <v>116</v>
      </c>
      <c r="G23" s="18" t="n">
        <v>137</v>
      </c>
      <c r="H23" s="18" t="n">
        <v>309</v>
      </c>
      <c r="J23" s="18" t="n">
        <v>7908</v>
      </c>
      <c r="K23" s="34" t="n">
        <v>7908</v>
      </c>
      <c r="O23" s="18" t="n">
        <v>8544</v>
      </c>
      <c r="P23" s="34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4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4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4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4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4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4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4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4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4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4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4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4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4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4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4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4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4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4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4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4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4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4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4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4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4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4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4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4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4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4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4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4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4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4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4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4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4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4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4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4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4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4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4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4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4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4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4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4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4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4" t="n">
        <v>0</v>
      </c>
      <c r="W33" s="18" t="n">
        <v>136.47</v>
      </c>
      <c r="Y33" s="18" t="n">
        <v>365.37</v>
      </c>
      <c r="Z33" s="34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4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4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4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4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4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4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4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4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4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4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4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4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4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4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4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4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4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4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4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4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4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4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4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4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4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4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4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4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4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4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4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4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4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4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4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4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4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4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4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4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4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4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4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4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4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4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4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4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4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4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4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4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4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4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4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4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4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4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4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4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4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4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4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4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4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4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4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4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4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4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4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4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4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4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4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4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4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4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4" t="n">
        <v>517</v>
      </c>
      <c r="L54" s="18" t="n">
        <v>538</v>
      </c>
      <c r="O54" s="18" t="n">
        <v>678</v>
      </c>
      <c r="P54" s="34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4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4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246</v>
      </c>
      <c r="P55" s="34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4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4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4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4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V59" s="18" t="n">
        <v>0</v>
      </c>
      <c r="Y59" s="18" t="n">
        <v>0</v>
      </c>
      <c r="Z59" s="34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4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4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4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4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4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4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4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4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4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4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4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4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4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4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4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4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4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4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4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4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4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4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4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4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4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4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4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4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4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4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4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4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4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4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4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4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4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4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4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4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4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4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4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4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4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4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4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4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4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4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4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4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4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4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4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4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4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4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4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4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4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4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4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4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4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4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4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4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4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4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4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4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4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4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4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4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4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4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4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4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4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4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4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4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4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4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4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4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4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4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4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4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4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4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4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4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4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4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4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4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4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4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4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4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4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4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4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4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4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4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4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4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4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4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4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4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4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4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4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4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4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4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4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4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4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4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4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4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4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4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4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4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4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4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4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4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4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4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4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4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4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4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4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4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4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4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4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4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4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4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4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4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4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4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4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4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4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4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4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4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4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4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4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4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4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4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4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4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4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4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W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4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4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4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4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4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4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4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4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4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4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4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4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4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4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4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4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4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4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4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4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4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4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4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4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4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4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4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4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4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4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4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4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4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4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4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4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4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4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4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4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4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4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4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4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4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4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4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4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4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4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4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4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4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4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4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4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4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4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4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4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4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4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4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4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4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4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4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4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4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4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4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4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4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4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4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4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4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4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4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4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4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4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4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4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4" t="n">
        <v>0</v>
      </c>
      <c r="W35" s="18" t="n">
        <v>136.47</v>
      </c>
      <c r="Y35" s="18" t="n">
        <v>365.37</v>
      </c>
      <c r="Z35" s="34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4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4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4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4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4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4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4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4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4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4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4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4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4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4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4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4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4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4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4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4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4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4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4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4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4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4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4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4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4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4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4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4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4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4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4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4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4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4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4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4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4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4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4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4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4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4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4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4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4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4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4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4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4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4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4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4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4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4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4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4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4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4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4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4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4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4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4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4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4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4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4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4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4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4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4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4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4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4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245</v>
      </c>
      <c r="P55" s="34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4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4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4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4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4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4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4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4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4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4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4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4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4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4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4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4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4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4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4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4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4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4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4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4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4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4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4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4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4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4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4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4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4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4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4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4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4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4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4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4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4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4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4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4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4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4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4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4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4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4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4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4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4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4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4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4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4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4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4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4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4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4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4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4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4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4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4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4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4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4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4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4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4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4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4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4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4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4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4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4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4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4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4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4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4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4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4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4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4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4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4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4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4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4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4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4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4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4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4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4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4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4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4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4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4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4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4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4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4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4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4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4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4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4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4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4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4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4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4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4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4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4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4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4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4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0.021</v>
      </c>
      <c r="F10" s="34" t="n"/>
      <c r="G10" s="18" t="n">
        <v>-0.0101</v>
      </c>
      <c r="H10" s="18" t="n">
        <v>0.006</v>
      </c>
      <c r="I10" s="18" t="n">
        <v>0.0092</v>
      </c>
      <c r="J10" s="18" t="n">
        <v>-0.0505</v>
      </c>
      <c r="K10" s="34">
        <f>SUM(G10:J10)</f>
        <v/>
      </c>
      <c r="L10" s="18" t="n">
        <v>-0.003</v>
      </c>
      <c r="M10" s="18" t="n">
        <v>0.0272</v>
      </c>
      <c r="N10" s="18" t="n">
        <v>0.0136</v>
      </c>
      <c r="O10" s="18" t="n">
        <v>0.0609</v>
      </c>
      <c r="P10" s="34">
        <f>SUM(L10:O10)</f>
        <v/>
      </c>
      <c r="Q10" s="18" t="n">
        <v>0.059</v>
      </c>
      <c r="R10" s="18" t="n">
        <v>0.1103</v>
      </c>
      <c r="S10" s="18" t="n">
        <v>0.028</v>
      </c>
      <c r="T10" s="18" t="n">
        <v>0.0378</v>
      </c>
      <c r="U10" s="34">
        <f>SUM(Q10:T10)</f>
        <v/>
      </c>
      <c r="V10" s="18" t="n">
        <v>0.1111</v>
      </c>
      <c r="W10" s="18" t="n">
        <v>0.1561</v>
      </c>
      <c r="X10" s="18" t="n">
        <v>0.0803</v>
      </c>
      <c r="Y10" s="18" t="n">
        <v>0.022</v>
      </c>
      <c r="Z10" s="34">
        <f>SUM(V10:Y10)</f>
        <v/>
      </c>
      <c r="AA10" s="18" t="n">
        <v>0.0926</v>
      </c>
      <c r="AB10" s="19" t="n">
        <v>0.1172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>
        <v>-43.37</v>
      </c>
      <c r="W13" s="18" t="n">
        <v>-11.77</v>
      </c>
      <c r="X13" s="18" t="n">
        <v>-6.8</v>
      </c>
      <c r="Y13" s="18" t="n">
        <v>-1</v>
      </c>
      <c r="Z13" s="34">
        <f>SUM(V13:Y13)</f>
        <v/>
      </c>
      <c r="AA13" s="18" t="n">
        <v>-10.84</v>
      </c>
      <c r="AB13" s="19" t="n">
        <v>-18.86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>
        <v>19.84</v>
      </c>
      <c r="W14" s="18" t="n">
        <v>3.03</v>
      </c>
      <c r="X14" s="18" t="n">
        <v>14.11</v>
      </c>
      <c r="Y14" s="18" t="n">
        <v>8.26</v>
      </c>
      <c r="Z14" s="34">
        <f>SUM(V14:Y14)</f>
        <v/>
      </c>
      <c r="AA14" s="18" t="n">
        <v>12.61</v>
      </c>
      <c r="AB14" s="19" t="n">
        <v>13.27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>
        <v>-0.01</v>
      </c>
      <c r="W15" s="18" t="n">
        <v>0</v>
      </c>
      <c r="X15" s="18" t="n">
        <v>0</v>
      </c>
      <c r="Y15" s="18" t="n">
        <v>0.15</v>
      </c>
      <c r="Z15" s="34">
        <f>SUM(V15:Y15)</f>
        <v/>
      </c>
      <c r="AA15" s="18" t="n">
        <v>0</v>
      </c>
      <c r="AB15" s="19" t="n">
        <v>0</v>
      </c>
      <c r="AC15" s="20" t="n">
        <v>0</v>
      </c>
      <c r="AD15" s="20">
        <f>IFERROR(Y15*(1+변수!AD29),"")</f>
        <v/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106.23</v>
      </c>
      <c r="F30" s="34" t="n"/>
      <c r="G30" s="18" t="n">
        <v>224.13</v>
      </c>
      <c r="H30" s="18" t="n">
        <v>-157.4</v>
      </c>
      <c r="I30" s="18" t="n">
        <v>-178.7</v>
      </c>
      <c r="J30" s="18" t="n">
        <v>377.75</v>
      </c>
      <c r="K30" s="34">
        <f>SUM(G30:J30)</f>
        <v/>
      </c>
      <c r="L30" s="18" t="n">
        <v>-292.92</v>
      </c>
      <c r="M30" s="18" t="n">
        <v>147.28</v>
      </c>
      <c r="N30" s="18" t="n">
        <v>-201.07</v>
      </c>
      <c r="O30" s="18" t="n">
        <v>213.94</v>
      </c>
      <c r="P30" s="34">
        <f>SUM(L30:O30)</f>
        <v/>
      </c>
      <c r="Q30" s="18" t="n">
        <v>-123.74</v>
      </c>
      <c r="R30" s="18" t="n">
        <v>-174.87</v>
      </c>
      <c r="S30" s="18" t="n">
        <v>-13.49</v>
      </c>
      <c r="T30" s="18" t="n">
        <v>679.22</v>
      </c>
      <c r="U30" s="34">
        <f>SUM(Q30:T30)</f>
        <v/>
      </c>
      <c r="V30" s="18" t="n">
        <v>-461.57</v>
      </c>
      <c r="W30" s="18" t="n">
        <v>595.3200000000001</v>
      </c>
      <c r="X30" s="18" t="n">
        <v>583.1799999999999</v>
      </c>
      <c r="Y30" s="18" t="n">
        <v>11.77</v>
      </c>
      <c r="Z30" s="34">
        <f>SUM(V30:Y30)</f>
        <v/>
      </c>
      <c r="AA30" s="18" t="n">
        <v>-763.3200000000001</v>
      </c>
      <c r="AB30" s="19" t="n">
        <v>193.19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23</v>
      </c>
      <c r="F31" s="27">
        <f>E31</f>
        <v/>
      </c>
      <c r="G31" s="26" t="n">
        <v>23</v>
      </c>
      <c r="H31" s="26" t="n">
        <v>23</v>
      </c>
      <c r="I31" s="26" t="n">
        <v>23</v>
      </c>
      <c r="J31" s="26" t="n">
        <v>23</v>
      </c>
      <c r="K31" s="27">
        <f>J31</f>
        <v/>
      </c>
      <c r="L31" s="26" t="n">
        <v>23</v>
      </c>
      <c r="M31" s="26" t="n">
        <v>23</v>
      </c>
      <c r="N31" s="26" t="n">
        <v>23</v>
      </c>
      <c r="O31" s="26" t="n">
        <v>23</v>
      </c>
      <c r="P31" s="27">
        <f>O31</f>
        <v/>
      </c>
      <c r="Q31" s="26" t="n">
        <v>23</v>
      </c>
      <c r="R31" s="26" t="n">
        <v>23</v>
      </c>
      <c r="S31" s="26" t="n">
        <v>23</v>
      </c>
      <c r="T31" s="26" t="n">
        <v>23</v>
      </c>
      <c r="U31" s="27">
        <f>T31</f>
        <v/>
      </c>
      <c r="V31" s="26" t="n">
        <v>23</v>
      </c>
      <c r="W31" s="26" t="n">
        <v>40.139</v>
      </c>
      <c r="X31" s="26" t="n">
        <v>40.139</v>
      </c>
      <c r="Y31" s="26" t="n">
        <v>40.139</v>
      </c>
      <c r="Z31" s="27">
        <f>Y31</f>
        <v/>
      </c>
      <c r="AA31" s="26" t="n">
        <v>40.139</v>
      </c>
      <c r="AB31" s="28" t="n">
        <v>40.139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0</v>
      </c>
      <c r="U34" s="34">
        <f>SUM(Q34:T34)</f>
        <v/>
      </c>
      <c r="V34" s="18" t="n"/>
      <c r="W34" s="18" t="n"/>
      <c r="X34" s="18" t="n"/>
      <c r="Y34" s="18" t="n">
        <v>0</v>
      </c>
      <c r="Z34" s="34">
        <f>SUM(V34:Y34)</f>
        <v/>
      </c>
      <c r="AA34" s="18" t="n"/>
      <c r="AB34" s="19" t="n"/>
      <c r="AC34" s="20" t="n"/>
      <c r="AD34" s="20" t="n">
        <v>0</v>
      </c>
      <c r="AE34" s="35">
        <f>SUM(AA34:AD34)</f>
        <v/>
      </c>
      <c r="AF34" s="20" t="n"/>
      <c r="AG34" s="20" t="n"/>
      <c r="AH34" s="20" t="n"/>
      <c r="AI34" s="20" t="n">
        <v>0</v>
      </c>
      <c r="AJ34" s="35">
        <f>SUM(AF34:AI34)</f>
        <v/>
      </c>
      <c r="AK34" s="20" t="n"/>
      <c r="AL34" s="20" t="n"/>
      <c r="AM34" s="20" t="n"/>
      <c r="AN34" s="20" t="n">
        <v>0</v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>
        <v>48.34</v>
      </c>
      <c r="P35" s="34">
        <f>SUM(L35:O35)</f>
        <v/>
      </c>
      <c r="Q35" s="18" t="n">
        <v>25.32</v>
      </c>
      <c r="R35" s="18" t="n">
        <v>13.1</v>
      </c>
      <c r="S35" s="18" t="n">
        <v>14.87</v>
      </c>
      <c r="T35" s="18" t="n">
        <v>16.61</v>
      </c>
      <c r="U35" s="34">
        <f>SUM(Q35:T35)</f>
        <v/>
      </c>
      <c r="V35" s="18" t="n">
        <v>15.81</v>
      </c>
      <c r="W35" s="18" t="n">
        <v>14.58</v>
      </c>
      <c r="X35" s="18" t="n">
        <v>17.49</v>
      </c>
      <c r="Y35" s="18" t="n">
        <v>18.46</v>
      </c>
      <c r="Z35" s="34">
        <f>SUM(V35:Y35)</f>
        <v/>
      </c>
      <c r="AA35" s="18" t="n">
        <v>18.38</v>
      </c>
      <c r="AB35" s="19" t="n">
        <v>24.65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0.82</v>
      </c>
      <c r="F36" s="34" t="n">
        <v>0.78</v>
      </c>
      <c r="G36" s="18" t="n">
        <v>0.97</v>
      </c>
      <c r="H36" s="18" t="n">
        <v>1.13</v>
      </c>
      <c r="I36" s="18" t="n">
        <v>1.25</v>
      </c>
      <c r="J36" s="18" t="n">
        <v>1.17</v>
      </c>
      <c r="K36" s="34">
        <f>SUM(G36:J36)</f>
        <v/>
      </c>
      <c r="L36" s="18" t="n">
        <v>1.2</v>
      </c>
      <c r="M36" s="18" t="n">
        <v>1.19</v>
      </c>
      <c r="N36" s="18" t="n">
        <v>1.26</v>
      </c>
      <c r="O36" s="18" t="n">
        <v>1.06</v>
      </c>
      <c r="P36" s="34">
        <f>SUM(L36:O36)</f>
        <v/>
      </c>
      <c r="Q36" s="18" t="n">
        <v>1.1</v>
      </c>
      <c r="R36" s="18" t="n">
        <v>1.2</v>
      </c>
      <c r="S36" s="18" t="n">
        <v>1.5</v>
      </c>
      <c r="T36" s="18" t="n">
        <v>1.63</v>
      </c>
      <c r="U36" s="34">
        <f>SUM(Q36:T36)</f>
        <v/>
      </c>
      <c r="V36" s="18" t="n">
        <v>1.96</v>
      </c>
      <c r="W36" s="18" t="n">
        <v>2.95</v>
      </c>
      <c r="X36" s="18" t="n">
        <v>3.91</v>
      </c>
      <c r="Y36" s="18" t="n">
        <v>4.13</v>
      </c>
      <c r="Z36" s="34">
        <f>SUM(V36:Y36)</f>
        <v/>
      </c>
      <c r="AA36" s="18" t="n">
        <v>3.83</v>
      </c>
      <c r="AB36" s="19" t="n">
        <v>4.34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4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4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4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4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4">
        <f>SUM(V37:Y37)</f>
        <v/>
      </c>
      <c r="AA37" s="18" t="n">
        <v>1890.11</v>
      </c>
      <c r="AB37" s="19" t="n">
        <v>2129.9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4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4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4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4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4">
        <f>SUM(V38:Y38)</f>
        <v/>
      </c>
      <c r="AA38" s="18" t="n">
        <v>175.04</v>
      </c>
      <c r="AB38" s="19" t="n">
        <v>249.61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15.72</v>
      </c>
    </row>
    <row r="32">
      <c r="C32" s="2" t="inlineStr">
        <is>
          <t>pbr_now</t>
        </is>
      </c>
      <c r="D32" t="n">
        <v>2.26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