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D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F28" authorId="0" shapeId="0">
      <text>
        <t>모델값 역산(implied): v / 세전이익 · 모델 가정 tax_schedule 0.0275(r4)
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G28" authorId="0" shapeId="0">
      <text>
        <t>모델값 역산(implied): v / 세전이익 · 모델 가정 tax_schedule 0.055(r4)
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H28" authorId="0" shapeId="0">
      <text>
        <t>모델값 역산(implied): v / 세전이익 · 모델 가정 tax_schedule 0.0825(r4)
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I28" authorId="0" shapeId="0">
      <text>
        <t>모델값 역산(implied): v / 세전이익 · 모델 가정 tax_schedule 0.11(r4)
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K28" authorId="0" shapeId="0">
      <text>
        <t>모델값 역산(implied): v / 세전이익 · 모델 가정 tax_schedule 0.1375(r4)
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L28" authorId="0" shapeId="0">
      <text>
        <t>모델값 역산(implied): v / 세전이익 · 모델 가정 tax_schedule 0.165(r4)
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M28" authorId="0" shapeId="0">
      <text>
        <t>모델값 역산(implied): v / 세전이익 · 모델 가정 tax_schedule 0.1925(r4)
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N28" authorId="0" shapeId="0">
      <text>
        <t>모델값 역산(implied): v / 세전이익 · 모델 가정 tax_schedule 0.22(r4)
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1577억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1786억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1939억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2111억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2268억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2468억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2615억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2778억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2923억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1577억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1786억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1939억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2111억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2268억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2468억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2615억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2778억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2923억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D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F18" authorId="0" shapeId="0">
      <text>
        <t>추정: 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G18" authorId="0" shapeId="0">
      <text>
        <t>추정: 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H18" authorId="0" shapeId="0">
      <text>
        <t>추정: 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I18" authorId="0" shapeId="0">
      <text>
        <t>추정: 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K18" authorId="0" shapeId="0">
      <text>
        <t>추정: 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L18" authorId="0" shapeId="0">
      <text>
        <t>추정: 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M18" authorId="0" shapeId="0">
      <text>
        <t>추정: 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N18" authorId="0" shapeId="0">
      <text>
        <t>추정: 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법인세율 이월결손 경로: 최근 양(+)세전 8분기 유효세율 중위 -3.3% → 0.0% 를 2026Q4 까지 유지, 2027Q1~2028Q4 선형 램프로 법정세율 근사 22% 수렴 — 결손 잔액·만기는 주석 미파싱(추정) / 감가상각비가 face·CF 에 없음(주석 미파싱) → EBITDA·EV/EBITDA 미산출</t>
        </is>
      </c>
    </row>
    <row r="34">
      <c r="A34" t="inlineStr">
        <is>
          <t>백테스트: {"freeze": "2025Q2", "horizon": 4, "revenue_wape_pct": 20.9, "op_wape_pct": 48.8, "n": 4, "note": "단일 회사 4분기 — 통계 아님", "driver_at_freeze": "customer_yard_revenue_weighted", "selection_oos_at_freeze": {"freeze": "2024Q2", "n": 4, "wape_link": null, "wape_trend": 9.2, "adopted": "undetermined", "decision": "undetermined", "note": "현재 채택 조합(suppliers_mentions·시차 3·ma4·창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19810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19690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21868.3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분기별 세율(이월결손 램프, assumptions.tax_schedule)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0</v>
      </c>
      <c r="AD28" s="24" t="n">
        <v>0</v>
      </c>
      <c r="AE28" s="25">
        <f>IFERROR(subQ!AE18/subQ!AE17,"")</f>
        <v/>
      </c>
      <c r="AF28" s="24" t="n">
        <v>0.027501426</v>
      </c>
      <c r="AG28" s="24" t="n">
        <v>0.055004409</v>
      </c>
      <c r="AH28" s="24" t="n">
        <v>0.08249227000000001</v>
      </c>
      <c r="AI28" s="24" t="n">
        <v>0.110007129</v>
      </c>
      <c r="AJ28" s="25">
        <f>IFERROR(subQ!AJ18/subQ!AJ17,"")</f>
        <v/>
      </c>
      <c r="AK28" s="24" t="n">
        <v>0.137518334</v>
      </c>
      <c r="AL28" s="24" t="n">
        <v>0.165001281</v>
      </c>
      <c r="AM28" s="24" t="n">
        <v>0.192474433</v>
      </c>
      <c r="AN28" s="24" t="n">
        <v>0.219996583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0.001220222</v>
      </c>
      <c r="AD31" s="30" t="n">
        <v>0.0008671660000000001</v>
      </c>
      <c r="AE31" s="31" t="n"/>
      <c r="AF31" s="30" t="n">
        <v>-0.00160795</v>
      </c>
      <c r="AG31" s="30" t="n">
        <v>0.001357101</v>
      </c>
      <c r="AH31" s="30" t="n">
        <v>-0.000606389</v>
      </c>
      <c r="AI31" s="30" t="n">
        <v>0.004095056</v>
      </c>
      <c r="AJ31" s="31" t="n"/>
      <c r="AK31" s="30" t="n">
        <v>-0.003889981</v>
      </c>
      <c r="AL31" s="30" t="n">
        <v>0.002249301</v>
      </c>
      <c r="AM31" s="30" t="n">
        <v>0.0027428</v>
      </c>
      <c r="AN31" s="30" t="n">
        <v>-0.002731924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0.001220222</v>
      </c>
      <c r="AD32" s="30" t="n">
        <v>0.0008671660000000001</v>
      </c>
      <c r="AE32" s="31" t="n"/>
      <c r="AF32" s="30" t="n">
        <v>-0.00160795</v>
      </c>
      <c r="AG32" s="30" t="n">
        <v>0.001357101</v>
      </c>
      <c r="AH32" s="30" t="n">
        <v>-0.000606389</v>
      </c>
      <c r="AI32" s="30" t="n">
        <v>0.004095056</v>
      </c>
      <c r="AJ32" s="31" t="n"/>
      <c r="AK32" s="30" t="n">
        <v>-0.003889981</v>
      </c>
      <c r="AL32" s="30" t="n">
        <v>0.002249301</v>
      </c>
      <c r="AM32" s="30" t="n">
        <v>0.0027428</v>
      </c>
      <c r="AN32" s="30" t="n">
        <v>-0.002731924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-0.07393204</v>
      </c>
      <c r="AD34" s="24" t="n">
        <v>-0.10532172</v>
      </c>
      <c r="AE34" s="25" t="n"/>
      <c r="AF34" s="24" t="n">
        <v>-0.086364174</v>
      </c>
      <c r="AG34" s="24" t="n">
        <v>-0.105608732</v>
      </c>
      <c r="AH34" s="24" t="n">
        <v>-0.108306705</v>
      </c>
      <c r="AI34" s="24" t="n">
        <v>-0.154269738</v>
      </c>
      <c r="AJ34" s="25" t="n"/>
      <c r="AK34" s="24" t="n">
        <v>-0.134257484</v>
      </c>
      <c r="AL34" s="24" t="n">
        <v>-0.171880933</v>
      </c>
      <c r="AM34" s="24" t="n">
        <v>-0.185048848</v>
      </c>
      <c r="AN34" s="24" t="n">
        <v>-0.285444116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0.111814101</v>
      </c>
      <c r="AD35" s="24" t="n">
        <v>0.132688075</v>
      </c>
      <c r="AE35" s="25" t="n"/>
      <c r="AF35" s="24" t="n">
        <v>0.08593203200000001</v>
      </c>
      <c r="AG35" s="24" t="n">
        <v>0.08841895700000001</v>
      </c>
      <c r="AH35" s="24" t="n">
        <v>0.07450870800000001</v>
      </c>
      <c r="AI35" s="24" t="n">
        <v>0.088072027</v>
      </c>
      <c r="AJ35" s="25" t="n"/>
      <c r="AK35" s="24" t="n">
        <v>0.059575813</v>
      </c>
      <c r="AL35" s="24" t="n">
        <v>0.062318342</v>
      </c>
      <c r="AM35" s="24" t="n">
        <v>0.052301323</v>
      </c>
      <c r="AN35" s="24" t="n">
        <v>0.062476266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19810</v>
      </c>
      <c r="E43" s="2" t="inlineStr">
        <is>
          <t>원 — 네이버 정규장 종가(aik 확정종가 대조 · aik 22,100원)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</v>
      </c>
      <c r="E50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0.02327875647844627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0.0370888319264733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1725.7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11.48</v>
      </c>
    </row>
    <row r="32">
      <c r="C32" s="2" t="inlineStr">
        <is>
          <t>pbr_now</t>
        </is>
      </c>
      <c r="D32" t="n">
        <v>2.08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19200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