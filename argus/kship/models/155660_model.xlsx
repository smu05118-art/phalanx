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BS연결!$C$5:$AO$102</definedName>
    <definedName name="BS별도H">BS별도!$C$1:$AO$1</definedName>
    <definedName name="BS별도">BS별도!$C$5:$AO$87</definedName>
    <definedName name="SUBQH">subQ!$A$1:$AO$1</definedName>
    <definedName name="subQ">subQ!$A$5:$AO$43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(1+3.0%) — g=최근 4분기 합 YoY 3.0% 클립(−30~+50%), 연차별 절반 감쇠(가정)</t>
      </text>
    </comment>
    <comment ref="AD21" authorId="0" shapeId="0">
      <text>
        <t>모델값 역산(implied): v / 전년동기 − 1
전년동기 × (1+3.0%) — g=최근 4분기 합 YoY 3.0% 클립(−30~+50%), 연차별 절반 감쇠(가정)</t>
      </text>
    </comment>
    <comment ref="AF21" authorId="0" shapeId="0">
      <text>
        <t>모델값 역산(implied): v / 전년동기 − 1
전년동기 × (1+3.0%) — g=최근 4분기 합 YoY 3.0% 클립(−30~+50%), 연차별 절반 감쇠(가정)</t>
      </text>
    </comment>
    <comment ref="AG21" authorId="0" shapeId="0">
      <text>
        <t>모델값 역산(implied): v / 전년동기 − 1
전년동기 × (1+3.0%) — g=최근 4분기 합 YoY 3.0% 클립(−30~+50%), 연차별 절반 감쇠(가정)</t>
      </text>
    </comment>
    <comment ref="AH21" authorId="0" shapeId="0">
      <text>
        <t>모델값 역산(implied): v / 전년동기 − 1
전년동기 × (1+1.5%) — g=최근 4분기 합 YoY 3.0% 클립(−30~+50%), 연차별 절반 감쇠(가정)</t>
      </text>
    </comment>
    <comment ref="AI21" authorId="0" shapeId="0">
      <text>
        <t>모델값 역산(implied): v / 전년동기 − 1
전년동기 × (1+1.5%) — g=최근 4분기 합 YoY 3.0% 클립(−30~+50%), 연차별 절반 감쇠(가정)</t>
      </text>
    </comment>
    <comment ref="AK21" authorId="0" shapeId="0">
      <text>
        <t>모델값 역산(implied): v / 전년동기 − 1
전년동기 × (1+1.5%) — g=최근 4분기 합 YoY 3.0% 클립(−30~+50%), 연차별 절반 감쇠(가정)</t>
      </text>
    </comment>
    <comment ref="AL21" authorId="0" shapeId="0">
      <text>
        <t>모델값 역산(implied): v / 전년동기 − 1
전년동기 × (1+1.5%) — g=최근 4분기 합 YoY 3.0% 클립(−30~+50%), 연차별 절반 감쇠(가정)</t>
      </text>
    </comment>
    <comment ref="AM21" authorId="0" shapeId="0">
      <text>
        <t>모델값 역산(implied): v / 전년동기 − 1
전년동기 × (1+0.7%) — g=최근 4분기 합 YoY 3.0% 클립(−30~+50%), 연차별 절반 감쇠(가정)</t>
      </text>
    </comment>
    <comment ref="AN21" authorId="0" shapeId="0">
      <text>
        <t>모델값 역산(implied): v / 전년동기 − 1
전년동기 × (1+0.7%) — g=최근 4분기 합 YoY 3.0% 클립(−30~+50%), 연차별 절반 감쇠(가정)</t>
      </text>
    </comment>
    <comment ref="AC22" authorId="0" shapeId="0">
      <text>
        <t>3절 스칼라 '판관비율' 참조 — 숫자로 덮어쓰면 이 분기만 바뀐다
매출액 × 판관비율 8.68%(최근 4분기 중위)</t>
      </text>
    </comment>
    <comment ref="AD22" authorId="0" shapeId="0">
      <text>
        <t>3절 스칼라 '판관비율' 참조 — 숫자로 덮어쓰면 이 분기만 바뀐다
매출액 × 판관비율 8.68%(최근 4분기 중위)</t>
      </text>
    </comment>
    <comment ref="AF22" authorId="0" shapeId="0">
      <text>
        <t>3절 스칼라 '판관비율' 참조 — 숫자로 덮어쓰면 이 분기만 바뀐다
매출액 × 판관비율 8.68%(최근 4분기 중위)</t>
      </text>
    </comment>
    <comment ref="AG22" authorId="0" shapeId="0">
      <text>
        <t>3절 스칼라 '판관비율' 참조 — 숫자로 덮어쓰면 이 분기만 바뀐다
매출액 × 판관비율 8.68%(최근 4분기 중위)</t>
      </text>
    </comment>
    <comment ref="AH22" authorId="0" shapeId="0">
      <text>
        <t>3절 스칼라 '판관비율' 참조 — 숫자로 덮어쓰면 이 분기만 바뀐다
매출액 × 판관비율 8.68%(최근 4분기 중위)</t>
      </text>
    </comment>
    <comment ref="AI22" authorId="0" shapeId="0">
      <text>
        <t>3절 스칼라 '판관비율' 참조 — 숫자로 덮어쓰면 이 분기만 바뀐다
매출액 × 판관비율 8.68%(최근 4분기 중위)</t>
      </text>
    </comment>
    <comment ref="AK22" authorId="0" shapeId="0">
      <text>
        <t>3절 스칼라 '판관비율' 참조 — 숫자로 덮어쓰면 이 분기만 바뀐다
매출액 × 판관비율 8.68%(최근 4분기 중위)</t>
      </text>
    </comment>
    <comment ref="AL22" authorId="0" shapeId="0">
      <text>
        <t>3절 스칼라 '판관비율' 참조 — 숫자로 덮어쓰면 이 분기만 바뀐다
매출액 × 판관비율 8.68%(최근 4분기 중위)</t>
      </text>
    </comment>
    <comment ref="AM22" authorId="0" shapeId="0">
      <text>
        <t>3절 스칼라 '판관비율' 참조 — 숫자로 덮어쓰면 이 분기만 바뀐다
매출액 × 판관비율 8.68%(최근 4분기 중위)</t>
      </text>
    </comment>
    <comment ref="AN22" authorId="0" shapeId="0">
      <text>
        <t>3절 스칼라 '판관비율' 참조 — 숫자로 덮어쓰면 이 분기만 바뀐다
매출액 × 판관비율 8.68%(최근 4분기 중위)</t>
      </text>
    </comment>
    <comment ref="AC23" authorId="0" shapeId="0">
      <text>
        <t>모델값 역산(implied): v / 매출액
매출액 × OPM(최근 8분기 OPM 중위 5.6% 유지(클립 −20~40%))</t>
      </text>
    </comment>
    <comment ref="AD23" authorId="0" shapeId="0">
      <text>
        <t>모델값 역산(implied): v / 매출액
매출액 × OPM(최근 8분기 OPM 중위 5.6% 유지(클립 −20~40%))</t>
      </text>
    </comment>
    <comment ref="AF23" authorId="0" shapeId="0">
      <text>
        <t>모델값 역산(implied): v / 매출액
매출액 × OPM(최근 8분기 OPM 중위 5.6% 유지(클립 −20~40%))</t>
      </text>
    </comment>
    <comment ref="AG23" authorId="0" shapeId="0">
      <text>
        <t>모델값 역산(implied): v / 매출액
매출액 × OPM(최근 8분기 OPM 중위 5.6% 유지(클립 −20~40%))</t>
      </text>
    </comment>
    <comment ref="AH23" authorId="0" shapeId="0">
      <text>
        <t>모델값 역산(implied): v / 매출액
매출액 × OPM(최근 8분기 OPM 중위 5.6% 유지(클립 −20~40%))</t>
      </text>
    </comment>
    <comment ref="AI23" authorId="0" shapeId="0">
      <text>
        <t>모델값 역산(implied): v / 매출액
매출액 × OPM(최근 8분기 OPM 중위 5.6% 유지(클립 −20~40%))</t>
      </text>
    </comment>
    <comment ref="AK23" authorId="0" shapeId="0">
      <text>
        <t>모델값 역산(implied): v / 매출액
매출액 × OPM(최근 8분기 OPM 중위 5.6% 유지(클립 −20~40%))</t>
      </text>
    </comment>
    <comment ref="AL23" authorId="0" shapeId="0">
      <text>
        <t>모델값 역산(implied): v / 매출액
매출액 × OPM(최근 8분기 OPM 중위 5.6% 유지(클립 −20~40%))</t>
      </text>
    </comment>
    <comment ref="AM23" authorId="0" shapeId="0">
      <text>
        <t>모델값 역산(implied): v / 매출액
매출액 × OPM(최근 8분기 OPM 중위 5.6% 유지(클립 −20~40%))</t>
      </text>
    </comment>
    <comment ref="AN23" authorId="0" shapeId="0">
      <text>
        <t>모델값 역산(implied): v / 매출액
매출액 × OPM(최근 8분기 OPM 중위 5.6%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+11.05억이 이자손익 추정 -5.05억의 50% 초과 → 0(경고)</t>
      </text>
    </comment>
    <comment ref="AD26" authorId="0" shapeId="0">
      <text>
        <t>모델값 역산(implied): 모델 v 그대로
최근 4분기 중위 +11.05억이 이자손익 추정 -5.05억의 50% 초과 → 0(경고)</t>
      </text>
    </comment>
    <comment ref="AF26" authorId="0" shapeId="0">
      <text>
        <t>모델값 역산(implied): 모델 v 그대로
최근 4분기 중위 +11.05억이 이자손익 추정 -5.05억의 50% 초과 → 0(경고)</t>
      </text>
    </comment>
    <comment ref="AG26" authorId="0" shapeId="0">
      <text>
        <t>모델값 역산(implied): 모델 v 그대로
최근 4분기 중위 +11.05억이 이자손익 추정 -5.05억의 50% 초과 → 0(경고)</t>
      </text>
    </comment>
    <comment ref="AH26" authorId="0" shapeId="0">
      <text>
        <t>모델값 역산(implied): 모델 v 그대로
최근 4분기 중위 +11.05억이 이자손익 추정 -5.05억의 50% 초과 → 0(경고)</t>
      </text>
    </comment>
    <comment ref="AI26" authorId="0" shapeId="0">
      <text>
        <t>모델값 역산(implied): 모델 v 그대로
최근 4분기 중위 +11.05억이 이자손익 추정 -5.05억의 50% 초과 → 0(경고)</t>
      </text>
    </comment>
    <comment ref="AK26" authorId="0" shapeId="0">
      <text>
        <t>모델값 역산(implied): 모델 v 그대로
최근 4분기 중위 +11.05억이 이자손익 추정 -5.05억의 50% 초과 → 0(경고)</t>
      </text>
    </comment>
    <comment ref="AL26" authorId="0" shapeId="0">
      <text>
        <t>모델값 역산(implied): 모델 v 그대로
최근 4분기 중위 +11.05억이 이자손익 추정 -5.05억의 50% 초과 → 0(경고)</t>
      </text>
    </comment>
    <comment ref="AM26" authorId="0" shapeId="0">
      <text>
        <t>모델값 역산(implied): 모델 v 그대로
최근 4분기 중위 +11.05억이 이자손익 추정 -5.05억의 50% 초과 → 0(경고)</t>
      </text>
    </comment>
    <comment ref="AN26" authorId="0" shapeId="0">
      <text>
        <t>모델값 역산(implied): 모델 v 그대로
최근 4분기 중위 +11.05억이 이자손익 추정 -5.05억의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D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F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G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H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I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K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L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M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N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D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F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G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H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I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K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L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M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N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250원 유지</t>
      </text>
    </comment>
    <comment ref="AI41" authorId="0" shapeId="0">
      <text>
        <t>모델값 역산(implied): 모델 v 그대로
직전 결산 DPS 250원 유지</t>
      </text>
    </comment>
    <comment ref="AN41" authorId="0" shapeId="0">
      <text>
        <t>모델값 역산(implied): 모델 v 그대로
직전 결산 DPS 250원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(1+3.0%) — g=최근 4분기 합 YoY 3.0% 클립(−30~+50%), 연차별 절반 감쇠(가정)
[yoy]</t>
      </text>
    </comment>
    <comment ref="AD5" authorId="0" shapeId="0">
      <text>
        <t>추정: 전년동기 × (1+3.0%) — g=최근 4분기 합 YoY 3.0% 클립(−30~+50%), 연차별 절반 감쇠(가정)
[yoy]</t>
      </text>
    </comment>
    <comment ref="AF5" authorId="0" shapeId="0">
      <text>
        <t>추정: 전년동기 × (1+3.0%) — g=최근 4분기 합 YoY 3.0% 클립(−30~+50%), 연차별 절반 감쇠(가정)
[yoy]</t>
      </text>
    </comment>
    <comment ref="AG5" authorId="0" shapeId="0">
      <text>
        <t>추정: 전년동기 × (1+3.0%) — g=최근 4분기 합 YoY 3.0% 클립(−30~+50%), 연차별 절반 감쇠(가정)
[yoy]</t>
      </text>
    </comment>
    <comment ref="AH5" authorId="0" shapeId="0">
      <text>
        <t>추정: 전년동기 × (1+1.5%) — g=최근 4분기 합 YoY 3.0% 클립(−30~+50%), 연차별 절반 감쇠(가정)
[yoy]</t>
      </text>
    </comment>
    <comment ref="AI5" authorId="0" shapeId="0">
      <text>
        <t>추정: 전년동기 × (1+1.5%) — g=최근 4분기 합 YoY 3.0% 클립(−30~+50%), 연차별 절반 감쇠(가정)
[yoy]</t>
      </text>
    </comment>
    <comment ref="AK5" authorId="0" shapeId="0">
      <text>
        <t>추정: 전년동기 × (1+1.5%) — g=최근 4분기 합 YoY 3.0% 클립(−30~+50%), 연차별 절반 감쇠(가정)
[yoy]</t>
      </text>
    </comment>
    <comment ref="AL5" authorId="0" shapeId="0">
      <text>
        <t>추정: 전년동기 × (1+1.5%) — g=최근 4분기 합 YoY 3.0% 클립(−30~+50%), 연차별 절반 감쇠(가정)
[yoy]</t>
      </text>
    </comment>
    <comment ref="AM5" authorId="0" shapeId="0">
      <text>
        <t>추정: 전년동기 × (1+0.7%) — g=최근 4분기 합 YoY 3.0% 클립(−30~+50%), 연차별 절반 감쇠(가정)
[yoy]</t>
      </text>
    </comment>
    <comment ref="AN5" authorId="0" shapeId="0">
      <text>
        <t>추정: 전년동기 × (1+0.7%) — g=최근 4분기 합 YoY 3.0%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8.68%(최근 4분기 중위)
[ratio]</t>
      </text>
    </comment>
    <comment ref="AD8" authorId="0" shapeId="0">
      <text>
        <t>추정: 매출액 × 판관비율 8.68%(최근 4분기 중위)
[ratio]</t>
      </text>
    </comment>
    <comment ref="AF8" authorId="0" shapeId="0">
      <text>
        <t>추정: 매출액 × 판관비율 8.68%(최근 4분기 중위)
[ratio]</t>
      </text>
    </comment>
    <comment ref="AG8" authorId="0" shapeId="0">
      <text>
        <t>추정: 매출액 × 판관비율 8.68%(최근 4분기 중위)
[ratio]</t>
      </text>
    </comment>
    <comment ref="AH8" authorId="0" shapeId="0">
      <text>
        <t>추정: 매출액 × 판관비율 8.68%(최근 4분기 중위)
[ratio]</t>
      </text>
    </comment>
    <comment ref="AI8" authorId="0" shapeId="0">
      <text>
        <t>추정: 매출액 × 판관비율 8.68%(최근 4분기 중위)
[ratio]</t>
      </text>
    </comment>
    <comment ref="AK8" authorId="0" shapeId="0">
      <text>
        <t>추정: 매출액 × 판관비율 8.68%(최근 4분기 중위)
[ratio]</t>
      </text>
    </comment>
    <comment ref="AL8" authorId="0" shapeId="0">
      <text>
        <t>추정: 매출액 × 판관비율 8.68%(최근 4분기 중위)
[ratio]</t>
      </text>
    </comment>
    <comment ref="AM8" authorId="0" shapeId="0">
      <text>
        <t>추정: 매출액 × 판관비율 8.68%(최근 4분기 중위)
[ratio]</t>
      </text>
    </comment>
    <comment ref="AN8" authorId="0" shapeId="0">
      <text>
        <t>추정: 매출액 × 판관비율 8.68%(최근 4분기 중위)
[ratio]</t>
      </text>
    </comment>
    <comment ref="AC9" authorId="0" shapeId="0">
      <text>
        <t>추정: 매출액 × OPM(최근 8분기 OPM 중위 5.6% 유지(클립 −20~40%))
[ratio]</t>
      </text>
    </comment>
    <comment ref="AD9" authorId="0" shapeId="0">
      <text>
        <t>추정: 매출액 × OPM(최근 8분기 OPM 중위 5.6% 유지(클립 −20~40%))
[ratio]</t>
      </text>
    </comment>
    <comment ref="AF9" authorId="0" shapeId="0">
      <text>
        <t>추정: 매출액 × OPM(최근 8분기 OPM 중위 5.6% 유지(클립 −20~40%))
[ratio]</t>
      </text>
    </comment>
    <comment ref="AG9" authorId="0" shapeId="0">
      <text>
        <t>추정: 매출액 × OPM(최근 8분기 OPM 중위 5.6% 유지(클립 −20~40%))
[ratio]</t>
      </text>
    </comment>
    <comment ref="AH9" authorId="0" shapeId="0">
      <text>
        <t>추정: 매출액 × OPM(최근 8분기 OPM 중위 5.6% 유지(클립 −20~40%))
[ratio]</t>
      </text>
    </comment>
    <comment ref="AI9" authorId="0" shapeId="0">
      <text>
        <t>추정: 매출액 × OPM(최근 8분기 OPM 중위 5.6% 유지(클립 −20~40%))
[ratio]</t>
      </text>
    </comment>
    <comment ref="AK9" authorId="0" shapeId="0">
      <text>
        <t>추정: 매출액 × OPM(최근 8분기 OPM 중위 5.6% 유지(클립 −20~40%))
[ratio]</t>
      </text>
    </comment>
    <comment ref="AL9" authorId="0" shapeId="0">
      <text>
        <t>추정: 매출액 × OPM(최근 8분기 OPM 중위 5.6% 유지(클립 −20~40%))
[ratio]</t>
      </text>
    </comment>
    <comment ref="AM9" authorId="0" shapeId="0">
      <text>
        <t>추정: 매출액 × OPM(최근 8분기 OPM 중위 5.6% 유지(클립 −20~40%))
[ratio]</t>
      </text>
    </comment>
    <comment ref="AN9" authorId="0" shapeId="0">
      <text>
        <t>추정: 매출액 × OPM(최근 8분기 OPM 중위 5.6% 유지(클립 −20~40%))
[ratio]</t>
      </text>
    </comment>
    <comment ref="AC10" authorId="0" shapeId="0">
      <text>
        <t>추정: 최근 8분기 OPM 중위 5.6% 유지(클립 −20~40%)
[divide]</t>
      </text>
    </comment>
    <comment ref="AD10" authorId="0" shapeId="0">
      <text>
        <t>추정: 최근 8분기 OPM 중위 5.6% 유지(클립 −20~40%)
[divide]</t>
      </text>
    </comment>
    <comment ref="AF10" authorId="0" shapeId="0">
      <text>
        <t>추정: 최근 8분기 OPM 중위 5.6% 유지(클립 −20~40%)
[divide]</t>
      </text>
    </comment>
    <comment ref="AG10" authorId="0" shapeId="0">
      <text>
        <t>추정: 최근 8분기 OPM 중위 5.6% 유지(클립 −20~40%)
[divide]</t>
      </text>
    </comment>
    <comment ref="AH10" authorId="0" shapeId="0">
      <text>
        <t>추정: 최근 8분기 OPM 중위 5.6% 유지(클립 −20~40%)
[divide]</t>
      </text>
    </comment>
    <comment ref="AI10" authorId="0" shapeId="0">
      <text>
        <t>추정: 최근 8분기 OPM 중위 5.6% 유지(클립 −20~40%)
[divide]</t>
      </text>
    </comment>
    <comment ref="AK10" authorId="0" shapeId="0">
      <text>
        <t>추정: 최근 8분기 OPM 중위 5.6% 유지(클립 −20~40%)
[divide]</t>
      </text>
    </comment>
    <comment ref="AL10" authorId="0" shapeId="0">
      <text>
        <t>추정: 최근 8분기 OPM 중위 5.6% 유지(클립 −20~40%)
[divide]</t>
      </text>
    </comment>
    <comment ref="AM10" authorId="0" shapeId="0">
      <text>
        <t>추정: 최근 8분기 OPM 중위 5.6% 유지(클립 −20~40%)
[divide]</t>
      </text>
    </comment>
    <comment ref="AN10" authorId="0" shapeId="0">
      <text>
        <t>추정: 최근 8분기 OPM 중위 5.6% 유지(클립 −20~40%)
[divide]</t>
      </text>
    </comment>
    <comment ref="AC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427억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460억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494억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529억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529억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563억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599억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635억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637억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672억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C12" authorId="0" shapeId="0">
      <text>
        <t>추정: 이자발생자산 427억 × 4.00%(주석 이자수익 ÷ 평균 이자발생자산(2025Q2~2026Q2)) − 총차입금 1033억 × 3.60%(주석 이자비용 ÷ 평균 총차입금(2025Q2~2026Q2)) (연율) ÷ 4
[interest]</t>
      </text>
    </comment>
    <comment ref="AD12" authorId="0" shapeId="0">
      <text>
        <t>추정: 이자발생자산 460억 × 4.00%(주석 이자수익 ÷ 평균 이자발생자산(2025Q2~2026Q2)) − 총차입금 1033억 × 3.60%(주석 이자비용 ÷ 평균 총차입금(2025Q2~2026Q2)) (연율) ÷ 4
[interest]</t>
      </text>
    </comment>
    <comment ref="AF12" authorId="0" shapeId="0">
      <text>
        <t>추정: 이자발생자산 494억 × 4.00%(주석 이자수익 ÷ 평균 이자발생자산(2025Q2~2026Q2)) − 총차입금 1033억 × 3.60%(주석 이자비용 ÷ 평균 총차입금(2025Q2~2026Q2)) (연율) ÷ 4
[interest]</t>
      </text>
    </comment>
    <comment ref="AG12" authorId="0" shapeId="0">
      <text>
        <t>추정: 이자발생자산 529억 × 4.00%(주석 이자수익 ÷ 평균 이자발생자산(2025Q2~2026Q2)) − 총차입금 1033억 × 3.60%(주석 이자비용 ÷ 평균 총차입금(2025Q2~2026Q2)) (연율) ÷ 4
[interest]</t>
      </text>
    </comment>
    <comment ref="AH12" authorId="0" shapeId="0">
      <text>
        <t>추정: 이자발생자산 529억 × 4.00%(주석 이자수익 ÷ 평균 이자발생자산(2025Q2~2026Q2)) − 총차입금 1033억 × 3.60%(주석 이자비용 ÷ 평균 총차입금(2025Q2~2026Q2)) (연율) ÷ 4
[interest]</t>
      </text>
    </comment>
    <comment ref="AI12" authorId="0" shapeId="0">
      <text>
        <t>추정: 이자발생자산 563억 × 4.00%(주석 이자수익 ÷ 평균 이자발생자산(2025Q2~2026Q2)) − 총차입금 1033억 × 3.60%(주석 이자비용 ÷ 평균 총차입금(2025Q2~2026Q2)) (연율) ÷ 4
[interest]</t>
      </text>
    </comment>
    <comment ref="AK12" authorId="0" shapeId="0">
      <text>
        <t>추정: 이자발생자산 599억 × 4.00%(주석 이자수익 ÷ 평균 이자발생자산(2025Q2~2026Q2)) − 총차입금 1033억 × 3.60%(주석 이자비용 ÷ 평균 총차입금(2025Q2~2026Q2)) (연율) ÷ 4
[interest]</t>
      </text>
    </comment>
    <comment ref="AL12" authorId="0" shapeId="0">
      <text>
        <t>추정: 이자발생자산 635억 × 4.00%(주석 이자수익 ÷ 평균 이자발생자산(2025Q2~2026Q2)) − 총차입금 1033억 × 3.60%(주석 이자비용 ÷ 평균 총차입금(2025Q2~2026Q2)) (연율) ÷ 4
[interest]</t>
      </text>
    </comment>
    <comment ref="AM12" authorId="0" shapeId="0">
      <text>
        <t>추정: 이자발생자산 637억 × 4.00%(주석 이자수익 ÷ 평균 이자발생자산(2025Q2~2026Q2)) − 총차입금 1033억 × 3.60%(주석 이자비용 ÷ 평균 총차입금(2025Q2~2026Q2)) (연율) ÷ 4
[interest]</t>
      </text>
    </comment>
    <comment ref="AN12" authorId="0" shapeId="0">
      <text>
        <t>추정: 이자발생자산 672억 × 4.00%(주석 이자수익 ÷ 평균 이자발생자산(2025Q2~2026Q2)) − 총차입금 1033억 × 3.60%(주석 이자비용 ÷ 평균 총차입금(2025Q2~2026Q2))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+11.05억이 이자손익 추정 -5.05억의 50% 초과 → 0(경고)
[abs]</t>
      </text>
    </comment>
    <comment ref="AD15" authorId="0" shapeId="0">
      <text>
        <t>추정: 최근 4분기 중위 +11.05억이 이자손익 추정 -5.05억의 50% 초과 → 0(경고)
[abs]</t>
      </text>
    </comment>
    <comment ref="AF15" authorId="0" shapeId="0">
      <text>
        <t>추정: 최근 4분기 중위 +11.05억이 이자손익 추정 -5.05억의 50% 초과 → 0(경고)
[abs]</t>
      </text>
    </comment>
    <comment ref="AG15" authorId="0" shapeId="0">
      <text>
        <t>추정: 최근 4분기 중위 +11.05억이 이자손익 추정 -5.05억의 50% 초과 → 0(경고)
[abs]</t>
      </text>
    </comment>
    <comment ref="AH15" authorId="0" shapeId="0">
      <text>
        <t>추정: 최근 4분기 중위 +11.05억이 이자손익 추정 -5.05억의 50% 초과 → 0(경고)
[abs]</t>
      </text>
    </comment>
    <comment ref="AI15" authorId="0" shapeId="0">
      <text>
        <t>추정: 최근 4분기 중위 +11.05억이 이자손익 추정 -5.05억의 50% 초과 → 0(경고)
[abs]</t>
      </text>
    </comment>
    <comment ref="AK15" authorId="0" shapeId="0">
      <text>
        <t>추정: 최근 4분기 중위 +11.05억이 이자손익 추정 -5.05억의 50% 초과 → 0(경고)
[abs]</t>
      </text>
    </comment>
    <comment ref="AL15" authorId="0" shapeId="0">
      <text>
        <t>추정: 최근 4분기 중위 +11.05억이 이자손익 추정 -5.05억의 50% 초과 → 0(경고)
[abs]</t>
      </text>
    </comment>
    <comment ref="AM15" authorId="0" shapeId="0">
      <text>
        <t>추정: 최근 4분기 중위 +11.05억이 이자손익 추정 -5.05억의 50% 초과 → 0(경고)
[abs]</t>
      </text>
    </comment>
    <comment ref="AN15" authorId="0" shapeId="0">
      <text>
        <t>추정: 최근 4분기 중위 +11.05억이 이자손익 추정 -5.05억의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22.4%(최근 12분기 유효세율 22.4%(5~27% 안 — 그대로))
[tax]</t>
      </text>
    </comment>
    <comment ref="AD19" authorId="0" shapeId="0">
      <text>
        <t>추정: max(세전, 0) × 세율 22.4%(최근 12분기 유효세율 22.4%(5~27% 안 — 그대로))
[tax]</t>
      </text>
    </comment>
    <comment ref="AF19" authorId="0" shapeId="0">
      <text>
        <t>추정: max(세전, 0) × 세율 22.4%(최근 12분기 유효세율 22.4%(5~27% 안 — 그대로))
[tax]</t>
      </text>
    </comment>
    <comment ref="AG19" authorId="0" shapeId="0">
      <text>
        <t>추정: max(세전, 0) × 세율 22.4%(최근 12분기 유효세율 22.4%(5~27% 안 — 그대로))
[tax]</t>
      </text>
    </comment>
    <comment ref="AH19" authorId="0" shapeId="0">
      <text>
        <t>추정: max(세전, 0) × 세율 22.4%(최근 12분기 유효세율 22.4%(5~27% 안 — 그대로))
[tax]</t>
      </text>
    </comment>
    <comment ref="AI19" authorId="0" shapeId="0">
      <text>
        <t>추정: max(세전, 0) × 세율 22.4%(최근 12분기 유효세율 22.4%(5~27% 안 — 그대로))
[tax]</t>
      </text>
    </comment>
    <comment ref="AK19" authorId="0" shapeId="0">
      <text>
        <t>추정: max(세전, 0) × 세율 22.4%(최근 12분기 유효세율 22.4%(5~27% 안 — 그대로))
[tax]</t>
      </text>
    </comment>
    <comment ref="AL19" authorId="0" shapeId="0">
      <text>
        <t>추정: max(세전, 0) × 세율 22.4%(최근 12분기 유효세율 22.4%(5~27% 안 — 그대로))
[tax]</t>
      </text>
    </comment>
    <comment ref="AM19" authorId="0" shapeId="0">
      <text>
        <t>추정: max(세전, 0) × 세율 22.4%(최근 12분기 유효세율 22.4%(5~27% 안 — 그대로))
[tax]</t>
      </text>
    </comment>
    <comment ref="AN19" authorId="0" shapeId="0">
      <text>
        <t>추정: max(세전, 0) × 세율 22.4%(최근 12분기 유효세율 22.4%(5~27% 안 — 그대로))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미반영(감가상각비 없음 → CAPEX≈감가 가정)
[yoy]</t>
      </text>
    </comment>
    <comment ref="AD30" authorId="0" shapeId="0">
      <text>
        <t>추정: 최근 4분기(2025Q3~2026Q2) CAPEX 중위 유지 — 순차입금 롤에 미반영(감가상각비 없음 → CAPEX≈감가 가정)
[yoy]</t>
      </text>
    </comment>
    <comment ref="AF30" authorId="0" shapeId="0">
      <text>
        <t>추정: 최근 4분기(2025Q3~2026Q2) CAPEX 중위 유지 — 순차입금 롤에 미반영(감가상각비 없음 → CAPEX≈감가 가정)
[yoy]</t>
      </text>
    </comment>
    <comment ref="AG30" authorId="0" shapeId="0">
      <text>
        <t>추정: 최근 4분기(2025Q3~2026Q2) CAPEX 중위 유지 — 순차입금 롤에 미반영(감가상각비 없음 → CAPEX≈감가 가정)
[yoy]</t>
      </text>
    </comment>
    <comment ref="AH30" authorId="0" shapeId="0">
      <text>
        <t>추정: 최근 4분기(2025Q3~2026Q2) CAPEX 중위 유지 — 순차입금 롤에 미반영(감가상각비 없음 → CAPEX≈감가 가정)
[yoy]</t>
      </text>
    </comment>
    <comment ref="AI30" authorId="0" shapeId="0">
      <text>
        <t>추정: 최근 4분기(2025Q3~2026Q2) CAPEX 중위 유지 — 순차입금 롤에 미반영(감가상각비 없음 → CAPEX≈감가 가정)
[yoy]</t>
      </text>
    </comment>
    <comment ref="AK30" authorId="0" shapeId="0">
      <text>
        <t>추정: 최근 4분기(2025Q3~2026Q2) CAPEX 중위 유지 — 순차입금 롤에 미반영(감가상각비 없음 → CAPEX≈감가 가정)
[yoy]</t>
      </text>
    </comment>
    <comment ref="AL30" authorId="0" shapeId="0">
      <text>
        <t>추정: 최근 4분기(2025Q3~2026Q2) CAPEX 중위 유지 — 순차입금 롤에 미반영(감가상각비 없음 → CAPEX≈감가 가정)
[yoy]</t>
      </text>
    </comment>
    <comment ref="AM30" authorId="0" shapeId="0">
      <text>
        <t>추정: 최근 4분기(2025Q3~2026Q2) CAPEX 중위 유지 — 순차입금 롤에 미반영(감가상각비 없음 → CAPEX≈감가 가정)
[yoy]</t>
      </text>
    </comment>
    <comment ref="AN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250원 유지
[abs]</t>
      </text>
    </comment>
    <comment ref="AI35" authorId="0" shapeId="0">
      <text>
        <t>추정: 직전 결산 DPS 250원 유지
[abs]</t>
      </text>
    </comment>
    <comment ref="AN35" authorId="0" shapeId="0">
      <text>
        <t>추정: 직전 결산 DPS 250원 유지
[abs]</t>
      </text>
    </comment>
    <comment ref="AC36" authorId="0" shapeId="0">
      <text>
        <t>추정: 현재 종가 ÷ TTM EPS(추정 포함)
[valuation]</t>
      </text>
    </comment>
    <comment ref="AD36" authorId="0" shapeId="0">
      <text>
        <t>추정: 현재 종가 ÷ TTM EPS(추정 포함)
[valuation]</t>
      </text>
    </comment>
    <comment ref="AF36" authorId="0" shapeId="0">
      <text>
        <t>추정: 현재 종가 ÷ TTM EPS(추정 포함)
[valuation]</t>
      </text>
    </comment>
    <comment ref="AG36" authorId="0" shapeId="0">
      <text>
        <t>추정: 현재 종가 ÷ TTM EPS(추정 포함)
[valuation]</t>
      </text>
    </comment>
    <comment ref="AH36" authorId="0" shapeId="0">
      <text>
        <t>추정: 현재 종가 ÷ TTM EPS(추정 포함)
[valuation]</t>
      </text>
    </comment>
    <comment ref="AI36" authorId="0" shapeId="0">
      <text>
        <t>추정: 현재 종가 ÷ TTM EPS(추정 포함)
[valuation]</t>
      </text>
    </comment>
    <comment ref="AK36" authorId="0" shapeId="0">
      <text>
        <t>추정: 현재 종가 ÷ TTM EPS(추정 포함)
[valuation]</t>
      </text>
    </comment>
    <comment ref="AL36" authorId="0" shapeId="0">
      <text>
        <t>추정: 현재 종가 ÷ TTM EPS(추정 포함)
[valuation]</t>
      </text>
    </comment>
    <comment ref="AM36" authorId="0" shapeId="0">
      <text>
        <t>추정: 현재 종가 ÷ TTM EPS(추정 포함)
[valuation]</t>
      </text>
    </comment>
    <comment ref="AN36" authorId="0" shapeId="0">
      <text>
        <t>추정: 현재 종가 ÷ TTM EPS(추정 포함)
[valuation]</t>
      </text>
    </comment>
    <comment ref="AC37" authorId="0" shapeId="0">
      <text>
        <t>추정: 현재 종가 ÷ BPS(추정 포함)
[valuation]</t>
      </text>
    </comment>
    <comment ref="AD37" authorId="0" shapeId="0">
      <text>
        <t>추정: 현재 종가 ÷ BPS(추정 포함)
[valuation]</t>
      </text>
    </comment>
    <comment ref="AF37" authorId="0" shapeId="0">
      <text>
        <t>추정: 현재 종가 ÷ BPS(추정 포함)
[valuation]</t>
      </text>
    </comment>
    <comment ref="AG37" authorId="0" shapeId="0">
      <text>
        <t>추정: 현재 종가 ÷ BPS(추정 포함)
[valuation]</t>
      </text>
    </comment>
    <comment ref="AH37" authorId="0" shapeId="0">
      <text>
        <t>추정: 현재 종가 ÷ BPS(추정 포함)
[valuation]</t>
      </text>
    </comment>
    <comment ref="AI37" authorId="0" shapeId="0">
      <text>
        <t>추정: 현재 종가 ÷ BPS(추정 포함)
[valuation]</t>
      </text>
    </comment>
    <comment ref="AK37" authorId="0" shapeId="0">
      <text>
        <t>추정: 현재 종가 ÷ BPS(추정 포함)
[valuation]</t>
      </text>
    </comment>
    <comment ref="AL37" authorId="0" shapeId="0">
      <text>
        <t>추정: 현재 종가 ÷ BPS(추정 포함)
[valuation]</t>
      </text>
    </comment>
    <comment ref="AM37" authorId="0" shapeId="0">
      <text>
        <t>추정: 현재 종가 ÷ BPS(추정 포함)
[valuation]</t>
      </text>
    </comment>
    <comment ref="AN37" authorId="0" shapeId="0">
      <text>
        <t>추정: 현재 종가 ÷ BPS(추정 포함)
[valuation]</t>
      </text>
    </comment>
    <comment ref="E38" authorId="0" shapeId="0">
      <text>
        <t>실측(계정 매핑 없음(파생·부문·시세 행) — 모델값 직접) — = 매출액(부문 미분리)</t>
      </text>
    </comment>
    <comment ref="G38" authorId="0" shapeId="0">
      <text>
        <t>실측(계정 매핑 없음(파생·부문·시세 행) — 모델값 직접) — = 매출액(부문 미분리)</t>
      </text>
    </comment>
    <comment ref="H38" authorId="0" shapeId="0">
      <text>
        <t>실측(계정 매핑 없음(파생·부문·시세 행) — 모델값 직접) — = 매출액(부문 미분리)</t>
      </text>
    </comment>
    <comment ref="I38" authorId="0" shapeId="0">
      <text>
        <t>실측(계정 매핑 없음(파생·부문·시세 행) — 모델값 직접) — = 매출액(부문 미분리)</t>
      </text>
    </comment>
    <comment ref="J38" authorId="0" shapeId="0">
      <text>
        <t>실측(계정 매핑 없음(파생·부문·시세 행) — 모델값 직접) — = 매출액(부문 미분리)</t>
      </text>
    </comment>
    <comment ref="L38" authorId="0" shapeId="0">
      <text>
        <t>실측(계정 매핑 없음(파생·부문·시세 행) — 모델값 직접) — = 매출액(부문 미분리)</t>
      </text>
    </comment>
    <comment ref="M38" authorId="0" shapeId="0">
      <text>
        <t>실측(계정 매핑 없음(파생·부문·시세 행) — 모델값 직접) — = 매출액(부문 미분리)</t>
      </text>
    </comment>
    <comment ref="N38" authorId="0" shapeId="0">
      <text>
        <t>실측(계정 매핑 없음(파생·부문·시세 행) — 모델값 직접) — = 매출액(부문 미분리)</t>
      </text>
    </comment>
    <comment ref="O38" authorId="0" shapeId="0">
      <text>
        <t>실측(계정 매핑 없음(파생·부문·시세 행) — 모델값 직접) — = 매출액(부문 미분리)</t>
      </text>
    </comment>
    <comment ref="Q38" authorId="0" shapeId="0">
      <text>
        <t>실측(계정 매핑 없음(파생·부문·시세 행) — 모델값 직접) — = 매출액(부문 미분리)</t>
      </text>
    </comment>
    <comment ref="R38" authorId="0" shapeId="0">
      <text>
        <t>실측(계정 매핑 없음(파생·부문·시세 행) — 모델값 직접) — = 매출액(부문 미분리)</t>
      </text>
    </comment>
    <comment ref="S38" authorId="0" shapeId="0">
      <text>
        <t>실측(계정 매핑 없음(파생·부문·시세 행) — 모델값 직접) — = 매출액(부문 미분리)</t>
      </text>
    </comment>
    <comment ref="T38" authorId="0" shapeId="0">
      <text>
        <t>실측(계정 매핑 없음(파생·부문·시세 행) — 모델값 직접) — = 매출액(부문 미분리)</t>
      </text>
    </comment>
    <comment ref="V38" authorId="0" shapeId="0">
      <text>
        <t>실측(계정 매핑 없음(파생·부문·시세 행) — 모델값 직접) — = 매출액(부문 미분리)</t>
      </text>
    </comment>
    <comment ref="W38" authorId="0" shapeId="0">
      <text>
        <t>실측(계정 매핑 없음(파생·부문·시세 행) — 모델값 직접) — = 매출액(부문 미분리)</t>
      </text>
    </comment>
    <comment ref="X38" authorId="0" shapeId="0">
      <text>
        <t>실측(계정 매핑 없음(파생·부문·시세 행) — 모델값 직접) — = 매출액(부문 미분리)</t>
      </text>
    </comment>
    <comment ref="Y38" authorId="0" shapeId="0">
      <text>
        <t>실측(계정 매핑 없음(파생·부문·시세 행) — 모델값 직접) — = 매출액(부문 미분리)</t>
      </text>
    </comment>
    <comment ref="AA38" authorId="0" shapeId="0">
      <text>
        <t>실측(계정 매핑 없음(파생·부문·시세 행) — 모델값 직접) — = 매출액(부문 미분리)</t>
      </text>
    </comment>
    <comment ref="AB38" authorId="0" shapeId="0">
      <text>
        <t>실측(계정 매핑 없음(파생·부문·시세 행) — 모델값 직접) — = 매출액(부문 미분리)</t>
      </text>
    </comment>
    <comment ref="AC38" authorId="0" shapeId="0">
      <text>
        <t>추정: = 매출액 추정(부문 미분리)
[identity]</t>
      </text>
    </comment>
    <comment ref="AD38" authorId="0" shapeId="0">
      <text>
        <t>추정: = 매출액 추정(부문 미분리)
[identity]</t>
      </text>
    </comment>
    <comment ref="AF38" authorId="0" shapeId="0">
      <text>
        <t>추정: = 매출액 추정(부문 미분리)
[identity]</t>
      </text>
    </comment>
    <comment ref="AG38" authorId="0" shapeId="0">
      <text>
        <t>추정: = 매출액 추정(부문 미분리)
[identity]</t>
      </text>
    </comment>
    <comment ref="AH38" authorId="0" shapeId="0">
      <text>
        <t>추정: = 매출액 추정(부문 미분리)
[identity]</t>
      </text>
    </comment>
    <comment ref="AI38" authorId="0" shapeId="0">
      <text>
        <t>추정: = 매출액 추정(부문 미분리)
[identity]</t>
      </text>
    </comment>
    <comment ref="AK38" authorId="0" shapeId="0">
      <text>
        <t>추정: = 매출액 추정(부문 미분리)
[identity]</t>
      </text>
    </comment>
    <comment ref="AL38" authorId="0" shapeId="0">
      <text>
        <t>추정: = 매출액 추정(부문 미분리)
[identity]</t>
      </text>
    </comment>
    <comment ref="AM38" authorId="0" shapeId="0">
      <text>
        <t>추정: = 매출액 추정(부문 미분리)
[identity]</t>
      </text>
    </comment>
    <comment ref="AN38" authorId="0" shapeId="0">
      <text>
        <t>추정: = 매출액 추정(부문 미분리)
[identity]</t>
      </text>
    </comment>
    <comment ref="E39" authorId="0" shapeId="0">
      <text>
        <t>실측(계정 매핑 없음(파생·부문·시세 행) — 모델값 직접) — = 영업이익(부문 미분리)</t>
      </text>
    </comment>
    <comment ref="G39" authorId="0" shapeId="0">
      <text>
        <t>실측(계정 매핑 없음(파생·부문·시세 행) — 모델값 직접) — = 영업이익(부문 미분리)</t>
      </text>
    </comment>
    <comment ref="H39" authorId="0" shapeId="0">
      <text>
        <t>실측(계정 매핑 없음(파생·부문·시세 행) — 모델값 직접) — = 영업이익(부문 미분리)</t>
      </text>
    </comment>
    <comment ref="I39" authorId="0" shapeId="0">
      <text>
        <t>실측(계정 매핑 없음(파생·부문·시세 행) — 모델값 직접) — = 영업이익(부문 미분리)</t>
      </text>
    </comment>
    <comment ref="J39" authorId="0" shapeId="0">
      <text>
        <t>실측(계정 매핑 없음(파생·부문·시세 행) — 모델값 직접) — = 영업이익(부문 미분리)</t>
      </text>
    </comment>
    <comment ref="L39" authorId="0" shapeId="0">
      <text>
        <t>실측(계정 매핑 없음(파생·부문·시세 행) — 모델값 직접) — = 영업이익(부문 미분리)</t>
      </text>
    </comment>
    <comment ref="M39" authorId="0" shapeId="0">
      <text>
        <t>실측(계정 매핑 없음(파생·부문·시세 행) — 모델값 직접) — = 영업이익(부문 미분리)</t>
      </text>
    </comment>
    <comment ref="N39" authorId="0" shapeId="0">
      <text>
        <t>실측(계정 매핑 없음(파생·부문·시세 행) — 모델값 직접) — = 영업이익(부문 미분리)</t>
      </text>
    </comment>
    <comment ref="O39" authorId="0" shapeId="0">
      <text>
        <t>실측(계정 매핑 없음(파생·부문·시세 행) — 모델값 직접) — = 영업이익(부문 미분리)</t>
      </text>
    </comment>
    <comment ref="Q39" authorId="0" shapeId="0">
      <text>
        <t>실측(계정 매핑 없음(파생·부문·시세 행) — 모델값 직접) — = 영업이익(부문 미분리)</t>
      </text>
    </comment>
    <comment ref="R39" authorId="0" shapeId="0">
      <text>
        <t>실측(계정 매핑 없음(파생·부문·시세 행) — 모델값 직접) — = 영업이익(부문 미분리)</t>
      </text>
    </comment>
    <comment ref="S39" authorId="0" shapeId="0">
      <text>
        <t>실측(계정 매핑 없음(파생·부문·시세 행) — 모델값 직접) — = 영업이익(부문 미분리)</t>
      </text>
    </comment>
    <comment ref="T39" authorId="0" shapeId="0">
      <text>
        <t>실측(계정 매핑 없음(파생·부문·시세 행) — 모델값 직접) — = 영업이익(부문 미분리)</t>
      </text>
    </comment>
    <comment ref="V39" authorId="0" shapeId="0">
      <text>
        <t>실측(계정 매핑 없음(파생·부문·시세 행) — 모델값 직접) — = 영업이익(부문 미분리)</t>
      </text>
    </comment>
    <comment ref="W39" authorId="0" shapeId="0">
      <text>
        <t>실측(계정 매핑 없음(파생·부문·시세 행) — 모델값 직접) — = 영업이익(부문 미분리)</t>
      </text>
    </comment>
    <comment ref="X39" authorId="0" shapeId="0">
      <text>
        <t>실측(계정 매핑 없음(파생·부문·시세 행) — 모델값 직접) — = 영업이익(부문 미분리)</t>
      </text>
    </comment>
    <comment ref="Y39" authorId="0" shapeId="0">
      <text>
        <t>실측(계정 매핑 없음(파생·부문·시세 행) — 모델값 직접) — = 영업이익(부문 미분리)</t>
      </text>
    </comment>
    <comment ref="AA39" authorId="0" shapeId="0">
      <text>
        <t>실측(계정 매핑 없음(파생·부문·시세 행) — 모델값 직접) — = 영업이익(부문 미분리)</t>
      </text>
    </comment>
    <comment ref="AB39" authorId="0" shapeId="0">
      <text>
        <t>실측(계정 매핑 없음(파생·부문·시세 행) — 모델값 직접) — = 영업이익(부문 미분리)</t>
      </text>
    </comment>
    <comment ref="AC39" authorId="0" shapeId="0">
      <text>
        <t>추정: = 매출액 × OPM(부문 미분리)
[identity]</t>
      </text>
    </comment>
    <comment ref="AD39" authorId="0" shapeId="0">
      <text>
        <t>추정: = 매출액 × OPM(부문 미분리)
[identity]</t>
      </text>
    </comment>
    <comment ref="AF39" authorId="0" shapeId="0">
      <text>
        <t>추정: = 매출액 × OPM(부문 미분리)
[identity]</t>
      </text>
    </comment>
    <comment ref="AG39" authorId="0" shapeId="0">
      <text>
        <t>추정: = 매출액 × OPM(부문 미분리)
[identity]</t>
      </text>
    </comment>
    <comment ref="AH39" authorId="0" shapeId="0">
      <text>
        <t>추정: = 매출액 × OPM(부문 미분리)
[identity]</t>
      </text>
    </comment>
    <comment ref="AI39" authorId="0" shapeId="0">
      <text>
        <t>추정: = 매출액 × OPM(부문 미분리)
[identity]</t>
      </text>
    </comment>
    <comment ref="AK39" authorId="0" shapeId="0">
      <text>
        <t>추정: = 매출액 × OPM(부문 미분리)
[identity]</t>
      </text>
    </comment>
    <comment ref="AL39" authorId="0" shapeId="0">
      <text>
        <t>추정: = 매출액 × OPM(부문 미분리)
[identity]</t>
      </text>
    </comment>
    <comment ref="AM39" authorId="0" shapeId="0">
      <text>
        <t>추정: = 매출액 × OPM(부문 미분리)
[identity]</t>
      </text>
    </comment>
    <comment ref="AN39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DSR(155660) 실적 모델 — ARGUS 한국조선</t>
        </is>
      </c>
    </row>
    <row r="2">
      <c r="A2" t="inlineStr">
        <is>
          <t>기준 분기 2026Q2 · 마지막 실적 2026Q2 · 생성 2026-10-26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22.39% — 법인세 = MAX(세전,0) × 세율, 추정 전 분기 연결(Σ법인세/Σmax(세전,0) 역산, 재현 오차 ≤ 0.05억). 모델 가정 22.39% · 근거: 최근 12분기 유효세율 22.4%(5~27% 안 — 그대로)</t>
        </is>
      </c>
    </row>
    <row r="23">
      <c r="A23" t="inlineStr">
        <is>
          <t>· 판관비율 8.68%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4.00% / 부채 3.60% — 이자손익 = (전분기 이자발생자산 × 자산이자율 − 전분기 총차입금 × 부채이자율)/4, 최소자승 역산(모델 assumptions [0.04, 0.036]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4.1배가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assets/models/155660.json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기타금융손익(금융손익 − 이자 − 외환 − 파생 잔차) 최근 4분기 중위 +11.1억이 이자손익 추정 -5.0억의 50% 초과 → 추정 0 — 평가손익·재분류 여부는 주석 확인 / 금융손익 실적→추정 단절: 최근 4분기 실적 +3/+4/+19/+77(중위 +12억) → 추정 2026Q3 -5억(차 -17억, -144%)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8.4, "op_wape_pct": 19.4,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803.41, "rev_act": 746.57, "op_pred": 56.76, "op_act": 54.94}, {"q": "2025Q4", "rev_pred": 888.72, "rev_act": 769.58, "op_pred": 62.78, "op_act": 51.19}, {"q": "2026Q1", "rev_pred": 802.39, "rev_act": 763.36, "op_pred": 56.68, "op_act": 66.74}, {"q": "2026Q2", "rev_pred": 830.61, "rev_act": 882.14, "op_pred": 58.68, "op_act": 40.75}]}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1337.49</v>
      </c>
      <c r="AE6" s="17" t="n">
        <v>1451.19</v>
      </c>
      <c r="AF6" s="16" t="n">
        <v>1324.45</v>
      </c>
      <c r="AG6" s="16" t="n">
        <v>1324.45</v>
      </c>
      <c r="AH6" s="16" t="n">
        <v>1324.45</v>
      </c>
      <c r="AI6" s="16" t="n">
        <v>1324.45</v>
      </c>
      <c r="AJ6" s="11" t="n"/>
      <c r="AK6" s="16" t="n">
        <v>1324.45</v>
      </c>
      <c r="AL6" s="16" t="n">
        <v>1324.45</v>
      </c>
      <c r="AM6" s="16" t="n">
        <v>1324.45</v>
      </c>
      <c r="AN6" s="16" t="n">
        <v>1324.45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1324.45</v>
      </c>
      <c r="AE7" s="17" t="n">
        <v>1324.45</v>
      </c>
      <c r="AF7" s="16" t="n">
        <v>1324.45</v>
      </c>
      <c r="AG7" s="16" t="n">
        <v>1324.45</v>
      </c>
      <c r="AH7" s="16" t="n">
        <v>1324.45</v>
      </c>
      <c r="AI7" s="16" t="n">
        <v>1324.45</v>
      </c>
      <c r="AJ7" s="11" t="n"/>
      <c r="AK7" s="16" t="n">
        <v>1324.45</v>
      </c>
      <c r="AL7" s="16" t="n">
        <v>1324.45</v>
      </c>
      <c r="AM7" s="16" t="n">
        <v>1324.45</v>
      </c>
      <c r="AN7" s="16" t="n">
        <v>1324.45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846.51</v>
      </c>
      <c r="AE8" s="17" t="n">
        <v>915.5700000000001</v>
      </c>
      <c r="AF8" s="16" t="n">
        <v>844.67</v>
      </c>
      <c r="AG8" s="16" t="n">
        <v>844.67</v>
      </c>
      <c r="AH8" s="16" t="n">
        <v>844.67</v>
      </c>
      <c r="AI8" s="16" t="n">
        <v>844.67</v>
      </c>
      <c r="AJ8" s="11" t="n"/>
      <c r="AK8" s="16" t="n">
        <v>844.67</v>
      </c>
      <c r="AL8" s="16" t="n">
        <v>844.67</v>
      </c>
      <c r="AM8" s="16" t="n">
        <v>844.67</v>
      </c>
      <c r="AN8" s="16" t="n">
        <v>844.67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844.67</v>
      </c>
      <c r="AE9" s="17" t="n">
        <v>844.67</v>
      </c>
      <c r="AF9" s="16" t="n">
        <v>844.67</v>
      </c>
      <c r="AG9" s="16" t="n">
        <v>844.67</v>
      </c>
      <c r="AH9" s="16" t="n">
        <v>844.67</v>
      </c>
      <c r="AI9" s="16" t="n">
        <v>844.67</v>
      </c>
      <c r="AJ9" s="11" t="n"/>
      <c r="AK9" s="16" t="n">
        <v>844.67</v>
      </c>
      <c r="AL9" s="16" t="n">
        <v>844.67</v>
      </c>
      <c r="AM9" s="16" t="n">
        <v>844.67</v>
      </c>
      <c r="AN9" s="16" t="n">
        <v>844.67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1500.06</v>
      </c>
      <c r="AE10" s="17" t="n">
        <v>1680.5</v>
      </c>
      <c r="AF10" s="16" t="n">
        <v>1482.45</v>
      </c>
      <c r="AG10" s="16" t="n">
        <v>1482.45</v>
      </c>
      <c r="AH10" s="16" t="n">
        <v>1482.45</v>
      </c>
      <c r="AI10" s="16" t="n">
        <v>1482.45</v>
      </c>
      <c r="AJ10" s="11" t="n"/>
      <c r="AK10" s="16" t="n">
        <v>1482.45</v>
      </c>
      <c r="AL10" s="16" t="n">
        <v>1482.45</v>
      </c>
      <c r="AM10" s="16" t="n">
        <v>1482.45</v>
      </c>
      <c r="AN10" s="16" t="n">
        <v>1482.45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1482.45</v>
      </c>
      <c r="AE11" s="17" t="n">
        <v>1482.45</v>
      </c>
      <c r="AF11" s="16" t="n">
        <v>1482.45</v>
      </c>
      <c r="AG11" s="16" t="n">
        <v>1482.45</v>
      </c>
      <c r="AH11" s="16" t="n">
        <v>1482.45</v>
      </c>
      <c r="AI11" s="16" t="n">
        <v>1482.45</v>
      </c>
      <c r="AJ11" s="11" t="n"/>
      <c r="AK11" s="16" t="n">
        <v>1482.45</v>
      </c>
      <c r="AL11" s="16" t="n">
        <v>1482.45</v>
      </c>
      <c r="AM11" s="16" t="n">
        <v>1482.45</v>
      </c>
      <c r="AN11" s="16" t="n">
        <v>1482.45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199.88</v>
      </c>
      <c r="AE12" s="17" t="n">
        <v>213.06</v>
      </c>
      <c r="AF12" s="16" t="n">
        <v>198.56</v>
      </c>
      <c r="AG12" s="16" t="n">
        <v>198.56</v>
      </c>
      <c r="AH12" s="16" t="n">
        <v>198.56</v>
      </c>
      <c r="AI12" s="16" t="n">
        <v>198.56</v>
      </c>
      <c r="AJ12" s="11" t="n"/>
      <c r="AK12" s="16" t="n">
        <v>198.56</v>
      </c>
      <c r="AL12" s="16" t="n">
        <v>198.56</v>
      </c>
      <c r="AM12" s="16" t="n">
        <v>198.56</v>
      </c>
      <c r="AN12" s="16" t="n">
        <v>198.56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198.56</v>
      </c>
      <c r="AE13" s="17" t="n">
        <v>198.56</v>
      </c>
      <c r="AF13" s="16" t="n">
        <v>198.56</v>
      </c>
      <c r="AG13" s="16" t="n">
        <v>198.56</v>
      </c>
      <c r="AH13" s="16" t="n">
        <v>198.56</v>
      </c>
      <c r="AI13" s="16" t="n">
        <v>198.56</v>
      </c>
      <c r="AJ13" s="11" t="n"/>
      <c r="AK13" s="16" t="n">
        <v>198.56</v>
      </c>
      <c r="AL13" s="16" t="n">
        <v>198.56</v>
      </c>
      <c r="AM13" s="16" t="n">
        <v>198.56</v>
      </c>
      <c r="AN13" s="16" t="n">
        <v>198.56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5730</v>
      </c>
      <c r="F15" s="9" t="n"/>
      <c r="G15" s="18" t="n">
        <v>6650</v>
      </c>
      <c r="H15" s="18" t="n">
        <v>5500</v>
      </c>
      <c r="I15" s="18" t="n">
        <v>4525</v>
      </c>
      <c r="J15" s="18" t="n">
        <v>5530</v>
      </c>
      <c r="K15" s="9" t="n"/>
      <c r="L15" s="18" t="n">
        <v>5230</v>
      </c>
      <c r="M15" s="18" t="n">
        <v>5040</v>
      </c>
      <c r="N15" s="18" t="n">
        <v>4465</v>
      </c>
      <c r="O15" s="18" t="n">
        <v>4320</v>
      </c>
      <c r="P15" s="9" t="n"/>
      <c r="Q15" s="18" t="n">
        <v>4205</v>
      </c>
      <c r="R15" s="18" t="n">
        <v>4300</v>
      </c>
      <c r="S15" s="18" t="n">
        <v>3915</v>
      </c>
      <c r="T15" s="18" t="n">
        <v>3815</v>
      </c>
      <c r="U15" s="9" t="n"/>
      <c r="V15" s="18" t="n">
        <v>3635</v>
      </c>
      <c r="W15" s="18" t="n">
        <v>4010</v>
      </c>
      <c r="X15" s="18" t="n">
        <v>3745</v>
      </c>
      <c r="Y15" s="18" t="n">
        <v>3905</v>
      </c>
      <c r="Z15" s="9" t="n"/>
      <c r="AA15" s="18" t="n">
        <v>4100</v>
      </c>
      <c r="AB15" s="19" t="n">
        <v>4320</v>
      </c>
      <c r="AC15" s="20" t="n">
        <v>4330</v>
      </c>
      <c r="AD15" s="20" t="n">
        <v>4125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10700</v>
      </c>
      <c r="F16" s="9" t="n"/>
      <c r="G16" s="18" t="n">
        <v>6900</v>
      </c>
      <c r="H16" s="18" t="n">
        <v>7340</v>
      </c>
      <c r="I16" s="18" t="n">
        <v>6320</v>
      </c>
      <c r="J16" s="18" t="n">
        <v>6700</v>
      </c>
      <c r="K16" s="9" t="n"/>
      <c r="L16" s="18" t="n">
        <v>6480</v>
      </c>
      <c r="M16" s="18" t="n">
        <v>5900</v>
      </c>
      <c r="N16" s="18" t="n">
        <v>5170</v>
      </c>
      <c r="O16" s="18" t="n">
        <v>4720</v>
      </c>
      <c r="P16" s="9" t="n"/>
      <c r="Q16" s="18" t="n">
        <v>4480</v>
      </c>
      <c r="R16" s="18" t="n">
        <v>4690</v>
      </c>
      <c r="S16" s="18" t="n">
        <v>4520</v>
      </c>
      <c r="T16" s="18" t="n">
        <v>4900</v>
      </c>
      <c r="U16" s="9" t="n"/>
      <c r="V16" s="18" t="n">
        <v>4225</v>
      </c>
      <c r="W16" s="18" t="n">
        <v>4460</v>
      </c>
      <c r="X16" s="18" t="n">
        <v>4150</v>
      </c>
      <c r="Y16" s="18" t="n">
        <v>4110</v>
      </c>
      <c r="Z16" s="9" t="n"/>
      <c r="AA16" s="18" t="n">
        <v>4275</v>
      </c>
      <c r="AB16" s="19" t="n">
        <v>4700</v>
      </c>
      <c r="AC16" s="20" t="n">
        <v>4800</v>
      </c>
      <c r="AD16" s="20" t="n">
        <v>4530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4895</v>
      </c>
      <c r="F17" s="9" t="n"/>
      <c r="G17" s="18" t="n">
        <v>4865</v>
      </c>
      <c r="H17" s="18" t="n">
        <v>4955</v>
      </c>
      <c r="I17" s="18" t="n">
        <v>4460</v>
      </c>
      <c r="J17" s="18" t="n">
        <v>4390</v>
      </c>
      <c r="K17" s="9" t="n"/>
      <c r="L17" s="18" t="n">
        <v>5140</v>
      </c>
      <c r="M17" s="18" t="n">
        <v>4860</v>
      </c>
      <c r="N17" s="18" t="n">
        <v>4240</v>
      </c>
      <c r="O17" s="18" t="n">
        <v>4100</v>
      </c>
      <c r="P17" s="9" t="n"/>
      <c r="Q17" s="18" t="n">
        <v>4145</v>
      </c>
      <c r="R17" s="18" t="n">
        <v>4060</v>
      </c>
      <c r="S17" s="18" t="n">
        <v>3650</v>
      </c>
      <c r="T17" s="18" t="n">
        <v>3410</v>
      </c>
      <c r="U17" s="9" t="n"/>
      <c r="V17" s="18" t="n">
        <v>3630</v>
      </c>
      <c r="W17" s="18" t="n">
        <v>3485</v>
      </c>
      <c r="X17" s="18" t="n">
        <v>3645</v>
      </c>
      <c r="Y17" s="18" t="n">
        <v>3630</v>
      </c>
      <c r="Z17" s="9" t="n"/>
      <c r="AA17" s="18" t="n">
        <v>3655</v>
      </c>
      <c r="AB17" s="19" t="n">
        <v>3950</v>
      </c>
      <c r="AC17" s="20" t="n">
        <v>4120</v>
      </c>
      <c r="AD17" s="20" t="n">
        <v>4000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6399.4</v>
      </c>
      <c r="F18" s="9" t="n"/>
      <c r="G18" s="18" t="n">
        <v>5685</v>
      </c>
      <c r="H18" s="18" t="n">
        <v>6236.6</v>
      </c>
      <c r="I18" s="18" t="n">
        <v>5538.4</v>
      </c>
      <c r="J18" s="18" t="n">
        <v>5460.3</v>
      </c>
      <c r="K18" s="9" t="n"/>
      <c r="L18" s="18" t="n">
        <v>5827.3</v>
      </c>
      <c r="M18" s="18" t="n">
        <v>5154.8</v>
      </c>
      <c r="N18" s="18" t="n">
        <v>4671.5</v>
      </c>
      <c r="O18" s="18" t="n">
        <v>4344.2</v>
      </c>
      <c r="P18" s="9" t="n"/>
      <c r="Q18" s="18" t="n">
        <v>4303.9</v>
      </c>
      <c r="R18" s="18" t="n">
        <v>4243.6</v>
      </c>
      <c r="S18" s="18" t="n">
        <v>4096.8</v>
      </c>
      <c r="T18" s="18" t="n">
        <v>3896.1</v>
      </c>
      <c r="U18" s="9" t="n"/>
      <c r="V18" s="18" t="n">
        <v>3926.2</v>
      </c>
      <c r="W18" s="18" t="n">
        <v>3922.8</v>
      </c>
      <c r="X18" s="18" t="n">
        <v>3866.1</v>
      </c>
      <c r="Y18" s="18" t="n">
        <v>3844.9</v>
      </c>
      <c r="Z18" s="9" t="n"/>
      <c r="AA18" s="18" t="n">
        <v>3963.5</v>
      </c>
      <c r="AB18" s="19" t="n">
        <v>4288.4</v>
      </c>
      <c r="AC18" s="20" t="n">
        <v>4461.5</v>
      </c>
      <c r="AD18" s="20" t="n">
        <v>4221.9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0.029823119</v>
      </c>
      <c r="AD21" s="24" t="n">
        <v>0.029822398</v>
      </c>
      <c r="AE21" s="25" t="n"/>
      <c r="AF21" s="24" t="n">
        <v>0.029824605</v>
      </c>
      <c r="AG21" s="24" t="n">
        <v>0.029814445</v>
      </c>
      <c r="AH21" s="24" t="n">
        <v>0.014905766</v>
      </c>
      <c r="AI21" s="24" t="n">
        <v>0.014901644</v>
      </c>
      <c r="AJ21" s="25" t="n"/>
      <c r="AK21" s="24" t="n">
        <v>0.014908476</v>
      </c>
      <c r="AL21" s="24" t="n">
        <v>0.01491568</v>
      </c>
      <c r="AM21" s="24" t="n">
        <v>0.007458765</v>
      </c>
      <c r="AN21" s="24" t="n">
        <v>0.007459532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0.056358363</v>
      </c>
      <c r="AD23" s="24" t="n">
        <v>0.056351179</v>
      </c>
      <c r="AE23" s="25">
        <f>IFERROR(subQ!AE9/subQ!AE5,"")</f>
        <v/>
      </c>
      <c r="AF23" s="24" t="n">
        <v>0.056352003</v>
      </c>
      <c r="AG23" s="24" t="n">
        <v>0.056360354</v>
      </c>
      <c r="AH23" s="24" t="n">
        <v>0.056350844</v>
      </c>
      <c r="AI23" s="24" t="n">
        <v>0.056356765</v>
      </c>
      <c r="AJ23" s="25">
        <f>IFERROR(subQ!AJ9/subQ!AJ5,"")</f>
        <v/>
      </c>
      <c r="AK23" s="24" t="n">
        <v>0.056351445</v>
      </c>
      <c r="AL23" s="24" t="n">
        <v>0.05635636</v>
      </c>
      <c r="AM23" s="24" t="n">
        <v>0.056353437</v>
      </c>
      <c r="AN23" s="24" t="n">
        <v>0.056359059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4.51</v>
      </c>
      <c r="AD28" s="30" t="n">
        <v>4.51</v>
      </c>
      <c r="AE28" s="31">
        <f>subQ!AE17</f>
        <v/>
      </c>
      <c r="AF28" s="30" t="n">
        <v>4.51</v>
      </c>
      <c r="AG28" s="30" t="n">
        <v>4.51</v>
      </c>
      <c r="AH28" s="30" t="n">
        <v>4.51</v>
      </c>
      <c r="AI28" s="30" t="n">
        <v>4.51</v>
      </c>
      <c r="AJ28" s="31">
        <f>subQ!AJ17</f>
        <v/>
      </c>
      <c r="AK28" s="30" t="n">
        <v>4.51</v>
      </c>
      <c r="AL28" s="30" t="n">
        <v>4.51</v>
      </c>
      <c r="AM28" s="30" t="n">
        <v>4.51</v>
      </c>
      <c r="AN28" s="30" t="n">
        <v>4.51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$D$51</f>
        <v/>
      </c>
      <c r="AD29" s="26">
        <f>$D$51</f>
        <v/>
      </c>
      <c r="AE29" s="25">
        <f>IFERROR(subQ!AE19/subQ!AE18,"")</f>
        <v/>
      </c>
      <c r="AF29" s="26">
        <f>$D$51</f>
        <v/>
      </c>
      <c r="AG29" s="26">
        <f>$D$51</f>
        <v/>
      </c>
      <c r="AH29" s="26">
        <f>$D$51</f>
        <v/>
      </c>
      <c r="AI29" s="26">
        <f>$D$51</f>
        <v/>
      </c>
      <c r="AJ29" s="25">
        <f>IFERROR(subQ!AJ19/subQ!AJ18,"")</f>
        <v/>
      </c>
      <c r="AK29" s="26">
        <f>$D$51</f>
        <v/>
      </c>
      <c r="AL29" s="26">
        <f>$D$51</f>
        <v/>
      </c>
      <c r="AM29" s="26">
        <f>$D$51</f>
        <v/>
      </c>
      <c r="AN29" s="26">
        <f>$D$51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$D$53</f>
        <v/>
      </c>
      <c r="AD30" s="26">
        <f>$D$53</f>
        <v/>
      </c>
      <c r="AE30" s="25">
        <f>IFERROR(subQ!AE21/subQ!AE20,"")</f>
        <v/>
      </c>
      <c r="AF30" s="26">
        <f>$D$53</f>
        <v/>
      </c>
      <c r="AG30" s="26">
        <f>$D$53</f>
        <v/>
      </c>
      <c r="AH30" s="26">
        <f>$D$53</f>
        <v/>
      </c>
      <c r="AI30" s="26">
        <f>$D$53</f>
        <v/>
      </c>
      <c r="AJ30" s="25">
        <f>IFERROR(subQ!AJ21/subQ!AJ20,"")</f>
        <v/>
      </c>
      <c r="AK30" s="26">
        <f>$D$53</f>
        <v/>
      </c>
      <c r="AL30" s="26">
        <f>$D$53</f>
        <v/>
      </c>
      <c r="AM30" s="26">
        <f>$D$53</f>
        <v/>
      </c>
      <c r="AN30" s="26">
        <f>$D$53</f>
        <v/>
      </c>
      <c r="AO30" s="25">
        <f>IFERROR(subQ!AO21/subQ!AO20,"")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3.73e-07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-0.000374113</v>
      </c>
      <c r="AD32" s="30" t="n">
        <v>0.001272136</v>
      </c>
      <c r="AE32" s="31" t="n"/>
      <c r="AF32" s="30" t="n">
        <v>-0.0006795320000000001</v>
      </c>
      <c r="AG32" s="30" t="n">
        <v>40.002075613</v>
      </c>
      <c r="AH32" s="30" t="n">
        <v>0.00142807</v>
      </c>
      <c r="AI32" s="30" t="n">
        <v>-0.005560778</v>
      </c>
      <c r="AJ32" s="31" t="n"/>
      <c r="AK32" s="30" t="n">
        <v>0.005036746</v>
      </c>
      <c r="AL32" s="30" t="n">
        <v>39.995639294</v>
      </c>
      <c r="AM32" s="30" t="n">
        <v>0.002259437</v>
      </c>
      <c r="AN32" s="30" t="n">
        <v>0.001481555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IFERROR(subQ!E25+subQ!G21-subQ!G25,"")</f>
        <v/>
      </c>
      <c r="H33" s="27">
        <f>IFERROR(subQ!G25+subQ!H21-subQ!H25,"")</f>
        <v/>
      </c>
      <c r="I33" s="27">
        <f>IFERROR(subQ!H25+subQ!I21-subQ!I25,"")</f>
        <v/>
      </c>
      <c r="J33" s="27">
        <f>IFERROR(subQ!I25+subQ!J21-subQ!J25,"")</f>
        <v/>
      </c>
      <c r="K33" s="28" t="n"/>
      <c r="L33" s="27">
        <f>IFERROR(subQ!J25+subQ!L21-subQ!L25,"")</f>
        <v/>
      </c>
      <c r="M33" s="27">
        <f>IFERROR(subQ!L25+subQ!M21-subQ!M25,"")</f>
        <v/>
      </c>
      <c r="N33" s="27">
        <f>IFERROR(subQ!M25+subQ!N21-subQ!N25,"")</f>
        <v/>
      </c>
      <c r="O33" s="27">
        <f>IFERROR(subQ!N25+subQ!O21-subQ!O25,"")</f>
        <v/>
      </c>
      <c r="P33" s="28" t="n"/>
      <c r="Q33" s="27">
        <f>IFERROR(subQ!O25+subQ!Q21-subQ!Q25,"")</f>
        <v/>
      </c>
      <c r="R33" s="27">
        <f>IFERROR(subQ!Q25+subQ!R21-subQ!R25,"")</f>
        <v/>
      </c>
      <c r="S33" s="27">
        <f>IFERROR(subQ!R25+subQ!S21-subQ!S25,"")</f>
        <v/>
      </c>
      <c r="T33" s="27">
        <f>IFERROR(subQ!S25+subQ!T21-subQ!T25,"")</f>
        <v/>
      </c>
      <c r="U33" s="28" t="n"/>
      <c r="V33" s="27">
        <f>IFERROR(subQ!T25+subQ!V21-subQ!V25,"")</f>
        <v/>
      </c>
      <c r="W33" s="27">
        <f>IFERROR(subQ!V25+subQ!W21-subQ!W25,"")</f>
        <v/>
      </c>
      <c r="X33" s="27">
        <f>IFERROR(subQ!W25+subQ!X21-subQ!X25,"")</f>
        <v/>
      </c>
      <c r="Y33" s="27">
        <f>IFERROR(subQ!X25+subQ!Y21-subQ!Y25,"")</f>
        <v/>
      </c>
      <c r="Z33" s="28" t="n"/>
      <c r="AA33" s="27">
        <f>IFERROR(subQ!Y25+subQ!AA21-subQ!AA25,"")</f>
        <v/>
      </c>
      <c r="AB33" s="29">
        <f>IFERROR(subQ!AA25+subQ!AB21-subQ!AB25,"")</f>
        <v/>
      </c>
      <c r="AC33" s="30" t="n">
        <v>0.004825887</v>
      </c>
      <c r="AD33" s="30" t="n">
        <v>-0.008727864</v>
      </c>
      <c r="AE33" s="31" t="n"/>
      <c r="AF33" s="30" t="n">
        <v>-0.0006795320000000001</v>
      </c>
      <c r="AG33" s="30" t="n">
        <v>40.012075613</v>
      </c>
      <c r="AH33" s="30" t="n">
        <v>-0.00857193</v>
      </c>
      <c r="AI33" s="30" t="n">
        <v>0.004439222</v>
      </c>
      <c r="AJ33" s="31" t="n"/>
      <c r="AK33" s="30" t="n">
        <v>-0.004963254</v>
      </c>
      <c r="AL33" s="30" t="n">
        <v>40.005639294</v>
      </c>
      <c r="AM33" s="30" t="n">
        <v>0.002259437</v>
      </c>
      <c r="AN33" s="30" t="n">
        <v>0.001481555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-3.581e-06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-0.036304685</v>
      </c>
      <c r="AD35" s="24" t="n">
        <v>-0.039136057</v>
      </c>
      <c r="AE35" s="25" t="n"/>
      <c r="AF35" s="24" t="n">
        <v>-0.040718266</v>
      </c>
      <c r="AG35" s="24" t="n">
        <v>-0.000135376</v>
      </c>
      <c r="AH35" s="24" t="n">
        <v>-0.042464674</v>
      </c>
      <c r="AI35" s="24" t="n">
        <v>-0.046057537</v>
      </c>
      <c r="AJ35" s="25" t="n"/>
      <c r="AK35" s="24" t="n">
        <v>-0.048254302</v>
      </c>
      <c r="AL35" s="24" t="n">
        <v>-0.002166218</v>
      </c>
      <c r="AM35" s="24" t="n">
        <v>-0.050498744</v>
      </c>
      <c r="AN35" s="24" t="n">
        <v>-0.055186945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0.07783538500000001</v>
      </c>
      <c r="AD36" s="24" t="n">
        <v>0.075021202</v>
      </c>
      <c r="AE36" s="25" t="n"/>
      <c r="AF36" s="24" t="n">
        <v>0.06976556</v>
      </c>
      <c r="AG36" s="24" t="n">
        <v>0.000207995</v>
      </c>
      <c r="AH36" s="24" t="n">
        <v>0.06522109</v>
      </c>
      <c r="AI36" s="24" t="n">
        <v>0.063588124</v>
      </c>
      <c r="AJ36" s="25" t="n"/>
      <c r="AK36" s="24" t="n">
        <v>0.059753045</v>
      </c>
      <c r="AL36" s="24" t="n">
        <v>0.002409032</v>
      </c>
      <c r="AM36" s="24" t="n">
        <v>0.055902865</v>
      </c>
      <c r="AN36" s="24" t="n">
        <v>0.054936554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24" t="n">
        <v>-0.078071112</v>
      </c>
      <c r="AD38" s="24" t="n">
        <v>-0.421225267</v>
      </c>
      <c r="AE38" s="25" t="n"/>
      <c r="AF38" s="24" t="n">
        <v>0.09227148</v>
      </c>
      <c r="AG38" s="24" t="n">
        <v>1.643980956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32" t="n"/>
      <c r="AD39" s="32" t="n"/>
      <c r="AE39" s="25" t="n"/>
      <c r="AF39" s="32" t="n"/>
      <c r="AG39" s="32" t="n"/>
      <c r="AH39" s="32" t="n"/>
      <c r="AI39" s="32" t="n"/>
      <c r="AJ39" s="25" t="n"/>
      <c r="AK39" s="32" t="n"/>
      <c r="AL39" s="32" t="n"/>
      <c r="AM39" s="32" t="n"/>
      <c r="AN39" s="32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IFERROR(subQ!G32/subQ!E32-1,"")</f>
        <v/>
      </c>
      <c r="H40" s="21">
        <f>IFERROR(subQ!H32/subQ!G32-1,"")</f>
        <v/>
      </c>
      <c r="I40" s="21">
        <f>IFERROR(subQ!I32/subQ!H32-1,"")</f>
        <v/>
      </c>
      <c r="J40" s="21">
        <f>IFERROR(subQ!J32/subQ!I32-1,"")</f>
        <v/>
      </c>
      <c r="K40" s="22" t="n"/>
      <c r="L40" s="21">
        <f>IFERROR(subQ!L32/subQ!J32-1,"")</f>
        <v/>
      </c>
      <c r="M40" s="21">
        <f>IFERROR(subQ!M32/subQ!L32-1,"")</f>
        <v/>
      </c>
      <c r="N40" s="21">
        <f>IFERROR(subQ!N32/subQ!M32-1,"")</f>
        <v/>
      </c>
      <c r="O40" s="21">
        <f>IFERROR(subQ!O32/subQ!N32-1,"")</f>
        <v/>
      </c>
      <c r="P40" s="22" t="n"/>
      <c r="Q40" s="21">
        <f>IFERROR(subQ!Q32/subQ!O32-1,"")</f>
        <v/>
      </c>
      <c r="R40" s="21">
        <f>IFERROR(subQ!R32/subQ!Q32-1,"")</f>
        <v/>
      </c>
      <c r="S40" s="21">
        <f>IFERROR(subQ!S32/subQ!R32-1,"")</f>
        <v/>
      </c>
      <c r="T40" s="21">
        <f>IFERROR(subQ!T32/subQ!S32-1,"")</f>
        <v/>
      </c>
      <c r="U40" s="22" t="n"/>
      <c r="V40" s="21">
        <f>IFERROR(subQ!V32/subQ!T32-1,"")</f>
        <v/>
      </c>
      <c r="W40" s="21">
        <f>IFERROR(subQ!W32/subQ!V32-1,"")</f>
        <v/>
      </c>
      <c r="X40" s="21">
        <f>IFERROR(subQ!X32/subQ!W32-1,"")</f>
        <v/>
      </c>
      <c r="Y40" s="21">
        <f>IFERROR(subQ!Y32/subQ!X32-1,"")</f>
        <v/>
      </c>
      <c r="Z40" s="22" t="n"/>
      <c r="AA40" s="21">
        <f>IFERROR(subQ!AA32/subQ!Y32-1,"")</f>
        <v/>
      </c>
      <c r="AB40" s="23">
        <f>IFERROR(subQ!AB32/subQ!AA32-1,"")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subQ!E35</f>
        <v/>
      </c>
      <c r="F41" s="28">
        <f>subQ!F35</f>
        <v/>
      </c>
      <c r="G41" s="27">
        <f>subQ!G35</f>
        <v/>
      </c>
      <c r="H41" s="27">
        <f>subQ!H35</f>
        <v/>
      </c>
      <c r="I41" s="27">
        <f>subQ!I35</f>
        <v/>
      </c>
      <c r="J41" s="27">
        <f>subQ!J35</f>
        <v/>
      </c>
      <c r="K41" s="28">
        <f>subQ!K35</f>
        <v/>
      </c>
      <c r="L41" s="27">
        <f>subQ!L35</f>
        <v/>
      </c>
      <c r="M41" s="27">
        <f>subQ!M35</f>
        <v/>
      </c>
      <c r="N41" s="27">
        <f>subQ!N35</f>
        <v/>
      </c>
      <c r="O41" s="27">
        <f>subQ!O35</f>
        <v/>
      </c>
      <c r="P41" s="28">
        <f>subQ!P35</f>
        <v/>
      </c>
      <c r="Q41" s="27">
        <f>subQ!Q35</f>
        <v/>
      </c>
      <c r="R41" s="27">
        <f>subQ!R35</f>
        <v/>
      </c>
      <c r="S41" s="27">
        <f>subQ!S35</f>
        <v/>
      </c>
      <c r="T41" s="27">
        <f>subQ!T35</f>
        <v/>
      </c>
      <c r="U41" s="28">
        <f>subQ!U35</f>
        <v/>
      </c>
      <c r="V41" s="27">
        <f>subQ!V35</f>
        <v/>
      </c>
      <c r="W41" s="27">
        <f>subQ!W35</f>
        <v/>
      </c>
      <c r="X41" s="27">
        <f>subQ!X35</f>
        <v/>
      </c>
      <c r="Y41" s="27">
        <f>subQ!Y35</f>
        <v/>
      </c>
      <c r="Z41" s="28">
        <f>subQ!Z35</f>
        <v/>
      </c>
      <c r="AA41" s="27">
        <f>subQ!AA35</f>
        <v/>
      </c>
      <c r="AB41" s="29">
        <f>subQ!AB35</f>
        <v/>
      </c>
      <c r="AC41" s="33" t="n"/>
      <c r="AD41" s="30" t="n">
        <v>250</v>
      </c>
      <c r="AE41" s="31">
        <f>subQ!AE35</f>
        <v/>
      </c>
      <c r="AF41" s="33" t="n"/>
      <c r="AG41" s="33" t="n"/>
      <c r="AH41" s="33" t="n"/>
      <c r="AI41" s="30" t="n">
        <v>250</v>
      </c>
      <c r="AJ41" s="31">
        <f>subQ!AJ35</f>
        <v/>
      </c>
      <c r="AK41" s="33" t="n"/>
      <c r="AL41" s="33" t="n"/>
      <c r="AM41" s="33" t="n"/>
      <c r="AN41" s="30" t="n">
        <v>250</v>
      </c>
      <c r="AO41" s="31">
        <f>subQ!AO35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4125</v>
      </c>
      <c r="E44" s="2" t="inlineStr">
        <is>
          <t>원 — 네이버 정규장 종가(aik 확정종가 대조 · aik 4,245원)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20261026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10</v>
      </c>
      <c r="E47" s="2" t="inlineStr">
        <is>
          <t>PER 밴드 하단(배) — sector_default(레퍼런스 TP_PE PB 예시 10/15/20배; 과거 PER 중위 4.1배가 캡 5~30 밖 — 턴어라운드 초기 TTM EPS 왜곡)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15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20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0.2238588678598955</v>
      </c>
      <c r="E51" s="2" t="inlineStr">
        <is>
          <t>연결 — 법인세 = MAX(세전,0) × 세율(역산, 재현 오차 ≤ 0.05억 · 모델 assumptions 0.2239) · 최근 12분기 유효세율 22.4%(5~27% 안 — 그대로)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0.08680556832600821</v>
      </c>
      <c r="E52" s="2" t="inlineStr">
        <is>
          <t>연결 — 판관비 = 매출액 × 판관비율(역산, 재현 오차 ≤ 0.05억 · 모델 assumptions 0.0868)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0.03995373376378581</v>
      </c>
      <c r="E54" s="2" t="inlineStr">
        <is>
          <t>연결 — 이자손익 = (전분기 이자발생자산 × 자산이자율 − 전분기 총차입금 × 부채이자율)/4(역산, 재현 오차 ≤ 0.05억 · 모델 assumptions 0.04)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0.03604608088321742</v>
      </c>
      <c r="E55" s="2" t="inlineStr">
        <is>
          <t>연결 — 같은 수식의 부채 쪽(총차입금 행이 없으면 0)(역산, 재현 오차 ≤ 0.05억 · 모델 assumptions 0.036)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0.2674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DSR(연)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185737.51</v>
      </c>
      <c r="F5" s="37" t="n">
        <v>185737.51</v>
      </c>
      <c r="G5" s="18" t="n">
        <v>189275.49</v>
      </c>
      <c r="H5" s="18" t="n">
        <v>199697.13</v>
      </c>
      <c r="I5" s="18" t="n">
        <v>197821.26</v>
      </c>
      <c r="J5" s="18" t="n">
        <v>176061.39</v>
      </c>
      <c r="K5" s="37" t="n">
        <v>176061.39</v>
      </c>
      <c r="L5" s="18" t="n">
        <v>166780.69</v>
      </c>
      <c r="M5" s="18" t="n">
        <v>165267.72</v>
      </c>
      <c r="N5" s="18" t="n">
        <v>158101.03</v>
      </c>
      <c r="O5" s="18" t="n">
        <v>155280.08</v>
      </c>
      <c r="P5" s="37" t="n">
        <v>155280.08</v>
      </c>
      <c r="Q5" s="18" t="n">
        <v>154555.48</v>
      </c>
      <c r="R5" s="18" t="n">
        <v>166525.33</v>
      </c>
      <c r="S5" s="18" t="n">
        <v>152515.68</v>
      </c>
      <c r="T5" s="18" t="n">
        <v>157101.45</v>
      </c>
      <c r="U5" s="37" t="n">
        <v>157101.45</v>
      </c>
      <c r="V5" s="18" t="n">
        <v>153083.13</v>
      </c>
      <c r="W5" s="18" t="n">
        <v>165023.14</v>
      </c>
      <c r="X5" s="18" t="n">
        <v>163859.13</v>
      </c>
      <c r="Y5" s="18" t="n">
        <v>183887.86</v>
      </c>
      <c r="Z5" s="37" t="n">
        <v>183887.86</v>
      </c>
      <c r="AA5" s="18" t="n">
        <v>191960.51</v>
      </c>
      <c r="AB5" s="19" t="n">
        <v>212182.42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15855.02</v>
      </c>
      <c r="F6" s="37" t="n">
        <v>15855.02</v>
      </c>
      <c r="G6" s="18" t="n">
        <v>8499.120000000001</v>
      </c>
      <c r="H6" s="18" t="n">
        <v>8777.889999999999</v>
      </c>
      <c r="I6" s="18" t="n">
        <v>12452.5</v>
      </c>
      <c r="J6" s="18" t="n">
        <v>8655.77</v>
      </c>
      <c r="K6" s="37" t="n">
        <v>8655.77</v>
      </c>
      <c r="L6" s="18" t="n">
        <v>1695.22</v>
      </c>
      <c r="M6" s="18" t="n">
        <v>3861.57</v>
      </c>
      <c r="N6" s="18" t="n">
        <v>9708.42</v>
      </c>
      <c r="O6" s="18" t="n">
        <v>6126.13</v>
      </c>
      <c r="P6" s="37" t="n">
        <v>6126.13</v>
      </c>
      <c r="Q6" s="18" t="n">
        <v>3892.15</v>
      </c>
      <c r="R6" s="18" t="n">
        <v>8193.309999999999</v>
      </c>
      <c r="S6" s="18" t="n">
        <v>9874.77</v>
      </c>
      <c r="T6" s="18" t="n">
        <v>6983.81</v>
      </c>
      <c r="U6" s="37" t="n">
        <v>6983.81</v>
      </c>
      <c r="V6" s="18" t="n">
        <v>7769.05</v>
      </c>
      <c r="W6" s="18" t="n">
        <v>15439.18</v>
      </c>
      <c r="X6" s="18" t="n">
        <v>9786.370000000001</v>
      </c>
      <c r="Y6" s="18" t="n">
        <v>15703.66</v>
      </c>
      <c r="Z6" s="37" t="n">
        <v>15703.66</v>
      </c>
      <c r="AA6" s="18" t="n">
        <v>16440.73</v>
      </c>
      <c r="AB6" s="19" t="n">
        <v>11849.4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2471.5</v>
      </c>
      <c r="F7" s="37" t="n">
        <v>2471.5</v>
      </c>
      <c r="G7" s="18" t="n">
        <v>951.84</v>
      </c>
      <c r="H7" s="18" t="n">
        <v>592.4</v>
      </c>
      <c r="I7" s="18" t="n">
        <v>276.15</v>
      </c>
      <c r="J7" s="18" t="n">
        <v>7707.75</v>
      </c>
      <c r="K7" s="37" t="n">
        <v>7707.75</v>
      </c>
      <c r="L7" s="18" t="n">
        <v>6131.05</v>
      </c>
      <c r="M7" s="18" t="n">
        <v>7642.03</v>
      </c>
      <c r="N7" s="18" t="n">
        <v>8646.66</v>
      </c>
      <c r="O7" s="18" t="n">
        <v>12002.66</v>
      </c>
      <c r="P7" s="37" t="n">
        <v>12002.66</v>
      </c>
      <c r="Q7" s="18" t="n">
        <v>12051.48</v>
      </c>
      <c r="R7" s="18" t="n">
        <v>12101.82</v>
      </c>
      <c r="S7" s="18" t="n">
        <v>5225.97</v>
      </c>
      <c r="T7" s="18" t="n">
        <v>850.88</v>
      </c>
      <c r="U7" s="37" t="n">
        <v>850.88</v>
      </c>
      <c r="V7" s="18" t="n">
        <v>1085.46</v>
      </c>
      <c r="W7" s="18" t="n">
        <v>1126.32</v>
      </c>
      <c r="X7" s="18" t="n">
        <v>1107.71</v>
      </c>
      <c r="Y7" s="18" t="n">
        <v>1029.67</v>
      </c>
      <c r="Z7" s="37" t="n">
        <v>1029.67</v>
      </c>
      <c r="AA7" s="18" t="n">
        <v>1547.46</v>
      </c>
      <c r="AB7" s="19" t="n">
        <v>399.81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50442.15</v>
      </c>
      <c r="F8" s="37" t="n">
        <v>50442.15</v>
      </c>
      <c r="G8" s="18" t="n">
        <v>56851.32</v>
      </c>
      <c r="H8" s="18" t="n">
        <v>63153.2</v>
      </c>
      <c r="I8" s="18" t="n">
        <v>64541.81</v>
      </c>
      <c r="J8" s="18" t="n">
        <v>55965.51</v>
      </c>
      <c r="K8" s="37" t="n">
        <v>55965.51</v>
      </c>
      <c r="L8" s="18" t="n">
        <v>53032.23</v>
      </c>
      <c r="M8" s="18" t="n">
        <v>54600.12</v>
      </c>
      <c r="N8" s="18" t="n">
        <v>48691.75</v>
      </c>
      <c r="O8" s="18" t="n">
        <v>44550.79</v>
      </c>
      <c r="P8" s="37" t="n">
        <v>44550.79</v>
      </c>
      <c r="Q8" s="18" t="n">
        <v>46010.19</v>
      </c>
      <c r="R8" s="18" t="n">
        <v>51331.76</v>
      </c>
      <c r="S8" s="18" t="n">
        <v>44163.75</v>
      </c>
      <c r="T8" s="18" t="n">
        <v>56529.69</v>
      </c>
      <c r="U8" s="37" t="n">
        <v>56529.69</v>
      </c>
      <c r="V8" s="18" t="n">
        <v>50245.74</v>
      </c>
      <c r="W8" s="18" t="n">
        <v>48679.51</v>
      </c>
      <c r="X8" s="18" t="n">
        <v>48585.94</v>
      </c>
      <c r="Y8" s="18" t="n">
        <v>56462.21</v>
      </c>
      <c r="Z8" s="37" t="n">
        <v>56462.21</v>
      </c>
      <c r="AA8" s="18" t="n">
        <v>59053.85</v>
      </c>
      <c r="AB8" s="19" t="n">
        <v>65224.76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12651.27</v>
      </c>
      <c r="F9" s="37" t="n">
        <v>12651.27</v>
      </c>
      <c r="G9" s="18" t="n">
        <v>15446.7</v>
      </c>
      <c r="H9" s="18" t="n">
        <v>10832.57</v>
      </c>
      <c r="I9" s="18" t="n">
        <v>8607.18</v>
      </c>
      <c r="J9" s="18" t="n">
        <v>6361.45</v>
      </c>
      <c r="K9" s="37" t="n">
        <v>6361.45</v>
      </c>
      <c r="L9" s="18" t="n">
        <v>8210.709999999999</v>
      </c>
      <c r="M9" s="18" t="n">
        <v>7235.24</v>
      </c>
      <c r="N9" s="18" t="n">
        <v>7035.6</v>
      </c>
      <c r="O9" s="18" t="n">
        <v>9071</v>
      </c>
      <c r="P9" s="37" t="n">
        <v>9071</v>
      </c>
      <c r="Q9" s="18" t="n">
        <v>8446.43</v>
      </c>
      <c r="R9" s="18" t="n">
        <v>7768.37</v>
      </c>
      <c r="S9" s="18" t="n">
        <v>7837.78</v>
      </c>
      <c r="T9" s="18" t="n">
        <v>7596.89</v>
      </c>
      <c r="U9" s="37" t="n">
        <v>7596.89</v>
      </c>
      <c r="V9" s="18" t="n">
        <v>7378.09</v>
      </c>
      <c r="W9" s="18" t="n">
        <v>8501.809999999999</v>
      </c>
      <c r="X9" s="18" t="n">
        <v>7972.64</v>
      </c>
      <c r="Y9" s="18" t="n">
        <v>9712.059999999999</v>
      </c>
      <c r="Z9" s="37" t="n">
        <v>9712.059999999999</v>
      </c>
      <c r="AA9" s="18" t="n">
        <v>11690.29</v>
      </c>
      <c r="AB9" s="19" t="n">
        <v>12751.8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87914.95</v>
      </c>
      <c r="F10" s="37" t="n">
        <v>87914.95</v>
      </c>
      <c r="G10" s="18" t="n">
        <v>89778.19</v>
      </c>
      <c r="H10" s="18" t="n">
        <v>103775.22</v>
      </c>
      <c r="I10" s="18" t="n">
        <v>101337.88</v>
      </c>
      <c r="J10" s="18" t="n">
        <v>85462.75</v>
      </c>
      <c r="K10" s="37" t="n">
        <v>85462.75</v>
      </c>
      <c r="L10" s="18" t="n">
        <v>85045.17999999999</v>
      </c>
      <c r="M10" s="18" t="n">
        <v>79287.07000000001</v>
      </c>
      <c r="N10" s="18" t="n">
        <v>71002.78</v>
      </c>
      <c r="O10" s="18" t="n">
        <v>71553.62</v>
      </c>
      <c r="P10" s="37" t="n">
        <v>71553.62</v>
      </c>
      <c r="Q10" s="18" t="n">
        <v>73150.97</v>
      </c>
      <c r="R10" s="18" t="n">
        <v>78557.41</v>
      </c>
      <c r="S10" s="18" t="n">
        <v>79775.71000000001</v>
      </c>
      <c r="T10" s="18" t="n">
        <v>79052.33</v>
      </c>
      <c r="U10" s="37" t="n">
        <v>79052.33</v>
      </c>
      <c r="V10" s="18" t="n">
        <v>80179.57000000001</v>
      </c>
      <c r="W10" s="18" t="n">
        <v>83178.37</v>
      </c>
      <c r="X10" s="18" t="n">
        <v>86059.53999999999</v>
      </c>
      <c r="Y10" s="18" t="n">
        <v>83948.10000000001</v>
      </c>
      <c r="Z10" s="37" t="n">
        <v>83948.10000000001</v>
      </c>
      <c r="AA10" s="18" t="n">
        <v>84397.27</v>
      </c>
      <c r="AB10" s="19" t="n">
        <v>91459.88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116861.12</v>
      </c>
      <c r="F11" s="37" t="n">
        <v>116861.12</v>
      </c>
      <c r="G11" s="18" t="n">
        <v>123129.08</v>
      </c>
      <c r="H11" s="18" t="n">
        <v>174729.15</v>
      </c>
      <c r="I11" s="18" t="n">
        <v>182104.82</v>
      </c>
      <c r="J11" s="18" t="n">
        <v>188649</v>
      </c>
      <c r="K11" s="37" t="n">
        <v>188649</v>
      </c>
      <c r="L11" s="18" t="n">
        <v>191600.76</v>
      </c>
      <c r="M11" s="18" t="n">
        <v>188596.72</v>
      </c>
      <c r="N11" s="18" t="n">
        <v>188360.19</v>
      </c>
      <c r="O11" s="18" t="n">
        <v>188200.94</v>
      </c>
      <c r="P11" s="37" t="n">
        <v>188200.94</v>
      </c>
      <c r="Q11" s="18" t="n">
        <v>190773.83</v>
      </c>
      <c r="R11" s="18" t="n">
        <v>192900.37</v>
      </c>
      <c r="S11" s="18" t="n">
        <v>199755</v>
      </c>
      <c r="T11" s="18" t="n">
        <v>206292.78</v>
      </c>
      <c r="U11" s="37" t="n">
        <v>206292.78</v>
      </c>
      <c r="V11" s="18" t="n">
        <v>202649.73</v>
      </c>
      <c r="W11" s="18" t="n">
        <v>194508.78</v>
      </c>
      <c r="X11" s="18" t="n">
        <v>200148.46</v>
      </c>
      <c r="Y11" s="18" t="n">
        <v>207704.41</v>
      </c>
      <c r="Z11" s="37" t="n">
        <v>207704.41</v>
      </c>
      <c r="AA11" s="18" t="n">
        <v>214909.36</v>
      </c>
      <c r="AB11" s="19" t="n">
        <v>216113.33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15761.2</v>
      </c>
      <c r="F12" s="37" t="n">
        <v>15761.2</v>
      </c>
      <c r="G12" s="18" t="n">
        <v>17670.58</v>
      </c>
      <c r="H12" s="18" t="n">
        <v>15873.36</v>
      </c>
      <c r="I12" s="18" t="n">
        <v>13803.55</v>
      </c>
      <c r="J12" s="18" t="n">
        <v>23933.03</v>
      </c>
      <c r="K12" s="37" t="n">
        <v>23933.03</v>
      </c>
      <c r="L12" s="18" t="n">
        <v>27512.54</v>
      </c>
      <c r="M12" s="18" t="n">
        <v>26724.71</v>
      </c>
      <c r="N12" s="18" t="n">
        <v>9281.75</v>
      </c>
      <c r="O12" s="18" t="n">
        <v>8522.469999999999</v>
      </c>
      <c r="P12" s="37" t="n">
        <v>8522.469999999999</v>
      </c>
      <c r="Q12" s="18" t="n">
        <v>7847.89</v>
      </c>
      <c r="R12" s="18" t="n">
        <v>23670.26</v>
      </c>
      <c r="S12" s="18" t="n">
        <v>4195.41</v>
      </c>
      <c r="T12" s="18" t="n">
        <v>3912</v>
      </c>
      <c r="U12" s="37" t="n">
        <v>3912</v>
      </c>
      <c r="V12" s="18" t="n">
        <v>3898.37</v>
      </c>
      <c r="W12" s="18" t="n">
        <v>25318.41</v>
      </c>
      <c r="X12" s="18" t="n">
        <v>5904.56</v>
      </c>
      <c r="Y12" s="18" t="n">
        <v>5236.11</v>
      </c>
      <c r="Z12" s="37" t="n">
        <v>5236.11</v>
      </c>
      <c r="AA12" s="18" t="n">
        <v>4891.28</v>
      </c>
      <c r="AB12" s="19" t="n">
        <v>30816.67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15761.2</v>
      </c>
      <c r="F13" s="37" t="n">
        <v>15761.2</v>
      </c>
      <c r="G13" s="18" t="n">
        <v>17670.58</v>
      </c>
      <c r="H13" s="18" t="n">
        <v>15873.36</v>
      </c>
      <c r="I13" s="18" t="n">
        <v>13803.55</v>
      </c>
      <c r="J13" s="18" t="n">
        <v>23933.03</v>
      </c>
      <c r="K13" s="37" t="n">
        <v>23933.03</v>
      </c>
      <c r="L13" s="18" t="n">
        <v>27512.54</v>
      </c>
      <c r="M13" s="18" t="n">
        <v>26724.71</v>
      </c>
      <c r="N13" s="18" t="n">
        <v>9281.75</v>
      </c>
      <c r="O13" s="18" t="n">
        <v>8522.469999999999</v>
      </c>
      <c r="P13" s="37" t="n">
        <v>8522.469999999999</v>
      </c>
      <c r="Q13" s="18" t="n">
        <v>7847.89</v>
      </c>
      <c r="R13" s="18" t="n">
        <v>23670.26</v>
      </c>
      <c r="S13" s="18" t="n">
        <v>4195.41</v>
      </c>
      <c r="T13" s="18" t="n">
        <v>7135.73</v>
      </c>
      <c r="U13" s="37" t="n">
        <v>7135.73</v>
      </c>
      <c r="V13" s="18" t="n">
        <v>6822.94</v>
      </c>
      <c r="W13" s="18" t="n">
        <v>28560</v>
      </c>
      <c r="X13" s="18" t="n">
        <v>9284.559999999999</v>
      </c>
      <c r="Y13" s="18" t="n">
        <v>8665.23</v>
      </c>
      <c r="Z13" s="37" t="n">
        <v>8665.23</v>
      </c>
      <c r="AA13" s="18" t="n">
        <v>9249.120000000001</v>
      </c>
      <c r="AB13" s="19" t="n">
        <v>30816.67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489.73</v>
      </c>
      <c r="F14" s="37" t="n">
        <v>489.73</v>
      </c>
      <c r="G14" s="18" t="n">
        <v>479.81</v>
      </c>
      <c r="H14" s="18" t="n">
        <v>489.29</v>
      </c>
      <c r="I14" s="18" t="n">
        <v>100.57</v>
      </c>
      <c r="J14" s="18" t="n">
        <v>99.83</v>
      </c>
      <c r="K14" s="37" t="n">
        <v>99.83</v>
      </c>
      <c r="L14" s="18" t="n">
        <v>104.17</v>
      </c>
      <c r="M14" s="18" t="n">
        <v>122.75</v>
      </c>
      <c r="N14" s="18" t="n">
        <v>163.83</v>
      </c>
      <c r="O14" s="18" t="n">
        <v>150.9</v>
      </c>
      <c r="P14" s="37" t="n">
        <v>150.9</v>
      </c>
      <c r="Q14" s="18" t="n">
        <v>189.56</v>
      </c>
      <c r="R14" s="18" t="n">
        <v>180.55</v>
      </c>
      <c r="T14" s="18" t="n">
        <v>167.95</v>
      </c>
      <c r="U14" s="37" t="n">
        <v>167.95</v>
      </c>
      <c r="Y14" s="18" t="n">
        <v>215.43</v>
      </c>
      <c r="Z14" s="37" t="n">
        <v>215.43</v>
      </c>
      <c r="AA14" s="18" t="n">
        <v>251.24</v>
      </c>
      <c r="AB14" s="19" t="n">
        <v>241.83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94435.42999999999</v>
      </c>
      <c r="F15" s="37" t="n">
        <v>94435.42999999999</v>
      </c>
      <c r="G15" s="18" t="n">
        <v>98979.85000000001</v>
      </c>
      <c r="H15" s="18" t="n">
        <v>144717.89</v>
      </c>
      <c r="I15" s="18" t="n">
        <v>153229.55</v>
      </c>
      <c r="J15" s="18" t="n">
        <v>109321.52</v>
      </c>
      <c r="K15" s="37" t="n">
        <v>109321.52</v>
      </c>
      <c r="L15" s="18" t="n">
        <v>109763.37</v>
      </c>
      <c r="M15" s="18" t="n">
        <v>107809.77</v>
      </c>
      <c r="N15" s="18" t="n">
        <v>106418.81</v>
      </c>
      <c r="O15" s="18" t="n">
        <v>103657.39</v>
      </c>
      <c r="P15" s="37" t="n">
        <v>103657.39</v>
      </c>
      <c r="Q15" s="18" t="n">
        <v>107146.17</v>
      </c>
      <c r="R15" s="18" t="n">
        <v>113572.43</v>
      </c>
      <c r="S15" s="18" t="n">
        <v>113444.28</v>
      </c>
      <c r="T15" s="18" t="n">
        <v>118957.29</v>
      </c>
      <c r="U15" s="37" t="n">
        <v>118957.29</v>
      </c>
      <c r="V15" s="18" t="n">
        <v>118381.72</v>
      </c>
      <c r="W15" s="18" t="n">
        <v>112366.36</v>
      </c>
      <c r="X15" s="18" t="n">
        <v>115881.01</v>
      </c>
      <c r="Y15" s="18" t="n">
        <v>120357.08</v>
      </c>
      <c r="Z15" s="37" t="n">
        <v>120357.08</v>
      </c>
      <c r="AA15" s="18" t="n">
        <v>124607.2</v>
      </c>
      <c r="AB15" s="19" t="n">
        <v>125416.82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사용권자산</t>
        </is>
      </c>
      <c r="E16" s="18" t="n">
        <v>5672.46</v>
      </c>
      <c r="F16" s="37" t="n">
        <v>5672.46</v>
      </c>
      <c r="G16" s="18" t="n">
        <v>5656.66</v>
      </c>
      <c r="H16" s="18" t="n">
        <v>12888.35</v>
      </c>
      <c r="I16" s="18" t="n">
        <v>13717.06</v>
      </c>
      <c r="J16" s="18" t="n">
        <v>12148.75</v>
      </c>
      <c r="K16" s="37" t="n">
        <v>12148.75</v>
      </c>
      <c r="L16" s="18" t="n">
        <v>12448.54</v>
      </c>
      <c r="M16" s="18" t="n">
        <v>12335.02</v>
      </c>
      <c r="N16" s="18" t="n">
        <v>12121.12</v>
      </c>
      <c r="O16" s="18" t="n">
        <v>11608.78</v>
      </c>
      <c r="P16" s="37" t="n">
        <v>11608.78</v>
      </c>
      <c r="Q16" s="18" t="n">
        <v>11744.14</v>
      </c>
      <c r="R16" s="18" t="n">
        <v>11715.04</v>
      </c>
      <c r="S16" s="18" t="n">
        <v>11418.67</v>
      </c>
      <c r="T16" s="18" t="n">
        <v>12137.5</v>
      </c>
      <c r="U16" s="37" t="n">
        <v>12137.5</v>
      </c>
      <c r="V16" s="18" t="n">
        <v>12498.4</v>
      </c>
      <c r="W16" s="18" t="n">
        <v>11271.78</v>
      </c>
      <c r="X16" s="18" t="n">
        <v>11495.2</v>
      </c>
      <c r="Y16" s="18" t="n">
        <v>11688.44</v>
      </c>
      <c r="Z16" s="37" t="n">
        <v>11688.44</v>
      </c>
      <c r="AA16" s="18" t="n">
        <v>12181.68</v>
      </c>
      <c r="AB16" s="19" t="n">
        <v>12326.78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기타비유동자산</t>
        </is>
      </c>
      <c r="E17" s="18" t="n">
        <v>5672.46</v>
      </c>
      <c r="F17" s="37" t="n">
        <v>5672.46</v>
      </c>
      <c r="G17" s="18" t="n">
        <v>5656.66</v>
      </c>
      <c r="H17" s="18" t="n">
        <v>12888.35</v>
      </c>
      <c r="I17" s="18" t="n">
        <v>13717.06</v>
      </c>
      <c r="J17" s="18" t="n">
        <v>12148.75</v>
      </c>
      <c r="K17" s="37" t="n">
        <v>12148.75</v>
      </c>
      <c r="L17" s="18" t="n">
        <v>12448.54</v>
      </c>
      <c r="M17" s="18" t="n">
        <v>12335.02</v>
      </c>
      <c r="N17" s="18" t="n">
        <v>12121.12</v>
      </c>
      <c r="O17" s="18" t="n">
        <v>11608.78</v>
      </c>
      <c r="P17" s="37" t="n">
        <v>11608.78</v>
      </c>
      <c r="Q17" s="18" t="n">
        <v>11744.14</v>
      </c>
      <c r="R17" s="18" t="n">
        <v>11715.04</v>
      </c>
      <c r="S17" s="18" t="n">
        <v>11418.67</v>
      </c>
      <c r="T17" s="18" t="n">
        <v>12137.5</v>
      </c>
      <c r="U17" s="37" t="n">
        <v>12137.5</v>
      </c>
      <c r="V17" s="18" t="n">
        <v>12498.4</v>
      </c>
      <c r="W17" s="18" t="n">
        <v>11271.78</v>
      </c>
      <c r="X17" s="18" t="n">
        <v>11495.2</v>
      </c>
      <c r="Y17" s="18" t="n">
        <v>11688.44</v>
      </c>
      <c r="Z17" s="37" t="n">
        <v>11688.44</v>
      </c>
      <c r="AA17" s="18" t="n">
        <v>12181.68</v>
      </c>
      <c r="AB17" s="19" t="n">
        <v>13174.24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이연법인세자산</t>
        </is>
      </c>
      <c r="E18" s="18" t="n">
        <v>502.29</v>
      </c>
      <c r="F18" s="37" t="n">
        <v>502.29</v>
      </c>
      <c r="G18" s="18" t="n">
        <v>342.18</v>
      </c>
      <c r="H18" s="18" t="n">
        <v>760.25</v>
      </c>
      <c r="I18" s="18" t="n">
        <v>1254.09</v>
      </c>
      <c r="J18" s="18" t="n">
        <v>1276.01</v>
      </c>
      <c r="K18" s="37" t="n">
        <v>1276.01</v>
      </c>
      <c r="L18" s="18" t="n">
        <v>205.34</v>
      </c>
      <c r="M18" s="18" t="n">
        <v>56.7</v>
      </c>
      <c r="N18" s="18" t="n">
        <v>149.99</v>
      </c>
      <c r="O18" s="18" t="n">
        <v>550.51</v>
      </c>
      <c r="P18" s="37" t="n">
        <v>550.51</v>
      </c>
      <c r="Q18" s="18" t="n">
        <v>117.13</v>
      </c>
      <c r="R18" s="18" t="n">
        <v>85.27</v>
      </c>
      <c r="S18" s="18" t="n">
        <v>416.31</v>
      </c>
      <c r="T18" s="18" t="n">
        <v>574.29</v>
      </c>
      <c r="U18" s="37" t="n">
        <v>574.29</v>
      </c>
      <c r="V18" s="18" t="n">
        <v>742.64</v>
      </c>
      <c r="W18" s="18" t="n">
        <v>587.54</v>
      </c>
      <c r="X18" s="18" t="n">
        <v>631.14</v>
      </c>
      <c r="Y18" s="18" t="n">
        <v>44.39</v>
      </c>
      <c r="Z18" s="37" t="n">
        <v>44.39</v>
      </c>
      <c r="AA18" s="18" t="n">
        <v>0</v>
      </c>
      <c r="AB18" s="19" t="n">
        <v>0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302598.63</v>
      </c>
      <c r="F19" s="37" t="n">
        <v>302598.63</v>
      </c>
      <c r="G19" s="18" t="n">
        <v>312404.57</v>
      </c>
      <c r="H19" s="18" t="n">
        <v>374426.28</v>
      </c>
      <c r="I19" s="18" t="n">
        <v>379926.08</v>
      </c>
      <c r="J19" s="18" t="n">
        <v>364710.39</v>
      </c>
      <c r="K19" s="37" t="n">
        <v>364710.39</v>
      </c>
      <c r="L19" s="18" t="n">
        <v>358381.45</v>
      </c>
      <c r="M19" s="18" t="n">
        <v>353864.45</v>
      </c>
      <c r="N19" s="18" t="n">
        <v>346461.22</v>
      </c>
      <c r="O19" s="18" t="n">
        <v>343481.02</v>
      </c>
      <c r="P19" s="37" t="n">
        <v>343481.02</v>
      </c>
      <c r="Q19" s="18" t="n">
        <v>345329.3</v>
      </c>
      <c r="R19" s="18" t="n">
        <v>359425.7</v>
      </c>
      <c r="S19" s="18" t="n">
        <v>352270.68</v>
      </c>
      <c r="T19" s="18" t="n">
        <v>363394.23</v>
      </c>
      <c r="U19" s="37" t="n">
        <v>363394.23</v>
      </c>
      <c r="V19" s="18" t="n">
        <v>355732.86</v>
      </c>
      <c r="W19" s="18" t="n">
        <v>359531.91</v>
      </c>
      <c r="X19" s="18" t="n">
        <v>364007.6</v>
      </c>
      <c r="Y19" s="18" t="n">
        <v>391592.28</v>
      </c>
      <c r="Z19" s="37" t="n">
        <v>391592.28</v>
      </c>
      <c r="AA19" s="18" t="n">
        <v>406869.86</v>
      </c>
      <c r="AB19" s="19" t="n">
        <v>428295.75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115595.67</v>
      </c>
      <c r="F20" s="37" t="n">
        <v>115595.67</v>
      </c>
      <c r="G20" s="18" t="n">
        <v>121316.13</v>
      </c>
      <c r="H20" s="18" t="n">
        <v>152409.5</v>
      </c>
      <c r="I20" s="18" t="n">
        <v>148984.86</v>
      </c>
      <c r="J20" s="18" t="n">
        <v>139483.31</v>
      </c>
      <c r="K20" s="37" t="n">
        <v>139483.31</v>
      </c>
      <c r="L20" s="18" t="n">
        <v>130930.03</v>
      </c>
      <c r="M20" s="18" t="n">
        <v>125592.62</v>
      </c>
      <c r="N20" s="18" t="n">
        <v>116041.93</v>
      </c>
      <c r="O20" s="18" t="n">
        <v>106422.01</v>
      </c>
      <c r="P20" s="37" t="n">
        <v>106422.01</v>
      </c>
      <c r="Q20" s="18" t="n">
        <v>106926.27</v>
      </c>
      <c r="R20" s="18" t="n">
        <v>117997.03</v>
      </c>
      <c r="S20" s="18" t="n">
        <v>108401.23</v>
      </c>
      <c r="T20" s="18" t="n">
        <v>113969.62</v>
      </c>
      <c r="U20" s="37" t="n">
        <v>113969.62</v>
      </c>
      <c r="V20" s="18" t="n">
        <v>103844.7</v>
      </c>
      <c r="W20" s="18" t="n">
        <v>110906.07</v>
      </c>
      <c r="X20" s="18" t="n">
        <v>108257.59</v>
      </c>
      <c r="Y20" s="18" t="n">
        <v>131819.48</v>
      </c>
      <c r="Z20" s="37" t="n">
        <v>131819.48</v>
      </c>
      <c r="AA20" s="18" t="n">
        <v>130779.64</v>
      </c>
      <c r="AB20" s="19" t="n">
        <v>137438.66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E21" s="18" t="n">
        <v>34299.54</v>
      </c>
      <c r="F21" s="37" t="n">
        <v>34299.54</v>
      </c>
      <c r="G21" s="18" t="n">
        <v>35685.49</v>
      </c>
      <c r="H21" s="18" t="n">
        <v>42290.76</v>
      </c>
      <c r="I21" s="18" t="n">
        <v>43969.04</v>
      </c>
      <c r="J21" s="18" t="n">
        <v>37331.61</v>
      </c>
      <c r="K21" s="37" t="n">
        <v>37331.61</v>
      </c>
      <c r="L21" s="18" t="n">
        <v>33248.78</v>
      </c>
      <c r="M21" s="18" t="n">
        <v>28372.34</v>
      </c>
      <c r="N21" s="18" t="n">
        <v>24746.96</v>
      </c>
      <c r="O21" s="18" t="n">
        <v>23284.77</v>
      </c>
      <c r="P21" s="37" t="n">
        <v>23284.77</v>
      </c>
      <c r="Q21" s="18" t="n">
        <v>19230.74</v>
      </c>
      <c r="R21" s="18" t="n">
        <v>27837.39</v>
      </c>
      <c r="S21" s="18" t="n">
        <v>30081.55</v>
      </c>
      <c r="T21" s="18" t="n">
        <v>31925.88</v>
      </c>
      <c r="U21" s="37" t="n">
        <v>31925.88</v>
      </c>
      <c r="V21" s="18" t="n">
        <v>25503.7</v>
      </c>
      <c r="W21" s="18" t="n">
        <v>27138.4</v>
      </c>
      <c r="X21" s="18" t="n">
        <v>27218.31</v>
      </c>
      <c r="Y21" s="18" t="n">
        <v>33595.66</v>
      </c>
      <c r="Z21" s="37" t="n">
        <v>33595.66</v>
      </c>
      <c r="AA21" s="18" t="n">
        <v>34551.4</v>
      </c>
      <c r="AB21" s="19" t="n">
        <v>37864.63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계약부채</t>
        </is>
      </c>
      <c r="E22" s="18" t="n">
        <v>4361.7</v>
      </c>
      <c r="F22" s="37" t="n">
        <v>4361.7</v>
      </c>
      <c r="G22" s="18" t="n">
        <v>2616.9</v>
      </c>
      <c r="H22" s="18" t="n">
        <v>3075.74</v>
      </c>
      <c r="I22" s="18" t="n">
        <v>2783.27</v>
      </c>
      <c r="J22" s="18" t="n">
        <v>1481.3</v>
      </c>
      <c r="K22" s="37" t="n">
        <v>1481.3</v>
      </c>
      <c r="L22" s="18" t="n">
        <v>1518.79</v>
      </c>
      <c r="M22" s="18" t="n">
        <v>1209.22</v>
      </c>
      <c r="N22" s="18" t="n">
        <v>1249.99</v>
      </c>
      <c r="O22" s="18" t="n">
        <v>1236.31</v>
      </c>
      <c r="P22" s="37" t="n">
        <v>1236.31</v>
      </c>
      <c r="Q22" s="18" t="n">
        <v>4627.28</v>
      </c>
      <c r="R22" s="18" t="n">
        <v>1798.29</v>
      </c>
      <c r="S22" s="18" t="n">
        <v>1133.56</v>
      </c>
      <c r="T22" s="18" t="n">
        <v>1255.31</v>
      </c>
      <c r="U22" s="37" t="n">
        <v>1255.31</v>
      </c>
      <c r="V22" s="18" t="n">
        <v>1715.58</v>
      </c>
      <c r="W22" s="18" t="n">
        <v>2403.64</v>
      </c>
      <c r="X22" s="18" t="n">
        <v>2025.37</v>
      </c>
      <c r="Y22" s="18" t="n">
        <v>2088.69</v>
      </c>
      <c r="Z22" s="37" t="n">
        <v>2088.69</v>
      </c>
      <c r="AA22" s="18" t="n">
        <v>1559.88</v>
      </c>
      <c r="AB22" s="19" t="n">
        <v>3116.34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69363.28</v>
      </c>
      <c r="F23" s="37" t="n">
        <v>69363.28</v>
      </c>
      <c r="G23" s="18" t="n">
        <v>74732.75999999999</v>
      </c>
      <c r="H23" s="18" t="n">
        <v>84768.83</v>
      </c>
      <c r="I23" s="18" t="n">
        <v>80090.10000000001</v>
      </c>
      <c r="J23" s="18" t="n">
        <v>75120.37</v>
      </c>
      <c r="K23" s="37" t="n">
        <v>75120.37</v>
      </c>
      <c r="L23" s="18" t="n">
        <v>74330.69</v>
      </c>
      <c r="M23" s="18" t="n">
        <v>75073.09</v>
      </c>
      <c r="N23" s="18" t="n">
        <v>71808.71000000001</v>
      </c>
      <c r="O23" s="18" t="n">
        <v>61272.91</v>
      </c>
      <c r="P23" s="37" t="n">
        <v>61272.91</v>
      </c>
      <c r="Q23" s="18" t="n">
        <v>62864.1</v>
      </c>
      <c r="R23" s="18" t="n">
        <v>69981.25</v>
      </c>
      <c r="S23" s="18" t="n">
        <v>63440.74</v>
      </c>
      <c r="T23" s="18" t="n">
        <v>65314.24</v>
      </c>
      <c r="U23" s="37" t="n">
        <v>65314.24</v>
      </c>
      <c r="V23" s="18" t="n">
        <v>66666.45</v>
      </c>
      <c r="W23" s="18" t="n">
        <v>73201.53999999999</v>
      </c>
      <c r="X23" s="18" t="n">
        <v>72335.45</v>
      </c>
      <c r="Y23" s="18" t="n">
        <v>83961.72</v>
      </c>
      <c r="Z23" s="37" t="n">
        <v>83961.72</v>
      </c>
      <c r="AA23" s="18" t="n">
        <v>78598.02</v>
      </c>
      <c r="AB23" s="19" t="n">
        <v>83018.59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유동리스부채</t>
        </is>
      </c>
      <c r="E24" s="18" t="n">
        <v>231.34</v>
      </c>
      <c r="F24" s="37" t="n">
        <v>231.34</v>
      </c>
      <c r="G24" s="18" t="n">
        <v>157.29</v>
      </c>
      <c r="H24" s="18" t="n">
        <v>98.09999999999999</v>
      </c>
      <c r="I24" s="18" t="n">
        <v>74.70999999999999</v>
      </c>
      <c r="J24" s="18" t="n">
        <v>106.05</v>
      </c>
      <c r="K24" s="37" t="n">
        <v>106.05</v>
      </c>
      <c r="L24" s="18" t="n">
        <v>109.13</v>
      </c>
      <c r="M24" s="18" t="n">
        <v>110.4</v>
      </c>
      <c r="N24" s="18" t="n">
        <v>89.94</v>
      </c>
      <c r="O24" s="18" t="n">
        <v>110.12</v>
      </c>
      <c r="P24" s="37" t="n">
        <v>110.12</v>
      </c>
      <c r="Q24" s="18" t="n">
        <v>91.40000000000001</v>
      </c>
      <c r="R24" s="18" t="n">
        <v>93.59999999999999</v>
      </c>
      <c r="S24" s="18" t="n">
        <v>89.98</v>
      </c>
      <c r="T24" s="18" t="n">
        <v>41.5</v>
      </c>
      <c r="U24" s="37" t="n">
        <v>41.5</v>
      </c>
      <c r="V24" s="18" t="n">
        <v>115.42</v>
      </c>
      <c r="W24" s="18" t="n">
        <v>102.95</v>
      </c>
      <c r="X24" s="18" t="n">
        <v>107.9</v>
      </c>
      <c r="Y24" s="18" t="n">
        <v>122.2</v>
      </c>
      <c r="Z24" s="37" t="n">
        <v>122.2</v>
      </c>
      <c r="AA24" s="18" t="n">
        <v>96.55</v>
      </c>
      <c r="AB24" s="19" t="n">
        <v>65.40000000000001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리스부채</t>
        </is>
      </c>
      <c r="E25" s="18" t="n">
        <v>489.63</v>
      </c>
      <c r="F25" s="37" t="n">
        <v>489.63</v>
      </c>
      <c r="G25" s="18" t="n">
        <v>419.45</v>
      </c>
      <c r="H25" s="18" t="n">
        <v>372.82</v>
      </c>
      <c r="I25" s="18" t="n">
        <v>307.05</v>
      </c>
      <c r="J25" s="18" t="n">
        <v>252.63</v>
      </c>
      <c r="K25" s="37" t="n">
        <v>252.63</v>
      </c>
      <c r="L25" s="18" t="n">
        <v>231.57</v>
      </c>
      <c r="M25" s="18" t="n">
        <v>205.37</v>
      </c>
      <c r="N25" s="18" t="n">
        <v>181.23</v>
      </c>
      <c r="O25" s="18" t="n">
        <v>148.49</v>
      </c>
      <c r="P25" s="37" t="n">
        <v>148.49</v>
      </c>
      <c r="Q25" s="18" t="n">
        <v>125.42</v>
      </c>
      <c r="R25" s="18" t="n">
        <v>98.94</v>
      </c>
      <c r="S25" s="18" t="n">
        <v>89.98</v>
      </c>
      <c r="T25" s="18" t="n">
        <v>41.5</v>
      </c>
      <c r="U25" s="37" t="n">
        <v>41.5</v>
      </c>
      <c r="V25" s="18" t="n">
        <v>566.79</v>
      </c>
      <c r="W25" s="18" t="n">
        <v>495.49</v>
      </c>
      <c r="X25" s="18" t="n">
        <v>556.58</v>
      </c>
      <c r="Y25" s="18" t="n">
        <v>515.12</v>
      </c>
      <c r="Z25" s="37" t="n">
        <v>515.12</v>
      </c>
      <c r="AA25" s="18" t="n">
        <v>509.3</v>
      </c>
      <c r="AB25" s="19" t="n">
        <v>485.25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242.89</v>
      </c>
      <c r="F26" s="37" t="n">
        <v>242.89</v>
      </c>
      <c r="G26" s="18" t="n">
        <v>194.03</v>
      </c>
      <c r="H26" s="18" t="n">
        <v>256.59</v>
      </c>
      <c r="I26" s="18" t="n">
        <v>74.70999999999999</v>
      </c>
      <c r="J26" s="18" t="n">
        <v>106.05</v>
      </c>
      <c r="K26" s="37" t="n">
        <v>106.05</v>
      </c>
      <c r="L26" s="18" t="n">
        <v>136.99</v>
      </c>
      <c r="M26" s="18" t="n">
        <v>120.47</v>
      </c>
      <c r="N26" s="18" t="n">
        <v>110.69</v>
      </c>
      <c r="O26" s="18" t="n">
        <v>124.71</v>
      </c>
      <c r="P26" s="37" t="n">
        <v>124.71</v>
      </c>
      <c r="Q26" s="18" t="n">
        <v>287.06</v>
      </c>
      <c r="R26" s="18" t="n">
        <v>93.59999999999999</v>
      </c>
      <c r="S26" s="18" t="n">
        <v>89.98</v>
      </c>
      <c r="T26" s="18" t="n">
        <v>80.62</v>
      </c>
      <c r="U26" s="37" t="n">
        <v>80.62</v>
      </c>
      <c r="V26" s="18" t="n">
        <v>147.3</v>
      </c>
      <c r="W26" s="18" t="n">
        <v>102.95</v>
      </c>
      <c r="X26" s="18" t="n">
        <v>242.33</v>
      </c>
      <c r="Y26" s="18" t="n">
        <v>220.98</v>
      </c>
      <c r="Z26" s="37" t="n">
        <v>220.98</v>
      </c>
      <c r="AA26" s="18" t="n">
        <v>234.77</v>
      </c>
      <c r="AB26" s="19" t="n">
        <v>66.40000000000001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2020.46</v>
      </c>
      <c r="F27" s="37" t="n">
        <v>2020.46</v>
      </c>
      <c r="G27" s="18" t="n">
        <v>3695.73</v>
      </c>
      <c r="H27" s="18" t="n">
        <v>3972.88</v>
      </c>
      <c r="I27" s="18" t="n">
        <v>5667.5</v>
      </c>
      <c r="J27" s="18" t="n">
        <v>7500.69</v>
      </c>
      <c r="K27" s="37" t="n">
        <v>7500.69</v>
      </c>
      <c r="L27" s="18" t="n">
        <v>5099.59</v>
      </c>
      <c r="M27" s="18" t="n">
        <v>2511.79</v>
      </c>
      <c r="N27" s="18" t="n">
        <v>2453.45</v>
      </c>
      <c r="O27" s="18" t="n">
        <v>2627.11</v>
      </c>
      <c r="P27" s="37" t="n">
        <v>2627.11</v>
      </c>
      <c r="Q27" s="18" t="n">
        <v>3370.03</v>
      </c>
      <c r="R27" s="18" t="n">
        <v>1809.77</v>
      </c>
      <c r="S27" s="18" t="n">
        <v>1095.61</v>
      </c>
      <c r="T27" s="18" t="n">
        <v>2825.41</v>
      </c>
      <c r="U27" s="37" t="n">
        <v>2825.41</v>
      </c>
      <c r="V27" s="18" t="n">
        <v>3033.26</v>
      </c>
      <c r="W27" s="18" t="n">
        <v>1339.09</v>
      </c>
      <c r="X27" s="18" t="n">
        <v>1848.09</v>
      </c>
      <c r="Y27" s="18" t="n">
        <v>5335.66</v>
      </c>
      <c r="Z27" s="37" t="n">
        <v>5335.66</v>
      </c>
      <c r="AA27" s="18" t="n">
        <v>7496.12</v>
      </c>
      <c r="AB27" s="19" t="n">
        <v>6257.14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기타유동금융부채</t>
        </is>
      </c>
      <c r="E28" s="18" t="n">
        <v>11.55</v>
      </c>
      <c r="F28" s="37" t="n">
        <v>11.55</v>
      </c>
      <c r="G28" s="18" t="n">
        <v>36.74</v>
      </c>
      <c r="H28" s="18" t="n">
        <v>158.49</v>
      </c>
      <c r="I28" s="18" t="n">
        <v>0</v>
      </c>
      <c r="J28" s="18" t="n">
        <v>0</v>
      </c>
      <c r="K28" s="37" t="n">
        <v>0</v>
      </c>
      <c r="L28" s="18" t="n">
        <v>27.86</v>
      </c>
      <c r="M28" s="18" t="n">
        <v>10.07</v>
      </c>
      <c r="N28" s="18" t="n">
        <v>20.75</v>
      </c>
      <c r="O28" s="18" t="n">
        <v>14.59</v>
      </c>
      <c r="P28" s="37" t="n">
        <v>14.59</v>
      </c>
      <c r="Q28" s="18" t="n">
        <v>195.66</v>
      </c>
      <c r="R28" s="18" t="n">
        <v>0</v>
      </c>
      <c r="S28" s="18" t="n">
        <v>0</v>
      </c>
      <c r="T28" s="18" t="n">
        <v>39.12</v>
      </c>
      <c r="U28" s="37" t="n">
        <v>39.12</v>
      </c>
      <c r="V28" s="18" t="n">
        <v>31.88</v>
      </c>
      <c r="W28" s="18" t="n">
        <v>0</v>
      </c>
      <c r="X28" s="18" t="n">
        <v>134.43</v>
      </c>
      <c r="Y28" s="18" t="n">
        <v>98.78</v>
      </c>
      <c r="Z28" s="37" t="n">
        <v>98.78</v>
      </c>
      <c r="AA28" s="18" t="n">
        <v>138.22</v>
      </c>
      <c r="AB28" s="19" t="n">
        <v>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기타유동부채</t>
        </is>
      </c>
      <c r="E29" s="18" t="n">
        <v>5307.8</v>
      </c>
      <c r="F29" s="37" t="n">
        <v>5307.8</v>
      </c>
      <c r="G29" s="18" t="n">
        <v>4391.22</v>
      </c>
      <c r="H29" s="18" t="n">
        <v>5377.98</v>
      </c>
      <c r="I29" s="18" t="n">
        <v>3733.52</v>
      </c>
      <c r="J29" s="18" t="n">
        <v>6332.13</v>
      </c>
      <c r="K29" s="37" t="n">
        <v>6332.13</v>
      </c>
      <c r="L29" s="18" t="n">
        <v>4984.01</v>
      </c>
      <c r="M29" s="18" t="n">
        <v>5638.99</v>
      </c>
      <c r="N29" s="18" t="n">
        <v>4060.97</v>
      </c>
      <c r="O29" s="18" t="n">
        <v>6265.04</v>
      </c>
      <c r="P29" s="37" t="n">
        <v>6265.04</v>
      </c>
      <c r="Q29" s="18" t="n">
        <v>4935.91</v>
      </c>
      <c r="R29" s="18" t="n">
        <v>5921.22</v>
      </c>
      <c r="S29" s="18" t="n">
        <v>4115.38</v>
      </c>
      <c r="T29" s="18" t="n">
        <v>7290.41</v>
      </c>
      <c r="U29" s="37" t="n">
        <v>7290.41</v>
      </c>
      <c r="V29" s="18" t="n">
        <v>4667.32</v>
      </c>
      <c r="W29" s="18" t="n">
        <v>6720.45</v>
      </c>
      <c r="X29" s="18" t="n">
        <v>4588.04</v>
      </c>
      <c r="Y29" s="18" t="n">
        <v>6616.78</v>
      </c>
      <c r="Z29" s="37" t="n">
        <v>6616.78</v>
      </c>
      <c r="AA29" s="18" t="n">
        <v>8339.450000000001</v>
      </c>
      <c r="AB29" s="19" t="n">
        <v>7115.56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8983.75</v>
      </c>
      <c r="F30" s="37" t="n">
        <v>8983.75</v>
      </c>
      <c r="G30" s="18" t="n">
        <v>5316.54</v>
      </c>
      <c r="H30" s="18" t="n">
        <v>30132.9</v>
      </c>
      <c r="I30" s="18" t="n">
        <v>27672.43</v>
      </c>
      <c r="J30" s="18" t="n">
        <v>22900.53</v>
      </c>
      <c r="K30" s="37" t="n">
        <v>22900.53</v>
      </c>
      <c r="L30" s="18" t="n">
        <v>19874.2</v>
      </c>
      <c r="M30" s="18" t="n">
        <v>17039.38</v>
      </c>
      <c r="N30" s="18" t="n">
        <v>13816.49</v>
      </c>
      <c r="O30" s="18" t="n">
        <v>18856.82</v>
      </c>
      <c r="P30" s="37" t="n">
        <v>18856.82</v>
      </c>
      <c r="Q30" s="18" t="n">
        <v>15953.87</v>
      </c>
      <c r="R30" s="18" t="n">
        <v>13887.73</v>
      </c>
      <c r="S30" s="18" t="n">
        <v>13567.27</v>
      </c>
      <c r="T30" s="18" t="n">
        <v>15222.33</v>
      </c>
      <c r="U30" s="37" t="n">
        <v>15222.33</v>
      </c>
      <c r="V30" s="18" t="n">
        <v>14231.11</v>
      </c>
      <c r="W30" s="18" t="n">
        <v>13685.1</v>
      </c>
      <c r="X30" s="18" t="n">
        <v>13404.21</v>
      </c>
      <c r="Y30" s="18" t="n">
        <v>12429.81</v>
      </c>
      <c r="Z30" s="37" t="n">
        <v>12429.81</v>
      </c>
      <c r="AA30" s="18" t="n">
        <v>20911.92</v>
      </c>
      <c r="AB30" s="19" t="n">
        <v>23264.28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7593.9</v>
      </c>
      <c r="F31" s="37" t="n">
        <v>7593.9</v>
      </c>
      <c r="G31" s="18" t="n">
        <v>4040.23</v>
      </c>
      <c r="H31" s="18" t="n">
        <v>28516.15</v>
      </c>
      <c r="I31" s="18" t="n">
        <v>25700.12</v>
      </c>
      <c r="J31" s="18" t="n">
        <v>22186.54</v>
      </c>
      <c r="K31" s="37" t="n">
        <v>22186.54</v>
      </c>
      <c r="L31" s="18" t="n">
        <v>19162.06</v>
      </c>
      <c r="M31" s="18" t="n">
        <v>16193.66</v>
      </c>
      <c r="N31" s="18" t="n">
        <v>12977.62</v>
      </c>
      <c r="O31" s="18" t="n">
        <v>18036.43</v>
      </c>
      <c r="P31" s="37" t="n">
        <v>18036.43</v>
      </c>
      <c r="Q31" s="18" t="n">
        <v>15133.6</v>
      </c>
      <c r="R31" s="18" t="n">
        <v>13094.57</v>
      </c>
      <c r="S31" s="18" t="n">
        <v>12854.74</v>
      </c>
      <c r="T31" s="18" t="n">
        <v>14483.09</v>
      </c>
      <c r="U31" s="37" t="n">
        <v>14483.09</v>
      </c>
      <c r="V31" s="18" t="n">
        <v>12918.6</v>
      </c>
      <c r="W31" s="18" t="n">
        <v>12539.84</v>
      </c>
      <c r="X31" s="18" t="n">
        <v>11914.45</v>
      </c>
      <c r="Y31" s="18" t="n">
        <v>11465.22</v>
      </c>
      <c r="Z31" s="37" t="n">
        <v>11465.22</v>
      </c>
      <c r="AA31" s="18" t="n">
        <v>19729.36</v>
      </c>
      <c r="AB31" s="19" t="n">
        <v>20305.78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기타비유동금융부채</t>
        </is>
      </c>
      <c r="E32" s="18" t="n">
        <v>16.5</v>
      </c>
      <c r="F32" s="37" t="n">
        <v>16.5</v>
      </c>
      <c r="G32" s="18" t="n">
        <v>16.5</v>
      </c>
      <c r="H32" s="18" t="n">
        <v>71.62</v>
      </c>
      <c r="I32" s="18" t="n">
        <v>199.45</v>
      </c>
      <c r="J32" s="18" t="n">
        <v>283.15</v>
      </c>
      <c r="K32" s="37" t="n">
        <v>283.15</v>
      </c>
      <c r="L32" s="18" t="n">
        <v>295.9</v>
      </c>
      <c r="M32" s="18" t="n">
        <v>455.9</v>
      </c>
      <c r="N32" s="18" t="n">
        <v>455.9</v>
      </c>
      <c r="O32" s="18" t="n">
        <v>500.4</v>
      </c>
      <c r="P32" s="37" t="n">
        <v>500.4</v>
      </c>
      <c r="Q32" s="18" t="n">
        <v>498.8</v>
      </c>
      <c r="R32" s="18" t="n">
        <v>498.8</v>
      </c>
      <c r="S32" s="18" t="n">
        <v>428.8</v>
      </c>
      <c r="T32" s="18" t="n">
        <v>433.8</v>
      </c>
      <c r="U32" s="37" t="n">
        <v>433.8</v>
      </c>
      <c r="V32" s="18" t="n">
        <v>451.84</v>
      </c>
      <c r="W32" s="18" t="n">
        <v>377.64</v>
      </c>
      <c r="X32" s="18" t="n">
        <v>382.64</v>
      </c>
      <c r="Y32" s="18" t="n">
        <v>282.64</v>
      </c>
      <c r="Z32" s="37" t="n">
        <v>282.64</v>
      </c>
      <c r="AA32" s="18" t="n">
        <v>305.83</v>
      </c>
      <c r="AB32" s="19" t="n">
        <v>305.83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274.79</v>
      </c>
      <c r="F33" s="37" t="n">
        <v>274.79</v>
      </c>
      <c r="G33" s="18" t="n">
        <v>278.66</v>
      </c>
      <c r="H33" s="18" t="n">
        <v>346.34</v>
      </c>
      <c r="I33" s="18" t="n">
        <v>431.79</v>
      </c>
      <c r="J33" s="18" t="n">
        <v>429.73</v>
      </c>
      <c r="K33" s="37" t="n">
        <v>429.73</v>
      </c>
      <c r="L33" s="18" t="n">
        <v>418.34</v>
      </c>
      <c r="M33" s="18" t="n">
        <v>550.87</v>
      </c>
      <c r="N33" s="18" t="n">
        <v>547.1900000000001</v>
      </c>
      <c r="O33" s="18" t="n">
        <v>538.77</v>
      </c>
      <c r="P33" s="37" t="n">
        <v>538.77</v>
      </c>
      <c r="Q33" s="18" t="n">
        <v>532.8200000000001</v>
      </c>
      <c r="R33" s="18" t="n">
        <v>504.14</v>
      </c>
      <c r="S33" s="18" t="n">
        <v>428.8</v>
      </c>
      <c r="T33" s="18" t="n">
        <v>433.8</v>
      </c>
      <c r="U33" s="37" t="n">
        <v>433.8</v>
      </c>
      <c r="V33" s="18" t="n">
        <v>903.21</v>
      </c>
      <c r="W33" s="18" t="n">
        <v>770.1799999999999</v>
      </c>
      <c r="X33" s="18" t="n">
        <v>831.3200000000001</v>
      </c>
      <c r="Y33" s="18" t="n">
        <v>675.5599999999999</v>
      </c>
      <c r="Z33" s="37" t="n">
        <v>675.5599999999999</v>
      </c>
      <c r="AA33" s="18" t="n">
        <v>718.58</v>
      </c>
      <c r="AB33" s="19" t="n">
        <v>725.6799999999999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비유동리스부채</t>
        </is>
      </c>
      <c r="E34" s="18" t="n">
        <v>258.29</v>
      </c>
      <c r="F34" s="37" t="n">
        <v>258.29</v>
      </c>
      <c r="G34" s="18" t="n">
        <v>262.16</v>
      </c>
      <c r="H34" s="18" t="n">
        <v>274.72</v>
      </c>
      <c r="I34" s="18" t="n">
        <v>232.34</v>
      </c>
      <c r="J34" s="18" t="n">
        <v>146.58</v>
      </c>
      <c r="K34" s="37" t="n">
        <v>146.58</v>
      </c>
      <c r="L34" s="18" t="n">
        <v>122.44</v>
      </c>
      <c r="M34" s="18" t="n">
        <v>94.97</v>
      </c>
      <c r="N34" s="18" t="n">
        <v>91.29000000000001</v>
      </c>
      <c r="O34" s="18" t="n">
        <v>38.37</v>
      </c>
      <c r="P34" s="37" t="n">
        <v>38.37</v>
      </c>
      <c r="Q34" s="18" t="n">
        <v>34.02</v>
      </c>
      <c r="R34" s="18" t="n">
        <v>5.34</v>
      </c>
      <c r="S34" s="18" t="n">
        <v>0</v>
      </c>
      <c r="T34" s="18" t="n">
        <v>0</v>
      </c>
      <c r="U34" s="37" t="n">
        <v>0</v>
      </c>
      <c r="V34" s="18" t="n">
        <v>451.37</v>
      </c>
      <c r="W34" s="18" t="n">
        <v>392.54</v>
      </c>
      <c r="X34" s="18" t="n">
        <v>448.68</v>
      </c>
      <c r="Y34" s="18" t="n">
        <v>392.92</v>
      </c>
      <c r="Z34" s="37" t="n">
        <v>392.92</v>
      </c>
      <c r="AA34" s="18" t="n">
        <v>412.75</v>
      </c>
      <c r="AB34" s="19" t="n">
        <v>419.85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장기충당부채</t>
        </is>
      </c>
      <c r="E35" s="18" t="n">
        <v>275.79</v>
      </c>
      <c r="F35" s="37" t="n">
        <v>275.79</v>
      </c>
      <c r="G35" s="18" t="n">
        <v>280.56</v>
      </c>
      <c r="H35" s="18" t="n">
        <v>294.32</v>
      </c>
      <c r="I35" s="18" t="n">
        <v>318.67</v>
      </c>
      <c r="J35" s="18" t="n">
        <v>284.26</v>
      </c>
      <c r="K35" s="37" t="n">
        <v>284.26</v>
      </c>
      <c r="L35" s="18" t="n">
        <v>293.79</v>
      </c>
      <c r="M35" s="18" t="n">
        <v>294.85</v>
      </c>
      <c r="N35" s="18" t="n">
        <v>291.67</v>
      </c>
      <c r="O35" s="18" t="n">
        <v>281.62</v>
      </c>
      <c r="P35" s="37" t="n">
        <v>281.62</v>
      </c>
      <c r="Q35" s="18" t="n">
        <v>287.44</v>
      </c>
      <c r="R35" s="18" t="n">
        <v>289.03</v>
      </c>
      <c r="S35" s="18" t="n">
        <v>283.73</v>
      </c>
      <c r="T35" s="18" t="n">
        <v>305.44</v>
      </c>
      <c r="U35" s="37" t="n">
        <v>305.44</v>
      </c>
      <c r="V35" s="18" t="n">
        <v>303.32</v>
      </c>
      <c r="W35" s="18" t="n">
        <v>275.26</v>
      </c>
      <c r="X35" s="18" t="n">
        <v>281.09</v>
      </c>
      <c r="Y35" s="18" t="n">
        <v>289.03</v>
      </c>
      <c r="Z35" s="37" t="n">
        <v>289.03</v>
      </c>
      <c r="AA35" s="18" t="n">
        <v>303.85</v>
      </c>
      <c r="AB35" s="19" t="n">
        <v>310.2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확정급여부채</t>
        </is>
      </c>
      <c r="E36" s="18" t="n">
        <v>457.37</v>
      </c>
      <c r="F36" s="37" t="n">
        <v>457.37</v>
      </c>
      <c r="G36" s="18" t="n">
        <v>717.09</v>
      </c>
      <c r="H36" s="18" t="n">
        <v>975.3</v>
      </c>
      <c r="I36" s="18" t="n">
        <v>1221.85</v>
      </c>
      <c r="J36" s="18" t="n">
        <v>0</v>
      </c>
      <c r="K36" s="37" t="n">
        <v>0</v>
      </c>
      <c r="O36" s="18" t="n">
        <v>0</v>
      </c>
      <c r="P36" s="37" t="n">
        <v>0</v>
      </c>
      <c r="T36" s="18" t="n">
        <v>0</v>
      </c>
      <c r="U36" s="37" t="n">
        <v>0</v>
      </c>
      <c r="V36" s="18" t="n">
        <v>125.67</v>
      </c>
      <c r="W36" s="18" t="n">
        <v>99.81999999999999</v>
      </c>
      <c r="X36" s="18" t="n">
        <v>377.37</v>
      </c>
      <c r="Y36" s="18" t="n">
        <v>0</v>
      </c>
      <c r="Z36" s="37" t="n">
        <v>0</v>
      </c>
      <c r="AA36" s="18" t="n">
        <v>0</v>
      </c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이연법인세부채</t>
        </is>
      </c>
      <c r="E37" s="18" t="n">
        <v>0</v>
      </c>
      <c r="F37" s="37" t="n">
        <v>0</v>
      </c>
      <c r="H37" s="18" t="n">
        <v>0.78</v>
      </c>
      <c r="K37" s="9" t="n"/>
      <c r="P37" s="9" t="n"/>
      <c r="U37" s="9" t="n"/>
      <c r="V37" s="18" t="n">
        <v>-19.7</v>
      </c>
      <c r="Z37" s="9" t="n"/>
      <c r="AA37" s="18" t="n">
        <v>160.14</v>
      </c>
      <c r="AB37" s="19" t="n">
        <v>1922.62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124579.42</v>
      </c>
      <c r="F38" s="37" t="n">
        <v>124579.42</v>
      </c>
      <c r="G38" s="18" t="n">
        <v>126632.67</v>
      </c>
      <c r="H38" s="18" t="n">
        <v>182542.4</v>
      </c>
      <c r="I38" s="18" t="n">
        <v>176657.29</v>
      </c>
      <c r="J38" s="18" t="n">
        <v>162383.84</v>
      </c>
      <c r="K38" s="37" t="n">
        <v>162383.84</v>
      </c>
      <c r="L38" s="18" t="n">
        <v>150804.23</v>
      </c>
      <c r="M38" s="18" t="n">
        <v>142632.01</v>
      </c>
      <c r="N38" s="18" t="n">
        <v>129858.42</v>
      </c>
      <c r="O38" s="18" t="n">
        <v>125278.83</v>
      </c>
      <c r="P38" s="37" t="n">
        <v>125278.83</v>
      </c>
      <c r="Q38" s="18" t="n">
        <v>122880.14</v>
      </c>
      <c r="R38" s="18" t="n">
        <v>131884.77</v>
      </c>
      <c r="S38" s="18" t="n">
        <v>121968.51</v>
      </c>
      <c r="T38" s="18" t="n">
        <v>129191.95</v>
      </c>
      <c r="U38" s="37" t="n">
        <v>129191.95</v>
      </c>
      <c r="V38" s="18" t="n">
        <v>118075.81</v>
      </c>
      <c r="W38" s="18" t="n">
        <v>124591.17</v>
      </c>
      <c r="X38" s="18" t="n">
        <v>121661.8</v>
      </c>
      <c r="Y38" s="18" t="n">
        <v>144249.29</v>
      </c>
      <c r="Z38" s="37" t="n">
        <v>144249.29</v>
      </c>
      <c r="AA38" s="18" t="n">
        <v>151691.57</v>
      </c>
      <c r="AB38" s="19" t="n">
        <v>160702.94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지배주주지분</t>
        </is>
      </c>
      <c r="E39" s="18" t="n">
        <v>175861.52</v>
      </c>
      <c r="F39" s="37" t="n">
        <v>175861.52</v>
      </c>
      <c r="G39" s="18" t="n">
        <v>183509.61</v>
      </c>
      <c r="H39" s="18" t="n">
        <v>189291.26</v>
      </c>
      <c r="I39" s="18" t="n">
        <v>200314.54</v>
      </c>
      <c r="J39" s="18" t="n">
        <v>199673.37</v>
      </c>
      <c r="K39" s="37" t="n">
        <v>199673.37</v>
      </c>
      <c r="L39" s="18" t="n">
        <v>204940.32</v>
      </c>
      <c r="M39" s="18" t="n">
        <v>208529.52</v>
      </c>
      <c r="N39" s="18" t="n">
        <v>213756.98</v>
      </c>
      <c r="O39" s="18" t="n">
        <v>215479.86</v>
      </c>
      <c r="P39" s="37" t="n">
        <v>215479.86</v>
      </c>
      <c r="Q39" s="18" t="n">
        <v>219670.91</v>
      </c>
      <c r="R39" s="18" t="n">
        <v>224538.92</v>
      </c>
      <c r="S39" s="18" t="n">
        <v>227425.21</v>
      </c>
      <c r="T39" s="18" t="n">
        <v>231293.25</v>
      </c>
      <c r="U39" s="37" t="n">
        <v>231293.25</v>
      </c>
      <c r="V39" s="18" t="n">
        <v>234798.35</v>
      </c>
      <c r="W39" s="18" t="n">
        <v>232364.19</v>
      </c>
      <c r="X39" s="18" t="n">
        <v>239714.81</v>
      </c>
      <c r="Y39" s="18" t="n">
        <v>244540.9</v>
      </c>
      <c r="Z39" s="37" t="n">
        <v>244540.9</v>
      </c>
      <c r="AA39" s="18" t="n">
        <v>252225.53</v>
      </c>
      <c r="AB39" s="19" t="n">
        <v>264516.33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자본금</t>
        </is>
      </c>
      <c r="E40" s="18" t="n">
        <v>8000</v>
      </c>
      <c r="F40" s="37" t="n">
        <v>8000</v>
      </c>
      <c r="G40" s="18" t="n">
        <v>8000</v>
      </c>
      <c r="H40" s="18" t="n">
        <v>8000</v>
      </c>
      <c r="I40" s="18" t="n">
        <v>8000</v>
      </c>
      <c r="J40" s="18" t="n">
        <v>8000</v>
      </c>
      <c r="K40" s="37" t="n">
        <v>8000</v>
      </c>
      <c r="L40" s="18" t="n">
        <v>8000</v>
      </c>
      <c r="M40" s="18" t="n">
        <v>8000</v>
      </c>
      <c r="N40" s="18" t="n">
        <v>8000</v>
      </c>
      <c r="O40" s="18" t="n">
        <v>8000</v>
      </c>
      <c r="P40" s="37" t="n">
        <v>8000</v>
      </c>
      <c r="Q40" s="18" t="n">
        <v>8000</v>
      </c>
      <c r="R40" s="18" t="n">
        <v>8000</v>
      </c>
      <c r="S40" s="18" t="n">
        <v>8000</v>
      </c>
      <c r="T40" s="18" t="n">
        <v>8000</v>
      </c>
      <c r="U40" s="37" t="n">
        <v>8000</v>
      </c>
      <c r="V40" s="18" t="n">
        <v>8000</v>
      </c>
      <c r="W40" s="18" t="n">
        <v>8000</v>
      </c>
      <c r="X40" s="18" t="n">
        <v>8000</v>
      </c>
      <c r="Y40" s="18" t="n">
        <v>8000</v>
      </c>
      <c r="Z40" s="37" t="n">
        <v>8000</v>
      </c>
      <c r="AA40" s="18" t="n">
        <v>8000</v>
      </c>
      <c r="AB40" s="19" t="n">
        <v>8000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자본잉여금</t>
        </is>
      </c>
      <c r="E41" s="18" t="n">
        <v>13724.28</v>
      </c>
      <c r="F41" s="37" t="n">
        <v>13724.28</v>
      </c>
      <c r="G41" s="18" t="n">
        <v>13724.28</v>
      </c>
      <c r="H41" s="18" t="n">
        <v>13724.28</v>
      </c>
      <c r="I41" s="18" t="n">
        <v>13724.28</v>
      </c>
      <c r="J41" s="18" t="n">
        <v>13724.28</v>
      </c>
      <c r="K41" s="37" t="n">
        <v>13724.28</v>
      </c>
      <c r="L41" s="18" t="n">
        <v>13724.28</v>
      </c>
      <c r="M41" s="18" t="n">
        <v>13724.28</v>
      </c>
      <c r="N41" s="18" t="n">
        <v>13724.28</v>
      </c>
      <c r="O41" s="18" t="n">
        <v>13724.28</v>
      </c>
      <c r="P41" s="37" t="n">
        <v>13724.28</v>
      </c>
      <c r="Q41" s="18" t="n">
        <v>13724.28</v>
      </c>
      <c r="R41" s="18" t="n">
        <v>13724.28</v>
      </c>
      <c r="S41" s="18" t="n">
        <v>13724.28</v>
      </c>
      <c r="T41" s="18" t="n">
        <v>13724.28</v>
      </c>
      <c r="U41" s="37" t="n">
        <v>13724.28</v>
      </c>
      <c r="V41" s="18" t="n">
        <v>13724.28</v>
      </c>
      <c r="W41" s="18" t="n">
        <v>13724.28</v>
      </c>
      <c r="X41" s="18" t="n">
        <v>13724.28</v>
      </c>
      <c r="Y41" s="18" t="n">
        <v>13724.28</v>
      </c>
      <c r="Z41" s="37" t="n">
        <v>13724.28</v>
      </c>
      <c r="AA41" s="18" t="n">
        <v>8024.28</v>
      </c>
      <c r="AB41" s="19" t="n">
        <v>8024.28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151343.29</v>
      </c>
      <c r="F42" s="37" t="n">
        <v>151343.29</v>
      </c>
      <c r="G42" s="18" t="n">
        <v>158168.99</v>
      </c>
      <c r="H42" s="18" t="n">
        <v>163371.96</v>
      </c>
      <c r="I42" s="18" t="n">
        <v>172962.46</v>
      </c>
      <c r="J42" s="18" t="n">
        <v>175374.35</v>
      </c>
      <c r="K42" s="37" t="n">
        <v>175374.35</v>
      </c>
      <c r="L42" s="18" t="n">
        <v>179118.67</v>
      </c>
      <c r="M42" s="18" t="n">
        <v>183799.49</v>
      </c>
      <c r="N42" s="18" t="n">
        <v>189168.77</v>
      </c>
      <c r="O42" s="18" t="n">
        <v>191462.71</v>
      </c>
      <c r="P42" s="37" t="n">
        <v>191462.71</v>
      </c>
      <c r="Q42" s="18" t="n">
        <v>195140.78</v>
      </c>
      <c r="R42" s="18" t="n">
        <v>199662.61</v>
      </c>
      <c r="S42" s="18" t="n">
        <v>203614.55</v>
      </c>
      <c r="T42" s="18" t="n">
        <v>205255.34</v>
      </c>
      <c r="U42" s="37" t="n">
        <v>205255.34</v>
      </c>
      <c r="V42" s="18" t="n">
        <v>208388.88</v>
      </c>
      <c r="W42" s="18" t="n">
        <v>208359.08</v>
      </c>
      <c r="X42" s="18" t="n">
        <v>215673.07</v>
      </c>
      <c r="Y42" s="18" t="n">
        <v>219722.69</v>
      </c>
      <c r="Z42" s="37" t="n">
        <v>219722.69</v>
      </c>
      <c r="AA42" s="18" t="n">
        <v>231211.2</v>
      </c>
      <c r="AB42" s="19" t="n">
        <v>242214.57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기타자본</t>
        </is>
      </c>
      <c r="E43" s="18" t="n">
        <v>2793.95</v>
      </c>
      <c r="F43" s="37" t="n">
        <v>2793.95</v>
      </c>
      <c r="G43" s="18" t="n">
        <v>3616.34</v>
      </c>
      <c r="H43" s="18" t="n">
        <v>4195.03</v>
      </c>
      <c r="I43" s="18" t="n">
        <v>5627.81</v>
      </c>
      <c r="J43" s="18" t="n">
        <v>2574.74</v>
      </c>
      <c r="K43" s="37" t="n">
        <v>2574.74</v>
      </c>
      <c r="L43" s="18" t="n">
        <v>4097.37</v>
      </c>
      <c r="M43" s="18" t="n">
        <v>3005.75</v>
      </c>
      <c r="N43" s="18" t="n">
        <v>2863.94</v>
      </c>
      <c r="O43" s="18" t="n">
        <v>2292.88</v>
      </c>
      <c r="P43" s="37" t="n">
        <v>2292.88</v>
      </c>
      <c r="Q43" s="18" t="n">
        <v>2805.86</v>
      </c>
      <c r="R43" s="18" t="n">
        <v>3152.03</v>
      </c>
      <c r="S43" s="18" t="n">
        <v>2086.39</v>
      </c>
      <c r="T43" s="18" t="n">
        <v>4313.63</v>
      </c>
      <c r="U43" s="37" t="n">
        <v>4313.63</v>
      </c>
      <c r="V43" s="18" t="n">
        <v>4685.19</v>
      </c>
      <c r="W43" s="18" t="n">
        <v>2280.84</v>
      </c>
      <c r="X43" s="18" t="n">
        <v>2317.47</v>
      </c>
      <c r="Y43" s="18" t="n">
        <v>3093.93</v>
      </c>
      <c r="Z43" s="37" t="n">
        <v>3093.93</v>
      </c>
      <c r="AA43" s="18" t="n">
        <v>4990.05</v>
      </c>
      <c r="AB43" s="19" t="n">
        <v>6277.48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2157.7</v>
      </c>
      <c r="F44" s="37" t="n">
        <v>2157.7</v>
      </c>
      <c r="G44" s="18" t="n">
        <v>2262.29</v>
      </c>
      <c r="H44" s="18" t="n">
        <v>2592.61</v>
      </c>
      <c r="I44" s="18" t="n">
        <v>2954.24</v>
      </c>
      <c r="J44" s="18" t="n">
        <v>2653.18</v>
      </c>
      <c r="K44" s="37" t="n">
        <v>2653.18</v>
      </c>
      <c r="L44" s="18" t="n">
        <v>2636.9</v>
      </c>
      <c r="M44" s="18" t="n">
        <v>2702.92</v>
      </c>
      <c r="N44" s="18" t="n">
        <v>2845.83</v>
      </c>
      <c r="O44" s="18" t="n">
        <v>2722.32</v>
      </c>
      <c r="P44" s="37" t="n">
        <v>2722.32</v>
      </c>
      <c r="Q44" s="18" t="n">
        <v>2778.25</v>
      </c>
      <c r="R44" s="18" t="n">
        <v>3002.01</v>
      </c>
      <c r="S44" s="18" t="n">
        <v>2876.96</v>
      </c>
      <c r="T44" s="18" t="n">
        <v>2909.03</v>
      </c>
      <c r="U44" s="37" t="n">
        <v>2909.03</v>
      </c>
      <c r="V44" s="18" t="n">
        <v>2858.7</v>
      </c>
      <c r="W44" s="18" t="n">
        <v>2576.55</v>
      </c>
      <c r="X44" s="18" t="n">
        <v>2630.99</v>
      </c>
      <c r="Y44" s="18" t="n">
        <v>2802.08</v>
      </c>
      <c r="Z44" s="37" t="n">
        <v>2802.08</v>
      </c>
      <c r="AA44" s="18" t="n">
        <v>2952.76</v>
      </c>
      <c r="AB44" s="19" t="n">
        <v>3076.48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178019.21</v>
      </c>
      <c r="F45" s="37" t="n">
        <v>178019.21</v>
      </c>
      <c r="G45" s="18" t="n">
        <v>185771.9</v>
      </c>
      <c r="H45" s="18" t="n">
        <v>191883.87</v>
      </c>
      <c r="I45" s="18" t="n">
        <v>203268.79</v>
      </c>
      <c r="J45" s="18" t="n">
        <v>202326.55</v>
      </c>
      <c r="K45" s="37" t="n">
        <v>202326.55</v>
      </c>
      <c r="L45" s="18" t="n">
        <v>207577.22</v>
      </c>
      <c r="M45" s="18" t="n">
        <v>211232.44</v>
      </c>
      <c r="N45" s="18" t="n">
        <v>216602.81</v>
      </c>
      <c r="O45" s="18" t="n">
        <v>218202.19</v>
      </c>
      <c r="P45" s="37" t="n">
        <v>218202.19</v>
      </c>
      <c r="Q45" s="18" t="n">
        <v>222449.16</v>
      </c>
      <c r="R45" s="18" t="n">
        <v>227540.93</v>
      </c>
      <c r="S45" s="18" t="n">
        <v>230302.17</v>
      </c>
      <c r="T45" s="18" t="n">
        <v>234202.28</v>
      </c>
      <c r="U45" s="37" t="n">
        <v>234202.28</v>
      </c>
      <c r="V45" s="18" t="n">
        <v>237657.05</v>
      </c>
      <c r="W45" s="18" t="n">
        <v>234940.75</v>
      </c>
      <c r="X45" s="18" t="n">
        <v>242345.8</v>
      </c>
      <c r="Y45" s="18" t="n">
        <v>247342.99</v>
      </c>
      <c r="Z45" s="37" t="n">
        <v>247342.99</v>
      </c>
      <c r="AA45" s="18" t="n">
        <v>255178.29</v>
      </c>
      <c r="AB45" s="19" t="n">
        <v>267592.81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302598.63</v>
      </c>
      <c r="F46" s="37" t="n">
        <v>302598.63</v>
      </c>
      <c r="G46" s="18" t="n">
        <v>312404.57</v>
      </c>
      <c r="H46" s="18" t="n">
        <v>374426.28</v>
      </c>
      <c r="I46" s="18" t="n">
        <v>379926.08</v>
      </c>
      <c r="J46" s="18" t="n">
        <v>364710.39</v>
      </c>
      <c r="K46" s="37" t="n">
        <v>364710.39</v>
      </c>
      <c r="L46" s="18" t="n">
        <v>358381.45</v>
      </c>
      <c r="M46" s="18" t="n">
        <v>353864.45</v>
      </c>
      <c r="N46" s="18" t="n">
        <v>346461.22</v>
      </c>
      <c r="O46" s="18" t="n">
        <v>343481.02</v>
      </c>
      <c r="P46" s="37" t="n">
        <v>343481.02</v>
      </c>
      <c r="Q46" s="18" t="n">
        <v>345329.3</v>
      </c>
      <c r="R46" s="18" t="n">
        <v>359425.7</v>
      </c>
      <c r="S46" s="18" t="n">
        <v>352270.68</v>
      </c>
      <c r="T46" s="18" t="n">
        <v>363394.23</v>
      </c>
      <c r="U46" s="37" t="n">
        <v>363394.23</v>
      </c>
      <c r="V46" s="18" t="n">
        <v>355732.86</v>
      </c>
      <c r="W46" s="18" t="n">
        <v>359531.91</v>
      </c>
      <c r="X46" s="18" t="n">
        <v>364007.6</v>
      </c>
      <c r="Y46" s="18" t="n">
        <v>391592.28</v>
      </c>
      <c r="Z46" s="37" t="n">
        <v>391592.28</v>
      </c>
      <c r="AA46" s="18" t="n">
        <v>406869.86</v>
      </c>
      <c r="AB46" s="19" t="n">
        <v>428295.75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76957.17999999999</v>
      </c>
      <c r="F47" s="37" t="n">
        <v>76957.17999999999</v>
      </c>
      <c r="G47" s="18" t="n">
        <v>78772.99000000001</v>
      </c>
      <c r="H47" s="18" t="n">
        <v>125951.7</v>
      </c>
      <c r="I47" s="18" t="n">
        <v>118456.94</v>
      </c>
      <c r="J47" s="18" t="n">
        <v>108918.07</v>
      </c>
      <c r="K47" s="37" t="n">
        <v>108918.07</v>
      </c>
      <c r="L47" s="18" t="n">
        <v>105103.91</v>
      </c>
      <c r="M47" s="18" t="n">
        <v>103933.47</v>
      </c>
      <c r="N47" s="18" t="n">
        <v>96397.49000000001</v>
      </c>
      <c r="O47" s="18" t="n">
        <v>90920.5</v>
      </c>
      <c r="P47" s="37" t="n">
        <v>90920.5</v>
      </c>
      <c r="Q47" s="18" t="n">
        <v>89608.86</v>
      </c>
      <c r="R47" s="18" t="n">
        <v>93631.32000000001</v>
      </c>
      <c r="S47" s="18" t="n">
        <v>84739.88</v>
      </c>
      <c r="T47" s="18" t="n">
        <v>85075.08</v>
      </c>
      <c r="U47" s="37" t="n">
        <v>85075.08</v>
      </c>
      <c r="V47" s="18" t="n">
        <v>81696.14999999999</v>
      </c>
      <c r="W47" s="18" t="n">
        <v>85741.38</v>
      </c>
      <c r="X47" s="18" t="n">
        <v>84249.89999999999</v>
      </c>
      <c r="Y47" s="18" t="n">
        <v>95426.94</v>
      </c>
      <c r="Z47" s="37" t="n">
        <v>95426.94</v>
      </c>
      <c r="AA47" s="18" t="n">
        <v>98327.38</v>
      </c>
      <c r="AB47" s="19" t="n">
        <v>103324.37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61102.16</v>
      </c>
      <c r="F48" s="37" t="n">
        <v>61102.16</v>
      </c>
      <c r="G48" s="18" t="n">
        <v>70273.87</v>
      </c>
      <c r="H48" s="18" t="n">
        <v>117173.81</v>
      </c>
      <c r="I48" s="18" t="n">
        <v>106004.44</v>
      </c>
      <c r="J48" s="18" t="n">
        <v>100262.3</v>
      </c>
      <c r="K48" s="37" t="n">
        <v>100262.3</v>
      </c>
      <c r="L48" s="18" t="n">
        <v>103408.69</v>
      </c>
      <c r="M48" s="18" t="n">
        <v>100071.9</v>
      </c>
      <c r="N48" s="18" t="n">
        <v>86689.07000000001</v>
      </c>
      <c r="O48" s="18" t="n">
        <v>84794.37</v>
      </c>
      <c r="P48" s="37" t="n">
        <v>84794.37</v>
      </c>
      <c r="Q48" s="18" t="n">
        <v>85716.71000000001</v>
      </c>
      <c r="R48" s="18" t="n">
        <v>85438.00999999999</v>
      </c>
      <c r="S48" s="18" t="n">
        <v>74865.11</v>
      </c>
      <c r="T48" s="18" t="n">
        <v>78091.27</v>
      </c>
      <c r="U48" s="37" t="n">
        <v>78091.27</v>
      </c>
      <c r="V48" s="18" t="n">
        <v>73927.10000000001</v>
      </c>
      <c r="W48" s="18" t="n">
        <v>70302.2</v>
      </c>
      <c r="X48" s="18" t="n">
        <v>74463.53</v>
      </c>
      <c r="Y48" s="18" t="n">
        <v>79723.28</v>
      </c>
      <c r="Z48" s="37" t="n">
        <v>79723.28</v>
      </c>
      <c r="AA48" s="18" t="n">
        <v>81886.64999999999</v>
      </c>
      <c r="AB48" s="19" t="n">
        <v>91474.97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31616.22</v>
      </c>
      <c r="F49" s="37" t="n">
        <v>31616.22</v>
      </c>
      <c r="G49" s="18" t="n">
        <v>26169.7</v>
      </c>
      <c r="H49" s="18" t="n">
        <v>24651.25</v>
      </c>
      <c r="I49" s="18" t="n">
        <v>26256.05</v>
      </c>
      <c r="J49" s="18" t="n">
        <v>32588.8</v>
      </c>
      <c r="K49" s="37" t="n">
        <v>32588.8</v>
      </c>
      <c r="L49" s="18" t="n">
        <v>29207.76</v>
      </c>
      <c r="M49" s="18" t="n">
        <v>30586.28</v>
      </c>
      <c r="N49" s="18" t="n">
        <v>18990.17</v>
      </c>
      <c r="O49" s="18" t="n">
        <v>14648.6</v>
      </c>
      <c r="P49" s="37" t="n">
        <v>14648.6</v>
      </c>
      <c r="Q49" s="18" t="n">
        <v>11740.04</v>
      </c>
      <c r="R49" s="18" t="n">
        <v>31863.57</v>
      </c>
      <c r="S49" s="18" t="n">
        <v>14070.18</v>
      </c>
      <c r="T49" s="18" t="n">
        <v>10895.81</v>
      </c>
      <c r="U49" s="37" t="n">
        <v>10895.81</v>
      </c>
      <c r="V49" s="18" t="n">
        <v>11667.42</v>
      </c>
      <c r="W49" s="18" t="n">
        <v>40757.59</v>
      </c>
      <c r="X49" s="18" t="n">
        <v>15690.93</v>
      </c>
      <c r="Y49" s="18" t="n">
        <v>20939.77</v>
      </c>
      <c r="Z49" s="37" t="n">
        <v>20939.77</v>
      </c>
      <c r="AA49" s="18" t="n">
        <v>21332.01</v>
      </c>
      <c r="AB49" s="19" t="n">
        <v>42666.07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단기투자자산(공정가치)</t>
        </is>
      </c>
      <c r="F50" s="9" t="n"/>
      <c r="H50" s="18" t="n">
        <v>12565.86</v>
      </c>
      <c r="K50" s="9" t="n"/>
      <c r="M50" s="18" t="n">
        <v>12641.69</v>
      </c>
      <c r="P50" s="9" t="n"/>
      <c r="R50" s="18" t="n">
        <v>8572.65</v>
      </c>
      <c r="U50" s="9" t="n"/>
      <c r="W50" s="18" t="n">
        <v>8097.94</v>
      </c>
      <c r="Z50" s="9" t="n"/>
      <c r="AB50" s="19" t="n">
        <v>30496.77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유동성장기부채</t>
        </is>
      </c>
      <c r="F51" s="9" t="n"/>
      <c r="H51" s="18" t="n">
        <v>12666.72</v>
      </c>
      <c r="I51" s="18" t="n">
        <v>12666.72</v>
      </c>
      <c r="J51" s="18" t="n">
        <v>11611.16</v>
      </c>
      <c r="K51" s="37" t="n">
        <v>11611.16</v>
      </c>
      <c r="L51" s="18" t="n">
        <v>11611.16</v>
      </c>
      <c r="M51" s="18" t="n">
        <v>12666.72</v>
      </c>
      <c r="N51" s="18" t="n">
        <v>11611.16</v>
      </c>
      <c r="O51" s="18" t="n">
        <v>11611.16</v>
      </c>
      <c r="P51" s="37" t="n">
        <v>11611.16</v>
      </c>
      <c r="Q51" s="18" t="n">
        <v>11611.16</v>
      </c>
      <c r="R51" s="18" t="n">
        <v>10555.5</v>
      </c>
      <c r="S51" s="18" t="n">
        <v>8444.4</v>
      </c>
      <c r="T51" s="18" t="n">
        <v>5277.75</v>
      </c>
      <c r="U51" s="37" t="n">
        <v>5277.75</v>
      </c>
      <c r="V51" s="18" t="n">
        <v>2111.1</v>
      </c>
      <c r="W51" s="18" t="n">
        <v>0</v>
      </c>
      <c r="X51" s="18" t="n">
        <v>0</v>
      </c>
      <c r="Y51" s="18" t="n">
        <v>0</v>
      </c>
      <c r="Z51" s="37" t="n">
        <v>0</v>
      </c>
      <c r="AB51" s="19" t="n">
        <v>0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투자부동산</t>
        </is>
      </c>
      <c r="F52" s="9" t="n"/>
      <c r="J52" s="18" t="n">
        <v>41869.87</v>
      </c>
      <c r="K52" s="37" t="n">
        <v>41869.87</v>
      </c>
      <c r="L52" s="18" t="n">
        <v>41566.82</v>
      </c>
      <c r="M52" s="18" t="n">
        <v>41547.77</v>
      </c>
      <c r="N52" s="18" t="n">
        <v>41528.72</v>
      </c>
      <c r="O52" s="18" t="n">
        <v>41917.59</v>
      </c>
      <c r="P52" s="37" t="n">
        <v>41917.59</v>
      </c>
      <c r="Q52" s="18" t="n">
        <v>41626.04</v>
      </c>
      <c r="R52" s="18" t="n">
        <v>41606.93</v>
      </c>
      <c r="S52" s="18" t="n">
        <v>41587.82</v>
      </c>
      <c r="T52" s="18" t="n">
        <v>41568.71</v>
      </c>
      <c r="U52" s="37" t="n">
        <v>41568.71</v>
      </c>
      <c r="V52" s="18" t="n">
        <v>41549.6</v>
      </c>
      <c r="W52" s="18" t="n">
        <v>41530.48</v>
      </c>
      <c r="X52" s="18" t="n">
        <v>41511.37</v>
      </c>
      <c r="Y52" s="18" t="n">
        <v>41492.26</v>
      </c>
      <c r="Z52" s="37" t="n">
        <v>41492.26</v>
      </c>
      <c r="AA52" s="18" t="n">
        <v>41473.15</v>
      </c>
      <c r="AB52" s="19" t="n">
        <v>41454.04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장기금융부채(face)</t>
        </is>
      </c>
      <c r="F53" s="9" t="n"/>
      <c r="K53" s="9" t="n"/>
      <c r="P53" s="9" t="n"/>
      <c r="S53" s="18" t="n">
        <v>12854.74</v>
      </c>
      <c r="T53" s="18" t="n">
        <v>14483.09</v>
      </c>
      <c r="U53" s="37" t="n">
        <v>14483.09</v>
      </c>
      <c r="V53" s="18" t="n">
        <v>12918.6</v>
      </c>
      <c r="W53" s="18" t="n">
        <v>12539.84</v>
      </c>
      <c r="X53" s="18" t="n">
        <v>11914.45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종속기업및관계기업투자</t>
        </is>
      </c>
      <c r="F54" s="9" t="n"/>
      <c r="K54" s="9" t="n"/>
      <c r="P54" s="9" t="n"/>
      <c r="T54" s="18" t="n">
        <v>3223.73</v>
      </c>
      <c r="U54" s="37" t="n">
        <v>3223.73</v>
      </c>
      <c r="V54" s="18" t="n">
        <v>2924.57</v>
      </c>
      <c r="W54" s="18" t="n">
        <v>3241.59</v>
      </c>
      <c r="X54" s="18" t="n">
        <v>3380</v>
      </c>
      <c r="Y54" s="18" t="n">
        <v>3429.12</v>
      </c>
      <c r="Z54" s="37" t="n">
        <v>3429.12</v>
      </c>
      <c r="AA54" s="18" t="n">
        <v>4357.84</v>
      </c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단기금융부채(face)</t>
        </is>
      </c>
      <c r="F55" s="9" t="n"/>
      <c r="K55" s="9" t="n"/>
      <c r="P55" s="9" t="n"/>
      <c r="U55" s="9" t="n"/>
      <c r="Z55" s="9" t="n"/>
      <c r="AA55" s="18" t="n">
        <v>78598.02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71758.37</v>
      </c>
      <c r="F56" s="9" t="n"/>
      <c r="G56" s="18" t="n">
        <v>87227.31</v>
      </c>
      <c r="H56" s="18" t="n">
        <v>94795.31</v>
      </c>
      <c r="I56" s="18" t="n">
        <v>97636.39</v>
      </c>
      <c r="J56" s="18" t="n">
        <v>87797.83</v>
      </c>
      <c r="K56" s="37" t="n">
        <v>367456.84</v>
      </c>
      <c r="L56" s="18" t="n">
        <v>71396.46000000001</v>
      </c>
      <c r="M56" s="18" t="n">
        <v>79811.05</v>
      </c>
      <c r="N56" s="18" t="n">
        <v>71585.42</v>
      </c>
      <c r="O56" s="18" t="n">
        <v>68302.14999999999</v>
      </c>
      <c r="P56" s="37" t="n">
        <v>291095.08</v>
      </c>
      <c r="Q56" s="18" t="n">
        <v>68123.56</v>
      </c>
      <c r="R56" s="18" t="n">
        <v>75451.32000000001</v>
      </c>
      <c r="S56" s="18" t="n">
        <v>74179.03999999999</v>
      </c>
      <c r="T56" s="18" t="n">
        <v>82055.21000000001</v>
      </c>
      <c r="U56" s="37" t="n">
        <v>299809.13</v>
      </c>
      <c r="V56" s="18" t="n">
        <v>74084.8</v>
      </c>
      <c r="W56" s="18" t="n">
        <v>76690.59</v>
      </c>
      <c r="X56" s="18" t="n">
        <v>74656.50999999999</v>
      </c>
      <c r="Y56" s="18" t="n">
        <v>76957.92999999999</v>
      </c>
      <c r="Z56" s="37" t="n">
        <v>302389.83</v>
      </c>
      <c r="AA56" s="18" t="n">
        <v>76336.3</v>
      </c>
      <c r="AB56" s="19" t="n">
        <v>88213.95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63963.59</v>
      </c>
      <c r="F57" s="9" t="n"/>
      <c r="G57" s="18" t="n">
        <v>71973.42999999999</v>
      </c>
      <c r="H57" s="18" t="n">
        <v>79968.98</v>
      </c>
      <c r="I57" s="18" t="n">
        <v>78994.57000000001</v>
      </c>
      <c r="J57" s="18" t="n">
        <v>73814.25</v>
      </c>
      <c r="K57" s="37" t="n">
        <v>304751.23</v>
      </c>
      <c r="L57" s="18" t="n">
        <v>59752.4</v>
      </c>
      <c r="M57" s="18" t="n">
        <v>66822.56</v>
      </c>
      <c r="N57" s="18" t="n">
        <v>59655.82</v>
      </c>
      <c r="O57" s="18" t="n">
        <v>56707.52</v>
      </c>
      <c r="P57" s="37" t="n">
        <v>242938.3</v>
      </c>
      <c r="Q57" s="18" t="n">
        <v>57885.15</v>
      </c>
      <c r="R57" s="18" t="n">
        <v>63680.81</v>
      </c>
      <c r="S57" s="18" t="n">
        <v>63524.67</v>
      </c>
      <c r="T57" s="18" t="n">
        <v>69986.67</v>
      </c>
      <c r="U57" s="37" t="n">
        <v>255077.3</v>
      </c>
      <c r="V57" s="18" t="n">
        <v>62570.18</v>
      </c>
      <c r="W57" s="18" t="n">
        <v>65781.28</v>
      </c>
      <c r="X57" s="18" t="n">
        <v>62695.69</v>
      </c>
      <c r="Y57" s="18" t="n">
        <v>64803.22</v>
      </c>
      <c r="Z57" s="37" t="n">
        <v>255850.37</v>
      </c>
      <c r="AA57" s="18" t="n">
        <v>63776.77</v>
      </c>
      <c r="AB57" s="19" t="n">
        <v>76465.48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7794.78</v>
      </c>
      <c r="F58" s="9" t="n"/>
      <c r="G58" s="18" t="n">
        <v>15253.88</v>
      </c>
      <c r="H58" s="18" t="n">
        <v>14826.34</v>
      </c>
      <c r="I58" s="18" t="n">
        <v>18641.81</v>
      </c>
      <c r="J58" s="18" t="n">
        <v>13983.57</v>
      </c>
      <c r="K58" s="37" t="n">
        <v>62705.6</v>
      </c>
      <c r="L58" s="18" t="n">
        <v>11644.06</v>
      </c>
      <c r="M58" s="18" t="n">
        <v>12988.49</v>
      </c>
      <c r="N58" s="18" t="n">
        <v>11929.6</v>
      </c>
      <c r="O58" s="18" t="n">
        <v>11594.63</v>
      </c>
      <c r="P58" s="37" t="n">
        <v>48156.78</v>
      </c>
      <c r="Q58" s="18" t="n">
        <v>10238.41</v>
      </c>
      <c r="R58" s="18" t="n">
        <v>11770.5</v>
      </c>
      <c r="S58" s="18" t="n">
        <v>10654.37</v>
      </c>
      <c r="T58" s="18" t="n">
        <v>12068.55</v>
      </c>
      <c r="U58" s="37" t="n">
        <v>44731.83</v>
      </c>
      <c r="V58" s="18" t="n">
        <v>11514.62</v>
      </c>
      <c r="W58" s="18" t="n">
        <v>10909.31</v>
      </c>
      <c r="X58" s="18" t="n">
        <v>11960.83</v>
      </c>
      <c r="Y58" s="18" t="n">
        <v>12154.71</v>
      </c>
      <c r="Z58" s="37" t="n">
        <v>46539.47</v>
      </c>
      <c r="AA58" s="18" t="n">
        <v>12559.53</v>
      </c>
      <c r="AB58" s="19" t="n">
        <v>11748.47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6682.63</v>
      </c>
      <c r="F59" s="9" t="n"/>
      <c r="G59" s="18" t="n">
        <v>5582.29</v>
      </c>
      <c r="H59" s="18" t="n">
        <v>7593.12</v>
      </c>
      <c r="I59" s="18" t="n">
        <v>5870.9</v>
      </c>
      <c r="J59" s="18" t="n">
        <v>7884.39</v>
      </c>
      <c r="K59" s="37" t="n">
        <v>26930.7</v>
      </c>
      <c r="L59" s="18" t="n">
        <v>5448.72</v>
      </c>
      <c r="M59" s="18" t="n">
        <v>6631.42</v>
      </c>
      <c r="N59" s="18" t="n">
        <v>5215.6</v>
      </c>
      <c r="O59" s="18" t="n">
        <v>6599.2</v>
      </c>
      <c r="P59" s="37" t="n">
        <v>23894.94</v>
      </c>
      <c r="Q59" s="18" t="n">
        <v>5121.17</v>
      </c>
      <c r="R59" s="18" t="n">
        <v>6628.32</v>
      </c>
      <c r="S59" s="18" t="n">
        <v>9064.82</v>
      </c>
      <c r="T59" s="18" t="n">
        <v>8577</v>
      </c>
      <c r="U59" s="37" t="n">
        <v>29391.31</v>
      </c>
      <c r="V59" s="18" t="n">
        <v>5786.61</v>
      </c>
      <c r="W59" s="18" t="n">
        <v>7958.67</v>
      </c>
      <c r="X59" s="18" t="n">
        <v>6466.92</v>
      </c>
      <c r="Y59" s="18" t="n">
        <v>7035.52</v>
      </c>
      <c r="Z59" s="37" t="n">
        <v>27247.72</v>
      </c>
      <c r="AA59" s="18" t="n">
        <v>5885.67</v>
      </c>
      <c r="AB59" s="19" t="n">
        <v>7673.56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1112.15</v>
      </c>
      <c r="F60" s="9" t="n"/>
      <c r="G60" s="18" t="n">
        <v>9671.59</v>
      </c>
      <c r="H60" s="18" t="n">
        <v>7233.21</v>
      </c>
      <c r="I60" s="18" t="n">
        <v>12770.91</v>
      </c>
      <c r="J60" s="18" t="n">
        <v>6099.18</v>
      </c>
      <c r="K60" s="37" t="n">
        <v>35774.89</v>
      </c>
      <c r="L60" s="18" t="n">
        <v>6195.34</v>
      </c>
      <c r="M60" s="18" t="n">
        <v>6357.08</v>
      </c>
      <c r="N60" s="18" t="n">
        <v>6714</v>
      </c>
      <c r="O60" s="18" t="n">
        <v>4995.43</v>
      </c>
      <c r="P60" s="37" t="n">
        <v>24261.85</v>
      </c>
      <c r="Q60" s="18" t="n">
        <v>5117.24</v>
      </c>
      <c r="R60" s="18" t="n">
        <v>5142.18</v>
      </c>
      <c r="S60" s="18" t="n">
        <v>1589.55</v>
      </c>
      <c r="T60" s="18" t="n">
        <v>3491.54</v>
      </c>
      <c r="U60" s="37" t="n">
        <v>15340.51</v>
      </c>
      <c r="V60" s="18" t="n">
        <v>5728.01</v>
      </c>
      <c r="W60" s="18" t="n">
        <v>2950.64</v>
      </c>
      <c r="X60" s="18" t="n">
        <v>5493.9</v>
      </c>
      <c r="Y60" s="18" t="n">
        <v>5119.2</v>
      </c>
      <c r="Z60" s="37" t="n">
        <v>19291.75</v>
      </c>
      <c r="AA60" s="18" t="n">
        <v>6673.85</v>
      </c>
      <c r="AB60" s="19" t="n">
        <v>4074.91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기타영업외수익</t>
        </is>
      </c>
      <c r="E61" s="18" t="n">
        <v>103.84</v>
      </c>
      <c r="F61" s="9" t="n"/>
      <c r="G61" s="18" t="n">
        <v>992.79</v>
      </c>
      <c r="H61" s="18" t="n">
        <v>2148.48</v>
      </c>
      <c r="I61" s="18" t="n">
        <v>3198.08</v>
      </c>
      <c r="J61" s="18" t="n">
        <v>23.36</v>
      </c>
      <c r="K61" s="37" t="n">
        <v>6362.71</v>
      </c>
      <c r="L61" s="18" t="n">
        <v>1284.65</v>
      </c>
      <c r="M61" s="18" t="n">
        <v>1021.86</v>
      </c>
      <c r="N61" s="18" t="n">
        <v>966.5</v>
      </c>
      <c r="O61" s="18" t="n">
        <v>130.74</v>
      </c>
      <c r="P61" s="37" t="n">
        <v>3403.75</v>
      </c>
      <c r="Q61" s="18" t="n">
        <v>1378.58</v>
      </c>
      <c r="R61" s="18" t="n">
        <v>1334.51</v>
      </c>
      <c r="S61" s="18" t="n">
        <v>3212.7</v>
      </c>
      <c r="T61" s="18" t="n">
        <v>4212.29</v>
      </c>
      <c r="U61" s="37" t="n">
        <v>10138.08</v>
      </c>
      <c r="V61" s="18" t="n">
        <v>1019.95</v>
      </c>
      <c r="W61" s="18" t="n">
        <v>744</v>
      </c>
      <c r="X61" s="18" t="n">
        <v>710.1</v>
      </c>
      <c r="Y61" s="18" t="n">
        <v>878.26</v>
      </c>
      <c r="Z61" s="37" t="n">
        <v>3352.31</v>
      </c>
      <c r="AA61" s="18" t="n">
        <v>3968.49</v>
      </c>
      <c r="AB61" s="19" t="n">
        <v>2306.16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기타영업외비용</t>
        </is>
      </c>
      <c r="E62" s="18" t="n">
        <v>-258.43</v>
      </c>
      <c r="F62" s="9" t="n"/>
      <c r="G62" s="18" t="n">
        <v>446.75</v>
      </c>
      <c r="H62" s="18" t="n">
        <v>670.35</v>
      </c>
      <c r="I62" s="18" t="n">
        <v>1193.88</v>
      </c>
      <c r="J62" s="18" t="n">
        <v>3041.1</v>
      </c>
      <c r="K62" s="37" t="n">
        <v>5352.08</v>
      </c>
      <c r="L62" s="18" t="n">
        <v>766.37</v>
      </c>
      <c r="M62" s="18" t="n">
        <v>507.7</v>
      </c>
      <c r="N62" s="18" t="n">
        <v>366.68</v>
      </c>
      <c r="O62" s="18" t="n">
        <v>2461.44</v>
      </c>
      <c r="P62" s="37" t="n">
        <v>4102.19</v>
      </c>
      <c r="Q62" s="18" t="n">
        <v>399.68</v>
      </c>
      <c r="R62" s="18" t="n">
        <v>1065.55</v>
      </c>
      <c r="S62" s="18" t="n">
        <v>886.84</v>
      </c>
      <c r="T62" s="18" t="n">
        <v>3063.51</v>
      </c>
      <c r="U62" s="37" t="n">
        <v>5415.58</v>
      </c>
      <c r="V62" s="18" t="n">
        <v>1340.01</v>
      </c>
      <c r="W62" s="18" t="n">
        <v>5222.82</v>
      </c>
      <c r="X62" s="18" t="n">
        <v>-1884.14</v>
      </c>
      <c r="Y62" s="18" t="n">
        <v>1357.69</v>
      </c>
      <c r="Z62" s="37" t="n">
        <v>6036.38</v>
      </c>
      <c r="AA62" s="18" t="n">
        <v>698.6799999999999</v>
      </c>
      <c r="AB62" s="19" t="n">
        <v>632.3099999999999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금융수익</t>
        </is>
      </c>
      <c r="E63" s="18" t="n">
        <v>1268.44</v>
      </c>
      <c r="F63" s="9" t="n"/>
      <c r="G63" s="18" t="n">
        <v>1253.26</v>
      </c>
      <c r="H63" s="18" t="n">
        <v>2406.58</v>
      </c>
      <c r="I63" s="18" t="n">
        <v>2596.91</v>
      </c>
      <c r="J63" s="18" t="n">
        <v>3911.5</v>
      </c>
      <c r="K63" s="37" t="n">
        <v>10168.25</v>
      </c>
      <c r="L63" s="18" t="n">
        <v>4186.17</v>
      </c>
      <c r="M63" s="18" t="n">
        <v>2866.07</v>
      </c>
      <c r="N63" s="18" t="n">
        <v>1901.41</v>
      </c>
      <c r="O63" s="18" t="n">
        <v>4180.66</v>
      </c>
      <c r="P63" s="37" t="n">
        <v>13134.31</v>
      </c>
      <c r="Q63" s="18" t="n">
        <v>2978.11</v>
      </c>
      <c r="R63" s="18" t="n">
        <v>2662.45</v>
      </c>
      <c r="S63" s="18" t="n">
        <v>2693.03</v>
      </c>
      <c r="T63" s="18" t="n">
        <v>2099.09</v>
      </c>
      <c r="U63" s="37" t="n">
        <v>10432.68</v>
      </c>
      <c r="V63" s="18" t="n">
        <v>1794.05</v>
      </c>
      <c r="W63" s="18" t="n">
        <v>2971.98</v>
      </c>
      <c r="X63" s="18" t="n">
        <v>2111.45</v>
      </c>
      <c r="Y63" s="18" t="n">
        <v>2155.05</v>
      </c>
      <c r="Z63" s="37" t="n">
        <v>9032.530000000001</v>
      </c>
      <c r="AA63" s="18" t="n">
        <v>3907.26</v>
      </c>
      <c r="AB63" s="19" t="n">
        <v>9163.120000000001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1263.3</v>
      </c>
      <c r="F64" s="9" t="n"/>
      <c r="G64" s="18" t="n">
        <v>1423.08</v>
      </c>
      <c r="H64" s="18" t="n">
        <v>4486.69</v>
      </c>
      <c r="I64" s="18" t="n">
        <v>5055.62</v>
      </c>
      <c r="J64" s="18" t="n">
        <v>3659.43</v>
      </c>
      <c r="K64" s="37" t="n">
        <v>14624.82</v>
      </c>
      <c r="L64" s="18" t="n">
        <v>4551.15</v>
      </c>
      <c r="M64" s="18" t="n">
        <v>3717.47</v>
      </c>
      <c r="N64" s="18" t="n">
        <v>2851.49</v>
      </c>
      <c r="O64" s="18" t="n">
        <v>3222.95</v>
      </c>
      <c r="P64" s="37" t="n">
        <v>14343.06</v>
      </c>
      <c r="Q64" s="18" t="n">
        <v>3237.85</v>
      </c>
      <c r="R64" s="18" t="n">
        <v>2810.22</v>
      </c>
      <c r="S64" s="18" t="n">
        <v>2611.4</v>
      </c>
      <c r="T64" s="18" t="n">
        <v>2873.39</v>
      </c>
      <c r="U64" s="37" t="n">
        <v>11532.86</v>
      </c>
      <c r="V64" s="18" t="n">
        <v>2150.19</v>
      </c>
      <c r="W64" s="18" t="n">
        <v>2053.85</v>
      </c>
      <c r="X64" s="18" t="n">
        <v>1787.16</v>
      </c>
      <c r="Y64" s="18" t="n">
        <v>1730.13</v>
      </c>
      <c r="Z64" s="37" t="n">
        <v>7721.33</v>
      </c>
      <c r="AA64" s="18" t="n">
        <v>2028.97</v>
      </c>
      <c r="AB64" s="19" t="n">
        <v>1446.7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1479.57</v>
      </c>
      <c r="F65" s="9" t="n"/>
      <c r="G65" s="18" t="n">
        <v>10047.82</v>
      </c>
      <c r="H65" s="18" t="n">
        <v>6631.25</v>
      </c>
      <c r="I65" s="18" t="n">
        <v>12316.41</v>
      </c>
      <c r="J65" s="18" t="n">
        <v>3333.5</v>
      </c>
      <c r="K65" s="37" t="n">
        <v>32328.98</v>
      </c>
      <c r="L65" s="18" t="n">
        <v>6348.64</v>
      </c>
      <c r="M65" s="18" t="n">
        <v>6019.82</v>
      </c>
      <c r="N65" s="18" t="n">
        <v>6363.74</v>
      </c>
      <c r="O65" s="18" t="n">
        <v>3622.46</v>
      </c>
      <c r="P65" s="37" t="n">
        <v>22354.66</v>
      </c>
      <c r="Q65" s="18" t="n">
        <v>5836.39</v>
      </c>
      <c r="R65" s="18" t="n">
        <v>5263.37</v>
      </c>
      <c r="S65" s="18" t="n">
        <v>3997.04</v>
      </c>
      <c r="T65" s="18" t="n">
        <v>4168.8</v>
      </c>
      <c r="U65" s="37" t="n">
        <v>19265.6</v>
      </c>
      <c r="V65" s="18" t="n">
        <v>5303.35</v>
      </c>
      <c r="W65" s="18" t="n">
        <v>-119.63</v>
      </c>
      <c r="X65" s="18" t="n">
        <v>8789.52</v>
      </c>
      <c r="Y65" s="18" t="n">
        <v>5402.44</v>
      </c>
      <c r="Z65" s="37" t="n">
        <v>19375.68</v>
      </c>
      <c r="AA65" s="18" t="n">
        <v>12346.59</v>
      </c>
      <c r="AB65" s="19" t="n">
        <v>14200.79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</t>
        </is>
      </c>
      <c r="E66" s="18" t="n">
        <v>139.05</v>
      </c>
      <c r="F66" s="9" t="n"/>
      <c r="G66" s="18" t="n">
        <v>2361.32</v>
      </c>
      <c r="H66" s="18" t="n">
        <v>1166.53</v>
      </c>
      <c r="I66" s="18" t="n">
        <v>2518.1</v>
      </c>
      <c r="J66" s="18" t="n">
        <v>1735.25</v>
      </c>
      <c r="K66" s="37" t="n">
        <v>7781.2</v>
      </c>
      <c r="L66" s="18" t="n">
        <v>1759.03</v>
      </c>
      <c r="M66" s="18" t="n">
        <v>1204.87</v>
      </c>
      <c r="N66" s="18" t="n">
        <v>901.8099999999999</v>
      </c>
      <c r="O66" s="18" t="n">
        <v>938.99</v>
      </c>
      <c r="P66" s="37" t="n">
        <v>4804.7</v>
      </c>
      <c r="Q66" s="18" t="n">
        <v>1229.12</v>
      </c>
      <c r="R66" s="18" t="n">
        <v>588.26</v>
      </c>
      <c r="S66" s="18" t="n">
        <v>839.49</v>
      </c>
      <c r="T66" s="18" t="n">
        <v>2095.93</v>
      </c>
      <c r="U66" s="37" t="n">
        <v>4752.8</v>
      </c>
      <c r="V66" s="18" t="n">
        <v>1102.67</v>
      </c>
      <c r="W66" s="18" t="n">
        <v>3.72</v>
      </c>
      <c r="X66" s="18" t="n">
        <v>1501</v>
      </c>
      <c r="Y66" s="18" t="n">
        <v>1900.05</v>
      </c>
      <c r="Z66" s="37" t="n">
        <v>4507.44</v>
      </c>
      <c r="AA66" s="18" t="n">
        <v>2562.93</v>
      </c>
      <c r="AB66" s="19" t="n">
        <v>3166.62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당기순이익</t>
        </is>
      </c>
      <c r="E67" s="18" t="n">
        <v>1340.51</v>
      </c>
      <c r="F67" s="9" t="n"/>
      <c r="G67" s="18" t="n">
        <v>7686.49</v>
      </c>
      <c r="H67" s="18" t="n">
        <v>5464.72</v>
      </c>
      <c r="I67" s="18" t="n">
        <v>9798.309999999999</v>
      </c>
      <c r="J67" s="18" t="n">
        <v>1598.26</v>
      </c>
      <c r="K67" s="37" t="n">
        <v>24547.78</v>
      </c>
      <c r="L67" s="18" t="n">
        <v>4589.61</v>
      </c>
      <c r="M67" s="18" t="n">
        <v>4814.95</v>
      </c>
      <c r="N67" s="18" t="n">
        <v>5461.93</v>
      </c>
      <c r="O67" s="18" t="n">
        <v>2683.47</v>
      </c>
      <c r="P67" s="37" t="n">
        <v>17549.96</v>
      </c>
      <c r="Q67" s="18" t="n">
        <v>4607.27</v>
      </c>
      <c r="R67" s="18" t="n">
        <v>4675.11</v>
      </c>
      <c r="S67" s="18" t="n">
        <v>3157.55</v>
      </c>
      <c r="T67" s="18" t="n">
        <v>2072.88</v>
      </c>
      <c r="U67" s="37" t="n">
        <v>14512.81</v>
      </c>
      <c r="V67" s="18" t="n">
        <v>4200.68</v>
      </c>
      <c r="W67" s="18" t="n">
        <v>-123.35</v>
      </c>
      <c r="X67" s="18" t="n">
        <v>7288.52</v>
      </c>
      <c r="Y67" s="18" t="n">
        <v>3502.39</v>
      </c>
      <c r="Z67" s="37" t="n">
        <v>14868.24</v>
      </c>
      <c r="AA67" s="18" t="n">
        <v>9783.66</v>
      </c>
      <c r="AB67" s="19" t="n">
        <v>11034.17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(지배주주지분)당기순이익</t>
        </is>
      </c>
      <c r="E68" s="18" t="n">
        <v>1325</v>
      </c>
      <c r="F68" s="9" t="n"/>
      <c r="G68" s="18" t="n">
        <v>7625.69</v>
      </c>
      <c r="H68" s="18" t="n">
        <v>5202.98</v>
      </c>
      <c r="I68" s="18" t="n">
        <v>9590.5</v>
      </c>
      <c r="J68" s="18" t="n">
        <v>1606.37</v>
      </c>
      <c r="K68" s="37" t="n">
        <v>24025.54</v>
      </c>
      <c r="L68" s="18" t="n">
        <v>4704.32</v>
      </c>
      <c r="M68" s="18" t="n">
        <v>4680.82</v>
      </c>
      <c r="N68" s="18" t="n">
        <v>5369.28</v>
      </c>
      <c r="O68" s="18" t="n">
        <v>2731.26</v>
      </c>
      <c r="P68" s="37" t="n">
        <v>17485.68</v>
      </c>
      <c r="Q68" s="18" t="n">
        <v>4638.07</v>
      </c>
      <c r="R68" s="18" t="n">
        <v>4521.83</v>
      </c>
      <c r="S68" s="18" t="n">
        <v>3226.39</v>
      </c>
      <c r="T68" s="18" t="n">
        <v>2158.04</v>
      </c>
      <c r="U68" s="37" t="n">
        <v>14544.33</v>
      </c>
      <c r="V68" s="18" t="n">
        <v>4253.54</v>
      </c>
      <c r="W68" s="18" t="n">
        <v>-29.8</v>
      </c>
      <c r="X68" s="18" t="n">
        <v>7313.99</v>
      </c>
      <c r="Y68" s="18" t="n">
        <v>3423.71</v>
      </c>
      <c r="Z68" s="37" t="n">
        <v>14961.44</v>
      </c>
      <c r="AA68" s="18" t="n">
        <v>9788.51</v>
      </c>
      <c r="AB68" s="19" t="n">
        <v>11003.65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(비지배주주지분)당기순이익</t>
        </is>
      </c>
      <c r="E69" s="18" t="n">
        <v>15.53</v>
      </c>
      <c r="F69" s="9" t="n"/>
      <c r="G69" s="18" t="n">
        <v>60.8</v>
      </c>
      <c r="H69" s="18" t="n">
        <v>261.74</v>
      </c>
      <c r="I69" s="18" t="n">
        <v>207.81</v>
      </c>
      <c r="J69" s="18" t="n">
        <v>-8.109999999999999</v>
      </c>
      <c r="K69" s="37" t="n">
        <v>522.24</v>
      </c>
      <c r="L69" s="18" t="n">
        <v>-114.71</v>
      </c>
      <c r="M69" s="18" t="n">
        <v>134.14</v>
      </c>
      <c r="N69" s="18" t="n">
        <v>92.65000000000001</v>
      </c>
      <c r="O69" s="18" t="n">
        <v>-47.79</v>
      </c>
      <c r="P69" s="37" t="n">
        <v>64.29000000000001</v>
      </c>
      <c r="Q69" s="18" t="n">
        <v>-30.8</v>
      </c>
      <c r="R69" s="18" t="n">
        <v>153.28</v>
      </c>
      <c r="S69" s="18" t="n">
        <v>-68.84999999999999</v>
      </c>
      <c r="T69" s="18" t="n">
        <v>-85.16</v>
      </c>
      <c r="U69" s="37" t="n">
        <v>-31.53</v>
      </c>
      <c r="V69" s="18" t="n">
        <v>-52.87</v>
      </c>
      <c r="W69" s="18" t="n">
        <v>-93.55</v>
      </c>
      <c r="X69" s="18" t="n">
        <v>-25.47</v>
      </c>
      <c r="Y69" s="18" t="n">
        <v>78.68000000000001</v>
      </c>
      <c r="Z69" s="37" t="n">
        <v>-93.20999999999999</v>
      </c>
      <c r="AA69" s="18" t="n">
        <v>-4.85</v>
      </c>
      <c r="AB69" s="19" t="n">
        <v>30.8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금융손익</t>
        </is>
      </c>
      <c r="E70" s="18" t="n">
        <v>5.14</v>
      </c>
      <c r="F70" s="9" t="n"/>
      <c r="G70" s="18" t="n">
        <v>-169.82</v>
      </c>
      <c r="H70" s="18" t="n">
        <v>-2080.11</v>
      </c>
      <c r="I70" s="18" t="n">
        <v>-2458.71</v>
      </c>
      <c r="J70" s="18" t="n">
        <v>252.07</v>
      </c>
      <c r="K70" s="37" t="n">
        <v>-4456.57</v>
      </c>
      <c r="L70" s="18" t="n">
        <v>-364.98</v>
      </c>
      <c r="M70" s="18" t="n">
        <v>-851.4</v>
      </c>
      <c r="N70" s="18" t="n">
        <v>-950.08</v>
      </c>
      <c r="O70" s="18" t="n">
        <v>957.71</v>
      </c>
      <c r="P70" s="37" t="n">
        <v>-1208.75</v>
      </c>
      <c r="Q70" s="18" t="n">
        <v>-259.74</v>
      </c>
      <c r="R70" s="18" t="n">
        <v>-147.77</v>
      </c>
      <c r="S70" s="18" t="n">
        <v>81.63</v>
      </c>
      <c r="T70" s="18" t="n">
        <v>-774.3</v>
      </c>
      <c r="U70" s="37" t="n">
        <v>-1100.18</v>
      </c>
      <c r="V70" s="18" t="n">
        <v>-356.14</v>
      </c>
      <c r="W70" s="18" t="n">
        <v>918.13</v>
      </c>
      <c r="X70" s="18" t="n">
        <v>324.29</v>
      </c>
      <c r="Y70" s="18" t="n">
        <v>424.92</v>
      </c>
      <c r="Z70" s="37" t="n">
        <v>1311.2</v>
      </c>
      <c r="AA70" s="18" t="n">
        <v>1878.29</v>
      </c>
      <c r="AB70" s="19" t="n">
        <v>7716.42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기타영업외손익</t>
        </is>
      </c>
      <c r="E71" s="18" t="n">
        <v>362.27</v>
      </c>
      <c r="F71" s="9" t="n"/>
      <c r="G71" s="18" t="n">
        <v>546.04</v>
      </c>
      <c r="H71" s="18" t="n">
        <v>1478.13</v>
      </c>
      <c r="I71" s="18" t="n">
        <v>2004.2</v>
      </c>
      <c r="J71" s="18" t="n">
        <v>-3017.74</v>
      </c>
      <c r="K71" s="37" t="n">
        <v>1010.63</v>
      </c>
      <c r="L71" s="18" t="n">
        <v>518.28</v>
      </c>
      <c r="M71" s="18" t="n">
        <v>514.16</v>
      </c>
      <c r="N71" s="18" t="n">
        <v>599.8200000000001</v>
      </c>
      <c r="O71" s="18" t="n">
        <v>-2330.7</v>
      </c>
      <c r="P71" s="37" t="n">
        <v>-698.4400000000001</v>
      </c>
      <c r="Q71" s="18" t="n">
        <v>978.9</v>
      </c>
      <c r="R71" s="18" t="n">
        <v>268.96</v>
      </c>
      <c r="S71" s="18" t="n">
        <v>2325.86</v>
      </c>
      <c r="T71" s="18" t="n">
        <v>1148.78</v>
      </c>
      <c r="U71" s="37" t="n">
        <v>4722.5</v>
      </c>
      <c r="V71" s="18" t="n">
        <v>-320.06</v>
      </c>
      <c r="W71" s="18" t="n">
        <v>-4478.82</v>
      </c>
      <c r="X71" s="18" t="n">
        <v>2594.24</v>
      </c>
      <c r="Y71" s="18" t="n">
        <v>-479.43</v>
      </c>
      <c r="Z71" s="37" t="n">
        <v>-2684.07</v>
      </c>
      <c r="AA71" s="18" t="n">
        <v>3269.81</v>
      </c>
      <c r="AB71" s="19" t="n">
        <v>1673.85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1340.51</v>
      </c>
      <c r="F72" s="9" t="n"/>
      <c r="G72" s="18" t="n">
        <v>7686.49</v>
      </c>
      <c r="H72" s="18" t="n">
        <v>5464.72</v>
      </c>
      <c r="I72" s="18" t="n">
        <v>9798.309999999999</v>
      </c>
      <c r="J72" s="18" t="n">
        <v>1598.26</v>
      </c>
      <c r="K72" s="37" t="n">
        <v>24547.78</v>
      </c>
      <c r="L72" s="18" t="n">
        <v>4589.61</v>
      </c>
      <c r="M72" s="18" t="n">
        <v>4814.95</v>
      </c>
      <c r="N72" s="18" t="n">
        <v>5461.93</v>
      </c>
      <c r="O72" s="18" t="n">
        <v>2683.47</v>
      </c>
      <c r="P72" s="37" t="n">
        <v>17549.96</v>
      </c>
      <c r="Q72" s="18" t="n">
        <v>4607.27</v>
      </c>
      <c r="R72" s="18" t="n">
        <v>4675.11</v>
      </c>
      <c r="S72" s="18" t="n">
        <v>3157.55</v>
      </c>
      <c r="T72" s="18" t="n">
        <v>2072.88</v>
      </c>
      <c r="U72" s="37" t="n">
        <v>14512.81</v>
      </c>
      <c r="V72" s="18" t="n">
        <v>4200.68</v>
      </c>
      <c r="W72" s="18" t="n">
        <v>-123.35</v>
      </c>
      <c r="X72" s="18" t="n">
        <v>7288.52</v>
      </c>
      <c r="Y72" s="18" t="n">
        <v>3502.39</v>
      </c>
      <c r="Z72" s="37" t="n">
        <v>14868.24</v>
      </c>
      <c r="AA72" s="18" t="n">
        <v>9783.66</v>
      </c>
      <c r="AB72" s="19" t="n">
        <v>11034.17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-128.36</v>
      </c>
      <c r="F73" s="9" t="n"/>
      <c r="G73" s="18" t="n">
        <v>8552.690000000001</v>
      </c>
      <c r="H73" s="18" t="n">
        <v>6111.97</v>
      </c>
      <c r="I73" s="18" t="n">
        <v>11384.91</v>
      </c>
      <c r="J73" s="18" t="n">
        <v>-942.25</v>
      </c>
      <c r="K73" s="37" t="n">
        <v>25107.32</v>
      </c>
      <c r="L73" s="18" t="n">
        <v>6210.68</v>
      </c>
      <c r="M73" s="18" t="n">
        <v>3655.21</v>
      </c>
      <c r="N73" s="18" t="n">
        <v>5370.37</v>
      </c>
      <c r="O73" s="18" t="n">
        <v>1599.38</v>
      </c>
      <c r="P73" s="37" t="n">
        <v>16835.64</v>
      </c>
      <c r="Q73" s="18" t="n">
        <v>5206.98</v>
      </c>
      <c r="R73" s="18" t="n">
        <v>5091.77</v>
      </c>
      <c r="S73" s="18" t="n">
        <v>2035.7</v>
      </c>
      <c r="T73" s="18" t="n">
        <v>4625.65</v>
      </c>
      <c r="U73" s="37" t="n">
        <v>16960.1</v>
      </c>
      <c r="V73" s="18" t="n">
        <v>4574.78</v>
      </c>
      <c r="W73" s="18" t="n">
        <v>-2679.17</v>
      </c>
      <c r="X73" s="18" t="n">
        <v>7405.05</v>
      </c>
      <c r="Y73" s="18" t="n">
        <v>4997.19</v>
      </c>
      <c r="Z73" s="37" t="n">
        <v>14297.85</v>
      </c>
      <c r="AA73" s="18" t="n">
        <v>11835.31</v>
      </c>
      <c r="AB73" s="19" t="n">
        <v>12414.52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이자수익</t>
        </is>
      </c>
      <c r="F74" s="9" t="n"/>
      <c r="G74" s="18" t="n">
        <v>168.73</v>
      </c>
      <c r="H74" s="18" t="n">
        <v>163.28</v>
      </c>
      <c r="I74" s="18" t="n">
        <v>210.6</v>
      </c>
      <c r="J74" s="18" t="n">
        <v>296.75</v>
      </c>
      <c r="K74" s="37" t="n">
        <v>839.36</v>
      </c>
      <c r="L74" s="18" t="n">
        <v>407.38</v>
      </c>
      <c r="M74" s="18" t="n">
        <v>471.28</v>
      </c>
      <c r="N74" s="18" t="n">
        <v>519.12</v>
      </c>
      <c r="O74" s="18" t="n">
        <v>929.41</v>
      </c>
      <c r="P74" s="37" t="n">
        <v>2327.19</v>
      </c>
      <c r="Q74" s="18" t="n">
        <v>386.53</v>
      </c>
      <c r="R74" s="18" t="n">
        <v>501.24</v>
      </c>
      <c r="S74" s="18" t="n">
        <v>569.53</v>
      </c>
      <c r="T74" s="18" t="n">
        <v>391.49</v>
      </c>
      <c r="U74" s="37" t="n">
        <v>1848.79</v>
      </c>
      <c r="V74" s="18" t="n">
        <v>347.94</v>
      </c>
      <c r="W74" s="18" t="n">
        <v>313.02</v>
      </c>
      <c r="X74" s="18" t="n">
        <v>368.55</v>
      </c>
      <c r="Y74" s="18" t="n">
        <v>192.22</v>
      </c>
      <c r="Z74" s="37" t="n">
        <v>1221.73</v>
      </c>
      <c r="AB74" s="19" t="n">
        <v>325.57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이자비용</t>
        </is>
      </c>
      <c r="F75" s="9" t="n"/>
      <c r="G75" s="18" t="n">
        <v>196.6</v>
      </c>
      <c r="H75" s="18" t="n">
        <v>466.19</v>
      </c>
      <c r="I75" s="18" t="n">
        <v>922.3</v>
      </c>
      <c r="J75" s="18" t="n">
        <v>1098.01</v>
      </c>
      <c r="K75" s="37" t="n">
        <v>2683.1</v>
      </c>
      <c r="L75" s="18" t="n">
        <v>1280.19</v>
      </c>
      <c r="M75" s="18" t="n">
        <v>1413.78</v>
      </c>
      <c r="N75" s="18" t="n">
        <v>1203.67</v>
      </c>
      <c r="O75" s="18" t="n">
        <v>1188.82</v>
      </c>
      <c r="P75" s="37" t="n">
        <v>5086.46</v>
      </c>
      <c r="Q75" s="18" t="n">
        <v>1161.97</v>
      </c>
      <c r="R75" s="18" t="n">
        <v>1078.8</v>
      </c>
      <c r="S75" s="18" t="n">
        <v>1065.72</v>
      </c>
      <c r="T75" s="18" t="n">
        <v>962.23</v>
      </c>
      <c r="U75" s="37" t="n">
        <v>4268.72</v>
      </c>
      <c r="V75" s="18" t="n">
        <v>825.51</v>
      </c>
      <c r="W75" s="18" t="n">
        <v>807.9</v>
      </c>
      <c r="X75" s="18" t="n">
        <v>769.54</v>
      </c>
      <c r="Y75" s="18" t="n">
        <v>876.65</v>
      </c>
      <c r="Z75" s="37" t="n">
        <v>3279.6</v>
      </c>
      <c r="AB75" s="19" t="n">
        <v>868.72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외환차익</t>
        </is>
      </c>
      <c r="F76" s="9" t="n"/>
      <c r="G76" s="18" t="n">
        <v>102.01</v>
      </c>
      <c r="H76" s="18" t="n">
        <v>8.16</v>
      </c>
      <c r="I76" s="18" t="n">
        <v>180.16</v>
      </c>
      <c r="J76" s="18" t="n">
        <v>-138.03</v>
      </c>
      <c r="K76" s="37" t="n">
        <v>152.3</v>
      </c>
      <c r="L76" s="18" t="n">
        <v>39.09</v>
      </c>
      <c r="M76" s="18" t="n">
        <v>4.94</v>
      </c>
      <c r="N76" s="18" t="n">
        <v>14.12</v>
      </c>
      <c r="O76" s="18" t="n">
        <v>83.54000000000001</v>
      </c>
      <c r="P76" s="37" t="n">
        <v>141.69</v>
      </c>
      <c r="Q76" s="18" t="n">
        <v>37.43</v>
      </c>
      <c r="R76" s="18" t="n">
        <v>-0.58</v>
      </c>
      <c r="S76" s="18" t="n">
        <v>-5.49</v>
      </c>
      <c r="T76" s="18" t="n">
        <v>319.74</v>
      </c>
      <c r="U76" s="37" t="n">
        <v>351.1</v>
      </c>
      <c r="V76" s="18" t="n">
        <v>99.84999999999999</v>
      </c>
      <c r="W76" s="18" t="n">
        <v>-27.94</v>
      </c>
      <c r="X76" s="18" t="n">
        <v>97.92</v>
      </c>
      <c r="Y76" s="18" t="n">
        <v>112.31</v>
      </c>
      <c r="Z76" s="37" t="n">
        <v>282.14</v>
      </c>
      <c r="AB76" s="19" t="n">
        <v>65.11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외환차손</t>
        </is>
      </c>
      <c r="F77" s="9" t="n"/>
      <c r="G77" s="18" t="n">
        <v>12.03</v>
      </c>
      <c r="H77" s="18" t="n">
        <v>13.44</v>
      </c>
      <c r="I77" s="18" t="n">
        <v>-5.89</v>
      </c>
      <c r="J77" s="18" t="n">
        <v>13.91</v>
      </c>
      <c r="K77" s="37" t="n">
        <v>33.49</v>
      </c>
      <c r="L77" s="18" t="n">
        <v>15.31</v>
      </c>
      <c r="M77" s="18" t="n">
        <v>19.88</v>
      </c>
      <c r="N77" s="18" t="n">
        <v>-26.85</v>
      </c>
      <c r="O77" s="18" t="n">
        <v>60.53</v>
      </c>
      <c r="P77" s="37" t="n">
        <v>68.87</v>
      </c>
      <c r="Q77" s="18" t="n">
        <v>2.44</v>
      </c>
      <c r="R77" s="18" t="n">
        <v>13.73</v>
      </c>
      <c r="S77" s="18" t="n">
        <v>-3.08</v>
      </c>
      <c r="U77" s="9" t="n"/>
      <c r="V77" s="18" t="n">
        <v>11.71</v>
      </c>
      <c r="W77" s="18" t="n">
        <v>271.34</v>
      </c>
      <c r="X77" s="18" t="n">
        <v>-55.62</v>
      </c>
      <c r="Y77" s="18" t="n">
        <v>-156.77</v>
      </c>
      <c r="Z77" s="37" t="n">
        <v>70.66</v>
      </c>
      <c r="AB77" s="19" t="n">
        <v>-1.66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외화환산이익</t>
        </is>
      </c>
      <c r="F78" s="9" t="n"/>
      <c r="G78" s="18" t="n">
        <v>123.98</v>
      </c>
      <c r="H78" s="18" t="n">
        <v>479.78</v>
      </c>
      <c r="I78" s="18" t="n">
        <v>497.33</v>
      </c>
      <c r="J78" s="18" t="n">
        <v>-792.5599999999999</v>
      </c>
      <c r="K78" s="37" t="n">
        <v>308.53</v>
      </c>
      <c r="L78" s="18" t="n">
        <v>0.27</v>
      </c>
      <c r="M78" s="18" t="n">
        <v>15.75</v>
      </c>
      <c r="N78" s="18" t="n">
        <v>42.3</v>
      </c>
      <c r="O78" s="18" t="n">
        <v>1.79</v>
      </c>
      <c r="P78" s="37" t="n">
        <v>60.11</v>
      </c>
      <c r="Q78" s="18" t="n">
        <v>431.44</v>
      </c>
      <c r="R78" s="18" t="n">
        <v>27.85</v>
      </c>
      <c r="S78" s="18" t="n">
        <v>30.01</v>
      </c>
      <c r="T78" s="18" t="n">
        <v>222.05</v>
      </c>
      <c r="U78" s="37" t="n">
        <v>711.35</v>
      </c>
      <c r="V78" s="18" t="n">
        <v>17.53</v>
      </c>
      <c r="W78" s="18" t="n">
        <v>-6.38</v>
      </c>
      <c r="X78" s="18" t="n">
        <v>-4.81</v>
      </c>
      <c r="Y78" s="18" t="n">
        <v>256.86</v>
      </c>
      <c r="Z78" s="37" t="n">
        <v>263.2</v>
      </c>
      <c r="AB78" s="19" t="n">
        <v>132.54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외화환산손실</t>
        </is>
      </c>
      <c r="F79" s="9" t="n"/>
      <c r="G79" s="18" t="n">
        <v>30.88</v>
      </c>
      <c r="H79" s="18" t="n">
        <v>-21.51</v>
      </c>
      <c r="I79" s="18" t="n">
        <v>-7.9</v>
      </c>
      <c r="J79" s="18" t="n">
        <v>18.83</v>
      </c>
      <c r="K79" s="37" t="n">
        <v>20.3</v>
      </c>
      <c r="L79" s="18" t="n">
        <v>294.81</v>
      </c>
      <c r="M79" s="18" t="n">
        <v>186.16</v>
      </c>
      <c r="N79" s="18" t="n">
        <v>-338.59</v>
      </c>
      <c r="O79" s="18" t="n">
        <v>237.37</v>
      </c>
      <c r="P79" s="37" t="n">
        <v>379.75</v>
      </c>
      <c r="Q79" s="18" t="n">
        <v>0.4</v>
      </c>
      <c r="R79" s="18" t="n">
        <v>2.54</v>
      </c>
      <c r="S79" s="18" t="n">
        <v>11.85</v>
      </c>
      <c r="U79" s="9" t="n"/>
      <c r="V79" s="18" t="n">
        <v>9.619999999999999</v>
      </c>
      <c r="W79" s="18" t="n">
        <v>273.08</v>
      </c>
      <c r="X79" s="18" t="n">
        <v>35.12</v>
      </c>
      <c r="Y79" s="18" t="n">
        <v>265.36</v>
      </c>
      <c r="Z79" s="37" t="n">
        <v>583.1799999999999</v>
      </c>
      <c r="AB79" s="19" t="n">
        <v>266.64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파생상품이익</t>
        </is>
      </c>
      <c r="F80" s="9" t="n"/>
      <c r="G80" s="18" t="n">
        <v>656.13</v>
      </c>
      <c r="H80" s="18" t="n">
        <v>1668.76</v>
      </c>
      <c r="I80" s="18" t="n">
        <v>1769.98</v>
      </c>
      <c r="J80" s="18" t="n">
        <v>4415.13</v>
      </c>
      <c r="K80" s="37" t="n">
        <v>8510</v>
      </c>
      <c r="L80" s="18" t="n">
        <v>2464.61</v>
      </c>
      <c r="M80" s="18" t="n">
        <v>1808.91</v>
      </c>
      <c r="N80" s="18" t="n">
        <v>1446.27</v>
      </c>
      <c r="O80" s="18" t="n">
        <v>2533.88</v>
      </c>
      <c r="P80" s="37" t="n">
        <v>8253.67</v>
      </c>
      <c r="Q80" s="18" t="n">
        <v>1137.54</v>
      </c>
      <c r="R80" s="18" t="n">
        <v>1523.81</v>
      </c>
      <c r="S80" s="18" t="n">
        <v>1546.87</v>
      </c>
      <c r="T80" s="18" t="n">
        <v>810.89</v>
      </c>
      <c r="U80" s="37" t="n">
        <v>5019.11</v>
      </c>
      <c r="V80" s="18" t="n">
        <v>1083.36</v>
      </c>
      <c r="W80" s="18" t="n">
        <v>1701.19</v>
      </c>
      <c r="X80" s="18" t="n">
        <v>511.4</v>
      </c>
      <c r="Y80" s="18" t="n">
        <v>584.86</v>
      </c>
      <c r="Z80" s="37" t="n">
        <v>3880.81</v>
      </c>
      <c r="AB80" s="19" t="n">
        <v>-138.18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파생상품손실</t>
        </is>
      </c>
      <c r="F81" s="9" t="n"/>
      <c r="G81" s="18" t="n">
        <v>553.5599999999999</v>
      </c>
      <c r="H81" s="18" t="n">
        <v>2935.09</v>
      </c>
      <c r="I81" s="18" t="n">
        <v>3133.51</v>
      </c>
      <c r="J81" s="18" t="n">
        <v>2537.43</v>
      </c>
      <c r="K81" s="37" t="n">
        <v>9159.59</v>
      </c>
      <c r="L81" s="18" t="n">
        <v>2813.4</v>
      </c>
      <c r="M81" s="18" t="n">
        <v>2089.83</v>
      </c>
      <c r="N81" s="18" t="n">
        <v>1862.34</v>
      </c>
      <c r="O81" s="18" t="n">
        <v>1956.33</v>
      </c>
      <c r="P81" s="37" t="n">
        <v>8721.9</v>
      </c>
      <c r="Q81" s="18" t="n">
        <v>1982.24</v>
      </c>
      <c r="R81" s="18" t="n">
        <v>1715.84</v>
      </c>
      <c r="S81" s="18" t="n">
        <v>979.7</v>
      </c>
      <c r="T81" s="18" t="n">
        <v>2165.16</v>
      </c>
      <c r="U81" s="37" t="n">
        <v>6842.94</v>
      </c>
      <c r="V81" s="18" t="n">
        <v>1048.21</v>
      </c>
      <c r="W81" s="18" t="n">
        <v>948.98</v>
      </c>
      <c r="X81" s="18" t="n">
        <v>870.04</v>
      </c>
      <c r="Y81" s="18" t="n">
        <v>440.98</v>
      </c>
      <c r="Z81" s="37" t="n">
        <v>3308.21</v>
      </c>
      <c r="AB81" s="19" t="n">
        <v>-69.20999999999999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이자손익</t>
        </is>
      </c>
      <c r="F82" s="9" t="n"/>
      <c r="G82" s="18" t="n">
        <v>-27.87</v>
      </c>
      <c r="H82" s="18" t="n">
        <v>-302.91</v>
      </c>
      <c r="I82" s="18" t="n">
        <v>-711.7</v>
      </c>
      <c r="J82" s="18" t="n">
        <v>-801.26</v>
      </c>
      <c r="K82" s="37" t="n">
        <v>-1843.74</v>
      </c>
      <c r="L82" s="18" t="n">
        <v>-872.8099999999999</v>
      </c>
      <c r="M82" s="18" t="n">
        <v>-942.5</v>
      </c>
      <c r="N82" s="18" t="n">
        <v>-684.55</v>
      </c>
      <c r="O82" s="18" t="n">
        <v>-259.41</v>
      </c>
      <c r="P82" s="37" t="n">
        <v>-2759.27</v>
      </c>
      <c r="Q82" s="18" t="n">
        <v>-775.4400000000001</v>
      </c>
      <c r="R82" s="18" t="n">
        <v>-577.5599999999999</v>
      </c>
      <c r="S82" s="18" t="n">
        <v>-496.19</v>
      </c>
      <c r="T82" s="18" t="n">
        <v>-570.74</v>
      </c>
      <c r="U82" s="37" t="n">
        <v>-2419.93</v>
      </c>
      <c r="V82" s="18" t="n">
        <v>-477.57</v>
      </c>
      <c r="W82" s="18" t="n">
        <v>-494.88</v>
      </c>
      <c r="X82" s="18" t="n">
        <v>-400.99</v>
      </c>
      <c r="Y82" s="18" t="n">
        <v>-684.4299999999999</v>
      </c>
      <c r="Z82" s="37" t="n">
        <v>-2057.87</v>
      </c>
      <c r="AB82" s="19" t="n">
        <v>-543.15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종속기업,공동지배기업및관계기업관련손익</t>
        </is>
      </c>
      <c r="F83" s="9" t="n"/>
      <c r="K83" s="9" t="n"/>
      <c r="P83" s="9" t="n"/>
      <c r="U83" s="9" t="n"/>
      <c r="V83" s="18" t="n">
        <v>251.55</v>
      </c>
      <c r="W83" s="18" t="n">
        <v>490.42</v>
      </c>
      <c r="X83" s="18" t="n">
        <v>377.09</v>
      </c>
      <c r="Y83" s="18" t="n">
        <v>337.77</v>
      </c>
      <c r="Z83" s="37" t="n">
        <v>1456.83</v>
      </c>
      <c r="AA83" s="18" t="n">
        <v>524.64</v>
      </c>
      <c r="AB83" s="19" t="n">
        <v>735.61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지분법관련손익</t>
        </is>
      </c>
      <c r="F84" s="9" t="n"/>
      <c r="K84" s="9" t="n"/>
      <c r="P84" s="9" t="n"/>
      <c r="U84" s="9" t="n"/>
      <c r="V84" s="18" t="n">
        <v>251.55</v>
      </c>
      <c r="W84" s="18" t="n">
        <v>490.42</v>
      </c>
      <c r="X84" s="18" t="n">
        <v>377.09</v>
      </c>
      <c r="Y84" s="18" t="n">
        <v>337.77</v>
      </c>
      <c r="Z84" s="37" t="n">
        <v>1456.83</v>
      </c>
      <c r="AA84" s="18" t="n">
        <v>524.64</v>
      </c>
      <c r="AB84" s="19" t="n">
        <v>735.61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영업활동으로인한현금흐름</t>
        </is>
      </c>
      <c r="E85" s="18" t="n">
        <v>2644.37</v>
      </c>
      <c r="F85" s="9" t="n"/>
      <c r="G85" s="18" t="n">
        <v>4538.24</v>
      </c>
      <c r="H85" s="18" t="n">
        <v>7960.46</v>
      </c>
      <c r="I85" s="18" t="n">
        <v>21479.7</v>
      </c>
      <c r="J85" s="18" t="n">
        <v>18130.93</v>
      </c>
      <c r="K85" s="37" t="n">
        <v>52109.33</v>
      </c>
      <c r="L85" s="18" t="n">
        <v>-4473.94</v>
      </c>
      <c r="M85" s="18" t="n">
        <v>7289.36</v>
      </c>
      <c r="N85" s="18" t="n">
        <v>16438.06</v>
      </c>
      <c r="O85" s="18" t="n">
        <v>3265.98</v>
      </c>
      <c r="P85" s="37" t="n">
        <v>22519.46</v>
      </c>
      <c r="Q85" s="18" t="n">
        <v>4567.02</v>
      </c>
      <c r="R85" s="18" t="n">
        <v>6895.99</v>
      </c>
      <c r="S85" s="18" t="n">
        <v>2015.44</v>
      </c>
      <c r="T85" s="18" t="n">
        <v>3363.79</v>
      </c>
      <c r="U85" s="37" t="n">
        <v>16842.24</v>
      </c>
      <c r="V85" s="18" t="n">
        <v>507.98</v>
      </c>
      <c r="W85" s="18" t="n">
        <v>3777.18</v>
      </c>
      <c r="X85" s="18" t="n">
        <v>5300.07</v>
      </c>
      <c r="Y85" s="18" t="n">
        <v>10178.26</v>
      </c>
      <c r="Z85" s="37" t="n">
        <v>19763.49</v>
      </c>
      <c r="AA85" s="18" t="n">
        <v>9677.52</v>
      </c>
      <c r="AB85" s="19" t="n">
        <v>-2742.16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배당금수취(CF)</t>
        </is>
      </c>
      <c r="E86" s="18" t="n">
        <v>8.210000000000001</v>
      </c>
      <c r="F86" s="9" t="n"/>
      <c r="G86" s="18" t="n">
        <v>0.75</v>
      </c>
      <c r="H86" s="18" t="n">
        <v>48.58</v>
      </c>
      <c r="I86" s="18" t="n">
        <v>13.43</v>
      </c>
      <c r="J86" s="18" t="n">
        <v>12.69</v>
      </c>
      <c r="K86" s="37" t="n">
        <v>75.45</v>
      </c>
      <c r="L86" s="18" t="n">
        <v>1.02</v>
      </c>
      <c r="M86" s="18" t="n">
        <v>79.45</v>
      </c>
      <c r="N86" s="18" t="n">
        <v>12.51</v>
      </c>
      <c r="O86" s="18" t="n">
        <v>13.53</v>
      </c>
      <c r="P86" s="37" t="n">
        <v>106.51</v>
      </c>
      <c r="Q86" s="18" t="n">
        <v>0.08</v>
      </c>
      <c r="R86" s="18" t="n">
        <v>73.37</v>
      </c>
      <c r="S86" s="18" t="n">
        <v>9.67</v>
      </c>
      <c r="T86" s="18" t="n">
        <v>2.27</v>
      </c>
      <c r="U86" s="37" t="n">
        <v>85.39</v>
      </c>
      <c r="V86" s="18" t="n">
        <v>46.1</v>
      </c>
      <c r="W86" s="18" t="n">
        <v>562.63</v>
      </c>
      <c r="X86" s="18" t="n">
        <v>31.27</v>
      </c>
      <c r="Y86" s="18" t="n">
        <v>-96.61</v>
      </c>
      <c r="Z86" s="37" t="n">
        <v>543.39</v>
      </c>
      <c r="AA86" s="18" t="n">
        <v>22.39</v>
      </c>
      <c r="AB86" s="19" t="n">
        <v>411.32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법인세납부(CF)</t>
        </is>
      </c>
      <c r="E87" s="18" t="n">
        <v>-25.23</v>
      </c>
      <c r="F87" s="9" t="n"/>
      <c r="G87" s="18" t="n">
        <v>-984.76</v>
      </c>
      <c r="H87" s="18" t="n">
        <v>-1261.15</v>
      </c>
      <c r="I87" s="18" t="n">
        <v>-1257.41</v>
      </c>
      <c r="J87" s="18" t="n">
        <v>-151.67</v>
      </c>
      <c r="K87" s="37" t="n">
        <v>-3654.99</v>
      </c>
      <c r="L87" s="18" t="n">
        <v>-3149.54</v>
      </c>
      <c r="M87" s="18" t="n">
        <v>-3593.43</v>
      </c>
      <c r="N87" s="18" t="n">
        <v>-1018.04</v>
      </c>
      <c r="O87" s="18" t="n">
        <v>-1025.45</v>
      </c>
      <c r="P87" s="37" t="n">
        <v>-8786.459999999999</v>
      </c>
      <c r="Q87" s="18" t="n">
        <v>-49.46</v>
      </c>
      <c r="R87" s="18" t="n">
        <v>-2149.89</v>
      </c>
      <c r="S87" s="18" t="n">
        <v>-1580.68</v>
      </c>
      <c r="T87" s="18" t="n">
        <v>-381.16</v>
      </c>
      <c r="U87" s="37" t="n">
        <v>-4161.19</v>
      </c>
      <c r="V87" s="18" t="n">
        <v>-1082.69</v>
      </c>
      <c r="W87" s="18" t="n">
        <v>-1488.07</v>
      </c>
      <c r="X87" s="18" t="n">
        <v>-1059.84</v>
      </c>
      <c r="Y87" s="18" t="n">
        <v>2001.58</v>
      </c>
      <c r="Z87" s="37" t="n">
        <v>-1629.02</v>
      </c>
      <c r="AA87" s="18" t="n">
        <v>-180.09</v>
      </c>
      <c r="AB87" s="19" t="n">
        <v>-2630.5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투자활동으로인한현금흐름</t>
        </is>
      </c>
      <c r="E88" s="18" t="n">
        <v>2862.34</v>
      </c>
      <c r="F88" s="9" t="n"/>
      <c r="G88" s="18" t="n">
        <v>-10262.52</v>
      </c>
      <c r="H88" s="18" t="n">
        <v>-47078.11</v>
      </c>
      <c r="I88" s="18" t="n">
        <v>-5779.32</v>
      </c>
      <c r="J88" s="18" t="n">
        <v>-21067.03</v>
      </c>
      <c r="K88" s="37" t="n">
        <v>-84186.98</v>
      </c>
      <c r="L88" s="18" t="n">
        <v>-2463.25</v>
      </c>
      <c r="M88" s="18" t="n">
        <v>-1650.02</v>
      </c>
      <c r="N88" s="18" t="n">
        <v>-4698.3</v>
      </c>
      <c r="O88" s="18" t="n">
        <v>-4813.79</v>
      </c>
      <c r="P88" s="37" t="n">
        <v>-13625.36</v>
      </c>
      <c r="Q88" s="18" t="n">
        <v>-2559.25</v>
      </c>
      <c r="R88" s="18" t="n">
        <v>-207.44</v>
      </c>
      <c r="S88" s="18" t="n">
        <v>3075.97</v>
      </c>
      <c r="T88" s="18" t="n">
        <v>-993.64</v>
      </c>
      <c r="U88" s="37" t="n">
        <v>-684.36</v>
      </c>
      <c r="V88" s="18" t="n">
        <v>-548.88</v>
      </c>
      <c r="W88" s="18" t="n">
        <v>-622.13</v>
      </c>
      <c r="X88" s="18" t="n">
        <v>-7884.88</v>
      </c>
      <c r="Y88" s="18" t="n">
        <v>-14863.33</v>
      </c>
      <c r="Z88" s="37" t="n">
        <v>-23919.22</v>
      </c>
      <c r="AA88" s="18" t="n">
        <v>-5548.54</v>
      </c>
      <c r="AB88" s="19" t="n">
        <v>-3764.48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유형자산의감소</t>
        </is>
      </c>
      <c r="E89" s="18" t="n">
        <v>7.39</v>
      </c>
      <c r="F89" s="9" t="n"/>
      <c r="G89" s="18" t="n">
        <v>2.79</v>
      </c>
      <c r="H89" s="18" t="n">
        <v>7.02</v>
      </c>
      <c r="I89" s="18" t="n">
        <v>73.40000000000001</v>
      </c>
      <c r="J89" s="18" t="n">
        <v>1.6</v>
      </c>
      <c r="K89" s="37" t="n">
        <v>84.81</v>
      </c>
      <c r="L89" s="18" t="n">
        <v>0.6</v>
      </c>
      <c r="M89" s="18" t="n">
        <v>16.62</v>
      </c>
      <c r="N89" s="18" t="n">
        <v>94.73</v>
      </c>
      <c r="O89" s="18" t="n">
        <v>9.74</v>
      </c>
      <c r="P89" s="37" t="n">
        <v>121.69</v>
      </c>
      <c r="Q89" s="18" t="n">
        <v>0</v>
      </c>
      <c r="R89" s="18" t="n">
        <v>6.53</v>
      </c>
      <c r="S89" s="18" t="n">
        <v>5456.02</v>
      </c>
      <c r="T89" s="18" t="n">
        <v>1393.13</v>
      </c>
      <c r="U89" s="37" t="n">
        <v>6855.68</v>
      </c>
      <c r="V89" s="18" t="n">
        <v>22.78</v>
      </c>
      <c r="W89" s="18" t="n">
        <v>115.71</v>
      </c>
      <c r="X89" s="18" t="n">
        <v>15.51</v>
      </c>
      <c r="Y89" s="18" t="n">
        <v>1773.34</v>
      </c>
      <c r="Z89" s="37" t="n">
        <v>1927.34</v>
      </c>
      <c r="AA89" s="18" t="n">
        <v>49.85</v>
      </c>
      <c r="AB89" s="19" t="n">
        <v>32.25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유형자산의증가</t>
        </is>
      </c>
      <c r="E90" s="18" t="n">
        <v>4205.25</v>
      </c>
      <c r="F90" s="9" t="n"/>
      <c r="G90" s="18" t="n">
        <v>8568.43</v>
      </c>
      <c r="H90" s="18" t="n">
        <v>53721.53</v>
      </c>
      <c r="I90" s="18" t="n">
        <v>7598.12</v>
      </c>
      <c r="J90" s="18" t="n">
        <v>6242.36</v>
      </c>
      <c r="K90" s="37" t="n">
        <v>76130.44</v>
      </c>
      <c r="L90" s="18" t="n">
        <v>711.3099999999999</v>
      </c>
      <c r="M90" s="18" t="n">
        <v>808.77</v>
      </c>
      <c r="N90" s="18" t="n">
        <v>1221.29</v>
      </c>
      <c r="O90" s="18" t="n">
        <v>1965.37</v>
      </c>
      <c r="P90" s="37" t="n">
        <v>4706.74</v>
      </c>
      <c r="Q90" s="18" t="n">
        <v>4714.46</v>
      </c>
      <c r="R90" s="18" t="n">
        <v>7896.3</v>
      </c>
      <c r="S90" s="18" t="n">
        <v>4827.93</v>
      </c>
      <c r="T90" s="18" t="n">
        <v>5193.73</v>
      </c>
      <c r="U90" s="37" t="n">
        <v>22632.42</v>
      </c>
      <c r="V90" s="18" t="n">
        <v>3275.96</v>
      </c>
      <c r="W90" s="18" t="n">
        <v>2041.84</v>
      </c>
      <c r="X90" s="18" t="n">
        <v>4746.57</v>
      </c>
      <c r="Y90" s="18" t="n">
        <v>7560.8</v>
      </c>
      <c r="Z90" s="37" t="n">
        <v>17625.17</v>
      </c>
      <c r="AA90" s="18" t="n">
        <v>4006.33</v>
      </c>
      <c r="AB90" s="19" t="n">
        <v>1655.08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CAPEX</t>
        </is>
      </c>
      <c r="E91" s="18" t="n">
        <v>4205.25</v>
      </c>
      <c r="F91" s="9" t="n"/>
      <c r="G91" s="18" t="n">
        <v>8568.43</v>
      </c>
      <c r="H91" s="18" t="n">
        <v>53721.53</v>
      </c>
      <c r="I91" s="18" t="n">
        <v>7598.12</v>
      </c>
      <c r="J91" s="18" t="n">
        <v>6242.36</v>
      </c>
      <c r="K91" s="37" t="n">
        <v>76130.44</v>
      </c>
      <c r="L91" s="18" t="n">
        <v>711.3099999999999</v>
      </c>
      <c r="M91" s="18" t="n">
        <v>808.77</v>
      </c>
      <c r="N91" s="18" t="n">
        <v>1221.29</v>
      </c>
      <c r="O91" s="18" t="n">
        <v>1965.37</v>
      </c>
      <c r="P91" s="37" t="n">
        <v>4706.74</v>
      </c>
      <c r="Q91" s="18" t="n">
        <v>4714.46</v>
      </c>
      <c r="R91" s="18" t="n">
        <v>7896.3</v>
      </c>
      <c r="S91" s="18" t="n">
        <v>4827.93</v>
      </c>
      <c r="T91" s="18" t="n">
        <v>5193.73</v>
      </c>
      <c r="U91" s="37" t="n">
        <v>22632.42</v>
      </c>
      <c r="V91" s="18" t="n">
        <v>3275.96</v>
      </c>
      <c r="W91" s="18" t="n">
        <v>2041.84</v>
      </c>
      <c r="X91" s="18" t="n">
        <v>4746.57</v>
      </c>
      <c r="Y91" s="18" t="n">
        <v>7560.8</v>
      </c>
      <c r="Z91" s="37" t="n">
        <v>17625.17</v>
      </c>
      <c r="AA91" s="18" t="n">
        <v>4006.33</v>
      </c>
      <c r="AB91" s="19" t="n">
        <v>1655.08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재무활동으로인한현금흐름</t>
        </is>
      </c>
      <c r="E92" s="18" t="n">
        <v>4716.35</v>
      </c>
      <c r="F92" s="9" t="n"/>
      <c r="G92" s="18" t="n">
        <v>-1670.86</v>
      </c>
      <c r="H92" s="18" t="n">
        <v>39160.88</v>
      </c>
      <c r="I92" s="18" t="n">
        <v>-12326.39</v>
      </c>
      <c r="J92" s="18" t="n">
        <v>-258.81</v>
      </c>
      <c r="K92" s="37" t="n">
        <v>24904.82</v>
      </c>
      <c r="L92" s="18" t="n">
        <v>-142.45</v>
      </c>
      <c r="M92" s="18" t="n">
        <v>-3448.12</v>
      </c>
      <c r="N92" s="18" t="n">
        <v>-5898.52</v>
      </c>
      <c r="O92" s="18" t="n">
        <v>-1932.02</v>
      </c>
      <c r="P92" s="37" t="n">
        <v>-11421.11</v>
      </c>
      <c r="Q92" s="18" t="n">
        <v>-4312.73</v>
      </c>
      <c r="R92" s="18" t="n">
        <v>-2369.46</v>
      </c>
      <c r="S92" s="18" t="n">
        <v>-3383.22</v>
      </c>
      <c r="T92" s="18" t="n">
        <v>-5490.61</v>
      </c>
      <c r="U92" s="37" t="n">
        <v>-15556.02</v>
      </c>
      <c r="V92" s="18" t="n">
        <v>822.4400000000001</v>
      </c>
      <c r="W92" s="18" t="n">
        <v>4814.61</v>
      </c>
      <c r="X92" s="18" t="n">
        <v>-3208.1</v>
      </c>
      <c r="Y92" s="18" t="n">
        <v>10600.17</v>
      </c>
      <c r="Z92" s="37" t="n">
        <v>13029.12</v>
      </c>
      <c r="AA92" s="18" t="n">
        <v>-3668.49</v>
      </c>
      <c r="AB92" s="19" t="n">
        <v>1956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단기차입금의증가</t>
        </is>
      </c>
      <c r="E93" s="18" t="n">
        <v>35903.31</v>
      </c>
      <c r="F93" s="9" t="n"/>
      <c r="G93" s="18" t="n">
        <v>25080.7</v>
      </c>
      <c r="H93" s="18" t="n">
        <v>49587.95</v>
      </c>
      <c r="I93" s="18" t="n">
        <v>24313.12</v>
      </c>
      <c r="J93" s="18" t="n">
        <v>16811.79</v>
      </c>
      <c r="K93" s="37" t="n">
        <v>115793.56</v>
      </c>
      <c r="L93" s="18" t="n">
        <v>38170.09</v>
      </c>
      <c r="M93" s="18" t="n">
        <v>45012.32</v>
      </c>
      <c r="N93" s="18" t="n">
        <v>13885.79</v>
      </c>
      <c r="O93" s="18" t="n">
        <v>28973.09</v>
      </c>
      <c r="P93" s="37" t="n">
        <v>126041.29</v>
      </c>
      <c r="Q93" s="18" t="n">
        <v>33877.28</v>
      </c>
      <c r="R93" s="18" t="n">
        <v>44549.41</v>
      </c>
      <c r="S93" s="18" t="n">
        <v>39577.06</v>
      </c>
      <c r="T93" s="18" t="n">
        <v>41758.95</v>
      </c>
      <c r="U93" s="37" t="n">
        <v>159762.7</v>
      </c>
      <c r="V93" s="18" t="n">
        <v>43254.36</v>
      </c>
      <c r="W93" s="18" t="n">
        <v>62537.5</v>
      </c>
      <c r="X93" s="18" t="n">
        <v>38286.3</v>
      </c>
      <c r="Y93" s="18" t="n">
        <v>41720.63</v>
      </c>
      <c r="Z93" s="37" t="n">
        <v>185798.79</v>
      </c>
      <c r="AA93" s="18" t="n">
        <v>12615.31</v>
      </c>
      <c r="AB93" s="19" t="n">
        <v>58442.97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E94" s="18" t="n">
        <v>1009.17</v>
      </c>
      <c r="F94" s="9" t="n"/>
      <c r="G94" s="18" t="n">
        <v>0</v>
      </c>
      <c r="H94" s="18" t="n">
        <v>37980</v>
      </c>
      <c r="I94" s="18" t="n">
        <v>0</v>
      </c>
      <c r="J94" s="18" t="n">
        <v>425.39</v>
      </c>
      <c r="K94" s="37" t="n">
        <v>38405.39</v>
      </c>
      <c r="L94" s="18" t="n">
        <v>26.4</v>
      </c>
      <c r="M94" s="18" t="n">
        <v>92.59999999999999</v>
      </c>
      <c r="O94" s="18" t="n">
        <v>850.95</v>
      </c>
      <c r="P94" s="9" t="n"/>
      <c r="Q94" s="18" t="n">
        <v>7868.45</v>
      </c>
      <c r="T94" s="18" t="n">
        <v>1390.5</v>
      </c>
      <c r="U94" s="9" t="n"/>
      <c r="V94" s="18" t="n">
        <v>448.12</v>
      </c>
      <c r="W94" s="18" t="n">
        <v>1049.57</v>
      </c>
      <c r="Y94" s="18" t="n">
        <v>2855.68</v>
      </c>
      <c r="Z94" s="9" t="n"/>
      <c r="AA94" s="18" t="n">
        <v>10424.53</v>
      </c>
      <c r="AB94" s="19" t="n">
        <v>264.77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단기차입금의감소</t>
        </is>
      </c>
      <c r="E95" s="18" t="n">
        <v>29610.48</v>
      </c>
      <c r="F95" s="9" t="n"/>
      <c r="G95" s="18" t="n">
        <v>22198.03</v>
      </c>
      <c r="H95" s="18" t="n">
        <v>45469.65</v>
      </c>
      <c r="I95" s="18" t="n">
        <v>33308.31</v>
      </c>
      <c r="J95" s="18" t="n">
        <v>13492.38</v>
      </c>
      <c r="K95" s="37" t="n">
        <v>114468.37</v>
      </c>
      <c r="L95" s="18" t="n">
        <v>34146.04</v>
      </c>
      <c r="M95" s="18" t="n">
        <v>46627.27</v>
      </c>
      <c r="N95" s="18" t="n">
        <v>15474.67</v>
      </c>
      <c r="O95" s="18" t="n">
        <v>28606.31</v>
      </c>
      <c r="P95" s="37" t="n">
        <v>124854.29</v>
      </c>
      <c r="Q95" s="18" t="n">
        <v>40605.81</v>
      </c>
      <c r="R95" s="18" t="n">
        <v>42783.88</v>
      </c>
      <c r="S95" s="18" t="n">
        <v>40724.04</v>
      </c>
      <c r="T95" s="18" t="n">
        <v>45413.19</v>
      </c>
      <c r="U95" s="37" t="n">
        <v>169526.92</v>
      </c>
      <c r="V95" s="18" t="n">
        <v>37121.93</v>
      </c>
      <c r="W95" s="18" t="n">
        <v>56112.25</v>
      </c>
      <c r="X95" s="18" t="n">
        <v>39784.46</v>
      </c>
      <c r="Y95" s="18" t="n">
        <v>33840.8</v>
      </c>
      <c r="Z95" s="37" t="n">
        <v>166859.44</v>
      </c>
      <c r="AA95" s="18" t="n">
        <v>22701.02</v>
      </c>
      <c r="AB95" s="19" t="n">
        <v>56719.77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배당금지급</t>
        </is>
      </c>
      <c r="E96" s="18" t="n">
        <v>0</v>
      </c>
      <c r="F96" s="9" t="n"/>
      <c r="G96" s="18" t="n">
        <v>800</v>
      </c>
      <c r="H96" s="18" t="n">
        <v>0</v>
      </c>
      <c r="I96" s="18" t="n">
        <v>0</v>
      </c>
      <c r="J96" s="18" t="n">
        <v>0</v>
      </c>
      <c r="K96" s="37" t="n">
        <v>800</v>
      </c>
      <c r="L96" s="18" t="n">
        <v>960</v>
      </c>
      <c r="M96" s="18" t="n">
        <v>0</v>
      </c>
      <c r="N96" s="18" t="n">
        <v>0</v>
      </c>
      <c r="O96" s="18" t="n">
        <v>0</v>
      </c>
      <c r="P96" s="37" t="n">
        <v>960</v>
      </c>
      <c r="Q96" s="18" t="n">
        <v>960</v>
      </c>
      <c r="R96" s="18" t="n">
        <v>0</v>
      </c>
      <c r="S96" s="18" t="n">
        <v>0</v>
      </c>
      <c r="T96" s="18" t="n">
        <v>0</v>
      </c>
      <c r="U96" s="37" t="n">
        <v>960</v>
      </c>
      <c r="V96" s="18" t="n">
        <v>1120</v>
      </c>
      <c r="W96" s="18" t="n">
        <v>482.82</v>
      </c>
      <c r="X96" s="18" t="n">
        <v>0</v>
      </c>
      <c r="Y96" s="18" t="n">
        <v>0</v>
      </c>
      <c r="Z96" s="37" t="n">
        <v>1602.82</v>
      </c>
      <c r="AA96" s="18" t="n">
        <v>4000</v>
      </c>
      <c r="AB96" s="19" t="n">
        <v>0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리스부채의상환</t>
        </is>
      </c>
      <c r="E97" s="18" t="n">
        <v>50.29</v>
      </c>
      <c r="F97" s="9" t="n"/>
      <c r="G97" s="18" t="n">
        <v>75.59999999999999</v>
      </c>
      <c r="H97" s="18" t="n">
        <v>62.67</v>
      </c>
      <c r="I97" s="18" t="n">
        <v>52.1</v>
      </c>
      <c r="J97" s="18" t="n">
        <v>27.59</v>
      </c>
      <c r="K97" s="37" t="n">
        <v>217.96</v>
      </c>
      <c r="L97" s="18" t="n">
        <v>26.18</v>
      </c>
      <c r="M97" s="18" t="n">
        <v>27.45</v>
      </c>
      <c r="P97" s="9" t="n"/>
      <c r="Q97" s="18" t="n">
        <v>27.69</v>
      </c>
      <c r="R97" s="18" t="n">
        <v>29.08</v>
      </c>
      <c r="U97" s="9" t="n"/>
      <c r="V97" s="18" t="n">
        <v>30.53</v>
      </c>
      <c r="W97" s="18" t="n">
        <v>30.41</v>
      </c>
      <c r="Z97" s="9" t="n"/>
      <c r="AA97" s="18" t="n">
        <v>30.5</v>
      </c>
      <c r="AB97" s="19" t="n">
        <v>31.97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현금및현금성자산의증감</t>
        </is>
      </c>
      <c r="E98" s="18" t="n">
        <v>10652.53</v>
      </c>
      <c r="F98" s="9" t="n"/>
      <c r="G98" s="18" t="n">
        <v>-7395.14</v>
      </c>
      <c r="H98" s="18" t="n">
        <v>43.23</v>
      </c>
      <c r="I98" s="18" t="n">
        <v>3373.99</v>
      </c>
      <c r="J98" s="18" t="n">
        <v>-3221.34</v>
      </c>
      <c r="K98" s="37" t="n">
        <v>-7199.26</v>
      </c>
      <c r="L98" s="18" t="n">
        <v>-7079.64</v>
      </c>
      <c r="M98" s="18" t="n">
        <v>2191.22</v>
      </c>
      <c r="N98" s="18" t="n">
        <v>5841.24</v>
      </c>
      <c r="O98" s="18" t="n">
        <v>-3482.45</v>
      </c>
      <c r="P98" s="37" t="n">
        <v>-2529.63</v>
      </c>
      <c r="Q98" s="18" t="n">
        <v>-2304.96</v>
      </c>
      <c r="R98" s="18" t="n">
        <v>4319.09</v>
      </c>
      <c r="S98" s="18" t="n">
        <v>1708.19</v>
      </c>
      <c r="T98" s="18" t="n">
        <v>-2864.64</v>
      </c>
      <c r="U98" s="37" t="n">
        <v>857.6799999999999</v>
      </c>
      <c r="V98" s="18" t="n">
        <v>781.54</v>
      </c>
      <c r="W98" s="18" t="n">
        <v>7969.66</v>
      </c>
      <c r="X98" s="18" t="n">
        <v>-5792.91</v>
      </c>
      <c r="Y98" s="18" t="n">
        <v>5761.56</v>
      </c>
      <c r="Z98" s="37" t="n">
        <v>8719.85</v>
      </c>
      <c r="AA98" s="18" t="n">
        <v>737.0700000000001</v>
      </c>
      <c r="AB98" s="19" t="n">
        <v>-4827.22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기말현금및현금성자산</t>
        </is>
      </c>
      <c r="E99" s="18" t="n">
        <v>10336.21</v>
      </c>
      <c r="F99" s="9" t="n"/>
      <c r="G99" s="18" t="n">
        <v>8499.120000000001</v>
      </c>
      <c r="H99" s="18" t="n">
        <v>278.77</v>
      </c>
      <c r="I99" s="18" t="n">
        <v>3674.61</v>
      </c>
      <c r="J99" s="18" t="n">
        <v>-3796.73</v>
      </c>
      <c r="K99" s="37" t="n">
        <v>8655.77</v>
      </c>
      <c r="L99" s="18" t="n">
        <v>1695.22</v>
      </c>
      <c r="M99" s="18" t="n">
        <v>2166.35</v>
      </c>
      <c r="N99" s="18" t="n">
        <v>5846.85</v>
      </c>
      <c r="O99" s="18" t="n">
        <v>-3582.29</v>
      </c>
      <c r="P99" s="37" t="n">
        <v>6126.13</v>
      </c>
      <c r="Q99" s="18" t="n">
        <v>3892.15</v>
      </c>
      <c r="R99" s="18" t="n">
        <v>4301.16</v>
      </c>
      <c r="S99" s="18" t="n">
        <v>1681.46</v>
      </c>
      <c r="T99" s="18" t="n">
        <v>-2890.96</v>
      </c>
      <c r="U99" s="37" t="n">
        <v>6983.81</v>
      </c>
      <c r="V99" s="18" t="n">
        <v>7769.05</v>
      </c>
      <c r="W99" s="18" t="n">
        <v>7670.13</v>
      </c>
      <c r="X99" s="18" t="n">
        <v>-5652.81</v>
      </c>
      <c r="Y99" s="18" t="n">
        <v>5917.29</v>
      </c>
      <c r="Z99" s="37" t="n">
        <v>15703.66</v>
      </c>
      <c r="AA99" s="18" t="n">
        <v>16440.73</v>
      </c>
      <c r="AB99" s="19" t="n">
        <v>-4591.33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장기차입금의감소</t>
        </is>
      </c>
      <c r="F100" s="9" t="n"/>
      <c r="G100" s="18" t="n">
        <v>3677.92</v>
      </c>
      <c r="H100" s="18" t="n">
        <v>1819.2</v>
      </c>
      <c r="I100" s="18" t="n">
        <v>112.42</v>
      </c>
      <c r="J100" s="18" t="n">
        <v>20.43</v>
      </c>
      <c r="K100" s="37" t="n">
        <v>5629.97</v>
      </c>
      <c r="L100" s="18" t="n">
        <v>0</v>
      </c>
      <c r="M100" s="18" t="n">
        <v>0</v>
      </c>
      <c r="N100" s="18" t="n">
        <v>0</v>
      </c>
      <c r="O100" s="18" t="n">
        <v>0</v>
      </c>
      <c r="P100" s="37" t="n">
        <v>0</v>
      </c>
      <c r="Q100" s="18" t="n">
        <v>1296.7</v>
      </c>
      <c r="R100" s="18" t="n">
        <v>902.0700000000001</v>
      </c>
      <c r="S100" s="18" t="n">
        <v>0</v>
      </c>
      <c r="T100" s="18" t="n">
        <v>12.19</v>
      </c>
      <c r="U100" s="37" t="n">
        <v>2210.96</v>
      </c>
      <c r="V100" s="18" t="n">
        <v>1458.97</v>
      </c>
      <c r="X100" s="18" t="n">
        <v>1369.53</v>
      </c>
      <c r="Y100" s="18" t="n">
        <v>5.11</v>
      </c>
      <c r="Z100" s="9" t="n"/>
      <c r="AA100" s="18" t="n">
        <v>0</v>
      </c>
      <c r="AB100" s="19" t="n">
        <v>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유동성장기부채의감소</t>
        </is>
      </c>
      <c r="F101" s="9" t="n"/>
      <c r="I101" s="18" t="n">
        <v>3166.68</v>
      </c>
      <c r="J101" s="18" t="n">
        <v>4222.24</v>
      </c>
      <c r="K101" s="9" t="n"/>
      <c r="L101" s="18" t="n">
        <v>3166.68</v>
      </c>
      <c r="M101" s="18" t="n">
        <v>2111.12</v>
      </c>
      <c r="N101" s="18" t="n">
        <v>4222.24</v>
      </c>
      <c r="O101" s="18" t="n">
        <v>3166.68</v>
      </c>
      <c r="P101" s="37" t="n">
        <v>12666.72</v>
      </c>
      <c r="Q101" s="18" t="n">
        <v>3166.65</v>
      </c>
      <c r="R101" s="18" t="n">
        <v>3166.65</v>
      </c>
      <c r="S101" s="18" t="n">
        <v>2111.1</v>
      </c>
      <c r="T101" s="18" t="n">
        <v>3166.65</v>
      </c>
      <c r="U101" s="37" t="n">
        <v>11611.05</v>
      </c>
      <c r="V101" s="18" t="n">
        <v>3166.65</v>
      </c>
      <c r="W101" s="18" t="n">
        <v>2111.1</v>
      </c>
      <c r="X101" s="18" t="n">
        <v>0</v>
      </c>
      <c r="Y101" s="18" t="n">
        <v>0</v>
      </c>
      <c r="Z101" s="37" t="n">
        <v>5277.75</v>
      </c>
      <c r="AA101" s="18" t="n">
        <v>0</v>
      </c>
      <c r="AB101" s="19" t="n">
        <v>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이자수취(CF)</t>
        </is>
      </c>
      <c r="F102" s="9" t="n"/>
      <c r="K102" s="9" t="n"/>
      <c r="O102" s="18" t="n">
        <v>676.88</v>
      </c>
      <c r="P102" s="9" t="n"/>
      <c r="Q102" s="18" t="n">
        <v>339.52</v>
      </c>
      <c r="R102" s="18" t="n">
        <v>458.35</v>
      </c>
      <c r="S102" s="18" t="n">
        <v>362.55</v>
      </c>
      <c r="T102" s="18" t="n">
        <v>480.41</v>
      </c>
      <c r="U102" s="37" t="n">
        <v>1640.83</v>
      </c>
      <c r="V102" s="18" t="n">
        <v>301.34</v>
      </c>
      <c r="W102" s="18" t="n">
        <v>282.28</v>
      </c>
      <c r="X102" s="18" t="n">
        <v>300.09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DSR(별)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135860.74</v>
      </c>
      <c r="F5" s="37" t="n">
        <v>135860.74</v>
      </c>
      <c r="G5" s="18" t="n">
        <v>136803.89</v>
      </c>
      <c r="H5" s="18" t="n">
        <v>144342.75</v>
      </c>
      <c r="I5" s="18" t="n">
        <v>135061.24</v>
      </c>
      <c r="J5" s="18" t="n">
        <v>127068.73</v>
      </c>
      <c r="K5" s="37" t="n">
        <v>127068.73</v>
      </c>
      <c r="L5" s="18" t="n">
        <v>121352.75</v>
      </c>
      <c r="M5" s="18" t="n">
        <v>120882.24</v>
      </c>
      <c r="N5" s="18" t="n">
        <v>118168.02</v>
      </c>
      <c r="O5" s="18" t="n">
        <v>117149.07</v>
      </c>
      <c r="P5" s="37" t="n">
        <v>117149.07</v>
      </c>
      <c r="Q5" s="18" t="n">
        <v>118920.22</v>
      </c>
      <c r="R5" s="18" t="n">
        <v>130588.02</v>
      </c>
      <c r="S5" s="18" t="n">
        <v>117986.52</v>
      </c>
      <c r="T5" s="18" t="n">
        <v>120196.74</v>
      </c>
      <c r="U5" s="37" t="n">
        <v>120196.74</v>
      </c>
      <c r="V5" s="18" t="n">
        <v>120824.63</v>
      </c>
      <c r="W5" s="18" t="n">
        <v>131975.6</v>
      </c>
      <c r="X5" s="18" t="n">
        <v>128740.55</v>
      </c>
      <c r="Y5" s="18" t="n">
        <v>144477.9</v>
      </c>
      <c r="Z5" s="37" t="n">
        <v>144477.9</v>
      </c>
      <c r="AA5" s="18" t="n">
        <v>144345.92</v>
      </c>
      <c r="AB5" s="19" t="n">
        <v>162498.14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11832.6</v>
      </c>
      <c r="F6" s="37" t="n">
        <v>11832.6</v>
      </c>
      <c r="G6" s="18" t="n">
        <v>5657.8</v>
      </c>
      <c r="H6" s="18" t="n">
        <v>3664.13</v>
      </c>
      <c r="I6" s="18" t="n">
        <v>7754.63</v>
      </c>
      <c r="J6" s="18" t="n">
        <v>4045.76</v>
      </c>
      <c r="K6" s="37" t="n">
        <v>4045.76</v>
      </c>
      <c r="L6" s="18" t="n">
        <v>899.08</v>
      </c>
      <c r="M6" s="18" t="n">
        <v>1379.65</v>
      </c>
      <c r="N6" s="18" t="n">
        <v>3888.61</v>
      </c>
      <c r="O6" s="18" t="n">
        <v>2812.38</v>
      </c>
      <c r="P6" s="37" t="n">
        <v>2812.38</v>
      </c>
      <c r="Q6" s="18" t="n">
        <v>1443.48</v>
      </c>
      <c r="R6" s="18" t="n">
        <v>4371.36</v>
      </c>
      <c r="S6" s="18" t="n">
        <v>5281.56</v>
      </c>
      <c r="T6" s="18" t="n">
        <v>4331.17</v>
      </c>
      <c r="U6" s="37" t="n">
        <v>4331.17</v>
      </c>
      <c r="V6" s="18" t="n">
        <v>5597.94</v>
      </c>
      <c r="W6" s="18" t="n">
        <v>12269.37</v>
      </c>
      <c r="X6" s="18" t="n">
        <v>6309.44</v>
      </c>
      <c r="Y6" s="18" t="n">
        <v>13414.99</v>
      </c>
      <c r="Z6" s="37" t="n">
        <v>13414.99</v>
      </c>
      <c r="AA6" s="18" t="n">
        <v>10354.33</v>
      </c>
      <c r="AB6" s="19" t="n">
        <v>8885.33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2526.13</v>
      </c>
      <c r="F7" s="37" t="n">
        <v>2526.13</v>
      </c>
      <c r="G7" s="18" t="n">
        <v>991.13</v>
      </c>
      <c r="H7" s="18" t="n">
        <v>631.23</v>
      </c>
      <c r="I7" s="18" t="n">
        <v>319.78</v>
      </c>
      <c r="J7" s="18" t="n">
        <v>7764.98</v>
      </c>
      <c r="K7" s="37" t="n">
        <v>7764.98</v>
      </c>
      <c r="L7" s="18" t="n">
        <v>6183.73</v>
      </c>
      <c r="M7" s="18" t="n">
        <v>7681.86</v>
      </c>
      <c r="N7" s="18" t="n">
        <v>8688.379999999999</v>
      </c>
      <c r="O7" s="18" t="n">
        <v>12068.18</v>
      </c>
      <c r="P7" s="37" t="n">
        <v>12068.18</v>
      </c>
      <c r="Q7" s="18" t="n">
        <v>12132.32</v>
      </c>
      <c r="R7" s="18" t="n">
        <v>12173.34</v>
      </c>
      <c r="S7" s="18" t="n">
        <v>5321.6</v>
      </c>
      <c r="T7" s="18" t="n">
        <v>938.58</v>
      </c>
      <c r="U7" s="37" t="n">
        <v>938.58</v>
      </c>
      <c r="V7" s="18" t="n">
        <v>1193.28</v>
      </c>
      <c r="W7" s="18" t="n">
        <v>1240.34</v>
      </c>
      <c r="X7" s="18" t="n">
        <v>1246.09</v>
      </c>
      <c r="Y7" s="18" t="n">
        <v>1124.42</v>
      </c>
      <c r="Z7" s="37" t="n">
        <v>1124.42</v>
      </c>
      <c r="AA7" s="18" t="n">
        <v>1286.99</v>
      </c>
      <c r="AB7" s="19" t="n">
        <v>532.62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53694.46</v>
      </c>
      <c r="F8" s="37" t="n">
        <v>53694.46</v>
      </c>
      <c r="G8" s="18" t="n">
        <v>57756.14</v>
      </c>
      <c r="H8" s="18" t="n">
        <v>63178.27</v>
      </c>
      <c r="I8" s="18" t="n">
        <v>60818.71</v>
      </c>
      <c r="J8" s="18" t="n">
        <v>52517.33</v>
      </c>
      <c r="K8" s="37" t="n">
        <v>52517.33</v>
      </c>
      <c r="L8" s="18" t="n">
        <v>50941.93</v>
      </c>
      <c r="M8" s="18" t="n">
        <v>49141.55</v>
      </c>
      <c r="N8" s="18" t="n">
        <v>46180.51</v>
      </c>
      <c r="O8" s="18" t="n">
        <v>43512.65</v>
      </c>
      <c r="P8" s="37" t="n">
        <v>43512.65</v>
      </c>
      <c r="Q8" s="18" t="n">
        <v>45301.2</v>
      </c>
      <c r="R8" s="18" t="n">
        <v>53845.55</v>
      </c>
      <c r="S8" s="18" t="n">
        <v>50181.21</v>
      </c>
      <c r="T8" s="18" t="n">
        <v>60799.85</v>
      </c>
      <c r="U8" s="37" t="n">
        <v>60799.85</v>
      </c>
      <c r="V8" s="18" t="n">
        <v>55616.81</v>
      </c>
      <c r="W8" s="18" t="n">
        <v>52022.01</v>
      </c>
      <c r="X8" s="18" t="n">
        <v>51751.04</v>
      </c>
      <c r="Y8" s="18" t="n">
        <v>59558.5</v>
      </c>
      <c r="Z8" s="37" t="n">
        <v>59558.5</v>
      </c>
      <c r="AA8" s="18" t="n">
        <v>60806.01</v>
      </c>
      <c r="AB8" s="19" t="n">
        <v>66886.44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2493.54</v>
      </c>
      <c r="F9" s="37" t="n">
        <v>2493.54</v>
      </c>
      <c r="G9" s="18" t="n">
        <v>3164.23</v>
      </c>
      <c r="H9" s="18" t="n">
        <v>4462.53</v>
      </c>
      <c r="I9" s="18" t="n">
        <v>2843.28</v>
      </c>
      <c r="J9" s="18" t="n">
        <v>2173.51</v>
      </c>
      <c r="K9" s="37" t="n">
        <v>2173.51</v>
      </c>
      <c r="L9" s="18" t="n">
        <v>2904.75</v>
      </c>
      <c r="M9" s="18" t="n">
        <v>3162.38</v>
      </c>
      <c r="N9" s="18" t="n">
        <v>3468.04</v>
      </c>
      <c r="O9" s="18" t="n">
        <v>2985.81</v>
      </c>
      <c r="P9" s="37" t="n">
        <v>2985.81</v>
      </c>
      <c r="Q9" s="18" t="n">
        <v>2159.3</v>
      </c>
      <c r="R9" s="18" t="n">
        <v>2568.74</v>
      </c>
      <c r="S9" s="18" t="n">
        <v>2303.46</v>
      </c>
      <c r="T9" s="18" t="n">
        <v>1997.61</v>
      </c>
      <c r="U9" s="37" t="n">
        <v>1997.61</v>
      </c>
      <c r="V9" s="18" t="n">
        <v>2930.69</v>
      </c>
      <c r="W9" s="18" t="n">
        <v>3087.39</v>
      </c>
      <c r="X9" s="18" t="n">
        <v>2934.77</v>
      </c>
      <c r="Y9" s="18" t="n">
        <v>1929.65</v>
      </c>
      <c r="Z9" s="37" t="n">
        <v>1929.65</v>
      </c>
      <c r="AA9" s="18" t="n">
        <v>2021.24</v>
      </c>
      <c r="AB9" s="19" t="n">
        <v>2393.94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48911.4</v>
      </c>
      <c r="F10" s="37" t="n">
        <v>48911.4</v>
      </c>
      <c r="G10" s="18" t="n">
        <v>51486.27</v>
      </c>
      <c r="H10" s="18" t="n">
        <v>59840.73</v>
      </c>
      <c r="I10" s="18" t="n">
        <v>52719.1</v>
      </c>
      <c r="J10" s="18" t="n">
        <v>48658.98</v>
      </c>
      <c r="K10" s="37" t="n">
        <v>48658.98</v>
      </c>
      <c r="L10" s="18" t="n">
        <v>47756.97</v>
      </c>
      <c r="M10" s="18" t="n">
        <v>46875.09</v>
      </c>
      <c r="N10" s="18" t="n">
        <v>42926.66</v>
      </c>
      <c r="O10" s="18" t="n">
        <v>43794.18</v>
      </c>
      <c r="P10" s="37" t="n">
        <v>43794.18</v>
      </c>
      <c r="Q10" s="18" t="n">
        <v>46879.65</v>
      </c>
      <c r="R10" s="18" t="n">
        <v>49056.38</v>
      </c>
      <c r="S10" s="18" t="n">
        <v>49261</v>
      </c>
      <c r="T10" s="18" t="n">
        <v>46041.68</v>
      </c>
      <c r="U10" s="37" t="n">
        <v>46041.68</v>
      </c>
      <c r="V10" s="18" t="n">
        <v>49060.67</v>
      </c>
      <c r="W10" s="18" t="n">
        <v>55258.54</v>
      </c>
      <c r="X10" s="18" t="n">
        <v>56152.28</v>
      </c>
      <c r="Y10" s="18" t="n">
        <v>51418.17</v>
      </c>
      <c r="Z10" s="37" t="n">
        <v>51418.17</v>
      </c>
      <c r="AA10" s="18" t="n">
        <v>51046.44</v>
      </c>
      <c r="AB10" s="19" t="n">
        <v>53303.04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102096.2</v>
      </c>
      <c r="F11" s="37" t="n">
        <v>102096.2</v>
      </c>
      <c r="G11" s="18" t="n">
        <v>108384.29</v>
      </c>
      <c r="H11" s="18" t="n">
        <v>149052.36</v>
      </c>
      <c r="I11" s="18" t="n">
        <v>147304.37</v>
      </c>
      <c r="J11" s="18" t="n">
        <v>152557.44</v>
      </c>
      <c r="K11" s="37" t="n">
        <v>152557.44</v>
      </c>
      <c r="L11" s="18" t="n">
        <v>154646.63</v>
      </c>
      <c r="M11" s="18" t="n">
        <v>153306.34</v>
      </c>
      <c r="N11" s="18" t="n">
        <v>154496.48</v>
      </c>
      <c r="O11" s="18" t="n">
        <v>154787.95</v>
      </c>
      <c r="P11" s="37" t="n">
        <v>154787.95</v>
      </c>
      <c r="Q11" s="18" t="n">
        <v>156650.53</v>
      </c>
      <c r="R11" s="18" t="n">
        <v>154949.1</v>
      </c>
      <c r="S11" s="18" t="n">
        <v>161184.14</v>
      </c>
      <c r="T11" s="18" t="n">
        <v>159629.29</v>
      </c>
      <c r="U11" s="37" t="n">
        <v>159629.29</v>
      </c>
      <c r="V11" s="18" t="n">
        <v>158978.91</v>
      </c>
      <c r="W11" s="18" t="n">
        <v>155781.34</v>
      </c>
      <c r="X11" s="18" t="n">
        <v>158166.12</v>
      </c>
      <c r="Y11" s="18" t="n">
        <v>156470.73</v>
      </c>
      <c r="Z11" s="37" t="n">
        <v>156470.73</v>
      </c>
      <c r="AA11" s="18" t="n">
        <v>158922.67</v>
      </c>
      <c r="AB11" s="19" t="n">
        <v>159329.69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15761.2</v>
      </c>
      <c r="F12" s="37" t="n">
        <v>15761.2</v>
      </c>
      <c r="G12" s="18" t="n">
        <v>17670.58</v>
      </c>
      <c r="H12" s="18" t="n">
        <v>15873.36</v>
      </c>
      <c r="I12" s="18" t="n">
        <v>13803.55</v>
      </c>
      <c r="J12" s="18" t="n">
        <v>23933.03</v>
      </c>
      <c r="K12" s="37" t="n">
        <v>23933.03</v>
      </c>
      <c r="L12" s="18" t="n">
        <v>27512.54</v>
      </c>
      <c r="M12" s="18" t="n">
        <v>26593.43</v>
      </c>
      <c r="N12" s="18" t="n">
        <v>9281.75</v>
      </c>
      <c r="O12" s="18" t="n">
        <v>8522.469999999999</v>
      </c>
      <c r="P12" s="37" t="n">
        <v>8522.469999999999</v>
      </c>
      <c r="Q12" s="18" t="n">
        <v>7847.89</v>
      </c>
      <c r="R12" s="18" t="n">
        <v>23531.34</v>
      </c>
      <c r="S12" s="18" t="n">
        <v>4195.41</v>
      </c>
      <c r="T12" s="18" t="n">
        <v>3912</v>
      </c>
      <c r="U12" s="37" t="n">
        <v>3912</v>
      </c>
      <c r="V12" s="18" t="n">
        <v>3898.37</v>
      </c>
      <c r="W12" s="18" t="n">
        <v>25182.77</v>
      </c>
      <c r="X12" s="18" t="n">
        <v>5904.56</v>
      </c>
      <c r="Y12" s="18" t="n">
        <v>5236.11</v>
      </c>
      <c r="Z12" s="37" t="n">
        <v>5236.11</v>
      </c>
      <c r="AA12" s="18" t="n">
        <v>4891.28</v>
      </c>
      <c r="AB12" s="19" t="n">
        <v>30816.67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35786.32</v>
      </c>
      <c r="F13" s="37" t="n">
        <v>35786.32</v>
      </c>
      <c r="G13" s="18" t="n">
        <v>37695.7</v>
      </c>
      <c r="H13" s="18" t="n">
        <v>35898.48</v>
      </c>
      <c r="I13" s="18" t="n">
        <v>33828.67</v>
      </c>
      <c r="J13" s="18" t="n">
        <v>41262.75</v>
      </c>
      <c r="K13" s="37" t="n">
        <v>41262.75</v>
      </c>
      <c r="L13" s="18" t="n">
        <v>44842.26</v>
      </c>
      <c r="M13" s="18" t="n">
        <v>43923.15</v>
      </c>
      <c r="N13" s="18" t="n">
        <v>26611.47</v>
      </c>
      <c r="O13" s="18" t="n">
        <v>25160.05</v>
      </c>
      <c r="P13" s="37" t="n">
        <v>25160.05</v>
      </c>
      <c r="Q13" s="18" t="n">
        <v>24485.47</v>
      </c>
      <c r="R13" s="18" t="n">
        <v>40168.92</v>
      </c>
      <c r="S13" s="18" t="n">
        <v>20832.99</v>
      </c>
      <c r="T13" s="18" t="n">
        <v>21553.41</v>
      </c>
      <c r="U13" s="37" t="n">
        <v>21553.41</v>
      </c>
      <c r="V13" s="18" t="n">
        <v>21539.78</v>
      </c>
      <c r="W13" s="18" t="n">
        <v>42824.18</v>
      </c>
      <c r="X13" s="18" t="n">
        <v>23545.97</v>
      </c>
      <c r="Y13" s="18" t="n">
        <v>18954.07</v>
      </c>
      <c r="Z13" s="37" t="n">
        <v>18954.07</v>
      </c>
      <c r="AA13" s="18" t="n">
        <v>18609.24</v>
      </c>
      <c r="AB13" s="19" t="n">
        <v>44534.63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9355.219999999999</v>
      </c>
      <c r="F14" s="37" t="n">
        <v>9355.219999999999</v>
      </c>
      <c r="G14" s="18" t="n">
        <v>9543.200000000001</v>
      </c>
      <c r="H14" s="18" t="n">
        <v>8348.629999999999</v>
      </c>
      <c r="I14" s="18" t="n">
        <v>8866.450000000001</v>
      </c>
      <c r="J14" s="18" t="n">
        <v>7182.51</v>
      </c>
      <c r="K14" s="37" t="n">
        <v>7182.51</v>
      </c>
      <c r="L14" s="18" t="n">
        <v>7420.17</v>
      </c>
      <c r="M14" s="18" t="n">
        <v>7814.65</v>
      </c>
      <c r="N14" s="18" t="n">
        <v>8068.15</v>
      </c>
      <c r="O14" s="18" t="n">
        <v>6909.08</v>
      </c>
      <c r="P14" s="37" t="n">
        <v>6909.08</v>
      </c>
      <c r="Q14" s="18" t="n">
        <v>9850.35</v>
      </c>
      <c r="R14" s="18" t="n">
        <v>11801.71</v>
      </c>
      <c r="T14" s="18" t="n">
        <v>13064.03</v>
      </c>
      <c r="U14" s="37" t="n">
        <v>13064.03</v>
      </c>
      <c r="Y14" s="18" t="n">
        <v>15349.47</v>
      </c>
      <c r="Z14" s="37" t="n">
        <v>15349.47</v>
      </c>
      <c r="AA14" s="18" t="n">
        <v>16785.45</v>
      </c>
      <c r="AB14" s="19" t="n">
        <v>18818.74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종속기업및관계기업투자</t>
        </is>
      </c>
      <c r="E15" s="18" t="n">
        <v>20025.12</v>
      </c>
      <c r="F15" s="37" t="n">
        <v>20025.12</v>
      </c>
      <c r="G15" s="18" t="n">
        <v>20025.12</v>
      </c>
      <c r="H15" s="18" t="n">
        <v>20025.12</v>
      </c>
      <c r="I15" s="18" t="n">
        <v>20025.12</v>
      </c>
      <c r="J15" s="18" t="n">
        <v>17329.72</v>
      </c>
      <c r="K15" s="37" t="n">
        <v>17329.72</v>
      </c>
      <c r="L15" s="18" t="n">
        <v>17329.72</v>
      </c>
      <c r="M15" s="18" t="n">
        <v>17329.72</v>
      </c>
      <c r="N15" s="18" t="n">
        <v>17329.72</v>
      </c>
      <c r="O15" s="18" t="n">
        <v>16637.58</v>
      </c>
      <c r="P15" s="37" t="n">
        <v>16637.58</v>
      </c>
      <c r="Q15" s="18" t="n">
        <v>16637.58</v>
      </c>
      <c r="R15" s="18" t="n">
        <v>16637.58</v>
      </c>
      <c r="S15" s="18" t="n">
        <v>16637.58</v>
      </c>
      <c r="T15" s="18" t="n">
        <v>17641.41</v>
      </c>
      <c r="U15" s="37" t="n">
        <v>17641.41</v>
      </c>
      <c r="V15" s="18" t="n">
        <v>17641.41</v>
      </c>
      <c r="W15" s="18" t="n">
        <v>17641.41</v>
      </c>
      <c r="X15" s="18" t="n">
        <v>17641.41</v>
      </c>
      <c r="Y15" s="18" t="n">
        <v>13717.96</v>
      </c>
      <c r="Z15" s="37" t="n">
        <v>13717.96</v>
      </c>
      <c r="AA15" s="18" t="n">
        <v>13717.96</v>
      </c>
      <c r="AB15" s="19" t="n">
        <v>13717.96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56631.98</v>
      </c>
      <c r="F16" s="37" t="n">
        <v>56631.98</v>
      </c>
      <c r="G16" s="18" t="n">
        <v>60970.57</v>
      </c>
      <c r="H16" s="18" t="n">
        <v>104383.79</v>
      </c>
      <c r="I16" s="18" t="n">
        <v>104037.14</v>
      </c>
      <c r="J16" s="18" t="n">
        <v>61332.33</v>
      </c>
      <c r="K16" s="37" t="n">
        <v>61332.33</v>
      </c>
      <c r="L16" s="18" t="n">
        <v>60764</v>
      </c>
      <c r="M16" s="18" t="n">
        <v>59972.72</v>
      </c>
      <c r="N16" s="18" t="n">
        <v>59683.94</v>
      </c>
      <c r="O16" s="18" t="n">
        <v>58086.07</v>
      </c>
      <c r="P16" s="37" t="n">
        <v>58086.07</v>
      </c>
      <c r="Q16" s="18" t="n">
        <v>58000.3</v>
      </c>
      <c r="R16" s="18" t="n">
        <v>58703.66</v>
      </c>
      <c r="S16" s="18" t="n">
        <v>57327.45</v>
      </c>
      <c r="T16" s="18" t="n">
        <v>55977.64</v>
      </c>
      <c r="U16" s="37" t="n">
        <v>55977.64</v>
      </c>
      <c r="V16" s="18" t="n">
        <v>56381.39</v>
      </c>
      <c r="W16" s="18" t="n">
        <v>56262.9</v>
      </c>
      <c r="X16" s="18" t="n">
        <v>56146.44</v>
      </c>
      <c r="Y16" s="18" t="n">
        <v>54248</v>
      </c>
      <c r="Z16" s="37" t="n">
        <v>54248</v>
      </c>
      <c r="AA16" s="18" t="n">
        <v>53767.24</v>
      </c>
      <c r="AB16" s="19" t="n">
        <v>53635.66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이연법인세자산</t>
        </is>
      </c>
      <c r="E17" s="18" t="n">
        <v>91.36</v>
      </c>
      <c r="F17" s="37" t="n">
        <v>91.36</v>
      </c>
      <c r="G17" s="18" t="n">
        <v>0</v>
      </c>
      <c r="H17" s="18" t="n">
        <v>288.72</v>
      </c>
      <c r="I17" s="18" t="n">
        <v>508.05</v>
      </c>
      <c r="J17" s="18" t="n">
        <v>851.26</v>
      </c>
      <c r="K17" s="37" t="n">
        <v>851.26</v>
      </c>
      <c r="L17" s="18" t="n">
        <v>0</v>
      </c>
      <c r="M17" s="18" t="n">
        <v>0</v>
      </c>
      <c r="N17" s="18" t="n">
        <v>0</v>
      </c>
      <c r="O17" s="18" t="n">
        <v>1013.43</v>
      </c>
      <c r="P17" s="37" t="n">
        <v>1013.43</v>
      </c>
      <c r="Q17" s="18" t="n">
        <v>688.13</v>
      </c>
      <c r="R17" s="18" t="n">
        <v>571.3</v>
      </c>
      <c r="S17" s="18" t="n">
        <v>945.09</v>
      </c>
      <c r="T17" s="18" t="n">
        <v>1845.18</v>
      </c>
      <c r="U17" s="37" t="n">
        <v>1845.18</v>
      </c>
      <c r="V17" s="18" t="n">
        <v>1953.16</v>
      </c>
      <c r="W17" s="18" t="n">
        <v>1702.54</v>
      </c>
      <c r="X17" s="18" t="n">
        <v>1550.43</v>
      </c>
      <c r="Y17" s="18" t="n">
        <v>1280.99</v>
      </c>
      <c r="Z17" s="37" t="n">
        <v>1280.99</v>
      </c>
      <c r="AA17" s="18" t="n">
        <v>1248.45</v>
      </c>
      <c r="AB17" s="19" t="n">
        <v>0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231.31</v>
      </c>
      <c r="F18" s="37" t="n">
        <v>231.31</v>
      </c>
      <c r="G18" s="18" t="n">
        <v>174.82</v>
      </c>
      <c r="H18" s="18" t="n">
        <v>132.73</v>
      </c>
      <c r="I18" s="18" t="n">
        <v>64.06</v>
      </c>
      <c r="J18" s="18" t="n">
        <v>58.72</v>
      </c>
      <c r="K18" s="37" t="n">
        <v>58.72</v>
      </c>
      <c r="L18" s="18" t="n">
        <v>53.38</v>
      </c>
      <c r="M18" s="18" t="n">
        <v>48.04</v>
      </c>
      <c r="N18" s="18" t="n">
        <v>42.7</v>
      </c>
      <c r="O18" s="18" t="n">
        <v>37.37</v>
      </c>
      <c r="P18" s="37" t="n">
        <v>37.37</v>
      </c>
      <c r="Q18" s="18" t="n">
        <v>32.03</v>
      </c>
      <c r="R18" s="18" t="n">
        <v>26.69</v>
      </c>
      <c r="S18" s="18" t="n">
        <v>21.35</v>
      </c>
      <c r="T18" s="18" t="n">
        <v>16.01</v>
      </c>
      <c r="U18" s="37" t="n">
        <v>16.01</v>
      </c>
      <c r="V18" s="18" t="n">
        <v>10.68</v>
      </c>
      <c r="W18" s="18" t="n">
        <v>5.34</v>
      </c>
      <c r="X18" s="18" t="n">
        <v>74.92</v>
      </c>
      <c r="Y18" s="18" t="n">
        <v>47.85</v>
      </c>
      <c r="Z18" s="37" t="n">
        <v>47.85</v>
      </c>
      <c r="AA18" s="18" t="n">
        <v>43.5</v>
      </c>
      <c r="AB18" s="19" t="n">
        <v>39.15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231.31</v>
      </c>
      <c r="F19" s="37" t="n">
        <v>231.31</v>
      </c>
      <c r="G19" s="18" t="n">
        <v>174.82</v>
      </c>
      <c r="H19" s="18" t="n">
        <v>132.73</v>
      </c>
      <c r="I19" s="18" t="n">
        <v>64.06</v>
      </c>
      <c r="J19" s="18" t="n">
        <v>58.72</v>
      </c>
      <c r="K19" s="37" t="n">
        <v>58.72</v>
      </c>
      <c r="L19" s="18" t="n">
        <v>53.38</v>
      </c>
      <c r="M19" s="18" t="n">
        <v>48.04</v>
      </c>
      <c r="N19" s="18" t="n">
        <v>42.7</v>
      </c>
      <c r="O19" s="18" t="n">
        <v>37.37</v>
      </c>
      <c r="P19" s="37" t="n">
        <v>37.37</v>
      </c>
      <c r="Q19" s="18" t="n">
        <v>32.03</v>
      </c>
      <c r="R19" s="18" t="n">
        <v>26.69</v>
      </c>
      <c r="S19" s="18" t="n">
        <v>21.35</v>
      </c>
      <c r="T19" s="18" t="n">
        <v>16.01</v>
      </c>
      <c r="U19" s="37" t="n">
        <v>16.01</v>
      </c>
      <c r="V19" s="18" t="n">
        <v>10.68</v>
      </c>
      <c r="W19" s="18" t="n">
        <v>5.34</v>
      </c>
      <c r="X19" s="18" t="n">
        <v>74.92</v>
      </c>
      <c r="Y19" s="18" t="n">
        <v>47.85</v>
      </c>
      <c r="Z19" s="37" t="n">
        <v>47.85</v>
      </c>
      <c r="AA19" s="18" t="n">
        <v>43.5</v>
      </c>
      <c r="AB19" s="19" t="n">
        <v>886.61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237956.94</v>
      </c>
      <c r="F20" s="37" t="n">
        <v>237956.94</v>
      </c>
      <c r="G20" s="18" t="n">
        <v>245188.18</v>
      </c>
      <c r="H20" s="18" t="n">
        <v>293395.11</v>
      </c>
      <c r="I20" s="18" t="n">
        <v>282365.61</v>
      </c>
      <c r="J20" s="18" t="n">
        <v>279626.17</v>
      </c>
      <c r="K20" s="37" t="n">
        <v>279626.17</v>
      </c>
      <c r="L20" s="18" t="n">
        <v>275999.39</v>
      </c>
      <c r="M20" s="18" t="n">
        <v>274188.58</v>
      </c>
      <c r="N20" s="18" t="n">
        <v>272664.49</v>
      </c>
      <c r="O20" s="18" t="n">
        <v>271937.03</v>
      </c>
      <c r="P20" s="37" t="n">
        <v>271937.03</v>
      </c>
      <c r="Q20" s="18" t="n">
        <v>275570.76</v>
      </c>
      <c r="R20" s="18" t="n">
        <v>285537.12</v>
      </c>
      <c r="S20" s="18" t="n">
        <v>279170.66</v>
      </c>
      <c r="T20" s="18" t="n">
        <v>279826.03</v>
      </c>
      <c r="U20" s="37" t="n">
        <v>279826.03</v>
      </c>
      <c r="V20" s="18" t="n">
        <v>279803.54</v>
      </c>
      <c r="W20" s="18" t="n">
        <v>287756.94</v>
      </c>
      <c r="X20" s="18" t="n">
        <v>286906.67</v>
      </c>
      <c r="Y20" s="18" t="n">
        <v>300948.63</v>
      </c>
      <c r="Z20" s="37" t="n">
        <v>300948.63</v>
      </c>
      <c r="AA20" s="18" t="n">
        <v>303268.58</v>
      </c>
      <c r="AB20" s="19" t="n">
        <v>321827.82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70766.73</v>
      </c>
      <c r="F21" s="37" t="n">
        <v>70766.73</v>
      </c>
      <c r="G21" s="18" t="n">
        <v>70983.60000000001</v>
      </c>
      <c r="H21" s="18" t="n">
        <v>91837.22</v>
      </c>
      <c r="I21" s="18" t="n">
        <v>75596.02</v>
      </c>
      <c r="J21" s="18" t="n">
        <v>75828.2</v>
      </c>
      <c r="K21" s="37" t="n">
        <v>75828.2</v>
      </c>
      <c r="L21" s="18" t="n">
        <v>70732.00999999999</v>
      </c>
      <c r="M21" s="18" t="n">
        <v>68076.35000000001</v>
      </c>
      <c r="N21" s="18" t="n">
        <v>65375.36</v>
      </c>
      <c r="O21" s="18" t="n">
        <v>67991.09</v>
      </c>
      <c r="P21" s="37" t="n">
        <v>67991.09</v>
      </c>
      <c r="Q21" s="18" t="n">
        <v>71644.94</v>
      </c>
      <c r="R21" s="18" t="n">
        <v>80016.87</v>
      </c>
      <c r="S21" s="18" t="n">
        <v>70864.03</v>
      </c>
      <c r="T21" s="18" t="n">
        <v>71193.12</v>
      </c>
      <c r="U21" s="37" t="n">
        <v>71193.12</v>
      </c>
      <c r="V21" s="18" t="n">
        <v>67841.91</v>
      </c>
      <c r="W21" s="18" t="n">
        <v>74388.50999999999</v>
      </c>
      <c r="X21" s="18" t="n">
        <v>67379.16</v>
      </c>
      <c r="Y21" s="18" t="n">
        <v>82731.55</v>
      </c>
      <c r="Z21" s="37" t="n">
        <v>82731.55</v>
      </c>
      <c r="AA21" s="18" t="n">
        <v>80458.87</v>
      </c>
      <c r="AB21" s="19" t="n">
        <v>88018.23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22979.33</v>
      </c>
      <c r="F22" s="37" t="n">
        <v>22979.33</v>
      </c>
      <c r="G22" s="18" t="n">
        <v>21424.96</v>
      </c>
      <c r="H22" s="18" t="n">
        <v>21096.89</v>
      </c>
      <c r="I22" s="18" t="n">
        <v>14730.12</v>
      </c>
      <c r="J22" s="18" t="n">
        <v>13645.16</v>
      </c>
      <c r="K22" s="37" t="n">
        <v>13645.16</v>
      </c>
      <c r="L22" s="18" t="n">
        <v>14148.24</v>
      </c>
      <c r="M22" s="18" t="n">
        <v>13215.52</v>
      </c>
      <c r="N22" s="18" t="n">
        <v>14355.1</v>
      </c>
      <c r="O22" s="18" t="n">
        <v>13114.81</v>
      </c>
      <c r="P22" s="37" t="n">
        <v>13114.81</v>
      </c>
      <c r="Q22" s="18" t="n">
        <v>15212.2</v>
      </c>
      <c r="R22" s="18" t="n">
        <v>19274.54</v>
      </c>
      <c r="S22" s="18" t="n">
        <v>17129.89</v>
      </c>
      <c r="T22" s="18" t="n">
        <v>17934.83</v>
      </c>
      <c r="U22" s="37" t="n">
        <v>17934.83</v>
      </c>
      <c r="V22" s="18" t="n">
        <v>17513.09</v>
      </c>
      <c r="W22" s="18" t="n">
        <v>16846.76</v>
      </c>
      <c r="X22" s="18" t="n">
        <v>13778.67</v>
      </c>
      <c r="Y22" s="18" t="n">
        <v>16180.67</v>
      </c>
      <c r="Z22" s="37" t="n">
        <v>16180.67</v>
      </c>
      <c r="AA22" s="18" t="n">
        <v>14781.88</v>
      </c>
      <c r="AB22" s="19" t="n">
        <v>20994.63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계약부채</t>
        </is>
      </c>
      <c r="E23" s="18" t="n">
        <v>4062.7</v>
      </c>
      <c r="F23" s="37" t="n">
        <v>4062.7</v>
      </c>
      <c r="G23" s="18" t="n">
        <v>2290.77</v>
      </c>
      <c r="H23" s="18" t="n">
        <v>2928.98</v>
      </c>
      <c r="I23" s="18" t="n">
        <v>2490.93</v>
      </c>
      <c r="J23" s="18" t="n">
        <v>1400.13</v>
      </c>
      <c r="K23" s="37" t="n">
        <v>1400.13</v>
      </c>
      <c r="L23" s="18" t="n">
        <v>1425.6</v>
      </c>
      <c r="M23" s="18" t="n">
        <v>974.46</v>
      </c>
      <c r="N23" s="18" t="n">
        <v>1057.39</v>
      </c>
      <c r="O23" s="18" t="n">
        <v>1012.48</v>
      </c>
      <c r="P23" s="37" t="n">
        <v>1012.48</v>
      </c>
      <c r="Q23" s="18" t="n">
        <v>1932.78</v>
      </c>
      <c r="R23" s="18" t="n">
        <v>1550.54</v>
      </c>
      <c r="S23" s="18" t="n">
        <v>823.26</v>
      </c>
      <c r="T23" s="18" t="n">
        <v>1124.77</v>
      </c>
      <c r="U23" s="37" t="n">
        <v>1124.77</v>
      </c>
      <c r="V23" s="18" t="n">
        <v>1439.42</v>
      </c>
      <c r="W23" s="18" t="n">
        <v>2228.57</v>
      </c>
      <c r="X23" s="18" t="n">
        <v>1928.83</v>
      </c>
      <c r="Y23" s="18" t="n">
        <v>1470.69</v>
      </c>
      <c r="Z23" s="37" t="n">
        <v>1470.69</v>
      </c>
      <c r="AA23" s="18" t="n">
        <v>1283.06</v>
      </c>
      <c r="AB23" s="19" t="n">
        <v>2614.78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37175.06</v>
      </c>
      <c r="F24" s="37" t="n">
        <v>37175.06</v>
      </c>
      <c r="G24" s="18" t="n">
        <v>39703.5</v>
      </c>
      <c r="H24" s="18" t="n">
        <v>46376.45</v>
      </c>
      <c r="I24" s="18" t="n">
        <v>37310.57</v>
      </c>
      <c r="J24" s="18" t="n">
        <v>36476.66</v>
      </c>
      <c r="K24" s="37" t="n">
        <v>36476.66</v>
      </c>
      <c r="L24" s="18" t="n">
        <v>34311.11</v>
      </c>
      <c r="M24" s="18" t="n">
        <v>33856.11</v>
      </c>
      <c r="N24" s="18" t="n">
        <v>32495.94</v>
      </c>
      <c r="O24" s="18" t="n">
        <v>34327.69</v>
      </c>
      <c r="P24" s="37" t="n">
        <v>34327.69</v>
      </c>
      <c r="Q24" s="18" t="n">
        <v>35369.58</v>
      </c>
      <c r="R24" s="18" t="n">
        <v>41523.27</v>
      </c>
      <c r="S24" s="18" t="n">
        <v>39913.35</v>
      </c>
      <c r="T24" s="18" t="n">
        <v>37723.34</v>
      </c>
      <c r="U24" s="37" t="n">
        <v>37723.34</v>
      </c>
      <c r="V24" s="18" t="n">
        <v>40034.96</v>
      </c>
      <c r="W24" s="18" t="n">
        <v>47936.26</v>
      </c>
      <c r="X24" s="18" t="n">
        <v>45896.64</v>
      </c>
      <c r="Y24" s="18" t="n">
        <v>54118.99</v>
      </c>
      <c r="Z24" s="37" t="n">
        <v>54118.99</v>
      </c>
      <c r="AA24" s="18" t="n">
        <v>49401.13</v>
      </c>
      <c r="AB24" s="19" t="n">
        <v>52140.12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당기법인세부채(미지급법인세)</t>
        </is>
      </c>
      <c r="E25" s="18" t="n">
        <v>1967.49</v>
      </c>
      <c r="F25" s="37" t="n">
        <v>1967.49</v>
      </c>
      <c r="G25" s="18" t="n">
        <v>3695.73</v>
      </c>
      <c r="H25" s="18" t="n">
        <v>3779.54</v>
      </c>
      <c r="I25" s="18" t="n">
        <v>5383.42</v>
      </c>
      <c r="J25" s="18" t="n">
        <v>7217.53</v>
      </c>
      <c r="K25" s="37" t="n">
        <v>7217.53</v>
      </c>
      <c r="L25" s="18" t="n">
        <v>5099.59</v>
      </c>
      <c r="M25" s="18" t="n">
        <v>2511.79</v>
      </c>
      <c r="N25" s="18" t="n">
        <v>2453.45</v>
      </c>
      <c r="O25" s="18" t="n">
        <v>2627.11</v>
      </c>
      <c r="P25" s="37" t="n">
        <v>2627.11</v>
      </c>
      <c r="Q25" s="18" t="n">
        <v>3370.03</v>
      </c>
      <c r="R25" s="18" t="n">
        <v>1809.77</v>
      </c>
      <c r="S25" s="18" t="n">
        <v>1095.61</v>
      </c>
      <c r="T25" s="18" t="n">
        <v>2825.41</v>
      </c>
      <c r="U25" s="37" t="n">
        <v>2825.41</v>
      </c>
      <c r="V25" s="18" t="n">
        <v>3033.26</v>
      </c>
      <c r="W25" s="18" t="n">
        <v>1367.26</v>
      </c>
      <c r="X25" s="18" t="n">
        <v>1848.09</v>
      </c>
      <c r="Y25" s="18" t="n">
        <v>5335.66</v>
      </c>
      <c r="Z25" s="37" t="n">
        <v>5335.66</v>
      </c>
      <c r="AA25" s="18" t="n">
        <v>7496.12</v>
      </c>
      <c r="AB25" s="19" t="n">
        <v>6257.14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기타유동금융부채</t>
        </is>
      </c>
      <c r="E26" s="18" t="n">
        <v>11.55</v>
      </c>
      <c r="F26" s="37" t="n">
        <v>11.55</v>
      </c>
      <c r="G26" s="18" t="n">
        <v>36.74</v>
      </c>
      <c r="H26" s="18" t="n">
        <v>158.49</v>
      </c>
      <c r="I26" s="18" t="n">
        <v>0</v>
      </c>
      <c r="J26" s="18" t="n">
        <v>0</v>
      </c>
      <c r="K26" s="37" t="n">
        <v>0</v>
      </c>
      <c r="L26" s="18" t="n">
        <v>27.86</v>
      </c>
      <c r="M26" s="18" t="n">
        <v>10.07</v>
      </c>
      <c r="N26" s="18" t="n">
        <v>20.75</v>
      </c>
      <c r="O26" s="18" t="n">
        <v>14.59</v>
      </c>
      <c r="P26" s="37" t="n">
        <v>14.59</v>
      </c>
      <c r="Q26" s="18" t="n">
        <v>195.66</v>
      </c>
      <c r="R26" s="18" t="n">
        <v>0</v>
      </c>
      <c r="S26" s="18" t="n">
        <v>0</v>
      </c>
      <c r="T26" s="18" t="n">
        <v>39.12</v>
      </c>
      <c r="U26" s="37" t="n">
        <v>39.12</v>
      </c>
      <c r="V26" s="18" t="n">
        <v>31.88</v>
      </c>
      <c r="W26" s="18" t="n">
        <v>0</v>
      </c>
      <c r="X26" s="18" t="n">
        <v>134.43</v>
      </c>
      <c r="Y26" s="18" t="n">
        <v>98.78</v>
      </c>
      <c r="Z26" s="37" t="n">
        <v>98.78</v>
      </c>
      <c r="AA26" s="18" t="n">
        <v>138.22</v>
      </c>
      <c r="AB26" s="19" t="n">
        <v>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165.97</v>
      </c>
      <c r="F27" s="37" t="n">
        <v>165.97</v>
      </c>
      <c r="G27" s="18" t="n">
        <v>134.67</v>
      </c>
      <c r="H27" s="18" t="n">
        <v>214.33</v>
      </c>
      <c r="I27" s="18" t="n">
        <v>51.26</v>
      </c>
      <c r="J27" s="18" t="n">
        <v>21.35</v>
      </c>
      <c r="K27" s="37" t="n">
        <v>21.35</v>
      </c>
      <c r="L27" s="18" t="n">
        <v>49.21</v>
      </c>
      <c r="M27" s="18" t="n">
        <v>31.42</v>
      </c>
      <c r="N27" s="18" t="n">
        <v>42.1</v>
      </c>
      <c r="O27" s="18" t="n">
        <v>35.94</v>
      </c>
      <c r="P27" s="37" t="n">
        <v>35.94</v>
      </c>
      <c r="Q27" s="18" t="n">
        <v>217.01</v>
      </c>
      <c r="R27" s="18" t="n">
        <v>21.35</v>
      </c>
      <c r="S27" s="18" t="n">
        <v>21.35</v>
      </c>
      <c r="T27" s="18" t="n">
        <v>55.13</v>
      </c>
      <c r="U27" s="37" t="n">
        <v>55.13</v>
      </c>
      <c r="V27" s="18" t="n">
        <v>42.56</v>
      </c>
      <c r="W27" s="18" t="n">
        <v>5.34</v>
      </c>
      <c r="X27" s="18" t="n">
        <v>140.67</v>
      </c>
      <c r="Y27" s="18" t="n">
        <v>116.18</v>
      </c>
      <c r="Z27" s="37" t="n">
        <v>116.18</v>
      </c>
      <c r="AA27" s="18" t="n">
        <v>151.27</v>
      </c>
      <c r="AB27" s="19" t="n">
        <v>9.699999999999999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4228.05</v>
      </c>
      <c r="F28" s="37" t="n">
        <v>4228.05</v>
      </c>
      <c r="G28" s="18" t="n">
        <v>3577.37</v>
      </c>
      <c r="H28" s="18" t="n">
        <v>4628.99</v>
      </c>
      <c r="I28" s="18" t="n">
        <v>2720.45</v>
      </c>
      <c r="J28" s="18" t="n">
        <v>5232.92</v>
      </c>
      <c r="K28" s="37" t="n">
        <v>5232.92</v>
      </c>
      <c r="L28" s="18" t="n">
        <v>3919.82</v>
      </c>
      <c r="M28" s="18" t="n">
        <v>4671.57</v>
      </c>
      <c r="N28" s="18" t="n">
        <v>3055.51</v>
      </c>
      <c r="O28" s="18" t="n">
        <v>5058.31</v>
      </c>
      <c r="P28" s="37" t="n">
        <v>5058.31</v>
      </c>
      <c r="Q28" s="18" t="n">
        <v>3760</v>
      </c>
      <c r="R28" s="18" t="n">
        <v>5081.63</v>
      </c>
      <c r="S28" s="18" t="n">
        <v>3175.82</v>
      </c>
      <c r="T28" s="18" t="n">
        <v>6062.75</v>
      </c>
      <c r="U28" s="37" t="n">
        <v>6062.75</v>
      </c>
      <c r="V28" s="18" t="n">
        <v>3455.45</v>
      </c>
      <c r="W28" s="18" t="n">
        <v>5763.27</v>
      </c>
      <c r="X28" s="18" t="n">
        <v>3527.35</v>
      </c>
      <c r="Y28" s="18" t="n">
        <v>5337.86</v>
      </c>
      <c r="Z28" s="37" t="n">
        <v>5337.86</v>
      </c>
      <c r="AA28" s="18" t="n">
        <v>7149.46</v>
      </c>
      <c r="AB28" s="19" t="n">
        <v>5800.67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154.42</v>
      </c>
      <c r="F29" s="37" t="n">
        <v>154.42</v>
      </c>
      <c r="G29" s="18" t="n">
        <v>97.93000000000001</v>
      </c>
      <c r="H29" s="18" t="n">
        <v>55.84</v>
      </c>
      <c r="I29" s="18" t="n">
        <v>51.26</v>
      </c>
      <c r="J29" s="18" t="n">
        <v>21.35</v>
      </c>
      <c r="K29" s="37" t="n">
        <v>21.35</v>
      </c>
      <c r="L29" s="18" t="n">
        <v>21.35</v>
      </c>
      <c r="M29" s="18" t="n">
        <v>21.35</v>
      </c>
      <c r="N29" s="18" t="n">
        <v>21.35</v>
      </c>
      <c r="O29" s="18" t="n">
        <v>21.35</v>
      </c>
      <c r="P29" s="37" t="n">
        <v>21.35</v>
      </c>
      <c r="Q29" s="18" t="n">
        <v>21.35</v>
      </c>
      <c r="R29" s="18" t="n">
        <v>21.35</v>
      </c>
      <c r="S29" s="18" t="n">
        <v>21.35</v>
      </c>
      <c r="T29" s="18" t="n">
        <v>16.01</v>
      </c>
      <c r="U29" s="37" t="n">
        <v>16.01</v>
      </c>
      <c r="V29" s="18" t="n">
        <v>10.68</v>
      </c>
      <c r="W29" s="18" t="n">
        <v>5.34</v>
      </c>
      <c r="X29" s="18" t="n">
        <v>6.24</v>
      </c>
      <c r="Y29" s="18" t="n">
        <v>17.4</v>
      </c>
      <c r="Z29" s="37" t="n">
        <v>17.4</v>
      </c>
      <c r="AA29" s="18" t="n">
        <v>13.05</v>
      </c>
      <c r="AB29" s="19" t="n">
        <v>8.699999999999999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231.31</v>
      </c>
      <c r="F30" s="37" t="n">
        <v>231.31</v>
      </c>
      <c r="G30" s="18" t="n">
        <v>174.82</v>
      </c>
      <c r="H30" s="18" t="n">
        <v>132.73</v>
      </c>
      <c r="I30" s="18" t="n">
        <v>64.06</v>
      </c>
      <c r="J30" s="18" t="n">
        <v>58.72</v>
      </c>
      <c r="K30" s="37" t="n">
        <v>58.72</v>
      </c>
      <c r="L30" s="18" t="n">
        <v>53.38</v>
      </c>
      <c r="M30" s="18" t="n">
        <v>48.04</v>
      </c>
      <c r="N30" s="18" t="n">
        <v>42.7</v>
      </c>
      <c r="O30" s="18" t="n">
        <v>37.36</v>
      </c>
      <c r="P30" s="37" t="n">
        <v>37.36</v>
      </c>
      <c r="Q30" s="18" t="n">
        <v>32.03</v>
      </c>
      <c r="R30" s="18" t="n">
        <v>26.69</v>
      </c>
      <c r="S30" s="18" t="n">
        <v>21.35</v>
      </c>
      <c r="T30" s="18" t="n">
        <v>16.01</v>
      </c>
      <c r="U30" s="37" t="n">
        <v>16.01</v>
      </c>
      <c r="V30" s="18" t="n">
        <v>10.68</v>
      </c>
      <c r="W30" s="18" t="n">
        <v>5.34</v>
      </c>
      <c r="X30" s="18" t="n">
        <v>74.91</v>
      </c>
      <c r="Y30" s="18" t="n">
        <v>47.85</v>
      </c>
      <c r="Z30" s="37" t="n">
        <v>47.85</v>
      </c>
      <c r="AA30" s="18" t="n">
        <v>43.5</v>
      </c>
      <c r="AB30" s="19" t="n">
        <v>39.15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932.66</v>
      </c>
      <c r="F31" s="37" t="n">
        <v>932.66</v>
      </c>
      <c r="G31" s="18" t="n">
        <v>915.16</v>
      </c>
      <c r="H31" s="18" t="n">
        <v>25401.54</v>
      </c>
      <c r="I31" s="18" t="n">
        <v>22545.13</v>
      </c>
      <c r="J31" s="18" t="n">
        <v>18264.87</v>
      </c>
      <c r="K31" s="37" t="n">
        <v>18264.87</v>
      </c>
      <c r="L31" s="18" t="n">
        <v>15185.12</v>
      </c>
      <c r="M31" s="18" t="n">
        <v>12257.78</v>
      </c>
      <c r="N31" s="18" t="n">
        <v>9007.75</v>
      </c>
      <c r="O31" s="18" t="n">
        <v>5794.06</v>
      </c>
      <c r="P31" s="37" t="n">
        <v>5794.06</v>
      </c>
      <c r="Q31" s="18" t="n">
        <v>2620.46</v>
      </c>
      <c r="R31" s="18" t="n">
        <v>504.14</v>
      </c>
      <c r="S31" s="18" t="n">
        <v>428.8</v>
      </c>
      <c r="T31" s="18" t="n">
        <v>433.8</v>
      </c>
      <c r="U31" s="37" t="n">
        <v>433.8</v>
      </c>
      <c r="V31" s="18" t="n">
        <v>577.51</v>
      </c>
      <c r="W31" s="18" t="n">
        <v>477.46</v>
      </c>
      <c r="X31" s="18" t="n">
        <v>828.6799999999999</v>
      </c>
      <c r="Y31" s="18" t="n">
        <v>313.09</v>
      </c>
      <c r="Z31" s="37" t="n">
        <v>313.09</v>
      </c>
      <c r="AA31" s="18" t="n">
        <v>336.28</v>
      </c>
      <c r="AB31" s="19" t="n">
        <v>756.38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기타비유동금융부채</t>
        </is>
      </c>
      <c r="E32" s="18" t="n">
        <v>16.5</v>
      </c>
      <c r="F32" s="37" t="n">
        <v>16.5</v>
      </c>
      <c r="G32" s="18" t="n">
        <v>16.5</v>
      </c>
      <c r="H32" s="18" t="n">
        <v>71.62</v>
      </c>
      <c r="I32" s="18" t="n">
        <v>199.45</v>
      </c>
      <c r="J32" s="18" t="n">
        <v>283.15</v>
      </c>
      <c r="K32" s="37" t="n">
        <v>283.15</v>
      </c>
      <c r="L32" s="18" t="n">
        <v>295.9</v>
      </c>
      <c r="M32" s="18" t="n">
        <v>455.9</v>
      </c>
      <c r="N32" s="18" t="n">
        <v>455.9</v>
      </c>
      <c r="O32" s="18" t="n">
        <v>500.4</v>
      </c>
      <c r="P32" s="37" t="n">
        <v>500.4</v>
      </c>
      <c r="Q32" s="18" t="n">
        <v>498.8</v>
      </c>
      <c r="R32" s="18" t="n">
        <v>498.8</v>
      </c>
      <c r="S32" s="18" t="n">
        <v>428.8</v>
      </c>
      <c r="T32" s="18" t="n">
        <v>433.8</v>
      </c>
      <c r="U32" s="37" t="n">
        <v>433.8</v>
      </c>
      <c r="V32" s="18" t="n">
        <v>451.84</v>
      </c>
      <c r="W32" s="18" t="n">
        <v>377.64</v>
      </c>
      <c r="X32" s="18" t="n">
        <v>382.64</v>
      </c>
      <c r="Y32" s="18" t="n">
        <v>282.64</v>
      </c>
      <c r="Z32" s="37" t="n">
        <v>282.64</v>
      </c>
      <c r="AA32" s="18" t="n">
        <v>305.83</v>
      </c>
      <c r="AB32" s="19" t="n">
        <v>305.83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93.39</v>
      </c>
      <c r="F33" s="37" t="n">
        <v>93.39</v>
      </c>
      <c r="G33" s="18" t="n">
        <v>93.39</v>
      </c>
      <c r="H33" s="18" t="n">
        <v>148.51</v>
      </c>
      <c r="I33" s="18" t="n">
        <v>212.25</v>
      </c>
      <c r="J33" s="18" t="n">
        <v>320.52</v>
      </c>
      <c r="K33" s="37" t="n">
        <v>320.52</v>
      </c>
      <c r="L33" s="18" t="n">
        <v>327.93</v>
      </c>
      <c r="M33" s="18" t="n">
        <v>482.59</v>
      </c>
      <c r="N33" s="18" t="n">
        <v>477.25</v>
      </c>
      <c r="O33" s="18" t="n">
        <v>516.41</v>
      </c>
      <c r="P33" s="37" t="n">
        <v>516.41</v>
      </c>
      <c r="Q33" s="18" t="n">
        <v>509.48</v>
      </c>
      <c r="R33" s="18" t="n">
        <v>504.14</v>
      </c>
      <c r="S33" s="18" t="n">
        <v>428.8</v>
      </c>
      <c r="T33" s="18" t="n">
        <v>433.8</v>
      </c>
      <c r="U33" s="37" t="n">
        <v>433.8</v>
      </c>
      <c r="V33" s="18" t="n">
        <v>451.84</v>
      </c>
      <c r="W33" s="18" t="n">
        <v>377.64</v>
      </c>
      <c r="X33" s="18" t="n">
        <v>451.31</v>
      </c>
      <c r="Y33" s="18" t="n">
        <v>313.09</v>
      </c>
      <c r="Z33" s="37" t="n">
        <v>313.09</v>
      </c>
      <c r="AA33" s="18" t="n">
        <v>336.28</v>
      </c>
      <c r="AB33" s="19" t="n">
        <v>336.28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457.37</v>
      </c>
      <c r="F34" s="37" t="n">
        <v>457.37</v>
      </c>
      <c r="G34" s="18" t="n">
        <v>717.09</v>
      </c>
      <c r="H34" s="18" t="n">
        <v>975.3</v>
      </c>
      <c r="I34" s="18" t="n">
        <v>1221.85</v>
      </c>
      <c r="J34" s="18" t="n">
        <v>0</v>
      </c>
      <c r="K34" s="37" t="n">
        <v>0</v>
      </c>
      <c r="O34" s="18" t="n">
        <v>0</v>
      </c>
      <c r="P34" s="37" t="n">
        <v>0</v>
      </c>
      <c r="T34" s="18" t="n">
        <v>0</v>
      </c>
      <c r="U34" s="37" t="n">
        <v>0</v>
      </c>
      <c r="V34" s="18" t="n">
        <v>125.67</v>
      </c>
      <c r="W34" s="18" t="n">
        <v>99.81999999999999</v>
      </c>
      <c r="X34" s="18" t="n">
        <v>377.37</v>
      </c>
      <c r="Y34" s="18" t="n">
        <v>0</v>
      </c>
      <c r="Z34" s="37" t="n">
        <v>0</v>
      </c>
      <c r="AA34" s="18" t="n">
        <v>0</v>
      </c>
      <c r="AB34" s="19" t="n">
        <v>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76.89</v>
      </c>
      <c r="F35" s="37" t="n">
        <v>76.89</v>
      </c>
      <c r="G35" s="18" t="n">
        <v>76.89</v>
      </c>
      <c r="H35" s="18" t="n">
        <v>76.89</v>
      </c>
      <c r="I35" s="18" t="n">
        <v>12.8</v>
      </c>
      <c r="J35" s="18" t="n">
        <v>37.37</v>
      </c>
      <c r="K35" s="37" t="n">
        <v>37.37</v>
      </c>
      <c r="L35" s="18" t="n">
        <v>32.03</v>
      </c>
      <c r="M35" s="18" t="n">
        <v>26.69</v>
      </c>
      <c r="N35" s="18" t="n">
        <v>21.35</v>
      </c>
      <c r="O35" s="18" t="n">
        <v>16.01</v>
      </c>
      <c r="P35" s="37" t="n">
        <v>16.01</v>
      </c>
      <c r="Q35" s="18" t="n">
        <v>10.68</v>
      </c>
      <c r="R35" s="18" t="n">
        <v>5.34</v>
      </c>
      <c r="S35" s="18" t="n">
        <v>0</v>
      </c>
      <c r="T35" s="18" t="n">
        <v>0</v>
      </c>
      <c r="U35" s="37" t="n">
        <v>0</v>
      </c>
      <c r="X35" s="18" t="n">
        <v>68.67</v>
      </c>
      <c r="Y35" s="18" t="n">
        <v>30.45</v>
      </c>
      <c r="Z35" s="37" t="n">
        <v>30.45</v>
      </c>
      <c r="AA35" s="18" t="n">
        <v>30.45</v>
      </c>
      <c r="AB35" s="19" t="n">
        <v>30.45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0</v>
      </c>
      <c r="F36" s="37" t="n">
        <v>0</v>
      </c>
      <c r="G36" s="18" t="n">
        <v>104.67</v>
      </c>
      <c r="I36" s="18" t="n">
        <v>0</v>
      </c>
      <c r="K36" s="9" t="n"/>
      <c r="L36" s="18" t="n">
        <v>79.51000000000001</v>
      </c>
      <c r="M36" s="18" t="n">
        <v>164.19</v>
      </c>
      <c r="N36" s="18" t="n">
        <v>86.18000000000001</v>
      </c>
      <c r="P36" s="9" t="n"/>
      <c r="U36" s="9" t="n"/>
      <c r="Z36" s="9" t="n"/>
      <c r="AB36" s="19" t="n">
        <v>420.11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71699.39</v>
      </c>
      <c r="F37" s="37" t="n">
        <v>71699.39</v>
      </c>
      <c r="G37" s="18" t="n">
        <v>71898.75999999999</v>
      </c>
      <c r="H37" s="18" t="n">
        <v>117238.75</v>
      </c>
      <c r="I37" s="18" t="n">
        <v>98141.14999999999</v>
      </c>
      <c r="J37" s="18" t="n">
        <v>94093.07000000001</v>
      </c>
      <c r="K37" s="37" t="n">
        <v>94093.07000000001</v>
      </c>
      <c r="L37" s="18" t="n">
        <v>85917.13</v>
      </c>
      <c r="M37" s="18" t="n">
        <v>80334.14</v>
      </c>
      <c r="N37" s="18" t="n">
        <v>74383.11</v>
      </c>
      <c r="O37" s="18" t="n">
        <v>73785.14</v>
      </c>
      <c r="P37" s="37" t="n">
        <v>73785.14</v>
      </c>
      <c r="Q37" s="18" t="n">
        <v>74265.41</v>
      </c>
      <c r="R37" s="18" t="n">
        <v>80521.00999999999</v>
      </c>
      <c r="S37" s="18" t="n">
        <v>71292.83</v>
      </c>
      <c r="T37" s="18" t="n">
        <v>71626.92</v>
      </c>
      <c r="U37" s="37" t="n">
        <v>71626.92</v>
      </c>
      <c r="V37" s="18" t="n">
        <v>68419.42</v>
      </c>
      <c r="W37" s="18" t="n">
        <v>74865.97</v>
      </c>
      <c r="X37" s="18" t="n">
        <v>68207.84</v>
      </c>
      <c r="Y37" s="18" t="n">
        <v>83044.63</v>
      </c>
      <c r="Z37" s="37" t="n">
        <v>83044.63</v>
      </c>
      <c r="AA37" s="18" t="n">
        <v>80795.14999999999</v>
      </c>
      <c r="AB37" s="19" t="n">
        <v>88774.61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8000</v>
      </c>
      <c r="F38" s="37" t="n">
        <v>8000</v>
      </c>
      <c r="G38" s="18" t="n">
        <v>8000</v>
      </c>
      <c r="H38" s="18" t="n">
        <v>8000</v>
      </c>
      <c r="I38" s="18" t="n">
        <v>8000</v>
      </c>
      <c r="J38" s="18" t="n">
        <v>8000</v>
      </c>
      <c r="K38" s="37" t="n">
        <v>8000</v>
      </c>
      <c r="L38" s="18" t="n">
        <v>8000</v>
      </c>
      <c r="M38" s="18" t="n">
        <v>8000</v>
      </c>
      <c r="N38" s="18" t="n">
        <v>8000</v>
      </c>
      <c r="O38" s="18" t="n">
        <v>8000</v>
      </c>
      <c r="P38" s="37" t="n">
        <v>8000</v>
      </c>
      <c r="Q38" s="18" t="n">
        <v>8000</v>
      </c>
      <c r="R38" s="18" t="n">
        <v>8000</v>
      </c>
      <c r="S38" s="18" t="n">
        <v>8000</v>
      </c>
      <c r="T38" s="18" t="n">
        <v>8000</v>
      </c>
      <c r="U38" s="37" t="n">
        <v>8000</v>
      </c>
      <c r="V38" s="18" t="n">
        <v>8000</v>
      </c>
      <c r="W38" s="18" t="n">
        <v>8000</v>
      </c>
      <c r="X38" s="18" t="n">
        <v>8000</v>
      </c>
      <c r="Y38" s="18" t="n">
        <v>8000</v>
      </c>
      <c r="Z38" s="37" t="n">
        <v>8000</v>
      </c>
      <c r="AA38" s="18" t="n">
        <v>8000</v>
      </c>
      <c r="AB38" s="19" t="n">
        <v>8000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13702.96</v>
      </c>
      <c r="F39" s="37" t="n">
        <v>13702.96</v>
      </c>
      <c r="G39" s="18" t="n">
        <v>13702.96</v>
      </c>
      <c r="H39" s="18" t="n">
        <v>13702.96</v>
      </c>
      <c r="I39" s="18" t="n">
        <v>13702.96</v>
      </c>
      <c r="J39" s="18" t="n">
        <v>13702.96</v>
      </c>
      <c r="K39" s="37" t="n">
        <v>13702.96</v>
      </c>
      <c r="L39" s="18" t="n">
        <v>13702.96</v>
      </c>
      <c r="M39" s="18" t="n">
        <v>13702.96</v>
      </c>
      <c r="N39" s="18" t="n">
        <v>13702.96</v>
      </c>
      <c r="O39" s="18" t="n">
        <v>13702.96</v>
      </c>
      <c r="P39" s="37" t="n">
        <v>13702.96</v>
      </c>
      <c r="Q39" s="18" t="n">
        <v>13702.96</v>
      </c>
      <c r="R39" s="18" t="n">
        <v>13702.96</v>
      </c>
      <c r="S39" s="18" t="n">
        <v>13702.96</v>
      </c>
      <c r="T39" s="18" t="n">
        <v>13702.96</v>
      </c>
      <c r="U39" s="37" t="n">
        <v>13702.96</v>
      </c>
      <c r="V39" s="18" t="n">
        <v>13702.96</v>
      </c>
      <c r="W39" s="18" t="n">
        <v>13702.96</v>
      </c>
      <c r="X39" s="18" t="n">
        <v>13702.96</v>
      </c>
      <c r="Y39" s="18" t="n">
        <v>13702.96</v>
      </c>
      <c r="Z39" s="37" t="n">
        <v>13702.96</v>
      </c>
      <c r="AA39" s="18" t="n">
        <v>8002.96</v>
      </c>
      <c r="AB39" s="19" t="n">
        <v>8002.96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이익잉여금</t>
        </is>
      </c>
      <c r="E40" s="18" t="n">
        <v>143048.31</v>
      </c>
      <c r="F40" s="37" t="n">
        <v>143048.31</v>
      </c>
      <c r="G40" s="18" t="n">
        <v>149810.5</v>
      </c>
      <c r="H40" s="18" t="n">
        <v>152875.2</v>
      </c>
      <c r="I40" s="18" t="n">
        <v>161248.94</v>
      </c>
      <c r="J40" s="18" t="n">
        <v>162288.15</v>
      </c>
      <c r="K40" s="37" t="n">
        <v>162288.15</v>
      </c>
      <c r="L40" s="18" t="n">
        <v>166607.45</v>
      </c>
      <c r="M40" s="18" t="n">
        <v>170587.49</v>
      </c>
      <c r="N40" s="18" t="n">
        <v>175153</v>
      </c>
      <c r="O40" s="18" t="n">
        <v>175121.95</v>
      </c>
      <c r="P40" s="37" t="n">
        <v>175121.95</v>
      </c>
      <c r="Q40" s="18" t="n">
        <v>178288.18</v>
      </c>
      <c r="R40" s="18" t="n">
        <v>181873.14</v>
      </c>
      <c r="S40" s="18" t="n">
        <v>185885.46</v>
      </c>
      <c r="T40" s="18" t="n">
        <v>186206.74</v>
      </c>
      <c r="U40" s="37" t="n">
        <v>186206.74</v>
      </c>
      <c r="V40" s="18" t="n">
        <v>189391.75</v>
      </c>
      <c r="W40" s="18" t="n">
        <v>190898.6</v>
      </c>
      <c r="X40" s="18" t="n">
        <v>196706.46</v>
      </c>
      <c r="Y40" s="18" t="n">
        <v>195920.43</v>
      </c>
      <c r="Z40" s="37" t="n">
        <v>195920.43</v>
      </c>
      <c r="AA40" s="18" t="n">
        <v>206309.56</v>
      </c>
      <c r="AB40" s="19" t="n">
        <v>216860.58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1506.28</v>
      </c>
      <c r="F41" s="37" t="n">
        <v>1506.28</v>
      </c>
      <c r="G41" s="18" t="n">
        <v>1775.96</v>
      </c>
      <c r="H41" s="18" t="n">
        <v>1578.19</v>
      </c>
      <c r="I41" s="18" t="n">
        <v>1272.55</v>
      </c>
      <c r="J41" s="18" t="n">
        <v>1541.98</v>
      </c>
      <c r="K41" s="37" t="n">
        <v>1541.98</v>
      </c>
      <c r="L41" s="18" t="n">
        <v>1771.84</v>
      </c>
      <c r="M41" s="18" t="n">
        <v>1563.99</v>
      </c>
      <c r="N41" s="18" t="n">
        <v>1425.42</v>
      </c>
      <c r="O41" s="18" t="n">
        <v>1326.97</v>
      </c>
      <c r="P41" s="37" t="n">
        <v>1326.97</v>
      </c>
      <c r="Q41" s="18" t="n">
        <v>1314.2</v>
      </c>
      <c r="R41" s="18" t="n">
        <v>1440.01</v>
      </c>
      <c r="S41" s="18" t="n">
        <v>289.41</v>
      </c>
      <c r="T41" s="18" t="n">
        <v>289.41</v>
      </c>
      <c r="U41" s="37" t="n">
        <v>289.41</v>
      </c>
      <c r="V41" s="18" t="n">
        <v>289.41</v>
      </c>
      <c r="W41" s="18" t="n">
        <v>289.41</v>
      </c>
      <c r="X41" s="18" t="n">
        <v>289.41</v>
      </c>
      <c r="Y41" s="18" t="n">
        <v>280.61</v>
      </c>
      <c r="Z41" s="37" t="n">
        <v>280.61</v>
      </c>
      <c r="AA41" s="18" t="n">
        <v>160.91</v>
      </c>
      <c r="AB41" s="19" t="n">
        <v>189.66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자본총계</t>
        </is>
      </c>
      <c r="E42" s="18" t="n">
        <v>166257.55</v>
      </c>
      <c r="F42" s="37" t="n">
        <v>166257.55</v>
      </c>
      <c r="G42" s="18" t="n">
        <v>173289.43</v>
      </c>
      <c r="H42" s="18" t="n">
        <v>176156.36</v>
      </c>
      <c r="I42" s="18" t="n">
        <v>184224.46</v>
      </c>
      <c r="J42" s="18" t="n">
        <v>185533.1</v>
      </c>
      <c r="K42" s="37" t="n">
        <v>185533.1</v>
      </c>
      <c r="L42" s="18" t="n">
        <v>190082.26</v>
      </c>
      <c r="M42" s="18" t="n">
        <v>193854.44</v>
      </c>
      <c r="N42" s="18" t="n">
        <v>198281.38</v>
      </c>
      <c r="O42" s="18" t="n">
        <v>198151.88</v>
      </c>
      <c r="P42" s="37" t="n">
        <v>198151.88</v>
      </c>
      <c r="Q42" s="18" t="n">
        <v>201305.35</v>
      </c>
      <c r="R42" s="18" t="n">
        <v>205016.11</v>
      </c>
      <c r="S42" s="18" t="n">
        <v>207877.83</v>
      </c>
      <c r="T42" s="18" t="n">
        <v>208199.11</v>
      </c>
      <c r="U42" s="37" t="n">
        <v>208199.11</v>
      </c>
      <c r="V42" s="18" t="n">
        <v>211384.12</v>
      </c>
      <c r="W42" s="18" t="n">
        <v>212890.97</v>
      </c>
      <c r="X42" s="18" t="n">
        <v>218698.83</v>
      </c>
      <c r="Y42" s="18" t="n">
        <v>217904</v>
      </c>
      <c r="Z42" s="37" t="n">
        <v>217904</v>
      </c>
      <c r="AA42" s="18" t="n">
        <v>222473.44</v>
      </c>
      <c r="AB42" s="19" t="n">
        <v>233053.21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E43" s="18" t="n">
        <v>237956.94</v>
      </c>
      <c r="F43" s="37" t="n">
        <v>237956.94</v>
      </c>
      <c r="G43" s="18" t="n">
        <v>245188.18</v>
      </c>
      <c r="H43" s="18" t="n">
        <v>293395.11</v>
      </c>
      <c r="I43" s="18" t="n">
        <v>282365.61</v>
      </c>
      <c r="J43" s="18" t="n">
        <v>279626.17</v>
      </c>
      <c r="K43" s="37" t="n">
        <v>279626.17</v>
      </c>
      <c r="L43" s="18" t="n">
        <v>275999.39</v>
      </c>
      <c r="M43" s="18" t="n">
        <v>274188.58</v>
      </c>
      <c r="N43" s="18" t="n">
        <v>272664.49</v>
      </c>
      <c r="O43" s="18" t="n">
        <v>271937.03</v>
      </c>
      <c r="P43" s="37" t="n">
        <v>271937.03</v>
      </c>
      <c r="Q43" s="18" t="n">
        <v>275570.76</v>
      </c>
      <c r="R43" s="18" t="n">
        <v>285537.12</v>
      </c>
      <c r="S43" s="18" t="n">
        <v>279170.66</v>
      </c>
      <c r="T43" s="18" t="n">
        <v>279826.03</v>
      </c>
      <c r="U43" s="37" t="n">
        <v>279826.03</v>
      </c>
      <c r="V43" s="18" t="n">
        <v>279803.54</v>
      </c>
      <c r="W43" s="18" t="n">
        <v>287756.94</v>
      </c>
      <c r="X43" s="18" t="n">
        <v>286906.67</v>
      </c>
      <c r="Y43" s="18" t="n">
        <v>300948.63</v>
      </c>
      <c r="Z43" s="37" t="n">
        <v>300948.63</v>
      </c>
      <c r="AA43" s="18" t="n">
        <v>303268.58</v>
      </c>
      <c r="AB43" s="19" t="n">
        <v>321827.82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166257.55</v>
      </c>
      <c r="F44" s="37" t="n">
        <v>166257.55</v>
      </c>
      <c r="G44" s="18" t="n">
        <v>173289.43</v>
      </c>
      <c r="H44" s="18" t="n">
        <v>176156.36</v>
      </c>
      <c r="I44" s="18" t="n">
        <v>184224.46</v>
      </c>
      <c r="J44" s="18" t="n">
        <v>185533.1</v>
      </c>
      <c r="K44" s="37" t="n">
        <v>185533.1</v>
      </c>
      <c r="L44" s="18" t="n">
        <v>190082.26</v>
      </c>
      <c r="M44" s="18" t="n">
        <v>193854.44</v>
      </c>
      <c r="N44" s="18" t="n">
        <v>198281.38</v>
      </c>
      <c r="O44" s="18" t="n">
        <v>198151.88</v>
      </c>
      <c r="P44" s="37" t="n">
        <v>198151.88</v>
      </c>
      <c r="Q44" s="18" t="n">
        <v>201305.35</v>
      </c>
      <c r="R44" s="18" t="n">
        <v>205016.11</v>
      </c>
      <c r="S44" s="18" t="n">
        <v>207877.83</v>
      </c>
      <c r="T44" s="18" t="n">
        <v>208199.11</v>
      </c>
      <c r="U44" s="37" t="n">
        <v>208199.11</v>
      </c>
      <c r="V44" s="18" t="n">
        <v>211384.12</v>
      </c>
      <c r="W44" s="18" t="n">
        <v>212890.97</v>
      </c>
      <c r="X44" s="18" t="n">
        <v>218698.83</v>
      </c>
      <c r="Y44" s="18" t="n">
        <v>217904</v>
      </c>
      <c r="Z44" s="37" t="n">
        <v>217904</v>
      </c>
      <c r="AA44" s="18" t="n">
        <v>222473.44</v>
      </c>
      <c r="AB44" s="19" t="n">
        <v>233053.21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총차입금</t>
        </is>
      </c>
      <c r="E45" s="18" t="n">
        <v>37175.06</v>
      </c>
      <c r="F45" s="37" t="n">
        <v>37175.06</v>
      </c>
      <c r="G45" s="18" t="n">
        <v>39703.5</v>
      </c>
      <c r="H45" s="18" t="n">
        <v>83320.89</v>
      </c>
      <c r="I45" s="18" t="n">
        <v>71088.33</v>
      </c>
      <c r="J45" s="18" t="n">
        <v>66032.17999999999</v>
      </c>
      <c r="K45" s="37" t="n">
        <v>66032.17999999999</v>
      </c>
      <c r="L45" s="18" t="n">
        <v>60699.95</v>
      </c>
      <c r="M45" s="18" t="n">
        <v>58133.83</v>
      </c>
      <c r="N45" s="18" t="n">
        <v>52551.42</v>
      </c>
      <c r="O45" s="18" t="n">
        <v>51216.49</v>
      </c>
      <c r="P45" s="37" t="n">
        <v>51216.49</v>
      </c>
      <c r="Q45" s="18" t="n">
        <v>49091.73</v>
      </c>
      <c r="R45" s="18" t="n">
        <v>52078.77</v>
      </c>
      <c r="S45" s="18" t="n">
        <v>48357.75</v>
      </c>
      <c r="T45" s="18" t="n">
        <v>43001.09</v>
      </c>
      <c r="U45" s="37" t="n">
        <v>43001.09</v>
      </c>
      <c r="V45" s="18" t="n">
        <v>42146.06</v>
      </c>
      <c r="W45" s="18" t="n">
        <v>47936.26</v>
      </c>
      <c r="X45" s="18" t="n">
        <v>45896.64</v>
      </c>
      <c r="Y45" s="18" t="n">
        <v>54118.99</v>
      </c>
      <c r="Z45" s="37" t="n">
        <v>54118.99</v>
      </c>
      <c r="AA45" s="18" t="n">
        <v>49401.13</v>
      </c>
      <c r="AB45" s="19" t="n">
        <v>52140.12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순차입금</t>
        </is>
      </c>
      <c r="E46" s="18" t="n">
        <v>25342.46</v>
      </c>
      <c r="F46" s="37" t="n">
        <v>25342.46</v>
      </c>
      <c r="G46" s="18" t="n">
        <v>34045.7</v>
      </c>
      <c r="H46" s="18" t="n">
        <v>79656.75999999999</v>
      </c>
      <c r="I46" s="18" t="n">
        <v>63333.7</v>
      </c>
      <c r="J46" s="18" t="n">
        <v>61986.42</v>
      </c>
      <c r="K46" s="37" t="n">
        <v>61986.42</v>
      </c>
      <c r="L46" s="18" t="n">
        <v>59800.87</v>
      </c>
      <c r="M46" s="18" t="n">
        <v>56754.18</v>
      </c>
      <c r="N46" s="18" t="n">
        <v>48662.81</v>
      </c>
      <c r="O46" s="18" t="n">
        <v>48404.11</v>
      </c>
      <c r="P46" s="37" t="n">
        <v>48404.11</v>
      </c>
      <c r="Q46" s="18" t="n">
        <v>47648.25</v>
      </c>
      <c r="R46" s="18" t="n">
        <v>47707.41</v>
      </c>
      <c r="S46" s="18" t="n">
        <v>43076.19</v>
      </c>
      <c r="T46" s="18" t="n">
        <v>38669.92</v>
      </c>
      <c r="U46" s="37" t="n">
        <v>38669.92</v>
      </c>
      <c r="V46" s="18" t="n">
        <v>36548.12</v>
      </c>
      <c r="W46" s="18" t="n">
        <v>35666.89</v>
      </c>
      <c r="X46" s="18" t="n">
        <v>39587.2</v>
      </c>
      <c r="Y46" s="18" t="n">
        <v>40704</v>
      </c>
      <c r="Z46" s="37" t="n">
        <v>40704</v>
      </c>
      <c r="AA46" s="18" t="n">
        <v>39046.8</v>
      </c>
      <c r="AB46" s="19" t="n">
        <v>43254.79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이자발생자산</t>
        </is>
      </c>
      <c r="E47" s="18" t="n">
        <v>27593.8</v>
      </c>
      <c r="F47" s="37" t="n">
        <v>27593.8</v>
      </c>
      <c r="G47" s="18" t="n">
        <v>23328.38</v>
      </c>
      <c r="H47" s="18" t="n">
        <v>19537.49</v>
      </c>
      <c r="I47" s="18" t="n">
        <v>21558.18</v>
      </c>
      <c r="J47" s="18" t="n">
        <v>27978.79</v>
      </c>
      <c r="K47" s="37" t="n">
        <v>27978.79</v>
      </c>
      <c r="L47" s="18" t="n">
        <v>28411.62</v>
      </c>
      <c r="M47" s="18" t="n">
        <v>27973.08</v>
      </c>
      <c r="N47" s="18" t="n">
        <v>13170.36</v>
      </c>
      <c r="O47" s="18" t="n">
        <v>11334.85</v>
      </c>
      <c r="P47" s="37" t="n">
        <v>11334.85</v>
      </c>
      <c r="Q47" s="18" t="n">
        <v>9291.370000000001</v>
      </c>
      <c r="R47" s="18" t="n">
        <v>27902.7</v>
      </c>
      <c r="S47" s="18" t="n">
        <v>9476.969999999999</v>
      </c>
      <c r="T47" s="18" t="n">
        <v>8243.17</v>
      </c>
      <c r="U47" s="37" t="n">
        <v>8243.17</v>
      </c>
      <c r="V47" s="18" t="n">
        <v>9496.309999999999</v>
      </c>
      <c r="W47" s="18" t="n">
        <v>37452.14</v>
      </c>
      <c r="X47" s="18" t="n">
        <v>12214</v>
      </c>
      <c r="Y47" s="18" t="n">
        <v>18651.1</v>
      </c>
      <c r="Z47" s="37" t="n">
        <v>18651.1</v>
      </c>
      <c r="AA47" s="18" t="n">
        <v>15245.61</v>
      </c>
      <c r="AB47" s="19" t="n">
        <v>39702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단기투자자산(공정가치)</t>
        </is>
      </c>
      <c r="F48" s="9" t="n"/>
      <c r="H48" s="18" t="n">
        <v>12565.86</v>
      </c>
      <c r="K48" s="9" t="n"/>
      <c r="M48" s="18" t="n">
        <v>12641.69</v>
      </c>
      <c r="P48" s="9" t="n"/>
      <c r="R48" s="18" t="n">
        <v>8572.65</v>
      </c>
      <c r="U48" s="9" t="n"/>
      <c r="W48" s="18" t="n">
        <v>8097.94</v>
      </c>
      <c r="Z48" s="9" t="n"/>
      <c r="AB48" s="19" t="n">
        <v>30496.77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유동성장기부채</t>
        </is>
      </c>
      <c r="F49" s="9" t="n"/>
      <c r="H49" s="18" t="n">
        <v>12666.72</v>
      </c>
      <c r="I49" s="18" t="n">
        <v>12666.72</v>
      </c>
      <c r="J49" s="18" t="n">
        <v>11611.16</v>
      </c>
      <c r="K49" s="37" t="n">
        <v>11611.16</v>
      </c>
      <c r="L49" s="18" t="n">
        <v>11611.16</v>
      </c>
      <c r="M49" s="18" t="n">
        <v>12666.72</v>
      </c>
      <c r="N49" s="18" t="n">
        <v>11611.16</v>
      </c>
      <c r="O49" s="18" t="n">
        <v>11611.16</v>
      </c>
      <c r="P49" s="37" t="n">
        <v>11611.16</v>
      </c>
      <c r="Q49" s="18" t="n">
        <v>11611.16</v>
      </c>
      <c r="R49" s="18" t="n">
        <v>10555.5</v>
      </c>
      <c r="S49" s="18" t="n">
        <v>8444.4</v>
      </c>
      <c r="T49" s="18" t="n">
        <v>5277.75</v>
      </c>
      <c r="U49" s="37" t="n">
        <v>5277.75</v>
      </c>
      <c r="V49" s="18" t="n">
        <v>2111.1</v>
      </c>
      <c r="W49" s="18" t="n">
        <v>0</v>
      </c>
      <c r="X49" s="18" t="n">
        <v>0</v>
      </c>
      <c r="Y49" s="18" t="n">
        <v>0</v>
      </c>
      <c r="Z49" s="37" t="n">
        <v>0</v>
      </c>
      <c r="AB49" s="19" t="n">
        <v>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장기차입금</t>
        </is>
      </c>
      <c r="F50" s="9" t="n"/>
      <c r="H50" s="18" t="n">
        <v>24277.72</v>
      </c>
      <c r="I50" s="18" t="n">
        <v>21111.04</v>
      </c>
      <c r="J50" s="18" t="n">
        <v>17944.36</v>
      </c>
      <c r="K50" s="37" t="n">
        <v>17944.36</v>
      </c>
      <c r="L50" s="18" t="n">
        <v>14777.68</v>
      </c>
      <c r="M50" s="18" t="n">
        <v>11611</v>
      </c>
      <c r="N50" s="18" t="n">
        <v>8444.32</v>
      </c>
      <c r="O50" s="18" t="n">
        <v>5277.64</v>
      </c>
      <c r="P50" s="37" t="n">
        <v>5277.64</v>
      </c>
      <c r="Q50" s="18" t="n">
        <v>2110.99</v>
      </c>
      <c r="R50" s="18" t="n">
        <v>0</v>
      </c>
      <c r="S50" s="18" t="n">
        <v>0</v>
      </c>
      <c r="T50" s="18" t="n">
        <v>0</v>
      </c>
      <c r="U50" s="37" t="n">
        <v>0</v>
      </c>
      <c r="Y50" s="18" t="n">
        <v>0</v>
      </c>
      <c r="Z50" s="37" t="n">
        <v>0</v>
      </c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투자부동산</t>
        </is>
      </c>
      <c r="F51" s="9" t="n"/>
      <c r="J51" s="18" t="n">
        <v>41869.87</v>
      </c>
      <c r="K51" s="37" t="n">
        <v>41869.87</v>
      </c>
      <c r="L51" s="18" t="n">
        <v>41566.82</v>
      </c>
      <c r="M51" s="18" t="n">
        <v>41547.77</v>
      </c>
      <c r="N51" s="18" t="n">
        <v>41528.72</v>
      </c>
      <c r="O51" s="18" t="n">
        <v>41917.59</v>
      </c>
      <c r="P51" s="37" t="n">
        <v>41917.59</v>
      </c>
      <c r="Q51" s="18" t="n">
        <v>41626.04</v>
      </c>
      <c r="R51" s="18" t="n">
        <v>41606.93</v>
      </c>
      <c r="S51" s="18" t="n">
        <v>41587.82</v>
      </c>
      <c r="T51" s="18" t="n">
        <v>41568.71</v>
      </c>
      <c r="U51" s="37" t="n">
        <v>41568.71</v>
      </c>
      <c r="V51" s="18" t="n">
        <v>41549.6</v>
      </c>
      <c r="W51" s="18" t="n">
        <v>41530.48</v>
      </c>
      <c r="X51" s="18" t="n">
        <v>41511.37</v>
      </c>
      <c r="Y51" s="18" t="n">
        <v>41492.26</v>
      </c>
      <c r="Z51" s="37" t="n">
        <v>41492.26</v>
      </c>
      <c r="AA51" s="18" t="n">
        <v>41473.15</v>
      </c>
      <c r="AB51" s="19" t="n">
        <v>41454.04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단기금융부채(face)</t>
        </is>
      </c>
      <c r="F52" s="9" t="n"/>
      <c r="K52" s="9" t="n"/>
      <c r="N52" s="18" t="n">
        <v>32495.94</v>
      </c>
      <c r="O52" s="18" t="n">
        <v>34327.69</v>
      </c>
      <c r="P52" s="37" t="n">
        <v>34327.69</v>
      </c>
      <c r="Q52" s="18" t="n">
        <v>35369.58</v>
      </c>
      <c r="R52" s="18" t="n">
        <v>41523.27</v>
      </c>
      <c r="S52" s="18" t="n">
        <v>39913.35</v>
      </c>
      <c r="T52" s="18" t="n">
        <v>37723.34</v>
      </c>
      <c r="U52" s="37" t="n">
        <v>37723.34</v>
      </c>
      <c r="V52" s="18" t="n">
        <v>40034.96</v>
      </c>
      <c r="W52" s="18" t="n">
        <v>47936.26</v>
      </c>
      <c r="X52" s="18" t="n">
        <v>45896.64</v>
      </c>
      <c r="Y52" s="18" t="n">
        <v>54118.99</v>
      </c>
      <c r="Z52" s="37" t="n">
        <v>54118.99</v>
      </c>
      <c r="AA52" s="18" t="n">
        <v>49401.13</v>
      </c>
      <c r="AB52" s="19" t="n">
        <v>52140.12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장기금융부채(face)</t>
        </is>
      </c>
      <c r="F53" s="9" t="n"/>
      <c r="K53" s="9" t="n"/>
      <c r="P53" s="9" t="n"/>
      <c r="S53" s="18" t="n">
        <v>0</v>
      </c>
      <c r="T53" s="18" t="n">
        <v>0</v>
      </c>
      <c r="U53" s="37" t="n">
        <v>0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매출액(수익)</t>
        </is>
      </c>
      <c r="E54" s="18" t="n">
        <v>48779.82</v>
      </c>
      <c r="F54" s="9" t="n"/>
      <c r="G54" s="18" t="n">
        <v>61438.38</v>
      </c>
      <c r="H54" s="18" t="n">
        <v>62414.2</v>
      </c>
      <c r="I54" s="18" t="n">
        <v>66264.10000000001</v>
      </c>
      <c r="J54" s="18" t="n">
        <v>56289.13</v>
      </c>
      <c r="K54" s="37" t="n">
        <v>246405.81</v>
      </c>
      <c r="L54" s="18" t="n">
        <v>46615.32</v>
      </c>
      <c r="M54" s="18" t="n">
        <v>49804.22</v>
      </c>
      <c r="N54" s="18" t="n">
        <v>47890.4</v>
      </c>
      <c r="O54" s="18" t="n">
        <v>45908.15</v>
      </c>
      <c r="P54" s="37" t="n">
        <v>190218.09</v>
      </c>
      <c r="Q54" s="18" t="n">
        <v>45824.47</v>
      </c>
      <c r="R54" s="18" t="n">
        <v>54172.88</v>
      </c>
      <c r="S54" s="18" t="n">
        <v>50245.47</v>
      </c>
      <c r="T54" s="18" t="n">
        <v>57237.88</v>
      </c>
      <c r="U54" s="37" t="n">
        <v>207480.7</v>
      </c>
      <c r="V54" s="18" t="n">
        <v>51115.32</v>
      </c>
      <c r="W54" s="18" t="n">
        <v>48238.25</v>
      </c>
      <c r="X54" s="18" t="n">
        <v>48882.39</v>
      </c>
      <c r="Y54" s="18" t="n">
        <v>49956.08</v>
      </c>
      <c r="Z54" s="37" t="n">
        <v>198192.04</v>
      </c>
      <c r="AA54" s="18" t="n">
        <v>47231.63</v>
      </c>
      <c r="AB54" s="19" t="n">
        <v>56971.55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매출원가</t>
        </is>
      </c>
      <c r="E55" s="18" t="n">
        <v>42682.4</v>
      </c>
      <c r="F55" s="9" t="n"/>
      <c r="G55" s="18" t="n">
        <v>48077.79</v>
      </c>
      <c r="H55" s="18" t="n">
        <v>51995.37</v>
      </c>
      <c r="I55" s="18" t="n">
        <v>51355.52</v>
      </c>
      <c r="J55" s="18" t="n">
        <v>45412.7</v>
      </c>
      <c r="K55" s="37" t="n">
        <v>196841.38</v>
      </c>
      <c r="L55" s="18" t="n">
        <v>37207.43</v>
      </c>
      <c r="M55" s="18" t="n">
        <v>40544.35</v>
      </c>
      <c r="N55" s="18" t="n">
        <v>38802.81</v>
      </c>
      <c r="O55" s="18" t="n">
        <v>38194.02</v>
      </c>
      <c r="P55" s="37" t="n">
        <v>154748.61</v>
      </c>
      <c r="Q55" s="18" t="n">
        <v>38259.98</v>
      </c>
      <c r="R55" s="18" t="n">
        <v>46171.68</v>
      </c>
      <c r="S55" s="18" t="n">
        <v>42721.85</v>
      </c>
      <c r="T55" s="18" t="n">
        <v>47980.03</v>
      </c>
      <c r="U55" s="37" t="n">
        <v>175133.54</v>
      </c>
      <c r="V55" s="18" t="n">
        <v>42340.85</v>
      </c>
      <c r="W55" s="18" t="n">
        <v>40567.86</v>
      </c>
      <c r="X55" s="18" t="n">
        <v>40265.87</v>
      </c>
      <c r="Y55" s="18" t="n">
        <v>41969.88</v>
      </c>
      <c r="Z55" s="37" t="n">
        <v>165144.46</v>
      </c>
      <c r="AA55" s="18" t="n">
        <v>37365.05</v>
      </c>
      <c r="AB55" s="19" t="n">
        <v>48866.51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매출총이익</t>
        </is>
      </c>
      <c r="E56" s="18" t="n">
        <v>6097.42</v>
      </c>
      <c r="F56" s="9" t="n"/>
      <c r="G56" s="18" t="n">
        <v>13360.59</v>
      </c>
      <c r="H56" s="18" t="n">
        <v>10418.83</v>
      </c>
      <c r="I56" s="18" t="n">
        <v>14908.57</v>
      </c>
      <c r="J56" s="18" t="n">
        <v>10876.43</v>
      </c>
      <c r="K56" s="37" t="n">
        <v>49564.42</v>
      </c>
      <c r="L56" s="18" t="n">
        <v>9407.9</v>
      </c>
      <c r="M56" s="18" t="n">
        <v>9259.870000000001</v>
      </c>
      <c r="N56" s="18" t="n">
        <v>9087.6</v>
      </c>
      <c r="O56" s="18" t="n">
        <v>7714.13</v>
      </c>
      <c r="P56" s="37" t="n">
        <v>35469.5</v>
      </c>
      <c r="Q56" s="18" t="n">
        <v>7564.49</v>
      </c>
      <c r="R56" s="18" t="n">
        <v>8001.19</v>
      </c>
      <c r="S56" s="18" t="n">
        <v>7523.63</v>
      </c>
      <c r="T56" s="18" t="n">
        <v>9257.85</v>
      </c>
      <c r="U56" s="37" t="n">
        <v>32347.16</v>
      </c>
      <c r="V56" s="18" t="n">
        <v>8774.469999999999</v>
      </c>
      <c r="W56" s="18" t="n">
        <v>7670.39</v>
      </c>
      <c r="X56" s="18" t="n">
        <v>8616.52</v>
      </c>
      <c r="Y56" s="18" t="n">
        <v>7986.2</v>
      </c>
      <c r="Z56" s="37" t="n">
        <v>33047.58</v>
      </c>
      <c r="AA56" s="18" t="n">
        <v>9866.59</v>
      </c>
      <c r="AB56" s="19" t="n">
        <v>8105.04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판관비</t>
        </is>
      </c>
      <c r="E57" s="18" t="n">
        <v>4529.6</v>
      </c>
      <c r="F57" s="9" t="n"/>
      <c r="G57" s="18" t="n">
        <v>3696.48</v>
      </c>
      <c r="H57" s="18" t="n">
        <v>5642.01</v>
      </c>
      <c r="I57" s="18" t="n">
        <v>3758.6</v>
      </c>
      <c r="J57" s="18" t="n">
        <v>5388.55</v>
      </c>
      <c r="K57" s="37" t="n">
        <v>18485.64</v>
      </c>
      <c r="L57" s="18" t="n">
        <v>3470.88</v>
      </c>
      <c r="M57" s="18" t="n">
        <v>4570.92</v>
      </c>
      <c r="N57" s="18" t="n">
        <v>3489.16</v>
      </c>
      <c r="O57" s="18" t="n">
        <v>3985.11</v>
      </c>
      <c r="P57" s="37" t="n">
        <v>15516.07</v>
      </c>
      <c r="Q57" s="18" t="n">
        <v>3217.32</v>
      </c>
      <c r="R57" s="18" t="n">
        <v>4396.59</v>
      </c>
      <c r="S57" s="18" t="n">
        <v>6965.56</v>
      </c>
      <c r="T57" s="18" t="n">
        <v>5476.26</v>
      </c>
      <c r="U57" s="37" t="n">
        <v>20055.73</v>
      </c>
      <c r="V57" s="18" t="n">
        <v>3610.23</v>
      </c>
      <c r="W57" s="18" t="n">
        <v>5427.88</v>
      </c>
      <c r="X57" s="18" t="n">
        <v>3623.75</v>
      </c>
      <c r="Y57" s="18" t="n">
        <v>4262.85</v>
      </c>
      <c r="Z57" s="37" t="n">
        <v>16924.71</v>
      </c>
      <c r="AA57" s="18" t="n">
        <v>3241.7</v>
      </c>
      <c r="AB57" s="19" t="n">
        <v>5012.03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영업이익</t>
        </is>
      </c>
      <c r="E58" s="18" t="n">
        <v>1567.8</v>
      </c>
      <c r="F58" s="9" t="n"/>
      <c r="G58" s="18" t="n">
        <v>9664.1</v>
      </c>
      <c r="H58" s="18" t="n">
        <v>4776.82</v>
      </c>
      <c r="I58" s="18" t="n">
        <v>11149.97</v>
      </c>
      <c r="J58" s="18" t="n">
        <v>5487.87</v>
      </c>
      <c r="K58" s="37" t="n">
        <v>31078.76</v>
      </c>
      <c r="L58" s="18" t="n">
        <v>5937.01</v>
      </c>
      <c r="M58" s="18" t="n">
        <v>4688.95</v>
      </c>
      <c r="N58" s="18" t="n">
        <v>5598.43</v>
      </c>
      <c r="O58" s="18" t="n">
        <v>3729.02</v>
      </c>
      <c r="P58" s="37" t="n">
        <v>19953.41</v>
      </c>
      <c r="Q58" s="18" t="n">
        <v>4347.17</v>
      </c>
      <c r="R58" s="18" t="n">
        <v>3604.61</v>
      </c>
      <c r="S58" s="18" t="n">
        <v>558.0700000000001</v>
      </c>
      <c r="T58" s="18" t="n">
        <v>3781.58</v>
      </c>
      <c r="U58" s="37" t="n">
        <v>12291.43</v>
      </c>
      <c r="V58" s="18" t="n">
        <v>5164.23</v>
      </c>
      <c r="W58" s="18" t="n">
        <v>2242.51</v>
      </c>
      <c r="X58" s="18" t="n">
        <v>4992.77</v>
      </c>
      <c r="Y58" s="18" t="n">
        <v>3723.36</v>
      </c>
      <c r="Z58" s="37" t="n">
        <v>16122.87</v>
      </c>
      <c r="AA58" s="18" t="n">
        <v>6624.89</v>
      </c>
      <c r="AB58" s="19" t="n">
        <v>3093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기타영업외수익</t>
        </is>
      </c>
      <c r="E59" s="18" t="n">
        <v>-502.71</v>
      </c>
      <c r="F59" s="9" t="n"/>
      <c r="G59" s="18" t="n">
        <v>836.25</v>
      </c>
      <c r="H59" s="18" t="n">
        <v>2133.5</v>
      </c>
      <c r="I59" s="18" t="n">
        <v>3333.44</v>
      </c>
      <c r="J59" s="18" t="n">
        <v>-1133.63</v>
      </c>
      <c r="K59" s="37" t="n">
        <v>5169.56</v>
      </c>
      <c r="L59" s="18" t="n">
        <v>1186.71</v>
      </c>
      <c r="M59" s="18" t="n">
        <v>741.4</v>
      </c>
      <c r="N59" s="18" t="n">
        <v>809.84</v>
      </c>
      <c r="O59" s="18" t="n">
        <v>-46.3</v>
      </c>
      <c r="P59" s="37" t="n">
        <v>2691.65</v>
      </c>
      <c r="Q59" s="18" t="n">
        <v>1129.74</v>
      </c>
      <c r="R59" s="18" t="n">
        <v>1156.93</v>
      </c>
      <c r="S59" s="18" t="n">
        <v>3383.91</v>
      </c>
      <c r="T59" s="18" t="n">
        <v>4061.89</v>
      </c>
      <c r="U59" s="37" t="n">
        <v>9732.469999999999</v>
      </c>
      <c r="V59" s="18" t="n">
        <v>911.98</v>
      </c>
      <c r="W59" s="18" t="n">
        <v>1174.56</v>
      </c>
      <c r="X59" s="18" t="n">
        <v>712.28</v>
      </c>
      <c r="Y59" s="18" t="n">
        <v>894.52</v>
      </c>
      <c r="Z59" s="37" t="n">
        <v>3693.34</v>
      </c>
      <c r="AA59" s="18" t="n">
        <v>2611.48</v>
      </c>
      <c r="AB59" s="19" t="n">
        <v>2442.04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기타영업외비용</t>
        </is>
      </c>
      <c r="E60" s="18" t="n">
        <v>1573.65</v>
      </c>
      <c r="F60" s="9" t="n"/>
      <c r="G60" s="18" t="n">
        <v>383.21</v>
      </c>
      <c r="H60" s="18" t="n">
        <v>652.6900000000001</v>
      </c>
      <c r="I60" s="18" t="n">
        <v>990.97</v>
      </c>
      <c r="J60" s="18" t="n">
        <v>4260.04</v>
      </c>
      <c r="K60" s="37" t="n">
        <v>6286.91</v>
      </c>
      <c r="L60" s="18" t="n">
        <v>718.3099999999999</v>
      </c>
      <c r="M60" s="18" t="n">
        <v>433.43</v>
      </c>
      <c r="N60" s="18" t="n">
        <v>319.24</v>
      </c>
      <c r="O60" s="18" t="n">
        <v>4892.22</v>
      </c>
      <c r="P60" s="37" t="n">
        <v>6363.2</v>
      </c>
      <c r="Q60" s="18" t="n">
        <v>353.5</v>
      </c>
      <c r="R60" s="18" t="n">
        <v>695.71</v>
      </c>
      <c r="S60" s="18" t="n">
        <v>540.4299999999999</v>
      </c>
      <c r="T60" s="18" t="n">
        <v>5434.88</v>
      </c>
      <c r="U60" s="37" t="n">
        <v>7024.52</v>
      </c>
      <c r="V60" s="18" t="n">
        <v>726.04</v>
      </c>
      <c r="W60" s="18" t="n">
        <v>3454</v>
      </c>
      <c r="X60" s="18" t="n">
        <v>-884.29</v>
      </c>
      <c r="Y60" s="18" t="n">
        <v>5648.54</v>
      </c>
      <c r="Z60" s="37" t="n">
        <v>8944.290000000001</v>
      </c>
      <c r="AA60" s="18" t="n">
        <v>606.55</v>
      </c>
      <c r="AB60" s="19" t="n">
        <v>593.3200000000001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금융수익</t>
        </is>
      </c>
      <c r="E61" s="18" t="n">
        <v>1076.27</v>
      </c>
      <c r="F61" s="9" t="n"/>
      <c r="G61" s="18" t="n">
        <v>1153.1</v>
      </c>
      <c r="H61" s="18" t="n">
        <v>2067.27</v>
      </c>
      <c r="I61" s="18" t="n">
        <v>2130.29</v>
      </c>
      <c r="J61" s="18" t="n">
        <v>4594.17</v>
      </c>
      <c r="K61" s="37" t="n">
        <v>9944.83</v>
      </c>
      <c r="L61" s="18" t="n">
        <v>4205.83</v>
      </c>
      <c r="M61" s="18" t="n">
        <v>2886.7</v>
      </c>
      <c r="N61" s="18" t="n">
        <v>1923.58</v>
      </c>
      <c r="O61" s="18" t="n">
        <v>4203.84</v>
      </c>
      <c r="P61" s="37" t="n">
        <v>13219.95</v>
      </c>
      <c r="Q61" s="18" t="n">
        <v>2762.53</v>
      </c>
      <c r="R61" s="18" t="n">
        <v>2486.97</v>
      </c>
      <c r="S61" s="18" t="n">
        <v>2770.19</v>
      </c>
      <c r="T61" s="18" t="n">
        <v>1882.38</v>
      </c>
      <c r="U61" s="37" t="n">
        <v>9902.07</v>
      </c>
      <c r="V61" s="18" t="n">
        <v>1851.8</v>
      </c>
      <c r="W61" s="18" t="n">
        <v>3023.57</v>
      </c>
      <c r="X61" s="18" t="n">
        <v>2172.24</v>
      </c>
      <c r="Y61" s="18" t="n">
        <v>2219.57</v>
      </c>
      <c r="Z61" s="37" t="n">
        <v>9267.18</v>
      </c>
      <c r="AA61" s="18" t="n">
        <v>3973.37</v>
      </c>
      <c r="AB61" s="19" t="n">
        <v>9233.190000000001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금융비용</t>
        </is>
      </c>
      <c r="E62" s="18" t="n">
        <v>1156</v>
      </c>
      <c r="F62" s="9" t="n"/>
      <c r="G62" s="18" t="n">
        <v>1325.71</v>
      </c>
      <c r="H62" s="18" t="n">
        <v>4301.57</v>
      </c>
      <c r="I62" s="18" t="n">
        <v>4553.01</v>
      </c>
      <c r="J62" s="18" t="n">
        <v>3197.43</v>
      </c>
      <c r="K62" s="37" t="n">
        <v>13377.72</v>
      </c>
      <c r="L62" s="18" t="n">
        <v>3734.02</v>
      </c>
      <c r="M62" s="18" t="n">
        <v>2815.7</v>
      </c>
      <c r="N62" s="18" t="n">
        <v>2617.82</v>
      </c>
      <c r="O62" s="18" t="n">
        <v>2393.83</v>
      </c>
      <c r="P62" s="37" t="n">
        <v>11561.37</v>
      </c>
      <c r="Q62" s="18" t="n">
        <v>2638.67</v>
      </c>
      <c r="R62" s="18" t="n">
        <v>2312.53</v>
      </c>
      <c r="S62" s="18" t="n">
        <v>2070.29</v>
      </c>
      <c r="T62" s="18" t="n">
        <v>2414.74</v>
      </c>
      <c r="U62" s="37" t="n">
        <v>9436.23</v>
      </c>
      <c r="V62" s="18" t="n">
        <v>1714.41</v>
      </c>
      <c r="W62" s="18" t="n">
        <v>1407.12</v>
      </c>
      <c r="X62" s="18" t="n">
        <v>1435.26</v>
      </c>
      <c r="Y62" s="18" t="n">
        <v>1181.96</v>
      </c>
      <c r="Z62" s="37" t="n">
        <v>5738.75</v>
      </c>
      <c r="AA62" s="18" t="n">
        <v>1506.86</v>
      </c>
      <c r="AB62" s="19" t="n">
        <v>677.62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법인세비용차감전계속사업이익</t>
        </is>
      </c>
      <c r="E63" s="18" t="n">
        <v>-565.78</v>
      </c>
      <c r="F63" s="9" t="n"/>
      <c r="G63" s="18" t="n">
        <v>9944.530000000001</v>
      </c>
      <c r="H63" s="18" t="n">
        <v>4023.33</v>
      </c>
      <c r="I63" s="18" t="n">
        <v>11069.72</v>
      </c>
      <c r="J63" s="18" t="n">
        <v>1490.95</v>
      </c>
      <c r="K63" s="37" t="n">
        <v>26528.53</v>
      </c>
      <c r="L63" s="18" t="n">
        <v>6877.23</v>
      </c>
      <c r="M63" s="18" t="n">
        <v>5067.92</v>
      </c>
      <c r="N63" s="18" t="n">
        <v>5394.79</v>
      </c>
      <c r="O63" s="18" t="n">
        <v>600.5</v>
      </c>
      <c r="P63" s="37" t="n">
        <v>17940.44</v>
      </c>
      <c r="Q63" s="18" t="n">
        <v>5247.28</v>
      </c>
      <c r="R63" s="18" t="n">
        <v>4240.26</v>
      </c>
      <c r="S63" s="18" t="n">
        <v>4101.44</v>
      </c>
      <c r="T63" s="18" t="n">
        <v>1876.23</v>
      </c>
      <c r="U63" s="37" t="n">
        <v>15465.21</v>
      </c>
      <c r="V63" s="18" t="n">
        <v>5487.56</v>
      </c>
      <c r="W63" s="18" t="n">
        <v>1579.52</v>
      </c>
      <c r="X63" s="18" t="n">
        <v>7326.32</v>
      </c>
      <c r="Y63" s="18" t="n">
        <v>6.95</v>
      </c>
      <c r="Z63" s="37" t="n">
        <v>14400.35</v>
      </c>
      <c r="AA63" s="18" t="n">
        <v>11096.32</v>
      </c>
      <c r="AB63" s="19" t="n">
        <v>13497.29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법인세비용</t>
        </is>
      </c>
      <c r="E64" s="18" t="n">
        <v>472.49</v>
      </c>
      <c r="F64" s="9" t="n"/>
      <c r="G64" s="18" t="n">
        <v>2382.35</v>
      </c>
      <c r="H64" s="18" t="n">
        <v>958.63</v>
      </c>
      <c r="I64" s="18" t="n">
        <v>2695.98</v>
      </c>
      <c r="J64" s="18" t="n">
        <v>1257.27</v>
      </c>
      <c r="K64" s="37" t="n">
        <v>7294.23</v>
      </c>
      <c r="L64" s="18" t="n">
        <v>1597.92</v>
      </c>
      <c r="M64" s="18" t="n">
        <v>1087.89</v>
      </c>
      <c r="N64" s="18" t="n">
        <v>829.28</v>
      </c>
      <c r="O64" s="18" t="n">
        <v>194.24</v>
      </c>
      <c r="P64" s="37" t="n">
        <v>3709.33</v>
      </c>
      <c r="Q64" s="18" t="n">
        <v>1121.04</v>
      </c>
      <c r="R64" s="18" t="n">
        <v>655.3099999999999</v>
      </c>
      <c r="S64" s="18" t="n">
        <v>814.66</v>
      </c>
      <c r="T64" s="18" t="n">
        <v>1037.71</v>
      </c>
      <c r="U64" s="37" t="n">
        <v>3628.72</v>
      </c>
      <c r="V64" s="18" t="n">
        <v>1182.55</v>
      </c>
      <c r="W64" s="18" t="n">
        <v>72.67</v>
      </c>
      <c r="X64" s="18" t="n">
        <v>1518.45</v>
      </c>
      <c r="Y64" s="18" t="n">
        <v>1418.89</v>
      </c>
      <c r="Z64" s="37" t="n">
        <v>4192.56</v>
      </c>
      <c r="AA64" s="18" t="n">
        <v>2407.18</v>
      </c>
      <c r="AB64" s="19" t="n">
        <v>2946.27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당기순이익</t>
        </is>
      </c>
      <c r="E65" s="18" t="n">
        <v>-1038.28</v>
      </c>
      <c r="F65" s="9" t="n"/>
      <c r="G65" s="18" t="n">
        <v>7562.19</v>
      </c>
      <c r="H65" s="18" t="n">
        <v>3064.7</v>
      </c>
      <c r="I65" s="18" t="n">
        <v>8373.74</v>
      </c>
      <c r="J65" s="18" t="n">
        <v>233.69</v>
      </c>
      <c r="K65" s="37" t="n">
        <v>19234.32</v>
      </c>
      <c r="L65" s="18" t="n">
        <v>5279.3</v>
      </c>
      <c r="M65" s="18" t="n">
        <v>3980.04</v>
      </c>
      <c r="N65" s="18" t="n">
        <v>4565.51</v>
      </c>
      <c r="O65" s="18" t="n">
        <v>406.26</v>
      </c>
      <c r="P65" s="37" t="n">
        <v>14231.11</v>
      </c>
      <c r="Q65" s="18" t="n">
        <v>4126.23</v>
      </c>
      <c r="R65" s="18" t="n">
        <v>3584.96</v>
      </c>
      <c r="S65" s="18" t="n">
        <v>3286.77</v>
      </c>
      <c r="T65" s="18" t="n">
        <v>838.52</v>
      </c>
      <c r="U65" s="37" t="n">
        <v>11836.48</v>
      </c>
      <c r="V65" s="18" t="n">
        <v>4305.01</v>
      </c>
      <c r="W65" s="18" t="n">
        <v>1506.85</v>
      </c>
      <c r="X65" s="18" t="n">
        <v>5807.87</v>
      </c>
      <c r="Y65" s="18" t="n">
        <v>-1411.95</v>
      </c>
      <c r="Z65" s="37" t="n">
        <v>10207.78</v>
      </c>
      <c r="AA65" s="18" t="n">
        <v>8689.129999999999</v>
      </c>
      <c r="AB65" s="19" t="n">
        <v>10551.02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금융손익</t>
        </is>
      </c>
      <c r="E66" s="18" t="n">
        <v>-79.73</v>
      </c>
      <c r="F66" s="9" t="n"/>
      <c r="G66" s="18" t="n">
        <v>-172.61</v>
      </c>
      <c r="H66" s="18" t="n">
        <v>-2234.3</v>
      </c>
      <c r="I66" s="18" t="n">
        <v>-2422.72</v>
      </c>
      <c r="J66" s="18" t="n">
        <v>1396.74</v>
      </c>
      <c r="K66" s="37" t="n">
        <v>-3432.89</v>
      </c>
      <c r="L66" s="18" t="n">
        <v>471.81</v>
      </c>
      <c r="M66" s="18" t="n">
        <v>71</v>
      </c>
      <c r="N66" s="18" t="n">
        <v>-694.24</v>
      </c>
      <c r="O66" s="18" t="n">
        <v>1810.01</v>
      </c>
      <c r="P66" s="37" t="n">
        <v>1658.58</v>
      </c>
      <c r="Q66" s="18" t="n">
        <v>123.86</v>
      </c>
      <c r="R66" s="18" t="n">
        <v>174.44</v>
      </c>
      <c r="S66" s="18" t="n">
        <v>699.9</v>
      </c>
      <c r="T66" s="18" t="n">
        <v>-532.36</v>
      </c>
      <c r="U66" s="37" t="n">
        <v>465.84</v>
      </c>
      <c r="V66" s="18" t="n">
        <v>137.39</v>
      </c>
      <c r="W66" s="18" t="n">
        <v>1616.45</v>
      </c>
      <c r="X66" s="18" t="n">
        <v>736.98</v>
      </c>
      <c r="Y66" s="18" t="n">
        <v>1037.61</v>
      </c>
      <c r="Z66" s="37" t="n">
        <v>3528.43</v>
      </c>
      <c r="AA66" s="18" t="n">
        <v>2466.51</v>
      </c>
      <c r="AB66" s="19" t="n">
        <v>8555.57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기타영업외손익</t>
        </is>
      </c>
      <c r="E67" s="18" t="n">
        <v>-2076.36</v>
      </c>
      <c r="F67" s="9" t="n"/>
      <c r="G67" s="18" t="n">
        <v>453.04</v>
      </c>
      <c r="H67" s="18" t="n">
        <v>1480.81</v>
      </c>
      <c r="I67" s="18" t="n">
        <v>2342.47</v>
      </c>
      <c r="J67" s="18" t="n">
        <v>-5393.67</v>
      </c>
      <c r="K67" s="37" t="n">
        <v>-1117.35</v>
      </c>
      <c r="L67" s="18" t="n">
        <v>468.4</v>
      </c>
      <c r="M67" s="18" t="n">
        <v>307.97</v>
      </c>
      <c r="N67" s="18" t="n">
        <v>490.6</v>
      </c>
      <c r="O67" s="18" t="n">
        <v>-4938.52</v>
      </c>
      <c r="P67" s="37" t="n">
        <v>-3671.55</v>
      </c>
      <c r="Q67" s="18" t="n">
        <v>776.24</v>
      </c>
      <c r="R67" s="18" t="n">
        <v>461.22</v>
      </c>
      <c r="S67" s="18" t="n">
        <v>2843.48</v>
      </c>
      <c r="T67" s="18" t="n">
        <v>-1372.99</v>
      </c>
      <c r="U67" s="37" t="n">
        <v>2707.95</v>
      </c>
      <c r="V67" s="18" t="n">
        <v>185.94</v>
      </c>
      <c r="W67" s="18" t="n">
        <v>-2279.44</v>
      </c>
      <c r="X67" s="18" t="n">
        <v>1596.57</v>
      </c>
      <c r="Y67" s="18" t="n">
        <v>-4754.02</v>
      </c>
      <c r="Z67" s="37" t="n">
        <v>-5250.95</v>
      </c>
      <c r="AA67" s="18" t="n">
        <v>2004.93</v>
      </c>
      <c r="AB67" s="19" t="n">
        <v>1848.72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(지배주주지분)당기순이익</t>
        </is>
      </c>
      <c r="E68" s="18" t="n">
        <v>-1038.28</v>
      </c>
      <c r="F68" s="9" t="n"/>
      <c r="G68" s="18" t="n">
        <v>7562.19</v>
      </c>
      <c r="H68" s="18" t="n">
        <v>3064.7</v>
      </c>
      <c r="I68" s="18" t="n">
        <v>8373.74</v>
      </c>
      <c r="J68" s="18" t="n">
        <v>233.69</v>
      </c>
      <c r="K68" s="37" t="n">
        <v>19234.32</v>
      </c>
      <c r="L68" s="18" t="n">
        <v>5279.3</v>
      </c>
      <c r="M68" s="18" t="n">
        <v>3980.04</v>
      </c>
      <c r="N68" s="18" t="n">
        <v>4565.51</v>
      </c>
      <c r="O68" s="18" t="n">
        <v>406.26</v>
      </c>
      <c r="P68" s="37" t="n">
        <v>14231.11</v>
      </c>
      <c r="Q68" s="18" t="n">
        <v>4126.23</v>
      </c>
      <c r="R68" s="18" t="n">
        <v>3584.96</v>
      </c>
      <c r="S68" s="18" t="n">
        <v>3286.77</v>
      </c>
      <c r="T68" s="18" t="n">
        <v>838.52</v>
      </c>
      <c r="U68" s="37" t="n">
        <v>11836.48</v>
      </c>
      <c r="V68" s="18" t="n">
        <v>4305.01</v>
      </c>
      <c r="W68" s="18" t="n">
        <v>1506.85</v>
      </c>
      <c r="X68" s="18" t="n">
        <v>5807.87</v>
      </c>
      <c r="Y68" s="18" t="n">
        <v>-1411.95</v>
      </c>
      <c r="Z68" s="37" t="n">
        <v>10207.78</v>
      </c>
      <c r="AA68" s="18" t="n">
        <v>8689.129999999999</v>
      </c>
      <c r="AB68" s="19" t="n">
        <v>10551.02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계속사업이익</t>
        </is>
      </c>
      <c r="E69" s="18" t="n">
        <v>-1038.28</v>
      </c>
      <c r="F69" s="9" t="n"/>
      <c r="G69" s="18" t="n">
        <v>7562.19</v>
      </c>
      <c r="H69" s="18" t="n">
        <v>3064.7</v>
      </c>
      <c r="I69" s="18" t="n">
        <v>8373.74</v>
      </c>
      <c r="J69" s="18" t="n">
        <v>233.69</v>
      </c>
      <c r="K69" s="37" t="n">
        <v>19234.32</v>
      </c>
      <c r="L69" s="18" t="n">
        <v>5279.3</v>
      </c>
      <c r="M69" s="18" t="n">
        <v>3980.04</v>
      </c>
      <c r="N69" s="18" t="n">
        <v>4565.51</v>
      </c>
      <c r="O69" s="18" t="n">
        <v>406.26</v>
      </c>
      <c r="P69" s="37" t="n">
        <v>14231.11</v>
      </c>
      <c r="Q69" s="18" t="n">
        <v>4126.23</v>
      </c>
      <c r="R69" s="18" t="n">
        <v>3584.96</v>
      </c>
      <c r="S69" s="18" t="n">
        <v>3286.77</v>
      </c>
      <c r="T69" s="18" t="n">
        <v>838.52</v>
      </c>
      <c r="U69" s="37" t="n">
        <v>11836.48</v>
      </c>
      <c r="V69" s="18" t="n">
        <v>4305.01</v>
      </c>
      <c r="W69" s="18" t="n">
        <v>1506.85</v>
      </c>
      <c r="X69" s="18" t="n">
        <v>5807.87</v>
      </c>
      <c r="Y69" s="18" t="n">
        <v>-1411.95</v>
      </c>
      <c r="Z69" s="37" t="n">
        <v>10207.78</v>
      </c>
      <c r="AA69" s="18" t="n">
        <v>8689.129999999999</v>
      </c>
      <c r="AB69" s="19" t="n">
        <v>10551.02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-2720.74</v>
      </c>
      <c r="F70" s="9" t="n"/>
      <c r="G70" s="18" t="n">
        <v>7831.87</v>
      </c>
      <c r="H70" s="18" t="n">
        <v>2866.93</v>
      </c>
      <c r="I70" s="18" t="n">
        <v>8068.1</v>
      </c>
      <c r="J70" s="18" t="n">
        <v>1308.64</v>
      </c>
      <c r="K70" s="37" t="n">
        <v>20075.54</v>
      </c>
      <c r="L70" s="18" t="n">
        <v>5509.16</v>
      </c>
      <c r="M70" s="18" t="n">
        <v>3772.18</v>
      </c>
      <c r="N70" s="18" t="n">
        <v>4426.94</v>
      </c>
      <c r="O70" s="18" t="n">
        <v>-129.5</v>
      </c>
      <c r="P70" s="37" t="n">
        <v>13578.78</v>
      </c>
      <c r="Q70" s="18" t="n">
        <v>4113.47</v>
      </c>
      <c r="R70" s="18" t="n">
        <v>3710.76</v>
      </c>
      <c r="S70" s="18" t="n">
        <v>2136.17</v>
      </c>
      <c r="T70" s="18" t="n">
        <v>1046.83</v>
      </c>
      <c r="U70" s="37" t="n">
        <v>11007.23</v>
      </c>
      <c r="V70" s="18" t="n">
        <v>4305.01</v>
      </c>
      <c r="W70" s="18" t="n">
        <v>1506.85</v>
      </c>
      <c r="X70" s="18" t="n">
        <v>5807.87</v>
      </c>
      <c r="Y70" s="18" t="n">
        <v>-794.83</v>
      </c>
      <c r="Z70" s="37" t="n">
        <v>10824.9</v>
      </c>
      <c r="AA70" s="18" t="n">
        <v>8569.440000000001</v>
      </c>
      <c r="AB70" s="19" t="n">
        <v>10579.77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영업활동으로인한현금흐름</t>
        </is>
      </c>
      <c r="E71" s="18" t="n">
        <v>4747.08</v>
      </c>
      <c r="F71" s="9" t="n"/>
      <c r="G71" s="18" t="n">
        <v>3909</v>
      </c>
      <c r="H71" s="18" t="n">
        <v>-2728.06</v>
      </c>
      <c r="I71" s="18" t="n">
        <v>16947.78</v>
      </c>
      <c r="J71" s="18" t="n">
        <v>13118.05</v>
      </c>
      <c r="K71" s="37" t="n">
        <v>31246.77</v>
      </c>
      <c r="L71" s="18" t="n">
        <v>-1071.52</v>
      </c>
      <c r="M71" s="18" t="n">
        <v>6762.23</v>
      </c>
      <c r="N71" s="18" t="n">
        <v>11189.06</v>
      </c>
      <c r="O71" s="18" t="n">
        <v>4588.85</v>
      </c>
      <c r="P71" s="37" t="n">
        <v>21468.62</v>
      </c>
      <c r="Q71" s="18" t="n">
        <v>3982.58</v>
      </c>
      <c r="R71" s="18" t="n">
        <v>1263.6</v>
      </c>
      <c r="S71" s="18" t="n">
        <v>-5754.32</v>
      </c>
      <c r="T71" s="18" t="n">
        <v>6473.87</v>
      </c>
      <c r="U71" s="37" t="n">
        <v>5965.73</v>
      </c>
      <c r="V71" s="18" t="n">
        <v>415.3</v>
      </c>
      <c r="W71" s="18" t="n">
        <v>3303.27</v>
      </c>
      <c r="X71" s="18" t="n">
        <v>366.19</v>
      </c>
      <c r="Y71" s="18" t="n">
        <v>9580.59</v>
      </c>
      <c r="Z71" s="37" t="n">
        <v>13665.35</v>
      </c>
      <c r="AA71" s="18" t="n">
        <v>8464.540000000001</v>
      </c>
      <c r="AB71" s="19" t="n">
        <v>1809.9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배당금수취(CF)</t>
        </is>
      </c>
      <c r="E72" s="18" t="n">
        <v>8.210000000000001</v>
      </c>
      <c r="F72" s="9" t="n"/>
      <c r="G72" s="18" t="n">
        <v>0.75</v>
      </c>
      <c r="H72" s="18" t="n">
        <v>48.58</v>
      </c>
      <c r="I72" s="18" t="n">
        <v>13.43</v>
      </c>
      <c r="J72" s="18" t="n">
        <v>12.69</v>
      </c>
      <c r="K72" s="37" t="n">
        <v>75.45</v>
      </c>
      <c r="L72" s="18" t="n">
        <v>1.02</v>
      </c>
      <c r="M72" s="18" t="n">
        <v>79.45</v>
      </c>
      <c r="N72" s="18" t="n">
        <v>12.51</v>
      </c>
      <c r="O72" s="18" t="n">
        <v>13.53</v>
      </c>
      <c r="P72" s="37" t="n">
        <v>106.51</v>
      </c>
      <c r="Q72" s="18" t="n">
        <v>0.08</v>
      </c>
      <c r="R72" s="18" t="n">
        <v>73.37</v>
      </c>
      <c r="S72" s="18" t="n">
        <v>9.67</v>
      </c>
      <c r="T72" s="18" t="n">
        <v>2.27</v>
      </c>
      <c r="U72" s="37" t="n">
        <v>85.39</v>
      </c>
      <c r="V72" s="18" t="n">
        <v>46.1</v>
      </c>
      <c r="W72" s="18" t="n">
        <v>427.84</v>
      </c>
      <c r="X72" s="18" t="n">
        <v>33.22</v>
      </c>
      <c r="Y72" s="18" t="n">
        <v>-6.58</v>
      </c>
      <c r="Z72" s="37" t="n">
        <v>500.58</v>
      </c>
      <c r="AA72" s="18" t="n">
        <v>22.39</v>
      </c>
      <c r="AB72" s="19" t="n">
        <v>238.71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법인세납부(CF)</t>
        </is>
      </c>
      <c r="E73" s="18" t="n">
        <v>-24.67</v>
      </c>
      <c r="F73" s="9" t="n"/>
      <c r="G73" s="18" t="n">
        <v>-916.03</v>
      </c>
      <c r="H73" s="18" t="n">
        <v>-1212.44</v>
      </c>
      <c r="I73" s="18" t="n">
        <v>-1225.22</v>
      </c>
      <c r="J73" s="18" t="n">
        <v>-31.46</v>
      </c>
      <c r="K73" s="37" t="n">
        <v>-3385.15</v>
      </c>
      <c r="L73" s="18" t="n">
        <v>-2843.36</v>
      </c>
      <c r="M73" s="18" t="n">
        <v>-3536.09</v>
      </c>
      <c r="N73" s="18" t="n">
        <v>-929.02</v>
      </c>
      <c r="O73" s="18" t="n">
        <v>-978.61</v>
      </c>
      <c r="P73" s="37" t="n">
        <v>-8287.08</v>
      </c>
      <c r="Q73" s="18" t="n">
        <v>-49.46</v>
      </c>
      <c r="R73" s="18" t="n">
        <v>-2131.98</v>
      </c>
      <c r="S73" s="18" t="n">
        <v>-1598.59</v>
      </c>
      <c r="T73" s="18" t="n">
        <v>-71.34</v>
      </c>
      <c r="U73" s="37" t="n">
        <v>-3851.37</v>
      </c>
      <c r="V73" s="18" t="n">
        <v>-1082.69</v>
      </c>
      <c r="W73" s="18" t="n">
        <v>-1488.04</v>
      </c>
      <c r="X73" s="18" t="n">
        <v>-885.51</v>
      </c>
      <c r="Y73" s="18" t="n">
        <v>2169.71</v>
      </c>
      <c r="Z73" s="37" t="n">
        <v>-1286.53</v>
      </c>
      <c r="AA73" s="18" t="n">
        <v>-180.09</v>
      </c>
      <c r="AB73" s="19" t="n">
        <v>-2524.8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투자활동으로인한현금흐름</t>
        </is>
      </c>
      <c r="E74" s="18" t="n">
        <v>5799.8</v>
      </c>
      <c r="F74" s="9" t="n"/>
      <c r="G74" s="18" t="n">
        <v>-9833.370000000001</v>
      </c>
      <c r="H74" s="18" t="n">
        <v>-38296.3</v>
      </c>
      <c r="I74" s="18" t="n">
        <v>1005.66</v>
      </c>
      <c r="J74" s="18" t="n">
        <v>-15826.73</v>
      </c>
      <c r="K74" s="37" t="n">
        <v>-62950.74</v>
      </c>
      <c r="L74" s="18" t="n">
        <v>-2030.4</v>
      </c>
      <c r="M74" s="18" t="n">
        <v>-1237.23</v>
      </c>
      <c r="N74" s="18" t="n">
        <v>-4527.75</v>
      </c>
      <c r="O74" s="18" t="n">
        <v>-6336.24</v>
      </c>
      <c r="P74" s="37" t="n">
        <v>-14131.62</v>
      </c>
      <c r="Q74" s="18" t="n">
        <v>-2458.85</v>
      </c>
      <c r="R74" s="18" t="n">
        <v>3759.05</v>
      </c>
      <c r="S74" s="18" t="n">
        <v>5542.03</v>
      </c>
      <c r="T74" s="18" t="n">
        <v>1467.9</v>
      </c>
      <c r="U74" s="37" t="n">
        <v>8310.129999999999</v>
      </c>
      <c r="V74" s="18" t="n">
        <v>-1822.64</v>
      </c>
      <c r="W74" s="18" t="n">
        <v>233.95</v>
      </c>
      <c r="X74" s="18" t="n">
        <v>-4243.17</v>
      </c>
      <c r="Y74" s="18" t="n">
        <v>-10456.4</v>
      </c>
      <c r="Z74" s="37" t="n">
        <v>-16288.26</v>
      </c>
      <c r="AA74" s="18" t="n">
        <v>-2637.45</v>
      </c>
      <c r="AB74" s="19" t="n">
        <v>-4064.35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유형자산의감소</t>
        </is>
      </c>
      <c r="E75" s="18" t="n">
        <v>7.37</v>
      </c>
      <c r="F75" s="9" t="n"/>
      <c r="G75" s="18" t="n">
        <v>2.61</v>
      </c>
      <c r="H75" s="18" t="n">
        <v>7.01</v>
      </c>
      <c r="I75" s="18" t="n">
        <v>72.28</v>
      </c>
      <c r="J75" s="18" t="n">
        <v>1.08</v>
      </c>
      <c r="K75" s="37" t="n">
        <v>82.98</v>
      </c>
      <c r="L75" s="18" t="n">
        <v>0.6</v>
      </c>
      <c r="M75" s="18" t="n">
        <v>7</v>
      </c>
      <c r="N75" s="18" t="n">
        <v>94.84</v>
      </c>
      <c r="O75" s="18" t="n">
        <v>3.74</v>
      </c>
      <c r="P75" s="37" t="n">
        <v>106.18</v>
      </c>
      <c r="Q75" s="18" t="n">
        <v>0</v>
      </c>
      <c r="R75" s="18" t="n">
        <v>6.51</v>
      </c>
      <c r="S75" s="18" t="n">
        <v>5455.7</v>
      </c>
      <c r="T75" s="18" t="n">
        <v>1383.91</v>
      </c>
      <c r="U75" s="37" t="n">
        <v>6846.12</v>
      </c>
      <c r="V75" s="18" t="n">
        <v>19.36</v>
      </c>
      <c r="W75" s="18" t="n">
        <v>115.55</v>
      </c>
      <c r="X75" s="18" t="n">
        <v>10.91</v>
      </c>
      <c r="Y75" s="18" t="n">
        <v>1773.23</v>
      </c>
      <c r="Z75" s="37" t="n">
        <v>1919.05</v>
      </c>
      <c r="AA75" s="18" t="n">
        <v>19.09</v>
      </c>
      <c r="AB75" s="19" t="n">
        <v>27.72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유형자산의증가</t>
        </is>
      </c>
      <c r="E76" s="18" t="n">
        <v>1421.05</v>
      </c>
      <c r="F76" s="9" t="n"/>
      <c r="G76" s="18" t="n">
        <v>8139.1</v>
      </c>
      <c r="H76" s="18" t="n">
        <v>44919.71</v>
      </c>
      <c r="I76" s="18" t="n">
        <v>812.75</v>
      </c>
      <c r="J76" s="18" t="n">
        <v>982.52</v>
      </c>
      <c r="K76" s="37" t="n">
        <v>54854.08</v>
      </c>
      <c r="L76" s="18" t="n">
        <v>252.06</v>
      </c>
      <c r="M76" s="18" t="n">
        <v>169.67</v>
      </c>
      <c r="N76" s="18" t="n">
        <v>991.38</v>
      </c>
      <c r="O76" s="18" t="n">
        <v>462.12</v>
      </c>
      <c r="P76" s="37" t="n">
        <v>1875.23</v>
      </c>
      <c r="Q76" s="18" t="n">
        <v>924.1</v>
      </c>
      <c r="R76" s="18" t="n">
        <v>1498.05</v>
      </c>
      <c r="S76" s="18" t="n">
        <v>1293.07</v>
      </c>
      <c r="T76" s="18" t="n">
        <v>1101.69</v>
      </c>
      <c r="U76" s="37" t="n">
        <v>4816.91</v>
      </c>
      <c r="V76" s="18" t="n">
        <v>2343.05</v>
      </c>
      <c r="W76" s="18" t="n">
        <v>1145.23</v>
      </c>
      <c r="X76" s="18" t="n">
        <v>970.4299999999999</v>
      </c>
      <c r="Y76" s="18" t="n">
        <v>1324.39</v>
      </c>
      <c r="Z76" s="37" t="n">
        <v>5783.1</v>
      </c>
      <c r="AA76" s="18" t="n">
        <v>1064.49</v>
      </c>
      <c r="AB76" s="19" t="n">
        <v>456.51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CAPEX</t>
        </is>
      </c>
      <c r="E77" s="18" t="n">
        <v>1421.05</v>
      </c>
      <c r="F77" s="9" t="n"/>
      <c r="G77" s="18" t="n">
        <v>8139.1</v>
      </c>
      <c r="H77" s="18" t="n">
        <v>44919.71</v>
      </c>
      <c r="I77" s="18" t="n">
        <v>812.75</v>
      </c>
      <c r="J77" s="18" t="n">
        <v>982.52</v>
      </c>
      <c r="K77" s="37" t="n">
        <v>54854.08</v>
      </c>
      <c r="L77" s="18" t="n">
        <v>252.06</v>
      </c>
      <c r="M77" s="18" t="n">
        <v>169.67</v>
      </c>
      <c r="N77" s="18" t="n">
        <v>991.38</v>
      </c>
      <c r="O77" s="18" t="n">
        <v>462.12</v>
      </c>
      <c r="P77" s="37" t="n">
        <v>1875.23</v>
      </c>
      <c r="Q77" s="18" t="n">
        <v>924.1</v>
      </c>
      <c r="R77" s="18" t="n">
        <v>1498.05</v>
      </c>
      <c r="S77" s="18" t="n">
        <v>1293.07</v>
      </c>
      <c r="T77" s="18" t="n">
        <v>1101.69</v>
      </c>
      <c r="U77" s="37" t="n">
        <v>4816.91</v>
      </c>
      <c r="V77" s="18" t="n">
        <v>2343.05</v>
      </c>
      <c r="W77" s="18" t="n">
        <v>1145.23</v>
      </c>
      <c r="X77" s="18" t="n">
        <v>970.4299999999999</v>
      </c>
      <c r="Y77" s="18" t="n">
        <v>1324.39</v>
      </c>
      <c r="Z77" s="37" t="n">
        <v>5783.1</v>
      </c>
      <c r="AA77" s="18" t="n">
        <v>1064.49</v>
      </c>
      <c r="AB77" s="19" t="n">
        <v>456.51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재무활동으로인한현금흐름</t>
        </is>
      </c>
      <c r="E78" s="18" t="n">
        <v>-2041.57</v>
      </c>
      <c r="F78" s="9" t="n"/>
      <c r="G78" s="18" t="n">
        <v>-220.86</v>
      </c>
      <c r="H78" s="18" t="n">
        <v>39006.42</v>
      </c>
      <c r="I78" s="18" t="n">
        <v>-13876.89</v>
      </c>
      <c r="J78" s="18" t="n">
        <v>-971.1</v>
      </c>
      <c r="K78" s="37" t="n">
        <v>23937.57</v>
      </c>
      <c r="L78" s="18" t="n">
        <v>-45.03</v>
      </c>
      <c r="M78" s="18" t="n">
        <v>-5060.69</v>
      </c>
      <c r="N78" s="18" t="n">
        <v>-4137.58</v>
      </c>
      <c r="O78" s="18" t="n">
        <v>681.03</v>
      </c>
      <c r="P78" s="37" t="n">
        <v>-8562.27</v>
      </c>
      <c r="Q78" s="18" t="n">
        <v>-2893.59</v>
      </c>
      <c r="R78" s="18" t="n">
        <v>-2091.91</v>
      </c>
      <c r="S78" s="18" t="n">
        <v>1134.55</v>
      </c>
      <c r="T78" s="18" t="n">
        <v>-8918.67</v>
      </c>
      <c r="U78" s="37" t="n">
        <v>-12769.62</v>
      </c>
      <c r="V78" s="18" t="n">
        <v>2658.85</v>
      </c>
      <c r="W78" s="18" t="n">
        <v>3175.13</v>
      </c>
      <c r="X78" s="18" t="n">
        <v>-2095.5</v>
      </c>
      <c r="Y78" s="18" t="n">
        <v>8041.55</v>
      </c>
      <c r="Z78" s="37" t="n">
        <v>11780.03</v>
      </c>
      <c r="AA78" s="18" t="n">
        <v>-8937.950000000001</v>
      </c>
      <c r="AB78" s="19" t="n">
        <v>805.38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단기차입금의증가</t>
        </is>
      </c>
      <c r="E79" s="18" t="n">
        <v>27000.77</v>
      </c>
      <c r="F79" s="9" t="n"/>
      <c r="G79" s="18" t="n">
        <v>22680.1</v>
      </c>
      <c r="H79" s="18" t="n">
        <v>41335.71</v>
      </c>
      <c r="I79" s="18" t="n">
        <v>16474.24</v>
      </c>
      <c r="J79" s="18" t="n">
        <v>7345.47</v>
      </c>
      <c r="K79" s="37" t="n">
        <v>87835.52</v>
      </c>
      <c r="L79" s="18" t="n">
        <v>32386.62</v>
      </c>
      <c r="M79" s="18" t="n">
        <v>35217.18</v>
      </c>
      <c r="N79" s="18" t="n">
        <v>10160</v>
      </c>
      <c r="O79" s="18" t="n">
        <v>24098.72</v>
      </c>
      <c r="P79" s="37" t="n">
        <v>101862.52</v>
      </c>
      <c r="Q79" s="18" t="n">
        <v>26592.14</v>
      </c>
      <c r="R79" s="18" t="n">
        <v>34590.62</v>
      </c>
      <c r="S79" s="18" t="n">
        <v>35725.34</v>
      </c>
      <c r="T79" s="18" t="n">
        <v>35078.77</v>
      </c>
      <c r="U79" s="37" t="n">
        <v>131986.87</v>
      </c>
      <c r="V79" s="18" t="n">
        <v>38200.28</v>
      </c>
      <c r="W79" s="18" t="n">
        <v>50149.26</v>
      </c>
      <c r="X79" s="18" t="n">
        <v>32429.1</v>
      </c>
      <c r="Y79" s="18" t="n">
        <v>30352.04</v>
      </c>
      <c r="Z79" s="37" t="n">
        <v>151130.68</v>
      </c>
      <c r="AA79" s="18" t="n">
        <v>12615.31</v>
      </c>
      <c r="AB79" s="19" t="n">
        <v>43650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단기차입금의감소</t>
        </is>
      </c>
      <c r="E80" s="18" t="n">
        <v>29010.85</v>
      </c>
      <c r="F80" s="9" t="n"/>
      <c r="G80" s="18" t="n">
        <v>22044.47</v>
      </c>
      <c r="H80" s="18" t="n">
        <v>39231.64</v>
      </c>
      <c r="I80" s="18" t="n">
        <v>27154.25</v>
      </c>
      <c r="J80" s="18" t="n">
        <v>4355.63</v>
      </c>
      <c r="K80" s="37" t="n">
        <v>92785.99000000001</v>
      </c>
      <c r="L80" s="18" t="n">
        <v>28312.39</v>
      </c>
      <c r="M80" s="18" t="n">
        <v>38321.41</v>
      </c>
      <c r="N80" s="18" t="n">
        <v>10070</v>
      </c>
      <c r="O80" s="18" t="n">
        <v>20290.17</v>
      </c>
      <c r="P80" s="37" t="n">
        <v>96993.97</v>
      </c>
      <c r="Q80" s="18" t="n">
        <v>25352.14</v>
      </c>
      <c r="R80" s="18" t="n">
        <v>33510.54</v>
      </c>
      <c r="S80" s="18" t="n">
        <v>32404.34</v>
      </c>
      <c r="T80" s="18" t="n">
        <v>40830.46</v>
      </c>
      <c r="U80" s="37" t="n">
        <v>132097.48</v>
      </c>
      <c r="V80" s="18" t="n">
        <v>31267.48</v>
      </c>
      <c r="W80" s="18" t="n">
        <v>44783.49</v>
      </c>
      <c r="X80" s="18" t="n">
        <v>34524.26</v>
      </c>
      <c r="Y80" s="18" t="n">
        <v>22206.15</v>
      </c>
      <c r="Z80" s="37" t="n">
        <v>132781.38</v>
      </c>
      <c r="AA80" s="18" t="n">
        <v>17572.11</v>
      </c>
      <c r="AB80" s="19" t="n">
        <v>42840.26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배당금지급</t>
        </is>
      </c>
      <c r="E81" s="18" t="n">
        <v>0</v>
      </c>
      <c r="F81" s="9" t="n"/>
      <c r="G81" s="18" t="n">
        <v>800</v>
      </c>
      <c r="H81" s="18" t="n">
        <v>0</v>
      </c>
      <c r="I81" s="18" t="n">
        <v>0</v>
      </c>
      <c r="J81" s="18" t="n">
        <v>0</v>
      </c>
      <c r="K81" s="37" t="n">
        <v>800</v>
      </c>
      <c r="L81" s="18" t="n">
        <v>960</v>
      </c>
      <c r="M81" s="18" t="n">
        <v>0</v>
      </c>
      <c r="N81" s="18" t="n">
        <v>0</v>
      </c>
      <c r="O81" s="18" t="n">
        <v>0</v>
      </c>
      <c r="P81" s="37" t="n">
        <v>960</v>
      </c>
      <c r="Q81" s="18" t="n">
        <v>960</v>
      </c>
      <c r="R81" s="18" t="n">
        <v>0</v>
      </c>
      <c r="S81" s="18" t="n">
        <v>0</v>
      </c>
      <c r="T81" s="18" t="n">
        <v>0</v>
      </c>
      <c r="U81" s="37" t="n">
        <v>960</v>
      </c>
      <c r="V81" s="18" t="n">
        <v>1120</v>
      </c>
      <c r="W81" s="18" t="n">
        <v>0</v>
      </c>
      <c r="X81" s="18" t="n">
        <v>0</v>
      </c>
      <c r="Y81" s="18" t="n">
        <v>0</v>
      </c>
      <c r="Z81" s="37" t="n">
        <v>1120</v>
      </c>
      <c r="AA81" s="18" t="n">
        <v>4000</v>
      </c>
      <c r="AB81" s="19" t="n">
        <v>0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리스부채의상환</t>
        </is>
      </c>
      <c r="E82" s="18" t="n">
        <v>31.49</v>
      </c>
      <c r="F82" s="9" t="n"/>
      <c r="G82" s="18" t="n">
        <v>56.49</v>
      </c>
      <c r="H82" s="18" t="n">
        <v>42.09</v>
      </c>
      <c r="I82" s="18" t="n">
        <v>30.21</v>
      </c>
      <c r="J82" s="18" t="n">
        <v>5.33</v>
      </c>
      <c r="K82" s="37" t="n">
        <v>134.12</v>
      </c>
      <c r="L82" s="18" t="n">
        <v>5.34</v>
      </c>
      <c r="M82" s="18" t="n">
        <v>5.34</v>
      </c>
      <c r="P82" s="9" t="n"/>
      <c r="Q82" s="18" t="n">
        <v>5.34</v>
      </c>
      <c r="R82" s="18" t="n">
        <v>5.34</v>
      </c>
      <c r="U82" s="9" t="n"/>
      <c r="V82" s="18" t="n">
        <v>5.34</v>
      </c>
      <c r="W82" s="18" t="n">
        <v>5.34</v>
      </c>
      <c r="Z82" s="9" t="n"/>
      <c r="AA82" s="18" t="n">
        <v>4.35</v>
      </c>
      <c r="AB82" s="19" t="n">
        <v>4.35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현금및현금성자산의증감</t>
        </is>
      </c>
      <c r="E83" s="18" t="n">
        <v>8500.280000000001</v>
      </c>
      <c r="F83" s="9" t="n"/>
      <c r="G83" s="18" t="n">
        <v>-6145.23</v>
      </c>
      <c r="H83" s="18" t="n">
        <v>-2017.94</v>
      </c>
      <c r="I83" s="18" t="n">
        <v>4076.55</v>
      </c>
      <c r="J83" s="18" t="n">
        <v>-3700.22</v>
      </c>
      <c r="K83" s="37" t="n">
        <v>-7786.84</v>
      </c>
      <c r="L83" s="18" t="n">
        <v>-3146.95</v>
      </c>
      <c r="M83" s="18" t="n">
        <v>464.3</v>
      </c>
      <c r="N83" s="18" t="n">
        <v>2523.74</v>
      </c>
      <c r="O83" s="18" t="n">
        <v>-1074.47</v>
      </c>
      <c r="P83" s="37" t="n">
        <v>-1233.38</v>
      </c>
      <c r="Q83" s="18" t="n">
        <v>-1369.87</v>
      </c>
      <c r="R83" s="18" t="n">
        <v>2930.76</v>
      </c>
      <c r="S83" s="18" t="n">
        <v>922.25</v>
      </c>
      <c r="T83" s="18" t="n">
        <v>-964.35</v>
      </c>
      <c r="U83" s="37" t="n">
        <v>1518.79</v>
      </c>
      <c r="V83" s="18" t="n">
        <v>1251.51</v>
      </c>
      <c r="W83" s="18" t="n">
        <v>6712.35</v>
      </c>
      <c r="X83" s="18" t="n">
        <v>-5972.48</v>
      </c>
      <c r="Y83" s="18" t="n">
        <v>7092.43</v>
      </c>
      <c r="Z83" s="37" t="n">
        <v>9083.809999999999</v>
      </c>
      <c r="AA83" s="18" t="n">
        <v>-3060.66</v>
      </c>
      <c r="AB83" s="19" t="n">
        <v>-1499.27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기말현금및현금성자산</t>
        </is>
      </c>
      <c r="E84" s="18" t="n">
        <v>8496.139999999999</v>
      </c>
      <c r="F84" s="9" t="n"/>
      <c r="G84" s="18" t="n">
        <v>5657.8</v>
      </c>
      <c r="H84" s="18" t="n">
        <v>-1993.67</v>
      </c>
      <c r="I84" s="18" t="n">
        <v>4090.5</v>
      </c>
      <c r="J84" s="18" t="n">
        <v>-3708.87</v>
      </c>
      <c r="K84" s="37" t="n">
        <v>4045.76</v>
      </c>
      <c r="L84" s="18" t="n">
        <v>899.08</v>
      </c>
      <c r="M84" s="18" t="n">
        <v>480.57</v>
      </c>
      <c r="N84" s="18" t="n">
        <v>2508.96</v>
      </c>
      <c r="O84" s="18" t="n">
        <v>-1076.23</v>
      </c>
      <c r="P84" s="37" t="n">
        <v>2812.38</v>
      </c>
      <c r="Q84" s="18" t="n">
        <v>1443.48</v>
      </c>
      <c r="R84" s="18" t="n">
        <v>2927.88</v>
      </c>
      <c r="S84" s="18" t="n">
        <v>910.2</v>
      </c>
      <c r="T84" s="18" t="n">
        <v>-950.39</v>
      </c>
      <c r="U84" s="37" t="n">
        <v>4331.17</v>
      </c>
      <c r="V84" s="18" t="n">
        <v>5597.94</v>
      </c>
      <c r="W84" s="18" t="n">
        <v>6671.43</v>
      </c>
      <c r="X84" s="18" t="n">
        <v>-5959.93</v>
      </c>
      <c r="Y84" s="18" t="n">
        <v>7105.55</v>
      </c>
      <c r="Z84" s="37" t="n">
        <v>13414.99</v>
      </c>
      <c r="AA84" s="18" t="n">
        <v>10354.33</v>
      </c>
      <c r="AB84" s="19" t="n">
        <v>-1469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장기차입금의증가</t>
        </is>
      </c>
      <c r="F85" s="9" t="n"/>
      <c r="I85" s="18" t="n">
        <v>0</v>
      </c>
      <c r="J85" s="18" t="n">
        <v>0</v>
      </c>
      <c r="K85" s="9" t="n"/>
      <c r="N85" s="18" t="n">
        <v>0</v>
      </c>
      <c r="O85" s="18" t="n">
        <v>0</v>
      </c>
      <c r="P85" s="9" t="n"/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유동성장기부채의감소</t>
        </is>
      </c>
      <c r="F86" s="9" t="n"/>
      <c r="I86" s="18" t="n">
        <v>3166.68</v>
      </c>
      <c r="K86" s="9" t="n"/>
      <c r="L86" s="18" t="n">
        <v>3166.68</v>
      </c>
      <c r="M86" s="18" t="n">
        <v>2111.12</v>
      </c>
      <c r="N86" s="18" t="n">
        <v>4222.24</v>
      </c>
      <c r="P86" s="9" t="n"/>
      <c r="Q86" s="18" t="n">
        <v>3166.65</v>
      </c>
      <c r="R86" s="18" t="n">
        <v>3166.65</v>
      </c>
      <c r="S86" s="18" t="n">
        <v>2111.1</v>
      </c>
      <c r="U86" s="9" t="n"/>
      <c r="V86" s="18" t="n">
        <v>3166.65</v>
      </c>
      <c r="W86" s="18" t="n">
        <v>2111.1</v>
      </c>
      <c r="X86" s="18" t="n">
        <v>0</v>
      </c>
      <c r="Y86" s="18" t="n">
        <v>0</v>
      </c>
      <c r="Z86" s="37" t="n">
        <v>5277.75</v>
      </c>
      <c r="AA86" s="18" t="n">
        <v>0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이자수취(CF)</t>
        </is>
      </c>
      <c r="F87" s="9" t="n"/>
      <c r="K87" s="9" t="n"/>
      <c r="O87" s="18" t="n">
        <v>700.05</v>
      </c>
      <c r="P87" s="9" t="n"/>
      <c r="Q87" s="18" t="n">
        <v>368.76</v>
      </c>
      <c r="R87" s="18" t="n">
        <v>496.31</v>
      </c>
      <c r="S87" s="18" t="n">
        <v>404.02</v>
      </c>
      <c r="T87" s="18" t="n">
        <v>539.6900000000001</v>
      </c>
      <c r="U87" s="37" t="n">
        <v>1808.78</v>
      </c>
      <c r="V87" s="18" t="n">
        <v>359.09</v>
      </c>
      <c r="W87" s="18" t="n">
        <v>333.88</v>
      </c>
      <c r="X87" s="18" t="n">
        <v>360.88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SUM(V8:Y8)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 t="n"/>
      <c r="AB12" s="19">
        <f>IFERROR(VLOOKUP($D12,BS연결,MATCH(AB$1,BS연결H,0),0)/100,"")</f>
        <v/>
      </c>
      <c r="AC12" s="20">
        <f>IFERROR((AB28*변수!$D$54-AB26*변수!$D$55)/4,"")</f>
        <v/>
      </c>
      <c r="AD12" s="20">
        <f>IFERROR((AC28*변수!$D$54-AC26*변수!$D$55)/4,"")</f>
        <v/>
      </c>
      <c r="AE12" s="38">
        <f>SUM(AA12:AD12)</f>
        <v/>
      </c>
      <c r="AF12" s="20">
        <f>IFERROR((AD28*변수!$D$54-AD26*변수!$D$55)/4,"")</f>
        <v/>
      </c>
      <c r="AG12" s="20">
        <f>IFERROR((AF28*변수!$D$54-AF26*변수!$D$55)/4,"")</f>
        <v/>
      </c>
      <c r="AH12" s="20">
        <f>IFERROR((AG28*변수!$D$54-AG26*변수!$D$55)/4,"")</f>
        <v/>
      </c>
      <c r="AI12" s="20">
        <f>IFERROR((AH28*변수!$D$54-AH26*변수!$D$55)/4,"")</f>
        <v/>
      </c>
      <c r="AJ12" s="38">
        <f>SUM(AF12:AI12)</f>
        <v/>
      </c>
      <c r="AK12" s="20">
        <f>IFERROR((AI28*변수!$D$54-AI26*변수!$D$55)/4,"")</f>
        <v/>
      </c>
      <c r="AL12" s="20">
        <f>IFERROR((AK28*변수!$D$54-AK26*변수!$D$55)/4,"")</f>
        <v/>
      </c>
      <c r="AM12" s="20">
        <f>IFERROR((AL28*변수!$D$54-AL26*변수!$D$55)/4,"")</f>
        <v/>
      </c>
      <c r="AN12" s="20">
        <f>IFERROR((AM28*변수!$D$54-AM26*변수!$D$55)/4,"")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 t="n"/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 t="n"/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 t="n"/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>
        <f>IFERROR(Q11-Q12-Q13-Q14,"")</f>
        <v/>
      </c>
      <c r="R15" s="18">
        <f>IFERROR(R11-R12-R13-R14,"")</f>
        <v/>
      </c>
      <c r="S15" s="18">
        <f>IFERROR(S11-S12-S13-S14,"")</f>
        <v/>
      </c>
      <c r="T15" s="18" t="n"/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 t="n"/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 t="n"/>
      <c r="F17" s="37" t="n"/>
      <c r="G17" s="18" t="n"/>
      <c r="H17" s="18" t="n"/>
      <c r="I17" s="18" t="n"/>
      <c r="J17" s="18" t="n"/>
      <c r="K17" s="37">
        <f>SUM(G17:J17)</f>
        <v/>
      </c>
      <c r="L17" s="18" t="n"/>
      <c r="M17" s="18" t="n"/>
      <c r="N17" s="18" t="n"/>
      <c r="O17" s="18" t="n"/>
      <c r="P17" s="37">
        <f>SUM(L17:O17)</f>
        <v/>
      </c>
      <c r="Q17" s="18" t="n"/>
      <c r="R17" s="18" t="n"/>
      <c r="S17" s="18" t="n"/>
      <c r="T17" s="18" t="n"/>
      <c r="U17" s="37">
        <f>SUM(Q17:T17)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IFERROR(AB25+AC21-변수!AC33,"")</f>
        <v/>
      </c>
      <c r="AD25" s="20">
        <f>IFERROR(AC25+AD21-변수!AD33,"")</f>
        <v/>
      </c>
      <c r="AE25" s="38">
        <f>AD25</f>
        <v/>
      </c>
      <c r="AF25" s="20">
        <f>IFERROR(AD25+AF21-변수!AF33,"")</f>
        <v/>
      </c>
      <c r="AG25" s="20">
        <f>IFERROR(AF25+AG21-변수!AG33,"")</f>
        <v/>
      </c>
      <c r="AH25" s="20">
        <f>IFERROR(AG25+AH21-변수!AH33,"")</f>
        <v/>
      </c>
      <c r="AI25" s="20">
        <f>IFERROR(AH25+AI21-변수!AI33,"")</f>
        <v/>
      </c>
      <c r="AJ25" s="38">
        <f>AI25</f>
        <v/>
      </c>
      <c r="AK25" s="20">
        <f>IFERROR(AI25+AK21-변수!AK33,"")</f>
        <v/>
      </c>
      <c r="AL25" s="20">
        <f>IFERROR(AK25+AL21-변수!AL33,"")</f>
        <v/>
      </c>
      <c r="AM25" s="20">
        <f>IFERROR(AL25+AM21-변수!AM33,"")</f>
        <v/>
      </c>
      <c r="AN25" s="20">
        <f>IFERROR(AM25+AN21-변수!AN33,"")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IFERROR(X30*(1+변수!AC38),"")</f>
        <v/>
      </c>
      <c r="AD30" s="20">
        <f>IFERROR(Y30*(1+변수!AD38),"")</f>
        <v/>
      </c>
      <c r="AE30" s="38">
        <f>SUM(AA30:AD30)</f>
        <v/>
      </c>
      <c r="AF30" s="20">
        <f>IFERROR(AA30*(1+변수!AF38),"")</f>
        <v/>
      </c>
      <c r="AG30" s="20">
        <f>IFERROR(AB30*(1+변수!AG38),"")</f>
        <v/>
      </c>
      <c r="AH30" s="20">
        <f>IFERROR(AC30*(1+변수!AH38),"")</f>
        <v/>
      </c>
      <c r="AI30" s="20">
        <f>IFERROR(AD30*(1+변수!AI38),"")</f>
        <v/>
      </c>
      <c r="AJ30" s="38">
        <f>SUM(AF30:AI30)</f>
        <v/>
      </c>
      <c r="AK30" s="20">
        <f>IFERROR(AF30*(1+변수!AK38),"")</f>
        <v/>
      </c>
      <c r="AL30" s="20">
        <f>IFERROR(AG30*(1+변수!AL38),"")</f>
        <v/>
      </c>
      <c r="AM30" s="20">
        <f>IFERROR(AH30*(1+변수!AM38),"")</f>
        <v/>
      </c>
      <c r="AN30" s="20">
        <f>IFERROR(AI30*(1+변수!AN38),"")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16</v>
      </c>
      <c r="F32" s="28">
        <f>E32</f>
        <v/>
      </c>
      <c r="G32" s="27" t="n">
        <v>16</v>
      </c>
      <c r="H32" s="27" t="n">
        <v>16</v>
      </c>
      <c r="I32" s="27" t="n">
        <v>16</v>
      </c>
      <c r="J32" s="27" t="n">
        <v>16</v>
      </c>
      <c r="K32" s="28">
        <f>J32</f>
        <v/>
      </c>
      <c r="L32" s="27" t="n">
        <v>16</v>
      </c>
      <c r="M32" s="27" t="n">
        <v>16</v>
      </c>
      <c r="N32" s="27" t="n">
        <v>16</v>
      </c>
      <c r="O32" s="27" t="n">
        <v>16</v>
      </c>
      <c r="P32" s="28">
        <f>O32</f>
        <v/>
      </c>
      <c r="Q32" s="27" t="n">
        <v>16</v>
      </c>
      <c r="R32" s="27" t="n">
        <v>16</v>
      </c>
      <c r="S32" s="27" t="n">
        <v>16</v>
      </c>
      <c r="T32" s="27" t="n">
        <v>16</v>
      </c>
      <c r="U32" s="28">
        <f>T32</f>
        <v/>
      </c>
      <c r="V32" s="27" t="n">
        <v>16</v>
      </c>
      <c r="W32" s="27" t="n">
        <v>16</v>
      </c>
      <c r="X32" s="27" t="n">
        <v>16</v>
      </c>
      <c r="Y32" s="27" t="n">
        <v>16</v>
      </c>
      <c r="Z32" s="28">
        <f>Y32</f>
        <v/>
      </c>
      <c r="AA32" s="27" t="n">
        <v>16</v>
      </c>
      <c r="AB32" s="29" t="n">
        <v>16</v>
      </c>
      <c r="AC32" s="33">
        <f>IFERROR(AB32*(1+변수!AC40),"")</f>
        <v/>
      </c>
      <c r="AD32" s="33">
        <f>IFERROR(AC32*(1+변수!AD40),"")</f>
        <v/>
      </c>
      <c r="AE32" s="31">
        <f>AD32</f>
        <v/>
      </c>
      <c r="AF32" s="33">
        <f>IFERROR(AD32*(1+변수!AF40),"")</f>
        <v/>
      </c>
      <c r="AG32" s="33">
        <f>IFERROR(AF32*(1+변수!AG40),"")</f>
        <v/>
      </c>
      <c r="AH32" s="33">
        <f>IFERROR(AG32*(1+변수!AH40),"")</f>
        <v/>
      </c>
      <c r="AI32" s="33">
        <f>IFERROR(AH32*(1+변수!AI40),"")</f>
        <v/>
      </c>
      <c r="AJ32" s="31">
        <f>AI32</f>
        <v/>
      </c>
      <c r="AK32" s="33">
        <f>IFERROR(AI32*(1+변수!AK40),"")</f>
        <v/>
      </c>
      <c r="AL32" s="33">
        <f>IFERROR(AK32*(1+변수!AL40),"")</f>
        <v/>
      </c>
      <c r="AM32" s="33">
        <f>IFERROR(AL32*(1+변수!AM40),"")</f>
        <v/>
      </c>
      <c r="AN32" s="33">
        <f>IFERROR(AM32*(1+변수!AN40),"")</f>
        <v/>
      </c>
      <c r="AO32" s="31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7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7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7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7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7">
        <f>SUM(V33:Y33)</f>
        <v/>
      </c>
      <c r="AA33" s="18">
        <f>IFERROR(AA21*100/AA32,"")</f>
        <v/>
      </c>
      <c r="AB33" s="19">
        <f>IFERROR(AB21*100/AB32,"")</f>
        <v/>
      </c>
      <c r="AC33" s="20">
        <f>IFERROR(AC21*100/AC32,"")</f>
        <v/>
      </c>
      <c r="AD33" s="20">
        <f>IFERROR(AD21*100/AD32,"")</f>
        <v/>
      </c>
      <c r="AE33" s="38">
        <f>SUM(AA33:AD33)</f>
        <v/>
      </c>
      <c r="AF33" s="20">
        <f>IFERROR(AF21*100/AF32,"")</f>
        <v/>
      </c>
      <c r="AG33" s="20">
        <f>IFERROR(AG21*100/AG32,"")</f>
        <v/>
      </c>
      <c r="AH33" s="20">
        <f>IFERROR(AH21*100/AH32,"")</f>
        <v/>
      </c>
      <c r="AI33" s="20">
        <f>IFERROR(AI21*100/AI32,"")</f>
        <v/>
      </c>
      <c r="AJ33" s="38">
        <f>SUM(AF33:AI33)</f>
        <v/>
      </c>
      <c r="AK33" s="20">
        <f>IFERROR(AK21*100/AK32,"")</f>
        <v/>
      </c>
      <c r="AL33" s="20">
        <f>IFERROR(AL21*100/AL32,"")</f>
        <v/>
      </c>
      <c r="AM33" s="20">
        <f>IFERROR(AM21*100/AM32,"")</f>
        <v/>
      </c>
      <c r="AN33" s="20">
        <f>IFERROR(AN21*100/AN32,"")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7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7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7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7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7">
        <f>Y34</f>
        <v/>
      </c>
      <c r="AA34" s="18">
        <f>IFERROR(AA25*100/AA32,"")</f>
        <v/>
      </c>
      <c r="AB34" s="19">
        <f>IFERROR(AB25*100/AB32,"")</f>
        <v/>
      </c>
      <c r="AC34" s="20">
        <f>IFERROR(AC25*100/AC32,"")</f>
        <v/>
      </c>
      <c r="AD34" s="20">
        <f>IFERROR(AD25*100/AD32,"")</f>
        <v/>
      </c>
      <c r="AE34" s="38">
        <f>AD34</f>
        <v/>
      </c>
      <c r="AF34" s="20">
        <f>IFERROR(AF25*100/AF32,"")</f>
        <v/>
      </c>
      <c r="AG34" s="20">
        <f>IFERROR(AG25*100/AG32,"")</f>
        <v/>
      </c>
      <c r="AH34" s="20">
        <f>IFERROR(AH25*100/AH32,"")</f>
        <v/>
      </c>
      <c r="AI34" s="20">
        <f>IFERROR(AI25*100/AI32,"")</f>
        <v/>
      </c>
      <c r="AJ34" s="38">
        <f>AI34</f>
        <v/>
      </c>
      <c r="AK34" s="20">
        <f>IFERROR(AK25*100/AK32,"")</f>
        <v/>
      </c>
      <c r="AL34" s="20">
        <f>IFERROR(AL25*100/AL32,"")</f>
        <v/>
      </c>
      <c r="AM34" s="20">
        <f>IFERROR(AM25*100/AM32,"")</f>
        <v/>
      </c>
      <c r="AN34" s="20">
        <f>IFERROR(AN25*100/AN32,"")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50</v>
      </c>
      <c r="F35" s="37" t="n">
        <v>50</v>
      </c>
      <c r="G35" s="18" t="n"/>
      <c r="H35" s="18" t="n"/>
      <c r="I35" s="18" t="n"/>
      <c r="J35" s="18" t="n">
        <v>60</v>
      </c>
      <c r="K35" s="37">
        <f>SUM(G35:J35)</f>
        <v/>
      </c>
      <c r="L35" s="18" t="n"/>
      <c r="M35" s="18" t="n"/>
      <c r="N35" s="18" t="n"/>
      <c r="O35" s="18" t="n">
        <v>60</v>
      </c>
      <c r="P35" s="37">
        <f>SUM(L35:O35)</f>
        <v/>
      </c>
      <c r="Q35" s="18" t="n"/>
      <c r="R35" s="18" t="n"/>
      <c r="S35" s="18" t="n"/>
      <c r="T35" s="18" t="n">
        <v>70</v>
      </c>
      <c r="U35" s="37">
        <f>SUM(Q35:T35)</f>
        <v/>
      </c>
      <c r="V35" s="18" t="n"/>
      <c r="W35" s="18" t="n"/>
      <c r="X35" s="18" t="n"/>
      <c r="Y35" s="18" t="n">
        <v>250</v>
      </c>
      <c r="Z35" s="37">
        <f>SUM(V35:Y35)</f>
        <v/>
      </c>
      <c r="AA35" s="18" t="n"/>
      <c r="AB35" s="19" t="n"/>
      <c r="AC35" s="20" t="n"/>
      <c r="AD35" s="20">
        <f>변수!AD41</f>
        <v/>
      </c>
      <c r="AE35" s="38">
        <f>SUM(AA35:AD35)</f>
        <v/>
      </c>
      <c r="AF35" s="20" t="n"/>
      <c r="AG35" s="20" t="n"/>
      <c r="AH35" s="20" t="n"/>
      <c r="AI35" s="20">
        <f>변수!AI41</f>
        <v/>
      </c>
      <c r="AJ35" s="38">
        <f>SUM(AF35:AI35)</f>
        <v/>
      </c>
      <c r="AK35" s="20" t="n"/>
      <c r="AL35" s="20" t="n"/>
      <c r="AM35" s="20" t="n"/>
      <c r="AN35" s="20">
        <f>변수!AN41</f>
        <v/>
      </c>
      <c r="AO35" s="38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4">
        <f>E36</f>
        <v/>
      </c>
      <c r="G36" s="13" t="n"/>
      <c r="H36" s="13" t="n"/>
      <c r="I36" s="13">
        <f>IFERROR(변수!I18/(E33+G33+H33+I33),"")</f>
        <v/>
      </c>
      <c r="J36" s="13">
        <f>IFERROR(변수!J18/(G33+H33+I33+J33),"")</f>
        <v/>
      </c>
      <c r="K36" s="14">
        <f>J36</f>
        <v/>
      </c>
      <c r="L36" s="13">
        <f>IFERROR(변수!L18/(H33+I33+J33+L33),"")</f>
        <v/>
      </c>
      <c r="M36" s="13">
        <f>IFERROR(변수!M18/(I33+J33+L33+M33),"")</f>
        <v/>
      </c>
      <c r="N36" s="13">
        <f>IFERROR(변수!N18/(J33+L33+M33+N33),"")</f>
        <v/>
      </c>
      <c r="O36" s="13">
        <f>IFERROR(변수!O18/(L33+M33+N33+O33),"")</f>
        <v/>
      </c>
      <c r="P36" s="14">
        <f>O36</f>
        <v/>
      </c>
      <c r="Q36" s="13">
        <f>IFERROR(변수!Q18/(M33+N33+O33+Q33),"")</f>
        <v/>
      </c>
      <c r="R36" s="13">
        <f>IFERROR(변수!R18/(N33+O33+Q33+R33),"")</f>
        <v/>
      </c>
      <c r="S36" s="13">
        <f>IFERROR(변수!S18/(O33+Q33+R33+S33),"")</f>
        <v/>
      </c>
      <c r="T36" s="13">
        <f>IFERROR(변수!T18/(Q33+R33+S33+T33),"")</f>
        <v/>
      </c>
      <c r="U36" s="14">
        <f>T36</f>
        <v/>
      </c>
      <c r="V36" s="13">
        <f>IFERROR(변수!V18/(R33+S33+T33+V33),"")</f>
        <v/>
      </c>
      <c r="W36" s="13">
        <f>IFERROR(변수!W18/(S33+T33+V33+W33),"")</f>
        <v/>
      </c>
      <c r="X36" s="13">
        <f>IFERROR(변수!X18/(T33+V33+W33+X33),"")</f>
        <v/>
      </c>
      <c r="Y36" s="13">
        <f>IFERROR(변수!Y18/(V33+W33+X33+Y33),"")</f>
        <v/>
      </c>
      <c r="Z36" s="14">
        <f>Y36</f>
        <v/>
      </c>
      <c r="AA36" s="13">
        <f>IFERROR(변수!AA18/(W33+X33+Y33+AA33),"")</f>
        <v/>
      </c>
      <c r="AB36" s="15">
        <f>IFERROR(변수!AB18/(X33+Y33+AA33+AB33),"")</f>
        <v/>
      </c>
      <c r="AC36" s="39">
        <f>IFERROR(변수!$D$44/(Y33+AA33+AB33+AC33),"")</f>
        <v/>
      </c>
      <c r="AD36" s="39">
        <f>IFERROR(변수!$D$44/(AA33+AB33+AC33+AD33),"")</f>
        <v/>
      </c>
      <c r="AE36" s="40">
        <f>AD36</f>
        <v/>
      </c>
      <c r="AF36" s="39">
        <f>IFERROR(변수!$D$44/(AB33+AC33+AD33+AF33),"")</f>
        <v/>
      </c>
      <c r="AG36" s="39">
        <f>IFERROR(변수!$D$44/(AC33+AD33+AF33+AG33),"")</f>
        <v/>
      </c>
      <c r="AH36" s="39">
        <f>IFERROR(변수!$D$44/(AD33+AF33+AG33+AH33),"")</f>
        <v/>
      </c>
      <c r="AI36" s="39">
        <f>IFERROR(변수!$D$44/(AF33+AG33+AH33+AI33),"")</f>
        <v/>
      </c>
      <c r="AJ36" s="40">
        <f>AI36</f>
        <v/>
      </c>
      <c r="AK36" s="39">
        <f>IFERROR(변수!$D$44/(AG33+AH33+AI33+AK33),"")</f>
        <v/>
      </c>
      <c r="AL36" s="39">
        <f>IFERROR(변수!$D$44/(AH33+AI33+AK33+AL33),"")</f>
        <v/>
      </c>
      <c r="AM36" s="39">
        <f>IFERROR(변수!$D$44/(AI33+AK33+AL33+AM33),"")</f>
        <v/>
      </c>
      <c r="AN36" s="39">
        <f>IFERROR(변수!$D$44/(AK33+AL33+AM33+AN33),"")</f>
        <v/>
      </c>
      <c r="AO36" s="40">
        <f>AN36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4">
        <f>E37</f>
        <v/>
      </c>
      <c r="G37" s="13">
        <f>IFERROR(변수!G18/G34,"")</f>
        <v/>
      </c>
      <c r="H37" s="13">
        <f>IFERROR(변수!H18/H34,"")</f>
        <v/>
      </c>
      <c r="I37" s="13">
        <f>IFERROR(변수!I18/I34,"")</f>
        <v/>
      </c>
      <c r="J37" s="13">
        <f>IFERROR(변수!J18/J34,"")</f>
        <v/>
      </c>
      <c r="K37" s="14">
        <f>J37</f>
        <v/>
      </c>
      <c r="L37" s="13">
        <f>IFERROR(변수!L18/L34,"")</f>
        <v/>
      </c>
      <c r="M37" s="13">
        <f>IFERROR(변수!M18/M34,"")</f>
        <v/>
      </c>
      <c r="N37" s="13">
        <f>IFERROR(변수!N18/N34,"")</f>
        <v/>
      </c>
      <c r="O37" s="13">
        <f>IFERROR(변수!O18/O34,"")</f>
        <v/>
      </c>
      <c r="P37" s="14">
        <f>O37</f>
        <v/>
      </c>
      <c r="Q37" s="13">
        <f>IFERROR(변수!Q18/Q34,"")</f>
        <v/>
      </c>
      <c r="R37" s="13">
        <f>IFERROR(변수!R18/R34,"")</f>
        <v/>
      </c>
      <c r="S37" s="13">
        <f>IFERROR(변수!S18/S34,"")</f>
        <v/>
      </c>
      <c r="T37" s="13">
        <f>IFERROR(변수!T18/T34,"")</f>
        <v/>
      </c>
      <c r="U37" s="14">
        <f>T37</f>
        <v/>
      </c>
      <c r="V37" s="13">
        <f>IFERROR(변수!V18/V34,"")</f>
        <v/>
      </c>
      <c r="W37" s="13">
        <f>IFERROR(변수!W18/W34,"")</f>
        <v/>
      </c>
      <c r="X37" s="13">
        <f>IFERROR(변수!X18/X34,"")</f>
        <v/>
      </c>
      <c r="Y37" s="13">
        <f>IFERROR(변수!Y18/Y34,"")</f>
        <v/>
      </c>
      <c r="Z37" s="14">
        <f>Y37</f>
        <v/>
      </c>
      <c r="AA37" s="13">
        <f>IFERROR(변수!AA18/AA34,"")</f>
        <v/>
      </c>
      <c r="AB37" s="15">
        <f>IFERROR(변수!AB18/AB34,"")</f>
        <v/>
      </c>
      <c r="AC37" s="39">
        <f>IFERROR(변수!$D$44/AC34,"")</f>
        <v/>
      </c>
      <c r="AD37" s="39">
        <f>IFERROR(변수!$D$44/AD34,"")</f>
        <v/>
      </c>
      <c r="AE37" s="40">
        <f>AD37</f>
        <v/>
      </c>
      <c r="AF37" s="39">
        <f>IFERROR(변수!$D$44/AF34,"")</f>
        <v/>
      </c>
      <c r="AG37" s="39">
        <f>IFERROR(변수!$D$44/AG34,"")</f>
        <v/>
      </c>
      <c r="AH37" s="39">
        <f>IFERROR(변수!$D$44/AH34,"")</f>
        <v/>
      </c>
      <c r="AI37" s="39">
        <f>IFERROR(변수!$D$44/AI34,"")</f>
        <v/>
      </c>
      <c r="AJ37" s="40">
        <f>AI37</f>
        <v/>
      </c>
      <c r="AK37" s="39">
        <f>IFERROR(변수!$D$44/AK34,"")</f>
        <v/>
      </c>
      <c r="AL37" s="39">
        <f>IFERROR(변수!$D$44/AL34,"")</f>
        <v/>
      </c>
      <c r="AM37" s="39">
        <f>IFERROR(변수!$D$44/AM34,"")</f>
        <v/>
      </c>
      <c r="AN37" s="39">
        <f>IFERROR(변수!$D$44/AN34,"")</f>
        <v/>
      </c>
      <c r="AO37" s="40">
        <f>AN37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717.58</v>
      </c>
      <c r="F38" s="37" t="n"/>
      <c r="G38" s="18" t="n">
        <v>872.27</v>
      </c>
      <c r="H38" s="18" t="n">
        <v>947.95</v>
      </c>
      <c r="I38" s="18" t="n">
        <v>976.36</v>
      </c>
      <c r="J38" s="18" t="n">
        <v>877.98</v>
      </c>
      <c r="K38" s="37">
        <f>SUM(G38:J38)</f>
        <v/>
      </c>
      <c r="L38" s="18" t="n">
        <v>713.96</v>
      </c>
      <c r="M38" s="18" t="n">
        <v>798.11</v>
      </c>
      <c r="N38" s="18" t="n">
        <v>715.85</v>
      </c>
      <c r="O38" s="18" t="n">
        <v>683.02</v>
      </c>
      <c r="P38" s="37">
        <f>SUM(L38:O38)</f>
        <v/>
      </c>
      <c r="Q38" s="18" t="n">
        <v>681.24</v>
      </c>
      <c r="R38" s="18" t="n">
        <v>754.51</v>
      </c>
      <c r="S38" s="18" t="n">
        <v>741.79</v>
      </c>
      <c r="T38" s="18" t="n">
        <v>820.55</v>
      </c>
      <c r="U38" s="37">
        <f>SUM(Q38:T38)</f>
        <v/>
      </c>
      <c r="V38" s="18" t="n">
        <v>740.85</v>
      </c>
      <c r="W38" s="18" t="n">
        <v>766.91</v>
      </c>
      <c r="X38" s="18" t="n">
        <v>746.5700000000001</v>
      </c>
      <c r="Y38" s="18" t="n">
        <v>769.58</v>
      </c>
      <c r="Z38" s="37">
        <f>SUM(V38:Y38)</f>
        <v/>
      </c>
      <c r="AA38" s="18" t="n">
        <v>763.36</v>
      </c>
      <c r="AB38" s="19" t="n">
        <v>882.14</v>
      </c>
      <c r="AC38" s="20">
        <f>IFERROR(AC5,"")</f>
        <v/>
      </c>
      <c r="AD38" s="20">
        <f>IFERROR(AD5,"")</f>
        <v/>
      </c>
      <c r="AE38" s="38">
        <f>SUM(AA38:AD38)</f>
        <v/>
      </c>
      <c r="AF38" s="20">
        <f>IFERROR(AF5,"")</f>
        <v/>
      </c>
      <c r="AG38" s="20">
        <f>IFERROR(AG5,"")</f>
        <v/>
      </c>
      <c r="AH38" s="20">
        <f>IFERROR(AH5,"")</f>
        <v/>
      </c>
      <c r="AI38" s="20">
        <f>IFERROR(AI5,"")</f>
        <v/>
      </c>
      <c r="AJ38" s="38">
        <f>SUM(AF38:AI38)</f>
        <v/>
      </c>
      <c r="AK38" s="20">
        <f>IFERROR(AK5,"")</f>
        <v/>
      </c>
      <c r="AL38" s="20">
        <f>IFERROR(AL5,"")</f>
        <v/>
      </c>
      <c r="AM38" s="20">
        <f>IFERROR(AM5,"")</f>
        <v/>
      </c>
      <c r="AN38" s="20">
        <f>IFERROR(AN5,"")</f>
        <v/>
      </c>
      <c r="AO38" s="38">
        <f>SUM(AK38:AN38)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11.12</v>
      </c>
      <c r="F39" s="37" t="n"/>
      <c r="G39" s="18" t="n">
        <v>96.72</v>
      </c>
      <c r="H39" s="18" t="n">
        <v>72.33</v>
      </c>
      <c r="I39" s="18" t="n">
        <v>127.71</v>
      </c>
      <c r="J39" s="18" t="n">
        <v>60.99</v>
      </c>
      <c r="K39" s="37">
        <f>SUM(G39:J39)</f>
        <v/>
      </c>
      <c r="L39" s="18" t="n">
        <v>61.95</v>
      </c>
      <c r="M39" s="18" t="n">
        <v>63.57</v>
      </c>
      <c r="N39" s="18" t="n">
        <v>67.14</v>
      </c>
      <c r="O39" s="18" t="n">
        <v>49.95</v>
      </c>
      <c r="P39" s="37">
        <f>SUM(L39:O39)</f>
        <v/>
      </c>
      <c r="Q39" s="18" t="n">
        <v>51.17</v>
      </c>
      <c r="R39" s="18" t="n">
        <v>51.42</v>
      </c>
      <c r="S39" s="18" t="n">
        <v>15.9</v>
      </c>
      <c r="T39" s="18" t="n">
        <v>34.92</v>
      </c>
      <c r="U39" s="37">
        <f>SUM(Q39:T39)</f>
        <v/>
      </c>
      <c r="V39" s="18" t="n">
        <v>57.28</v>
      </c>
      <c r="W39" s="18" t="n">
        <v>29.51</v>
      </c>
      <c r="X39" s="18" t="n">
        <v>54.94</v>
      </c>
      <c r="Y39" s="18" t="n">
        <v>51.19</v>
      </c>
      <c r="Z39" s="37">
        <f>SUM(V39:Y39)</f>
        <v/>
      </c>
      <c r="AA39" s="18" t="n">
        <v>66.73999999999999</v>
      </c>
      <c r="AB39" s="19" t="n">
        <v>40.75</v>
      </c>
      <c r="AC39" s="20">
        <f>IFERROR(AC9,"")</f>
        <v/>
      </c>
      <c r="AD39" s="20">
        <f>IFERROR(AD9,"")</f>
        <v/>
      </c>
      <c r="AE39" s="38">
        <f>SUM(AA39:AD39)</f>
        <v/>
      </c>
      <c r="AF39" s="20">
        <f>IFERROR(AF9,"")</f>
        <v/>
      </c>
      <c r="AG39" s="20">
        <f>IFERROR(AG9,"")</f>
        <v/>
      </c>
      <c r="AH39" s="20">
        <f>IFERROR(AH9,"")</f>
        <v/>
      </c>
      <c r="AI39" s="20">
        <f>IFERROR(AI9,"")</f>
        <v/>
      </c>
      <c r="AJ39" s="38">
        <f>SUM(AF39:AI39)</f>
        <v/>
      </c>
      <c r="AK39" s="20">
        <f>IFERROR(AK9,"")</f>
        <v/>
      </c>
      <c r="AL39" s="20">
        <f>IFERROR(AL9,"")</f>
        <v/>
      </c>
      <c r="AM39" s="20">
        <f>IFERROR(AM9,"")</f>
        <v/>
      </c>
      <c r="AN39" s="20">
        <f>IFERROR(AN9,"")</f>
        <v/>
      </c>
      <c r="AO39" s="38">
        <f>SUM(AK39:AN39)</f>
        <v/>
      </c>
    </row>
    <row r="40">
      <c r="B40" s="2" t="inlineStr">
        <is>
          <t>비율(참고)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IFERROR(E21/E5,"")</f>
        <v/>
      </c>
      <c r="F41" s="22">
        <f>IFERROR(F21/F5,"")</f>
        <v/>
      </c>
      <c r="G41" s="21">
        <f>IFERROR(G21/G5,"")</f>
        <v/>
      </c>
      <c r="H41" s="21">
        <f>IFERROR(H21/H5,"")</f>
        <v/>
      </c>
      <c r="I41" s="21">
        <f>IFERROR(I21/I5,"")</f>
        <v/>
      </c>
      <c r="J41" s="21">
        <f>IFERROR(J21/J5,"")</f>
        <v/>
      </c>
      <c r="K41" s="22">
        <f>IFERROR(K21/K5,"")</f>
        <v/>
      </c>
      <c r="L41" s="21">
        <f>IFERROR(L21/L5,"")</f>
        <v/>
      </c>
      <c r="M41" s="21">
        <f>IFERROR(M21/M5,"")</f>
        <v/>
      </c>
      <c r="N41" s="21">
        <f>IFERROR(N21/N5,"")</f>
        <v/>
      </c>
      <c r="O41" s="21">
        <f>IFERROR(O21/O5,"")</f>
        <v/>
      </c>
      <c r="P41" s="22">
        <f>IFERROR(P21/P5,"")</f>
        <v/>
      </c>
      <c r="Q41" s="21">
        <f>IFERROR(Q21/Q5,"")</f>
        <v/>
      </c>
      <c r="R41" s="21">
        <f>IFERROR(R21/R5,"")</f>
        <v/>
      </c>
      <c r="S41" s="21">
        <f>IFERROR(S21/S5,"")</f>
        <v/>
      </c>
      <c r="T41" s="21">
        <f>IFERROR(T21/T5,"")</f>
        <v/>
      </c>
      <c r="U41" s="22">
        <f>IFERROR(U21/U5,"")</f>
        <v/>
      </c>
      <c r="V41" s="21">
        <f>IFERROR(V21/V5,"")</f>
        <v/>
      </c>
      <c r="W41" s="21">
        <f>IFERROR(W21/W5,"")</f>
        <v/>
      </c>
      <c r="X41" s="21">
        <f>IFERROR(X21/X5,"")</f>
        <v/>
      </c>
      <c r="Y41" s="21">
        <f>IFERROR(Y21/Y5,"")</f>
        <v/>
      </c>
      <c r="Z41" s="22">
        <f>IFERROR(Z21/Z5,"")</f>
        <v/>
      </c>
      <c r="AA41" s="21">
        <f>IFERROR(AA21/AA5,"")</f>
        <v/>
      </c>
      <c r="AB41" s="23">
        <f>IFERROR(AB21/AB5,"")</f>
        <v/>
      </c>
      <c r="AC41" s="32">
        <f>IFERROR(AC21/AC5,"")</f>
        <v/>
      </c>
      <c r="AD41" s="32">
        <f>IFERROR(AD21/AD5,"")</f>
        <v/>
      </c>
      <c r="AE41" s="25">
        <f>IFERROR(AE21/AE5,"")</f>
        <v/>
      </c>
      <c r="AF41" s="32">
        <f>IFERROR(AF21/AF5,"")</f>
        <v/>
      </c>
      <c r="AG41" s="32">
        <f>IFERROR(AG21/AG5,"")</f>
        <v/>
      </c>
      <c r="AH41" s="32">
        <f>IFERROR(AH21/AH5,"")</f>
        <v/>
      </c>
      <c r="AI41" s="32">
        <f>IFERROR(AI21/AI5,"")</f>
        <v/>
      </c>
      <c r="AJ41" s="25">
        <f>IFERROR(AJ21/AJ5,"")</f>
        <v/>
      </c>
      <c r="AK41" s="32">
        <f>IFERROR(AK21/AK5,"")</f>
        <v/>
      </c>
      <c r="AL41" s="32">
        <f>IFERROR(AL21/AL5,"")</f>
        <v/>
      </c>
      <c r="AM41" s="32">
        <f>IFERROR(AM21/AM5,"")</f>
        <v/>
      </c>
      <c r="AN41" s="32">
        <f>IFERROR(AN21/AN5,"")</f>
        <v/>
      </c>
      <c r="AO41" s="25">
        <f>IFERROR(AO21/AO5,"")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2">
        <f>IFERROR(F6/F5,"")</f>
        <v/>
      </c>
      <c r="G42" s="21">
        <f>IFERROR(G6/G5,"")</f>
        <v/>
      </c>
      <c r="H42" s="21">
        <f>IFERROR(H6/H5,"")</f>
        <v/>
      </c>
      <c r="I42" s="21">
        <f>IFERROR(I6/I5,"")</f>
        <v/>
      </c>
      <c r="J42" s="21">
        <f>IFERROR(J6/J5,"")</f>
        <v/>
      </c>
      <c r="K42" s="22">
        <f>IFERROR(K6/K5,"")</f>
        <v/>
      </c>
      <c r="L42" s="21">
        <f>IFERROR(L6/L5,"")</f>
        <v/>
      </c>
      <c r="M42" s="21">
        <f>IFERROR(M6/M5,"")</f>
        <v/>
      </c>
      <c r="N42" s="21">
        <f>IFERROR(N6/N5,"")</f>
        <v/>
      </c>
      <c r="O42" s="21">
        <f>IFERROR(O6/O5,"")</f>
        <v/>
      </c>
      <c r="P42" s="22">
        <f>IFERROR(P6/P5,"")</f>
        <v/>
      </c>
      <c r="Q42" s="21">
        <f>IFERROR(Q6/Q5,"")</f>
        <v/>
      </c>
      <c r="R42" s="21">
        <f>IFERROR(R6/R5,"")</f>
        <v/>
      </c>
      <c r="S42" s="21">
        <f>IFERROR(S6/S5,"")</f>
        <v/>
      </c>
      <c r="T42" s="21">
        <f>IFERROR(T6/T5,"")</f>
        <v/>
      </c>
      <c r="U42" s="22">
        <f>IFERROR(U6/U5,"")</f>
        <v/>
      </c>
      <c r="V42" s="21">
        <f>IFERROR(V6/V5,"")</f>
        <v/>
      </c>
      <c r="W42" s="21">
        <f>IFERROR(W6/W5,"")</f>
        <v/>
      </c>
      <c r="X42" s="21">
        <f>IFERROR(X6/X5,"")</f>
        <v/>
      </c>
      <c r="Y42" s="21">
        <f>IFERROR(Y6/Y5,"")</f>
        <v/>
      </c>
      <c r="Z42" s="22">
        <f>IFERROR(Z6/Z5,"")</f>
        <v/>
      </c>
      <c r="AA42" s="21">
        <f>IFERROR(AA6/AA5,"")</f>
        <v/>
      </c>
      <c r="AB42" s="23">
        <f>IFERROR(AB6/AB5,"")</f>
        <v/>
      </c>
      <c r="AC42" s="32">
        <f>IFERROR(AC6/AC5,"")</f>
        <v/>
      </c>
      <c r="AD42" s="32">
        <f>IFERROR(AD6/AD5,"")</f>
        <v/>
      </c>
      <c r="AE42" s="25">
        <f>IFERROR(AE6/AE5,"")</f>
        <v/>
      </c>
      <c r="AF42" s="32">
        <f>IFERROR(AF6/AF5,"")</f>
        <v/>
      </c>
      <c r="AG42" s="32">
        <f>IFERROR(AG6/AG5,"")</f>
        <v/>
      </c>
      <c r="AH42" s="32">
        <f>IFERROR(AH6/AH5,"")</f>
        <v/>
      </c>
      <c r="AI42" s="32">
        <f>IFERROR(AI6/AI5,"")</f>
        <v/>
      </c>
      <c r="AJ42" s="25">
        <f>IFERROR(AJ6/AJ5,"")</f>
        <v/>
      </c>
      <c r="AK42" s="32">
        <f>IFERROR(AK6/AK5,"")</f>
        <v/>
      </c>
      <c r="AL42" s="32">
        <f>IFERROR(AL6/AL5,"")</f>
        <v/>
      </c>
      <c r="AM42" s="32">
        <f>IFERROR(AM6/AM5,"")</f>
        <v/>
      </c>
      <c r="AN42" s="32">
        <f>IFERROR(AN6/AN5,"")</f>
        <v/>
      </c>
      <c r="AO42" s="25">
        <f>IFERROR(AO6/AO5,"")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2">
        <f>IFERROR(F8/F5,"")</f>
        <v/>
      </c>
      <c r="G43" s="21">
        <f>IFERROR(G8/G5,"")</f>
        <v/>
      </c>
      <c r="H43" s="21">
        <f>IFERROR(H8/H5,"")</f>
        <v/>
      </c>
      <c r="I43" s="21">
        <f>IFERROR(I8/I5,"")</f>
        <v/>
      </c>
      <c r="J43" s="21">
        <f>IFERROR(J8/J5,"")</f>
        <v/>
      </c>
      <c r="K43" s="22">
        <f>IFERROR(K8/K5,"")</f>
        <v/>
      </c>
      <c r="L43" s="21">
        <f>IFERROR(L8/L5,"")</f>
        <v/>
      </c>
      <c r="M43" s="21">
        <f>IFERROR(M8/M5,"")</f>
        <v/>
      </c>
      <c r="N43" s="21">
        <f>IFERROR(N8/N5,"")</f>
        <v/>
      </c>
      <c r="O43" s="21">
        <f>IFERROR(O8/O5,"")</f>
        <v/>
      </c>
      <c r="P43" s="22">
        <f>IFERROR(P8/P5,"")</f>
        <v/>
      </c>
      <c r="Q43" s="21">
        <f>IFERROR(Q8/Q5,"")</f>
        <v/>
      </c>
      <c r="R43" s="21">
        <f>IFERROR(R8/R5,"")</f>
        <v/>
      </c>
      <c r="S43" s="21">
        <f>IFERROR(S8/S5,"")</f>
        <v/>
      </c>
      <c r="T43" s="21">
        <f>IFERROR(T8/T5,"")</f>
        <v/>
      </c>
      <c r="U43" s="22">
        <f>IFERROR(U8/U5,"")</f>
        <v/>
      </c>
      <c r="V43" s="21">
        <f>IFERROR(V8/V5,"")</f>
        <v/>
      </c>
      <c r="W43" s="21">
        <f>IFERROR(W8/W5,"")</f>
        <v/>
      </c>
      <c r="X43" s="21">
        <f>IFERROR(X8/X5,"")</f>
        <v/>
      </c>
      <c r="Y43" s="21">
        <f>IFERROR(Y8/Y5,"")</f>
        <v/>
      </c>
      <c r="Z43" s="22">
        <f>IFERROR(Z8/Z5,"")</f>
        <v/>
      </c>
      <c r="AA43" s="21">
        <f>IFERROR(AA8/AA5,"")</f>
        <v/>
      </c>
      <c r="AB43" s="23">
        <f>IFERROR(AB8/AB5,"")</f>
        <v/>
      </c>
      <c r="AC43" s="32">
        <f>IFERROR(AC8/AC5,"")</f>
        <v/>
      </c>
      <c r="AD43" s="32">
        <f>IFERROR(AD8/AD5,"")</f>
        <v/>
      </c>
      <c r="AE43" s="25">
        <f>IFERROR(AE8/AE5,"")</f>
        <v/>
      </c>
      <c r="AF43" s="32">
        <f>IFERROR(AF8/AF5,"")</f>
        <v/>
      </c>
      <c r="AG43" s="32">
        <f>IFERROR(AG8/AG5,"")</f>
        <v/>
      </c>
      <c r="AH43" s="32">
        <f>IFERROR(AH8/AH5,"")</f>
        <v/>
      </c>
      <c r="AI43" s="32">
        <f>IFERROR(AI8/AI5,"")</f>
        <v/>
      </c>
      <c r="AJ43" s="25">
        <f>IFERROR(AJ8/AJ5,"")</f>
        <v/>
      </c>
      <c r="AK43" s="32">
        <f>IFERROR(AK8/AK5,"")</f>
        <v/>
      </c>
      <c r="AL43" s="32">
        <f>IFERROR(AL8/AL5,"")</f>
        <v/>
      </c>
      <c r="AM43" s="32">
        <f>IFERROR(AM8/AM5,"")</f>
        <v/>
      </c>
      <c r="AN43" s="32">
        <f>IFERROR(AN8/AN5,"")</f>
        <v/>
      </c>
      <c r="AO43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27">
        <f>IFERROR(VLOOKUP($A32,subQ,MATCH(M$1,SUBQH,0),0),"")</f>
        <v/>
      </c>
      <c r="N32" s="27">
        <f>IFERROR(VLOOKUP($A32,subQ,MATCH(N$1,SUBQH,0),0),"")</f>
        <v/>
      </c>
      <c r="O32" s="27">
        <f>IFERROR(VLOOKUP($A32,subQ,MATCH(O$1,SUBQH,0),0),"")</f>
        <v/>
      </c>
      <c r="P32" s="27">
        <f>IFERROR(VLOOKUP($A32,subQ,MATCH(P$1,SUBQH,0),0),"")</f>
        <v/>
      </c>
      <c r="Q32" s="27">
        <f>IFERROR(VLOOKUP($A32,subQ,MATCH(Q$1,SUBQH,0),0),"")</f>
        <v/>
      </c>
      <c r="R32" s="27">
        <f>IFERROR(VLOOKUP($A32,subQ,MATCH(R$1,SUBQH,0),0),"")</f>
        <v/>
      </c>
      <c r="S32" s="27">
        <f>IFERROR(VLOOKUP($A32,subQ,MATCH(S$1,SUBQH,0),0),"")</f>
        <v/>
      </c>
      <c r="T32" s="27">
        <f>IFERROR(VLOOKUP($A32,subQ,MATCH(T$1,SUBQH,0),0),"")</f>
        <v/>
      </c>
      <c r="U32" s="27">
        <f>IFERROR(VLOOKUP($A32,subQ,MATCH(U$1,SUBQH,0),0),"")</f>
        <v/>
      </c>
      <c r="V32" s="27">
        <f>IFERROR(VLOOKUP($A32,subQ,MATCH(V$1,SUBQH,0),0),"")</f>
        <v/>
      </c>
      <c r="W32" s="47">
        <f>IFERROR(VLOOKUP($A32,subQ,MATCH(W$1,SUBQH,0),0),"")</f>
        <v/>
      </c>
      <c r="X32" s="33">
        <f>IFERROR(VLOOKUP($A32,subQ,MATCH(X$1,SUBQH,0),0),"")</f>
        <v/>
      </c>
      <c r="Y32" s="33">
        <f>IFERROR(VLOOKUP($A32,subQ,MATCH(Y$1,SUBQH,0),0),"")</f>
        <v/>
      </c>
      <c r="Z32" s="33">
        <f>IFERROR(VLOOKUP($A32,subQ,MATCH(Z$1,SUBQH,0),0),"")</f>
        <v/>
      </c>
      <c r="AA32" s="33">
        <f>IFERROR(VLOOKUP($A32,subQ,MATCH(AA$1,SUBQH,0),0),"")</f>
        <v/>
      </c>
      <c r="AB32" s="33">
        <f>IFERROR(VLOOKUP($A32,subQ,MATCH(AB$1,SUBQH,0),0),"")</f>
        <v/>
      </c>
      <c r="AC32" s="33">
        <f>IFERROR(VLOOKUP($A32,subQ,MATCH(AC$1,SUBQH,0),0),"")</f>
        <v/>
      </c>
      <c r="AD32" s="33">
        <f>IFERROR(VLOOKUP($A32,subQ,MATCH(AD$1,SUBQH,0),0),"")</f>
        <v/>
      </c>
      <c r="AE32" s="33">
        <f>IFERROR(VLOOKUP($A32,subQ,MATCH(AE$1,SUBQH,0),0),"")</f>
        <v/>
      </c>
      <c r="AF32" s="33">
        <f>IFERROR(VLOOKUP($A32,subQ,MATCH(AF$1,SUBQH,0),0),"")</f>
        <v/>
      </c>
      <c r="AG32" s="33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6">
        <f>IFERROR(VLOOKUP($A40,subQ,MATCH(W$1,SUBQH,0),0),"")</f>
        <v/>
      </c>
      <c r="X40" s="32">
        <f>IFERROR(VLOOKUP($A40,subQ,MATCH(X$1,SUBQH,0),0),"")</f>
        <v/>
      </c>
      <c r="Y40" s="32">
        <f>IFERROR(VLOOKUP($A40,subQ,MATCH(Y$1,SUBQH,0),0),"")</f>
        <v/>
      </c>
      <c r="Z40" s="32">
        <f>IFERROR(VLOOKUP($A40,subQ,MATCH(Z$1,SUBQH,0),0),"")</f>
        <v/>
      </c>
      <c r="AA40" s="32">
        <f>IFERROR(VLOOKUP($A40,subQ,MATCH(AA$1,SUBQH,0),0),"")</f>
        <v/>
      </c>
      <c r="AB40" s="32">
        <f>IFERROR(VLOOKUP($A40,subQ,MATCH(AB$1,SUBQH,0),0),"")</f>
        <v/>
      </c>
      <c r="AC40" s="32">
        <f>IFERROR(VLOOKUP($A40,subQ,MATCH(AC$1,SUBQH,0),0),"")</f>
        <v/>
      </c>
      <c r="AD40" s="32">
        <f>IFERROR(VLOOKUP($A40,subQ,MATCH(AD$1,SUBQH,0),0),"")</f>
        <v/>
      </c>
      <c r="AE40" s="32">
        <f>IFERROR(VLOOKUP($A40,subQ,MATCH(AE$1,SUBQH,0),0),"")</f>
        <v/>
      </c>
      <c r="AF40" s="32">
        <f>IFERROR(VLOOKUP($A40,subQ,MATCH(AF$1,SUBQH,0),0),"")</f>
        <v/>
      </c>
      <c r="AG40" s="32">
        <f>IFERROR(VLOOKUP($A40,subQ,MATCH(AG$1,SUBQH,0),0),"")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21">
        <f>IFERROR(M5/I5-1,"")</f>
        <v/>
      </c>
      <c r="N41" s="21">
        <f>IFERROR(N5/J5-1,"")</f>
        <v/>
      </c>
      <c r="O41" s="21">
        <f>IFERROR(O5/K5-1,"")</f>
        <v/>
      </c>
      <c r="P41" s="21">
        <f>IFERROR(P5/L5-1,"")</f>
        <v/>
      </c>
      <c r="Q41" s="21">
        <f>IFERROR(Q5/M5-1,"")</f>
        <v/>
      </c>
      <c r="R41" s="21">
        <f>IFERROR(R5/N5-1,"")</f>
        <v/>
      </c>
      <c r="S41" s="21">
        <f>IFERROR(S5/O5-1,"")</f>
        <v/>
      </c>
      <c r="T41" s="21">
        <f>IFERROR(T5/P5-1,"")</f>
        <v/>
      </c>
      <c r="U41" s="21">
        <f>IFERROR(U5/Q5-1,"")</f>
        <v/>
      </c>
      <c r="V41" s="21">
        <f>IFERROR(V5/R5-1,"")</f>
        <v/>
      </c>
      <c r="W41" s="46">
        <f>IFERROR(W5/S5-1,"")</f>
        <v/>
      </c>
      <c r="X41" s="32">
        <f>IFERROR(X5/T5-1,"")</f>
        <v/>
      </c>
      <c r="Y41" s="32">
        <f>IFERROR(Y5/U5-1,"")</f>
        <v/>
      </c>
      <c r="Z41" s="32">
        <f>IFERROR(Z5/V5-1,"")</f>
        <v/>
      </c>
      <c r="AA41" s="32">
        <f>IFERROR(AA5/W5-1,"")</f>
        <v/>
      </c>
      <c r="AB41" s="32">
        <f>IFERROR(AB5/X5-1,"")</f>
        <v/>
      </c>
      <c r="AC41" s="32">
        <f>IFERROR(AC5/Y5-1,"")</f>
        <v/>
      </c>
      <c r="AD41" s="32">
        <f>IFERROR(AD5/Z5-1,"")</f>
        <v/>
      </c>
      <c r="AE41" s="32">
        <f>IFERROR(AE5/AA5-1,"")</f>
        <v/>
      </c>
      <c r="AF41" s="32">
        <f>IFERROR(AF5/AB5-1,"")</f>
        <v/>
      </c>
      <c r="AG41" s="32">
        <f>IFERROR(AG5/AC5-1,"")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21">
        <f>IFERROR(M9/I9-1,"")</f>
        <v/>
      </c>
      <c r="N42" s="21">
        <f>IFERROR(N9/J9-1,"")</f>
        <v/>
      </c>
      <c r="O42" s="21">
        <f>IFERROR(O9/K9-1,"")</f>
        <v/>
      </c>
      <c r="P42" s="21">
        <f>IFERROR(P9/L9-1,"")</f>
        <v/>
      </c>
      <c r="Q42" s="21">
        <f>IFERROR(Q9/M9-1,"")</f>
        <v/>
      </c>
      <c r="R42" s="21">
        <f>IFERROR(R9/N9-1,"")</f>
        <v/>
      </c>
      <c r="S42" s="21">
        <f>IFERROR(S9/O9-1,"")</f>
        <v/>
      </c>
      <c r="T42" s="21">
        <f>IFERROR(T9/P9-1,"")</f>
        <v/>
      </c>
      <c r="U42" s="21">
        <f>IFERROR(U9/Q9-1,"")</f>
        <v/>
      </c>
      <c r="V42" s="21">
        <f>IFERROR(V9/R9-1,"")</f>
        <v/>
      </c>
      <c r="W42" s="46">
        <f>IFERROR(W9/S9-1,"")</f>
        <v/>
      </c>
      <c r="X42" s="32">
        <f>IFERROR(X9/T9-1,"")</f>
        <v/>
      </c>
      <c r="Y42" s="32">
        <f>IFERROR(Y9/U9-1,"")</f>
        <v/>
      </c>
      <c r="Z42" s="32">
        <f>IFERROR(Z9/V9-1,"")</f>
        <v/>
      </c>
      <c r="AA42" s="32">
        <f>IFERROR(AA9/W9-1,"")</f>
        <v/>
      </c>
      <c r="AB42" s="32">
        <f>IFERROR(AB9/X9-1,"")</f>
        <v/>
      </c>
      <c r="AC42" s="32">
        <f>IFERROR(AC9/Y9-1,"")</f>
        <v/>
      </c>
      <c r="AD42" s="32">
        <f>IFERROR(AD9/Z9-1,"")</f>
        <v/>
      </c>
      <c r="AE42" s="32">
        <f>IFERROR(AE9/AA9-1,"")</f>
        <v/>
      </c>
      <c r="AF42" s="32">
        <f>IFERROR(AF9/AB9-1,"")</f>
        <v/>
      </c>
      <c r="AG42" s="32">
        <f>IFERROR(AG9/AC9-1,"")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IFERROR(I21/E21-1,"")</f>
        <v/>
      </c>
      <c r="J43" s="21">
        <f>IFERROR(J21/F21-1,"")</f>
        <v/>
      </c>
      <c r="K43" s="21">
        <f>IFERROR(K21/G21-1,"")</f>
        <v/>
      </c>
      <c r="L43" s="21">
        <f>IFERROR(L21/H21-1,"")</f>
        <v/>
      </c>
      <c r="M43" s="21">
        <f>IFERROR(M21/I21-1,"")</f>
        <v/>
      </c>
      <c r="N43" s="21">
        <f>IFERROR(N21/J21-1,"")</f>
        <v/>
      </c>
      <c r="O43" s="21">
        <f>IFERROR(O21/K21-1,"")</f>
        <v/>
      </c>
      <c r="P43" s="21">
        <f>IFERROR(P21/L21-1,"")</f>
        <v/>
      </c>
      <c r="Q43" s="21">
        <f>IFERROR(Q21/M21-1,"")</f>
        <v/>
      </c>
      <c r="R43" s="21">
        <f>IFERROR(R21/N21-1,"")</f>
        <v/>
      </c>
      <c r="S43" s="21">
        <f>IFERROR(S21/O21-1,"")</f>
        <v/>
      </c>
      <c r="T43" s="21">
        <f>IFERROR(T21/P21-1,"")</f>
        <v/>
      </c>
      <c r="U43" s="21">
        <f>IFERROR(U21/Q21-1,"")</f>
        <v/>
      </c>
      <c r="V43" s="21">
        <f>IFERROR(V21/R21-1,"")</f>
        <v/>
      </c>
      <c r="W43" s="46">
        <f>IFERROR(W21/S21-1,"")</f>
        <v/>
      </c>
      <c r="X43" s="32">
        <f>IFERROR(X21/T21-1,"")</f>
        <v/>
      </c>
      <c r="Y43" s="32">
        <f>IFERROR(Y21/U21-1,"")</f>
        <v/>
      </c>
      <c r="Z43" s="32">
        <f>IFERROR(Z21/V21-1,"")</f>
        <v/>
      </c>
      <c r="AA43" s="32">
        <f>IFERROR(AA21/W21-1,"")</f>
        <v/>
      </c>
      <c r="AB43" s="32">
        <f>IFERROR(AB21/X21-1,"")</f>
        <v/>
      </c>
      <c r="AC43" s="32">
        <f>IFERROR(AC21/Y21-1,"")</f>
        <v/>
      </c>
      <c r="AD43" s="32">
        <f>IFERROR(AD21/Z21-1,"")</f>
        <v/>
      </c>
      <c r="AE43" s="32">
        <f>IFERROR(AE21/AA21-1,"")</f>
        <v/>
      </c>
      <c r="AF43" s="32">
        <f>IFERROR(AF21/AB21-1,"")</f>
        <v/>
      </c>
      <c r="AG43" s="32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47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6">
        <f>IFERROR(VLOOKUP($A40,subQ,MATCH(I$1,SUBQH,0),0),"")</f>
        <v/>
      </c>
      <c r="J40" s="32">
        <f>IFERROR(VLOOKUP($A40,subQ,MATCH(J$1,SUBQH,0),0),"")</f>
        <v/>
      </c>
      <c r="K40" s="32">
        <f>IFERROR(VLOOKUP($A40,subQ,MATCH(K$1,SUBQH,0),0),"")</f>
        <v/>
      </c>
      <c r="L40" s="32">
        <f>IFERROR(VLOOKUP($A40,subQ,MATCH(L$1,SUBQH,0),0),"")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21">
        <f>IFERROR(F5/E5-1,"")</f>
        <v/>
      </c>
      <c r="G41" s="21">
        <f>IFERROR(G5/F5-1,"")</f>
        <v/>
      </c>
      <c r="H41" s="21">
        <f>IFERROR(H5/G5-1,"")</f>
        <v/>
      </c>
      <c r="I41" s="46">
        <f>IFERROR(I5/H5-1,"")</f>
        <v/>
      </c>
      <c r="J41" s="32">
        <f>IFERROR(J5/I5-1,"")</f>
        <v/>
      </c>
      <c r="K41" s="32">
        <f>IFERROR(K5/J5-1,"")</f>
        <v/>
      </c>
      <c r="L41" s="32">
        <f>IFERROR(L5/K5-1,"")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21">
        <f>IFERROR(F9/E9-1,"")</f>
        <v/>
      </c>
      <c r="G42" s="21">
        <f>IFERROR(G9/F9-1,"")</f>
        <v/>
      </c>
      <c r="H42" s="21">
        <f>IFERROR(H9/G9-1,"")</f>
        <v/>
      </c>
      <c r="I42" s="46">
        <f>IFERROR(I9/H9-1,"")</f>
        <v/>
      </c>
      <c r="J42" s="32">
        <f>IFERROR(J9/I9-1,"")</f>
        <v/>
      </c>
      <c r="K42" s="32">
        <f>IFERROR(K9/J9-1,"")</f>
        <v/>
      </c>
      <c r="L42" s="32">
        <f>IFERROR(L9/K9-1,"")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21">
        <f>IFERROR(F21/E21-1,"")</f>
        <v/>
      </c>
      <c r="G43" s="21">
        <f>IFERROR(G21/F21-1,"")</f>
        <v/>
      </c>
      <c r="H43" s="21">
        <f>IFERROR(H21/G21-1,"")</f>
        <v/>
      </c>
      <c r="I43" s="46">
        <f>IFERROR(I21/H21-1,"")</f>
        <v/>
      </c>
      <c r="J43" s="32">
        <f>IFERROR(J21/I21-1,"")</f>
        <v/>
      </c>
      <c r="K43" s="32">
        <f>IFERROR(K21/J21-1,"")</f>
        <v/>
      </c>
      <c r="L43" s="32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889.5</v>
      </c>
    </row>
    <row r="30">
      <c r="C30" s="2" t="inlineStr">
        <is>
          <t>bps_latest</t>
        </is>
      </c>
      <c r="D30" t="n">
        <v>16532.3</v>
      </c>
    </row>
    <row r="31">
      <c r="C31" s="2" t="inlineStr">
        <is>
          <t>per_now</t>
        </is>
      </c>
      <c r="D31" t="n">
        <v>4.64</v>
      </c>
    </row>
    <row r="32">
      <c r="C32" s="2" t="inlineStr">
        <is>
          <t>pbr_now</t>
        </is>
      </c>
      <c r="D32" t="n">
        <v>0.25</v>
      </c>
    </row>
    <row r="33">
      <c r="C33" s="2" t="inlineStr">
        <is>
          <t>roe_fwd</t>
        </is>
      </c>
      <c r="D33" t="n">
        <v>0.0538</v>
      </c>
    </row>
    <row r="34">
      <c r="C34" s="2" t="inlineStr">
        <is>
          <t>fair_pbr</t>
        </is>
      </c>
      <c r="D34" t="n">
        <v>0.6</v>
      </c>
    </row>
    <row r="35">
      <c r="C35" s="2" t="inlineStr">
        <is>
          <t>fair_value_pbr</t>
        </is>
      </c>
      <c r="D35" t="n">
        <v>9900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2026-10-26T00:00:00Z</dcterms:created>
  <dcterms:modified xsi:type="dcterms:W3CDTF">2026-10-26T00:00:00Z</dcterms:modified>
</cp:coreProperties>
</file>