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BS별도!$C$5:$AO$87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3절 스칼라 '판관비율' 참조 — 숫자로 덮어쓰면 이 분기만 바뀐다
매출액 × 판관비율 8.68%(최근 4분기 중위)</t>
      </text>
    </comment>
    <comment ref="AD22" authorId="0" shapeId="0">
      <text>
        <t>3절 스칼라 '판관비율' 참조 — 숫자로 덮어쓰면 이 분기만 바뀐다
매출액 × 판관비율 8.68%(최근 4분기 중위)</t>
      </text>
    </comment>
    <comment ref="AF22" authorId="0" shapeId="0">
      <text>
        <t>3절 스칼라 '판관비율' 참조 — 숫자로 덮어쓰면 이 분기만 바뀐다
매출액 × 판관비율 8.68%(최근 4분기 중위)</t>
      </text>
    </comment>
    <comment ref="AG22" authorId="0" shapeId="0">
      <text>
        <t>3절 스칼라 '판관비율' 참조 — 숫자로 덮어쓰면 이 분기만 바뀐다
매출액 × 판관비율 8.68%(최근 4분기 중위)</t>
      </text>
    </comment>
    <comment ref="AH22" authorId="0" shapeId="0">
      <text>
        <t>3절 스칼라 '판관비율' 참조 — 숫자로 덮어쓰면 이 분기만 바뀐다
매출액 × 판관비율 8.68%(최근 4분기 중위)</t>
      </text>
    </comment>
    <comment ref="AI22" authorId="0" shapeId="0">
      <text>
        <t>3절 스칼라 '판관비율' 참조 — 숫자로 덮어쓰면 이 분기만 바뀐다
매출액 × 판관비율 8.68%(최근 4분기 중위)</t>
      </text>
    </comment>
    <comment ref="AK22" authorId="0" shapeId="0">
      <text>
        <t>3절 스칼라 '판관비율' 참조 — 숫자로 덮어쓰면 이 분기만 바뀐다
매출액 × 판관비율 8.68%(최근 4분기 중위)</t>
      </text>
    </comment>
    <comment ref="AL22" authorId="0" shapeId="0">
      <text>
        <t>3절 스칼라 '판관비율' 참조 — 숫자로 덮어쓰면 이 분기만 바뀐다
매출액 × 판관비율 8.68%(최근 4분기 중위)</t>
      </text>
    </comment>
    <comment ref="AM22" authorId="0" shapeId="0">
      <text>
        <t>3절 스칼라 '판관비율' 참조 — 숫자로 덮어쓰면 이 분기만 바뀐다
매출액 × 판관비율 8.68%(최근 4분기 중위)</t>
      </text>
    </comment>
    <comment ref="AN22" authorId="0" shapeId="0">
      <text>
        <t>3절 스칼라 '판관비율' 참조 — 숫자로 덮어쓰면 이 분기만 바뀐다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+11.05억이 이자손익 추정 -5.05억의 50% 초과 → 0(경고)</t>
      </text>
    </comment>
    <comment ref="AD26" authorId="0" shapeId="0">
      <text>
        <t>모델값 역산(implied): 모델 v 그대로
최근 4분기 중위 +11.05억이 이자손익 추정 -5.05억의 50% 초과 → 0(경고)</t>
      </text>
    </comment>
    <comment ref="AF26" authorId="0" shapeId="0">
      <text>
        <t>모델값 역산(implied): 모델 v 그대로
최근 4분기 중위 +11.05억이 이자손익 추정 -5.05억의 50% 초과 → 0(경고)</t>
      </text>
    </comment>
    <comment ref="AG26" authorId="0" shapeId="0">
      <text>
        <t>모델값 역산(implied): 모델 v 그대로
최근 4분기 중위 +11.05억이 이자손익 추정 -5.05억의 50% 초과 → 0(경고)</t>
      </text>
    </comment>
    <comment ref="AH26" authorId="0" shapeId="0">
      <text>
        <t>모델값 역산(implied): 모델 v 그대로
최근 4분기 중위 +11.05억이 이자손익 추정 -5.05억의 50% 초과 → 0(경고)</t>
      </text>
    </comment>
    <comment ref="AI26" authorId="0" shapeId="0">
      <text>
        <t>모델값 역산(implied): 모델 v 그대로
최근 4분기 중위 +11.05억이 이자손익 추정 -5.05억의 50% 초과 → 0(경고)</t>
      </text>
    </comment>
    <comment ref="AK26" authorId="0" shapeId="0">
      <text>
        <t>모델값 역산(implied): 모델 v 그대로
최근 4분기 중위 +11.05억이 이자손익 추정 -5.05억의 50% 초과 → 0(경고)</t>
      </text>
    </comment>
    <comment ref="AL26" authorId="0" shapeId="0">
      <text>
        <t>모델값 역산(implied): 모델 v 그대로
최근 4분기 중위 +11.05억이 이자손익 추정 -5.05억의 50% 초과 → 0(경고)</t>
      </text>
    </comment>
    <comment ref="AM26" authorId="0" shapeId="0">
      <text>
        <t>모델값 역산(implied): 모델 v 그대로
최근 4분기 중위 +11.05억이 이자손익 추정 -5.05억의 50% 초과 → 0(경고)</t>
      </text>
    </comment>
    <comment ref="AN26" authorId="0" shapeId="0">
      <text>
        <t>모델값 역산(implied): 모델 v 그대로
최근 4분기 중위 +11.05억이 이자손익 추정 -5.05억의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D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F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G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H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I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K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L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M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N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250원 유지</t>
      </text>
    </comment>
    <comment ref="AI41" authorId="0" shapeId="0">
      <text>
        <t>모델값 역산(implied): 모델 v 그대로
직전 결산 DPS 250원 유지</t>
      </text>
    </comment>
    <comment ref="AN41" authorId="0" shapeId="0">
      <text>
        <t>모델값 역산(implied): 모델 v 그대로
직전 결산 DPS 250원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AC10" authorId="0" shapeId="0">
      <text>
        <t>추정: 최근 8분기 OPM 중위 5.6% 유지(클립 −20~40%)
[divide]</t>
      </text>
    </comment>
    <comment ref="AD10" authorId="0" shapeId="0">
      <text>
        <t>추정: 최근 8분기 OPM 중위 5.6% 유지(클립 −20~40%)
[divide]</t>
      </text>
    </comment>
    <comment ref="AF10" authorId="0" shapeId="0">
      <text>
        <t>추정: 최근 8분기 OPM 중위 5.6% 유지(클립 −20~40%)
[divide]</t>
      </text>
    </comment>
    <comment ref="AG10" authorId="0" shapeId="0">
      <text>
        <t>추정: 최근 8분기 OPM 중위 5.6% 유지(클립 −20~40%)
[divide]</t>
      </text>
    </comment>
    <comment ref="AH10" authorId="0" shapeId="0">
      <text>
        <t>추정: 최근 8분기 OPM 중위 5.6% 유지(클립 −20~40%)
[divide]</t>
      </text>
    </comment>
    <comment ref="AI10" authorId="0" shapeId="0">
      <text>
        <t>추정: 최근 8분기 OPM 중위 5.6% 유지(클립 −20~40%)
[divide]</t>
      </text>
    </comment>
    <comment ref="AK10" authorId="0" shapeId="0">
      <text>
        <t>추정: 최근 8분기 OPM 중위 5.6% 유지(클립 −20~40%)
[divide]</t>
      </text>
    </comment>
    <comment ref="AL10" authorId="0" shapeId="0">
      <text>
        <t>추정: 최근 8분기 OPM 중위 5.6% 유지(클립 −20~40%)
[divide]</t>
      </text>
    </comment>
    <comment ref="AM10" authorId="0" shapeId="0">
      <text>
        <t>추정: 최근 8분기 OPM 중위 5.6% 유지(클립 −20~40%)
[divide]</t>
      </text>
    </comment>
    <comment ref="AN10" authorId="0" shapeId="0">
      <text>
        <t>추정: 최근 8분기 OPM 중위 5.6% 유지(클립 −20~40%)
[divide]</t>
      </text>
    </comment>
    <comment ref="AC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427억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460억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494억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563억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599억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635억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672억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C12" authorId="0" shapeId="0">
      <text>
        <t>추정: 이자발생자산 427억 × 4.00%(주석 이자수익 ÷ 평균 이자발생자산(2025Q2~2026Q2)) − 총차입금 1033억 × 3.60%(주석 이자비용 ÷ 평균 총차입금(2025Q2~2026Q2)) (연율) ÷ 4
[interest]</t>
      </text>
    </comment>
    <comment ref="AD12" authorId="0" shapeId="0">
      <text>
        <t>추정: 이자발생자산 460억 × 4.00%(주석 이자수익 ÷ 평균 이자발생자산(2025Q2~2026Q2)) − 총차입금 1033억 × 3.60%(주석 이자비용 ÷ 평균 총차입금(2025Q2~2026Q2)) (연율) ÷ 4
[interest]</t>
      </text>
    </comment>
    <comment ref="AF12" authorId="0" shapeId="0">
      <text>
        <t>추정: 이자발생자산 494억 × 4.00%(주석 이자수익 ÷ 평균 이자발생자산(2025Q2~2026Q2)) − 총차입금 1033억 × 3.60%(주석 이자비용 ÷ 평균 총차입금(2025Q2~2026Q2)) (연율) ÷ 4
[interest]</t>
      </text>
    </comment>
    <comment ref="AG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H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I12" authorId="0" shapeId="0">
      <text>
        <t>추정: 이자발생자산 563억 × 4.00%(주석 이자수익 ÷ 평균 이자발생자산(2025Q2~2026Q2)) − 총차입금 1033억 × 3.60%(주석 이자비용 ÷ 평균 총차입금(2025Q2~2026Q2)) (연율) ÷ 4
[interest]</t>
      </text>
    </comment>
    <comment ref="AK12" authorId="0" shapeId="0">
      <text>
        <t>추정: 이자발생자산 599억 × 4.00%(주석 이자수익 ÷ 평균 이자발생자산(2025Q2~2026Q2)) − 총차입금 1033억 × 3.60%(주석 이자비용 ÷ 평균 총차입금(2025Q2~2026Q2)) (연율) ÷ 4
[interest]</t>
      </text>
    </comment>
    <comment ref="AL12" authorId="0" shapeId="0">
      <text>
        <t>추정: 이자발생자산 635억 × 4.00%(주석 이자수익 ÷ 평균 이자발생자산(2025Q2~2026Q2)) − 총차입금 1033억 × 3.60%(주석 이자비용 ÷ 평균 총차입금(2025Q2~2026Q2)) (연율) ÷ 4
[interest]</t>
      </text>
    </comment>
    <comment ref="AM12" authorId="0" shapeId="0">
      <text>
        <t>추정: 이자발생자산 637억 × 4.00%(주석 이자수익 ÷ 평균 이자발생자산(2025Q2~2026Q2)) − 총차입금 1033억 × 3.60%(주석 이자비용 ÷ 평균 총차입금(2025Q2~2026Q2)) (연율) ÷ 4
[interest]</t>
      </text>
    </comment>
    <comment ref="AN12" authorId="0" shapeId="0">
      <text>
        <t>추정: 이자발생자산 672억 × 4.00%(주석 이자수익 ÷ 평균 이자발생자산(2025Q2~2026Q2)) − 총차입금 1033억 × 3.60%(주석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+11.05억이 이자손익 추정 -5.05억의 50% 초과 → 0(경고)
[abs]</t>
      </text>
    </comment>
    <comment ref="AD15" authorId="0" shapeId="0">
      <text>
        <t>추정: 최근 4분기 중위 +11.05억이 이자손익 추정 -5.05억의 50% 초과 → 0(경고)
[abs]</t>
      </text>
    </comment>
    <comment ref="AF15" authorId="0" shapeId="0">
      <text>
        <t>추정: 최근 4분기 중위 +11.05억이 이자손익 추정 -5.05억의 50% 초과 → 0(경고)
[abs]</t>
      </text>
    </comment>
    <comment ref="AG15" authorId="0" shapeId="0">
      <text>
        <t>추정: 최근 4분기 중위 +11.05억이 이자손익 추정 -5.05억의 50% 초과 → 0(경고)
[abs]</t>
      </text>
    </comment>
    <comment ref="AH15" authorId="0" shapeId="0">
      <text>
        <t>추정: 최근 4분기 중위 +11.05억이 이자손익 추정 -5.05억의 50% 초과 → 0(경고)
[abs]</t>
      </text>
    </comment>
    <comment ref="AI15" authorId="0" shapeId="0">
      <text>
        <t>추정: 최근 4분기 중위 +11.05억이 이자손익 추정 -5.05억의 50% 초과 → 0(경고)
[abs]</t>
      </text>
    </comment>
    <comment ref="AK15" authorId="0" shapeId="0">
      <text>
        <t>추정: 최근 4분기 중위 +11.05억이 이자손익 추정 -5.05억의 50% 초과 → 0(경고)
[abs]</t>
      </text>
    </comment>
    <comment ref="AL15" authorId="0" shapeId="0">
      <text>
        <t>추정: 최근 4분기 중위 +11.05억이 이자손익 추정 -5.05억의 50% 초과 → 0(경고)
[abs]</t>
      </text>
    </comment>
    <comment ref="AM15" authorId="0" shapeId="0">
      <text>
        <t>추정: 최근 4분기 중위 +11.05억이 이자손익 추정 -5.05억의 50% 초과 → 0(경고)
[abs]</t>
      </text>
    </comment>
    <comment ref="AN15" authorId="0" shapeId="0">
      <text>
        <t>추정: 최근 4분기 중위 +11.05억이 이자손익 추정 -5.05억의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[tax]</t>
      </text>
    </comment>
    <comment ref="AD19" authorId="0" shapeId="0">
      <text>
        <t>추정: max(세전, 0) × 세율 22.4%(최근 12분기 유효세율 22.4%(5~27% 안 — 그대로))
[tax]</t>
      </text>
    </comment>
    <comment ref="AF19" authorId="0" shapeId="0">
      <text>
        <t>추정: max(세전, 0) × 세율 22.4%(최근 12분기 유효세율 22.4%(5~27% 안 — 그대로))
[tax]</t>
      </text>
    </comment>
    <comment ref="AG19" authorId="0" shapeId="0">
      <text>
        <t>추정: max(세전, 0) × 세율 22.4%(최근 12분기 유효세율 22.4%(5~27% 안 — 그대로))
[tax]</t>
      </text>
    </comment>
    <comment ref="AH19" authorId="0" shapeId="0">
      <text>
        <t>추정: max(세전, 0) × 세율 22.4%(최근 12분기 유효세율 22.4%(5~27% 안 — 그대로))
[tax]</t>
      </text>
    </comment>
    <comment ref="AI19" authorId="0" shapeId="0">
      <text>
        <t>추정: max(세전, 0) × 세율 22.4%(최근 12분기 유효세율 22.4%(5~27% 안 — 그대로))
[tax]</t>
      </text>
    </comment>
    <comment ref="AK19" authorId="0" shapeId="0">
      <text>
        <t>추정: max(세전, 0) × 세율 22.4%(최근 12분기 유효세율 22.4%(5~27% 안 — 그대로))
[tax]</t>
      </text>
    </comment>
    <comment ref="AL19" authorId="0" shapeId="0">
      <text>
        <t>추정: max(세전, 0) × 세율 22.4%(최근 12분기 유효세율 22.4%(5~27% 안 — 그대로))
[tax]</t>
      </text>
    </comment>
    <comment ref="AM19" authorId="0" shapeId="0">
      <text>
        <t>추정: max(세전, 0) × 세율 22.4%(최근 12분기 유효세율 22.4%(5~27% 안 — 그대로))
[tax]</t>
      </text>
    </comment>
    <comment ref="AN19" authorId="0" shapeId="0">
      <text>
        <t>추정: max(세전, 0) × 세율 22.4%(최근 12분기 유효세율 22.4%(5~27%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250원 유지
[abs]</t>
      </text>
    </comment>
    <comment ref="AI35" authorId="0" shapeId="0">
      <text>
        <t>추정: 직전 결산 DPS 250원 유지
[abs]</t>
      </text>
    </comment>
    <comment ref="AN35" authorId="0" shapeId="0">
      <text>
        <t>추정: 직전 결산 DPS 250원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22.39% — 법인세 = MAX(세전,0) × 세율, 추정 전 분기 연결(Σ법인세/Σmax(세전,0) 역산, 재현 오차 ≤ 0.05억). 모델 가정 22.39% · 근거: 최근 12분기 유효세율 22.4%(5~27% 안 — 그대로)</t>
        </is>
      </c>
    </row>
    <row r="23">
      <c r="A23" t="inlineStr">
        <is>
          <t>· 판관비율 8.68%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4.00% / 부채 3.60% — 이자손익 = (전분기 이자발생자산 × 자산이자율 − 전분기 총차입금 × 부채이자율)/4, 최소자승 역산(모델 assumptions [0.04, 0.036]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assets/models/155660.json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-5.0억의 50% 초과 → 추정 0 — 평가손익·재분류 여부는 주석 확인 / 금융손익 실적→추정 단절: 최근 4분기 실적 +3/+4/+19/+77(중위 +12억) → 추정 2026Q3 -5억(차 -17억, -144%)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20" t="n">
        <v>4275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20" t="n">
        <v>4530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20" t="n">
        <v>4175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20" t="n">
        <v>4295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0.029823119</v>
      </c>
      <c r="AD21" s="24" t="n">
        <v>0.029822398</v>
      </c>
      <c r="AE21" s="25" t="n"/>
      <c r="AF21" s="24" t="n">
        <v>0.029824605</v>
      </c>
      <c r="AG21" s="24" t="n">
        <v>0.029814445</v>
      </c>
      <c r="AH21" s="24" t="n">
        <v>0.014905766</v>
      </c>
      <c r="AI21" s="24" t="n">
        <v>0.014901644</v>
      </c>
      <c r="AJ21" s="25" t="n"/>
      <c r="AK21" s="24" t="n">
        <v>0.014908476</v>
      </c>
      <c r="AL21" s="24" t="n">
        <v>0.01491568</v>
      </c>
      <c r="AM21" s="24" t="n">
        <v>0.007458765</v>
      </c>
      <c r="AN21" s="24" t="n">
        <v>0.007459532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0.056358363</v>
      </c>
      <c r="AD23" s="24" t="n">
        <v>0.056351179</v>
      </c>
      <c r="AE23" s="25">
        <f>IFERROR(subQ!AE9/subQ!AE5,"")</f>
        <v/>
      </c>
      <c r="AF23" s="24" t="n">
        <v>0.056352003</v>
      </c>
      <c r="AG23" s="24" t="n">
        <v>0.056360354</v>
      </c>
      <c r="AH23" s="24" t="n">
        <v>0.056350844</v>
      </c>
      <c r="AI23" s="24" t="n">
        <v>0.056356765</v>
      </c>
      <c r="AJ23" s="25">
        <f>IFERROR(subQ!AJ9/subQ!AJ5,"")</f>
        <v/>
      </c>
      <c r="AK23" s="24" t="n">
        <v>0.056351445</v>
      </c>
      <c r="AL23" s="24" t="n">
        <v>0.05635636</v>
      </c>
      <c r="AM23" s="24" t="n">
        <v>0.056353437</v>
      </c>
      <c r="AN23" s="24" t="n">
        <v>0.056359059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4.51</v>
      </c>
      <c r="AD28" s="30" t="n">
        <v>4.51</v>
      </c>
      <c r="AE28" s="31">
        <f>subQ!AE17</f>
        <v/>
      </c>
      <c r="AF28" s="30" t="n">
        <v>4.51</v>
      </c>
      <c r="AG28" s="30" t="n">
        <v>4.51</v>
      </c>
      <c r="AH28" s="30" t="n">
        <v>4.51</v>
      </c>
      <c r="AI28" s="30" t="n">
        <v>4.51</v>
      </c>
      <c r="AJ28" s="31">
        <f>subQ!AJ17</f>
        <v/>
      </c>
      <c r="AK28" s="30" t="n">
        <v>4.51</v>
      </c>
      <c r="AL28" s="30" t="n">
        <v>4.51</v>
      </c>
      <c r="AM28" s="30" t="n">
        <v>4.51</v>
      </c>
      <c r="AN28" s="30" t="n">
        <v>4.51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3.73e-07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-0.000374113</v>
      </c>
      <c r="AD32" s="30" t="n">
        <v>0.001272136</v>
      </c>
      <c r="AE32" s="31" t="n"/>
      <c r="AF32" s="30" t="n">
        <v>-0.0006795320000000001</v>
      </c>
      <c r="AG32" s="30" t="n">
        <v>40.002075613</v>
      </c>
      <c r="AH32" s="30" t="n">
        <v>0.00142807</v>
      </c>
      <c r="AI32" s="30" t="n">
        <v>-0.005560778</v>
      </c>
      <c r="AJ32" s="31" t="n"/>
      <c r="AK32" s="30" t="n">
        <v>0.005036746</v>
      </c>
      <c r="AL32" s="30" t="n">
        <v>39.995639294</v>
      </c>
      <c r="AM32" s="30" t="n">
        <v>0.002259437</v>
      </c>
      <c r="AN32" s="30" t="n">
        <v>0.001481555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0.004825887</v>
      </c>
      <c r="AD33" s="30" t="n">
        <v>-0.008727864</v>
      </c>
      <c r="AE33" s="31" t="n"/>
      <c r="AF33" s="30" t="n">
        <v>-0.0006795320000000001</v>
      </c>
      <c r="AG33" s="30" t="n">
        <v>40.012075613</v>
      </c>
      <c r="AH33" s="30" t="n">
        <v>-0.00857193</v>
      </c>
      <c r="AI33" s="30" t="n">
        <v>0.004439222</v>
      </c>
      <c r="AJ33" s="31" t="n"/>
      <c r="AK33" s="30" t="n">
        <v>-0.004963254</v>
      </c>
      <c r="AL33" s="30" t="n">
        <v>40.005639294</v>
      </c>
      <c r="AM33" s="30" t="n">
        <v>0.002259437</v>
      </c>
      <c r="AN33" s="30" t="n">
        <v>0.001481555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-3.581e-06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-0.036304685</v>
      </c>
      <c r="AD35" s="24" t="n">
        <v>-0.039136057</v>
      </c>
      <c r="AE35" s="25" t="n"/>
      <c r="AF35" s="24" t="n">
        <v>-0.040718266</v>
      </c>
      <c r="AG35" s="24" t="n">
        <v>-0.000135376</v>
      </c>
      <c r="AH35" s="24" t="n">
        <v>-0.042464674</v>
      </c>
      <c r="AI35" s="24" t="n">
        <v>-0.046057537</v>
      </c>
      <c r="AJ35" s="25" t="n"/>
      <c r="AK35" s="24" t="n">
        <v>-0.048254302</v>
      </c>
      <c r="AL35" s="24" t="n">
        <v>-0.002166218</v>
      </c>
      <c r="AM35" s="24" t="n">
        <v>-0.050498744</v>
      </c>
      <c r="AN35" s="24" t="n">
        <v>-0.055186945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0.07783538500000001</v>
      </c>
      <c r="AD36" s="24" t="n">
        <v>0.075021202</v>
      </c>
      <c r="AE36" s="25" t="n"/>
      <c r="AF36" s="24" t="n">
        <v>0.06976556</v>
      </c>
      <c r="AG36" s="24" t="n">
        <v>0.000207995</v>
      </c>
      <c r="AH36" s="24" t="n">
        <v>0.06522109</v>
      </c>
      <c r="AI36" s="24" t="n">
        <v>0.063588124</v>
      </c>
      <c r="AJ36" s="25" t="n"/>
      <c r="AK36" s="24" t="n">
        <v>0.059753045</v>
      </c>
      <c r="AL36" s="24" t="n">
        <v>0.002409032</v>
      </c>
      <c r="AM36" s="24" t="n">
        <v>0.055902865</v>
      </c>
      <c r="AN36" s="24" t="n">
        <v>0.054936554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-0.078071112</v>
      </c>
      <c r="AD38" s="24" t="n">
        <v>-0.421225267</v>
      </c>
      <c r="AE38" s="25" t="n"/>
      <c r="AF38" s="24" t="n">
        <v>0.09227148</v>
      </c>
      <c r="AG38" s="24" t="n">
        <v>1.643980956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250</v>
      </c>
      <c r="AE41" s="31">
        <f>subQ!AE35</f>
        <v/>
      </c>
      <c r="AF41" s="33" t="n"/>
      <c r="AG41" s="33" t="n"/>
      <c r="AH41" s="33" t="n"/>
      <c r="AI41" s="30" t="n">
        <v>250</v>
      </c>
      <c r="AJ41" s="31">
        <f>subQ!AJ35</f>
        <v/>
      </c>
      <c r="AK41" s="33" t="n"/>
      <c r="AL41" s="33" t="n"/>
      <c r="AM41" s="33" t="n"/>
      <c r="AN41" s="30" t="n">
        <v>250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4275</v>
      </c>
      <c r="E44" s="2" t="inlineStr">
        <is>
          <t>원 — 네이버 정규장 종가(aik 확정종가 대조 · aik 4,250원)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0.2238588678598955</v>
      </c>
      <c r="E51" s="2" t="inlineStr">
        <is>
          <t>연결 — 법인세 = MAX(세전,0) × 세율(역산, 재현 오차 ≤ 0.05억 · 모델 assumptions 0.2239) · 최근 12분기 유효세율 22.4%(5~27%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0.08680556832600821</v>
      </c>
      <c r="E52" s="2" t="inlineStr">
        <is>
          <t>연결 — 판관비 = 매출액 × 판관비율(역산, 재현 오차 ≤ 0.05억 · 모델 assumptions 0.0868)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0.03995373376378581</v>
      </c>
      <c r="E54" s="2" t="inlineStr">
        <is>
          <t>연결 — 이자손익 = (전분기 이자발생자산 × 자산이자율 − 전분기 총차입금 × 부채이자율)/4(역산,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0.03604608088321742</v>
      </c>
      <c r="E55" s="2" t="inlineStr">
        <is>
          <t>연결 — 같은 수식의 부채 쪽(총차입금 행이 없으면 0)(역산, 재현 오차 ≤ 0.05억 · 모델 assumptions 0.036)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7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7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7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7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7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7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7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7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7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7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7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7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7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7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7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7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7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7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7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7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7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7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7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7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7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7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7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7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7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7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7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7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7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7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7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7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7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7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7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7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7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7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7" t="n">
        <v>150.9</v>
      </c>
      <c r="Q14" s="18" t="n">
        <v>189.56</v>
      </c>
      <c r="R14" s="18" t="n">
        <v>180.55</v>
      </c>
      <c r="T14" s="18" t="n">
        <v>167.95</v>
      </c>
      <c r="U14" s="37" t="n">
        <v>167.95</v>
      </c>
      <c r="Y14" s="18" t="n">
        <v>215.43</v>
      </c>
      <c r="Z14" s="37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7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7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7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7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7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7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7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7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7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7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7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7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7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7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7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7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7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7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7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7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7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7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7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7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7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7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7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7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7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7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7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7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7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7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7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7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7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7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7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7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7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7" t="n">
        <v>75120.37</v>
      </c>
      <c r="L23" s="18" t="n">
        <v>74330.69</v>
      </c>
      <c r="M23" s="18" t="n">
        <v>75073.09</v>
      </c>
      <c r="N23" s="18" t="n">
        <v>71808.71000000001</v>
      </c>
      <c r="O23" s="18" t="n">
        <v>61272.91</v>
      </c>
      <c r="P23" s="37" t="n">
        <v>61272.91</v>
      </c>
      <c r="Q23" s="18" t="n">
        <v>62864.1</v>
      </c>
      <c r="R23" s="18" t="n">
        <v>69981.25</v>
      </c>
      <c r="S23" s="18" t="n">
        <v>63440.74</v>
      </c>
      <c r="T23" s="18" t="n">
        <v>65314.24</v>
      </c>
      <c r="U23" s="37" t="n">
        <v>65314.24</v>
      </c>
      <c r="V23" s="18" t="n">
        <v>66666.45</v>
      </c>
      <c r="W23" s="18" t="n">
        <v>73201.53999999999</v>
      </c>
      <c r="X23" s="18" t="n">
        <v>72335.45</v>
      </c>
      <c r="Y23" s="18" t="n">
        <v>83961.72</v>
      </c>
      <c r="Z23" s="37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7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7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7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7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7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7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7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7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7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7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7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7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7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7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7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7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7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7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7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7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7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7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7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7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7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7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7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7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7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7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7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7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7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7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7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7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7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7" t="n">
        <v>18036.43</v>
      </c>
      <c r="Q31" s="18" t="n">
        <v>15133.6</v>
      </c>
      <c r="R31" s="18" t="n">
        <v>13094.57</v>
      </c>
      <c r="S31" s="18" t="n">
        <v>12854.74</v>
      </c>
      <c r="T31" s="18" t="n">
        <v>14483.09</v>
      </c>
      <c r="U31" s="37" t="n">
        <v>14483.09</v>
      </c>
      <c r="V31" s="18" t="n">
        <v>12918.6</v>
      </c>
      <c r="W31" s="18" t="n">
        <v>12539.84</v>
      </c>
      <c r="X31" s="18" t="n">
        <v>11914.45</v>
      </c>
      <c r="Y31" s="18" t="n">
        <v>11465.22</v>
      </c>
      <c r="Z31" s="37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7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7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7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7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7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7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7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7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7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7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7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7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7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7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7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7" t="n">
        <v>0</v>
      </c>
      <c r="O36" s="18" t="n">
        <v>0</v>
      </c>
      <c r="P36" s="37" t="n">
        <v>0</v>
      </c>
      <c r="T36" s="18" t="n">
        <v>0</v>
      </c>
      <c r="U36" s="37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7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7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7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7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7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7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7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7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7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7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7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7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7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7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7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7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7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7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7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7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7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7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7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7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7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7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7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7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7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7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7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7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7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7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7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7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7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7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7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7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7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7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7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7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7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7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7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7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7" t="n">
        <v>108918.07</v>
      </c>
      <c r="L47" s="18" t="n">
        <v>105103.91</v>
      </c>
      <c r="M47" s="18" t="n">
        <v>103933.47</v>
      </c>
      <c r="N47" s="18" t="n">
        <v>96397.49000000001</v>
      </c>
      <c r="O47" s="18" t="n">
        <v>90920.5</v>
      </c>
      <c r="P47" s="37" t="n">
        <v>90920.5</v>
      </c>
      <c r="Q47" s="18" t="n">
        <v>89608.86</v>
      </c>
      <c r="R47" s="18" t="n">
        <v>93631.32000000001</v>
      </c>
      <c r="S47" s="18" t="n">
        <v>84739.88</v>
      </c>
      <c r="T47" s="18" t="n">
        <v>85075.08</v>
      </c>
      <c r="U47" s="37" t="n">
        <v>85075.08</v>
      </c>
      <c r="V47" s="18" t="n">
        <v>81696.14999999999</v>
      </c>
      <c r="W47" s="18" t="n">
        <v>85741.38</v>
      </c>
      <c r="X47" s="18" t="n">
        <v>84249.89999999999</v>
      </c>
      <c r="Y47" s="18" t="n">
        <v>95426.94</v>
      </c>
      <c r="Z47" s="37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7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7" t="n">
        <v>100262.3</v>
      </c>
      <c r="L48" s="18" t="n">
        <v>103408.69</v>
      </c>
      <c r="M48" s="18" t="n">
        <v>100071.9</v>
      </c>
      <c r="N48" s="18" t="n">
        <v>86689.07000000001</v>
      </c>
      <c r="O48" s="18" t="n">
        <v>84794.37</v>
      </c>
      <c r="P48" s="37" t="n">
        <v>84794.37</v>
      </c>
      <c r="Q48" s="18" t="n">
        <v>85716.71000000001</v>
      </c>
      <c r="R48" s="18" t="n">
        <v>85438.00999999999</v>
      </c>
      <c r="S48" s="18" t="n">
        <v>74865.11</v>
      </c>
      <c r="T48" s="18" t="n">
        <v>78091.27</v>
      </c>
      <c r="U48" s="37" t="n">
        <v>78091.27</v>
      </c>
      <c r="V48" s="18" t="n">
        <v>73927.10000000001</v>
      </c>
      <c r="W48" s="18" t="n">
        <v>70302.2</v>
      </c>
      <c r="X48" s="18" t="n">
        <v>74463.53</v>
      </c>
      <c r="Y48" s="18" t="n">
        <v>79723.28</v>
      </c>
      <c r="Z48" s="37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7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7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7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7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7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7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7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7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7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7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7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7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7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12854.74</v>
      </c>
      <c r="T53" s="18" t="n">
        <v>14483.09</v>
      </c>
      <c r="U53" s="37" t="n">
        <v>14483.09</v>
      </c>
      <c r="V53" s="18" t="n">
        <v>12918.6</v>
      </c>
      <c r="W53" s="18" t="n">
        <v>12539.84</v>
      </c>
      <c r="X53" s="18" t="n">
        <v>11914.45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7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7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Z55" s="9" t="n"/>
      <c r="AA55" s="18" t="n">
        <v>78598.02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71758.37</v>
      </c>
      <c r="F56" s="9" t="n"/>
      <c r="G56" s="18" t="n">
        <v>87227.31</v>
      </c>
      <c r="H56" s="18" t="n">
        <v>94795.31</v>
      </c>
      <c r="I56" s="18" t="n">
        <v>97636.39</v>
      </c>
      <c r="J56" s="18" t="n">
        <v>87797.83</v>
      </c>
      <c r="K56" s="37" t="n">
        <v>367456.84</v>
      </c>
      <c r="L56" s="18" t="n">
        <v>71396.46000000001</v>
      </c>
      <c r="M56" s="18" t="n">
        <v>79811.05</v>
      </c>
      <c r="N56" s="18" t="n">
        <v>71585.42</v>
      </c>
      <c r="O56" s="18" t="n">
        <v>68302.14999999999</v>
      </c>
      <c r="P56" s="37" t="n">
        <v>291095.08</v>
      </c>
      <c r="Q56" s="18" t="n">
        <v>68123.56</v>
      </c>
      <c r="R56" s="18" t="n">
        <v>75451.32000000001</v>
      </c>
      <c r="S56" s="18" t="n">
        <v>74179.03999999999</v>
      </c>
      <c r="T56" s="18" t="n">
        <v>82055.21000000001</v>
      </c>
      <c r="U56" s="37" t="n">
        <v>299809.13</v>
      </c>
      <c r="V56" s="18" t="n">
        <v>74084.8</v>
      </c>
      <c r="W56" s="18" t="n">
        <v>76690.59</v>
      </c>
      <c r="X56" s="18" t="n">
        <v>74656.50999999999</v>
      </c>
      <c r="Y56" s="18" t="n">
        <v>76957.92999999999</v>
      </c>
      <c r="Z56" s="37" t="n">
        <v>302389.83</v>
      </c>
      <c r="AA56" s="18" t="n">
        <v>76336.3</v>
      </c>
      <c r="AB56" s="19" t="n">
        <v>88213.95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63963.59</v>
      </c>
      <c r="F57" s="9" t="n"/>
      <c r="G57" s="18" t="n">
        <v>71973.42999999999</v>
      </c>
      <c r="H57" s="18" t="n">
        <v>79968.98</v>
      </c>
      <c r="I57" s="18" t="n">
        <v>78994.57000000001</v>
      </c>
      <c r="J57" s="18" t="n">
        <v>73814.25</v>
      </c>
      <c r="K57" s="37" t="n">
        <v>304751.23</v>
      </c>
      <c r="L57" s="18" t="n">
        <v>59752.4</v>
      </c>
      <c r="M57" s="18" t="n">
        <v>66822.56</v>
      </c>
      <c r="N57" s="18" t="n">
        <v>59655.82</v>
      </c>
      <c r="O57" s="18" t="n">
        <v>56707.52</v>
      </c>
      <c r="P57" s="37" t="n">
        <v>242938.3</v>
      </c>
      <c r="Q57" s="18" t="n">
        <v>57885.15</v>
      </c>
      <c r="R57" s="18" t="n">
        <v>63680.81</v>
      </c>
      <c r="S57" s="18" t="n">
        <v>63524.67</v>
      </c>
      <c r="T57" s="18" t="n">
        <v>69986.67</v>
      </c>
      <c r="U57" s="37" t="n">
        <v>255077.3</v>
      </c>
      <c r="V57" s="18" t="n">
        <v>62570.18</v>
      </c>
      <c r="W57" s="18" t="n">
        <v>65781.28</v>
      </c>
      <c r="X57" s="18" t="n">
        <v>62695.69</v>
      </c>
      <c r="Y57" s="18" t="n">
        <v>64803.22</v>
      </c>
      <c r="Z57" s="37" t="n">
        <v>255850.37</v>
      </c>
      <c r="AA57" s="18" t="n">
        <v>63776.77</v>
      </c>
      <c r="AB57" s="19" t="n">
        <v>76465.48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7794.78</v>
      </c>
      <c r="F58" s="9" t="n"/>
      <c r="G58" s="18" t="n">
        <v>15253.88</v>
      </c>
      <c r="H58" s="18" t="n">
        <v>14826.34</v>
      </c>
      <c r="I58" s="18" t="n">
        <v>18641.81</v>
      </c>
      <c r="J58" s="18" t="n">
        <v>13983.57</v>
      </c>
      <c r="K58" s="37" t="n">
        <v>62705.6</v>
      </c>
      <c r="L58" s="18" t="n">
        <v>11644.06</v>
      </c>
      <c r="M58" s="18" t="n">
        <v>12988.49</v>
      </c>
      <c r="N58" s="18" t="n">
        <v>11929.6</v>
      </c>
      <c r="O58" s="18" t="n">
        <v>11594.63</v>
      </c>
      <c r="P58" s="37" t="n">
        <v>48156.78</v>
      </c>
      <c r="Q58" s="18" t="n">
        <v>10238.41</v>
      </c>
      <c r="R58" s="18" t="n">
        <v>11770.5</v>
      </c>
      <c r="S58" s="18" t="n">
        <v>10654.37</v>
      </c>
      <c r="T58" s="18" t="n">
        <v>12068.55</v>
      </c>
      <c r="U58" s="37" t="n">
        <v>44731.83</v>
      </c>
      <c r="V58" s="18" t="n">
        <v>11514.62</v>
      </c>
      <c r="W58" s="18" t="n">
        <v>10909.31</v>
      </c>
      <c r="X58" s="18" t="n">
        <v>11960.83</v>
      </c>
      <c r="Y58" s="18" t="n">
        <v>12154.71</v>
      </c>
      <c r="Z58" s="37" t="n">
        <v>46539.47</v>
      </c>
      <c r="AA58" s="18" t="n">
        <v>12559.53</v>
      </c>
      <c r="AB58" s="19" t="n">
        <v>11748.47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6682.63</v>
      </c>
      <c r="F59" s="9" t="n"/>
      <c r="G59" s="18" t="n">
        <v>5582.29</v>
      </c>
      <c r="H59" s="18" t="n">
        <v>7593.12</v>
      </c>
      <c r="I59" s="18" t="n">
        <v>5870.9</v>
      </c>
      <c r="J59" s="18" t="n">
        <v>7884.39</v>
      </c>
      <c r="K59" s="37" t="n">
        <v>26930.7</v>
      </c>
      <c r="L59" s="18" t="n">
        <v>5448.72</v>
      </c>
      <c r="M59" s="18" t="n">
        <v>6631.42</v>
      </c>
      <c r="N59" s="18" t="n">
        <v>5215.6</v>
      </c>
      <c r="O59" s="18" t="n">
        <v>6599.2</v>
      </c>
      <c r="P59" s="37" t="n">
        <v>23894.94</v>
      </c>
      <c r="Q59" s="18" t="n">
        <v>5121.17</v>
      </c>
      <c r="R59" s="18" t="n">
        <v>6628.32</v>
      </c>
      <c r="S59" s="18" t="n">
        <v>9064.82</v>
      </c>
      <c r="T59" s="18" t="n">
        <v>8577</v>
      </c>
      <c r="U59" s="37" t="n">
        <v>29391.31</v>
      </c>
      <c r="V59" s="18" t="n">
        <v>5786.61</v>
      </c>
      <c r="W59" s="18" t="n">
        <v>7958.67</v>
      </c>
      <c r="X59" s="18" t="n">
        <v>6466.92</v>
      </c>
      <c r="Y59" s="18" t="n">
        <v>7035.52</v>
      </c>
      <c r="Z59" s="37" t="n">
        <v>27247.72</v>
      </c>
      <c r="AA59" s="18" t="n">
        <v>5885.67</v>
      </c>
      <c r="AB59" s="19" t="n">
        <v>7673.56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1112.15</v>
      </c>
      <c r="F60" s="9" t="n"/>
      <c r="G60" s="18" t="n">
        <v>9671.59</v>
      </c>
      <c r="H60" s="18" t="n">
        <v>7233.21</v>
      </c>
      <c r="I60" s="18" t="n">
        <v>12770.91</v>
      </c>
      <c r="J60" s="18" t="n">
        <v>6099.18</v>
      </c>
      <c r="K60" s="37" t="n">
        <v>35774.89</v>
      </c>
      <c r="L60" s="18" t="n">
        <v>6195.34</v>
      </c>
      <c r="M60" s="18" t="n">
        <v>6357.08</v>
      </c>
      <c r="N60" s="18" t="n">
        <v>6714</v>
      </c>
      <c r="O60" s="18" t="n">
        <v>4995.43</v>
      </c>
      <c r="P60" s="37" t="n">
        <v>24261.85</v>
      </c>
      <c r="Q60" s="18" t="n">
        <v>5117.24</v>
      </c>
      <c r="R60" s="18" t="n">
        <v>5142.18</v>
      </c>
      <c r="S60" s="18" t="n">
        <v>1589.55</v>
      </c>
      <c r="T60" s="18" t="n">
        <v>3491.54</v>
      </c>
      <c r="U60" s="37" t="n">
        <v>15340.51</v>
      </c>
      <c r="V60" s="18" t="n">
        <v>5728.01</v>
      </c>
      <c r="W60" s="18" t="n">
        <v>2950.64</v>
      </c>
      <c r="X60" s="18" t="n">
        <v>5493.9</v>
      </c>
      <c r="Y60" s="18" t="n">
        <v>5119.2</v>
      </c>
      <c r="Z60" s="37" t="n">
        <v>19291.75</v>
      </c>
      <c r="AA60" s="18" t="n">
        <v>6673.85</v>
      </c>
      <c r="AB60" s="19" t="n">
        <v>4074.91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103.84</v>
      </c>
      <c r="F61" s="9" t="n"/>
      <c r="G61" s="18" t="n">
        <v>992.79</v>
      </c>
      <c r="H61" s="18" t="n">
        <v>2148.48</v>
      </c>
      <c r="I61" s="18" t="n">
        <v>3198.08</v>
      </c>
      <c r="J61" s="18" t="n">
        <v>23.36</v>
      </c>
      <c r="K61" s="37" t="n">
        <v>6362.71</v>
      </c>
      <c r="L61" s="18" t="n">
        <v>1284.65</v>
      </c>
      <c r="M61" s="18" t="n">
        <v>1021.86</v>
      </c>
      <c r="N61" s="18" t="n">
        <v>966.5</v>
      </c>
      <c r="O61" s="18" t="n">
        <v>130.74</v>
      </c>
      <c r="P61" s="37" t="n">
        <v>3403.75</v>
      </c>
      <c r="Q61" s="18" t="n">
        <v>1378.58</v>
      </c>
      <c r="R61" s="18" t="n">
        <v>1334.51</v>
      </c>
      <c r="S61" s="18" t="n">
        <v>3212.7</v>
      </c>
      <c r="T61" s="18" t="n">
        <v>4212.29</v>
      </c>
      <c r="U61" s="37" t="n">
        <v>10138.08</v>
      </c>
      <c r="V61" s="18" t="n">
        <v>1019.95</v>
      </c>
      <c r="W61" s="18" t="n">
        <v>744</v>
      </c>
      <c r="X61" s="18" t="n">
        <v>710.1</v>
      </c>
      <c r="Y61" s="18" t="n">
        <v>878.26</v>
      </c>
      <c r="Z61" s="37" t="n">
        <v>3352.31</v>
      </c>
      <c r="AA61" s="18" t="n">
        <v>3968.49</v>
      </c>
      <c r="AB61" s="19" t="n">
        <v>2306.16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-258.43</v>
      </c>
      <c r="F62" s="9" t="n"/>
      <c r="G62" s="18" t="n">
        <v>446.75</v>
      </c>
      <c r="H62" s="18" t="n">
        <v>670.35</v>
      </c>
      <c r="I62" s="18" t="n">
        <v>1193.88</v>
      </c>
      <c r="J62" s="18" t="n">
        <v>3041.1</v>
      </c>
      <c r="K62" s="37" t="n">
        <v>5352.08</v>
      </c>
      <c r="L62" s="18" t="n">
        <v>766.37</v>
      </c>
      <c r="M62" s="18" t="n">
        <v>507.7</v>
      </c>
      <c r="N62" s="18" t="n">
        <v>366.68</v>
      </c>
      <c r="O62" s="18" t="n">
        <v>2461.44</v>
      </c>
      <c r="P62" s="37" t="n">
        <v>4102.19</v>
      </c>
      <c r="Q62" s="18" t="n">
        <v>399.68</v>
      </c>
      <c r="R62" s="18" t="n">
        <v>1065.55</v>
      </c>
      <c r="S62" s="18" t="n">
        <v>886.84</v>
      </c>
      <c r="T62" s="18" t="n">
        <v>3063.51</v>
      </c>
      <c r="U62" s="37" t="n">
        <v>5415.58</v>
      </c>
      <c r="V62" s="18" t="n">
        <v>1340.01</v>
      </c>
      <c r="W62" s="18" t="n">
        <v>5222.82</v>
      </c>
      <c r="X62" s="18" t="n">
        <v>-1884.14</v>
      </c>
      <c r="Y62" s="18" t="n">
        <v>1357.69</v>
      </c>
      <c r="Z62" s="37" t="n">
        <v>6036.38</v>
      </c>
      <c r="AA62" s="18" t="n">
        <v>698.6799999999999</v>
      </c>
      <c r="AB62" s="19" t="n">
        <v>632.3099999999999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1268.44</v>
      </c>
      <c r="F63" s="9" t="n"/>
      <c r="G63" s="18" t="n">
        <v>1253.26</v>
      </c>
      <c r="H63" s="18" t="n">
        <v>2406.58</v>
      </c>
      <c r="I63" s="18" t="n">
        <v>2596.91</v>
      </c>
      <c r="J63" s="18" t="n">
        <v>3911.5</v>
      </c>
      <c r="K63" s="37" t="n">
        <v>10168.25</v>
      </c>
      <c r="L63" s="18" t="n">
        <v>4186.17</v>
      </c>
      <c r="M63" s="18" t="n">
        <v>2866.07</v>
      </c>
      <c r="N63" s="18" t="n">
        <v>1901.41</v>
      </c>
      <c r="O63" s="18" t="n">
        <v>4180.66</v>
      </c>
      <c r="P63" s="37" t="n">
        <v>13134.31</v>
      </c>
      <c r="Q63" s="18" t="n">
        <v>2978.11</v>
      </c>
      <c r="R63" s="18" t="n">
        <v>2662.45</v>
      </c>
      <c r="S63" s="18" t="n">
        <v>2693.03</v>
      </c>
      <c r="T63" s="18" t="n">
        <v>2099.09</v>
      </c>
      <c r="U63" s="37" t="n">
        <v>10432.68</v>
      </c>
      <c r="V63" s="18" t="n">
        <v>1794.05</v>
      </c>
      <c r="W63" s="18" t="n">
        <v>2971.98</v>
      </c>
      <c r="X63" s="18" t="n">
        <v>2111.45</v>
      </c>
      <c r="Y63" s="18" t="n">
        <v>2155.05</v>
      </c>
      <c r="Z63" s="37" t="n">
        <v>9032.530000000001</v>
      </c>
      <c r="AA63" s="18" t="n">
        <v>3907.26</v>
      </c>
      <c r="AB63" s="19" t="n">
        <v>9163.120000000001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1263.3</v>
      </c>
      <c r="F64" s="9" t="n"/>
      <c r="G64" s="18" t="n">
        <v>1423.08</v>
      </c>
      <c r="H64" s="18" t="n">
        <v>4486.69</v>
      </c>
      <c r="I64" s="18" t="n">
        <v>5055.62</v>
      </c>
      <c r="J64" s="18" t="n">
        <v>3659.43</v>
      </c>
      <c r="K64" s="37" t="n">
        <v>14624.82</v>
      </c>
      <c r="L64" s="18" t="n">
        <v>4551.15</v>
      </c>
      <c r="M64" s="18" t="n">
        <v>3717.47</v>
      </c>
      <c r="N64" s="18" t="n">
        <v>2851.49</v>
      </c>
      <c r="O64" s="18" t="n">
        <v>3222.95</v>
      </c>
      <c r="P64" s="37" t="n">
        <v>14343.06</v>
      </c>
      <c r="Q64" s="18" t="n">
        <v>3237.85</v>
      </c>
      <c r="R64" s="18" t="n">
        <v>2810.22</v>
      </c>
      <c r="S64" s="18" t="n">
        <v>2611.4</v>
      </c>
      <c r="T64" s="18" t="n">
        <v>2873.39</v>
      </c>
      <c r="U64" s="37" t="n">
        <v>11532.86</v>
      </c>
      <c r="V64" s="18" t="n">
        <v>2150.19</v>
      </c>
      <c r="W64" s="18" t="n">
        <v>2053.85</v>
      </c>
      <c r="X64" s="18" t="n">
        <v>1787.16</v>
      </c>
      <c r="Y64" s="18" t="n">
        <v>1730.13</v>
      </c>
      <c r="Z64" s="37" t="n">
        <v>7721.33</v>
      </c>
      <c r="AA64" s="18" t="n">
        <v>2028.97</v>
      </c>
      <c r="AB64" s="19" t="n">
        <v>1446.7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1479.57</v>
      </c>
      <c r="F65" s="9" t="n"/>
      <c r="G65" s="18" t="n">
        <v>10047.82</v>
      </c>
      <c r="H65" s="18" t="n">
        <v>6631.25</v>
      </c>
      <c r="I65" s="18" t="n">
        <v>12316.41</v>
      </c>
      <c r="J65" s="18" t="n">
        <v>3333.5</v>
      </c>
      <c r="K65" s="37" t="n">
        <v>32328.98</v>
      </c>
      <c r="L65" s="18" t="n">
        <v>6348.64</v>
      </c>
      <c r="M65" s="18" t="n">
        <v>6019.82</v>
      </c>
      <c r="N65" s="18" t="n">
        <v>6363.74</v>
      </c>
      <c r="O65" s="18" t="n">
        <v>3622.46</v>
      </c>
      <c r="P65" s="37" t="n">
        <v>22354.66</v>
      </c>
      <c r="Q65" s="18" t="n">
        <v>5836.39</v>
      </c>
      <c r="R65" s="18" t="n">
        <v>5263.37</v>
      </c>
      <c r="S65" s="18" t="n">
        <v>3997.04</v>
      </c>
      <c r="T65" s="18" t="n">
        <v>4168.8</v>
      </c>
      <c r="U65" s="37" t="n">
        <v>19265.6</v>
      </c>
      <c r="V65" s="18" t="n">
        <v>5303.35</v>
      </c>
      <c r="W65" s="18" t="n">
        <v>-119.63</v>
      </c>
      <c r="X65" s="18" t="n">
        <v>8789.52</v>
      </c>
      <c r="Y65" s="18" t="n">
        <v>5402.44</v>
      </c>
      <c r="Z65" s="37" t="n">
        <v>19375.68</v>
      </c>
      <c r="AA65" s="18" t="n">
        <v>12346.59</v>
      </c>
      <c r="AB65" s="19" t="n">
        <v>14200.79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139.05</v>
      </c>
      <c r="F66" s="9" t="n"/>
      <c r="G66" s="18" t="n">
        <v>2361.32</v>
      </c>
      <c r="H66" s="18" t="n">
        <v>1166.53</v>
      </c>
      <c r="I66" s="18" t="n">
        <v>2518.1</v>
      </c>
      <c r="J66" s="18" t="n">
        <v>1735.25</v>
      </c>
      <c r="K66" s="37" t="n">
        <v>7781.2</v>
      </c>
      <c r="L66" s="18" t="n">
        <v>1759.03</v>
      </c>
      <c r="M66" s="18" t="n">
        <v>1204.87</v>
      </c>
      <c r="N66" s="18" t="n">
        <v>901.8099999999999</v>
      </c>
      <c r="O66" s="18" t="n">
        <v>938.99</v>
      </c>
      <c r="P66" s="37" t="n">
        <v>4804.7</v>
      </c>
      <c r="Q66" s="18" t="n">
        <v>1229.12</v>
      </c>
      <c r="R66" s="18" t="n">
        <v>588.26</v>
      </c>
      <c r="S66" s="18" t="n">
        <v>839.49</v>
      </c>
      <c r="T66" s="18" t="n">
        <v>2095.93</v>
      </c>
      <c r="U66" s="37" t="n">
        <v>4752.8</v>
      </c>
      <c r="V66" s="18" t="n">
        <v>1102.67</v>
      </c>
      <c r="W66" s="18" t="n">
        <v>3.72</v>
      </c>
      <c r="X66" s="18" t="n">
        <v>1501</v>
      </c>
      <c r="Y66" s="18" t="n">
        <v>1900.05</v>
      </c>
      <c r="Z66" s="37" t="n">
        <v>4507.44</v>
      </c>
      <c r="AA66" s="18" t="n">
        <v>2562.93</v>
      </c>
      <c r="AB66" s="19" t="n">
        <v>3166.62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1340.51</v>
      </c>
      <c r="F67" s="9" t="n"/>
      <c r="G67" s="18" t="n">
        <v>7686.49</v>
      </c>
      <c r="H67" s="18" t="n">
        <v>5464.72</v>
      </c>
      <c r="I67" s="18" t="n">
        <v>9798.309999999999</v>
      </c>
      <c r="J67" s="18" t="n">
        <v>1598.26</v>
      </c>
      <c r="K67" s="37" t="n">
        <v>24547.78</v>
      </c>
      <c r="L67" s="18" t="n">
        <v>4589.61</v>
      </c>
      <c r="M67" s="18" t="n">
        <v>4814.95</v>
      </c>
      <c r="N67" s="18" t="n">
        <v>5461.93</v>
      </c>
      <c r="O67" s="18" t="n">
        <v>2683.47</v>
      </c>
      <c r="P67" s="37" t="n">
        <v>17549.96</v>
      </c>
      <c r="Q67" s="18" t="n">
        <v>4607.27</v>
      </c>
      <c r="R67" s="18" t="n">
        <v>4675.11</v>
      </c>
      <c r="S67" s="18" t="n">
        <v>3157.55</v>
      </c>
      <c r="T67" s="18" t="n">
        <v>2072.88</v>
      </c>
      <c r="U67" s="37" t="n">
        <v>14512.81</v>
      </c>
      <c r="V67" s="18" t="n">
        <v>4200.68</v>
      </c>
      <c r="W67" s="18" t="n">
        <v>-123.35</v>
      </c>
      <c r="X67" s="18" t="n">
        <v>7288.52</v>
      </c>
      <c r="Y67" s="18" t="n">
        <v>3502.39</v>
      </c>
      <c r="Z67" s="37" t="n">
        <v>14868.24</v>
      </c>
      <c r="AA67" s="18" t="n">
        <v>9783.66</v>
      </c>
      <c r="AB67" s="19" t="n">
        <v>11034.17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1325</v>
      </c>
      <c r="F68" s="9" t="n"/>
      <c r="G68" s="18" t="n">
        <v>7625.69</v>
      </c>
      <c r="H68" s="18" t="n">
        <v>5202.98</v>
      </c>
      <c r="I68" s="18" t="n">
        <v>9590.5</v>
      </c>
      <c r="J68" s="18" t="n">
        <v>1606.37</v>
      </c>
      <c r="K68" s="37" t="n">
        <v>24025.54</v>
      </c>
      <c r="L68" s="18" t="n">
        <v>4704.32</v>
      </c>
      <c r="M68" s="18" t="n">
        <v>4680.82</v>
      </c>
      <c r="N68" s="18" t="n">
        <v>5369.28</v>
      </c>
      <c r="O68" s="18" t="n">
        <v>2731.26</v>
      </c>
      <c r="P68" s="37" t="n">
        <v>17485.68</v>
      </c>
      <c r="Q68" s="18" t="n">
        <v>4638.07</v>
      </c>
      <c r="R68" s="18" t="n">
        <v>4521.83</v>
      </c>
      <c r="S68" s="18" t="n">
        <v>3226.39</v>
      </c>
      <c r="T68" s="18" t="n">
        <v>2158.04</v>
      </c>
      <c r="U68" s="37" t="n">
        <v>14544.33</v>
      </c>
      <c r="V68" s="18" t="n">
        <v>4253.54</v>
      </c>
      <c r="W68" s="18" t="n">
        <v>-29.8</v>
      </c>
      <c r="X68" s="18" t="n">
        <v>7313.99</v>
      </c>
      <c r="Y68" s="18" t="n">
        <v>3423.71</v>
      </c>
      <c r="Z68" s="37" t="n">
        <v>14961.44</v>
      </c>
      <c r="AA68" s="18" t="n">
        <v>9788.51</v>
      </c>
      <c r="AB68" s="19" t="n">
        <v>11003.65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15.53</v>
      </c>
      <c r="F69" s="9" t="n"/>
      <c r="G69" s="18" t="n">
        <v>60.8</v>
      </c>
      <c r="H69" s="18" t="n">
        <v>261.74</v>
      </c>
      <c r="I69" s="18" t="n">
        <v>207.81</v>
      </c>
      <c r="J69" s="18" t="n">
        <v>-8.109999999999999</v>
      </c>
      <c r="K69" s="37" t="n">
        <v>522.24</v>
      </c>
      <c r="L69" s="18" t="n">
        <v>-114.71</v>
      </c>
      <c r="M69" s="18" t="n">
        <v>134.14</v>
      </c>
      <c r="N69" s="18" t="n">
        <v>92.65000000000001</v>
      </c>
      <c r="O69" s="18" t="n">
        <v>-47.79</v>
      </c>
      <c r="P69" s="37" t="n">
        <v>64.29000000000001</v>
      </c>
      <c r="Q69" s="18" t="n">
        <v>-30.8</v>
      </c>
      <c r="R69" s="18" t="n">
        <v>153.28</v>
      </c>
      <c r="S69" s="18" t="n">
        <v>-68.84999999999999</v>
      </c>
      <c r="T69" s="18" t="n">
        <v>-85.16</v>
      </c>
      <c r="U69" s="37" t="n">
        <v>-31.53</v>
      </c>
      <c r="V69" s="18" t="n">
        <v>-52.87</v>
      </c>
      <c r="W69" s="18" t="n">
        <v>-93.55</v>
      </c>
      <c r="X69" s="18" t="n">
        <v>-25.47</v>
      </c>
      <c r="Y69" s="18" t="n">
        <v>78.68000000000001</v>
      </c>
      <c r="Z69" s="37" t="n">
        <v>-93.20999999999999</v>
      </c>
      <c r="AA69" s="18" t="n">
        <v>-4.85</v>
      </c>
      <c r="AB69" s="19" t="n">
        <v>30.8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5.14</v>
      </c>
      <c r="F70" s="9" t="n"/>
      <c r="G70" s="18" t="n">
        <v>-169.82</v>
      </c>
      <c r="H70" s="18" t="n">
        <v>-2080.11</v>
      </c>
      <c r="I70" s="18" t="n">
        <v>-2458.71</v>
      </c>
      <c r="J70" s="18" t="n">
        <v>252.07</v>
      </c>
      <c r="K70" s="37" t="n">
        <v>-4456.57</v>
      </c>
      <c r="L70" s="18" t="n">
        <v>-364.98</v>
      </c>
      <c r="M70" s="18" t="n">
        <v>-851.4</v>
      </c>
      <c r="N70" s="18" t="n">
        <v>-950.08</v>
      </c>
      <c r="O70" s="18" t="n">
        <v>957.71</v>
      </c>
      <c r="P70" s="37" t="n">
        <v>-1208.75</v>
      </c>
      <c r="Q70" s="18" t="n">
        <v>-259.74</v>
      </c>
      <c r="R70" s="18" t="n">
        <v>-147.77</v>
      </c>
      <c r="S70" s="18" t="n">
        <v>81.63</v>
      </c>
      <c r="T70" s="18" t="n">
        <v>-774.3</v>
      </c>
      <c r="U70" s="37" t="n">
        <v>-1100.18</v>
      </c>
      <c r="V70" s="18" t="n">
        <v>-356.14</v>
      </c>
      <c r="W70" s="18" t="n">
        <v>918.13</v>
      </c>
      <c r="X70" s="18" t="n">
        <v>324.29</v>
      </c>
      <c r="Y70" s="18" t="n">
        <v>424.92</v>
      </c>
      <c r="Z70" s="37" t="n">
        <v>1311.2</v>
      </c>
      <c r="AA70" s="18" t="n">
        <v>1878.29</v>
      </c>
      <c r="AB70" s="19" t="n">
        <v>7716.42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362.27</v>
      </c>
      <c r="F71" s="9" t="n"/>
      <c r="G71" s="18" t="n">
        <v>546.04</v>
      </c>
      <c r="H71" s="18" t="n">
        <v>1478.13</v>
      </c>
      <c r="I71" s="18" t="n">
        <v>2004.2</v>
      </c>
      <c r="J71" s="18" t="n">
        <v>-3017.74</v>
      </c>
      <c r="K71" s="37" t="n">
        <v>1010.63</v>
      </c>
      <c r="L71" s="18" t="n">
        <v>518.28</v>
      </c>
      <c r="M71" s="18" t="n">
        <v>514.16</v>
      </c>
      <c r="N71" s="18" t="n">
        <v>599.8200000000001</v>
      </c>
      <c r="O71" s="18" t="n">
        <v>-2330.7</v>
      </c>
      <c r="P71" s="37" t="n">
        <v>-698.4400000000001</v>
      </c>
      <c r="Q71" s="18" t="n">
        <v>978.9</v>
      </c>
      <c r="R71" s="18" t="n">
        <v>268.96</v>
      </c>
      <c r="S71" s="18" t="n">
        <v>2325.86</v>
      </c>
      <c r="T71" s="18" t="n">
        <v>1148.78</v>
      </c>
      <c r="U71" s="37" t="n">
        <v>4722.5</v>
      </c>
      <c r="V71" s="18" t="n">
        <v>-320.06</v>
      </c>
      <c r="W71" s="18" t="n">
        <v>-4478.82</v>
      </c>
      <c r="X71" s="18" t="n">
        <v>2594.24</v>
      </c>
      <c r="Y71" s="18" t="n">
        <v>-479.43</v>
      </c>
      <c r="Z71" s="37" t="n">
        <v>-2684.07</v>
      </c>
      <c r="AA71" s="18" t="n">
        <v>3269.81</v>
      </c>
      <c r="AB71" s="19" t="n">
        <v>1673.85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1340.51</v>
      </c>
      <c r="F72" s="9" t="n"/>
      <c r="G72" s="18" t="n">
        <v>7686.49</v>
      </c>
      <c r="H72" s="18" t="n">
        <v>5464.72</v>
      </c>
      <c r="I72" s="18" t="n">
        <v>9798.309999999999</v>
      </c>
      <c r="J72" s="18" t="n">
        <v>1598.26</v>
      </c>
      <c r="K72" s="37" t="n">
        <v>24547.78</v>
      </c>
      <c r="L72" s="18" t="n">
        <v>4589.61</v>
      </c>
      <c r="M72" s="18" t="n">
        <v>4814.95</v>
      </c>
      <c r="N72" s="18" t="n">
        <v>5461.93</v>
      </c>
      <c r="O72" s="18" t="n">
        <v>2683.47</v>
      </c>
      <c r="P72" s="37" t="n">
        <v>17549.96</v>
      </c>
      <c r="Q72" s="18" t="n">
        <v>4607.27</v>
      </c>
      <c r="R72" s="18" t="n">
        <v>4675.11</v>
      </c>
      <c r="S72" s="18" t="n">
        <v>3157.55</v>
      </c>
      <c r="T72" s="18" t="n">
        <v>2072.88</v>
      </c>
      <c r="U72" s="37" t="n">
        <v>14512.81</v>
      </c>
      <c r="V72" s="18" t="n">
        <v>4200.68</v>
      </c>
      <c r="W72" s="18" t="n">
        <v>-123.35</v>
      </c>
      <c r="X72" s="18" t="n">
        <v>7288.52</v>
      </c>
      <c r="Y72" s="18" t="n">
        <v>3502.39</v>
      </c>
      <c r="Z72" s="37" t="n">
        <v>14868.24</v>
      </c>
      <c r="AA72" s="18" t="n">
        <v>9783.66</v>
      </c>
      <c r="AB72" s="19" t="n">
        <v>11034.17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-128.36</v>
      </c>
      <c r="F73" s="9" t="n"/>
      <c r="G73" s="18" t="n">
        <v>8552.690000000001</v>
      </c>
      <c r="H73" s="18" t="n">
        <v>6111.97</v>
      </c>
      <c r="I73" s="18" t="n">
        <v>11384.91</v>
      </c>
      <c r="J73" s="18" t="n">
        <v>-942.25</v>
      </c>
      <c r="K73" s="37" t="n">
        <v>25107.32</v>
      </c>
      <c r="L73" s="18" t="n">
        <v>6210.68</v>
      </c>
      <c r="M73" s="18" t="n">
        <v>3655.21</v>
      </c>
      <c r="N73" s="18" t="n">
        <v>5370.37</v>
      </c>
      <c r="O73" s="18" t="n">
        <v>1599.38</v>
      </c>
      <c r="P73" s="37" t="n">
        <v>16835.64</v>
      </c>
      <c r="Q73" s="18" t="n">
        <v>5206.98</v>
      </c>
      <c r="R73" s="18" t="n">
        <v>5091.77</v>
      </c>
      <c r="S73" s="18" t="n">
        <v>2035.7</v>
      </c>
      <c r="T73" s="18" t="n">
        <v>4625.65</v>
      </c>
      <c r="U73" s="37" t="n">
        <v>16960.1</v>
      </c>
      <c r="V73" s="18" t="n">
        <v>4574.78</v>
      </c>
      <c r="W73" s="18" t="n">
        <v>-2679.17</v>
      </c>
      <c r="X73" s="18" t="n">
        <v>7405.05</v>
      </c>
      <c r="Y73" s="18" t="n">
        <v>4997.19</v>
      </c>
      <c r="Z73" s="37" t="n">
        <v>14297.85</v>
      </c>
      <c r="AA73" s="18" t="n">
        <v>11835.31</v>
      </c>
      <c r="AB73" s="19" t="n">
        <v>12414.52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168.73</v>
      </c>
      <c r="H74" s="18" t="n">
        <v>163.28</v>
      </c>
      <c r="I74" s="18" t="n">
        <v>210.6</v>
      </c>
      <c r="J74" s="18" t="n">
        <v>296.75</v>
      </c>
      <c r="K74" s="37" t="n">
        <v>839.36</v>
      </c>
      <c r="L74" s="18" t="n">
        <v>407.38</v>
      </c>
      <c r="M74" s="18" t="n">
        <v>471.28</v>
      </c>
      <c r="N74" s="18" t="n">
        <v>519.12</v>
      </c>
      <c r="O74" s="18" t="n">
        <v>929.41</v>
      </c>
      <c r="P74" s="37" t="n">
        <v>2327.19</v>
      </c>
      <c r="Q74" s="18" t="n">
        <v>386.53</v>
      </c>
      <c r="R74" s="18" t="n">
        <v>501.24</v>
      </c>
      <c r="S74" s="18" t="n">
        <v>569.53</v>
      </c>
      <c r="T74" s="18" t="n">
        <v>391.49</v>
      </c>
      <c r="U74" s="37" t="n">
        <v>1848.79</v>
      </c>
      <c r="V74" s="18" t="n">
        <v>347.94</v>
      </c>
      <c r="W74" s="18" t="n">
        <v>313.02</v>
      </c>
      <c r="X74" s="18" t="n">
        <v>368.55</v>
      </c>
      <c r="Y74" s="18" t="n">
        <v>192.22</v>
      </c>
      <c r="Z74" s="37" t="n">
        <v>1221.73</v>
      </c>
      <c r="AB74" s="19" t="n">
        <v>325.57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196.6</v>
      </c>
      <c r="H75" s="18" t="n">
        <v>466.19</v>
      </c>
      <c r="I75" s="18" t="n">
        <v>922.3</v>
      </c>
      <c r="J75" s="18" t="n">
        <v>1098.01</v>
      </c>
      <c r="K75" s="37" t="n">
        <v>2683.1</v>
      </c>
      <c r="L75" s="18" t="n">
        <v>1280.19</v>
      </c>
      <c r="M75" s="18" t="n">
        <v>1413.78</v>
      </c>
      <c r="N75" s="18" t="n">
        <v>1203.67</v>
      </c>
      <c r="O75" s="18" t="n">
        <v>1188.82</v>
      </c>
      <c r="P75" s="37" t="n">
        <v>5086.46</v>
      </c>
      <c r="Q75" s="18" t="n">
        <v>1161.97</v>
      </c>
      <c r="R75" s="18" t="n">
        <v>1078.8</v>
      </c>
      <c r="S75" s="18" t="n">
        <v>1065.72</v>
      </c>
      <c r="T75" s="18" t="n">
        <v>962.23</v>
      </c>
      <c r="U75" s="37" t="n">
        <v>4268.72</v>
      </c>
      <c r="V75" s="18" t="n">
        <v>825.51</v>
      </c>
      <c r="W75" s="18" t="n">
        <v>807.9</v>
      </c>
      <c r="X75" s="18" t="n">
        <v>769.54</v>
      </c>
      <c r="Y75" s="18" t="n">
        <v>876.65</v>
      </c>
      <c r="Z75" s="37" t="n">
        <v>3279.6</v>
      </c>
      <c r="AB75" s="19" t="n">
        <v>868.72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102.01</v>
      </c>
      <c r="H76" s="18" t="n">
        <v>8.16</v>
      </c>
      <c r="I76" s="18" t="n">
        <v>180.16</v>
      </c>
      <c r="J76" s="18" t="n">
        <v>-138.03</v>
      </c>
      <c r="K76" s="37" t="n">
        <v>152.3</v>
      </c>
      <c r="L76" s="18" t="n">
        <v>39.09</v>
      </c>
      <c r="M76" s="18" t="n">
        <v>4.94</v>
      </c>
      <c r="N76" s="18" t="n">
        <v>14.12</v>
      </c>
      <c r="O76" s="18" t="n">
        <v>83.54000000000001</v>
      </c>
      <c r="P76" s="37" t="n">
        <v>141.69</v>
      </c>
      <c r="Q76" s="18" t="n">
        <v>37.43</v>
      </c>
      <c r="R76" s="18" t="n">
        <v>-0.58</v>
      </c>
      <c r="S76" s="18" t="n">
        <v>-5.49</v>
      </c>
      <c r="T76" s="18" t="n">
        <v>319.74</v>
      </c>
      <c r="U76" s="37" t="n">
        <v>351.1</v>
      </c>
      <c r="V76" s="18" t="n">
        <v>99.84999999999999</v>
      </c>
      <c r="W76" s="18" t="n">
        <v>-27.94</v>
      </c>
      <c r="X76" s="18" t="n">
        <v>97.92</v>
      </c>
      <c r="Y76" s="18" t="n">
        <v>112.31</v>
      </c>
      <c r="Z76" s="37" t="n">
        <v>282.14</v>
      </c>
      <c r="AB76" s="19" t="n">
        <v>65.11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12.03</v>
      </c>
      <c r="H77" s="18" t="n">
        <v>13.44</v>
      </c>
      <c r="I77" s="18" t="n">
        <v>-5.89</v>
      </c>
      <c r="J77" s="18" t="n">
        <v>13.91</v>
      </c>
      <c r="K77" s="37" t="n">
        <v>33.49</v>
      </c>
      <c r="L77" s="18" t="n">
        <v>15.31</v>
      </c>
      <c r="M77" s="18" t="n">
        <v>19.88</v>
      </c>
      <c r="N77" s="18" t="n">
        <v>-26.85</v>
      </c>
      <c r="O77" s="18" t="n">
        <v>60.53</v>
      </c>
      <c r="P77" s="37" t="n">
        <v>68.87</v>
      </c>
      <c r="Q77" s="18" t="n">
        <v>2.44</v>
      </c>
      <c r="R77" s="18" t="n">
        <v>13.73</v>
      </c>
      <c r="S77" s="18" t="n">
        <v>-3.08</v>
      </c>
      <c r="U77" s="9" t="n"/>
      <c r="V77" s="18" t="n">
        <v>11.71</v>
      </c>
      <c r="W77" s="18" t="n">
        <v>271.34</v>
      </c>
      <c r="X77" s="18" t="n">
        <v>-55.62</v>
      </c>
      <c r="Y77" s="18" t="n">
        <v>-156.77</v>
      </c>
      <c r="Z77" s="37" t="n">
        <v>70.66</v>
      </c>
      <c r="AB77" s="19" t="n">
        <v>-1.66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123.98</v>
      </c>
      <c r="H78" s="18" t="n">
        <v>479.78</v>
      </c>
      <c r="I78" s="18" t="n">
        <v>497.33</v>
      </c>
      <c r="J78" s="18" t="n">
        <v>-792.5599999999999</v>
      </c>
      <c r="K78" s="37" t="n">
        <v>308.53</v>
      </c>
      <c r="L78" s="18" t="n">
        <v>0.27</v>
      </c>
      <c r="M78" s="18" t="n">
        <v>15.75</v>
      </c>
      <c r="N78" s="18" t="n">
        <v>42.3</v>
      </c>
      <c r="O78" s="18" t="n">
        <v>1.79</v>
      </c>
      <c r="P78" s="37" t="n">
        <v>60.11</v>
      </c>
      <c r="Q78" s="18" t="n">
        <v>431.44</v>
      </c>
      <c r="R78" s="18" t="n">
        <v>27.85</v>
      </c>
      <c r="S78" s="18" t="n">
        <v>30.01</v>
      </c>
      <c r="T78" s="18" t="n">
        <v>222.05</v>
      </c>
      <c r="U78" s="37" t="n">
        <v>711.35</v>
      </c>
      <c r="V78" s="18" t="n">
        <v>17.53</v>
      </c>
      <c r="W78" s="18" t="n">
        <v>-6.38</v>
      </c>
      <c r="X78" s="18" t="n">
        <v>-4.81</v>
      </c>
      <c r="Y78" s="18" t="n">
        <v>256.86</v>
      </c>
      <c r="Z78" s="37" t="n">
        <v>263.2</v>
      </c>
      <c r="AB78" s="19" t="n">
        <v>132.54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30.88</v>
      </c>
      <c r="H79" s="18" t="n">
        <v>-21.51</v>
      </c>
      <c r="I79" s="18" t="n">
        <v>-7.9</v>
      </c>
      <c r="J79" s="18" t="n">
        <v>18.83</v>
      </c>
      <c r="K79" s="37" t="n">
        <v>20.3</v>
      </c>
      <c r="L79" s="18" t="n">
        <v>294.81</v>
      </c>
      <c r="M79" s="18" t="n">
        <v>186.16</v>
      </c>
      <c r="N79" s="18" t="n">
        <v>-338.59</v>
      </c>
      <c r="O79" s="18" t="n">
        <v>237.37</v>
      </c>
      <c r="P79" s="37" t="n">
        <v>379.75</v>
      </c>
      <c r="Q79" s="18" t="n">
        <v>0.4</v>
      </c>
      <c r="R79" s="18" t="n">
        <v>2.54</v>
      </c>
      <c r="S79" s="18" t="n">
        <v>11.85</v>
      </c>
      <c r="U79" s="9" t="n"/>
      <c r="V79" s="18" t="n">
        <v>9.619999999999999</v>
      </c>
      <c r="W79" s="18" t="n">
        <v>273.08</v>
      </c>
      <c r="X79" s="18" t="n">
        <v>35.12</v>
      </c>
      <c r="Y79" s="18" t="n">
        <v>265.36</v>
      </c>
      <c r="Z79" s="37" t="n">
        <v>583.1799999999999</v>
      </c>
      <c r="AB79" s="19" t="n">
        <v>266.64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G80" s="18" t="n">
        <v>656.13</v>
      </c>
      <c r="H80" s="18" t="n">
        <v>1668.76</v>
      </c>
      <c r="I80" s="18" t="n">
        <v>1769.98</v>
      </c>
      <c r="J80" s="18" t="n">
        <v>4415.13</v>
      </c>
      <c r="K80" s="37" t="n">
        <v>8510</v>
      </c>
      <c r="L80" s="18" t="n">
        <v>2464.61</v>
      </c>
      <c r="M80" s="18" t="n">
        <v>1808.91</v>
      </c>
      <c r="N80" s="18" t="n">
        <v>1446.27</v>
      </c>
      <c r="O80" s="18" t="n">
        <v>2533.88</v>
      </c>
      <c r="P80" s="37" t="n">
        <v>8253.67</v>
      </c>
      <c r="Q80" s="18" t="n">
        <v>1137.54</v>
      </c>
      <c r="R80" s="18" t="n">
        <v>1523.81</v>
      </c>
      <c r="S80" s="18" t="n">
        <v>1546.87</v>
      </c>
      <c r="T80" s="18" t="n">
        <v>810.89</v>
      </c>
      <c r="U80" s="37" t="n">
        <v>5019.11</v>
      </c>
      <c r="V80" s="18" t="n">
        <v>1083.36</v>
      </c>
      <c r="W80" s="18" t="n">
        <v>1701.19</v>
      </c>
      <c r="X80" s="18" t="n">
        <v>511.4</v>
      </c>
      <c r="Y80" s="18" t="n">
        <v>584.86</v>
      </c>
      <c r="Z80" s="37" t="n">
        <v>3880.81</v>
      </c>
      <c r="AB80" s="19" t="n">
        <v>-138.18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G81" s="18" t="n">
        <v>553.5599999999999</v>
      </c>
      <c r="H81" s="18" t="n">
        <v>2935.09</v>
      </c>
      <c r="I81" s="18" t="n">
        <v>3133.51</v>
      </c>
      <c r="J81" s="18" t="n">
        <v>2537.43</v>
      </c>
      <c r="K81" s="37" t="n">
        <v>9159.59</v>
      </c>
      <c r="L81" s="18" t="n">
        <v>2813.4</v>
      </c>
      <c r="M81" s="18" t="n">
        <v>2089.83</v>
      </c>
      <c r="N81" s="18" t="n">
        <v>1862.34</v>
      </c>
      <c r="O81" s="18" t="n">
        <v>1956.33</v>
      </c>
      <c r="P81" s="37" t="n">
        <v>8721.9</v>
      </c>
      <c r="Q81" s="18" t="n">
        <v>1982.24</v>
      </c>
      <c r="R81" s="18" t="n">
        <v>1715.84</v>
      </c>
      <c r="S81" s="18" t="n">
        <v>979.7</v>
      </c>
      <c r="T81" s="18" t="n">
        <v>2165.16</v>
      </c>
      <c r="U81" s="37" t="n">
        <v>6842.94</v>
      </c>
      <c r="V81" s="18" t="n">
        <v>1048.21</v>
      </c>
      <c r="W81" s="18" t="n">
        <v>948.98</v>
      </c>
      <c r="X81" s="18" t="n">
        <v>870.04</v>
      </c>
      <c r="Y81" s="18" t="n">
        <v>440.98</v>
      </c>
      <c r="Z81" s="37" t="n">
        <v>3308.21</v>
      </c>
      <c r="AB81" s="19" t="n">
        <v>-69.20999999999999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-27.87</v>
      </c>
      <c r="H82" s="18" t="n">
        <v>-302.91</v>
      </c>
      <c r="I82" s="18" t="n">
        <v>-711.7</v>
      </c>
      <c r="J82" s="18" t="n">
        <v>-801.26</v>
      </c>
      <c r="K82" s="37" t="n">
        <v>-1843.74</v>
      </c>
      <c r="L82" s="18" t="n">
        <v>-872.8099999999999</v>
      </c>
      <c r="M82" s="18" t="n">
        <v>-942.5</v>
      </c>
      <c r="N82" s="18" t="n">
        <v>-684.55</v>
      </c>
      <c r="O82" s="18" t="n">
        <v>-259.41</v>
      </c>
      <c r="P82" s="37" t="n">
        <v>-2759.27</v>
      </c>
      <c r="Q82" s="18" t="n">
        <v>-775.4400000000001</v>
      </c>
      <c r="R82" s="18" t="n">
        <v>-577.5599999999999</v>
      </c>
      <c r="S82" s="18" t="n">
        <v>-496.19</v>
      </c>
      <c r="T82" s="18" t="n">
        <v>-570.74</v>
      </c>
      <c r="U82" s="37" t="n">
        <v>-2419.93</v>
      </c>
      <c r="V82" s="18" t="n">
        <v>-477.57</v>
      </c>
      <c r="W82" s="18" t="n">
        <v>-494.88</v>
      </c>
      <c r="X82" s="18" t="n">
        <v>-400.99</v>
      </c>
      <c r="Y82" s="18" t="n">
        <v>-684.4299999999999</v>
      </c>
      <c r="Z82" s="37" t="n">
        <v>-2057.87</v>
      </c>
      <c r="AB82" s="19" t="n">
        <v>-543.15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종속기업,공동지배기업및관계기업관련손익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7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지분법관련손익</t>
        </is>
      </c>
      <c r="F84" s="9" t="n"/>
      <c r="K84" s="9" t="n"/>
      <c r="P84" s="9" t="n"/>
      <c r="U84" s="9" t="n"/>
      <c r="V84" s="18" t="n">
        <v>251.55</v>
      </c>
      <c r="W84" s="18" t="n">
        <v>490.42</v>
      </c>
      <c r="X84" s="18" t="n">
        <v>377.09</v>
      </c>
      <c r="Y84" s="18" t="n">
        <v>337.77</v>
      </c>
      <c r="Z84" s="37" t="n">
        <v>1456.83</v>
      </c>
      <c r="AA84" s="18" t="n">
        <v>524.64</v>
      </c>
      <c r="AB84" s="19" t="n">
        <v>735.61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2644.37</v>
      </c>
      <c r="F85" s="9" t="n"/>
      <c r="G85" s="18" t="n">
        <v>4538.24</v>
      </c>
      <c r="H85" s="18" t="n">
        <v>7960.46</v>
      </c>
      <c r="I85" s="18" t="n">
        <v>21479.7</v>
      </c>
      <c r="J85" s="18" t="n">
        <v>18130.93</v>
      </c>
      <c r="K85" s="37" t="n">
        <v>52109.33</v>
      </c>
      <c r="L85" s="18" t="n">
        <v>-4473.94</v>
      </c>
      <c r="M85" s="18" t="n">
        <v>7289.36</v>
      </c>
      <c r="N85" s="18" t="n">
        <v>16438.06</v>
      </c>
      <c r="O85" s="18" t="n">
        <v>3265.98</v>
      </c>
      <c r="P85" s="37" t="n">
        <v>22519.46</v>
      </c>
      <c r="Q85" s="18" t="n">
        <v>4567.02</v>
      </c>
      <c r="R85" s="18" t="n">
        <v>6895.99</v>
      </c>
      <c r="S85" s="18" t="n">
        <v>2015.44</v>
      </c>
      <c r="T85" s="18" t="n">
        <v>3363.79</v>
      </c>
      <c r="U85" s="37" t="n">
        <v>16842.24</v>
      </c>
      <c r="V85" s="18" t="n">
        <v>507.98</v>
      </c>
      <c r="W85" s="18" t="n">
        <v>3777.18</v>
      </c>
      <c r="X85" s="18" t="n">
        <v>5300.07</v>
      </c>
      <c r="Y85" s="18" t="n">
        <v>10178.26</v>
      </c>
      <c r="Z85" s="37" t="n">
        <v>19763.49</v>
      </c>
      <c r="AA85" s="18" t="n">
        <v>9677.52</v>
      </c>
      <c r="AB85" s="19" t="n">
        <v>-2742.16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8.210000000000001</v>
      </c>
      <c r="F86" s="9" t="n"/>
      <c r="G86" s="18" t="n">
        <v>0.75</v>
      </c>
      <c r="H86" s="18" t="n">
        <v>48.58</v>
      </c>
      <c r="I86" s="18" t="n">
        <v>13.43</v>
      </c>
      <c r="J86" s="18" t="n">
        <v>12.69</v>
      </c>
      <c r="K86" s="37" t="n">
        <v>75.45</v>
      </c>
      <c r="L86" s="18" t="n">
        <v>1.02</v>
      </c>
      <c r="M86" s="18" t="n">
        <v>79.45</v>
      </c>
      <c r="N86" s="18" t="n">
        <v>12.51</v>
      </c>
      <c r="O86" s="18" t="n">
        <v>13.53</v>
      </c>
      <c r="P86" s="37" t="n">
        <v>106.51</v>
      </c>
      <c r="Q86" s="18" t="n">
        <v>0.08</v>
      </c>
      <c r="R86" s="18" t="n">
        <v>73.37</v>
      </c>
      <c r="S86" s="18" t="n">
        <v>9.67</v>
      </c>
      <c r="T86" s="18" t="n">
        <v>2.27</v>
      </c>
      <c r="U86" s="37" t="n">
        <v>85.39</v>
      </c>
      <c r="V86" s="18" t="n">
        <v>46.1</v>
      </c>
      <c r="W86" s="18" t="n">
        <v>562.63</v>
      </c>
      <c r="X86" s="18" t="n">
        <v>31.27</v>
      </c>
      <c r="Y86" s="18" t="n">
        <v>-96.61</v>
      </c>
      <c r="Z86" s="37" t="n">
        <v>543.39</v>
      </c>
      <c r="AA86" s="18" t="n">
        <v>22.39</v>
      </c>
      <c r="AB86" s="19" t="n">
        <v>411.32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-25.23</v>
      </c>
      <c r="F87" s="9" t="n"/>
      <c r="G87" s="18" t="n">
        <v>-984.76</v>
      </c>
      <c r="H87" s="18" t="n">
        <v>-1261.15</v>
      </c>
      <c r="I87" s="18" t="n">
        <v>-1257.41</v>
      </c>
      <c r="J87" s="18" t="n">
        <v>-151.67</v>
      </c>
      <c r="K87" s="37" t="n">
        <v>-3654.99</v>
      </c>
      <c r="L87" s="18" t="n">
        <v>-3149.54</v>
      </c>
      <c r="M87" s="18" t="n">
        <v>-3593.43</v>
      </c>
      <c r="N87" s="18" t="n">
        <v>-1018.04</v>
      </c>
      <c r="O87" s="18" t="n">
        <v>-1025.45</v>
      </c>
      <c r="P87" s="37" t="n">
        <v>-8786.459999999999</v>
      </c>
      <c r="Q87" s="18" t="n">
        <v>-49.46</v>
      </c>
      <c r="R87" s="18" t="n">
        <v>-2149.89</v>
      </c>
      <c r="S87" s="18" t="n">
        <v>-1580.68</v>
      </c>
      <c r="T87" s="18" t="n">
        <v>-381.16</v>
      </c>
      <c r="U87" s="37" t="n">
        <v>-4161.19</v>
      </c>
      <c r="V87" s="18" t="n">
        <v>-1082.69</v>
      </c>
      <c r="W87" s="18" t="n">
        <v>-1488.07</v>
      </c>
      <c r="X87" s="18" t="n">
        <v>-1059.84</v>
      </c>
      <c r="Y87" s="18" t="n">
        <v>2001.58</v>
      </c>
      <c r="Z87" s="37" t="n">
        <v>-1629.02</v>
      </c>
      <c r="AA87" s="18" t="n">
        <v>-180.09</v>
      </c>
      <c r="AB87" s="19" t="n">
        <v>-2630.5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2862.34</v>
      </c>
      <c r="F88" s="9" t="n"/>
      <c r="G88" s="18" t="n">
        <v>-10262.52</v>
      </c>
      <c r="H88" s="18" t="n">
        <v>-47078.11</v>
      </c>
      <c r="I88" s="18" t="n">
        <v>-5779.32</v>
      </c>
      <c r="J88" s="18" t="n">
        <v>-21067.03</v>
      </c>
      <c r="K88" s="37" t="n">
        <v>-84186.98</v>
      </c>
      <c r="L88" s="18" t="n">
        <v>-2463.25</v>
      </c>
      <c r="M88" s="18" t="n">
        <v>-1650.02</v>
      </c>
      <c r="N88" s="18" t="n">
        <v>-4698.3</v>
      </c>
      <c r="O88" s="18" t="n">
        <v>-4813.79</v>
      </c>
      <c r="P88" s="37" t="n">
        <v>-13625.36</v>
      </c>
      <c r="Q88" s="18" t="n">
        <v>-2559.25</v>
      </c>
      <c r="R88" s="18" t="n">
        <v>-207.44</v>
      </c>
      <c r="S88" s="18" t="n">
        <v>3075.97</v>
      </c>
      <c r="T88" s="18" t="n">
        <v>-993.64</v>
      </c>
      <c r="U88" s="37" t="n">
        <v>-684.36</v>
      </c>
      <c r="V88" s="18" t="n">
        <v>-548.88</v>
      </c>
      <c r="W88" s="18" t="n">
        <v>-622.13</v>
      </c>
      <c r="X88" s="18" t="n">
        <v>-7884.88</v>
      </c>
      <c r="Y88" s="18" t="n">
        <v>-14863.33</v>
      </c>
      <c r="Z88" s="37" t="n">
        <v>-23919.22</v>
      </c>
      <c r="AA88" s="18" t="n">
        <v>-5548.54</v>
      </c>
      <c r="AB88" s="19" t="n">
        <v>-3764.48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7.39</v>
      </c>
      <c r="F89" s="9" t="n"/>
      <c r="G89" s="18" t="n">
        <v>2.79</v>
      </c>
      <c r="H89" s="18" t="n">
        <v>7.02</v>
      </c>
      <c r="I89" s="18" t="n">
        <v>73.40000000000001</v>
      </c>
      <c r="J89" s="18" t="n">
        <v>1.6</v>
      </c>
      <c r="K89" s="37" t="n">
        <v>84.81</v>
      </c>
      <c r="L89" s="18" t="n">
        <v>0.6</v>
      </c>
      <c r="M89" s="18" t="n">
        <v>16.62</v>
      </c>
      <c r="N89" s="18" t="n">
        <v>94.73</v>
      </c>
      <c r="O89" s="18" t="n">
        <v>9.74</v>
      </c>
      <c r="P89" s="37" t="n">
        <v>121.69</v>
      </c>
      <c r="Q89" s="18" t="n">
        <v>0</v>
      </c>
      <c r="R89" s="18" t="n">
        <v>6.53</v>
      </c>
      <c r="S89" s="18" t="n">
        <v>5456.02</v>
      </c>
      <c r="T89" s="18" t="n">
        <v>1393.13</v>
      </c>
      <c r="U89" s="37" t="n">
        <v>6855.68</v>
      </c>
      <c r="V89" s="18" t="n">
        <v>22.78</v>
      </c>
      <c r="W89" s="18" t="n">
        <v>115.71</v>
      </c>
      <c r="X89" s="18" t="n">
        <v>15.51</v>
      </c>
      <c r="Y89" s="18" t="n">
        <v>1773.34</v>
      </c>
      <c r="Z89" s="37" t="n">
        <v>1927.34</v>
      </c>
      <c r="AA89" s="18" t="n">
        <v>49.85</v>
      </c>
      <c r="AB89" s="19" t="n">
        <v>32.25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7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7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7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7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4205.25</v>
      </c>
      <c r="F91" s="9" t="n"/>
      <c r="G91" s="18" t="n">
        <v>8568.43</v>
      </c>
      <c r="H91" s="18" t="n">
        <v>53721.53</v>
      </c>
      <c r="I91" s="18" t="n">
        <v>7598.12</v>
      </c>
      <c r="J91" s="18" t="n">
        <v>6242.36</v>
      </c>
      <c r="K91" s="37" t="n">
        <v>76130.44</v>
      </c>
      <c r="L91" s="18" t="n">
        <v>711.3099999999999</v>
      </c>
      <c r="M91" s="18" t="n">
        <v>808.77</v>
      </c>
      <c r="N91" s="18" t="n">
        <v>1221.29</v>
      </c>
      <c r="O91" s="18" t="n">
        <v>1965.37</v>
      </c>
      <c r="P91" s="37" t="n">
        <v>4706.74</v>
      </c>
      <c r="Q91" s="18" t="n">
        <v>4714.46</v>
      </c>
      <c r="R91" s="18" t="n">
        <v>7896.3</v>
      </c>
      <c r="S91" s="18" t="n">
        <v>4827.93</v>
      </c>
      <c r="T91" s="18" t="n">
        <v>5193.73</v>
      </c>
      <c r="U91" s="37" t="n">
        <v>22632.42</v>
      </c>
      <c r="V91" s="18" t="n">
        <v>3275.96</v>
      </c>
      <c r="W91" s="18" t="n">
        <v>2041.84</v>
      </c>
      <c r="X91" s="18" t="n">
        <v>4746.57</v>
      </c>
      <c r="Y91" s="18" t="n">
        <v>7560.8</v>
      </c>
      <c r="Z91" s="37" t="n">
        <v>17625.17</v>
      </c>
      <c r="AA91" s="18" t="n">
        <v>4006.33</v>
      </c>
      <c r="AB91" s="19" t="n">
        <v>1655.08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4716.35</v>
      </c>
      <c r="F92" s="9" t="n"/>
      <c r="G92" s="18" t="n">
        <v>-1670.86</v>
      </c>
      <c r="H92" s="18" t="n">
        <v>39160.88</v>
      </c>
      <c r="I92" s="18" t="n">
        <v>-12326.39</v>
      </c>
      <c r="J92" s="18" t="n">
        <v>-258.81</v>
      </c>
      <c r="K92" s="37" t="n">
        <v>24904.82</v>
      </c>
      <c r="L92" s="18" t="n">
        <v>-142.45</v>
      </c>
      <c r="M92" s="18" t="n">
        <v>-3448.12</v>
      </c>
      <c r="N92" s="18" t="n">
        <v>-5898.52</v>
      </c>
      <c r="O92" s="18" t="n">
        <v>-1932.02</v>
      </c>
      <c r="P92" s="37" t="n">
        <v>-11421.11</v>
      </c>
      <c r="Q92" s="18" t="n">
        <v>-4312.73</v>
      </c>
      <c r="R92" s="18" t="n">
        <v>-2369.46</v>
      </c>
      <c r="S92" s="18" t="n">
        <v>-3383.22</v>
      </c>
      <c r="T92" s="18" t="n">
        <v>-5490.61</v>
      </c>
      <c r="U92" s="37" t="n">
        <v>-15556.02</v>
      </c>
      <c r="V92" s="18" t="n">
        <v>822.4400000000001</v>
      </c>
      <c r="W92" s="18" t="n">
        <v>4814.61</v>
      </c>
      <c r="X92" s="18" t="n">
        <v>-3208.1</v>
      </c>
      <c r="Y92" s="18" t="n">
        <v>10600.17</v>
      </c>
      <c r="Z92" s="37" t="n">
        <v>13029.12</v>
      </c>
      <c r="AA92" s="18" t="n">
        <v>-3668.49</v>
      </c>
      <c r="AB92" s="19" t="n">
        <v>1956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35903.31</v>
      </c>
      <c r="F93" s="9" t="n"/>
      <c r="G93" s="18" t="n">
        <v>25080.7</v>
      </c>
      <c r="H93" s="18" t="n">
        <v>49587.95</v>
      </c>
      <c r="I93" s="18" t="n">
        <v>24313.12</v>
      </c>
      <c r="J93" s="18" t="n">
        <v>16811.79</v>
      </c>
      <c r="K93" s="37" t="n">
        <v>115793.56</v>
      </c>
      <c r="L93" s="18" t="n">
        <v>38170.09</v>
      </c>
      <c r="M93" s="18" t="n">
        <v>45012.32</v>
      </c>
      <c r="N93" s="18" t="n">
        <v>13885.79</v>
      </c>
      <c r="O93" s="18" t="n">
        <v>28973.09</v>
      </c>
      <c r="P93" s="37" t="n">
        <v>126041.29</v>
      </c>
      <c r="Q93" s="18" t="n">
        <v>33877.28</v>
      </c>
      <c r="R93" s="18" t="n">
        <v>44549.41</v>
      </c>
      <c r="S93" s="18" t="n">
        <v>39577.06</v>
      </c>
      <c r="T93" s="18" t="n">
        <v>41758.95</v>
      </c>
      <c r="U93" s="37" t="n">
        <v>159762.7</v>
      </c>
      <c r="V93" s="18" t="n">
        <v>43254.36</v>
      </c>
      <c r="W93" s="18" t="n">
        <v>62537.5</v>
      </c>
      <c r="X93" s="18" t="n">
        <v>38286.3</v>
      </c>
      <c r="Y93" s="18" t="n">
        <v>41720.63</v>
      </c>
      <c r="Z93" s="37" t="n">
        <v>185798.79</v>
      </c>
      <c r="AA93" s="18" t="n">
        <v>12615.31</v>
      </c>
      <c r="AB93" s="19" t="n">
        <v>58442.97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1009.17</v>
      </c>
      <c r="F94" s="9" t="n"/>
      <c r="G94" s="18" t="n">
        <v>0</v>
      </c>
      <c r="H94" s="18" t="n">
        <v>37980</v>
      </c>
      <c r="I94" s="18" t="n">
        <v>0</v>
      </c>
      <c r="J94" s="18" t="n">
        <v>425.39</v>
      </c>
      <c r="K94" s="37" t="n">
        <v>38405.39</v>
      </c>
      <c r="L94" s="18" t="n">
        <v>26.4</v>
      </c>
      <c r="M94" s="18" t="n">
        <v>92.59999999999999</v>
      </c>
      <c r="O94" s="18" t="n">
        <v>850.95</v>
      </c>
      <c r="P94" s="9" t="n"/>
      <c r="Q94" s="18" t="n">
        <v>7868.45</v>
      </c>
      <c r="T94" s="18" t="n">
        <v>1390.5</v>
      </c>
      <c r="U94" s="9" t="n"/>
      <c r="V94" s="18" t="n">
        <v>448.12</v>
      </c>
      <c r="W94" s="18" t="n">
        <v>1049.57</v>
      </c>
      <c r="Y94" s="18" t="n">
        <v>2855.68</v>
      </c>
      <c r="Z94" s="9" t="n"/>
      <c r="AA94" s="18" t="n">
        <v>10424.53</v>
      </c>
      <c r="AB94" s="19" t="n">
        <v>264.77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29610.48</v>
      </c>
      <c r="F95" s="9" t="n"/>
      <c r="G95" s="18" t="n">
        <v>22198.03</v>
      </c>
      <c r="H95" s="18" t="n">
        <v>45469.65</v>
      </c>
      <c r="I95" s="18" t="n">
        <v>33308.31</v>
      </c>
      <c r="J95" s="18" t="n">
        <v>13492.38</v>
      </c>
      <c r="K95" s="37" t="n">
        <v>114468.37</v>
      </c>
      <c r="L95" s="18" t="n">
        <v>34146.04</v>
      </c>
      <c r="M95" s="18" t="n">
        <v>46627.27</v>
      </c>
      <c r="N95" s="18" t="n">
        <v>15474.67</v>
      </c>
      <c r="O95" s="18" t="n">
        <v>28606.31</v>
      </c>
      <c r="P95" s="37" t="n">
        <v>124854.29</v>
      </c>
      <c r="Q95" s="18" t="n">
        <v>40605.81</v>
      </c>
      <c r="R95" s="18" t="n">
        <v>42783.88</v>
      </c>
      <c r="S95" s="18" t="n">
        <v>40724.04</v>
      </c>
      <c r="T95" s="18" t="n">
        <v>45413.19</v>
      </c>
      <c r="U95" s="37" t="n">
        <v>169526.92</v>
      </c>
      <c r="V95" s="18" t="n">
        <v>37121.93</v>
      </c>
      <c r="W95" s="18" t="n">
        <v>56112.25</v>
      </c>
      <c r="X95" s="18" t="n">
        <v>39784.46</v>
      </c>
      <c r="Y95" s="18" t="n">
        <v>33840.8</v>
      </c>
      <c r="Z95" s="37" t="n">
        <v>166859.44</v>
      </c>
      <c r="AA95" s="18" t="n">
        <v>22701.02</v>
      </c>
      <c r="AB95" s="19" t="n">
        <v>56719.77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G96" s="18" t="n">
        <v>800</v>
      </c>
      <c r="H96" s="18" t="n">
        <v>0</v>
      </c>
      <c r="I96" s="18" t="n">
        <v>0</v>
      </c>
      <c r="J96" s="18" t="n">
        <v>0</v>
      </c>
      <c r="K96" s="37" t="n">
        <v>800</v>
      </c>
      <c r="L96" s="18" t="n">
        <v>960</v>
      </c>
      <c r="M96" s="18" t="n">
        <v>0</v>
      </c>
      <c r="N96" s="18" t="n">
        <v>0</v>
      </c>
      <c r="O96" s="18" t="n">
        <v>0</v>
      </c>
      <c r="P96" s="37" t="n">
        <v>960</v>
      </c>
      <c r="Q96" s="18" t="n">
        <v>960</v>
      </c>
      <c r="R96" s="18" t="n">
        <v>0</v>
      </c>
      <c r="S96" s="18" t="n">
        <v>0</v>
      </c>
      <c r="T96" s="18" t="n">
        <v>0</v>
      </c>
      <c r="U96" s="37" t="n">
        <v>960</v>
      </c>
      <c r="V96" s="18" t="n">
        <v>1120</v>
      </c>
      <c r="W96" s="18" t="n">
        <v>482.82</v>
      </c>
      <c r="X96" s="18" t="n">
        <v>0</v>
      </c>
      <c r="Y96" s="18" t="n">
        <v>0</v>
      </c>
      <c r="Z96" s="37" t="n">
        <v>1602.82</v>
      </c>
      <c r="AA96" s="18" t="n">
        <v>4000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50.29</v>
      </c>
      <c r="F97" s="9" t="n"/>
      <c r="G97" s="18" t="n">
        <v>75.59999999999999</v>
      </c>
      <c r="H97" s="18" t="n">
        <v>62.67</v>
      </c>
      <c r="I97" s="18" t="n">
        <v>52.1</v>
      </c>
      <c r="J97" s="18" t="n">
        <v>27.59</v>
      </c>
      <c r="K97" s="37" t="n">
        <v>217.96</v>
      </c>
      <c r="L97" s="18" t="n">
        <v>26.18</v>
      </c>
      <c r="M97" s="18" t="n">
        <v>27.45</v>
      </c>
      <c r="P97" s="9" t="n"/>
      <c r="Q97" s="18" t="n">
        <v>27.69</v>
      </c>
      <c r="R97" s="18" t="n">
        <v>29.08</v>
      </c>
      <c r="U97" s="9" t="n"/>
      <c r="V97" s="18" t="n">
        <v>30.53</v>
      </c>
      <c r="W97" s="18" t="n">
        <v>30.41</v>
      </c>
      <c r="Z97" s="9" t="n"/>
      <c r="AA97" s="18" t="n">
        <v>30.5</v>
      </c>
      <c r="AB97" s="19" t="n">
        <v>31.97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10652.53</v>
      </c>
      <c r="F98" s="9" t="n"/>
      <c r="G98" s="18" t="n">
        <v>-7395.14</v>
      </c>
      <c r="H98" s="18" t="n">
        <v>43.23</v>
      </c>
      <c r="I98" s="18" t="n">
        <v>3373.99</v>
      </c>
      <c r="J98" s="18" t="n">
        <v>-3221.34</v>
      </c>
      <c r="K98" s="37" t="n">
        <v>-7199.26</v>
      </c>
      <c r="L98" s="18" t="n">
        <v>-7079.64</v>
      </c>
      <c r="M98" s="18" t="n">
        <v>2191.22</v>
      </c>
      <c r="N98" s="18" t="n">
        <v>5841.24</v>
      </c>
      <c r="O98" s="18" t="n">
        <v>-3482.45</v>
      </c>
      <c r="P98" s="37" t="n">
        <v>-2529.63</v>
      </c>
      <c r="Q98" s="18" t="n">
        <v>-2304.96</v>
      </c>
      <c r="R98" s="18" t="n">
        <v>4319.09</v>
      </c>
      <c r="S98" s="18" t="n">
        <v>1708.19</v>
      </c>
      <c r="T98" s="18" t="n">
        <v>-2864.64</v>
      </c>
      <c r="U98" s="37" t="n">
        <v>857.6799999999999</v>
      </c>
      <c r="V98" s="18" t="n">
        <v>781.54</v>
      </c>
      <c r="W98" s="18" t="n">
        <v>7969.66</v>
      </c>
      <c r="X98" s="18" t="n">
        <v>-5792.91</v>
      </c>
      <c r="Y98" s="18" t="n">
        <v>5761.56</v>
      </c>
      <c r="Z98" s="37" t="n">
        <v>8719.85</v>
      </c>
      <c r="AA98" s="18" t="n">
        <v>737.0700000000001</v>
      </c>
      <c r="AB98" s="19" t="n">
        <v>-4827.22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10336.21</v>
      </c>
      <c r="F99" s="9" t="n"/>
      <c r="G99" s="18" t="n">
        <v>8499.120000000001</v>
      </c>
      <c r="H99" s="18" t="n">
        <v>278.77</v>
      </c>
      <c r="I99" s="18" t="n">
        <v>3674.61</v>
      </c>
      <c r="J99" s="18" t="n">
        <v>-3796.73</v>
      </c>
      <c r="K99" s="37" t="n">
        <v>8655.77</v>
      </c>
      <c r="L99" s="18" t="n">
        <v>1695.22</v>
      </c>
      <c r="M99" s="18" t="n">
        <v>2166.35</v>
      </c>
      <c r="N99" s="18" t="n">
        <v>5846.85</v>
      </c>
      <c r="O99" s="18" t="n">
        <v>-3582.29</v>
      </c>
      <c r="P99" s="37" t="n">
        <v>6126.13</v>
      </c>
      <c r="Q99" s="18" t="n">
        <v>3892.15</v>
      </c>
      <c r="R99" s="18" t="n">
        <v>4301.16</v>
      </c>
      <c r="S99" s="18" t="n">
        <v>1681.46</v>
      </c>
      <c r="T99" s="18" t="n">
        <v>-2890.96</v>
      </c>
      <c r="U99" s="37" t="n">
        <v>6983.81</v>
      </c>
      <c r="V99" s="18" t="n">
        <v>7769.05</v>
      </c>
      <c r="W99" s="18" t="n">
        <v>7670.13</v>
      </c>
      <c r="X99" s="18" t="n">
        <v>-5652.81</v>
      </c>
      <c r="Y99" s="18" t="n">
        <v>5917.29</v>
      </c>
      <c r="Z99" s="37" t="n">
        <v>15703.66</v>
      </c>
      <c r="AA99" s="18" t="n">
        <v>16440.73</v>
      </c>
      <c r="AB99" s="19" t="n">
        <v>-4591.33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3677.92</v>
      </c>
      <c r="H100" s="18" t="n">
        <v>1819.2</v>
      </c>
      <c r="I100" s="18" t="n">
        <v>112.42</v>
      </c>
      <c r="J100" s="18" t="n">
        <v>20.43</v>
      </c>
      <c r="K100" s="37" t="n">
        <v>5629.97</v>
      </c>
      <c r="L100" s="18" t="n">
        <v>0</v>
      </c>
      <c r="M100" s="18" t="n">
        <v>0</v>
      </c>
      <c r="N100" s="18" t="n">
        <v>0</v>
      </c>
      <c r="O100" s="18" t="n">
        <v>0</v>
      </c>
      <c r="P100" s="37" t="n">
        <v>0</v>
      </c>
      <c r="Q100" s="18" t="n">
        <v>1296.7</v>
      </c>
      <c r="R100" s="18" t="n">
        <v>902.0700000000001</v>
      </c>
      <c r="S100" s="18" t="n">
        <v>0</v>
      </c>
      <c r="T100" s="18" t="n">
        <v>12.19</v>
      </c>
      <c r="U100" s="37" t="n">
        <v>2210.96</v>
      </c>
      <c r="V100" s="18" t="n">
        <v>1458.97</v>
      </c>
      <c r="X100" s="18" t="n">
        <v>1369.53</v>
      </c>
      <c r="Y100" s="18" t="n">
        <v>5.11</v>
      </c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I101" s="18" t="n">
        <v>3166.68</v>
      </c>
      <c r="J101" s="18" t="n">
        <v>4222.24</v>
      </c>
      <c r="K101" s="9" t="n"/>
      <c r="L101" s="18" t="n">
        <v>3166.68</v>
      </c>
      <c r="M101" s="18" t="n">
        <v>2111.12</v>
      </c>
      <c r="N101" s="18" t="n">
        <v>4222.24</v>
      </c>
      <c r="O101" s="18" t="n">
        <v>3166.68</v>
      </c>
      <c r="P101" s="37" t="n">
        <v>12666.72</v>
      </c>
      <c r="Q101" s="18" t="n">
        <v>3166.65</v>
      </c>
      <c r="R101" s="18" t="n">
        <v>3166.65</v>
      </c>
      <c r="S101" s="18" t="n">
        <v>2111.1</v>
      </c>
      <c r="T101" s="18" t="n">
        <v>3166.65</v>
      </c>
      <c r="U101" s="37" t="n">
        <v>11611.05</v>
      </c>
      <c r="V101" s="18" t="n">
        <v>3166.65</v>
      </c>
      <c r="W101" s="18" t="n">
        <v>2111.1</v>
      </c>
      <c r="X101" s="18" t="n">
        <v>0</v>
      </c>
      <c r="Y101" s="18" t="n">
        <v>0</v>
      </c>
      <c r="Z101" s="37" t="n">
        <v>5277.75</v>
      </c>
      <c r="AA101" s="18" t="n">
        <v>0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676.88</v>
      </c>
      <c r="P102" s="9" t="n"/>
      <c r="Q102" s="18" t="n">
        <v>339.52</v>
      </c>
      <c r="R102" s="18" t="n">
        <v>458.35</v>
      </c>
      <c r="S102" s="18" t="n">
        <v>362.55</v>
      </c>
      <c r="T102" s="18" t="n">
        <v>480.41</v>
      </c>
      <c r="U102" s="37" t="n">
        <v>1640.83</v>
      </c>
      <c r="V102" s="18" t="n">
        <v>301.34</v>
      </c>
      <c r="W102" s="18" t="n">
        <v>282.28</v>
      </c>
      <c r="X102" s="18" t="n">
        <v>300.09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7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7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7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7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7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7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7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7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7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7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7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7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7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7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7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7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7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7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7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7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7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7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7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7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7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7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7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7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7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7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7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7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7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7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7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7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7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7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7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7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7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7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7" t="n">
        <v>6909.08</v>
      </c>
      <c r="Q14" s="18" t="n">
        <v>9850.35</v>
      </c>
      <c r="R14" s="18" t="n">
        <v>11801.71</v>
      </c>
      <c r="T14" s="18" t="n">
        <v>13064.03</v>
      </c>
      <c r="U14" s="37" t="n">
        <v>13064.03</v>
      </c>
      <c r="Y14" s="18" t="n">
        <v>15349.47</v>
      </c>
      <c r="Z14" s="37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7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7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7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7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7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7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7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7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7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7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7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7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7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7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7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7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7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7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7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7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7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7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7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7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7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7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7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7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7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7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7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7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7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7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7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7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7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7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7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7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7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7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7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7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7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7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7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7" t="n">
        <v>34327.69</v>
      </c>
      <c r="Q24" s="18" t="n">
        <v>35369.58</v>
      </c>
      <c r="R24" s="18" t="n">
        <v>41523.27</v>
      </c>
      <c r="S24" s="18" t="n">
        <v>39913.35</v>
      </c>
      <c r="T24" s="18" t="n">
        <v>37723.34</v>
      </c>
      <c r="U24" s="37" t="n">
        <v>37723.34</v>
      </c>
      <c r="V24" s="18" t="n">
        <v>40034.96</v>
      </c>
      <c r="W24" s="18" t="n">
        <v>47936.26</v>
      </c>
      <c r="X24" s="18" t="n">
        <v>45896.64</v>
      </c>
      <c r="Y24" s="18" t="n">
        <v>54118.99</v>
      </c>
      <c r="Z24" s="37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7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7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7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7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7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7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7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7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7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7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7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7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7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7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7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7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7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7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7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7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7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7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7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7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7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7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7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7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7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7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7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7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7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7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7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7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7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7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7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7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7" t="n">
        <v>0</v>
      </c>
      <c r="O34" s="18" t="n">
        <v>0</v>
      </c>
      <c r="P34" s="37" t="n">
        <v>0</v>
      </c>
      <c r="T34" s="18" t="n">
        <v>0</v>
      </c>
      <c r="U34" s="37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7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7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7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7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7" t="n">
        <v>0</v>
      </c>
      <c r="X35" s="18" t="n">
        <v>68.67</v>
      </c>
      <c r="Y35" s="18" t="n">
        <v>30.45</v>
      </c>
      <c r="Z35" s="37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7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7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7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7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7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7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7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7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7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7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7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7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7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7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7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7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7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7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7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7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7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7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7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7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7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7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7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7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7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7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7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7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7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7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7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7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7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7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7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7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7" t="n">
        <v>51216.49</v>
      </c>
      <c r="Q45" s="18" t="n">
        <v>49091.73</v>
      </c>
      <c r="R45" s="18" t="n">
        <v>52078.77</v>
      </c>
      <c r="S45" s="18" t="n">
        <v>48357.75</v>
      </c>
      <c r="T45" s="18" t="n">
        <v>43001.09</v>
      </c>
      <c r="U45" s="37" t="n">
        <v>43001.09</v>
      </c>
      <c r="V45" s="18" t="n">
        <v>42146.06</v>
      </c>
      <c r="W45" s="18" t="n">
        <v>47936.26</v>
      </c>
      <c r="X45" s="18" t="n">
        <v>45896.64</v>
      </c>
      <c r="Y45" s="18" t="n">
        <v>54118.99</v>
      </c>
      <c r="Z45" s="37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7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7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7" t="n">
        <v>48404.11</v>
      </c>
      <c r="Q46" s="18" t="n">
        <v>47648.25</v>
      </c>
      <c r="R46" s="18" t="n">
        <v>47707.41</v>
      </c>
      <c r="S46" s="18" t="n">
        <v>43076.19</v>
      </c>
      <c r="T46" s="18" t="n">
        <v>38669.92</v>
      </c>
      <c r="U46" s="37" t="n">
        <v>38669.92</v>
      </c>
      <c r="V46" s="18" t="n">
        <v>36548.12</v>
      </c>
      <c r="W46" s="18" t="n">
        <v>35666.89</v>
      </c>
      <c r="X46" s="18" t="n">
        <v>39587.2</v>
      </c>
      <c r="Y46" s="18" t="n">
        <v>40704</v>
      </c>
      <c r="Z46" s="37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7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7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7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7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7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7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7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7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7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7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7" t="n">
        <v>5277.64</v>
      </c>
      <c r="Q50" s="18" t="n">
        <v>2110.99</v>
      </c>
      <c r="R50" s="18" t="n">
        <v>0</v>
      </c>
      <c r="S50" s="18" t="n">
        <v>0</v>
      </c>
      <c r="T50" s="18" t="n">
        <v>0</v>
      </c>
      <c r="U50" s="37" t="n">
        <v>0</v>
      </c>
      <c r="Y50" s="18" t="n">
        <v>0</v>
      </c>
      <c r="Z50" s="37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7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7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7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7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7" t="n">
        <v>34327.69</v>
      </c>
      <c r="Q52" s="18" t="n">
        <v>35369.58</v>
      </c>
      <c r="R52" s="18" t="n">
        <v>41523.27</v>
      </c>
      <c r="S52" s="18" t="n">
        <v>39913.35</v>
      </c>
      <c r="T52" s="18" t="n">
        <v>37723.34</v>
      </c>
      <c r="U52" s="37" t="n">
        <v>37723.34</v>
      </c>
      <c r="V52" s="18" t="n">
        <v>40034.96</v>
      </c>
      <c r="W52" s="18" t="n">
        <v>47936.26</v>
      </c>
      <c r="X52" s="18" t="n">
        <v>45896.64</v>
      </c>
      <c r="Y52" s="18" t="n">
        <v>54118.99</v>
      </c>
      <c r="Z52" s="37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0</v>
      </c>
      <c r="T53" s="18" t="n">
        <v>0</v>
      </c>
      <c r="U53" s="37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48779.82</v>
      </c>
      <c r="F54" s="9" t="n"/>
      <c r="G54" s="18" t="n">
        <v>61438.38</v>
      </c>
      <c r="H54" s="18" t="n">
        <v>62414.2</v>
      </c>
      <c r="I54" s="18" t="n">
        <v>66264.10000000001</v>
      </c>
      <c r="J54" s="18" t="n">
        <v>56289.13</v>
      </c>
      <c r="K54" s="37" t="n">
        <v>246405.81</v>
      </c>
      <c r="L54" s="18" t="n">
        <v>46615.32</v>
      </c>
      <c r="M54" s="18" t="n">
        <v>49804.22</v>
      </c>
      <c r="N54" s="18" t="n">
        <v>47890.4</v>
      </c>
      <c r="O54" s="18" t="n">
        <v>45908.15</v>
      </c>
      <c r="P54" s="37" t="n">
        <v>190218.09</v>
      </c>
      <c r="Q54" s="18" t="n">
        <v>45824.47</v>
      </c>
      <c r="R54" s="18" t="n">
        <v>54172.88</v>
      </c>
      <c r="S54" s="18" t="n">
        <v>50245.47</v>
      </c>
      <c r="T54" s="18" t="n">
        <v>57237.88</v>
      </c>
      <c r="U54" s="37" t="n">
        <v>207480.7</v>
      </c>
      <c r="V54" s="18" t="n">
        <v>51115.32</v>
      </c>
      <c r="W54" s="18" t="n">
        <v>48238.25</v>
      </c>
      <c r="X54" s="18" t="n">
        <v>48882.39</v>
      </c>
      <c r="Y54" s="18" t="n">
        <v>49956.08</v>
      </c>
      <c r="Z54" s="37" t="n">
        <v>198192.04</v>
      </c>
      <c r="AA54" s="18" t="n">
        <v>47231.63</v>
      </c>
      <c r="AB54" s="19" t="n">
        <v>56971.55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42682.4</v>
      </c>
      <c r="F55" s="9" t="n"/>
      <c r="G55" s="18" t="n">
        <v>48077.79</v>
      </c>
      <c r="H55" s="18" t="n">
        <v>51995.37</v>
      </c>
      <c r="I55" s="18" t="n">
        <v>51355.52</v>
      </c>
      <c r="J55" s="18" t="n">
        <v>45412.7</v>
      </c>
      <c r="K55" s="37" t="n">
        <v>196841.38</v>
      </c>
      <c r="L55" s="18" t="n">
        <v>37207.43</v>
      </c>
      <c r="M55" s="18" t="n">
        <v>40544.35</v>
      </c>
      <c r="N55" s="18" t="n">
        <v>38802.81</v>
      </c>
      <c r="O55" s="18" t="n">
        <v>38194.02</v>
      </c>
      <c r="P55" s="37" t="n">
        <v>154748.61</v>
      </c>
      <c r="Q55" s="18" t="n">
        <v>38259.98</v>
      </c>
      <c r="R55" s="18" t="n">
        <v>46171.68</v>
      </c>
      <c r="S55" s="18" t="n">
        <v>42721.85</v>
      </c>
      <c r="T55" s="18" t="n">
        <v>47980.03</v>
      </c>
      <c r="U55" s="37" t="n">
        <v>175133.54</v>
      </c>
      <c r="V55" s="18" t="n">
        <v>42340.85</v>
      </c>
      <c r="W55" s="18" t="n">
        <v>40567.86</v>
      </c>
      <c r="X55" s="18" t="n">
        <v>40265.87</v>
      </c>
      <c r="Y55" s="18" t="n">
        <v>41969.88</v>
      </c>
      <c r="Z55" s="37" t="n">
        <v>165144.46</v>
      </c>
      <c r="AA55" s="18" t="n">
        <v>37365.05</v>
      </c>
      <c r="AB55" s="19" t="n">
        <v>48866.51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6097.42</v>
      </c>
      <c r="F56" s="9" t="n"/>
      <c r="G56" s="18" t="n">
        <v>13360.59</v>
      </c>
      <c r="H56" s="18" t="n">
        <v>10418.83</v>
      </c>
      <c r="I56" s="18" t="n">
        <v>14908.57</v>
      </c>
      <c r="J56" s="18" t="n">
        <v>10876.43</v>
      </c>
      <c r="K56" s="37" t="n">
        <v>49564.42</v>
      </c>
      <c r="L56" s="18" t="n">
        <v>9407.9</v>
      </c>
      <c r="M56" s="18" t="n">
        <v>9259.870000000001</v>
      </c>
      <c r="N56" s="18" t="n">
        <v>9087.6</v>
      </c>
      <c r="O56" s="18" t="n">
        <v>7714.13</v>
      </c>
      <c r="P56" s="37" t="n">
        <v>35469.5</v>
      </c>
      <c r="Q56" s="18" t="n">
        <v>7564.49</v>
      </c>
      <c r="R56" s="18" t="n">
        <v>8001.19</v>
      </c>
      <c r="S56" s="18" t="n">
        <v>7523.63</v>
      </c>
      <c r="T56" s="18" t="n">
        <v>9257.85</v>
      </c>
      <c r="U56" s="37" t="n">
        <v>32347.16</v>
      </c>
      <c r="V56" s="18" t="n">
        <v>8774.469999999999</v>
      </c>
      <c r="W56" s="18" t="n">
        <v>7670.39</v>
      </c>
      <c r="X56" s="18" t="n">
        <v>8616.52</v>
      </c>
      <c r="Y56" s="18" t="n">
        <v>7986.2</v>
      </c>
      <c r="Z56" s="37" t="n">
        <v>33047.58</v>
      </c>
      <c r="AA56" s="18" t="n">
        <v>9866.59</v>
      </c>
      <c r="AB56" s="19" t="n">
        <v>8105.04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4529.6</v>
      </c>
      <c r="F57" s="9" t="n"/>
      <c r="G57" s="18" t="n">
        <v>3696.48</v>
      </c>
      <c r="H57" s="18" t="n">
        <v>5642.01</v>
      </c>
      <c r="I57" s="18" t="n">
        <v>3758.6</v>
      </c>
      <c r="J57" s="18" t="n">
        <v>5388.55</v>
      </c>
      <c r="K57" s="37" t="n">
        <v>18485.64</v>
      </c>
      <c r="L57" s="18" t="n">
        <v>3470.88</v>
      </c>
      <c r="M57" s="18" t="n">
        <v>4570.92</v>
      </c>
      <c r="N57" s="18" t="n">
        <v>3489.16</v>
      </c>
      <c r="O57" s="18" t="n">
        <v>3985.11</v>
      </c>
      <c r="P57" s="37" t="n">
        <v>15516.07</v>
      </c>
      <c r="Q57" s="18" t="n">
        <v>3217.32</v>
      </c>
      <c r="R57" s="18" t="n">
        <v>4396.59</v>
      </c>
      <c r="S57" s="18" t="n">
        <v>6965.56</v>
      </c>
      <c r="T57" s="18" t="n">
        <v>5476.26</v>
      </c>
      <c r="U57" s="37" t="n">
        <v>20055.73</v>
      </c>
      <c r="V57" s="18" t="n">
        <v>3610.23</v>
      </c>
      <c r="W57" s="18" t="n">
        <v>5427.88</v>
      </c>
      <c r="X57" s="18" t="n">
        <v>3623.75</v>
      </c>
      <c r="Y57" s="18" t="n">
        <v>4262.85</v>
      </c>
      <c r="Z57" s="37" t="n">
        <v>16924.71</v>
      </c>
      <c r="AA57" s="18" t="n">
        <v>3241.7</v>
      </c>
      <c r="AB57" s="19" t="n">
        <v>5012.03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1567.8</v>
      </c>
      <c r="F58" s="9" t="n"/>
      <c r="G58" s="18" t="n">
        <v>9664.1</v>
      </c>
      <c r="H58" s="18" t="n">
        <v>4776.82</v>
      </c>
      <c r="I58" s="18" t="n">
        <v>11149.97</v>
      </c>
      <c r="J58" s="18" t="n">
        <v>5487.87</v>
      </c>
      <c r="K58" s="37" t="n">
        <v>31078.76</v>
      </c>
      <c r="L58" s="18" t="n">
        <v>5937.01</v>
      </c>
      <c r="M58" s="18" t="n">
        <v>4688.95</v>
      </c>
      <c r="N58" s="18" t="n">
        <v>5598.43</v>
      </c>
      <c r="O58" s="18" t="n">
        <v>3729.02</v>
      </c>
      <c r="P58" s="37" t="n">
        <v>19953.41</v>
      </c>
      <c r="Q58" s="18" t="n">
        <v>4347.17</v>
      </c>
      <c r="R58" s="18" t="n">
        <v>3604.61</v>
      </c>
      <c r="S58" s="18" t="n">
        <v>558.0700000000001</v>
      </c>
      <c r="T58" s="18" t="n">
        <v>3781.58</v>
      </c>
      <c r="U58" s="37" t="n">
        <v>12291.43</v>
      </c>
      <c r="V58" s="18" t="n">
        <v>5164.23</v>
      </c>
      <c r="W58" s="18" t="n">
        <v>2242.51</v>
      </c>
      <c r="X58" s="18" t="n">
        <v>4992.77</v>
      </c>
      <c r="Y58" s="18" t="n">
        <v>3723.36</v>
      </c>
      <c r="Z58" s="37" t="n">
        <v>16122.87</v>
      </c>
      <c r="AA58" s="18" t="n">
        <v>6624.89</v>
      </c>
      <c r="AB58" s="19" t="n">
        <v>3093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-502.71</v>
      </c>
      <c r="F59" s="9" t="n"/>
      <c r="G59" s="18" t="n">
        <v>836.25</v>
      </c>
      <c r="H59" s="18" t="n">
        <v>2133.5</v>
      </c>
      <c r="I59" s="18" t="n">
        <v>3333.44</v>
      </c>
      <c r="J59" s="18" t="n">
        <v>-1133.63</v>
      </c>
      <c r="K59" s="37" t="n">
        <v>5169.56</v>
      </c>
      <c r="L59" s="18" t="n">
        <v>1186.71</v>
      </c>
      <c r="M59" s="18" t="n">
        <v>741.4</v>
      </c>
      <c r="N59" s="18" t="n">
        <v>809.84</v>
      </c>
      <c r="O59" s="18" t="n">
        <v>-46.3</v>
      </c>
      <c r="P59" s="37" t="n">
        <v>2691.65</v>
      </c>
      <c r="Q59" s="18" t="n">
        <v>1129.74</v>
      </c>
      <c r="R59" s="18" t="n">
        <v>1156.93</v>
      </c>
      <c r="S59" s="18" t="n">
        <v>3383.91</v>
      </c>
      <c r="T59" s="18" t="n">
        <v>4061.89</v>
      </c>
      <c r="U59" s="37" t="n">
        <v>9732.469999999999</v>
      </c>
      <c r="V59" s="18" t="n">
        <v>911.98</v>
      </c>
      <c r="W59" s="18" t="n">
        <v>1174.56</v>
      </c>
      <c r="X59" s="18" t="n">
        <v>712.28</v>
      </c>
      <c r="Y59" s="18" t="n">
        <v>894.52</v>
      </c>
      <c r="Z59" s="37" t="n">
        <v>3693.34</v>
      </c>
      <c r="AA59" s="18" t="n">
        <v>2611.48</v>
      </c>
      <c r="AB59" s="19" t="n">
        <v>2442.04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1573.65</v>
      </c>
      <c r="F60" s="9" t="n"/>
      <c r="G60" s="18" t="n">
        <v>383.21</v>
      </c>
      <c r="H60" s="18" t="n">
        <v>652.6900000000001</v>
      </c>
      <c r="I60" s="18" t="n">
        <v>990.97</v>
      </c>
      <c r="J60" s="18" t="n">
        <v>4260.04</v>
      </c>
      <c r="K60" s="37" t="n">
        <v>6286.91</v>
      </c>
      <c r="L60" s="18" t="n">
        <v>718.3099999999999</v>
      </c>
      <c r="M60" s="18" t="n">
        <v>433.43</v>
      </c>
      <c r="N60" s="18" t="n">
        <v>319.24</v>
      </c>
      <c r="O60" s="18" t="n">
        <v>4892.22</v>
      </c>
      <c r="P60" s="37" t="n">
        <v>6363.2</v>
      </c>
      <c r="Q60" s="18" t="n">
        <v>353.5</v>
      </c>
      <c r="R60" s="18" t="n">
        <v>695.71</v>
      </c>
      <c r="S60" s="18" t="n">
        <v>540.4299999999999</v>
      </c>
      <c r="T60" s="18" t="n">
        <v>5434.88</v>
      </c>
      <c r="U60" s="37" t="n">
        <v>7024.52</v>
      </c>
      <c r="V60" s="18" t="n">
        <v>726.04</v>
      </c>
      <c r="W60" s="18" t="n">
        <v>3454</v>
      </c>
      <c r="X60" s="18" t="n">
        <v>-884.29</v>
      </c>
      <c r="Y60" s="18" t="n">
        <v>5648.54</v>
      </c>
      <c r="Z60" s="37" t="n">
        <v>8944.290000000001</v>
      </c>
      <c r="AA60" s="18" t="n">
        <v>606.55</v>
      </c>
      <c r="AB60" s="19" t="n">
        <v>593.3200000000001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1076.27</v>
      </c>
      <c r="F61" s="9" t="n"/>
      <c r="G61" s="18" t="n">
        <v>1153.1</v>
      </c>
      <c r="H61" s="18" t="n">
        <v>2067.27</v>
      </c>
      <c r="I61" s="18" t="n">
        <v>2130.29</v>
      </c>
      <c r="J61" s="18" t="n">
        <v>4594.17</v>
      </c>
      <c r="K61" s="37" t="n">
        <v>9944.83</v>
      </c>
      <c r="L61" s="18" t="n">
        <v>4205.83</v>
      </c>
      <c r="M61" s="18" t="n">
        <v>2886.7</v>
      </c>
      <c r="N61" s="18" t="n">
        <v>1923.58</v>
      </c>
      <c r="O61" s="18" t="n">
        <v>4203.84</v>
      </c>
      <c r="P61" s="37" t="n">
        <v>13219.95</v>
      </c>
      <c r="Q61" s="18" t="n">
        <v>2762.53</v>
      </c>
      <c r="R61" s="18" t="n">
        <v>2486.97</v>
      </c>
      <c r="S61" s="18" t="n">
        <v>2770.19</v>
      </c>
      <c r="T61" s="18" t="n">
        <v>1882.38</v>
      </c>
      <c r="U61" s="37" t="n">
        <v>9902.07</v>
      </c>
      <c r="V61" s="18" t="n">
        <v>1851.8</v>
      </c>
      <c r="W61" s="18" t="n">
        <v>3023.57</v>
      </c>
      <c r="X61" s="18" t="n">
        <v>2172.24</v>
      </c>
      <c r="Y61" s="18" t="n">
        <v>2219.57</v>
      </c>
      <c r="Z61" s="37" t="n">
        <v>9267.18</v>
      </c>
      <c r="AA61" s="18" t="n">
        <v>3973.37</v>
      </c>
      <c r="AB61" s="19" t="n">
        <v>9233.190000000001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1156</v>
      </c>
      <c r="F62" s="9" t="n"/>
      <c r="G62" s="18" t="n">
        <v>1325.71</v>
      </c>
      <c r="H62" s="18" t="n">
        <v>4301.57</v>
      </c>
      <c r="I62" s="18" t="n">
        <v>4553.01</v>
      </c>
      <c r="J62" s="18" t="n">
        <v>3197.43</v>
      </c>
      <c r="K62" s="37" t="n">
        <v>13377.72</v>
      </c>
      <c r="L62" s="18" t="n">
        <v>3734.02</v>
      </c>
      <c r="M62" s="18" t="n">
        <v>2815.7</v>
      </c>
      <c r="N62" s="18" t="n">
        <v>2617.82</v>
      </c>
      <c r="O62" s="18" t="n">
        <v>2393.83</v>
      </c>
      <c r="P62" s="37" t="n">
        <v>11561.37</v>
      </c>
      <c r="Q62" s="18" t="n">
        <v>2638.67</v>
      </c>
      <c r="R62" s="18" t="n">
        <v>2312.53</v>
      </c>
      <c r="S62" s="18" t="n">
        <v>2070.29</v>
      </c>
      <c r="T62" s="18" t="n">
        <v>2414.74</v>
      </c>
      <c r="U62" s="37" t="n">
        <v>9436.23</v>
      </c>
      <c r="V62" s="18" t="n">
        <v>1714.41</v>
      </c>
      <c r="W62" s="18" t="n">
        <v>1407.12</v>
      </c>
      <c r="X62" s="18" t="n">
        <v>1435.26</v>
      </c>
      <c r="Y62" s="18" t="n">
        <v>1181.96</v>
      </c>
      <c r="Z62" s="37" t="n">
        <v>5738.75</v>
      </c>
      <c r="AA62" s="18" t="n">
        <v>1506.86</v>
      </c>
      <c r="AB62" s="19" t="n">
        <v>677.62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-565.78</v>
      </c>
      <c r="F63" s="9" t="n"/>
      <c r="G63" s="18" t="n">
        <v>9944.530000000001</v>
      </c>
      <c r="H63" s="18" t="n">
        <v>4023.33</v>
      </c>
      <c r="I63" s="18" t="n">
        <v>11069.72</v>
      </c>
      <c r="J63" s="18" t="n">
        <v>1490.95</v>
      </c>
      <c r="K63" s="37" t="n">
        <v>26528.53</v>
      </c>
      <c r="L63" s="18" t="n">
        <v>6877.23</v>
      </c>
      <c r="M63" s="18" t="n">
        <v>5067.92</v>
      </c>
      <c r="N63" s="18" t="n">
        <v>5394.79</v>
      </c>
      <c r="O63" s="18" t="n">
        <v>600.5</v>
      </c>
      <c r="P63" s="37" t="n">
        <v>17940.44</v>
      </c>
      <c r="Q63" s="18" t="n">
        <v>5247.28</v>
      </c>
      <c r="R63" s="18" t="n">
        <v>4240.26</v>
      </c>
      <c r="S63" s="18" t="n">
        <v>4101.44</v>
      </c>
      <c r="T63" s="18" t="n">
        <v>1876.23</v>
      </c>
      <c r="U63" s="37" t="n">
        <v>15465.21</v>
      </c>
      <c r="V63" s="18" t="n">
        <v>5487.56</v>
      </c>
      <c r="W63" s="18" t="n">
        <v>1579.52</v>
      </c>
      <c r="X63" s="18" t="n">
        <v>7326.32</v>
      </c>
      <c r="Y63" s="18" t="n">
        <v>6.95</v>
      </c>
      <c r="Z63" s="37" t="n">
        <v>14400.35</v>
      </c>
      <c r="AA63" s="18" t="n">
        <v>11096.32</v>
      </c>
      <c r="AB63" s="19" t="n">
        <v>13497.29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472.49</v>
      </c>
      <c r="F64" s="9" t="n"/>
      <c r="G64" s="18" t="n">
        <v>2382.35</v>
      </c>
      <c r="H64" s="18" t="n">
        <v>958.63</v>
      </c>
      <c r="I64" s="18" t="n">
        <v>2695.98</v>
      </c>
      <c r="J64" s="18" t="n">
        <v>1257.27</v>
      </c>
      <c r="K64" s="37" t="n">
        <v>7294.23</v>
      </c>
      <c r="L64" s="18" t="n">
        <v>1597.92</v>
      </c>
      <c r="M64" s="18" t="n">
        <v>1087.89</v>
      </c>
      <c r="N64" s="18" t="n">
        <v>829.28</v>
      </c>
      <c r="O64" s="18" t="n">
        <v>194.24</v>
      </c>
      <c r="P64" s="37" t="n">
        <v>3709.33</v>
      </c>
      <c r="Q64" s="18" t="n">
        <v>1121.04</v>
      </c>
      <c r="R64" s="18" t="n">
        <v>655.3099999999999</v>
      </c>
      <c r="S64" s="18" t="n">
        <v>814.66</v>
      </c>
      <c r="T64" s="18" t="n">
        <v>1037.71</v>
      </c>
      <c r="U64" s="37" t="n">
        <v>3628.72</v>
      </c>
      <c r="V64" s="18" t="n">
        <v>1182.55</v>
      </c>
      <c r="W64" s="18" t="n">
        <v>72.67</v>
      </c>
      <c r="X64" s="18" t="n">
        <v>1518.45</v>
      </c>
      <c r="Y64" s="18" t="n">
        <v>1418.89</v>
      </c>
      <c r="Z64" s="37" t="n">
        <v>4192.56</v>
      </c>
      <c r="AA64" s="18" t="n">
        <v>2407.18</v>
      </c>
      <c r="AB64" s="19" t="n">
        <v>2946.27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-1038.28</v>
      </c>
      <c r="F65" s="9" t="n"/>
      <c r="G65" s="18" t="n">
        <v>7562.19</v>
      </c>
      <c r="H65" s="18" t="n">
        <v>3064.7</v>
      </c>
      <c r="I65" s="18" t="n">
        <v>8373.74</v>
      </c>
      <c r="J65" s="18" t="n">
        <v>233.69</v>
      </c>
      <c r="K65" s="37" t="n">
        <v>19234.32</v>
      </c>
      <c r="L65" s="18" t="n">
        <v>5279.3</v>
      </c>
      <c r="M65" s="18" t="n">
        <v>3980.04</v>
      </c>
      <c r="N65" s="18" t="n">
        <v>4565.51</v>
      </c>
      <c r="O65" s="18" t="n">
        <v>406.26</v>
      </c>
      <c r="P65" s="37" t="n">
        <v>14231.11</v>
      </c>
      <c r="Q65" s="18" t="n">
        <v>4126.23</v>
      </c>
      <c r="R65" s="18" t="n">
        <v>3584.96</v>
      </c>
      <c r="S65" s="18" t="n">
        <v>3286.77</v>
      </c>
      <c r="T65" s="18" t="n">
        <v>838.52</v>
      </c>
      <c r="U65" s="37" t="n">
        <v>11836.48</v>
      </c>
      <c r="V65" s="18" t="n">
        <v>4305.01</v>
      </c>
      <c r="W65" s="18" t="n">
        <v>1506.85</v>
      </c>
      <c r="X65" s="18" t="n">
        <v>5807.87</v>
      </c>
      <c r="Y65" s="18" t="n">
        <v>-1411.95</v>
      </c>
      <c r="Z65" s="37" t="n">
        <v>10207.78</v>
      </c>
      <c r="AA65" s="18" t="n">
        <v>8689.129999999999</v>
      </c>
      <c r="AB65" s="19" t="n">
        <v>10551.02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-79.73</v>
      </c>
      <c r="F66" s="9" t="n"/>
      <c r="G66" s="18" t="n">
        <v>-172.61</v>
      </c>
      <c r="H66" s="18" t="n">
        <v>-2234.3</v>
      </c>
      <c r="I66" s="18" t="n">
        <v>-2422.72</v>
      </c>
      <c r="J66" s="18" t="n">
        <v>1396.74</v>
      </c>
      <c r="K66" s="37" t="n">
        <v>-3432.89</v>
      </c>
      <c r="L66" s="18" t="n">
        <v>471.81</v>
      </c>
      <c r="M66" s="18" t="n">
        <v>71</v>
      </c>
      <c r="N66" s="18" t="n">
        <v>-694.24</v>
      </c>
      <c r="O66" s="18" t="n">
        <v>1810.01</v>
      </c>
      <c r="P66" s="37" t="n">
        <v>1658.58</v>
      </c>
      <c r="Q66" s="18" t="n">
        <v>123.86</v>
      </c>
      <c r="R66" s="18" t="n">
        <v>174.44</v>
      </c>
      <c r="S66" s="18" t="n">
        <v>699.9</v>
      </c>
      <c r="T66" s="18" t="n">
        <v>-532.36</v>
      </c>
      <c r="U66" s="37" t="n">
        <v>465.84</v>
      </c>
      <c r="V66" s="18" t="n">
        <v>137.39</v>
      </c>
      <c r="W66" s="18" t="n">
        <v>1616.45</v>
      </c>
      <c r="X66" s="18" t="n">
        <v>736.98</v>
      </c>
      <c r="Y66" s="18" t="n">
        <v>1037.61</v>
      </c>
      <c r="Z66" s="37" t="n">
        <v>3528.43</v>
      </c>
      <c r="AA66" s="18" t="n">
        <v>2466.51</v>
      </c>
      <c r="AB66" s="19" t="n">
        <v>8555.57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-2076.36</v>
      </c>
      <c r="F67" s="9" t="n"/>
      <c r="G67" s="18" t="n">
        <v>453.04</v>
      </c>
      <c r="H67" s="18" t="n">
        <v>1480.81</v>
      </c>
      <c r="I67" s="18" t="n">
        <v>2342.47</v>
      </c>
      <c r="J67" s="18" t="n">
        <v>-5393.67</v>
      </c>
      <c r="K67" s="37" t="n">
        <v>-1117.35</v>
      </c>
      <c r="L67" s="18" t="n">
        <v>468.4</v>
      </c>
      <c r="M67" s="18" t="n">
        <v>307.97</v>
      </c>
      <c r="N67" s="18" t="n">
        <v>490.6</v>
      </c>
      <c r="O67" s="18" t="n">
        <v>-4938.52</v>
      </c>
      <c r="P67" s="37" t="n">
        <v>-3671.55</v>
      </c>
      <c r="Q67" s="18" t="n">
        <v>776.24</v>
      </c>
      <c r="R67" s="18" t="n">
        <v>461.22</v>
      </c>
      <c r="S67" s="18" t="n">
        <v>2843.48</v>
      </c>
      <c r="T67" s="18" t="n">
        <v>-1372.99</v>
      </c>
      <c r="U67" s="37" t="n">
        <v>2707.95</v>
      </c>
      <c r="V67" s="18" t="n">
        <v>185.94</v>
      </c>
      <c r="W67" s="18" t="n">
        <v>-2279.44</v>
      </c>
      <c r="X67" s="18" t="n">
        <v>1596.57</v>
      </c>
      <c r="Y67" s="18" t="n">
        <v>-4754.02</v>
      </c>
      <c r="Z67" s="37" t="n">
        <v>-5250.95</v>
      </c>
      <c r="AA67" s="18" t="n">
        <v>2004.93</v>
      </c>
      <c r="AB67" s="19" t="n">
        <v>1848.72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7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7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7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7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-1038.28</v>
      </c>
      <c r="F69" s="9" t="n"/>
      <c r="G69" s="18" t="n">
        <v>7562.19</v>
      </c>
      <c r="H69" s="18" t="n">
        <v>3064.7</v>
      </c>
      <c r="I69" s="18" t="n">
        <v>8373.74</v>
      </c>
      <c r="J69" s="18" t="n">
        <v>233.69</v>
      </c>
      <c r="K69" s="37" t="n">
        <v>19234.32</v>
      </c>
      <c r="L69" s="18" t="n">
        <v>5279.3</v>
      </c>
      <c r="M69" s="18" t="n">
        <v>3980.04</v>
      </c>
      <c r="N69" s="18" t="n">
        <v>4565.51</v>
      </c>
      <c r="O69" s="18" t="n">
        <v>406.26</v>
      </c>
      <c r="P69" s="37" t="n">
        <v>14231.11</v>
      </c>
      <c r="Q69" s="18" t="n">
        <v>4126.23</v>
      </c>
      <c r="R69" s="18" t="n">
        <v>3584.96</v>
      </c>
      <c r="S69" s="18" t="n">
        <v>3286.77</v>
      </c>
      <c r="T69" s="18" t="n">
        <v>838.52</v>
      </c>
      <c r="U69" s="37" t="n">
        <v>11836.48</v>
      </c>
      <c r="V69" s="18" t="n">
        <v>4305.01</v>
      </c>
      <c r="W69" s="18" t="n">
        <v>1506.85</v>
      </c>
      <c r="X69" s="18" t="n">
        <v>5807.87</v>
      </c>
      <c r="Y69" s="18" t="n">
        <v>-1411.95</v>
      </c>
      <c r="Z69" s="37" t="n">
        <v>10207.78</v>
      </c>
      <c r="AA69" s="18" t="n">
        <v>8689.129999999999</v>
      </c>
      <c r="AB69" s="19" t="n">
        <v>10551.02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-2720.74</v>
      </c>
      <c r="F70" s="9" t="n"/>
      <c r="G70" s="18" t="n">
        <v>7831.87</v>
      </c>
      <c r="H70" s="18" t="n">
        <v>2866.93</v>
      </c>
      <c r="I70" s="18" t="n">
        <v>8068.1</v>
      </c>
      <c r="J70" s="18" t="n">
        <v>1308.64</v>
      </c>
      <c r="K70" s="37" t="n">
        <v>20075.54</v>
      </c>
      <c r="L70" s="18" t="n">
        <v>5509.16</v>
      </c>
      <c r="M70" s="18" t="n">
        <v>3772.18</v>
      </c>
      <c r="N70" s="18" t="n">
        <v>4426.94</v>
      </c>
      <c r="O70" s="18" t="n">
        <v>-129.5</v>
      </c>
      <c r="P70" s="37" t="n">
        <v>13578.78</v>
      </c>
      <c r="Q70" s="18" t="n">
        <v>4113.47</v>
      </c>
      <c r="R70" s="18" t="n">
        <v>3710.76</v>
      </c>
      <c r="S70" s="18" t="n">
        <v>2136.17</v>
      </c>
      <c r="T70" s="18" t="n">
        <v>1046.83</v>
      </c>
      <c r="U70" s="37" t="n">
        <v>11007.23</v>
      </c>
      <c r="V70" s="18" t="n">
        <v>4305.01</v>
      </c>
      <c r="W70" s="18" t="n">
        <v>1506.85</v>
      </c>
      <c r="X70" s="18" t="n">
        <v>5807.87</v>
      </c>
      <c r="Y70" s="18" t="n">
        <v>-794.83</v>
      </c>
      <c r="Z70" s="37" t="n">
        <v>10824.9</v>
      </c>
      <c r="AA70" s="18" t="n">
        <v>8569.440000000001</v>
      </c>
      <c r="AB70" s="19" t="n">
        <v>10579.77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4747.08</v>
      </c>
      <c r="F71" s="9" t="n"/>
      <c r="G71" s="18" t="n">
        <v>3909</v>
      </c>
      <c r="H71" s="18" t="n">
        <v>-2728.06</v>
      </c>
      <c r="I71" s="18" t="n">
        <v>16947.78</v>
      </c>
      <c r="J71" s="18" t="n">
        <v>13118.05</v>
      </c>
      <c r="K71" s="37" t="n">
        <v>31246.77</v>
      </c>
      <c r="L71" s="18" t="n">
        <v>-1071.52</v>
      </c>
      <c r="M71" s="18" t="n">
        <v>6762.23</v>
      </c>
      <c r="N71" s="18" t="n">
        <v>11189.06</v>
      </c>
      <c r="O71" s="18" t="n">
        <v>4588.85</v>
      </c>
      <c r="P71" s="37" t="n">
        <v>21468.62</v>
      </c>
      <c r="Q71" s="18" t="n">
        <v>3982.58</v>
      </c>
      <c r="R71" s="18" t="n">
        <v>1263.6</v>
      </c>
      <c r="S71" s="18" t="n">
        <v>-5754.32</v>
      </c>
      <c r="T71" s="18" t="n">
        <v>6473.87</v>
      </c>
      <c r="U71" s="37" t="n">
        <v>5965.73</v>
      </c>
      <c r="V71" s="18" t="n">
        <v>415.3</v>
      </c>
      <c r="W71" s="18" t="n">
        <v>3303.27</v>
      </c>
      <c r="X71" s="18" t="n">
        <v>366.19</v>
      </c>
      <c r="Y71" s="18" t="n">
        <v>9580.59</v>
      </c>
      <c r="Z71" s="37" t="n">
        <v>13665.35</v>
      </c>
      <c r="AA71" s="18" t="n">
        <v>8464.540000000001</v>
      </c>
      <c r="AB71" s="19" t="n">
        <v>1809.9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8.210000000000001</v>
      </c>
      <c r="F72" s="9" t="n"/>
      <c r="G72" s="18" t="n">
        <v>0.75</v>
      </c>
      <c r="H72" s="18" t="n">
        <v>48.58</v>
      </c>
      <c r="I72" s="18" t="n">
        <v>13.43</v>
      </c>
      <c r="J72" s="18" t="n">
        <v>12.69</v>
      </c>
      <c r="K72" s="37" t="n">
        <v>75.45</v>
      </c>
      <c r="L72" s="18" t="n">
        <v>1.02</v>
      </c>
      <c r="M72" s="18" t="n">
        <v>79.45</v>
      </c>
      <c r="N72" s="18" t="n">
        <v>12.51</v>
      </c>
      <c r="O72" s="18" t="n">
        <v>13.53</v>
      </c>
      <c r="P72" s="37" t="n">
        <v>106.51</v>
      </c>
      <c r="Q72" s="18" t="n">
        <v>0.08</v>
      </c>
      <c r="R72" s="18" t="n">
        <v>73.37</v>
      </c>
      <c r="S72" s="18" t="n">
        <v>9.67</v>
      </c>
      <c r="T72" s="18" t="n">
        <v>2.27</v>
      </c>
      <c r="U72" s="37" t="n">
        <v>85.39</v>
      </c>
      <c r="V72" s="18" t="n">
        <v>46.1</v>
      </c>
      <c r="W72" s="18" t="n">
        <v>427.84</v>
      </c>
      <c r="X72" s="18" t="n">
        <v>33.22</v>
      </c>
      <c r="Y72" s="18" t="n">
        <v>-6.58</v>
      </c>
      <c r="Z72" s="37" t="n">
        <v>500.58</v>
      </c>
      <c r="AA72" s="18" t="n">
        <v>22.39</v>
      </c>
      <c r="AB72" s="19" t="n">
        <v>238.71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-24.67</v>
      </c>
      <c r="F73" s="9" t="n"/>
      <c r="G73" s="18" t="n">
        <v>-916.03</v>
      </c>
      <c r="H73" s="18" t="n">
        <v>-1212.44</v>
      </c>
      <c r="I73" s="18" t="n">
        <v>-1225.22</v>
      </c>
      <c r="J73" s="18" t="n">
        <v>-31.46</v>
      </c>
      <c r="K73" s="37" t="n">
        <v>-3385.15</v>
      </c>
      <c r="L73" s="18" t="n">
        <v>-2843.36</v>
      </c>
      <c r="M73" s="18" t="n">
        <v>-3536.09</v>
      </c>
      <c r="N73" s="18" t="n">
        <v>-929.02</v>
      </c>
      <c r="O73" s="18" t="n">
        <v>-978.61</v>
      </c>
      <c r="P73" s="37" t="n">
        <v>-8287.08</v>
      </c>
      <c r="Q73" s="18" t="n">
        <v>-49.46</v>
      </c>
      <c r="R73" s="18" t="n">
        <v>-2131.98</v>
      </c>
      <c r="S73" s="18" t="n">
        <v>-1598.59</v>
      </c>
      <c r="T73" s="18" t="n">
        <v>-71.34</v>
      </c>
      <c r="U73" s="37" t="n">
        <v>-3851.37</v>
      </c>
      <c r="V73" s="18" t="n">
        <v>-1082.69</v>
      </c>
      <c r="W73" s="18" t="n">
        <v>-1488.04</v>
      </c>
      <c r="X73" s="18" t="n">
        <v>-885.51</v>
      </c>
      <c r="Y73" s="18" t="n">
        <v>2169.71</v>
      </c>
      <c r="Z73" s="37" t="n">
        <v>-1286.53</v>
      </c>
      <c r="AA73" s="18" t="n">
        <v>-180.09</v>
      </c>
      <c r="AB73" s="19" t="n">
        <v>-2524.8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5799.8</v>
      </c>
      <c r="F74" s="9" t="n"/>
      <c r="G74" s="18" t="n">
        <v>-9833.370000000001</v>
      </c>
      <c r="H74" s="18" t="n">
        <v>-38296.3</v>
      </c>
      <c r="I74" s="18" t="n">
        <v>1005.66</v>
      </c>
      <c r="J74" s="18" t="n">
        <v>-15826.73</v>
      </c>
      <c r="K74" s="37" t="n">
        <v>-62950.74</v>
      </c>
      <c r="L74" s="18" t="n">
        <v>-2030.4</v>
      </c>
      <c r="M74" s="18" t="n">
        <v>-1237.23</v>
      </c>
      <c r="N74" s="18" t="n">
        <v>-4527.75</v>
      </c>
      <c r="O74" s="18" t="n">
        <v>-6336.24</v>
      </c>
      <c r="P74" s="37" t="n">
        <v>-14131.62</v>
      </c>
      <c r="Q74" s="18" t="n">
        <v>-2458.85</v>
      </c>
      <c r="R74" s="18" t="n">
        <v>3759.05</v>
      </c>
      <c r="S74" s="18" t="n">
        <v>5542.03</v>
      </c>
      <c r="T74" s="18" t="n">
        <v>1467.9</v>
      </c>
      <c r="U74" s="37" t="n">
        <v>8310.129999999999</v>
      </c>
      <c r="V74" s="18" t="n">
        <v>-1822.64</v>
      </c>
      <c r="W74" s="18" t="n">
        <v>233.95</v>
      </c>
      <c r="X74" s="18" t="n">
        <v>-4243.17</v>
      </c>
      <c r="Y74" s="18" t="n">
        <v>-10456.4</v>
      </c>
      <c r="Z74" s="37" t="n">
        <v>-16288.26</v>
      </c>
      <c r="AA74" s="18" t="n">
        <v>-2637.45</v>
      </c>
      <c r="AB74" s="19" t="n">
        <v>-4064.35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7.37</v>
      </c>
      <c r="F75" s="9" t="n"/>
      <c r="G75" s="18" t="n">
        <v>2.61</v>
      </c>
      <c r="H75" s="18" t="n">
        <v>7.01</v>
      </c>
      <c r="I75" s="18" t="n">
        <v>72.28</v>
      </c>
      <c r="J75" s="18" t="n">
        <v>1.08</v>
      </c>
      <c r="K75" s="37" t="n">
        <v>82.98</v>
      </c>
      <c r="L75" s="18" t="n">
        <v>0.6</v>
      </c>
      <c r="M75" s="18" t="n">
        <v>7</v>
      </c>
      <c r="N75" s="18" t="n">
        <v>94.84</v>
      </c>
      <c r="O75" s="18" t="n">
        <v>3.74</v>
      </c>
      <c r="P75" s="37" t="n">
        <v>106.18</v>
      </c>
      <c r="Q75" s="18" t="n">
        <v>0</v>
      </c>
      <c r="R75" s="18" t="n">
        <v>6.51</v>
      </c>
      <c r="S75" s="18" t="n">
        <v>5455.7</v>
      </c>
      <c r="T75" s="18" t="n">
        <v>1383.91</v>
      </c>
      <c r="U75" s="37" t="n">
        <v>6846.12</v>
      </c>
      <c r="V75" s="18" t="n">
        <v>19.36</v>
      </c>
      <c r="W75" s="18" t="n">
        <v>115.55</v>
      </c>
      <c r="X75" s="18" t="n">
        <v>10.91</v>
      </c>
      <c r="Y75" s="18" t="n">
        <v>1773.23</v>
      </c>
      <c r="Z75" s="37" t="n">
        <v>1919.05</v>
      </c>
      <c r="AA75" s="18" t="n">
        <v>19.09</v>
      </c>
      <c r="AB75" s="19" t="n">
        <v>27.72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7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7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7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7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1421.05</v>
      </c>
      <c r="F77" s="9" t="n"/>
      <c r="G77" s="18" t="n">
        <v>8139.1</v>
      </c>
      <c r="H77" s="18" t="n">
        <v>44919.71</v>
      </c>
      <c r="I77" s="18" t="n">
        <v>812.75</v>
      </c>
      <c r="J77" s="18" t="n">
        <v>982.52</v>
      </c>
      <c r="K77" s="37" t="n">
        <v>54854.08</v>
      </c>
      <c r="L77" s="18" t="n">
        <v>252.06</v>
      </c>
      <c r="M77" s="18" t="n">
        <v>169.67</v>
      </c>
      <c r="N77" s="18" t="n">
        <v>991.38</v>
      </c>
      <c r="O77" s="18" t="n">
        <v>462.12</v>
      </c>
      <c r="P77" s="37" t="n">
        <v>1875.23</v>
      </c>
      <c r="Q77" s="18" t="n">
        <v>924.1</v>
      </c>
      <c r="R77" s="18" t="n">
        <v>1498.05</v>
      </c>
      <c r="S77" s="18" t="n">
        <v>1293.07</v>
      </c>
      <c r="T77" s="18" t="n">
        <v>1101.69</v>
      </c>
      <c r="U77" s="37" t="n">
        <v>4816.91</v>
      </c>
      <c r="V77" s="18" t="n">
        <v>2343.05</v>
      </c>
      <c r="W77" s="18" t="n">
        <v>1145.23</v>
      </c>
      <c r="X77" s="18" t="n">
        <v>970.4299999999999</v>
      </c>
      <c r="Y77" s="18" t="n">
        <v>1324.39</v>
      </c>
      <c r="Z77" s="37" t="n">
        <v>5783.1</v>
      </c>
      <c r="AA77" s="18" t="n">
        <v>1064.49</v>
      </c>
      <c r="AB77" s="19" t="n">
        <v>456.51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-2041.57</v>
      </c>
      <c r="F78" s="9" t="n"/>
      <c r="G78" s="18" t="n">
        <v>-220.86</v>
      </c>
      <c r="H78" s="18" t="n">
        <v>39006.42</v>
      </c>
      <c r="I78" s="18" t="n">
        <v>-13876.89</v>
      </c>
      <c r="J78" s="18" t="n">
        <v>-971.1</v>
      </c>
      <c r="K78" s="37" t="n">
        <v>23937.57</v>
      </c>
      <c r="L78" s="18" t="n">
        <v>-45.03</v>
      </c>
      <c r="M78" s="18" t="n">
        <v>-5060.69</v>
      </c>
      <c r="N78" s="18" t="n">
        <v>-4137.58</v>
      </c>
      <c r="O78" s="18" t="n">
        <v>681.03</v>
      </c>
      <c r="P78" s="37" t="n">
        <v>-8562.27</v>
      </c>
      <c r="Q78" s="18" t="n">
        <v>-2893.59</v>
      </c>
      <c r="R78" s="18" t="n">
        <v>-2091.91</v>
      </c>
      <c r="S78" s="18" t="n">
        <v>1134.55</v>
      </c>
      <c r="T78" s="18" t="n">
        <v>-8918.67</v>
      </c>
      <c r="U78" s="37" t="n">
        <v>-12769.62</v>
      </c>
      <c r="V78" s="18" t="n">
        <v>2658.85</v>
      </c>
      <c r="W78" s="18" t="n">
        <v>3175.13</v>
      </c>
      <c r="X78" s="18" t="n">
        <v>-2095.5</v>
      </c>
      <c r="Y78" s="18" t="n">
        <v>8041.55</v>
      </c>
      <c r="Z78" s="37" t="n">
        <v>11780.03</v>
      </c>
      <c r="AA78" s="18" t="n">
        <v>-8937.950000000001</v>
      </c>
      <c r="AB78" s="19" t="n">
        <v>805.38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27000.77</v>
      </c>
      <c r="F79" s="9" t="n"/>
      <c r="G79" s="18" t="n">
        <v>22680.1</v>
      </c>
      <c r="H79" s="18" t="n">
        <v>41335.71</v>
      </c>
      <c r="I79" s="18" t="n">
        <v>16474.24</v>
      </c>
      <c r="J79" s="18" t="n">
        <v>7345.47</v>
      </c>
      <c r="K79" s="37" t="n">
        <v>87835.52</v>
      </c>
      <c r="L79" s="18" t="n">
        <v>32386.62</v>
      </c>
      <c r="M79" s="18" t="n">
        <v>35217.18</v>
      </c>
      <c r="N79" s="18" t="n">
        <v>10160</v>
      </c>
      <c r="O79" s="18" t="n">
        <v>24098.72</v>
      </c>
      <c r="P79" s="37" t="n">
        <v>101862.52</v>
      </c>
      <c r="Q79" s="18" t="n">
        <v>26592.14</v>
      </c>
      <c r="R79" s="18" t="n">
        <v>34590.62</v>
      </c>
      <c r="S79" s="18" t="n">
        <v>35725.34</v>
      </c>
      <c r="T79" s="18" t="n">
        <v>35078.77</v>
      </c>
      <c r="U79" s="37" t="n">
        <v>131986.87</v>
      </c>
      <c r="V79" s="18" t="n">
        <v>38200.28</v>
      </c>
      <c r="W79" s="18" t="n">
        <v>50149.26</v>
      </c>
      <c r="X79" s="18" t="n">
        <v>32429.1</v>
      </c>
      <c r="Y79" s="18" t="n">
        <v>30352.04</v>
      </c>
      <c r="Z79" s="37" t="n">
        <v>151130.68</v>
      </c>
      <c r="AA79" s="18" t="n">
        <v>12615.31</v>
      </c>
      <c r="AB79" s="19" t="n">
        <v>43650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29010.85</v>
      </c>
      <c r="F80" s="9" t="n"/>
      <c r="G80" s="18" t="n">
        <v>22044.47</v>
      </c>
      <c r="H80" s="18" t="n">
        <v>39231.64</v>
      </c>
      <c r="I80" s="18" t="n">
        <v>27154.25</v>
      </c>
      <c r="J80" s="18" t="n">
        <v>4355.63</v>
      </c>
      <c r="K80" s="37" t="n">
        <v>92785.99000000001</v>
      </c>
      <c r="L80" s="18" t="n">
        <v>28312.39</v>
      </c>
      <c r="M80" s="18" t="n">
        <v>38321.41</v>
      </c>
      <c r="N80" s="18" t="n">
        <v>10070</v>
      </c>
      <c r="O80" s="18" t="n">
        <v>20290.17</v>
      </c>
      <c r="P80" s="37" t="n">
        <v>96993.97</v>
      </c>
      <c r="Q80" s="18" t="n">
        <v>25352.14</v>
      </c>
      <c r="R80" s="18" t="n">
        <v>33510.54</v>
      </c>
      <c r="S80" s="18" t="n">
        <v>32404.34</v>
      </c>
      <c r="T80" s="18" t="n">
        <v>40830.46</v>
      </c>
      <c r="U80" s="37" t="n">
        <v>132097.48</v>
      </c>
      <c r="V80" s="18" t="n">
        <v>31267.48</v>
      </c>
      <c r="W80" s="18" t="n">
        <v>44783.49</v>
      </c>
      <c r="X80" s="18" t="n">
        <v>34524.26</v>
      </c>
      <c r="Y80" s="18" t="n">
        <v>22206.15</v>
      </c>
      <c r="Z80" s="37" t="n">
        <v>132781.38</v>
      </c>
      <c r="AA80" s="18" t="n">
        <v>17572.11</v>
      </c>
      <c r="AB80" s="19" t="n">
        <v>42840.26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G81" s="18" t="n">
        <v>800</v>
      </c>
      <c r="H81" s="18" t="n">
        <v>0</v>
      </c>
      <c r="I81" s="18" t="n">
        <v>0</v>
      </c>
      <c r="J81" s="18" t="n">
        <v>0</v>
      </c>
      <c r="K81" s="37" t="n">
        <v>800</v>
      </c>
      <c r="L81" s="18" t="n">
        <v>960</v>
      </c>
      <c r="M81" s="18" t="n">
        <v>0</v>
      </c>
      <c r="N81" s="18" t="n">
        <v>0</v>
      </c>
      <c r="O81" s="18" t="n">
        <v>0</v>
      </c>
      <c r="P81" s="37" t="n">
        <v>960</v>
      </c>
      <c r="Q81" s="18" t="n">
        <v>960</v>
      </c>
      <c r="R81" s="18" t="n">
        <v>0</v>
      </c>
      <c r="S81" s="18" t="n">
        <v>0</v>
      </c>
      <c r="T81" s="18" t="n">
        <v>0</v>
      </c>
      <c r="U81" s="37" t="n">
        <v>960</v>
      </c>
      <c r="V81" s="18" t="n">
        <v>1120</v>
      </c>
      <c r="W81" s="18" t="n">
        <v>0</v>
      </c>
      <c r="X81" s="18" t="n">
        <v>0</v>
      </c>
      <c r="Y81" s="18" t="n">
        <v>0</v>
      </c>
      <c r="Z81" s="37" t="n">
        <v>1120</v>
      </c>
      <c r="AA81" s="18" t="n">
        <v>4000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31.49</v>
      </c>
      <c r="F82" s="9" t="n"/>
      <c r="G82" s="18" t="n">
        <v>56.49</v>
      </c>
      <c r="H82" s="18" t="n">
        <v>42.09</v>
      </c>
      <c r="I82" s="18" t="n">
        <v>30.21</v>
      </c>
      <c r="J82" s="18" t="n">
        <v>5.33</v>
      </c>
      <c r="K82" s="37" t="n">
        <v>134.12</v>
      </c>
      <c r="L82" s="18" t="n">
        <v>5.34</v>
      </c>
      <c r="M82" s="18" t="n">
        <v>5.34</v>
      </c>
      <c r="P82" s="9" t="n"/>
      <c r="Q82" s="18" t="n">
        <v>5.34</v>
      </c>
      <c r="R82" s="18" t="n">
        <v>5.34</v>
      </c>
      <c r="U82" s="9" t="n"/>
      <c r="V82" s="18" t="n">
        <v>5.34</v>
      </c>
      <c r="W82" s="18" t="n">
        <v>5.34</v>
      </c>
      <c r="Z82" s="9" t="n"/>
      <c r="AA82" s="18" t="n">
        <v>4.35</v>
      </c>
      <c r="AB82" s="19" t="n">
        <v>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8500.280000000001</v>
      </c>
      <c r="F83" s="9" t="n"/>
      <c r="G83" s="18" t="n">
        <v>-6145.23</v>
      </c>
      <c r="H83" s="18" t="n">
        <v>-2017.94</v>
      </c>
      <c r="I83" s="18" t="n">
        <v>4076.55</v>
      </c>
      <c r="J83" s="18" t="n">
        <v>-3700.22</v>
      </c>
      <c r="K83" s="37" t="n">
        <v>-7786.84</v>
      </c>
      <c r="L83" s="18" t="n">
        <v>-3146.95</v>
      </c>
      <c r="M83" s="18" t="n">
        <v>464.3</v>
      </c>
      <c r="N83" s="18" t="n">
        <v>2523.74</v>
      </c>
      <c r="O83" s="18" t="n">
        <v>-1074.47</v>
      </c>
      <c r="P83" s="37" t="n">
        <v>-1233.38</v>
      </c>
      <c r="Q83" s="18" t="n">
        <v>-1369.87</v>
      </c>
      <c r="R83" s="18" t="n">
        <v>2930.76</v>
      </c>
      <c r="S83" s="18" t="n">
        <v>922.25</v>
      </c>
      <c r="T83" s="18" t="n">
        <v>-964.35</v>
      </c>
      <c r="U83" s="37" t="n">
        <v>1518.79</v>
      </c>
      <c r="V83" s="18" t="n">
        <v>1251.51</v>
      </c>
      <c r="W83" s="18" t="n">
        <v>6712.35</v>
      </c>
      <c r="X83" s="18" t="n">
        <v>-5972.48</v>
      </c>
      <c r="Y83" s="18" t="n">
        <v>7092.43</v>
      </c>
      <c r="Z83" s="37" t="n">
        <v>9083.809999999999</v>
      </c>
      <c r="AA83" s="18" t="n">
        <v>-3060.66</v>
      </c>
      <c r="AB83" s="19" t="n">
        <v>-1499.27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8496.139999999999</v>
      </c>
      <c r="F84" s="9" t="n"/>
      <c r="G84" s="18" t="n">
        <v>5657.8</v>
      </c>
      <c r="H84" s="18" t="n">
        <v>-1993.67</v>
      </c>
      <c r="I84" s="18" t="n">
        <v>4090.5</v>
      </c>
      <c r="J84" s="18" t="n">
        <v>-3708.87</v>
      </c>
      <c r="K84" s="37" t="n">
        <v>4045.76</v>
      </c>
      <c r="L84" s="18" t="n">
        <v>899.08</v>
      </c>
      <c r="M84" s="18" t="n">
        <v>480.57</v>
      </c>
      <c r="N84" s="18" t="n">
        <v>2508.96</v>
      </c>
      <c r="O84" s="18" t="n">
        <v>-1076.23</v>
      </c>
      <c r="P84" s="37" t="n">
        <v>2812.38</v>
      </c>
      <c r="Q84" s="18" t="n">
        <v>1443.48</v>
      </c>
      <c r="R84" s="18" t="n">
        <v>2927.88</v>
      </c>
      <c r="S84" s="18" t="n">
        <v>910.2</v>
      </c>
      <c r="T84" s="18" t="n">
        <v>-950.39</v>
      </c>
      <c r="U84" s="37" t="n">
        <v>4331.17</v>
      </c>
      <c r="V84" s="18" t="n">
        <v>5597.94</v>
      </c>
      <c r="W84" s="18" t="n">
        <v>6671.43</v>
      </c>
      <c r="X84" s="18" t="n">
        <v>-5959.93</v>
      </c>
      <c r="Y84" s="18" t="n">
        <v>7105.55</v>
      </c>
      <c r="Z84" s="37" t="n">
        <v>13414.99</v>
      </c>
      <c r="AA84" s="18" t="n">
        <v>10354.33</v>
      </c>
      <c r="AB84" s="19" t="n">
        <v>-1469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I86" s="18" t="n">
        <v>3166.68</v>
      </c>
      <c r="K86" s="9" t="n"/>
      <c r="L86" s="18" t="n">
        <v>3166.68</v>
      </c>
      <c r="M86" s="18" t="n">
        <v>2111.12</v>
      </c>
      <c r="N86" s="18" t="n">
        <v>4222.24</v>
      </c>
      <c r="P86" s="9" t="n"/>
      <c r="Q86" s="18" t="n">
        <v>3166.65</v>
      </c>
      <c r="R86" s="18" t="n">
        <v>3166.65</v>
      </c>
      <c r="S86" s="18" t="n">
        <v>2111.1</v>
      </c>
      <c r="U86" s="9" t="n"/>
      <c r="V86" s="18" t="n">
        <v>3166.65</v>
      </c>
      <c r="W86" s="18" t="n">
        <v>2111.1</v>
      </c>
      <c r="X86" s="18" t="n">
        <v>0</v>
      </c>
      <c r="Y86" s="18" t="n">
        <v>0</v>
      </c>
      <c r="Z86" s="37" t="n">
        <v>5277.75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F87" s="9" t="n"/>
      <c r="K87" s="9" t="n"/>
      <c r="O87" s="18" t="n">
        <v>700.05</v>
      </c>
      <c r="P87" s="9" t="n"/>
      <c r="Q87" s="18" t="n">
        <v>368.76</v>
      </c>
      <c r="R87" s="18" t="n">
        <v>496.31</v>
      </c>
      <c r="S87" s="18" t="n">
        <v>404.02</v>
      </c>
      <c r="T87" s="18" t="n">
        <v>539.6900000000001</v>
      </c>
      <c r="U87" s="37" t="n">
        <v>1808.78</v>
      </c>
      <c r="V87" s="18" t="n">
        <v>359.09</v>
      </c>
      <c r="W87" s="18" t="n">
        <v>333.88</v>
      </c>
      <c r="X87" s="18" t="n">
        <v>360.88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16</v>
      </c>
      <c r="F32" s="28">
        <f>E32</f>
        <v/>
      </c>
      <c r="G32" s="27" t="n">
        <v>16</v>
      </c>
      <c r="H32" s="27" t="n">
        <v>16</v>
      </c>
      <c r="I32" s="27" t="n">
        <v>16</v>
      </c>
      <c r="J32" s="27" t="n">
        <v>16</v>
      </c>
      <c r="K32" s="28">
        <f>J32</f>
        <v/>
      </c>
      <c r="L32" s="27" t="n">
        <v>16</v>
      </c>
      <c r="M32" s="27" t="n">
        <v>16</v>
      </c>
      <c r="N32" s="27" t="n">
        <v>16</v>
      </c>
      <c r="O32" s="27" t="n">
        <v>16</v>
      </c>
      <c r="P32" s="28">
        <f>O32</f>
        <v/>
      </c>
      <c r="Q32" s="27" t="n">
        <v>16</v>
      </c>
      <c r="R32" s="27" t="n">
        <v>16</v>
      </c>
      <c r="S32" s="27" t="n">
        <v>16</v>
      </c>
      <c r="T32" s="27" t="n">
        <v>16</v>
      </c>
      <c r="U32" s="28">
        <f>T32</f>
        <v/>
      </c>
      <c r="V32" s="27" t="n">
        <v>16</v>
      </c>
      <c r="W32" s="27" t="n">
        <v>16</v>
      </c>
      <c r="X32" s="27" t="n">
        <v>16</v>
      </c>
      <c r="Y32" s="27" t="n">
        <v>16</v>
      </c>
      <c r="Z32" s="28">
        <f>Y32</f>
        <v/>
      </c>
      <c r="AA32" s="27" t="n">
        <v>16</v>
      </c>
      <c r="AB32" s="29" t="n">
        <v>16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7" t="n">
        <v>50</v>
      </c>
      <c r="G35" s="18" t="n"/>
      <c r="H35" s="18" t="n"/>
      <c r="I35" s="18" t="n"/>
      <c r="J35" s="18" t="n">
        <v>60</v>
      </c>
      <c r="K35" s="37">
        <f>SUM(G35:J35)</f>
        <v/>
      </c>
      <c r="L35" s="18" t="n"/>
      <c r="M35" s="18" t="n"/>
      <c r="N35" s="18" t="n"/>
      <c r="O35" s="18" t="n">
        <v>60</v>
      </c>
      <c r="P35" s="37">
        <f>SUM(L35:O35)</f>
        <v/>
      </c>
      <c r="Q35" s="18" t="n"/>
      <c r="R35" s="18" t="n"/>
      <c r="S35" s="18" t="n"/>
      <c r="T35" s="18" t="n">
        <v>70</v>
      </c>
      <c r="U35" s="37">
        <f>SUM(Q35:T35)</f>
        <v/>
      </c>
      <c r="V35" s="18" t="n"/>
      <c r="W35" s="18" t="n"/>
      <c r="X35" s="18" t="n"/>
      <c r="Y35" s="18" t="n">
        <v>250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IFERROR(변수!I18/(E33+G33+H33+I33),"")</f>
        <v/>
      </c>
      <c r="J36" s="13">
        <f>IFERROR(변수!J18/(G33+H33+I33+J33),"")</f>
        <v/>
      </c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7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7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7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7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7">
        <f>SUM(V38:Y38)</f>
        <v/>
      </c>
      <c r="AA38" s="18" t="n">
        <v>763.36</v>
      </c>
      <c r="AB38" s="19" t="n">
        <v>882.14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7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7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7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7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7">
        <f>SUM(V39:Y39)</f>
        <v/>
      </c>
      <c r="AA39" s="18" t="n">
        <v>66.73999999999999</v>
      </c>
      <c r="AB39" s="19" t="n">
        <v>40.75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889.5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4.81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0.0538</v>
      </c>
    </row>
    <row r="34">
      <c r="C34" s="2" t="inlineStr">
        <is>
          <t>fair_pbr</t>
        </is>
      </c>
      <c r="D34" t="n">
        <v>0.6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