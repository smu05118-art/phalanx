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/comment2.xml" ContentType="application/vnd.openxmlformats-officedocument.spreadsheetml.comment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변수" sheetId="2" state="visible" r:id="rId2"/>
    <sheet name="BS연결" sheetId="3" state="visible" r:id="rId3"/>
    <sheet name="BS별도" sheetId="4" state="visible" r:id="rId4"/>
    <sheet name="subQ" sheetId="5" state="visible" r:id="rId5"/>
    <sheet name="분기" sheetId="6" state="visible" r:id="rId6"/>
    <sheet name="연간예상" sheetId="7" state="visible" r:id="rId7"/>
    <sheet name="TP" sheetId="8" state="visible" r:id="rId8"/>
    <sheet name="외화" sheetId="9" state="visible" r:id="rId9"/>
  </sheets>
  <definedNames>
    <definedName name="변수H">변수!$C$1:$AO$1</definedName>
    <definedName name="환율">변수!$C$6:$AO$13</definedName>
    <definedName name="BS연결H">BS연결!$C$1:$AO$1</definedName>
    <definedName name="BS연결">BS연결!$C$5:$AO$102</definedName>
    <definedName name="BS별도H">BS별도!$C$1:$AO$1</definedName>
    <definedName name="BS별도">BS별도!$C$5:$AO$87</definedName>
    <definedName name="SUBQH">subQ!$A$1:$AO$1</definedName>
    <definedName name="subQ">subQ!$A$5:$AO$43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#,##0.0"/>
  </numFmts>
  <fonts count="5">
    <font>
      <name val="Calibri"/>
      <family val="2"/>
      <color theme="1"/>
      <sz val="11"/>
      <scheme val="minor"/>
    </font>
    <font>
      <b val="1"/>
    </font>
    <font>
      <i val="1"/>
      <color rgb="00666666"/>
      <sz val="9"/>
    </font>
    <font>
      <b val="1"/>
      <color rgb="00FFFFFF"/>
    </font>
    <font>
      <color rgb="001F4E79"/>
    </font>
  </fonts>
  <fills count="7">
    <fill>
      <patternFill/>
    </fill>
    <fill>
      <patternFill patternType="gray125"/>
    </fill>
    <fill>
      <patternFill patternType="solid">
        <fgColor rgb="0044546A"/>
      </patternFill>
    </fill>
    <fill>
      <patternFill patternType="solid">
        <fgColor rgb="00FFF2AB"/>
      </patternFill>
    </fill>
    <fill>
      <patternFill patternType="solid">
        <fgColor rgb="00EDEDED"/>
      </patternFill>
    </fill>
    <fill>
      <patternFill patternType="solid">
        <fgColor rgb="00FFF9DB"/>
      </patternFill>
    </fill>
    <fill>
      <patternFill patternType="solid">
        <fgColor rgb="00E2EFDA"/>
      </patternFill>
    </fill>
  </fills>
  <borders count="3">
    <border>
      <left/>
      <right/>
      <top/>
      <bottom/>
      <diagonal/>
    </border>
    <border>
      <left/>
      <right style="medium">
        <color rgb="00000000"/>
      </right>
      <top/>
      <bottom/>
    </border>
    <border>
      <right style="medium">
        <color rgb="00000000"/>
      </right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0" fontId="2" fillId="0" borderId="1" pivotButton="0" quotePrefix="0" xfId="0"/>
    <xf numFmtId="0" fontId="2" fillId="0" borderId="0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1" fillId="4" borderId="0" pivotButton="0" quotePrefix="0" xfId="0"/>
    <xf numFmtId="0" fontId="0" fillId="5" borderId="0" pivotButton="0" quotePrefix="0" xfId="0"/>
    <xf numFmtId="0" fontId="1" fillId="5" borderId="0" pivotButton="0" quotePrefix="0" xfId="0"/>
    <xf numFmtId="0" fontId="4" fillId="0" borderId="0" pivotButton="0" quotePrefix="0" xfId="0"/>
    <xf numFmtId="4" fontId="0" fillId="0" borderId="0" pivotButton="0" quotePrefix="0" xfId="0"/>
    <xf numFmtId="4" fontId="1" fillId="4" borderId="0" pivotButton="0" quotePrefix="0" xfId="0"/>
    <xf numFmtId="4" fontId="0" fillId="0" borderId="1" pivotButton="0" quotePrefix="0" xfId="0"/>
    <xf numFmtId="4" fontId="0" fillId="3" borderId="0" pivotButton="0" quotePrefix="0" xfId="0"/>
    <xf numFmtId="4" fontId="1" fillId="3" borderId="0" pivotButton="0" quotePrefix="0" xfId="0"/>
    <xf numFmtId="3" fontId="0" fillId="0" borderId="0" pivotButton="0" quotePrefix="0" xfId="0"/>
    <xf numFmtId="3" fontId="0" fillId="0" borderId="1" pivotButton="0" quotePrefix="0" xfId="0"/>
    <xf numFmtId="3" fontId="0" fillId="5" borderId="0" pivotButton="0" quotePrefix="0" xfId="0"/>
    <xf numFmtId="164" fontId="0" fillId="0" borderId="0" pivotButton="0" quotePrefix="0" xfId="0"/>
    <xf numFmtId="164" fontId="1" fillId="4" borderId="0" pivotButton="0" quotePrefix="0" xfId="0"/>
    <xf numFmtId="164" fontId="0" fillId="0" borderId="1" pivotButton="0" quotePrefix="0" xfId="0"/>
    <xf numFmtId="164" fontId="0" fillId="3" borderId="0" pivotButton="0" quotePrefix="0" xfId="0"/>
    <xf numFmtId="164" fontId="1" fillId="5" borderId="0" pivotButton="0" quotePrefix="0" xfId="0"/>
    <xf numFmtId="164" fontId="0" fillId="6" borderId="0" pivotButton="0" quotePrefix="0" xfId="0"/>
    <xf numFmtId="165" fontId="0" fillId="0" borderId="0" pivotButton="0" quotePrefix="0" xfId="0"/>
    <xf numFmtId="165" fontId="1" fillId="4" borderId="0" pivotButton="0" quotePrefix="0" xfId="0"/>
    <xf numFmtId="165" fontId="0" fillId="0" borderId="1" pivotButton="0" quotePrefix="0" xfId="0"/>
    <xf numFmtId="165" fontId="0" fillId="3" borderId="0" pivotButton="0" quotePrefix="0" xfId="0"/>
    <xf numFmtId="165" fontId="1" fillId="5" borderId="0" pivotButton="0" quotePrefix="0" xfId="0"/>
    <xf numFmtId="164" fontId="0" fillId="5" borderId="0" pivotButton="0" quotePrefix="0" xfId="0"/>
    <xf numFmtId="165" fontId="0" fillId="5" borderId="0" pivotButton="0" quotePrefix="0" xfId="0"/>
    <xf numFmtId="3" fontId="0" fillId="3" borderId="0" pivotButton="0" quotePrefix="0" xfId="0"/>
    <xf numFmtId="0" fontId="0" fillId="3" borderId="0" pivotButton="0" quotePrefix="0" xfId="0"/>
    <xf numFmtId="10" fontId="0" fillId="3" borderId="0" pivotButton="0" quotePrefix="0" xfId="0"/>
    <xf numFmtId="3" fontId="1" fillId="4" borderId="0" pivotButton="0" quotePrefix="0" xfId="0"/>
    <xf numFmtId="3" fontId="1" fillId="5" borderId="0" pivotButton="0" quotePrefix="0" xfId="0"/>
    <xf numFmtId="4" fontId="0" fillId="5" borderId="0" pivotButton="0" quotePrefix="0" xfId="0"/>
    <xf numFmtId="4" fontId="1" fillId="5" borderId="0" pivotButton="0" quotePrefix="0" xfId="0"/>
    <xf numFmtId="0" fontId="3" fillId="2" borderId="2" applyAlignment="1" pivotButton="0" quotePrefix="0" xfId="0">
      <alignment horizontal="center"/>
    </xf>
    <xf numFmtId="0" fontId="0" fillId="0" borderId="2" pivotButton="0" quotePrefix="0" xfId="0"/>
    <xf numFmtId="0" fontId="2" fillId="0" borderId="2" pivotButton="0" quotePrefix="0" xfId="0"/>
    <xf numFmtId="0" fontId="2" fillId="0" borderId="2" applyAlignment="1" pivotButton="0" quotePrefix="0" xfId="0">
      <alignment horizontal="center"/>
    </xf>
    <xf numFmtId="3" fontId="0" fillId="0" borderId="2" pivotButton="0" quotePrefix="0" xfId="0"/>
    <xf numFmtId="164" fontId="0" fillId="0" borderId="2" pivotButton="0" quotePrefix="0" xfId="0"/>
    <xf numFmtId="165" fontId="0" fillId="0" borderId="2" pivotButton="0" quotePrefix="0" xfId="0"/>
    <xf numFmtId="4" fontId="0" fillId="0" borderId="2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comments/comment1.xml><?xml version="1.0" encoding="utf-8"?>
<comments xmlns="http://schemas.openxmlformats.org/spreadsheetml/2006/main">
  <authors>
    <author>kship</author>
  </authors>
  <commentList>
    <comment ref="AC6" authorId="0" shapeId="0">
      <text>
        <t>모델 assumptions.fx — 가정 — 마지막 ECB 관측치를 2028Q4 까지 평평하게 둔다. 선도환율·컨센서스 아님.</t>
      </text>
    </comment>
    <comment ref="AD6" authorId="0" shapeId="0">
      <text>
        <t>모델 assumptions.fx — 가정 — 마지막 ECB 관측치를 2028Q4 까지 평평하게 둔다. 선도환율·컨센서스 아님.</t>
      </text>
    </comment>
    <comment ref="AF6" authorId="0" shapeId="0">
      <text>
        <t>모델 assumptions.fx — 가정 — 마지막 ECB 관측치를 2028Q4 까지 평평하게 둔다. 선도환율·컨센서스 아님.</t>
      </text>
    </comment>
    <comment ref="AG6" authorId="0" shapeId="0">
      <text>
        <t>모델 assumptions.fx — 가정 — 마지막 ECB 관측치를 2028Q4 까지 평평하게 둔다. 선도환율·컨센서스 아님.</t>
      </text>
    </comment>
    <comment ref="AH6" authorId="0" shapeId="0">
      <text>
        <t>모델 assumptions.fx — 가정 — 마지막 ECB 관측치를 2028Q4 까지 평평하게 둔다. 선도환율·컨센서스 아님.</t>
      </text>
    </comment>
    <comment ref="AI6" authorId="0" shapeId="0">
      <text>
        <t>모델 assumptions.fx — 가정 — 마지막 ECB 관측치를 2028Q4 까지 평평하게 둔다. 선도환율·컨센서스 아님.</t>
      </text>
    </comment>
    <comment ref="AK6" authorId="0" shapeId="0">
      <text>
        <t>모델 assumptions.fx — 가정 — 마지막 ECB 관측치를 2028Q4 까지 평평하게 둔다. 선도환율·컨센서스 아님.</t>
      </text>
    </comment>
    <comment ref="AL6" authorId="0" shapeId="0">
      <text>
        <t>모델 assumptions.fx — 가정 — 마지막 ECB 관측치를 2028Q4 까지 평평하게 둔다. 선도환율·컨센서스 아님.</t>
      </text>
    </comment>
    <comment ref="AM6" authorId="0" shapeId="0">
      <text>
        <t>모델 assumptions.fx — 가정 — 마지막 ECB 관측치를 2028Q4 까지 평평하게 둔다. 선도환율·컨센서스 아님.</t>
      </text>
    </comment>
    <comment ref="AN6" authorId="0" shapeId="0">
      <text>
        <t>모델 assumptions.fx — 가정 — 마지막 ECB 관측치를 2028Q4 까지 평평하게 둔다. 선도환율·컨센서스 아님.</t>
      </text>
    </comment>
    <comment ref="AC7" authorId="0" shapeId="0">
      <text>
        <t>모델 assumptions.fx — 가정 — 마지막 ECB 관측치를 2028Q4 까지 평평하게 둔다. 선도환율·컨센서스 아님.</t>
      </text>
    </comment>
    <comment ref="AD7" authorId="0" shapeId="0">
      <text>
        <t>모델 assumptions.fx — 가정 — 마지막 ECB 관측치를 2028Q4 까지 평평하게 둔다. 선도환율·컨센서스 아님.</t>
      </text>
    </comment>
    <comment ref="AF7" authorId="0" shapeId="0">
      <text>
        <t>모델 assumptions.fx — 가정 — 마지막 ECB 관측치를 2028Q4 까지 평평하게 둔다. 선도환율·컨센서스 아님.</t>
      </text>
    </comment>
    <comment ref="AG7" authorId="0" shapeId="0">
      <text>
        <t>모델 assumptions.fx — 가정 — 마지막 ECB 관측치를 2028Q4 까지 평평하게 둔다. 선도환율·컨센서스 아님.</t>
      </text>
    </comment>
    <comment ref="AH7" authorId="0" shapeId="0">
      <text>
        <t>모델 assumptions.fx — 가정 — 마지막 ECB 관측치를 2028Q4 까지 평평하게 둔다. 선도환율·컨센서스 아님.</t>
      </text>
    </comment>
    <comment ref="AI7" authorId="0" shapeId="0">
      <text>
        <t>모델 assumptions.fx — 가정 — 마지막 ECB 관측치를 2028Q4 까지 평평하게 둔다. 선도환율·컨센서스 아님.</t>
      </text>
    </comment>
    <comment ref="AK7" authorId="0" shapeId="0">
      <text>
        <t>모델 assumptions.fx — 가정 — 마지막 ECB 관측치를 2028Q4 까지 평평하게 둔다. 선도환율·컨센서스 아님.</t>
      </text>
    </comment>
    <comment ref="AL7" authorId="0" shapeId="0">
      <text>
        <t>모델 assumptions.fx — 가정 — 마지막 ECB 관측치를 2028Q4 까지 평평하게 둔다. 선도환율·컨센서스 아님.</t>
      </text>
    </comment>
    <comment ref="AM7" authorId="0" shapeId="0">
      <text>
        <t>모델 assumptions.fx — 가정 — 마지막 ECB 관측치를 2028Q4 까지 평평하게 둔다. 선도환율·컨센서스 아님.</t>
      </text>
    </comment>
    <comment ref="AN7" authorId="0" shapeId="0">
      <text>
        <t>모델 assumptions.fx — 가정 — 마지막 ECB 관측치를 2028Q4 까지 평평하게 둔다. 선도환율·컨센서스 아님.</t>
      </text>
    </comment>
    <comment ref="AD8" authorId="0" shapeId="0">
      <text>
        <t>fx.json quarters(partial — 분기 진행 중 실측 평균)</t>
      </text>
    </comment>
    <comment ref="AF8" authorId="0" shapeId="0">
      <text>
        <t>fx.json forward(flat_last_end) — 가정</t>
      </text>
    </comment>
    <comment ref="AG8" authorId="0" shapeId="0">
      <text>
        <t>fx.json forward(flat_last_end) — 가정</t>
      </text>
    </comment>
    <comment ref="AH8" authorId="0" shapeId="0">
      <text>
        <t>fx.json forward(flat_last_end) — 가정</t>
      </text>
    </comment>
    <comment ref="AI8" authorId="0" shapeId="0">
      <text>
        <t>fx.json forward(flat_last_end) — 가정</t>
      </text>
    </comment>
    <comment ref="AK8" authorId="0" shapeId="0">
      <text>
        <t>fx.json forward(flat_last_end) — 가정</t>
      </text>
    </comment>
    <comment ref="AL8" authorId="0" shapeId="0">
      <text>
        <t>fx.json forward(flat_last_end) — 가정</t>
      </text>
    </comment>
    <comment ref="AM8" authorId="0" shapeId="0">
      <text>
        <t>fx.json forward(flat_last_end) — 가정</t>
      </text>
    </comment>
    <comment ref="AN8" authorId="0" shapeId="0">
      <text>
        <t>fx.json forward(flat_last_end) — 가정</t>
      </text>
    </comment>
    <comment ref="AD9" authorId="0" shapeId="0">
      <text>
        <t>fx.json quarters(partial — 분기 진행 중 실측 평균)</t>
      </text>
    </comment>
    <comment ref="AF9" authorId="0" shapeId="0">
      <text>
        <t>fx.json forward(flat_last_end) — 가정</t>
      </text>
    </comment>
    <comment ref="AG9" authorId="0" shapeId="0">
      <text>
        <t>fx.json forward(flat_last_end) — 가정</t>
      </text>
    </comment>
    <comment ref="AH9" authorId="0" shapeId="0">
      <text>
        <t>fx.json forward(flat_last_end) — 가정</t>
      </text>
    </comment>
    <comment ref="AI9" authorId="0" shapeId="0">
      <text>
        <t>fx.json forward(flat_last_end) — 가정</t>
      </text>
    </comment>
    <comment ref="AK9" authorId="0" shapeId="0">
      <text>
        <t>fx.json forward(flat_last_end) — 가정</t>
      </text>
    </comment>
    <comment ref="AL9" authorId="0" shapeId="0">
      <text>
        <t>fx.json forward(flat_last_end) — 가정</t>
      </text>
    </comment>
    <comment ref="AM9" authorId="0" shapeId="0">
      <text>
        <t>fx.json forward(flat_last_end) — 가정</t>
      </text>
    </comment>
    <comment ref="AN9" authorId="0" shapeId="0">
      <text>
        <t>fx.json forward(flat_last_end) — 가정</t>
      </text>
    </comment>
    <comment ref="AD10" authorId="0" shapeId="0">
      <text>
        <t>fx.json quarters(partial — 분기 진행 중 실측 평균)</t>
      </text>
    </comment>
    <comment ref="AF10" authorId="0" shapeId="0">
      <text>
        <t>fx.json forward(flat_last_end) — 가정</t>
      </text>
    </comment>
    <comment ref="AG10" authorId="0" shapeId="0">
      <text>
        <t>fx.json forward(flat_last_end) — 가정</t>
      </text>
    </comment>
    <comment ref="AH10" authorId="0" shapeId="0">
      <text>
        <t>fx.json forward(flat_last_end) — 가정</t>
      </text>
    </comment>
    <comment ref="AI10" authorId="0" shapeId="0">
      <text>
        <t>fx.json forward(flat_last_end) — 가정</t>
      </text>
    </comment>
    <comment ref="AK10" authorId="0" shapeId="0">
      <text>
        <t>fx.json forward(flat_last_end) — 가정</t>
      </text>
    </comment>
    <comment ref="AL10" authorId="0" shapeId="0">
      <text>
        <t>fx.json forward(flat_last_end) — 가정</t>
      </text>
    </comment>
    <comment ref="AM10" authorId="0" shapeId="0">
      <text>
        <t>fx.json forward(flat_last_end) — 가정</t>
      </text>
    </comment>
    <comment ref="AN10" authorId="0" shapeId="0">
      <text>
        <t>fx.json forward(flat_last_end) — 가정</t>
      </text>
    </comment>
    <comment ref="AD11" authorId="0" shapeId="0">
      <text>
        <t>fx.json quarters(partial — 분기 진행 중 실측 평균)</t>
      </text>
    </comment>
    <comment ref="AF11" authorId="0" shapeId="0">
      <text>
        <t>fx.json forward(flat_last_end) — 가정</t>
      </text>
    </comment>
    <comment ref="AG11" authorId="0" shapeId="0">
      <text>
        <t>fx.json forward(flat_last_end) — 가정</t>
      </text>
    </comment>
    <comment ref="AH11" authorId="0" shapeId="0">
      <text>
        <t>fx.json forward(flat_last_end) — 가정</t>
      </text>
    </comment>
    <comment ref="AI11" authorId="0" shapeId="0">
      <text>
        <t>fx.json forward(flat_last_end) — 가정</t>
      </text>
    </comment>
    <comment ref="AK11" authorId="0" shapeId="0">
      <text>
        <t>fx.json forward(flat_last_end) — 가정</t>
      </text>
    </comment>
    <comment ref="AL11" authorId="0" shapeId="0">
      <text>
        <t>fx.json forward(flat_last_end) — 가정</t>
      </text>
    </comment>
    <comment ref="AM11" authorId="0" shapeId="0">
      <text>
        <t>fx.json forward(flat_last_end) — 가정</t>
      </text>
    </comment>
    <comment ref="AN11" authorId="0" shapeId="0">
      <text>
        <t>fx.json forward(flat_last_end) — 가정</t>
      </text>
    </comment>
    <comment ref="AD12" authorId="0" shapeId="0">
      <text>
        <t>fx.json quarters(partial — 분기 진행 중 실측 평균)</t>
      </text>
    </comment>
    <comment ref="AF12" authorId="0" shapeId="0">
      <text>
        <t>fx.json forward(flat_last_end) — 가정</t>
      </text>
    </comment>
    <comment ref="AG12" authorId="0" shapeId="0">
      <text>
        <t>fx.json forward(flat_last_end) — 가정</t>
      </text>
    </comment>
    <comment ref="AH12" authorId="0" shapeId="0">
      <text>
        <t>fx.json forward(flat_last_end) — 가정</t>
      </text>
    </comment>
    <comment ref="AI12" authorId="0" shapeId="0">
      <text>
        <t>fx.json forward(flat_last_end) — 가정</t>
      </text>
    </comment>
    <comment ref="AK12" authorId="0" shapeId="0">
      <text>
        <t>fx.json forward(flat_last_end) — 가정</t>
      </text>
    </comment>
    <comment ref="AL12" authorId="0" shapeId="0">
      <text>
        <t>fx.json forward(flat_last_end) — 가정</t>
      </text>
    </comment>
    <comment ref="AM12" authorId="0" shapeId="0">
      <text>
        <t>fx.json forward(flat_last_end) — 가정</t>
      </text>
    </comment>
    <comment ref="AN12" authorId="0" shapeId="0">
      <text>
        <t>fx.json forward(flat_last_end) — 가정</t>
      </text>
    </comment>
    <comment ref="AD13" authorId="0" shapeId="0">
      <text>
        <t>fx.json quarters(partial — 분기 진행 중 실측 평균)</t>
      </text>
    </comment>
    <comment ref="AF13" authorId="0" shapeId="0">
      <text>
        <t>fx.json forward(flat_last_end) — 가정</t>
      </text>
    </comment>
    <comment ref="AG13" authorId="0" shapeId="0">
      <text>
        <t>fx.json forward(flat_last_end) — 가정</t>
      </text>
    </comment>
    <comment ref="AH13" authorId="0" shapeId="0">
      <text>
        <t>fx.json forward(flat_last_end) — 가정</t>
      </text>
    </comment>
    <comment ref="AI13" authorId="0" shapeId="0">
      <text>
        <t>fx.json forward(flat_last_end) — 가정</t>
      </text>
    </comment>
    <comment ref="AK13" authorId="0" shapeId="0">
      <text>
        <t>fx.json forward(flat_last_end) — 가정</t>
      </text>
    </comment>
    <comment ref="AL13" authorId="0" shapeId="0">
      <text>
        <t>fx.json forward(flat_last_end) — 가정</t>
      </text>
    </comment>
    <comment ref="AM13" authorId="0" shapeId="0">
      <text>
        <t>fx.json forward(flat_last_end) — 가정</t>
      </text>
    </comment>
    <comment ref="AN13" authorId="0" shapeId="0">
      <text>
        <t>fx.json forward(flat_last_end) — 가정</t>
      </text>
    </comment>
    <comment ref="AD15" authorId="0" shapeId="0">
      <text>
        <t>분기 진행 중(partial) — aikstockdata/토스 일봉</t>
      </text>
    </comment>
    <comment ref="AD16" authorId="0" shapeId="0">
      <text>
        <t>분기 진행 중(partial) — aikstockdata/토스 일봉</t>
      </text>
    </comment>
    <comment ref="AD17" authorId="0" shapeId="0">
      <text>
        <t>분기 진행 중(partial) — aikstockdata/토스 일봉</t>
      </text>
    </comment>
    <comment ref="AD18" authorId="0" shapeId="0">
      <text>
        <t>분기 진행 중(partial) — aikstockdata/토스 일봉</t>
      </text>
    </comment>
    <comment ref="AC21" authorId="0" shapeId="0">
      <text>
        <t>모델값 역산(implied): v / 전년동기 − 1
전년동기 × (1+3.0%) — g=최근 4분기 합 YoY 3.0% 클립(−30~+50%), 연차별 절반 감쇠(가정)</t>
      </text>
    </comment>
    <comment ref="AD21" authorId="0" shapeId="0">
      <text>
        <t>모델값 역산(implied): v / 전년동기 − 1
전년동기 × (1+3.0%) — g=최근 4분기 합 YoY 3.0% 클립(−30~+50%), 연차별 절반 감쇠(가정)</t>
      </text>
    </comment>
    <comment ref="AF21" authorId="0" shapeId="0">
      <text>
        <t>모델값 역산(implied): v / 전년동기 − 1
전년동기 × (1+3.0%) — g=최근 4분기 합 YoY 3.0% 클립(−30~+50%), 연차별 절반 감쇠(가정)</t>
      </text>
    </comment>
    <comment ref="AG21" authorId="0" shapeId="0">
      <text>
        <t>모델값 역산(implied): v / 전년동기 − 1
전년동기 × (1+3.0%) — g=최근 4분기 합 YoY 3.0% 클립(−30~+50%), 연차별 절반 감쇠(가정)</t>
      </text>
    </comment>
    <comment ref="AH21" authorId="0" shapeId="0">
      <text>
        <t>모델값 역산(implied): v / 전년동기 − 1
전년동기 × (1+1.5%) — g=최근 4분기 합 YoY 3.0% 클립(−30~+50%), 연차별 절반 감쇠(가정)</t>
      </text>
    </comment>
    <comment ref="AI21" authorId="0" shapeId="0">
      <text>
        <t>모델값 역산(implied): v / 전년동기 − 1
전년동기 × (1+1.5%) — g=최근 4분기 합 YoY 3.0% 클립(−30~+50%), 연차별 절반 감쇠(가정)</t>
      </text>
    </comment>
    <comment ref="AK21" authorId="0" shapeId="0">
      <text>
        <t>모델값 역산(implied): v / 전년동기 − 1
전년동기 × (1+1.5%) — g=최근 4분기 합 YoY 3.0% 클립(−30~+50%), 연차별 절반 감쇠(가정)</t>
      </text>
    </comment>
    <comment ref="AL21" authorId="0" shapeId="0">
      <text>
        <t>모델값 역산(implied): v / 전년동기 − 1
전년동기 × (1+1.5%) — g=최근 4분기 합 YoY 3.0% 클립(−30~+50%), 연차별 절반 감쇠(가정)</t>
      </text>
    </comment>
    <comment ref="AM21" authorId="0" shapeId="0">
      <text>
        <t>모델값 역산(implied): v / 전년동기 − 1
전년동기 × (1+0.7%) — g=최근 4분기 합 YoY 3.0% 클립(−30~+50%), 연차별 절반 감쇠(가정)</t>
      </text>
    </comment>
    <comment ref="AN21" authorId="0" shapeId="0">
      <text>
        <t>모델값 역산(implied): v / 전년동기 − 1
전년동기 × (1+0.7%) — g=최근 4분기 합 YoY 3.0% 클립(−30~+50%), 연차별 절반 감쇠(가정)</t>
      </text>
    </comment>
    <comment ref="AC22" authorId="0" shapeId="0">
      <text>
        <t>3절 스칼라 '판관비율' 참조 — 숫자로 덮어쓰면 이 분기만 바뀐다
매출액 × 판관비율 8.68%(최근 4분기 중위)</t>
      </text>
    </comment>
    <comment ref="AD22" authorId="0" shapeId="0">
      <text>
        <t>3절 스칼라 '판관비율' 참조 — 숫자로 덮어쓰면 이 분기만 바뀐다
매출액 × 판관비율 8.68%(최근 4분기 중위)</t>
      </text>
    </comment>
    <comment ref="AF22" authorId="0" shapeId="0">
      <text>
        <t>3절 스칼라 '판관비율' 참조 — 숫자로 덮어쓰면 이 분기만 바뀐다
매출액 × 판관비율 8.68%(최근 4분기 중위)</t>
      </text>
    </comment>
    <comment ref="AG22" authorId="0" shapeId="0">
      <text>
        <t>3절 스칼라 '판관비율' 참조 — 숫자로 덮어쓰면 이 분기만 바뀐다
매출액 × 판관비율 8.68%(최근 4분기 중위)</t>
      </text>
    </comment>
    <comment ref="AH22" authorId="0" shapeId="0">
      <text>
        <t>3절 스칼라 '판관비율' 참조 — 숫자로 덮어쓰면 이 분기만 바뀐다
매출액 × 판관비율 8.68%(최근 4분기 중위)</t>
      </text>
    </comment>
    <comment ref="AI22" authorId="0" shapeId="0">
      <text>
        <t>3절 스칼라 '판관비율' 참조 — 숫자로 덮어쓰면 이 분기만 바뀐다
매출액 × 판관비율 8.68%(최근 4분기 중위)</t>
      </text>
    </comment>
    <comment ref="AK22" authorId="0" shapeId="0">
      <text>
        <t>3절 스칼라 '판관비율' 참조 — 숫자로 덮어쓰면 이 분기만 바뀐다
매출액 × 판관비율 8.68%(최근 4분기 중위)</t>
      </text>
    </comment>
    <comment ref="AL22" authorId="0" shapeId="0">
      <text>
        <t>3절 스칼라 '판관비율' 참조 — 숫자로 덮어쓰면 이 분기만 바뀐다
매출액 × 판관비율 8.68%(최근 4분기 중위)</t>
      </text>
    </comment>
    <comment ref="AM22" authorId="0" shapeId="0">
      <text>
        <t>3절 스칼라 '판관비율' 참조 — 숫자로 덮어쓰면 이 분기만 바뀐다
매출액 × 판관비율 8.68%(최근 4분기 중위)</t>
      </text>
    </comment>
    <comment ref="AN22" authorId="0" shapeId="0">
      <text>
        <t>3절 스칼라 '판관비율' 참조 — 숫자로 덮어쓰면 이 분기만 바뀐다
매출액 × 판관비율 8.68%(최근 4분기 중위)</t>
      </text>
    </comment>
    <comment ref="AC23" authorId="0" shapeId="0">
      <text>
        <t>모델값 역산(implied): v / 매출액
매출액 × OPM(최근 8분기 OPM 중위 5.6% 유지(클립 −20~40%))</t>
      </text>
    </comment>
    <comment ref="AD23" authorId="0" shapeId="0">
      <text>
        <t>모델값 역산(implied): v / 매출액
매출액 × OPM(최근 8분기 OPM 중위 5.6% 유지(클립 −20~40%))</t>
      </text>
    </comment>
    <comment ref="AF23" authorId="0" shapeId="0">
      <text>
        <t>모델값 역산(implied): v / 매출액
매출액 × OPM(최근 8분기 OPM 중위 5.6% 유지(클립 −20~40%))</t>
      </text>
    </comment>
    <comment ref="AG23" authorId="0" shapeId="0">
      <text>
        <t>모델값 역산(implied): v / 매출액
매출액 × OPM(최근 8분기 OPM 중위 5.6% 유지(클립 −20~40%))</t>
      </text>
    </comment>
    <comment ref="AH23" authorId="0" shapeId="0">
      <text>
        <t>모델값 역산(implied): v / 매출액
매출액 × OPM(최근 8분기 OPM 중위 5.6% 유지(클립 −20~40%))</t>
      </text>
    </comment>
    <comment ref="AI23" authorId="0" shapeId="0">
      <text>
        <t>모델값 역산(implied): v / 매출액
매출액 × OPM(최근 8분기 OPM 중위 5.6% 유지(클립 −20~40%))</t>
      </text>
    </comment>
    <comment ref="AK23" authorId="0" shapeId="0">
      <text>
        <t>모델값 역산(implied): v / 매출액
매출액 × OPM(최근 8분기 OPM 중위 5.6% 유지(클립 −20~40%))</t>
      </text>
    </comment>
    <comment ref="AL23" authorId="0" shapeId="0">
      <text>
        <t>모델값 역산(implied): v / 매출액
매출액 × OPM(최근 8분기 OPM 중위 5.6% 유지(클립 −20~40%))</t>
      </text>
    </comment>
    <comment ref="AM23" authorId="0" shapeId="0">
      <text>
        <t>모델값 역산(implied): v / 매출액
매출액 × OPM(최근 8분기 OPM 중위 5.6% 유지(클립 −20~40%))</t>
      </text>
    </comment>
    <comment ref="AN23" authorId="0" shapeId="0">
      <text>
        <t>모델값 역산(implied): v / 매출액
매출액 × OPM(최근 8분기 OPM 중위 5.6% 유지(클립 −20~40%))</t>
      </text>
    </comment>
    <comment ref="AC24" authorId="0" shapeId="0">
      <text>
        <t>모델값 역산(implied): 모델 v 그대로
외환차손익·외화환산손익 0 가정 — 추정 구간 환율 효과는 조선사 환관련손익 행(공시 노출 × Δ기말환율)에만 둔다(이중 계상 방지)</t>
      </text>
    </comment>
    <comment ref="AD24" authorId="0" shapeId="0">
      <text>
        <t>모델값 역산(implied): 모델 v 그대로
외환차손익·외화환산손익 0 가정 — 추정 구간 환율 효과는 조선사 환관련손익 행(공시 노출 × Δ기말환율)에만 둔다(이중 계상 방지)</t>
      </text>
    </comment>
    <comment ref="AF24" authorId="0" shapeId="0">
      <text>
        <t>모델값 역산(implied): 모델 v 그대로
외환차손익·외화환산손익 0 가정 — 추정 구간 환율 효과는 조선사 환관련손익 행(공시 노출 × Δ기말환율)에만 둔다(이중 계상 방지)</t>
      </text>
    </comment>
    <comment ref="AG24" authorId="0" shapeId="0">
      <text>
        <t>모델값 역산(implied): 모델 v 그대로
외환차손익·외화환산손익 0 가정 — 추정 구간 환율 효과는 조선사 환관련손익 행(공시 노출 × Δ기말환율)에만 둔다(이중 계상 방지)</t>
      </text>
    </comment>
    <comment ref="AH24" authorId="0" shapeId="0">
      <text>
        <t>모델값 역산(implied): 모델 v 그대로
외환차손익·외화환산손익 0 가정 — 추정 구간 환율 효과는 조선사 환관련손익 행(공시 노출 × Δ기말환율)에만 둔다(이중 계상 방지)</t>
      </text>
    </comment>
    <comment ref="AI24" authorId="0" shapeId="0">
      <text>
        <t>모델값 역산(implied): 모델 v 그대로
외환차손익·외화환산손익 0 가정 — 추정 구간 환율 효과는 조선사 환관련손익 행(공시 노출 × Δ기말환율)에만 둔다(이중 계상 방지)</t>
      </text>
    </comment>
    <comment ref="AK24" authorId="0" shapeId="0">
      <text>
        <t>모델값 역산(implied): 모델 v 그대로
외환차손익·외화환산손익 0 가정 — 추정 구간 환율 효과는 조선사 환관련손익 행(공시 노출 × Δ기말환율)에만 둔다(이중 계상 방지)</t>
      </text>
    </comment>
    <comment ref="AL24" authorId="0" shapeId="0">
      <text>
        <t>모델값 역산(implied): 모델 v 그대로
외환차손익·외화환산손익 0 가정 — 추정 구간 환율 효과는 조선사 환관련손익 행(공시 노출 × Δ기말환율)에만 둔다(이중 계상 방지)</t>
      </text>
    </comment>
    <comment ref="AM24" authorId="0" shapeId="0">
      <text>
        <t>모델값 역산(implied): 모델 v 그대로
외환차손익·외화환산손익 0 가정 — 추정 구간 환율 효과는 조선사 환관련손익 행(공시 노출 × Δ기말환율)에만 둔다(이중 계상 방지)</t>
      </text>
    </comment>
    <comment ref="AN24" authorId="0" shapeId="0">
      <text>
        <t>모델값 역산(implied): 모델 v 그대로
외환차손익·외화환산손익 0 가정 — 추정 구간 환율 효과는 조선사 환관련손익 행(공시 노출 × Δ기말환율)에만 둔다(이중 계상 방지)</t>
      </text>
    </comment>
    <comment ref="AC25" authorId="0" shapeId="0">
      <text>
        <t>모델값 역산(implied): 모델 v 그대로
파생상품 평가·거래손익 0 가정</t>
      </text>
    </comment>
    <comment ref="AD25" authorId="0" shapeId="0">
      <text>
        <t>모델값 역산(implied): 모델 v 그대로
파생상품 평가·거래손익 0 가정</t>
      </text>
    </comment>
    <comment ref="AF25" authorId="0" shapeId="0">
      <text>
        <t>모델값 역산(implied): 모델 v 그대로
파생상품 평가·거래손익 0 가정</t>
      </text>
    </comment>
    <comment ref="AG25" authorId="0" shapeId="0">
      <text>
        <t>모델값 역산(implied): 모델 v 그대로
파생상품 평가·거래손익 0 가정</t>
      </text>
    </comment>
    <comment ref="AH25" authorId="0" shapeId="0">
      <text>
        <t>모델값 역산(implied): 모델 v 그대로
파생상품 평가·거래손익 0 가정</t>
      </text>
    </comment>
    <comment ref="AI25" authorId="0" shapeId="0">
      <text>
        <t>모델값 역산(implied): 모델 v 그대로
파생상품 평가·거래손익 0 가정</t>
      </text>
    </comment>
    <comment ref="AK25" authorId="0" shapeId="0">
      <text>
        <t>모델값 역산(implied): 모델 v 그대로
파생상품 평가·거래손익 0 가정</t>
      </text>
    </comment>
    <comment ref="AL25" authorId="0" shapeId="0">
      <text>
        <t>모델값 역산(implied): 모델 v 그대로
파생상품 평가·거래손익 0 가정</t>
      </text>
    </comment>
    <comment ref="AM25" authorId="0" shapeId="0">
      <text>
        <t>모델값 역산(implied): 모델 v 그대로
파생상품 평가·거래손익 0 가정</t>
      </text>
    </comment>
    <comment ref="AN25" authorId="0" shapeId="0">
      <text>
        <t>모델값 역산(implied): 모델 v 그대로
파생상품 평가·거래손익 0 가정</t>
      </text>
    </comment>
    <comment ref="AC26" authorId="0" shapeId="0">
      <text>
        <t>모델값 역산(implied): 모델 v 그대로
최근 4분기 중위 +11.05억이 이자손익 추정 -5.05억의 50% 초과 → 0(경고)</t>
      </text>
    </comment>
    <comment ref="AD26" authorId="0" shapeId="0">
      <text>
        <t>모델값 역산(implied): 모델 v 그대로
최근 4분기 중위 +11.05억이 이자손익 추정 -5.05억의 50% 초과 → 0(경고)</t>
      </text>
    </comment>
    <comment ref="AF26" authorId="0" shapeId="0">
      <text>
        <t>모델값 역산(implied): 모델 v 그대로
최근 4분기 중위 +11.05억이 이자손익 추정 -5.05억의 50% 초과 → 0(경고)</t>
      </text>
    </comment>
    <comment ref="AG26" authorId="0" shapeId="0">
      <text>
        <t>모델값 역산(implied): 모델 v 그대로
최근 4분기 중위 +11.05억이 이자손익 추정 -5.05억의 50% 초과 → 0(경고)</t>
      </text>
    </comment>
    <comment ref="AH26" authorId="0" shapeId="0">
      <text>
        <t>모델값 역산(implied): 모델 v 그대로
최근 4분기 중위 +11.05억이 이자손익 추정 -5.05억의 50% 초과 → 0(경고)</t>
      </text>
    </comment>
    <comment ref="AI26" authorId="0" shapeId="0">
      <text>
        <t>모델값 역산(implied): 모델 v 그대로
최근 4분기 중위 +11.05억이 이자손익 추정 -5.05억의 50% 초과 → 0(경고)</t>
      </text>
    </comment>
    <comment ref="AK26" authorId="0" shapeId="0">
      <text>
        <t>모델값 역산(implied): 모델 v 그대로
최근 4분기 중위 +11.05억이 이자손익 추정 -5.05억의 50% 초과 → 0(경고)</t>
      </text>
    </comment>
    <comment ref="AL26" authorId="0" shapeId="0">
      <text>
        <t>모델값 역산(implied): 모델 v 그대로
최근 4분기 중위 +11.05억이 이자손익 추정 -5.05억의 50% 초과 → 0(경고)</t>
      </text>
    </comment>
    <comment ref="AM26" authorId="0" shapeId="0">
      <text>
        <t>모델값 역산(implied): 모델 v 그대로
최근 4분기 중위 +11.05억이 이자손익 추정 -5.05억의 50% 초과 → 0(경고)</t>
      </text>
    </comment>
    <comment ref="AN26" authorId="0" shapeId="0">
      <text>
        <t>모델값 역산(implied): 모델 v 그대로
최근 4분기 중위 +11.05억이 이자손익 추정 -5.05억의 50% 초과 → 0(경고)</t>
      </text>
    </comment>
    <comment ref="AC27" authorId="0" shapeId="0">
      <text>
        <t>모델값 역산(implied): 모델 v 그대로
일회성 미가정 → 0</t>
      </text>
    </comment>
    <comment ref="AD27" authorId="0" shapeId="0">
      <text>
        <t>모델값 역산(implied): 모델 v 그대로
일회성 미가정 → 0</t>
      </text>
    </comment>
    <comment ref="AF27" authorId="0" shapeId="0">
      <text>
        <t>모델값 역산(implied): 모델 v 그대로
일회성 미가정 → 0</t>
      </text>
    </comment>
    <comment ref="AG27" authorId="0" shapeId="0">
      <text>
        <t>모델값 역산(implied): 모델 v 그대로
일회성 미가정 → 0</t>
      </text>
    </comment>
    <comment ref="AH27" authorId="0" shapeId="0">
      <text>
        <t>모델값 역산(implied): 모델 v 그대로
일회성 미가정 → 0</t>
      </text>
    </comment>
    <comment ref="AI27" authorId="0" shapeId="0">
      <text>
        <t>모델값 역산(implied): 모델 v 그대로
일회성 미가정 → 0</t>
      </text>
    </comment>
    <comment ref="AK27" authorId="0" shapeId="0">
      <text>
        <t>모델값 역산(implied): 모델 v 그대로
일회성 미가정 → 0</t>
      </text>
    </comment>
    <comment ref="AL27" authorId="0" shapeId="0">
      <text>
        <t>모델값 역산(implied): 모델 v 그대로
일회성 미가정 → 0</t>
      </text>
    </comment>
    <comment ref="AM27" authorId="0" shapeId="0">
      <text>
        <t>모델값 역산(implied): 모델 v 그대로
일회성 미가정 → 0</t>
      </text>
    </comment>
    <comment ref="AN27" authorId="0" shapeId="0">
      <text>
        <t>모델값 역산(implied): 모델 v 그대로
일회성 미가정 → 0</t>
      </text>
    </comment>
    <comment ref="AC28" authorId="0" shapeId="0">
      <text>
        <t>모델값 역산(implied): 모델 v 그대로
최근 4분기 중위</t>
      </text>
    </comment>
    <comment ref="AD28" authorId="0" shapeId="0">
      <text>
        <t>모델값 역산(implied): 모델 v 그대로
최근 4분기 중위</t>
      </text>
    </comment>
    <comment ref="AF28" authorId="0" shapeId="0">
      <text>
        <t>모델값 역산(implied): 모델 v 그대로
최근 4분기 중위</t>
      </text>
    </comment>
    <comment ref="AG28" authorId="0" shapeId="0">
      <text>
        <t>모델값 역산(implied): 모델 v 그대로
최근 4분기 중위</t>
      </text>
    </comment>
    <comment ref="AH28" authorId="0" shapeId="0">
      <text>
        <t>모델값 역산(implied): 모델 v 그대로
최근 4분기 중위</t>
      </text>
    </comment>
    <comment ref="AI28" authorId="0" shapeId="0">
      <text>
        <t>모델값 역산(implied): 모델 v 그대로
최근 4분기 중위</t>
      </text>
    </comment>
    <comment ref="AK28" authorId="0" shapeId="0">
      <text>
        <t>모델값 역산(implied): 모델 v 그대로
최근 4분기 중위</t>
      </text>
    </comment>
    <comment ref="AL28" authorId="0" shapeId="0">
      <text>
        <t>모델값 역산(implied): 모델 v 그대로
최근 4분기 중위</t>
      </text>
    </comment>
    <comment ref="AM28" authorId="0" shapeId="0">
      <text>
        <t>모델값 역산(implied): 모델 v 그대로
최근 4분기 중위</t>
      </text>
    </comment>
    <comment ref="AN28" authorId="0" shapeId="0">
      <text>
        <t>모델값 역산(implied): 모델 v 그대로
최근 4분기 중위</t>
      </text>
    </comment>
    <comment ref="AC29" authorId="0" shapeId="0">
      <text>
        <t>3절 스칼라 '세율' 참조 — 숫자로 덮어쓰면 이 분기만 바뀐다
max(세전, 0) × 세율 22.4%(최근 12분기 유효세율 22.4%(5~27% 안 — 그대로))</t>
      </text>
    </comment>
    <comment ref="AD29" authorId="0" shapeId="0">
      <text>
        <t>3절 스칼라 '세율' 참조 — 숫자로 덮어쓰면 이 분기만 바뀐다
max(세전, 0) × 세율 22.4%(최근 12분기 유효세율 22.4%(5~27% 안 — 그대로))</t>
      </text>
    </comment>
    <comment ref="AF29" authorId="0" shapeId="0">
      <text>
        <t>3절 스칼라 '세율' 참조 — 숫자로 덮어쓰면 이 분기만 바뀐다
max(세전, 0) × 세율 22.4%(최근 12분기 유효세율 22.4%(5~27% 안 — 그대로))</t>
      </text>
    </comment>
    <comment ref="AG29" authorId="0" shapeId="0">
      <text>
        <t>3절 스칼라 '세율' 참조 — 숫자로 덮어쓰면 이 분기만 바뀐다
max(세전, 0) × 세율 22.4%(최근 12분기 유효세율 22.4%(5~27% 안 — 그대로))</t>
      </text>
    </comment>
    <comment ref="AH29" authorId="0" shapeId="0">
      <text>
        <t>3절 스칼라 '세율' 참조 — 숫자로 덮어쓰면 이 분기만 바뀐다
max(세전, 0) × 세율 22.4%(최근 12분기 유효세율 22.4%(5~27% 안 — 그대로))</t>
      </text>
    </comment>
    <comment ref="AI29" authorId="0" shapeId="0">
      <text>
        <t>3절 스칼라 '세율' 참조 — 숫자로 덮어쓰면 이 분기만 바뀐다
max(세전, 0) × 세율 22.4%(최근 12분기 유효세율 22.4%(5~27% 안 — 그대로))</t>
      </text>
    </comment>
    <comment ref="AK29" authorId="0" shapeId="0">
      <text>
        <t>3절 스칼라 '세율' 참조 — 숫자로 덮어쓰면 이 분기만 바뀐다
max(세전, 0) × 세율 22.4%(최근 12분기 유효세율 22.4%(5~27% 안 — 그대로))</t>
      </text>
    </comment>
    <comment ref="AL29" authorId="0" shapeId="0">
      <text>
        <t>3절 스칼라 '세율' 참조 — 숫자로 덮어쓰면 이 분기만 바뀐다
max(세전, 0) × 세율 22.4%(최근 12분기 유효세율 22.4%(5~27% 안 — 그대로))</t>
      </text>
    </comment>
    <comment ref="AM29" authorId="0" shapeId="0">
      <text>
        <t>3절 스칼라 '세율' 참조 — 숫자로 덮어쓰면 이 분기만 바뀐다
max(세전, 0) × 세율 22.4%(최근 12분기 유효세율 22.4%(5~27% 안 — 그대로))</t>
      </text>
    </comment>
    <comment ref="AN29" authorId="0" shapeId="0">
      <text>
        <t>3절 스칼라 '세율' 참조 — 숫자로 덮어쓰면 이 분기만 바뀐다
max(세전, 0) × 세율 22.4%(최근 12분기 유효세율 22.4%(5~27% 안 — 그대로))</t>
      </text>
    </comment>
    <comment ref="AC30" authorId="0" shapeId="0">
      <text>
        <t>3절 스칼라 '지배주주비중' 참조 — 숫자로 덮어쓰면 이 분기만 바뀐다
당기순이익 × (1 − 비지배 비중 0.0%, 최근 8분기 실측)</t>
      </text>
    </comment>
    <comment ref="AD30" authorId="0" shapeId="0">
      <text>
        <t>3절 스칼라 '지배주주비중' 참조 — 숫자로 덮어쓰면 이 분기만 바뀐다
당기순이익 × (1 − 비지배 비중 0.0%, 최근 8분기 실측)</t>
      </text>
    </comment>
    <comment ref="AF30" authorId="0" shapeId="0">
      <text>
        <t>3절 스칼라 '지배주주비중' 참조 — 숫자로 덮어쓰면 이 분기만 바뀐다
당기순이익 × (1 − 비지배 비중 0.0%, 최근 8분기 실측)</t>
      </text>
    </comment>
    <comment ref="AG30" authorId="0" shapeId="0">
      <text>
        <t>3절 스칼라 '지배주주비중' 참조 — 숫자로 덮어쓰면 이 분기만 바뀐다
당기순이익 × (1 − 비지배 비중 0.0%, 최근 8분기 실측)</t>
      </text>
    </comment>
    <comment ref="AH30" authorId="0" shapeId="0">
      <text>
        <t>3절 스칼라 '지배주주비중' 참조 — 숫자로 덮어쓰면 이 분기만 바뀐다
당기순이익 × (1 − 비지배 비중 0.0%, 최근 8분기 실측)</t>
      </text>
    </comment>
    <comment ref="AI30" authorId="0" shapeId="0">
      <text>
        <t>3절 스칼라 '지배주주비중' 참조 — 숫자로 덮어쓰면 이 분기만 바뀐다
당기순이익 × (1 − 비지배 비중 0.0%, 최근 8분기 실측)</t>
      </text>
    </comment>
    <comment ref="AK30" authorId="0" shapeId="0">
      <text>
        <t>3절 스칼라 '지배주주비중' 참조 — 숫자로 덮어쓰면 이 분기만 바뀐다
당기순이익 × (1 − 비지배 비중 0.0%, 최근 8분기 실측)</t>
      </text>
    </comment>
    <comment ref="AL30" authorId="0" shapeId="0">
      <text>
        <t>3절 스칼라 '지배주주비중' 참조 — 숫자로 덮어쓰면 이 분기만 바뀐다
당기순이익 × (1 − 비지배 비중 0.0%, 최근 8분기 실측)</t>
      </text>
    </comment>
    <comment ref="AM30" authorId="0" shapeId="0">
      <text>
        <t>3절 스칼라 '지배주주비중' 참조 — 숫자로 덮어쓰면 이 분기만 바뀐다
당기순이익 × (1 − 비지배 비중 0.0%, 최근 8분기 실측)</t>
      </text>
    </comment>
    <comment ref="AN30" authorId="0" shapeId="0">
      <text>
        <t>3절 스칼라 '지배주주비중' 참조 — 숫자로 덮어쓰면 이 분기만 바뀐다
당기순이익 × (1 − 비지배 비중 0.0%, 최근 8분기 실측)</t>
      </text>
    </comment>
    <comment ref="AC31" authorId="0" shapeId="0">
      <text>
        <t>모델값 역산(implied): v / 전분기 − 1
마지막 실적 유지(가정)</t>
      </text>
    </comment>
    <comment ref="AD31" authorId="0" shapeId="0">
      <text>
        <t>모델값 역산(implied): v / 전분기 − 1
마지막 실적 유지(가정)</t>
      </text>
    </comment>
    <comment ref="AF31" authorId="0" shapeId="0">
      <text>
        <t>모델값 역산(implied): v / 전분기 − 1
마지막 실적 유지(가정)</t>
      </text>
    </comment>
    <comment ref="AG31" authorId="0" shapeId="0">
      <text>
        <t>모델값 역산(implied): v / 전분기 − 1
마지막 실적 유지(가정)</t>
      </text>
    </comment>
    <comment ref="AH31" authorId="0" shapeId="0">
      <text>
        <t>모델값 역산(implied): v / 전분기 − 1
마지막 실적 유지(가정)</t>
      </text>
    </comment>
    <comment ref="AI31" authorId="0" shapeId="0">
      <text>
        <t>모델값 역산(implied): v / 전분기 − 1
마지막 실적 유지(가정)</t>
      </text>
    </comment>
    <comment ref="AK31" authorId="0" shapeId="0">
      <text>
        <t>모델값 역산(implied): v / 전분기 − 1
마지막 실적 유지(가정)</t>
      </text>
    </comment>
    <comment ref="AL31" authorId="0" shapeId="0">
      <text>
        <t>모델값 역산(implied): v / 전분기 − 1
마지막 실적 유지(가정)</t>
      </text>
    </comment>
    <comment ref="AM31" authorId="0" shapeId="0">
      <text>
        <t>모델값 역산(implied): v / 전분기 − 1
마지막 실적 유지(가정)</t>
      </text>
    </comment>
    <comment ref="AN31" authorId="0" shapeId="0">
      <text>
        <t>모델값 역산(implied): v / 전분기 − 1
마지막 실적 유지(가정)</t>
      </text>
    </comment>
    <comment ref="AC32" authorId="0" shapeId="0">
      <text>
        <t>모델값 역산(implied): 전분기(시트값) + 당기순이익(시트 수식값) − v
전분기 + 당기순이익 − 배당(Q2 지급 가정)</t>
      </text>
    </comment>
    <comment ref="AD32" authorId="0" shapeId="0">
      <text>
        <t>모델값 역산(implied): 전분기(시트값) + 당기순이익(시트 수식값) − v
전분기 + 당기순이익 − 배당(Q2 지급 가정)</t>
      </text>
    </comment>
    <comment ref="AF32" authorId="0" shapeId="0">
      <text>
        <t>모델값 역산(implied): 전분기(시트값) + 당기순이익(시트 수식값) − v
전분기 + 당기순이익 − 배당(Q2 지급 가정)</t>
      </text>
    </comment>
    <comment ref="AG32" authorId="0" shapeId="0">
      <text>
        <t>모델값 역산(implied): 전분기(시트값) + 당기순이익(시트 수식값) − v
전분기 + 당기순이익 − 배당(Q2 지급 가정)</t>
      </text>
    </comment>
    <comment ref="AH32" authorId="0" shapeId="0">
      <text>
        <t>모델값 역산(implied): 전분기(시트값) + 당기순이익(시트 수식값) − v
전분기 + 당기순이익 − 배당(Q2 지급 가정)</t>
      </text>
    </comment>
    <comment ref="AI32" authorId="0" shapeId="0">
      <text>
        <t>모델값 역산(implied): 전분기(시트값) + 당기순이익(시트 수식값) − v
전분기 + 당기순이익 − 배당(Q2 지급 가정)</t>
      </text>
    </comment>
    <comment ref="AK32" authorId="0" shapeId="0">
      <text>
        <t>모델값 역산(implied): 전분기(시트값) + 당기순이익(시트 수식값) − v
전분기 + 당기순이익 − 배당(Q2 지급 가정)</t>
      </text>
    </comment>
    <comment ref="AL32" authorId="0" shapeId="0">
      <text>
        <t>모델값 역산(implied): 전분기(시트값) + 당기순이익(시트 수식값) − v
전분기 + 당기순이익 − 배당(Q2 지급 가정)</t>
      </text>
    </comment>
    <comment ref="AM32" authorId="0" shapeId="0">
      <text>
        <t>모델값 역산(implied): 전분기(시트값) + 당기순이익(시트 수식값) − v
전분기 + 당기순이익 − 배당(Q2 지급 가정)</t>
      </text>
    </comment>
    <comment ref="AN32" authorId="0" shapeId="0">
      <text>
        <t>모델값 역산(implied): 전분기(시트값) + 당기순이익(시트 수식값) − v
전분기 + 당기순이익 − 배당(Q2 지급 가정)</t>
      </text>
    </comment>
    <comment ref="AC33" authorId="0" shapeId="0">
      <text>
        <t>모델값 역산(implied): 전분기(시트값) + 지배주주순이익(시트 수식값) − v
전분기 + 지배주주순이익 − 배당</t>
      </text>
    </comment>
    <comment ref="AD33" authorId="0" shapeId="0">
      <text>
        <t>모델값 역산(implied): 전분기(시트값) + 지배주주순이익(시트 수식값) − v
전분기 + 지배주주순이익 − 배당</t>
      </text>
    </comment>
    <comment ref="AF33" authorId="0" shapeId="0">
      <text>
        <t>모델값 역산(implied): 전분기(시트값) + 지배주주순이익(시트 수식값) − v
전분기 + 지배주주순이익 − 배당</t>
      </text>
    </comment>
    <comment ref="AG33" authorId="0" shapeId="0">
      <text>
        <t>모델값 역산(implied): 전분기(시트값) + 지배주주순이익(시트 수식값) − v
전분기 + 지배주주순이익 − 배당</t>
      </text>
    </comment>
    <comment ref="AH33" authorId="0" shapeId="0">
      <text>
        <t>모델값 역산(implied): 전분기(시트값) + 지배주주순이익(시트 수식값) − v
전분기 + 지배주주순이익 − 배당</t>
      </text>
    </comment>
    <comment ref="AI33" authorId="0" shapeId="0">
      <text>
        <t>모델값 역산(implied): 전분기(시트값) + 지배주주순이익(시트 수식값) − v
전분기 + 지배주주순이익 − 배당</t>
      </text>
    </comment>
    <comment ref="AK33" authorId="0" shapeId="0">
      <text>
        <t>모델값 역산(implied): 전분기(시트값) + 지배주주순이익(시트 수식값) − v
전분기 + 지배주주순이익 − 배당</t>
      </text>
    </comment>
    <comment ref="AL33" authorId="0" shapeId="0">
      <text>
        <t>모델값 역산(implied): 전분기(시트값) + 지배주주순이익(시트 수식값) − v
전분기 + 지배주주순이익 − 배당</t>
      </text>
    </comment>
    <comment ref="AM33" authorId="0" shapeId="0">
      <text>
        <t>모델값 역산(implied): 전분기(시트값) + 지배주주순이익(시트 수식값) − v
전분기 + 지배주주순이익 − 배당</t>
      </text>
    </comment>
    <comment ref="AN33" authorId="0" shapeId="0">
      <text>
        <t>모델값 역산(implied): 전분기(시트값) + 지배주주순이익(시트 수식값) − v
전분기 + 지배주주순이익 − 배당</t>
      </text>
    </comment>
    <comment ref="AC34" authorId="0" shapeId="0">
      <text>
        <t>모델값 역산(implied): v / 전분기 − 1
마지막 실적 유지(가정)</t>
      </text>
    </comment>
    <comment ref="AD34" authorId="0" shapeId="0">
      <text>
        <t>모델값 역산(implied): v / 전분기 − 1
마지막 실적 유지(가정)</t>
      </text>
    </comment>
    <comment ref="AF34" authorId="0" shapeId="0">
      <text>
        <t>모델값 역산(implied): v / 전분기 − 1
마지막 실적 유지(가정)</t>
      </text>
    </comment>
    <comment ref="AG34" authorId="0" shapeId="0">
      <text>
        <t>모델값 역산(implied): v / 전분기 − 1
마지막 실적 유지(가정)</t>
      </text>
    </comment>
    <comment ref="AH34" authorId="0" shapeId="0">
      <text>
        <t>모델값 역산(implied): v / 전분기 − 1
마지막 실적 유지(가정)</t>
      </text>
    </comment>
    <comment ref="AI34" authorId="0" shapeId="0">
      <text>
        <t>모델값 역산(implied): v / 전분기 − 1
마지막 실적 유지(가정)</t>
      </text>
    </comment>
    <comment ref="AK34" authorId="0" shapeId="0">
      <text>
        <t>모델값 역산(implied): v / 전분기 − 1
마지막 실적 유지(가정)</t>
      </text>
    </comment>
    <comment ref="AL34" authorId="0" shapeId="0">
      <text>
        <t>모델값 역산(implied): v / 전분기 − 1
마지막 실적 유지(가정)</t>
      </text>
    </comment>
    <comment ref="AM34" authorId="0" shapeId="0">
      <text>
        <t>모델값 역산(implied): v / 전분기 − 1
마지막 실적 유지(가정)</t>
      </text>
    </comment>
    <comment ref="AN34" authorId="0" shapeId="0">
      <text>
        <t>모델값 역산(implied): v / 전분기 − 1
마지막 실적 유지(가정)</t>
      </text>
    </comment>
    <comment ref="AC35" authorId="0" shapeId="0">
      <text>
        <t>모델값 역산(implied): v / 전분기 − 1
전분기 − FCF 근사[순이익 − 배당(감가상각비 없음 → CAPEX≈감가 가정, CAPEX 중위 44억은 행에만)] (운전자본 불변·총차입금 유지 가정 → 변동은 전부 현금)</t>
      </text>
    </comment>
    <comment ref="AD35" authorId="0" shapeId="0">
      <text>
        <t>모델값 역산(implied): v / 전분기 − 1
전분기 − FCF 근사[순이익 − 배당(감가상각비 없음 → CAPEX≈감가 가정, CAPEX 중위 44억은 행에만)] (운전자본 불변·총차입금 유지 가정 → 변동은 전부 현금)</t>
      </text>
    </comment>
    <comment ref="AF35" authorId="0" shapeId="0">
      <text>
        <t>모델값 역산(implied): v / 전분기 − 1
전분기 − FCF 근사[순이익 − 배당(감가상각비 없음 → CAPEX≈감가 가정, CAPEX 중위 44억은 행에만)] (운전자본 불변·총차입금 유지 가정 → 변동은 전부 현금)</t>
      </text>
    </comment>
    <comment ref="AG35" authorId="0" shapeId="0">
      <text>
        <t>모델값 역산(implied): v / 전분기 − 1
전분기 − FCF 근사[순이익 − 배당(감가상각비 없음 → CAPEX≈감가 가정, CAPEX 중위 44억은 행에만)] (운전자본 불변·총차입금 유지 가정 → 변동은 전부 현금)</t>
      </text>
    </comment>
    <comment ref="AH35" authorId="0" shapeId="0">
      <text>
        <t>모델값 역산(implied): v / 전분기 − 1
전분기 − FCF 근사[순이익 − 배당(감가상각비 없음 → CAPEX≈감가 가정, CAPEX 중위 44억은 행에만)] (운전자본 불변·총차입금 유지 가정 → 변동은 전부 현금)</t>
      </text>
    </comment>
    <comment ref="AI35" authorId="0" shapeId="0">
      <text>
        <t>모델값 역산(implied): v / 전분기 − 1
전분기 − FCF 근사[순이익 − 배당(감가상각비 없음 → CAPEX≈감가 가정, CAPEX 중위 44억은 행에만)] (운전자본 불변·총차입금 유지 가정 → 변동은 전부 현금)</t>
      </text>
    </comment>
    <comment ref="AK35" authorId="0" shapeId="0">
      <text>
        <t>모델값 역산(implied): v / 전분기 − 1
전분기 − FCF 근사[순이익 − 배당(감가상각비 없음 → CAPEX≈감가 가정, CAPEX 중위 44억은 행에만)] (운전자본 불변·총차입금 유지 가정 → 변동은 전부 현금)</t>
      </text>
    </comment>
    <comment ref="AL35" authorId="0" shapeId="0">
      <text>
        <t>모델값 역산(implied): v / 전분기 − 1
전분기 − FCF 근사[순이익 − 배당(감가상각비 없음 → CAPEX≈감가 가정, CAPEX 중위 44억은 행에만)] (운전자본 불변·총차입금 유지 가정 → 변동은 전부 현금)</t>
      </text>
    </comment>
    <comment ref="AM35" authorId="0" shapeId="0">
      <text>
        <t>모델값 역산(implied): v / 전분기 − 1
전분기 − FCF 근사[순이익 − 배당(감가상각비 없음 → CAPEX≈감가 가정, CAPEX 중위 44억은 행에만)] (운전자본 불변·총차입금 유지 가정 → 변동은 전부 현금)</t>
      </text>
    </comment>
    <comment ref="AN35" authorId="0" shapeId="0">
      <text>
        <t>모델값 역산(implied): v / 전분기 − 1
전분기 − FCF 근사[순이익 − 배당(감가상각비 없음 → CAPEX≈감가 가정, CAPEX 중위 44억은 행에만)] (운전자본 불변·총차입금 유지 가정 → 변동은 전부 현금)</t>
      </text>
    </comment>
    <comment ref="AC36" authorId="0" shapeId="0">
      <text>
        <t>모델값 역산(implied): v / 전분기 − 1
전분기 + FCF 근사 — 순차입금 롤과 같은 가정</t>
      </text>
    </comment>
    <comment ref="AD36" authorId="0" shapeId="0">
      <text>
        <t>모델값 역산(implied): v / 전분기 − 1
전분기 + FCF 근사 — 순차입금 롤과 같은 가정</t>
      </text>
    </comment>
    <comment ref="AF36" authorId="0" shapeId="0">
      <text>
        <t>모델값 역산(implied): v / 전분기 − 1
전분기 + FCF 근사 — 순차입금 롤과 같은 가정</t>
      </text>
    </comment>
    <comment ref="AG36" authorId="0" shapeId="0">
      <text>
        <t>모델값 역산(implied): v / 전분기 − 1
전분기 + FCF 근사 — 순차입금 롤과 같은 가정</t>
      </text>
    </comment>
    <comment ref="AH36" authorId="0" shapeId="0">
      <text>
        <t>모델값 역산(implied): v / 전분기 − 1
전분기 + FCF 근사 — 순차입금 롤과 같은 가정</t>
      </text>
    </comment>
    <comment ref="AI36" authorId="0" shapeId="0">
      <text>
        <t>모델값 역산(implied): v / 전분기 − 1
전분기 + FCF 근사 — 순차입금 롤과 같은 가정</t>
      </text>
    </comment>
    <comment ref="AK36" authorId="0" shapeId="0">
      <text>
        <t>모델값 역산(implied): v / 전분기 − 1
전분기 + FCF 근사 — 순차입금 롤과 같은 가정</t>
      </text>
    </comment>
    <comment ref="AL36" authorId="0" shapeId="0">
      <text>
        <t>모델값 역산(implied): v / 전분기 − 1
전분기 + FCF 근사 — 순차입금 롤과 같은 가정</t>
      </text>
    </comment>
    <comment ref="AM36" authorId="0" shapeId="0">
      <text>
        <t>모델값 역산(implied): v / 전분기 − 1
전분기 + FCF 근사 — 순차입금 롤과 같은 가정</t>
      </text>
    </comment>
    <comment ref="AN36" authorId="0" shapeId="0">
      <text>
        <t>모델값 역산(implied): v / 전분기 − 1
전분기 + FCF 근사 — 순차입금 롤과 같은 가정</t>
      </text>
    </comment>
    <comment ref="AC38" authorId="0" shapeId="0">
      <text>
        <t>모델값 역산(implied): v / 전년동기 − 1
최근 4분기(2025Q3~2026Q2) CAPEX 중위 유지 — 순차입금 롤에 미반영(감가상각비 없음 → CAPEX≈감가 가정)</t>
      </text>
    </comment>
    <comment ref="AD38" authorId="0" shapeId="0">
      <text>
        <t>모델값 역산(implied): v / 전년동기 − 1
최근 4분기(2025Q3~2026Q2) CAPEX 중위 유지 — 순차입금 롤에 미반영(감가상각비 없음 → CAPEX≈감가 가정)</t>
      </text>
    </comment>
    <comment ref="AF38" authorId="0" shapeId="0">
      <text>
        <t>모델값 역산(implied): v / 전년동기 − 1
최근 4분기(2025Q3~2026Q2) CAPEX 중위 유지 — 순차입금 롤에 미반영(감가상각비 없음 → CAPEX≈감가 가정)</t>
      </text>
    </comment>
    <comment ref="AG38" authorId="0" shapeId="0">
      <text>
        <t>모델값 역산(implied): v / 전년동기 − 1
최근 4분기(2025Q3~2026Q2) CAPEX 중위 유지 — 순차입금 롤에 미반영(감가상각비 없음 → CAPEX≈감가 가정)</t>
      </text>
    </comment>
    <comment ref="AH38" authorId="0" shapeId="0">
      <text>
        <t>모델값 역산(implied): v / 전년동기 − 1
최근 4분기(2025Q3~2026Q2) CAPEX 중위 유지 — 순차입금 롤에 미반영(감가상각비 없음 → CAPEX≈감가 가정)</t>
      </text>
    </comment>
    <comment ref="AI38" authorId="0" shapeId="0">
      <text>
        <t>모델값 역산(implied): v / 전년동기 − 1
최근 4분기(2025Q3~2026Q2) CAPEX 중위 유지 — 순차입금 롤에 미반영(감가상각비 없음 → CAPEX≈감가 가정)</t>
      </text>
    </comment>
    <comment ref="AK38" authorId="0" shapeId="0">
      <text>
        <t>모델값 역산(implied): v / 전년동기 − 1
최근 4분기(2025Q3~2026Q2) CAPEX 중위 유지 — 순차입금 롤에 미반영(감가상각비 없음 → CAPEX≈감가 가정)</t>
      </text>
    </comment>
    <comment ref="AL38" authorId="0" shapeId="0">
      <text>
        <t>모델값 역산(implied): v / 전년동기 − 1
최근 4분기(2025Q3~2026Q2) CAPEX 중위 유지 — 순차입금 롤에 미반영(감가상각비 없음 → CAPEX≈감가 가정)</t>
      </text>
    </comment>
    <comment ref="AM38" authorId="0" shapeId="0">
      <text>
        <t>모델값 역산(implied): v / 전년동기 − 1
최근 4분기(2025Q3~2026Q2) CAPEX 중위 유지 — 순차입금 롤에 미반영(감가상각비 없음 → CAPEX≈감가 가정)</t>
      </text>
    </comment>
    <comment ref="AN38" authorId="0" shapeId="0">
      <text>
        <t>모델값 역산(implied): v / 전년동기 − 1
최근 4분기(2025Q3~2026Q2) CAPEX 중위 유지 — 순차입금 롤에 미반영(감가상각비 없음 → CAPEX≈감가 가정)</t>
      </text>
    </comment>
    <comment ref="AC40" authorId="0" shapeId="0">
      <text>
        <t>모델값 역산(implied): v / 전분기 − 1
유통주식수 유지 — fin.shares.common_outstanding(2026Q2)</t>
      </text>
    </comment>
    <comment ref="AD40" authorId="0" shapeId="0">
      <text>
        <t>모델값 역산(implied): v / 전분기 − 1
유통주식수 유지 — fin.shares.common_outstanding(2026Q2)</t>
      </text>
    </comment>
    <comment ref="AF40" authorId="0" shapeId="0">
      <text>
        <t>모델값 역산(implied): v / 전분기 − 1
유통주식수 유지 — fin.shares.common_outstanding(2026Q2)</t>
      </text>
    </comment>
    <comment ref="AG40" authorId="0" shapeId="0">
      <text>
        <t>모델값 역산(implied): v / 전분기 − 1
유통주식수 유지 — fin.shares.common_outstanding(2026Q2)</t>
      </text>
    </comment>
    <comment ref="AH40" authorId="0" shapeId="0">
      <text>
        <t>모델값 역산(implied): v / 전분기 − 1
유통주식수 유지 — fin.shares.common_outstanding(2026Q2)</t>
      </text>
    </comment>
    <comment ref="AI40" authorId="0" shapeId="0">
      <text>
        <t>모델값 역산(implied): v / 전분기 − 1
유통주식수 유지 — fin.shares.common_outstanding(2026Q2)</t>
      </text>
    </comment>
    <comment ref="AK40" authorId="0" shapeId="0">
      <text>
        <t>모델값 역산(implied): v / 전분기 − 1
유통주식수 유지 — fin.shares.common_outstanding(2026Q2)</t>
      </text>
    </comment>
    <comment ref="AL40" authorId="0" shapeId="0">
      <text>
        <t>모델값 역산(implied): v / 전분기 − 1
유통주식수 유지 — fin.shares.common_outstanding(2026Q2)</t>
      </text>
    </comment>
    <comment ref="AM40" authorId="0" shapeId="0">
      <text>
        <t>모델값 역산(implied): v / 전분기 − 1
유통주식수 유지 — fin.shares.common_outstanding(2026Q2)</t>
      </text>
    </comment>
    <comment ref="AN40" authorId="0" shapeId="0">
      <text>
        <t>모델값 역산(implied): v / 전분기 − 1
유통주식수 유지 — fin.shares.common_outstanding(2026Q2)</t>
      </text>
    </comment>
    <comment ref="AD41" authorId="0" shapeId="0">
      <text>
        <t>모델값 역산(implied): 모델 v 그대로
직전 결산 DPS 250원 유지</t>
      </text>
    </comment>
    <comment ref="AI41" authorId="0" shapeId="0">
      <text>
        <t>모델값 역산(implied): 모델 v 그대로
직전 결산 DPS 250원 유지</t>
      </text>
    </comment>
    <comment ref="AN41" authorId="0" shapeId="0">
      <text>
        <t>모델값 역산(implied): 모델 v 그대로
직전 결산 DPS 250원 유지</t>
      </text>
    </comment>
  </commentList>
</comments>
</file>

<file path=xl/comments/comment2.xml><?xml version="1.0" encoding="utf-8"?>
<comments xmlns="http://schemas.openxmlformats.org/spreadsheetml/2006/main">
  <authors>
    <author>kship</author>
  </authors>
  <commentList>
    <comment ref="AC5" authorId="0" shapeId="0">
      <text>
        <t>추정: 전년동기 × (1+3.0%) — g=최근 4분기 합 YoY 3.0% 클립(−30~+50%), 연차별 절반 감쇠(가정)
[yoy]</t>
      </text>
    </comment>
    <comment ref="AD5" authorId="0" shapeId="0">
      <text>
        <t>추정: 전년동기 × (1+3.0%) — g=최근 4분기 합 YoY 3.0% 클립(−30~+50%), 연차별 절반 감쇠(가정)
[yoy]</t>
      </text>
    </comment>
    <comment ref="AF5" authorId="0" shapeId="0">
      <text>
        <t>추정: 전년동기 × (1+3.0%) — g=최근 4분기 합 YoY 3.0% 클립(−30~+50%), 연차별 절반 감쇠(가정)
[yoy]</t>
      </text>
    </comment>
    <comment ref="AG5" authorId="0" shapeId="0">
      <text>
        <t>추정: 전년동기 × (1+3.0%) — g=최근 4분기 합 YoY 3.0% 클립(−30~+50%), 연차별 절반 감쇠(가정)
[yoy]</t>
      </text>
    </comment>
    <comment ref="AH5" authorId="0" shapeId="0">
      <text>
        <t>추정: 전년동기 × (1+1.5%) — g=최근 4분기 합 YoY 3.0% 클립(−30~+50%), 연차별 절반 감쇠(가정)
[yoy]</t>
      </text>
    </comment>
    <comment ref="AI5" authorId="0" shapeId="0">
      <text>
        <t>추정: 전년동기 × (1+1.5%) — g=최근 4분기 합 YoY 3.0% 클립(−30~+50%), 연차별 절반 감쇠(가정)
[yoy]</t>
      </text>
    </comment>
    <comment ref="AK5" authorId="0" shapeId="0">
      <text>
        <t>추정: 전년동기 × (1+1.5%) — g=최근 4분기 합 YoY 3.0% 클립(−30~+50%), 연차별 절반 감쇠(가정)
[yoy]</t>
      </text>
    </comment>
    <comment ref="AL5" authorId="0" shapeId="0">
      <text>
        <t>추정: 전년동기 × (1+1.5%) — g=최근 4분기 합 YoY 3.0% 클립(−30~+50%), 연차별 절반 감쇠(가정)
[yoy]</t>
      </text>
    </comment>
    <comment ref="AM5" authorId="0" shapeId="0">
      <text>
        <t>추정: 전년동기 × (1+0.7%) — g=최근 4분기 합 YoY 3.0% 클립(−30~+50%), 연차별 절반 감쇠(가정)
[yoy]</t>
      </text>
    </comment>
    <comment ref="AN5" authorId="0" shapeId="0">
      <text>
        <t>추정: 전년동기 × (1+0.7%) — g=최근 4분기 합 YoY 3.0% 클립(−30~+50%), 연차별 절반 감쇠(가정)
[yoy]</t>
      </text>
    </comment>
    <comment ref="AC6" authorId="0" shapeId="0">
      <text>
        <t>추정: 매출액 − 매출총이익(항등식)
[identity]</t>
      </text>
    </comment>
    <comment ref="AD6" authorId="0" shapeId="0">
      <text>
        <t>추정: 매출액 − 매출총이익(항등식)
[identity]</t>
      </text>
    </comment>
    <comment ref="AF6" authorId="0" shapeId="0">
      <text>
        <t>추정: 매출액 − 매출총이익(항등식)
[identity]</t>
      </text>
    </comment>
    <comment ref="AG6" authorId="0" shapeId="0">
      <text>
        <t>추정: 매출액 − 매출총이익(항등식)
[identity]</t>
      </text>
    </comment>
    <comment ref="AH6" authorId="0" shapeId="0">
      <text>
        <t>추정: 매출액 − 매출총이익(항등식)
[identity]</t>
      </text>
    </comment>
    <comment ref="AI6" authorId="0" shapeId="0">
      <text>
        <t>추정: 매출액 − 매출총이익(항등식)
[identity]</t>
      </text>
    </comment>
    <comment ref="AK6" authorId="0" shapeId="0">
      <text>
        <t>추정: 매출액 − 매출총이익(항등식)
[identity]</t>
      </text>
    </comment>
    <comment ref="AL6" authorId="0" shapeId="0">
      <text>
        <t>추정: 매출액 − 매출총이익(항등식)
[identity]</t>
      </text>
    </comment>
    <comment ref="AM6" authorId="0" shapeId="0">
      <text>
        <t>추정: 매출액 − 매출총이익(항등식)
[identity]</t>
      </text>
    </comment>
    <comment ref="AN6" authorId="0" shapeId="0">
      <text>
        <t>추정: 매출액 − 매출총이익(항등식)
[identity]</t>
      </text>
    </comment>
    <comment ref="AC7" authorId="0" shapeId="0">
      <text>
        <t>추정: 영업이익 + 판관비 − 기타영업손익(항등식)
[identity]</t>
      </text>
    </comment>
    <comment ref="AD7" authorId="0" shapeId="0">
      <text>
        <t>추정: 영업이익 + 판관비 − 기타영업손익(항등식)
[identity]</t>
      </text>
    </comment>
    <comment ref="AF7" authorId="0" shapeId="0">
      <text>
        <t>추정: 영업이익 + 판관비 − 기타영업손익(항등식)
[identity]</t>
      </text>
    </comment>
    <comment ref="AG7" authorId="0" shapeId="0">
      <text>
        <t>추정: 영업이익 + 판관비 − 기타영업손익(항등식)
[identity]</t>
      </text>
    </comment>
    <comment ref="AH7" authorId="0" shapeId="0">
      <text>
        <t>추정: 영업이익 + 판관비 − 기타영업손익(항등식)
[identity]</t>
      </text>
    </comment>
    <comment ref="AI7" authorId="0" shapeId="0">
      <text>
        <t>추정: 영업이익 + 판관비 − 기타영업손익(항등식)
[identity]</t>
      </text>
    </comment>
    <comment ref="AK7" authorId="0" shapeId="0">
      <text>
        <t>추정: 영업이익 + 판관비 − 기타영업손익(항등식)
[identity]</t>
      </text>
    </comment>
    <comment ref="AL7" authorId="0" shapeId="0">
      <text>
        <t>추정: 영업이익 + 판관비 − 기타영업손익(항등식)
[identity]</t>
      </text>
    </comment>
    <comment ref="AM7" authorId="0" shapeId="0">
      <text>
        <t>추정: 영업이익 + 판관비 − 기타영업손익(항등식)
[identity]</t>
      </text>
    </comment>
    <comment ref="AN7" authorId="0" shapeId="0">
      <text>
        <t>추정: 영업이익 + 판관비 − 기타영업손익(항등식)
[identity]</t>
      </text>
    </comment>
    <comment ref="AC8" authorId="0" shapeId="0">
      <text>
        <t>추정: 매출액 × 판관비율 8.68%(최근 4분기 중위)
[ratio]</t>
      </text>
    </comment>
    <comment ref="AD8" authorId="0" shapeId="0">
      <text>
        <t>추정: 매출액 × 판관비율 8.68%(최근 4분기 중위)
[ratio]</t>
      </text>
    </comment>
    <comment ref="AF8" authorId="0" shapeId="0">
      <text>
        <t>추정: 매출액 × 판관비율 8.68%(최근 4분기 중위)
[ratio]</t>
      </text>
    </comment>
    <comment ref="AG8" authorId="0" shapeId="0">
      <text>
        <t>추정: 매출액 × 판관비율 8.68%(최근 4분기 중위)
[ratio]</t>
      </text>
    </comment>
    <comment ref="AH8" authorId="0" shapeId="0">
      <text>
        <t>추정: 매출액 × 판관비율 8.68%(최근 4분기 중위)
[ratio]</t>
      </text>
    </comment>
    <comment ref="AI8" authorId="0" shapeId="0">
      <text>
        <t>추정: 매출액 × 판관비율 8.68%(최근 4분기 중위)
[ratio]</t>
      </text>
    </comment>
    <comment ref="AK8" authorId="0" shapeId="0">
      <text>
        <t>추정: 매출액 × 판관비율 8.68%(최근 4분기 중위)
[ratio]</t>
      </text>
    </comment>
    <comment ref="AL8" authorId="0" shapeId="0">
      <text>
        <t>추정: 매출액 × 판관비율 8.68%(최근 4분기 중위)
[ratio]</t>
      </text>
    </comment>
    <comment ref="AM8" authorId="0" shapeId="0">
      <text>
        <t>추정: 매출액 × 판관비율 8.68%(최근 4분기 중위)
[ratio]</t>
      </text>
    </comment>
    <comment ref="AN8" authorId="0" shapeId="0">
      <text>
        <t>추정: 매출액 × 판관비율 8.68%(최근 4분기 중위)
[ratio]</t>
      </text>
    </comment>
    <comment ref="AC9" authorId="0" shapeId="0">
      <text>
        <t>추정: 매출액 × OPM(최근 8분기 OPM 중위 5.6% 유지(클립 −20~40%))
[ratio]</t>
      </text>
    </comment>
    <comment ref="AD9" authorId="0" shapeId="0">
      <text>
        <t>추정: 매출액 × OPM(최근 8분기 OPM 중위 5.6% 유지(클립 −20~40%))
[ratio]</t>
      </text>
    </comment>
    <comment ref="AF9" authorId="0" shapeId="0">
      <text>
        <t>추정: 매출액 × OPM(최근 8분기 OPM 중위 5.6% 유지(클립 −20~40%))
[ratio]</t>
      </text>
    </comment>
    <comment ref="AG9" authorId="0" shapeId="0">
      <text>
        <t>추정: 매출액 × OPM(최근 8분기 OPM 중위 5.6% 유지(클립 −20~40%))
[ratio]</t>
      </text>
    </comment>
    <comment ref="AH9" authorId="0" shapeId="0">
      <text>
        <t>추정: 매출액 × OPM(최근 8분기 OPM 중위 5.6% 유지(클립 −20~40%))
[ratio]</t>
      </text>
    </comment>
    <comment ref="AI9" authorId="0" shapeId="0">
      <text>
        <t>추정: 매출액 × OPM(최근 8분기 OPM 중위 5.6% 유지(클립 −20~40%))
[ratio]</t>
      </text>
    </comment>
    <comment ref="AK9" authorId="0" shapeId="0">
      <text>
        <t>추정: 매출액 × OPM(최근 8분기 OPM 중위 5.6% 유지(클립 −20~40%))
[ratio]</t>
      </text>
    </comment>
    <comment ref="AL9" authorId="0" shapeId="0">
      <text>
        <t>추정: 매출액 × OPM(최근 8분기 OPM 중위 5.6% 유지(클립 −20~40%))
[ratio]</t>
      </text>
    </comment>
    <comment ref="AM9" authorId="0" shapeId="0">
      <text>
        <t>추정: 매출액 × OPM(최근 8분기 OPM 중위 5.6% 유지(클립 −20~40%))
[ratio]</t>
      </text>
    </comment>
    <comment ref="AN9" authorId="0" shapeId="0">
      <text>
        <t>추정: 매출액 × OPM(최근 8분기 OPM 중위 5.6% 유지(클립 −20~40%))
[ratio]</t>
      </text>
    </comment>
    <comment ref="AC10" authorId="0" shapeId="0">
      <text>
        <t>추정: 최근 8분기 OPM 중위 5.6% 유지(클립 −20~40%)
[divide]</t>
      </text>
    </comment>
    <comment ref="AD10" authorId="0" shapeId="0">
      <text>
        <t>추정: 최근 8분기 OPM 중위 5.6% 유지(클립 −20~40%)
[divide]</t>
      </text>
    </comment>
    <comment ref="AF10" authorId="0" shapeId="0">
      <text>
        <t>추정: 최근 8분기 OPM 중위 5.6% 유지(클립 −20~40%)
[divide]</t>
      </text>
    </comment>
    <comment ref="AG10" authorId="0" shapeId="0">
      <text>
        <t>추정: 최근 8분기 OPM 중위 5.6% 유지(클립 −20~40%)
[divide]</t>
      </text>
    </comment>
    <comment ref="AH10" authorId="0" shapeId="0">
      <text>
        <t>추정: 최근 8분기 OPM 중위 5.6% 유지(클립 −20~40%)
[divide]</t>
      </text>
    </comment>
    <comment ref="AI10" authorId="0" shapeId="0">
      <text>
        <t>추정: 최근 8분기 OPM 중위 5.6% 유지(클립 −20~40%)
[divide]</t>
      </text>
    </comment>
    <comment ref="AK10" authorId="0" shapeId="0">
      <text>
        <t>추정: 최근 8분기 OPM 중위 5.6% 유지(클립 −20~40%)
[divide]</t>
      </text>
    </comment>
    <comment ref="AL10" authorId="0" shapeId="0">
      <text>
        <t>추정: 최근 8분기 OPM 중위 5.6% 유지(클립 −20~40%)
[divide]</t>
      </text>
    </comment>
    <comment ref="AM10" authorId="0" shapeId="0">
      <text>
        <t>추정: 최근 8분기 OPM 중위 5.6% 유지(클립 −20~40%)
[divide]</t>
      </text>
    </comment>
    <comment ref="AN10" authorId="0" shapeId="0">
      <text>
        <t>추정: 최근 8분기 OPM 중위 5.6% 유지(클립 −20~40%)
[divide]</t>
      </text>
    </comment>
    <comment ref="AC11" authorId="0" shapeId="0">
      <text>
        <t>추정: 이자손익 + 외환손익 0 + 파생상품손익 0 + 기타금융손익 +0.00억(최근 4분기 중위 +11.05억이 이자손익 추정 -5.05억의 50% 초과 → 0(경고)) (항등식); 이자손익 = 이자발생자산 427억 × 4.00%(주석 이자수익 ÷ 평균 이자발생자산(2025Q2~2026Q2)) − 총차입금 1033억 × 3.60%(주석 이자비용 ÷ 평균 총차입금(2025Q2~2026Q2)) (연율) ÷ 4; 환율 효과는 환관련손익 행 별도
[identity]</t>
      </text>
    </comment>
    <comment ref="AD11" authorId="0" shapeId="0">
      <text>
        <t>추정: 이자손익 + 외환손익 0 + 파생상품손익 0 + 기타금융손익 +0.00억(최근 4분기 중위 +11.05억이 이자손익 추정 -5.05억의 50% 초과 → 0(경고)) (항등식); 이자손익 = 이자발생자산 460억 × 4.00%(주석 이자수익 ÷ 평균 이자발생자산(2025Q2~2026Q2)) − 총차입금 1033억 × 3.60%(주석 이자비용 ÷ 평균 총차입금(2025Q2~2026Q2)) (연율) ÷ 4; 환율 효과는 환관련손익 행 별도
[identity]</t>
      </text>
    </comment>
    <comment ref="AF11" authorId="0" shapeId="0">
      <text>
        <t>추정: 이자손익 + 외환손익 0 + 파생상품손익 0 + 기타금융손익 +0.00억(최근 4분기 중위 +11.05억이 이자손익 추정 -5.05억의 50% 초과 → 0(경고)) (항등식); 이자손익 = 이자발생자산 494억 × 4.00%(주석 이자수익 ÷ 평균 이자발생자산(2025Q2~2026Q2)) − 총차입금 1033억 × 3.60%(주석 이자비용 ÷ 평균 총차입금(2025Q2~2026Q2)) (연율) ÷ 4; 환율 효과는 환관련손익 행 별도
[identity]</t>
      </text>
    </comment>
    <comment ref="AG11" authorId="0" shapeId="0">
      <text>
        <t>추정: 이자손익 + 외환손익 0 + 파생상품손익 0 + 기타금융손익 +0.00억(최근 4분기 중위 +11.05억이 이자손익 추정 -5.05억의 50% 초과 → 0(경고)) (항등식); 이자손익 = 이자발생자산 529억 × 4.00%(주석 이자수익 ÷ 평균 이자발생자산(2025Q2~2026Q2)) − 총차입금 1033억 × 3.60%(주석 이자비용 ÷ 평균 총차입금(2025Q2~2026Q2)) (연율) ÷ 4; 환율 효과는 환관련손익 행 별도
[identity]</t>
      </text>
    </comment>
    <comment ref="AH11" authorId="0" shapeId="0">
      <text>
        <t>추정: 이자손익 + 외환손익 0 + 파생상품손익 0 + 기타금융손익 +0.00억(최근 4분기 중위 +11.05억이 이자손익 추정 -5.05억의 50% 초과 → 0(경고)) (항등식); 이자손익 = 이자발생자산 529억 × 4.00%(주석 이자수익 ÷ 평균 이자발생자산(2025Q2~2026Q2)) − 총차입금 1033억 × 3.60%(주석 이자비용 ÷ 평균 총차입금(2025Q2~2026Q2)) (연율) ÷ 4; 환율 효과는 환관련손익 행 별도
[identity]</t>
      </text>
    </comment>
    <comment ref="AI11" authorId="0" shapeId="0">
      <text>
        <t>추정: 이자손익 + 외환손익 0 + 파생상품손익 0 + 기타금융손익 +0.00억(최근 4분기 중위 +11.05억이 이자손익 추정 -5.05억의 50% 초과 → 0(경고)) (항등식); 이자손익 = 이자발생자산 563억 × 4.00%(주석 이자수익 ÷ 평균 이자발생자산(2025Q2~2026Q2)) − 총차입금 1033억 × 3.60%(주석 이자비용 ÷ 평균 총차입금(2025Q2~2026Q2)) (연율) ÷ 4; 환율 효과는 환관련손익 행 별도
[identity]</t>
      </text>
    </comment>
    <comment ref="AK11" authorId="0" shapeId="0">
      <text>
        <t>추정: 이자손익 + 외환손익 0 + 파생상품손익 0 + 기타금융손익 +0.00억(최근 4분기 중위 +11.05억이 이자손익 추정 -5.05억의 50% 초과 → 0(경고)) (항등식); 이자손익 = 이자발생자산 599억 × 4.00%(주석 이자수익 ÷ 평균 이자발생자산(2025Q2~2026Q2)) − 총차입금 1033억 × 3.60%(주석 이자비용 ÷ 평균 총차입금(2025Q2~2026Q2)) (연율) ÷ 4; 환율 효과는 환관련손익 행 별도
[identity]</t>
      </text>
    </comment>
    <comment ref="AL11" authorId="0" shapeId="0">
      <text>
        <t>추정: 이자손익 + 외환손익 0 + 파생상품손익 0 + 기타금융손익 +0.00억(최근 4분기 중위 +11.05억이 이자손익 추정 -5.05억의 50% 초과 → 0(경고)) (항등식); 이자손익 = 이자발생자산 635억 × 4.00%(주석 이자수익 ÷ 평균 이자발생자산(2025Q2~2026Q2)) − 총차입금 1033억 × 3.60%(주석 이자비용 ÷ 평균 총차입금(2025Q2~2026Q2)) (연율) ÷ 4; 환율 효과는 환관련손익 행 별도
[identity]</t>
      </text>
    </comment>
    <comment ref="AM11" authorId="0" shapeId="0">
      <text>
        <t>추정: 이자손익 + 외환손익 0 + 파생상품손익 0 + 기타금융손익 +0.00억(최근 4분기 중위 +11.05억이 이자손익 추정 -5.05억의 50% 초과 → 0(경고)) (항등식); 이자손익 = 이자발생자산 637억 × 4.00%(주석 이자수익 ÷ 평균 이자발생자산(2025Q2~2026Q2)) − 총차입금 1033억 × 3.60%(주석 이자비용 ÷ 평균 총차입금(2025Q2~2026Q2)) (연율) ÷ 4; 환율 효과는 환관련손익 행 별도
[identity]</t>
      </text>
    </comment>
    <comment ref="AN11" authorId="0" shapeId="0">
      <text>
        <t>추정: 이자손익 + 외환손익 0 + 파생상품손익 0 + 기타금융손익 +0.00억(최근 4분기 중위 +11.05억이 이자손익 추정 -5.05억의 50% 초과 → 0(경고)) (항등식); 이자손익 = 이자발생자산 672억 × 4.00%(주석 이자수익 ÷ 평균 이자발생자산(2025Q2~2026Q2)) − 총차입금 1033억 × 3.60%(주석 이자비용 ÷ 평균 총차입금(2025Q2~2026Q2)) (연율) ÷ 4; 환율 효과는 환관련손익 행 별도
[identity]</t>
      </text>
    </comment>
    <comment ref="AC12" authorId="0" shapeId="0">
      <text>
        <t>추정: 이자발생자산 427억 × 4.00%(주석 이자수익 ÷ 평균 이자발생자산(2025Q2~2026Q2)) − 총차입금 1033억 × 3.60%(주석 이자비용 ÷ 평균 총차입금(2025Q2~2026Q2)) (연율) ÷ 4
[interest]</t>
      </text>
    </comment>
    <comment ref="AD12" authorId="0" shapeId="0">
      <text>
        <t>추정: 이자발생자산 460억 × 4.00%(주석 이자수익 ÷ 평균 이자발생자산(2025Q2~2026Q2)) − 총차입금 1033억 × 3.60%(주석 이자비용 ÷ 평균 총차입금(2025Q2~2026Q2)) (연율) ÷ 4
[interest]</t>
      </text>
    </comment>
    <comment ref="AF12" authorId="0" shapeId="0">
      <text>
        <t>추정: 이자발생자산 494억 × 4.00%(주석 이자수익 ÷ 평균 이자발생자산(2025Q2~2026Q2)) − 총차입금 1033억 × 3.60%(주석 이자비용 ÷ 평균 총차입금(2025Q2~2026Q2)) (연율) ÷ 4
[interest]</t>
      </text>
    </comment>
    <comment ref="AG12" authorId="0" shapeId="0">
      <text>
        <t>추정: 이자발생자산 529억 × 4.00%(주석 이자수익 ÷ 평균 이자발생자산(2025Q2~2026Q2)) − 총차입금 1033억 × 3.60%(주석 이자비용 ÷ 평균 총차입금(2025Q2~2026Q2)) (연율) ÷ 4
[interest]</t>
      </text>
    </comment>
    <comment ref="AH12" authorId="0" shapeId="0">
      <text>
        <t>추정: 이자발생자산 529억 × 4.00%(주석 이자수익 ÷ 평균 이자발생자산(2025Q2~2026Q2)) − 총차입금 1033억 × 3.60%(주석 이자비용 ÷ 평균 총차입금(2025Q2~2026Q2)) (연율) ÷ 4
[interest]</t>
      </text>
    </comment>
    <comment ref="AI12" authorId="0" shapeId="0">
      <text>
        <t>추정: 이자발생자산 563억 × 4.00%(주석 이자수익 ÷ 평균 이자발생자산(2025Q2~2026Q2)) − 총차입금 1033억 × 3.60%(주석 이자비용 ÷ 평균 총차입금(2025Q2~2026Q2)) (연율) ÷ 4
[interest]</t>
      </text>
    </comment>
    <comment ref="AK12" authorId="0" shapeId="0">
      <text>
        <t>추정: 이자발생자산 599억 × 4.00%(주석 이자수익 ÷ 평균 이자발생자산(2025Q2~2026Q2)) − 총차입금 1033억 × 3.60%(주석 이자비용 ÷ 평균 총차입금(2025Q2~2026Q2)) (연율) ÷ 4
[interest]</t>
      </text>
    </comment>
    <comment ref="AL12" authorId="0" shapeId="0">
      <text>
        <t>추정: 이자발생자산 635억 × 4.00%(주석 이자수익 ÷ 평균 이자발생자산(2025Q2~2026Q2)) − 총차입금 1033억 × 3.60%(주석 이자비용 ÷ 평균 총차입금(2025Q2~2026Q2)) (연율) ÷ 4
[interest]</t>
      </text>
    </comment>
    <comment ref="AM12" authorId="0" shapeId="0">
      <text>
        <t>추정: 이자발생자산 637억 × 4.00%(주석 이자수익 ÷ 평균 이자발생자산(2025Q2~2026Q2)) − 총차입금 1033억 × 3.60%(주석 이자비용 ÷ 평균 총차입금(2025Q2~2026Q2)) (연율) ÷ 4
[interest]</t>
      </text>
    </comment>
    <comment ref="AN12" authorId="0" shapeId="0">
      <text>
        <t>추정: 이자발생자산 672억 × 4.00%(주석 이자수익 ÷ 평균 이자발생자산(2025Q2~2026Q2)) − 총차입금 1033억 × 3.60%(주석 이자비용 ÷ 평균 총차입금(2025Q2~2026Q2)) (연율) ÷ 4
[interest]</t>
      </text>
    </comment>
    <comment ref="G13" authorId="0" shapeId="0">
      <text>
        <t>BS 계정 합·차: +외환차익 -외환차손 +외화환산이익 -외화환산손실</t>
      </text>
    </comment>
    <comment ref="H13" authorId="0" shapeId="0">
      <text>
        <t>BS 계정 합·차: +외환차익 -외환차손 +외화환산이익 -외화환산손실</t>
      </text>
    </comment>
    <comment ref="I13" authorId="0" shapeId="0">
      <text>
        <t>BS 계정 합·차: +외환차익 -외환차손 +외화환산이익 -외화환산손실</t>
      </text>
    </comment>
    <comment ref="J13" authorId="0" shapeId="0">
      <text>
        <t>BS 계정 합·차: +외환차익 -외환차손 +외화환산이익 -외화환산손실</t>
      </text>
    </comment>
    <comment ref="L13" authorId="0" shapeId="0">
      <text>
        <t>BS 계정 합·차: +외환차익 -외환차손 +외화환산이익 -외화환산손실</t>
      </text>
    </comment>
    <comment ref="M13" authorId="0" shapeId="0">
      <text>
        <t>BS 계정 합·차: +외환차익 -외환차손 +외화환산이익 -외화환산손실</t>
      </text>
    </comment>
    <comment ref="N13" authorId="0" shapeId="0">
      <text>
        <t>BS 계정 합·차: +외환차익 -외환차손 +외화환산이익 -외화환산손실</t>
      </text>
    </comment>
    <comment ref="O13" authorId="0" shapeId="0">
      <text>
        <t>BS 계정 합·차: +외환차익 -외환차손 +외화환산이익 -외화환산손실</t>
      </text>
    </comment>
    <comment ref="Q13" authorId="0" shapeId="0">
      <text>
        <t>BS 계정 합·차: +외환차익 -외환차손 +외화환산이익 -외화환산손실</t>
      </text>
    </comment>
    <comment ref="R13" authorId="0" shapeId="0">
      <text>
        <t>BS 계정 합·차: +외환차익 -외환차손 +외화환산이익 -외화환산손실</t>
      </text>
    </comment>
    <comment ref="S13" authorId="0" shapeId="0">
      <text>
        <t>BS 계정 합·차: +외환차익 -외환차손 +외화환산이익 -외화환산손실</t>
      </text>
    </comment>
    <comment ref="V13" authorId="0" shapeId="0">
      <text>
        <t>BS 계정 합·차: +외환차익 -외환차손 +외화환산이익 -외화환산손실</t>
      </text>
    </comment>
    <comment ref="W13" authorId="0" shapeId="0">
      <text>
        <t>BS 계정 합·차: +외환차익 -외환차손 +외화환산이익 -외화환산손실</t>
      </text>
    </comment>
    <comment ref="X13" authorId="0" shapeId="0">
      <text>
        <t>BS 계정 합·차: +외환차익 -외환차손 +외화환산이익 -외화환산손실</t>
      </text>
    </comment>
    <comment ref="Y13" authorId="0" shapeId="0">
      <text>
        <t>BS 계정 합·차: +외환차익 -외환차손 +외화환산이익 -외화환산손실</t>
      </text>
    </comment>
    <comment ref="AB13" authorId="0" shapeId="0">
      <text>
        <t>BS 계정 합·차: +외환차익 -외환차손 +외화환산이익 -외화환산손실</t>
      </text>
    </comment>
    <comment ref="AC13" authorId="0" shapeId="0">
      <text>
        <t>추정: 외환차손익·외화환산손익 0 가정 — 추정 구간 환율 효과는 조선사 환관련손익 행(공시 노출 × Δ기말환율)에만 둔다(이중 계상 방지)
[abs]</t>
      </text>
    </comment>
    <comment ref="AD13" authorId="0" shapeId="0">
      <text>
        <t>추정: 외환차손익·외화환산손익 0 가정 — 추정 구간 환율 효과는 조선사 환관련손익 행(공시 노출 × Δ기말환율)에만 둔다(이중 계상 방지)
[abs]</t>
      </text>
    </comment>
    <comment ref="AF13" authorId="0" shapeId="0">
      <text>
        <t>추정: 외환차손익·외화환산손익 0 가정 — 추정 구간 환율 효과는 조선사 환관련손익 행(공시 노출 × Δ기말환율)에만 둔다(이중 계상 방지)
[abs]</t>
      </text>
    </comment>
    <comment ref="AG13" authorId="0" shapeId="0">
      <text>
        <t>추정: 외환차손익·외화환산손익 0 가정 — 추정 구간 환율 효과는 조선사 환관련손익 행(공시 노출 × Δ기말환율)에만 둔다(이중 계상 방지)
[abs]</t>
      </text>
    </comment>
    <comment ref="AH13" authorId="0" shapeId="0">
      <text>
        <t>추정: 외환차손익·외화환산손익 0 가정 — 추정 구간 환율 효과는 조선사 환관련손익 행(공시 노출 × Δ기말환율)에만 둔다(이중 계상 방지)
[abs]</t>
      </text>
    </comment>
    <comment ref="AI13" authorId="0" shapeId="0">
      <text>
        <t>추정: 외환차손익·외화환산손익 0 가정 — 추정 구간 환율 효과는 조선사 환관련손익 행(공시 노출 × Δ기말환율)에만 둔다(이중 계상 방지)
[abs]</t>
      </text>
    </comment>
    <comment ref="AK13" authorId="0" shapeId="0">
      <text>
        <t>추정: 외환차손익·외화환산손익 0 가정 — 추정 구간 환율 효과는 조선사 환관련손익 행(공시 노출 × Δ기말환율)에만 둔다(이중 계상 방지)
[abs]</t>
      </text>
    </comment>
    <comment ref="AL13" authorId="0" shapeId="0">
      <text>
        <t>추정: 외환차손익·외화환산손익 0 가정 — 추정 구간 환율 효과는 조선사 환관련손익 행(공시 노출 × Δ기말환율)에만 둔다(이중 계상 방지)
[abs]</t>
      </text>
    </comment>
    <comment ref="AM13" authorId="0" shapeId="0">
      <text>
        <t>추정: 외환차손익·외화환산손익 0 가정 — 추정 구간 환율 효과는 조선사 환관련손익 행(공시 노출 × Δ기말환율)에만 둔다(이중 계상 방지)
[abs]</t>
      </text>
    </comment>
    <comment ref="AN13" authorId="0" shapeId="0">
      <text>
        <t>추정: 외환차손익·외화환산손익 0 가정 — 추정 구간 환율 효과는 조선사 환관련손익 행(공시 노출 × Δ기말환율)에만 둔다(이중 계상 방지)
[abs]</t>
      </text>
    </comment>
    <comment ref="G14" authorId="0" shapeId="0">
      <text>
        <t>BS 계정 합·차: +파생상품이익 -파생상품손실</t>
      </text>
    </comment>
    <comment ref="H14" authorId="0" shapeId="0">
      <text>
        <t>BS 계정 합·차: +파생상품이익 -파생상품손실</t>
      </text>
    </comment>
    <comment ref="I14" authorId="0" shapeId="0">
      <text>
        <t>BS 계정 합·차: +파생상품이익 -파생상품손실</t>
      </text>
    </comment>
    <comment ref="J14" authorId="0" shapeId="0">
      <text>
        <t>BS 계정 합·차: +파생상품이익 -파생상품손실</t>
      </text>
    </comment>
    <comment ref="L14" authorId="0" shapeId="0">
      <text>
        <t>BS 계정 합·차: +파생상품이익 -파생상품손실</t>
      </text>
    </comment>
    <comment ref="M14" authorId="0" shapeId="0">
      <text>
        <t>BS 계정 합·차: +파생상품이익 -파생상품손실</t>
      </text>
    </comment>
    <comment ref="N14" authorId="0" shapeId="0">
      <text>
        <t>BS 계정 합·차: +파생상품이익 -파생상품손실</t>
      </text>
    </comment>
    <comment ref="O14" authorId="0" shapeId="0">
      <text>
        <t>BS 계정 합·차: +파생상품이익 -파생상품손실</t>
      </text>
    </comment>
    <comment ref="Q14" authorId="0" shapeId="0">
      <text>
        <t>BS 계정 합·차: +파생상품이익 -파생상품손실</t>
      </text>
    </comment>
    <comment ref="R14" authorId="0" shapeId="0">
      <text>
        <t>BS 계정 합·차: +파생상품이익 -파생상품손실</t>
      </text>
    </comment>
    <comment ref="S14" authorId="0" shapeId="0">
      <text>
        <t>BS 계정 합·차: +파생상품이익 -파생상품손실</t>
      </text>
    </comment>
    <comment ref="T14" authorId="0" shapeId="0">
      <text>
        <t>BS 계정 합·차: +파생상품이익 -파생상품손실</t>
      </text>
    </comment>
    <comment ref="V14" authorId="0" shapeId="0">
      <text>
        <t>BS 계정 합·차: +파생상품이익 -파생상품손실</t>
      </text>
    </comment>
    <comment ref="W14" authorId="0" shapeId="0">
      <text>
        <t>BS 계정 합·차: +파생상품이익 -파생상품손실</t>
      </text>
    </comment>
    <comment ref="X14" authorId="0" shapeId="0">
      <text>
        <t>BS 계정 합·차: +파생상품이익 -파생상품손실</t>
      </text>
    </comment>
    <comment ref="Y14" authorId="0" shapeId="0">
      <text>
        <t>BS 계정 합·차: +파생상품이익 -파생상품손실</t>
      </text>
    </comment>
    <comment ref="AB14" authorId="0" shapeId="0">
      <text>
        <t>BS 계정 합·차: +파생상품이익 -파생상품손실</t>
      </text>
    </comment>
    <comment ref="AC14" authorId="0" shapeId="0">
      <text>
        <t>추정: 파생상품 평가·거래손익 0 가정
[abs]</t>
      </text>
    </comment>
    <comment ref="AD14" authorId="0" shapeId="0">
      <text>
        <t>추정: 파생상품 평가·거래손익 0 가정
[abs]</t>
      </text>
    </comment>
    <comment ref="AF14" authorId="0" shapeId="0">
      <text>
        <t>추정: 파생상품 평가·거래손익 0 가정
[abs]</t>
      </text>
    </comment>
    <comment ref="AG14" authorId="0" shapeId="0">
      <text>
        <t>추정: 파생상품 평가·거래손익 0 가정
[abs]</t>
      </text>
    </comment>
    <comment ref="AH14" authorId="0" shapeId="0">
      <text>
        <t>추정: 파생상품 평가·거래손익 0 가정
[abs]</t>
      </text>
    </comment>
    <comment ref="AI14" authorId="0" shapeId="0">
      <text>
        <t>추정: 파생상품 평가·거래손익 0 가정
[abs]</t>
      </text>
    </comment>
    <comment ref="AK14" authorId="0" shapeId="0">
      <text>
        <t>추정: 파생상품 평가·거래손익 0 가정
[abs]</t>
      </text>
    </comment>
    <comment ref="AL14" authorId="0" shapeId="0">
      <text>
        <t>추정: 파생상품 평가·거래손익 0 가정
[abs]</t>
      </text>
    </comment>
    <comment ref="AM14" authorId="0" shapeId="0">
      <text>
        <t>추정: 파생상품 평가·거래손익 0 가정
[abs]</t>
      </text>
    </comment>
    <comment ref="AN14" authorId="0" shapeId="0">
      <text>
        <t>추정: 파생상품 평가·거래손익 0 가정
[abs]</t>
      </text>
    </comment>
    <comment ref="AC15" authorId="0" shapeId="0">
      <text>
        <t>추정: 최근 4분기 중위 +11.05억이 이자손익 추정 -5.05억의 50% 초과 → 0(경고)
[abs]</t>
      </text>
    </comment>
    <comment ref="AD15" authorId="0" shapeId="0">
      <text>
        <t>추정: 최근 4분기 중위 +11.05억이 이자손익 추정 -5.05억의 50% 초과 → 0(경고)
[abs]</t>
      </text>
    </comment>
    <comment ref="AF15" authorId="0" shapeId="0">
      <text>
        <t>추정: 최근 4분기 중위 +11.05억이 이자손익 추정 -5.05억의 50% 초과 → 0(경고)
[abs]</t>
      </text>
    </comment>
    <comment ref="AG15" authorId="0" shapeId="0">
      <text>
        <t>추정: 최근 4분기 중위 +11.05억이 이자손익 추정 -5.05억의 50% 초과 → 0(경고)
[abs]</t>
      </text>
    </comment>
    <comment ref="AH15" authorId="0" shapeId="0">
      <text>
        <t>추정: 최근 4분기 중위 +11.05억이 이자손익 추정 -5.05억의 50% 초과 → 0(경고)
[abs]</t>
      </text>
    </comment>
    <comment ref="AI15" authorId="0" shapeId="0">
      <text>
        <t>추정: 최근 4분기 중위 +11.05억이 이자손익 추정 -5.05억의 50% 초과 → 0(경고)
[abs]</t>
      </text>
    </comment>
    <comment ref="AK15" authorId="0" shapeId="0">
      <text>
        <t>추정: 최근 4분기 중위 +11.05억이 이자손익 추정 -5.05억의 50% 초과 → 0(경고)
[abs]</t>
      </text>
    </comment>
    <comment ref="AL15" authorId="0" shapeId="0">
      <text>
        <t>추정: 최근 4분기 중위 +11.05억이 이자손익 추정 -5.05억의 50% 초과 → 0(경고)
[abs]</t>
      </text>
    </comment>
    <comment ref="AM15" authorId="0" shapeId="0">
      <text>
        <t>추정: 최근 4분기 중위 +11.05억이 이자손익 추정 -5.05억의 50% 초과 → 0(경고)
[abs]</t>
      </text>
    </comment>
    <comment ref="AN15" authorId="0" shapeId="0">
      <text>
        <t>추정: 최근 4분기 중위 +11.05억이 이자손익 추정 -5.05억의 50% 초과 → 0(경고)
[abs]</t>
      </text>
    </comment>
    <comment ref="AC16" authorId="0" shapeId="0">
      <text>
        <t>추정: 일회성 미가정 → 0
[abs]</t>
      </text>
    </comment>
    <comment ref="AD16" authorId="0" shapeId="0">
      <text>
        <t>추정: 일회성 미가정 → 0
[abs]</t>
      </text>
    </comment>
    <comment ref="AF16" authorId="0" shapeId="0">
      <text>
        <t>추정: 일회성 미가정 → 0
[abs]</t>
      </text>
    </comment>
    <comment ref="AG16" authorId="0" shapeId="0">
      <text>
        <t>추정: 일회성 미가정 → 0
[abs]</t>
      </text>
    </comment>
    <comment ref="AH16" authorId="0" shapeId="0">
      <text>
        <t>추정: 일회성 미가정 → 0
[abs]</t>
      </text>
    </comment>
    <comment ref="AI16" authorId="0" shapeId="0">
      <text>
        <t>추정: 일회성 미가정 → 0
[abs]</t>
      </text>
    </comment>
    <comment ref="AK16" authorId="0" shapeId="0">
      <text>
        <t>추정: 일회성 미가정 → 0
[abs]</t>
      </text>
    </comment>
    <comment ref="AL16" authorId="0" shapeId="0">
      <text>
        <t>추정: 일회성 미가정 → 0
[abs]</t>
      </text>
    </comment>
    <comment ref="AM16" authorId="0" shapeId="0">
      <text>
        <t>추정: 일회성 미가정 → 0
[abs]</t>
      </text>
    </comment>
    <comment ref="AN16" authorId="0" shapeId="0">
      <text>
        <t>추정: 일회성 미가정 → 0
[abs]</t>
      </text>
    </comment>
    <comment ref="AC17" authorId="0" shapeId="0">
      <text>
        <t>추정: 최근 4분기 중위
[abs]</t>
      </text>
    </comment>
    <comment ref="AD17" authorId="0" shapeId="0">
      <text>
        <t>추정: 최근 4분기 중위
[abs]</t>
      </text>
    </comment>
    <comment ref="AF17" authorId="0" shapeId="0">
      <text>
        <t>추정: 최근 4분기 중위
[abs]</t>
      </text>
    </comment>
    <comment ref="AG17" authorId="0" shapeId="0">
      <text>
        <t>추정: 최근 4분기 중위
[abs]</t>
      </text>
    </comment>
    <comment ref="AH17" authorId="0" shapeId="0">
      <text>
        <t>추정: 최근 4분기 중위
[abs]</t>
      </text>
    </comment>
    <comment ref="AI17" authorId="0" shapeId="0">
      <text>
        <t>추정: 최근 4분기 중위
[abs]</t>
      </text>
    </comment>
    <comment ref="AK17" authorId="0" shapeId="0">
      <text>
        <t>추정: 최근 4분기 중위
[abs]</t>
      </text>
    </comment>
    <comment ref="AL17" authorId="0" shapeId="0">
      <text>
        <t>추정: 최근 4분기 중위
[abs]</t>
      </text>
    </comment>
    <comment ref="AM17" authorId="0" shapeId="0">
      <text>
        <t>추정: 최근 4분기 중위
[abs]</t>
      </text>
    </comment>
    <comment ref="AN17" authorId="0" shapeId="0">
      <text>
        <t>추정: 최근 4분기 중위
[abs]</t>
      </text>
    </comment>
    <comment ref="AC18" authorId="0" shapeId="0">
      <text>
        <t>추정: 영업이익 + 금융손익 + 기타영업외 + 지분법 + 환관련(항등식)
[identity]</t>
      </text>
    </comment>
    <comment ref="AD18" authorId="0" shapeId="0">
      <text>
        <t>추정: 영업이익 + 금융손익 + 기타영업외 + 지분법 + 환관련(항등식)
[identity]</t>
      </text>
    </comment>
    <comment ref="AF18" authorId="0" shapeId="0">
      <text>
        <t>추정: 영업이익 + 금융손익 + 기타영업외 + 지분법 + 환관련(항등식)
[identity]</t>
      </text>
    </comment>
    <comment ref="AG18" authorId="0" shapeId="0">
      <text>
        <t>추정: 영업이익 + 금융손익 + 기타영업외 + 지분법 + 환관련(항등식)
[identity]</t>
      </text>
    </comment>
    <comment ref="AH18" authorId="0" shapeId="0">
      <text>
        <t>추정: 영업이익 + 금융손익 + 기타영업외 + 지분법 + 환관련(항등식)
[identity]</t>
      </text>
    </comment>
    <comment ref="AI18" authorId="0" shapeId="0">
      <text>
        <t>추정: 영업이익 + 금융손익 + 기타영업외 + 지분법 + 환관련(항등식)
[identity]</t>
      </text>
    </comment>
    <comment ref="AK18" authorId="0" shapeId="0">
      <text>
        <t>추정: 영업이익 + 금융손익 + 기타영업외 + 지분법 + 환관련(항등식)
[identity]</t>
      </text>
    </comment>
    <comment ref="AL18" authorId="0" shapeId="0">
      <text>
        <t>추정: 영업이익 + 금융손익 + 기타영업외 + 지분법 + 환관련(항등식)
[identity]</t>
      </text>
    </comment>
    <comment ref="AM18" authorId="0" shapeId="0">
      <text>
        <t>추정: 영업이익 + 금융손익 + 기타영업외 + 지분법 + 환관련(항등식)
[identity]</t>
      </text>
    </comment>
    <comment ref="AN18" authorId="0" shapeId="0">
      <text>
        <t>추정: 영업이익 + 금융손익 + 기타영업외 + 지분법 + 환관련(항등식)
[identity]</t>
      </text>
    </comment>
    <comment ref="AC19" authorId="0" shapeId="0">
      <text>
        <t>추정: max(세전, 0) × 세율 22.4%(최근 12분기 유효세율 22.4%(5~27% 안 — 그대로))
[tax]</t>
      </text>
    </comment>
    <comment ref="AD19" authorId="0" shapeId="0">
      <text>
        <t>추정: max(세전, 0) × 세율 22.4%(최근 12분기 유효세율 22.4%(5~27% 안 — 그대로))
[tax]</t>
      </text>
    </comment>
    <comment ref="AF19" authorId="0" shapeId="0">
      <text>
        <t>추정: max(세전, 0) × 세율 22.4%(최근 12분기 유효세율 22.4%(5~27% 안 — 그대로))
[tax]</t>
      </text>
    </comment>
    <comment ref="AG19" authorId="0" shapeId="0">
      <text>
        <t>추정: max(세전, 0) × 세율 22.4%(최근 12분기 유효세율 22.4%(5~27% 안 — 그대로))
[tax]</t>
      </text>
    </comment>
    <comment ref="AH19" authorId="0" shapeId="0">
      <text>
        <t>추정: max(세전, 0) × 세율 22.4%(최근 12분기 유효세율 22.4%(5~27% 안 — 그대로))
[tax]</t>
      </text>
    </comment>
    <comment ref="AI19" authorId="0" shapeId="0">
      <text>
        <t>추정: max(세전, 0) × 세율 22.4%(최근 12분기 유효세율 22.4%(5~27% 안 — 그대로))
[tax]</t>
      </text>
    </comment>
    <comment ref="AK19" authorId="0" shapeId="0">
      <text>
        <t>추정: max(세전, 0) × 세율 22.4%(최근 12분기 유효세율 22.4%(5~27% 안 — 그대로))
[tax]</t>
      </text>
    </comment>
    <comment ref="AL19" authorId="0" shapeId="0">
      <text>
        <t>추정: max(세전, 0) × 세율 22.4%(최근 12분기 유효세율 22.4%(5~27% 안 — 그대로))
[tax]</t>
      </text>
    </comment>
    <comment ref="AM19" authorId="0" shapeId="0">
      <text>
        <t>추정: max(세전, 0) × 세율 22.4%(최근 12분기 유효세율 22.4%(5~27% 안 — 그대로))
[tax]</t>
      </text>
    </comment>
    <comment ref="AN19" authorId="0" shapeId="0">
      <text>
        <t>추정: max(세전, 0) × 세율 22.4%(최근 12분기 유효세율 22.4%(5~27% 안 — 그대로))
[tax]</t>
      </text>
    </comment>
    <comment ref="AC20" authorId="0" shapeId="0">
      <text>
        <t>추정: 세전이익 − 법인세비용(항등식)
[identity]</t>
      </text>
    </comment>
    <comment ref="AD20" authorId="0" shapeId="0">
      <text>
        <t>추정: 세전이익 − 법인세비용(항등식)
[identity]</t>
      </text>
    </comment>
    <comment ref="AF20" authorId="0" shapeId="0">
      <text>
        <t>추정: 세전이익 − 법인세비용(항등식)
[identity]</t>
      </text>
    </comment>
    <comment ref="AG20" authorId="0" shapeId="0">
      <text>
        <t>추정: 세전이익 − 법인세비용(항등식)
[identity]</t>
      </text>
    </comment>
    <comment ref="AH20" authorId="0" shapeId="0">
      <text>
        <t>추정: 세전이익 − 법인세비용(항등식)
[identity]</t>
      </text>
    </comment>
    <comment ref="AI20" authorId="0" shapeId="0">
      <text>
        <t>추정: 세전이익 − 법인세비용(항등식)
[identity]</t>
      </text>
    </comment>
    <comment ref="AK20" authorId="0" shapeId="0">
      <text>
        <t>추정: 세전이익 − 법인세비용(항등식)
[identity]</t>
      </text>
    </comment>
    <comment ref="AL20" authorId="0" shapeId="0">
      <text>
        <t>추정: 세전이익 − 법인세비용(항등식)
[identity]</t>
      </text>
    </comment>
    <comment ref="AM20" authorId="0" shapeId="0">
      <text>
        <t>추정: 세전이익 − 법인세비용(항등식)
[identity]</t>
      </text>
    </comment>
    <comment ref="AN20" authorId="0" shapeId="0">
      <text>
        <t>추정: 세전이익 − 법인세비용(항등식)
[identity]</t>
      </text>
    </comment>
    <comment ref="AC21" authorId="0" shapeId="0">
      <text>
        <t>추정: 당기순이익 × (1 − 비지배 비중 0.0%, 최근 8분기 실측)
[ratio]</t>
      </text>
    </comment>
    <comment ref="AD21" authorId="0" shapeId="0">
      <text>
        <t>추정: 당기순이익 × (1 − 비지배 비중 0.0%, 최근 8분기 실측)
[ratio]</t>
      </text>
    </comment>
    <comment ref="AF21" authorId="0" shapeId="0">
      <text>
        <t>추정: 당기순이익 × (1 − 비지배 비중 0.0%, 최근 8분기 실측)
[ratio]</t>
      </text>
    </comment>
    <comment ref="AG21" authorId="0" shapeId="0">
      <text>
        <t>추정: 당기순이익 × (1 − 비지배 비중 0.0%, 최근 8분기 실측)
[ratio]</t>
      </text>
    </comment>
    <comment ref="AH21" authorId="0" shapeId="0">
      <text>
        <t>추정: 당기순이익 × (1 − 비지배 비중 0.0%, 최근 8분기 실측)
[ratio]</t>
      </text>
    </comment>
    <comment ref="AI21" authorId="0" shapeId="0">
      <text>
        <t>추정: 당기순이익 × (1 − 비지배 비중 0.0%, 최근 8분기 실측)
[ratio]</t>
      </text>
    </comment>
    <comment ref="AK21" authorId="0" shapeId="0">
      <text>
        <t>추정: 당기순이익 × (1 − 비지배 비중 0.0%, 최근 8분기 실측)
[ratio]</t>
      </text>
    </comment>
    <comment ref="AL21" authorId="0" shapeId="0">
      <text>
        <t>추정: 당기순이익 × (1 − 비지배 비중 0.0%, 최근 8분기 실측)
[ratio]</t>
      </text>
    </comment>
    <comment ref="AM21" authorId="0" shapeId="0">
      <text>
        <t>추정: 당기순이익 × (1 − 비지배 비중 0.0%, 최근 8분기 실측)
[ratio]</t>
      </text>
    </comment>
    <comment ref="AN21" authorId="0" shapeId="0">
      <text>
        <t>추정: 당기순이익 × (1 − 비지배 비중 0.0%, 최근 8분기 실측)
[ratio]</t>
      </text>
    </comment>
    <comment ref="AC22" authorId="0" shapeId="0">
      <text>
        <t>추정: 부채총계 + 자본총계(항등식)
[identity]</t>
      </text>
    </comment>
    <comment ref="AD22" authorId="0" shapeId="0">
      <text>
        <t>추정: 부채총계 + 자본총계(항등식)
[identity]</t>
      </text>
    </comment>
    <comment ref="AF22" authorId="0" shapeId="0">
      <text>
        <t>추정: 부채총계 + 자본총계(항등식)
[identity]</t>
      </text>
    </comment>
    <comment ref="AG22" authorId="0" shapeId="0">
      <text>
        <t>추정: 부채총계 + 자본총계(항등식)
[identity]</t>
      </text>
    </comment>
    <comment ref="AH22" authorId="0" shapeId="0">
      <text>
        <t>추정: 부채총계 + 자본총계(항등식)
[identity]</t>
      </text>
    </comment>
    <comment ref="AI22" authorId="0" shapeId="0">
      <text>
        <t>추정: 부채총계 + 자본총계(항등식)
[identity]</t>
      </text>
    </comment>
    <comment ref="AK22" authorId="0" shapeId="0">
      <text>
        <t>추정: 부채총계 + 자본총계(항등식)
[identity]</t>
      </text>
    </comment>
    <comment ref="AL22" authorId="0" shapeId="0">
      <text>
        <t>추정: 부채총계 + 자본총계(항등식)
[identity]</t>
      </text>
    </comment>
    <comment ref="AM22" authorId="0" shapeId="0">
      <text>
        <t>추정: 부채총계 + 자본총계(항등식)
[identity]</t>
      </text>
    </comment>
    <comment ref="AN22" authorId="0" shapeId="0">
      <text>
        <t>추정: 부채총계 + 자본총계(항등식)
[identity]</t>
      </text>
    </comment>
    <comment ref="AC23" authorId="0" shapeId="0">
      <text>
        <t>추정: 마지막 실적 유지(가정)
[qoq]</t>
      </text>
    </comment>
    <comment ref="AD23" authorId="0" shapeId="0">
      <text>
        <t>추정: 마지막 실적 유지(가정)
[qoq]</t>
      </text>
    </comment>
    <comment ref="AF23" authorId="0" shapeId="0">
      <text>
        <t>추정: 마지막 실적 유지(가정)
[qoq]</t>
      </text>
    </comment>
    <comment ref="AG23" authorId="0" shapeId="0">
      <text>
        <t>추정: 마지막 실적 유지(가정)
[qoq]</t>
      </text>
    </comment>
    <comment ref="AH23" authorId="0" shapeId="0">
      <text>
        <t>추정: 마지막 실적 유지(가정)
[qoq]</t>
      </text>
    </comment>
    <comment ref="AI23" authorId="0" shapeId="0">
      <text>
        <t>추정: 마지막 실적 유지(가정)
[qoq]</t>
      </text>
    </comment>
    <comment ref="AK23" authorId="0" shapeId="0">
      <text>
        <t>추정: 마지막 실적 유지(가정)
[qoq]</t>
      </text>
    </comment>
    <comment ref="AL23" authorId="0" shapeId="0">
      <text>
        <t>추정: 마지막 실적 유지(가정)
[qoq]</t>
      </text>
    </comment>
    <comment ref="AM23" authorId="0" shapeId="0">
      <text>
        <t>추정: 마지막 실적 유지(가정)
[qoq]</t>
      </text>
    </comment>
    <comment ref="AN23" authorId="0" shapeId="0">
      <text>
        <t>추정: 마지막 실적 유지(가정)
[qoq]</t>
      </text>
    </comment>
    <comment ref="AC24" authorId="0" shapeId="0">
      <text>
        <t>추정: 전분기 + 당기순이익 − 배당(Q2 지급 가정)
[roll]</t>
      </text>
    </comment>
    <comment ref="AD24" authorId="0" shapeId="0">
      <text>
        <t>추정: 전분기 + 당기순이익 − 배당(Q2 지급 가정)
[roll]</t>
      </text>
    </comment>
    <comment ref="AF24" authorId="0" shapeId="0">
      <text>
        <t>추정: 전분기 + 당기순이익 − 배당(Q2 지급 가정)
[roll]</t>
      </text>
    </comment>
    <comment ref="AG24" authorId="0" shapeId="0">
      <text>
        <t>추정: 전분기 + 당기순이익 − 배당(Q2 지급 가정)
[roll]</t>
      </text>
    </comment>
    <comment ref="AH24" authorId="0" shapeId="0">
      <text>
        <t>추정: 전분기 + 당기순이익 − 배당(Q2 지급 가정)
[roll]</t>
      </text>
    </comment>
    <comment ref="AI24" authorId="0" shapeId="0">
      <text>
        <t>추정: 전분기 + 당기순이익 − 배당(Q2 지급 가정)
[roll]</t>
      </text>
    </comment>
    <comment ref="AK24" authorId="0" shapeId="0">
      <text>
        <t>추정: 전분기 + 당기순이익 − 배당(Q2 지급 가정)
[roll]</t>
      </text>
    </comment>
    <comment ref="AL24" authorId="0" shapeId="0">
      <text>
        <t>추정: 전분기 + 당기순이익 − 배당(Q2 지급 가정)
[roll]</t>
      </text>
    </comment>
    <comment ref="AM24" authorId="0" shapeId="0">
      <text>
        <t>추정: 전분기 + 당기순이익 − 배당(Q2 지급 가정)
[roll]</t>
      </text>
    </comment>
    <comment ref="AN24" authorId="0" shapeId="0">
      <text>
        <t>추정: 전분기 + 당기순이익 − 배당(Q2 지급 가정)
[roll]</t>
      </text>
    </comment>
    <comment ref="AC25" authorId="0" shapeId="0">
      <text>
        <t>추정: 전분기 + 지배주주순이익 − 배당
[roll]</t>
      </text>
    </comment>
    <comment ref="AD25" authorId="0" shapeId="0">
      <text>
        <t>추정: 전분기 + 지배주주순이익 − 배당
[roll]</t>
      </text>
    </comment>
    <comment ref="AF25" authorId="0" shapeId="0">
      <text>
        <t>추정: 전분기 + 지배주주순이익 − 배당
[roll]</t>
      </text>
    </comment>
    <comment ref="AG25" authorId="0" shapeId="0">
      <text>
        <t>추정: 전분기 + 지배주주순이익 − 배당
[roll]</t>
      </text>
    </comment>
    <comment ref="AH25" authorId="0" shapeId="0">
      <text>
        <t>추정: 전분기 + 지배주주순이익 − 배당
[roll]</t>
      </text>
    </comment>
    <comment ref="AI25" authorId="0" shapeId="0">
      <text>
        <t>추정: 전분기 + 지배주주순이익 − 배당
[roll]</t>
      </text>
    </comment>
    <comment ref="AK25" authorId="0" shapeId="0">
      <text>
        <t>추정: 전분기 + 지배주주순이익 − 배당
[roll]</t>
      </text>
    </comment>
    <comment ref="AL25" authorId="0" shapeId="0">
      <text>
        <t>추정: 전분기 + 지배주주순이익 − 배당
[roll]</t>
      </text>
    </comment>
    <comment ref="AM25" authorId="0" shapeId="0">
      <text>
        <t>추정: 전분기 + 지배주주순이익 − 배당
[roll]</t>
      </text>
    </comment>
    <comment ref="AN25" authorId="0" shapeId="0">
      <text>
        <t>추정: 전분기 + 지배주주순이익 − 배당
[roll]</t>
      </text>
    </comment>
    <comment ref="AC26" authorId="0" shapeId="0">
      <text>
        <t>추정: 마지막 실적 유지(가정)
[qoq]</t>
      </text>
    </comment>
    <comment ref="AD26" authorId="0" shapeId="0">
      <text>
        <t>추정: 마지막 실적 유지(가정)
[qoq]</t>
      </text>
    </comment>
    <comment ref="AF26" authorId="0" shapeId="0">
      <text>
        <t>추정: 마지막 실적 유지(가정)
[qoq]</t>
      </text>
    </comment>
    <comment ref="AG26" authorId="0" shapeId="0">
      <text>
        <t>추정: 마지막 실적 유지(가정)
[qoq]</t>
      </text>
    </comment>
    <comment ref="AH26" authorId="0" shapeId="0">
      <text>
        <t>추정: 마지막 실적 유지(가정)
[qoq]</t>
      </text>
    </comment>
    <comment ref="AI26" authorId="0" shapeId="0">
      <text>
        <t>추정: 마지막 실적 유지(가정)
[qoq]</t>
      </text>
    </comment>
    <comment ref="AK26" authorId="0" shapeId="0">
      <text>
        <t>추정: 마지막 실적 유지(가정)
[qoq]</t>
      </text>
    </comment>
    <comment ref="AL26" authorId="0" shapeId="0">
      <text>
        <t>추정: 마지막 실적 유지(가정)
[qoq]</t>
      </text>
    </comment>
    <comment ref="AM26" authorId="0" shapeId="0">
      <text>
        <t>추정: 마지막 실적 유지(가정)
[qoq]</t>
      </text>
    </comment>
    <comment ref="AN26" authorId="0" shapeId="0">
      <text>
        <t>추정: 마지막 실적 유지(가정)
[qoq]</t>
      </text>
    </comment>
    <comment ref="AC27" authorId="0" shapeId="0">
      <text>
        <t>추정: 전분기 − FCF 근사[순이익 − 배당(감가상각비 없음 → CAPEX≈감가 가정, CAPEX 중위 44억은 행에만)] (운전자본 불변·총차입금 유지 가정 → 변동은 전부 현금)
[qoq]</t>
      </text>
    </comment>
    <comment ref="AD27" authorId="0" shapeId="0">
      <text>
        <t>추정: 전분기 − FCF 근사[순이익 − 배당(감가상각비 없음 → CAPEX≈감가 가정, CAPEX 중위 44억은 행에만)] (운전자본 불변·총차입금 유지 가정 → 변동은 전부 현금)
[qoq]</t>
      </text>
    </comment>
    <comment ref="AF27" authorId="0" shapeId="0">
      <text>
        <t>추정: 전분기 − FCF 근사[순이익 − 배당(감가상각비 없음 → CAPEX≈감가 가정, CAPEX 중위 44억은 행에만)] (운전자본 불변·총차입금 유지 가정 → 변동은 전부 현금)
[qoq]</t>
      </text>
    </comment>
    <comment ref="AG27" authorId="0" shapeId="0">
      <text>
        <t>추정: 전분기 − FCF 근사[순이익 − 배당(감가상각비 없음 → CAPEX≈감가 가정, CAPEX 중위 44억은 행에만)] (운전자본 불변·총차입금 유지 가정 → 변동은 전부 현금)
[qoq]</t>
      </text>
    </comment>
    <comment ref="AH27" authorId="0" shapeId="0">
      <text>
        <t>추정: 전분기 − FCF 근사[순이익 − 배당(감가상각비 없음 → CAPEX≈감가 가정, CAPEX 중위 44억은 행에만)] (운전자본 불변·총차입금 유지 가정 → 변동은 전부 현금)
[qoq]</t>
      </text>
    </comment>
    <comment ref="AI27" authorId="0" shapeId="0">
      <text>
        <t>추정: 전분기 − FCF 근사[순이익 − 배당(감가상각비 없음 → CAPEX≈감가 가정, CAPEX 중위 44억은 행에만)] (운전자본 불변·총차입금 유지 가정 → 변동은 전부 현금)
[qoq]</t>
      </text>
    </comment>
    <comment ref="AK27" authorId="0" shapeId="0">
      <text>
        <t>추정: 전분기 − FCF 근사[순이익 − 배당(감가상각비 없음 → CAPEX≈감가 가정, CAPEX 중위 44억은 행에만)] (운전자본 불변·총차입금 유지 가정 → 변동은 전부 현금)
[qoq]</t>
      </text>
    </comment>
    <comment ref="AL27" authorId="0" shapeId="0">
      <text>
        <t>추정: 전분기 − FCF 근사[순이익 − 배당(감가상각비 없음 → CAPEX≈감가 가정, CAPEX 중위 44억은 행에만)] (운전자본 불변·총차입금 유지 가정 → 변동은 전부 현금)
[qoq]</t>
      </text>
    </comment>
    <comment ref="AM27" authorId="0" shapeId="0">
      <text>
        <t>추정: 전분기 − FCF 근사[순이익 − 배당(감가상각비 없음 → CAPEX≈감가 가정, CAPEX 중위 44억은 행에만)] (운전자본 불변·총차입금 유지 가정 → 변동은 전부 현금)
[qoq]</t>
      </text>
    </comment>
    <comment ref="AN27" authorId="0" shapeId="0">
      <text>
        <t>추정: 전분기 − FCF 근사[순이익 − 배당(감가상각비 없음 → CAPEX≈감가 가정, CAPEX 중위 44억은 행에만)] (운전자본 불변·총차입금 유지 가정 → 변동은 전부 현금)
[qoq]</t>
      </text>
    </comment>
    <comment ref="AC28" authorId="0" shapeId="0">
      <text>
        <t>추정: 전분기 + FCF 근사 — 순차입금 롤과 같은 가정
[qoq]</t>
      </text>
    </comment>
    <comment ref="AD28" authorId="0" shapeId="0">
      <text>
        <t>추정: 전분기 + FCF 근사 — 순차입금 롤과 같은 가정
[qoq]</t>
      </text>
    </comment>
    <comment ref="AF28" authorId="0" shapeId="0">
      <text>
        <t>추정: 전분기 + FCF 근사 — 순차입금 롤과 같은 가정
[qoq]</t>
      </text>
    </comment>
    <comment ref="AG28" authorId="0" shapeId="0">
      <text>
        <t>추정: 전분기 + FCF 근사 — 순차입금 롤과 같은 가정
[qoq]</t>
      </text>
    </comment>
    <comment ref="AH28" authorId="0" shapeId="0">
      <text>
        <t>추정: 전분기 + FCF 근사 — 순차입금 롤과 같은 가정
[qoq]</t>
      </text>
    </comment>
    <comment ref="AI28" authorId="0" shapeId="0">
      <text>
        <t>추정: 전분기 + FCF 근사 — 순차입금 롤과 같은 가정
[qoq]</t>
      </text>
    </comment>
    <comment ref="AK28" authorId="0" shapeId="0">
      <text>
        <t>추정: 전분기 + FCF 근사 — 순차입금 롤과 같은 가정
[qoq]</t>
      </text>
    </comment>
    <comment ref="AL28" authorId="0" shapeId="0">
      <text>
        <t>추정: 전분기 + FCF 근사 — 순차입금 롤과 같은 가정
[qoq]</t>
      </text>
    </comment>
    <comment ref="AM28" authorId="0" shapeId="0">
      <text>
        <t>추정: 전분기 + FCF 근사 — 순차입금 롤과 같은 가정
[qoq]</t>
      </text>
    </comment>
    <comment ref="AN28" authorId="0" shapeId="0">
      <text>
        <t>추정: 전분기 + FCF 근사 — 순차입금 롤과 같은 가정
[qoq]</t>
      </text>
    </comment>
    <comment ref="AC30" authorId="0" shapeId="0">
      <text>
        <t>추정: 최근 4분기(2025Q3~2026Q2) CAPEX 중위 유지 — 순차입금 롤에 미반영(감가상각비 없음 → CAPEX≈감가 가정)
[yoy]</t>
      </text>
    </comment>
    <comment ref="AD30" authorId="0" shapeId="0">
      <text>
        <t>추정: 최근 4분기(2025Q3~2026Q2) CAPEX 중위 유지 — 순차입금 롤에 미반영(감가상각비 없음 → CAPEX≈감가 가정)
[yoy]</t>
      </text>
    </comment>
    <comment ref="AF30" authorId="0" shapeId="0">
      <text>
        <t>추정: 최근 4분기(2025Q3~2026Q2) CAPEX 중위 유지 — 순차입금 롤에 미반영(감가상각비 없음 → CAPEX≈감가 가정)
[yoy]</t>
      </text>
    </comment>
    <comment ref="AG30" authorId="0" shapeId="0">
      <text>
        <t>추정: 최근 4분기(2025Q3~2026Q2) CAPEX 중위 유지 — 순차입금 롤에 미반영(감가상각비 없음 → CAPEX≈감가 가정)
[yoy]</t>
      </text>
    </comment>
    <comment ref="AH30" authorId="0" shapeId="0">
      <text>
        <t>추정: 최근 4분기(2025Q3~2026Q2) CAPEX 중위 유지 — 순차입금 롤에 미반영(감가상각비 없음 → CAPEX≈감가 가정)
[yoy]</t>
      </text>
    </comment>
    <comment ref="AI30" authorId="0" shapeId="0">
      <text>
        <t>추정: 최근 4분기(2025Q3~2026Q2) CAPEX 중위 유지 — 순차입금 롤에 미반영(감가상각비 없음 → CAPEX≈감가 가정)
[yoy]</t>
      </text>
    </comment>
    <comment ref="AK30" authorId="0" shapeId="0">
      <text>
        <t>추정: 최근 4분기(2025Q3~2026Q2) CAPEX 중위 유지 — 순차입금 롤에 미반영(감가상각비 없음 → CAPEX≈감가 가정)
[yoy]</t>
      </text>
    </comment>
    <comment ref="AL30" authorId="0" shapeId="0">
      <text>
        <t>추정: 최근 4분기(2025Q3~2026Q2) CAPEX 중위 유지 — 순차입금 롤에 미반영(감가상각비 없음 → CAPEX≈감가 가정)
[yoy]</t>
      </text>
    </comment>
    <comment ref="AM30" authorId="0" shapeId="0">
      <text>
        <t>추정: 최근 4분기(2025Q3~2026Q2) CAPEX 중위 유지 — 순차입금 롤에 미반영(감가상각비 없음 → CAPEX≈감가 가정)
[yoy]</t>
      </text>
    </comment>
    <comment ref="AN30" authorId="0" shapeId="0">
      <text>
        <t>추정: 최근 4분기(2025Q3~2026Q2) CAPEX 중위 유지 — 순차입금 롤에 미반영(감가상각비 없음 → CAPEX≈감가 가정)
[yoy]</t>
      </text>
    </comment>
    <comment ref="E32" authorId="0" shapeId="0">
      <text>
        <t>실측(계정 매핑 없음(파생·부문·시세 행) — 모델값 직접) — fin.shares.common_outstanding</t>
      </text>
    </comment>
    <comment ref="G32" authorId="0" shapeId="0">
      <text>
        <t>실측(계정 매핑 없음(파생·부문·시세 행) — 모델값 직접) — fin.shares.common_outstanding</t>
      </text>
    </comment>
    <comment ref="H32" authorId="0" shapeId="0">
      <text>
        <t>실측(계정 매핑 없음(파생·부문·시세 행) — 모델값 직접) — fin.shares.common_outstanding</t>
      </text>
    </comment>
    <comment ref="I32" authorId="0" shapeId="0">
      <text>
        <t>실측(계정 매핑 없음(파생·부문·시세 행) — 모델값 직접) — fin.shares.common_outstanding</t>
      </text>
    </comment>
    <comment ref="J32" authorId="0" shapeId="0">
      <text>
        <t>실측(계정 매핑 없음(파생·부문·시세 행) — 모델값 직접) — fin.shares.common_outstanding</t>
      </text>
    </comment>
    <comment ref="L32" authorId="0" shapeId="0">
      <text>
        <t>실측(계정 매핑 없음(파생·부문·시세 행) — 모델값 직접) — fin.shares.common_outstanding</t>
      </text>
    </comment>
    <comment ref="M32" authorId="0" shapeId="0">
      <text>
        <t>실측(계정 매핑 없음(파생·부문·시세 행) — 모델값 직접) — fin.shares.common_outstanding</t>
      </text>
    </comment>
    <comment ref="N32" authorId="0" shapeId="0">
      <text>
        <t>실측(계정 매핑 없음(파생·부문·시세 행) — 모델값 직접) — fin.shares.common_outstanding</t>
      </text>
    </comment>
    <comment ref="O32" authorId="0" shapeId="0">
      <text>
        <t>실측(계정 매핑 없음(파생·부문·시세 행) — 모델값 직접) — fin.shares.common_outstanding</t>
      </text>
    </comment>
    <comment ref="Q32" authorId="0" shapeId="0">
      <text>
        <t>실측(계정 매핑 없음(파생·부문·시세 행) — 모델값 직접) — fin.shares.common_outstanding</t>
      </text>
    </comment>
    <comment ref="R32" authorId="0" shapeId="0">
      <text>
        <t>실측(계정 매핑 없음(파생·부문·시세 행) — 모델값 직접) — fin.shares.common_outstanding</t>
      </text>
    </comment>
    <comment ref="S32" authorId="0" shapeId="0">
      <text>
        <t>실측(계정 매핑 없음(파생·부문·시세 행) — 모델값 직접) — fin.shares.common_outstanding</t>
      </text>
    </comment>
    <comment ref="T32" authorId="0" shapeId="0">
      <text>
        <t>실측(계정 매핑 없음(파생·부문·시세 행) — 모델값 직접) — fin.shares.common_outstanding</t>
      </text>
    </comment>
    <comment ref="V32" authorId="0" shapeId="0">
      <text>
        <t>실측(계정 매핑 없음(파생·부문·시세 행) — 모델값 직접) — fin.shares.common_outstanding</t>
      </text>
    </comment>
    <comment ref="W32" authorId="0" shapeId="0">
      <text>
        <t>실측(계정 매핑 없음(파생·부문·시세 행) — 모델값 직접) — fin.shares.common_outstanding</t>
      </text>
    </comment>
    <comment ref="X32" authorId="0" shapeId="0">
      <text>
        <t>실측(계정 매핑 없음(파생·부문·시세 행) — 모델값 직접) — fin.shares.common_outstanding</t>
      </text>
    </comment>
    <comment ref="Y32" authorId="0" shapeId="0">
      <text>
        <t>실측(계정 매핑 없음(파생·부문·시세 행) — 모델값 직접) — fin.shares.common_outstanding</t>
      </text>
    </comment>
    <comment ref="AA32" authorId="0" shapeId="0">
      <text>
        <t>실측(계정 매핑 없음(파생·부문·시세 행) — 모델값 직접) — fin.shares.common_outstanding</t>
      </text>
    </comment>
    <comment ref="AB32" authorId="0" shapeId="0">
      <text>
        <t>실측(계정 매핑 없음(파생·부문·시세 행) — 모델값 직접) — fin.shares.common_outstanding</t>
      </text>
    </comment>
    <comment ref="AC32" authorId="0" shapeId="0">
      <text>
        <t>추정: 유통주식수 유지 — fin.shares.common_outstanding(2026Q2)
[qoq]</t>
      </text>
    </comment>
    <comment ref="AD32" authorId="0" shapeId="0">
      <text>
        <t>추정: 유통주식수 유지 — fin.shares.common_outstanding(2026Q2)
[qoq]</t>
      </text>
    </comment>
    <comment ref="AF32" authorId="0" shapeId="0">
      <text>
        <t>추정: 유통주식수 유지 — fin.shares.common_outstanding(2026Q2)
[qoq]</t>
      </text>
    </comment>
    <comment ref="AG32" authorId="0" shapeId="0">
      <text>
        <t>추정: 유통주식수 유지 — fin.shares.common_outstanding(2026Q2)
[qoq]</t>
      </text>
    </comment>
    <comment ref="AH32" authorId="0" shapeId="0">
      <text>
        <t>추정: 유통주식수 유지 — fin.shares.common_outstanding(2026Q2)
[qoq]</t>
      </text>
    </comment>
    <comment ref="AI32" authorId="0" shapeId="0">
      <text>
        <t>추정: 유통주식수 유지 — fin.shares.common_outstanding(2026Q2)
[qoq]</t>
      </text>
    </comment>
    <comment ref="AK32" authorId="0" shapeId="0">
      <text>
        <t>추정: 유통주식수 유지 — fin.shares.common_outstanding(2026Q2)
[qoq]</t>
      </text>
    </comment>
    <comment ref="AL32" authorId="0" shapeId="0">
      <text>
        <t>추정: 유통주식수 유지 — fin.shares.common_outstanding(2026Q2)
[qoq]</t>
      </text>
    </comment>
    <comment ref="AM32" authorId="0" shapeId="0">
      <text>
        <t>추정: 유통주식수 유지 — fin.shares.common_outstanding(2026Q2)
[qoq]</t>
      </text>
    </comment>
    <comment ref="AN32" authorId="0" shapeId="0">
      <text>
        <t>추정: 유통주식수 유지 — fin.shares.common_outstanding(2026Q2)
[qoq]</t>
      </text>
    </comment>
    <comment ref="AC33" authorId="0" shapeId="0">
      <text>
        <t>추정: 지배주주순이익 ÷ 유통주식수
[per_share]</t>
      </text>
    </comment>
    <comment ref="AD33" authorId="0" shapeId="0">
      <text>
        <t>추정: 지배주주순이익 ÷ 유통주식수
[per_share]</t>
      </text>
    </comment>
    <comment ref="AF33" authorId="0" shapeId="0">
      <text>
        <t>추정: 지배주주순이익 ÷ 유통주식수
[per_share]</t>
      </text>
    </comment>
    <comment ref="AG33" authorId="0" shapeId="0">
      <text>
        <t>추정: 지배주주순이익 ÷ 유통주식수
[per_share]</t>
      </text>
    </comment>
    <comment ref="AH33" authorId="0" shapeId="0">
      <text>
        <t>추정: 지배주주순이익 ÷ 유통주식수
[per_share]</t>
      </text>
    </comment>
    <comment ref="AI33" authorId="0" shapeId="0">
      <text>
        <t>추정: 지배주주순이익 ÷ 유통주식수
[per_share]</t>
      </text>
    </comment>
    <comment ref="AK33" authorId="0" shapeId="0">
      <text>
        <t>추정: 지배주주순이익 ÷ 유통주식수
[per_share]</t>
      </text>
    </comment>
    <comment ref="AL33" authorId="0" shapeId="0">
      <text>
        <t>추정: 지배주주순이익 ÷ 유통주식수
[per_share]</t>
      </text>
    </comment>
    <comment ref="AM33" authorId="0" shapeId="0">
      <text>
        <t>추정: 지배주주순이익 ÷ 유통주식수
[per_share]</t>
      </text>
    </comment>
    <comment ref="AN33" authorId="0" shapeId="0">
      <text>
        <t>추정: 지배주주순이익 ÷ 유통주식수
[per_share]</t>
      </text>
    </comment>
    <comment ref="AC34" authorId="0" shapeId="0">
      <text>
        <t>추정: 지배주주지분 ÷ 유통주식수
[per_share]</t>
      </text>
    </comment>
    <comment ref="AD34" authorId="0" shapeId="0">
      <text>
        <t>추정: 지배주주지분 ÷ 유통주식수
[per_share]</t>
      </text>
    </comment>
    <comment ref="AF34" authorId="0" shapeId="0">
      <text>
        <t>추정: 지배주주지분 ÷ 유통주식수
[per_share]</t>
      </text>
    </comment>
    <comment ref="AG34" authorId="0" shapeId="0">
      <text>
        <t>추정: 지배주주지분 ÷ 유통주식수
[per_share]</t>
      </text>
    </comment>
    <comment ref="AH34" authorId="0" shapeId="0">
      <text>
        <t>추정: 지배주주지분 ÷ 유통주식수
[per_share]</t>
      </text>
    </comment>
    <comment ref="AI34" authorId="0" shapeId="0">
      <text>
        <t>추정: 지배주주지분 ÷ 유통주식수
[per_share]</t>
      </text>
    </comment>
    <comment ref="AK34" authorId="0" shapeId="0">
      <text>
        <t>추정: 지배주주지분 ÷ 유통주식수
[per_share]</t>
      </text>
    </comment>
    <comment ref="AL34" authorId="0" shapeId="0">
      <text>
        <t>추정: 지배주주지분 ÷ 유통주식수
[per_share]</t>
      </text>
    </comment>
    <comment ref="AM34" authorId="0" shapeId="0">
      <text>
        <t>추정: 지배주주지분 ÷ 유통주식수
[per_share]</t>
      </text>
    </comment>
    <comment ref="AN34" authorId="0" shapeId="0">
      <text>
        <t>추정: 지배주주지분 ÷ 유통주식수
[per_share]</t>
      </text>
    </comment>
    <comment ref="E35" authorId="0" shapeId="0">
      <text>
        <t>실측(계정 매핑 없음(파생·부문·시세 행) — 모델값 직접) — fin.dividend.dps_common(연간, Q4 에 표기)</t>
      </text>
    </comment>
    <comment ref="F35" authorId="0" shapeId="0">
      <text>
        <t>연간(actual) — 분기 미완 연도, 모델 a 값 직접</t>
      </text>
    </comment>
    <comment ref="J35" authorId="0" shapeId="0">
      <text>
        <t>실측(계정 매핑 없음(파생·부문·시세 행) — 모델값 직접) — fin.dividend.dps_common(연간, Q4 에 표기)</t>
      </text>
    </comment>
    <comment ref="O35" authorId="0" shapeId="0">
      <text>
        <t>실측(계정 매핑 없음(파생·부문·시세 행) — 모델값 직접) — fin.dividend.dps_common(연간, Q4 에 표기)</t>
      </text>
    </comment>
    <comment ref="T35" authorId="0" shapeId="0">
      <text>
        <t>실측(계정 매핑 없음(파생·부문·시세 행) — 모델값 직접) — fin.dividend.dps_common(연간, Q4 에 표기)</t>
      </text>
    </comment>
    <comment ref="Y35" authorId="0" shapeId="0">
      <text>
        <t>실측(계정 매핑 없음(파생·부문·시세 행) — 모델값 직접) — fin.dividend.dps_common(연간, Q4 에 표기)</t>
      </text>
    </comment>
    <comment ref="AD35" authorId="0" shapeId="0">
      <text>
        <t>추정: 직전 결산 DPS 250원 유지
[abs]</t>
      </text>
    </comment>
    <comment ref="AI35" authorId="0" shapeId="0">
      <text>
        <t>추정: 직전 결산 DPS 250원 유지
[abs]</t>
      </text>
    </comment>
    <comment ref="AN35" authorId="0" shapeId="0">
      <text>
        <t>추정: 직전 결산 DPS 250원 유지
[abs]</t>
      </text>
    </comment>
    <comment ref="AC36" authorId="0" shapeId="0">
      <text>
        <t>추정: 현재 종가 ÷ TTM EPS(추정 포함)
[valuation]</t>
      </text>
    </comment>
    <comment ref="AD36" authorId="0" shapeId="0">
      <text>
        <t>추정: 현재 종가 ÷ TTM EPS(추정 포함)
[valuation]</t>
      </text>
    </comment>
    <comment ref="AF36" authorId="0" shapeId="0">
      <text>
        <t>추정: 현재 종가 ÷ TTM EPS(추정 포함)
[valuation]</t>
      </text>
    </comment>
    <comment ref="AG36" authorId="0" shapeId="0">
      <text>
        <t>추정: 현재 종가 ÷ TTM EPS(추정 포함)
[valuation]</t>
      </text>
    </comment>
    <comment ref="AH36" authorId="0" shapeId="0">
      <text>
        <t>추정: 현재 종가 ÷ TTM EPS(추정 포함)
[valuation]</t>
      </text>
    </comment>
    <comment ref="AI36" authorId="0" shapeId="0">
      <text>
        <t>추정: 현재 종가 ÷ TTM EPS(추정 포함)
[valuation]</t>
      </text>
    </comment>
    <comment ref="AK36" authorId="0" shapeId="0">
      <text>
        <t>추정: 현재 종가 ÷ TTM EPS(추정 포함)
[valuation]</t>
      </text>
    </comment>
    <comment ref="AL36" authorId="0" shapeId="0">
      <text>
        <t>추정: 현재 종가 ÷ TTM EPS(추정 포함)
[valuation]</t>
      </text>
    </comment>
    <comment ref="AM36" authorId="0" shapeId="0">
      <text>
        <t>추정: 현재 종가 ÷ TTM EPS(추정 포함)
[valuation]</t>
      </text>
    </comment>
    <comment ref="AN36" authorId="0" shapeId="0">
      <text>
        <t>추정: 현재 종가 ÷ TTM EPS(추정 포함)
[valuation]</t>
      </text>
    </comment>
    <comment ref="AC37" authorId="0" shapeId="0">
      <text>
        <t>추정: 현재 종가 ÷ BPS(추정 포함)
[valuation]</t>
      </text>
    </comment>
    <comment ref="AD37" authorId="0" shapeId="0">
      <text>
        <t>추정: 현재 종가 ÷ BPS(추정 포함)
[valuation]</t>
      </text>
    </comment>
    <comment ref="AF37" authorId="0" shapeId="0">
      <text>
        <t>추정: 현재 종가 ÷ BPS(추정 포함)
[valuation]</t>
      </text>
    </comment>
    <comment ref="AG37" authorId="0" shapeId="0">
      <text>
        <t>추정: 현재 종가 ÷ BPS(추정 포함)
[valuation]</t>
      </text>
    </comment>
    <comment ref="AH37" authorId="0" shapeId="0">
      <text>
        <t>추정: 현재 종가 ÷ BPS(추정 포함)
[valuation]</t>
      </text>
    </comment>
    <comment ref="AI37" authorId="0" shapeId="0">
      <text>
        <t>추정: 현재 종가 ÷ BPS(추정 포함)
[valuation]</t>
      </text>
    </comment>
    <comment ref="AK37" authorId="0" shapeId="0">
      <text>
        <t>추정: 현재 종가 ÷ BPS(추정 포함)
[valuation]</t>
      </text>
    </comment>
    <comment ref="AL37" authorId="0" shapeId="0">
      <text>
        <t>추정: 현재 종가 ÷ BPS(추정 포함)
[valuation]</t>
      </text>
    </comment>
    <comment ref="AM37" authorId="0" shapeId="0">
      <text>
        <t>추정: 현재 종가 ÷ BPS(추정 포함)
[valuation]</t>
      </text>
    </comment>
    <comment ref="AN37" authorId="0" shapeId="0">
      <text>
        <t>추정: 현재 종가 ÷ BPS(추정 포함)
[valuation]</t>
      </text>
    </comment>
    <comment ref="E38" authorId="0" shapeId="0">
      <text>
        <t>실측(계정 매핑 없음(파생·부문·시세 행) — 모델값 직접) — = 매출액(부문 미분리)</t>
      </text>
    </comment>
    <comment ref="G38" authorId="0" shapeId="0">
      <text>
        <t>실측(계정 매핑 없음(파생·부문·시세 행) — 모델값 직접) — = 매출액(부문 미분리)</t>
      </text>
    </comment>
    <comment ref="H38" authorId="0" shapeId="0">
      <text>
        <t>실측(계정 매핑 없음(파생·부문·시세 행) — 모델값 직접) — = 매출액(부문 미분리)</t>
      </text>
    </comment>
    <comment ref="I38" authorId="0" shapeId="0">
      <text>
        <t>실측(계정 매핑 없음(파생·부문·시세 행) — 모델값 직접) — = 매출액(부문 미분리)</t>
      </text>
    </comment>
    <comment ref="J38" authorId="0" shapeId="0">
      <text>
        <t>실측(계정 매핑 없음(파생·부문·시세 행) — 모델값 직접) — = 매출액(부문 미분리)</t>
      </text>
    </comment>
    <comment ref="L38" authorId="0" shapeId="0">
      <text>
        <t>실측(계정 매핑 없음(파생·부문·시세 행) — 모델값 직접) — = 매출액(부문 미분리)</t>
      </text>
    </comment>
    <comment ref="M38" authorId="0" shapeId="0">
      <text>
        <t>실측(계정 매핑 없음(파생·부문·시세 행) — 모델값 직접) — = 매출액(부문 미분리)</t>
      </text>
    </comment>
    <comment ref="N38" authorId="0" shapeId="0">
      <text>
        <t>실측(계정 매핑 없음(파생·부문·시세 행) — 모델값 직접) — = 매출액(부문 미분리)</t>
      </text>
    </comment>
    <comment ref="O38" authorId="0" shapeId="0">
      <text>
        <t>실측(계정 매핑 없음(파생·부문·시세 행) — 모델값 직접) — = 매출액(부문 미분리)</t>
      </text>
    </comment>
    <comment ref="Q38" authorId="0" shapeId="0">
      <text>
        <t>실측(계정 매핑 없음(파생·부문·시세 행) — 모델값 직접) — = 매출액(부문 미분리)</t>
      </text>
    </comment>
    <comment ref="R38" authorId="0" shapeId="0">
      <text>
        <t>실측(계정 매핑 없음(파생·부문·시세 행) — 모델값 직접) — = 매출액(부문 미분리)</t>
      </text>
    </comment>
    <comment ref="S38" authorId="0" shapeId="0">
      <text>
        <t>실측(계정 매핑 없음(파생·부문·시세 행) — 모델값 직접) — = 매출액(부문 미분리)</t>
      </text>
    </comment>
    <comment ref="T38" authorId="0" shapeId="0">
      <text>
        <t>실측(계정 매핑 없음(파생·부문·시세 행) — 모델값 직접) — = 매출액(부문 미분리)</t>
      </text>
    </comment>
    <comment ref="V38" authorId="0" shapeId="0">
      <text>
        <t>실측(계정 매핑 없음(파생·부문·시세 행) — 모델값 직접) — = 매출액(부문 미분리)</t>
      </text>
    </comment>
    <comment ref="W38" authorId="0" shapeId="0">
      <text>
        <t>실측(계정 매핑 없음(파생·부문·시세 행) — 모델값 직접) — = 매출액(부문 미분리)</t>
      </text>
    </comment>
    <comment ref="X38" authorId="0" shapeId="0">
      <text>
        <t>실측(계정 매핑 없음(파생·부문·시세 행) — 모델값 직접) — = 매출액(부문 미분리)</t>
      </text>
    </comment>
    <comment ref="Y38" authorId="0" shapeId="0">
      <text>
        <t>실측(계정 매핑 없음(파생·부문·시세 행) — 모델값 직접) — = 매출액(부문 미분리)</t>
      </text>
    </comment>
    <comment ref="AA38" authorId="0" shapeId="0">
      <text>
        <t>실측(계정 매핑 없음(파생·부문·시세 행) — 모델값 직접) — = 매출액(부문 미분리)</t>
      </text>
    </comment>
    <comment ref="AB38" authorId="0" shapeId="0">
      <text>
        <t>실측(계정 매핑 없음(파생·부문·시세 행) — 모델값 직접) — = 매출액(부문 미분리)</t>
      </text>
    </comment>
    <comment ref="AC38" authorId="0" shapeId="0">
      <text>
        <t>추정: = 매출액 추정(부문 미분리)
[identity]</t>
      </text>
    </comment>
    <comment ref="AD38" authorId="0" shapeId="0">
      <text>
        <t>추정: = 매출액 추정(부문 미분리)
[identity]</t>
      </text>
    </comment>
    <comment ref="AF38" authorId="0" shapeId="0">
      <text>
        <t>추정: = 매출액 추정(부문 미분리)
[identity]</t>
      </text>
    </comment>
    <comment ref="AG38" authorId="0" shapeId="0">
      <text>
        <t>추정: = 매출액 추정(부문 미분리)
[identity]</t>
      </text>
    </comment>
    <comment ref="AH38" authorId="0" shapeId="0">
      <text>
        <t>추정: = 매출액 추정(부문 미분리)
[identity]</t>
      </text>
    </comment>
    <comment ref="AI38" authorId="0" shapeId="0">
      <text>
        <t>추정: = 매출액 추정(부문 미분리)
[identity]</t>
      </text>
    </comment>
    <comment ref="AK38" authorId="0" shapeId="0">
      <text>
        <t>추정: = 매출액 추정(부문 미분리)
[identity]</t>
      </text>
    </comment>
    <comment ref="AL38" authorId="0" shapeId="0">
      <text>
        <t>추정: = 매출액 추정(부문 미분리)
[identity]</t>
      </text>
    </comment>
    <comment ref="AM38" authorId="0" shapeId="0">
      <text>
        <t>추정: = 매출액 추정(부문 미분리)
[identity]</t>
      </text>
    </comment>
    <comment ref="AN38" authorId="0" shapeId="0">
      <text>
        <t>추정: = 매출액 추정(부문 미분리)
[identity]</t>
      </text>
    </comment>
    <comment ref="E39" authorId="0" shapeId="0">
      <text>
        <t>실측(계정 매핑 없음(파생·부문·시세 행) — 모델값 직접) — = 영업이익(부문 미분리)</t>
      </text>
    </comment>
    <comment ref="G39" authorId="0" shapeId="0">
      <text>
        <t>실측(계정 매핑 없음(파생·부문·시세 행) — 모델값 직접) — = 영업이익(부문 미분리)</t>
      </text>
    </comment>
    <comment ref="H39" authorId="0" shapeId="0">
      <text>
        <t>실측(계정 매핑 없음(파생·부문·시세 행) — 모델값 직접) — = 영업이익(부문 미분리)</t>
      </text>
    </comment>
    <comment ref="I39" authorId="0" shapeId="0">
      <text>
        <t>실측(계정 매핑 없음(파생·부문·시세 행) — 모델값 직접) — = 영업이익(부문 미분리)</t>
      </text>
    </comment>
    <comment ref="J39" authorId="0" shapeId="0">
      <text>
        <t>실측(계정 매핑 없음(파생·부문·시세 행) — 모델값 직접) — = 영업이익(부문 미분리)</t>
      </text>
    </comment>
    <comment ref="L39" authorId="0" shapeId="0">
      <text>
        <t>실측(계정 매핑 없음(파생·부문·시세 행) — 모델값 직접) — = 영업이익(부문 미분리)</t>
      </text>
    </comment>
    <comment ref="M39" authorId="0" shapeId="0">
      <text>
        <t>실측(계정 매핑 없음(파생·부문·시세 행) — 모델값 직접) — = 영업이익(부문 미분리)</t>
      </text>
    </comment>
    <comment ref="N39" authorId="0" shapeId="0">
      <text>
        <t>실측(계정 매핑 없음(파생·부문·시세 행) — 모델값 직접) — = 영업이익(부문 미분리)</t>
      </text>
    </comment>
    <comment ref="O39" authorId="0" shapeId="0">
      <text>
        <t>실측(계정 매핑 없음(파생·부문·시세 행) — 모델값 직접) — = 영업이익(부문 미분리)</t>
      </text>
    </comment>
    <comment ref="Q39" authorId="0" shapeId="0">
      <text>
        <t>실측(계정 매핑 없음(파생·부문·시세 행) — 모델값 직접) — = 영업이익(부문 미분리)</t>
      </text>
    </comment>
    <comment ref="R39" authorId="0" shapeId="0">
      <text>
        <t>실측(계정 매핑 없음(파생·부문·시세 행) — 모델값 직접) — = 영업이익(부문 미분리)</t>
      </text>
    </comment>
    <comment ref="S39" authorId="0" shapeId="0">
      <text>
        <t>실측(계정 매핑 없음(파생·부문·시세 행) — 모델값 직접) — = 영업이익(부문 미분리)</t>
      </text>
    </comment>
    <comment ref="T39" authorId="0" shapeId="0">
      <text>
        <t>실측(계정 매핑 없음(파생·부문·시세 행) — 모델값 직접) — = 영업이익(부문 미분리)</t>
      </text>
    </comment>
    <comment ref="V39" authorId="0" shapeId="0">
      <text>
        <t>실측(계정 매핑 없음(파생·부문·시세 행) — 모델값 직접) — = 영업이익(부문 미분리)</t>
      </text>
    </comment>
    <comment ref="W39" authorId="0" shapeId="0">
      <text>
        <t>실측(계정 매핑 없음(파생·부문·시세 행) — 모델값 직접) — = 영업이익(부문 미분리)</t>
      </text>
    </comment>
    <comment ref="X39" authorId="0" shapeId="0">
      <text>
        <t>실측(계정 매핑 없음(파생·부문·시세 행) — 모델값 직접) — = 영업이익(부문 미분리)</t>
      </text>
    </comment>
    <comment ref="Y39" authorId="0" shapeId="0">
      <text>
        <t>실측(계정 매핑 없음(파생·부문·시세 행) — 모델값 직접) — = 영업이익(부문 미분리)</t>
      </text>
    </comment>
    <comment ref="AA39" authorId="0" shapeId="0">
      <text>
        <t>실측(계정 매핑 없음(파생·부문·시세 행) — 모델값 직접) — = 영업이익(부문 미분리)</t>
      </text>
    </comment>
    <comment ref="AB39" authorId="0" shapeId="0">
      <text>
        <t>실측(계정 매핑 없음(파생·부문·시세 행) — 모델값 직접) — = 영업이익(부문 미분리)</t>
      </text>
    </comment>
    <comment ref="AC39" authorId="0" shapeId="0">
      <text>
        <t>추정: = 매출액 × OPM(부문 미분리)
[identity]</t>
      </text>
    </comment>
    <comment ref="AD39" authorId="0" shapeId="0">
      <text>
        <t>추정: = 매출액 × OPM(부문 미분리)
[identity]</t>
      </text>
    </comment>
    <comment ref="AF39" authorId="0" shapeId="0">
      <text>
        <t>추정: = 매출액 × OPM(부문 미분리)
[identity]</t>
      </text>
    </comment>
    <comment ref="AG39" authorId="0" shapeId="0">
      <text>
        <t>추정: = 매출액 × OPM(부문 미분리)
[identity]</t>
      </text>
    </comment>
    <comment ref="AH39" authorId="0" shapeId="0">
      <text>
        <t>추정: = 매출액 × OPM(부문 미분리)
[identity]</t>
      </text>
    </comment>
    <comment ref="AI39" authorId="0" shapeId="0">
      <text>
        <t>추정: = 매출액 × OPM(부문 미분리)
[identity]</t>
      </text>
    </comment>
    <comment ref="AK39" authorId="0" shapeId="0">
      <text>
        <t>추정: = 매출액 × OPM(부문 미분리)
[identity]</t>
      </text>
    </comment>
    <comment ref="AL39" authorId="0" shapeId="0">
      <text>
        <t>추정: = 매출액 × OPM(부문 미분리)
[identity]</t>
      </text>
    </comment>
    <comment ref="AM39" authorId="0" shapeId="0">
      <text>
        <t>추정: = 매출액 × OPM(부문 미분리)
[identity]</t>
      </text>
    </comment>
    <comment ref="AN39" authorId="0" shapeId="0">
      <text>
        <t>추정: = 매출액 × OPM(부문 미분리)
[identity]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4"/>
  <sheetViews>
    <sheetView workbookViewId="0">
      <selection activeCell="A1" sqref="A1"/>
    </sheetView>
  </sheetViews>
  <sheetFormatPr baseColWidth="8" defaultRowHeight="15"/>
  <cols>
    <col width="160" customWidth="1" min="1" max="1"/>
  </cols>
  <sheetData>
    <row r="1">
      <c r="A1" s="1" t="inlineStr">
        <is>
          <t>DSR(155660) 실적 모델 — ARGUS 한국조선</t>
        </is>
      </c>
    </row>
    <row r="2">
      <c r="A2" t="inlineStr">
        <is>
          <t>기준 분기 2026Q2 · 마지막 실적 2026Q2 · 생성 2026-10-14</t>
        </is>
      </c>
    </row>
    <row r="3">
      <c r="A3" s="1" t="inlineStr">
        <is>
          <t>모든 수치는 모델 산출값(DART 공개 재무제표 + 우리 추정)이다 — 목표주가·투자 추천 아님. 참고용 · 투자조언 아님.</t>
        </is>
      </c>
    </row>
    <row r="4">
      <c r="A4" t="inlineStr"/>
    </row>
    <row r="5">
      <c r="A5" s="1" t="inlineStr">
        <is>
          <t>시트</t>
        </is>
      </c>
    </row>
    <row r="6">
      <c r="A6" t="inlineStr">
        <is>
          <t>변수      가정 시계열. 환율 8행(ECB via frankfurter — L2 fx.json; 추정 분기 = 노란 가정), 추정 드라이버(노란 셀 = 모델값에서 역산한 가정, 바꾸면 재계산; 연녹 셀 = 3절 스칼라 참조 수식), 3절 스칼라 가정(세율·판관비율·지배주주비중·이자율·종가·PER 밴드·COE·외화 순노출·헤지비율)</t>
        </is>
      </c>
    </row>
    <row r="7">
      <c r="A7" t="inlineStr">
        <is>
          <t>BS연결/BS별도  FnGuide 계정명 × 기간 값 덤프(백만원). 행1 분기라벨, 행4 YYYY.MM / YYYY.12A. 이름정의 BS연결H·BS연결(계정명 C열부터)</t>
        </is>
      </c>
    </row>
    <row r="8">
      <c r="A8" t="inlineStr">
        <is>
          <t>subQ      분기 서브모델(억원 = 백만원/100). 확정 행: =IFERROR(VLOOKUP($D행,BS연결,MATCH(E$1,BS연결H,0),0)/100,"")  추정 행: 변수 시트 가정 셀 참조 수식. 외환손익·파생상품손익은 BS 계정 합·차, 기타금융손익은 잔차, OPM·EPS·BPS·PER·PBR 은 파생 수식</t>
        </is>
      </c>
    </row>
    <row r="9">
      <c r="A9" t="inlineStr">
        <is>
          <t>SLS       선표(조선사만, sls json 있을 때): 요약 행(sls 저장값) + 계약별 스케줄(백만$) × (헤지비율 × 헤지환율 + (1−헤지비율) × 건조시점 환율[변수 원/달러(평균)]) → 원화 수식 블록 → 합계 행이 subQ 매출조선에 연결</t>
        </is>
      </c>
    </row>
    <row r="10">
      <c r="A10" t="inlineStr">
        <is>
          <t>시나리오   신규수주 보수/기준/낙관(forecast_panel 패널, 모델에 scenarios 가 있을 때만): 매출액·영업이익 = subQ 기준값 ± (시나리오 신규 − base 신규) × OPM. base 만 subQ 행에 포함, 나머지는 합산 안 함</t>
        </is>
      </c>
    </row>
    <row r="11">
      <c r="A11" t="inlineStr">
        <is>
          <t>분기/연간예상  subQ 를 이름(A열 key)으로 VLOOKUP 한 보고서 표(억원)</t>
        </is>
      </c>
    </row>
    <row r="12">
      <c r="A12" t="inlineStr">
        <is>
          <t>TP        PER 밴드 × 12M fwd EPS, PBR = ROE/COE × BPS — 모델 산출값 구간, 목표주가·추천 아님</t>
        </is>
      </c>
    </row>
    <row r="13">
      <c r="A13" t="inlineStr">
        <is>
          <t>외화      환율 QoQ, 외화 순노출 × Δ기말환율 → 환관련손익 추정</t>
        </is>
      </c>
    </row>
    <row r="14">
      <c r="A14" t="inlineStr"/>
    </row>
    <row r="15">
      <c r="A15" s="1" t="inlineStr">
        <is>
          <t>규약</t>
        </is>
      </c>
    </row>
    <row r="16">
      <c r="A16" t="inlineStr">
        <is>
          <t>· 데이터는 E열부터, 4분기 뒤 연간 1열(라벨은 숫자 연도). 실적/추정 경계 = 굵은 세로선, 추정 열 = 연노랑, 연간 열 = 회색, 가정 입력 = 노란 셀, 스칼라 참조 수식 = 연녹 셀(숫자로 덮어쓰면 그 분기만 바뀜)</t>
        </is>
      </c>
    </row>
    <row r="17">
      <c r="A17" t="inlineStr">
        <is>
          <t>· 숫자 서식 #,##0(억원) · EPS/BPS 원 · 주식수 백만주 · 환율 원 · 선표 백만$/백만원</t>
        </is>
      </c>
    </row>
    <row r="18">
      <c r="A18" t="inlineStr">
        <is>
          <t>· 추정 셀 메모 = 모델 json 의 basis. 변수 시트 노란 셀 메모 = 역산 방법. 출처 없는 숫자는 없다 — 가정이면 가정이라고 적었다</t>
        </is>
      </c>
    </row>
    <row r="19">
      <c r="A19" t="inlineStr">
        <is>
          <t>· BS 시트에 값이 없거나 모델값과 다른(비용 부호 반전 등) 기간의 확정 셀은 모델값 직접 + 메모. fin(L1) 수집 후 재생성</t>
        </is>
      </c>
    </row>
    <row r="20">
      <c r="A20" t="inlineStr"/>
    </row>
    <row r="21">
      <c r="A21" s="1" t="inlineStr">
        <is>
          <t>가정 요약 — 변수 시트 3절 노란 셀을 바꾸면 subQ·분기·연간예상·TP·시나리오가 재계산된다(연결된 항목만)</t>
        </is>
      </c>
    </row>
    <row r="22">
      <c r="A22" t="inlineStr">
        <is>
          <t>· 세율 22.39% — 법인세 = MAX(세전,0) × 세율, 추정 전 분기 연결(Σ법인세/Σmax(세전,0) 역산, 재현 오차 ≤ 0.05억). 모델 가정 22.39% · 근거: 최근 12분기 유효세율 22.4%(5~27% 안 — 그대로)</t>
        </is>
      </c>
    </row>
    <row r="23">
      <c r="A23" t="inlineStr">
        <is>
          <t>· 판관비율 8.68% — 판관비 = 매출액 × 판관비율, 추정 전 분기 연결</t>
        </is>
      </c>
    </row>
    <row r="24">
      <c r="A24" t="inlineStr">
        <is>
          <t>· 지배주주 비중 100.0% — 지배주주순이익 = 당기순이익 × 비중, 추정 전 분기 연결</t>
        </is>
      </c>
    </row>
    <row r="25">
      <c r="A25" t="inlineStr">
        <is>
          <t>· 이자율 자산 4.00% / 부채 3.60% — 이자손익 = (전분기 이자발생자산 × 자산이자율 − 전분기 총차입금 × 부채이자율)/4, 최소자승 역산(모델 assumptions [0.04, 0.036] 는 4자리 반올림이라 그대로 쓰면 ±1억 어긋남) · 출처: {"asset": "주석 이자수익 ÷ 평균 이자발생자산(2025Q2~2026Q2)", "debt": "주석 이자비용 ÷ 평균 총차입금(2025Q2~2026Q2)"}</t>
        </is>
      </c>
    </row>
    <row r="26">
      <c r="A26" t="inlineStr">
        <is>
          <t>· 환율 — 변수 1절 8행. 실적 분기 = ECB 분기 평균/기말(fx.json), 추정 분기(노란) = 가정 — 마지막 ECB 관측치를 2028Q4 까지 평평하게 둔다. 선도환율·컨센서스 아님.. 원/달러(평균) → SLS 건조시점 환율 → 매출조선(조선사, 선표 연결 시) ; 원/달러(기말) → 환관련손익 행 없음(외화 순노출 미공시(face) → 0 + 표기)</t>
        </is>
      </c>
    </row>
    <row r="27">
      <c r="A27" t="inlineStr">
        <is>
          <t>· 연결된 가정: 세율, 판관비율, 지배주주비중, 이자율 · 연결 안 된 가정(모델값·분기별 역산 그대로): 없음</t>
        </is>
      </c>
    </row>
    <row r="28">
      <c r="A28" t="inlineStr">
        <is>
          <t>· 밸류에이션 — PER 밴드 10.0/15.0/20.0배(sector_default(레퍼런스 TP_PE PB 예시 10/15/20배; 과거 PER 중위 4.1배가 캡 5~30 밖 — 턴어라운드 초기 TTM EPS 왜곡)) · COE 9.0% · 12M fwd EPS 가중 0.5(가정). 모델 산출값 구간이며 추천이 아니다</t>
        </is>
      </c>
    </row>
    <row r="29">
      <c r="A29" t="inlineStr"/>
    </row>
    <row r="30">
      <c r="A30" t="inlineStr">
        <is>
          <t>출처: DART 정기보고서(연결/별도 재무제표·주석), FnGuide 계정명 규약, ECB 환율(api.frankfurter.app), 종가 네이버 정규장(aikstockdata 금융위 확정종가 대조·출처표기·비영리), 척당 계약 공시(contracts.json), forecast_panel(신규수주 패널)</t>
        </is>
      </c>
    </row>
    <row r="31">
      <c r="A31" t="inlineStr">
        <is>
          <t>재현: cd argus/kship/tools &amp;&amp; python3 kship_model_xlsx.py --model assets/models/155660.json --verify   (모델 json 부터: kship_model.py --build --all --xlsx · xlsx 58사 일괄: kship_model_xlsx.py --all --verify)</t>
        </is>
      </c>
    </row>
    <row r="32">
      <c r="A32" t="inlineStr">
        <is>
          <t>검증(--verify): 추정 전 분기·실적 수식 셀을 자체 계산기로 재계산해 모델값과 대조(억원 ±0.05), 세율·OPM·환율 forward·이자율·신규수주 셀을 바꿔 종속 셀이 기대만큼 움직이는지 확인. Excel 실개봉은 미확인(LibreOffice/Excel 없음)</t>
        </is>
      </c>
    </row>
    <row r="33">
      <c r="A33" t="inlineStr">
        <is>
          <t>한계: 모델 quality.warnings — 매출 드라이버 폴백(고객 조선사 연결 없음(suppliers.json)): 전년동기 × (1+g) 추세 / 감가상각비가 face·CF 에 없음(주석 미파싱) → EBITDA·EV/EBITDA 미산출 / 기타금융손익(금융손익 − 이자 − 외환 − 파생 잔차) 최근 4분기 중위 +11.1억이 이자손익 추정 -5.0억의 50% 초과 → 추정 0 — 평가손익·재분류 여부는 주석 확인 / 금융손익 실적→추정 단절: 최근 4분기 실적 +3/+4/+19/+77(중위 +12억) → 추정 2026Q3 -5억(차 -17억, -144%) — 추정은 이자손익 + 기타금융 중위, 외환·파생 평가손익 0 가정(환율 효과는 환관련손익 행). 값은 바꾸지 않음 — 지배NI·EPS 해석 시 참고</t>
        </is>
      </c>
    </row>
    <row r="34">
      <c r="A34" t="inlineStr">
        <is>
          <t>백테스트: {"freeze": "2025Q2", "horizon": 4, "revenue_wape_pct": 8.4, "op_wape_pct": 19.4, "n": 4, "note": "단일 회사 4분기 — 통계 아님", "driver_at_freeze": "trend_seasonal", "selection_oos_at_freeze": null, "frozen_inputs": "fin(연결/별도)·고객 조선사 모델·지주 자회사 모델은 2025Q2 까지의 분기만; 선표는 체결일 ≤ 2025Q2 말일 계약(원장 최신 금액·코호트 등급, 환산 없음); 잔고는 yards_cache 2025Q2; 시세·환율 forward·prices·forecast_panel 신규수주 미사용. 고객 가중치(suppliers.json 언급 비중)와 합병 체인링크는 현재 지식; 고객 연동 채택은 동결 모델 안에서도 자기 la−4분기 OOS 규칙(selection_oos_at_freeze)", "detail": [{"q": "2025Q3", "rev_pred": 803.41, "rev_act": 746.57, "op_pred": 56.76, "op_act": 54.94}, {"q": "2025Q4", "rev_pred": 888.72, "rev_act": 769.58, "op_pred": 62.78, "op_act": 51.19}, {"q": "2026Q1", "rev_pred": 802.39, "rev_act": 763.36, "op_pred": 56.68, "op_act": 66.74}, {"q": "2026Q2", "rev_pred": 830.61, "rev_act": 882.14, "op_pred": 58.68, "op_act": 40.75}]}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59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9" customWidth="1" min="2" max="2"/>
    <col width="26" customWidth="1" min="3" max="3"/>
    <col width="30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</cols>
  <sheetData>
    <row r="1">
      <c r="C1" s="2" t="inlineStr">
        <is>
          <t>이름: 변수H</t>
        </is>
      </c>
      <c r="E1" s="3" t="inlineStr">
        <is>
          <t>4Q21</t>
        </is>
      </c>
      <c r="F1" s="3" t="n">
        <v>2021</v>
      </c>
      <c r="G1" s="3" t="inlineStr">
        <is>
          <t>1Q22</t>
        </is>
      </c>
      <c r="H1" s="3" t="inlineStr">
        <is>
          <t>2Q22</t>
        </is>
      </c>
      <c r="I1" s="3" t="inlineStr">
        <is>
          <t>3Q22</t>
        </is>
      </c>
      <c r="J1" s="3" t="inlineStr">
        <is>
          <t>4Q22</t>
        </is>
      </c>
      <c r="K1" s="3" t="n">
        <v>2022</v>
      </c>
      <c r="L1" s="3" t="inlineStr">
        <is>
          <t>1Q23</t>
        </is>
      </c>
      <c r="M1" s="3" t="inlineStr">
        <is>
          <t>2Q23</t>
        </is>
      </c>
      <c r="N1" s="3" t="inlineStr">
        <is>
          <t>3Q23</t>
        </is>
      </c>
      <c r="O1" s="3" t="inlineStr">
        <is>
          <t>4Q23</t>
        </is>
      </c>
      <c r="P1" s="3" t="n">
        <v>2023</v>
      </c>
      <c r="Q1" s="3" t="inlineStr">
        <is>
          <t>1Q24</t>
        </is>
      </c>
      <c r="R1" s="3" t="inlineStr">
        <is>
          <t>2Q24</t>
        </is>
      </c>
      <c r="S1" s="3" t="inlineStr">
        <is>
          <t>3Q24</t>
        </is>
      </c>
      <c r="T1" s="3" t="inlineStr">
        <is>
          <t>4Q24</t>
        </is>
      </c>
      <c r="U1" s="3" t="n">
        <v>2024</v>
      </c>
      <c r="V1" s="3" t="inlineStr">
        <is>
          <t>1Q25</t>
        </is>
      </c>
      <c r="W1" s="3" t="inlineStr">
        <is>
          <t>2Q25</t>
        </is>
      </c>
      <c r="X1" s="3" t="inlineStr">
        <is>
          <t>3Q25</t>
        </is>
      </c>
      <c r="Y1" s="3" t="inlineStr">
        <is>
          <t>4Q25</t>
        </is>
      </c>
      <c r="Z1" s="3" t="n">
        <v>2025</v>
      </c>
      <c r="AA1" s="3" t="inlineStr">
        <is>
          <t>1Q26</t>
        </is>
      </c>
      <c r="AB1" s="4" t="inlineStr">
        <is>
          <t>2Q26</t>
        </is>
      </c>
      <c r="AC1" s="3" t="inlineStr">
        <is>
          <t>3Q26</t>
        </is>
      </c>
      <c r="AD1" s="3" t="inlineStr">
        <is>
          <t>4Q26</t>
        </is>
      </c>
      <c r="AE1" s="3" t="n">
        <v>2026</v>
      </c>
      <c r="AF1" s="3" t="inlineStr">
        <is>
          <t>1Q27</t>
        </is>
      </c>
      <c r="AG1" s="3" t="inlineStr">
        <is>
          <t>2Q27</t>
        </is>
      </c>
      <c r="AH1" s="3" t="inlineStr">
        <is>
          <t>3Q27</t>
        </is>
      </c>
      <c r="AI1" s="3" t="inlineStr">
        <is>
          <t>4Q27</t>
        </is>
      </c>
      <c r="AJ1" s="3" t="n">
        <v>2027</v>
      </c>
      <c r="AK1" s="3" t="inlineStr">
        <is>
          <t>1Q28</t>
        </is>
      </c>
      <c r="AL1" s="3" t="inlineStr">
        <is>
          <t>2Q28</t>
        </is>
      </c>
      <c r="AM1" s="3" t="inlineStr">
        <is>
          <t>3Q28</t>
        </is>
      </c>
      <c r="AN1" s="3" t="inlineStr">
        <is>
          <t>4Q28</t>
        </is>
      </c>
      <c r="AO1" s="3" t="n">
        <v>2028</v>
      </c>
    </row>
    <row r="2">
      <c r="A2" s="2" t="inlineStr">
        <is>
          <t>가정 시계열 — 노란 셀은 추정 가정(모델값에서 역산), 연녹 셀은 3절 스칼라 참조 수식. 바꾸면 subQ·분기·연간예상·TP·시나리오가 재계산됩니다.</t>
        </is>
      </c>
      <c r="AB2" s="5" t="n"/>
    </row>
    <row r="3">
      <c r="E3" s="2" t="n">
        <v>1</v>
      </c>
      <c r="F3" s="2" t="n">
        <v>2</v>
      </c>
      <c r="G3" s="2" t="n">
        <v>3</v>
      </c>
      <c r="H3" s="2" t="n">
        <v>4</v>
      </c>
      <c r="I3" s="2" t="n">
        <v>5</v>
      </c>
      <c r="J3" s="2" t="n">
        <v>6</v>
      </c>
      <c r="K3" s="2" t="n">
        <v>7</v>
      </c>
      <c r="L3" s="2" t="n">
        <v>8</v>
      </c>
      <c r="M3" s="2" t="n">
        <v>9</v>
      </c>
      <c r="N3" s="2" t="n">
        <v>10</v>
      </c>
      <c r="O3" s="2" t="n">
        <v>11</v>
      </c>
      <c r="P3" s="2" t="n">
        <v>12</v>
      </c>
      <c r="Q3" s="2" t="n">
        <v>13</v>
      </c>
      <c r="R3" s="2" t="n">
        <v>14</v>
      </c>
      <c r="S3" s="2" t="n">
        <v>15</v>
      </c>
      <c r="T3" s="2" t="n">
        <v>16</v>
      </c>
      <c r="U3" s="2" t="n">
        <v>17</v>
      </c>
      <c r="V3" s="2" t="n">
        <v>18</v>
      </c>
      <c r="W3" s="2" t="n">
        <v>19</v>
      </c>
      <c r="X3" s="2" t="n">
        <v>20</v>
      </c>
      <c r="Y3" s="2" t="n">
        <v>21</v>
      </c>
      <c r="Z3" s="2" t="n">
        <v>22</v>
      </c>
      <c r="AA3" s="2" t="n">
        <v>23</v>
      </c>
      <c r="AB3" s="6" t="n">
        <v>24</v>
      </c>
      <c r="AC3" s="2" t="n">
        <v>25</v>
      </c>
      <c r="AD3" s="2" t="n">
        <v>26</v>
      </c>
      <c r="AE3" s="2" t="n">
        <v>27</v>
      </c>
      <c r="AF3" s="2" t="n">
        <v>28</v>
      </c>
      <c r="AG3" s="2" t="n">
        <v>29</v>
      </c>
      <c r="AH3" s="2" t="n">
        <v>30</v>
      </c>
      <c r="AI3" s="2" t="n">
        <v>31</v>
      </c>
      <c r="AJ3" s="2" t="n">
        <v>32</v>
      </c>
      <c r="AK3" s="2" t="n">
        <v>33</v>
      </c>
      <c r="AL3" s="2" t="n">
        <v>34</v>
      </c>
      <c r="AM3" s="2" t="n">
        <v>35</v>
      </c>
      <c r="AN3" s="2" t="n">
        <v>36</v>
      </c>
      <c r="AO3" s="2" t="n">
        <v>37</v>
      </c>
    </row>
    <row r="4">
      <c r="E4" s="7" t="inlineStr">
        <is>
          <t>2021.12</t>
        </is>
      </c>
      <c r="F4" s="7" t="inlineStr">
        <is>
          <t>2021.12A</t>
        </is>
      </c>
      <c r="G4" s="7" t="inlineStr">
        <is>
          <t>2022.03</t>
        </is>
      </c>
      <c r="H4" s="7" t="inlineStr">
        <is>
          <t>2022.06</t>
        </is>
      </c>
      <c r="I4" s="7" t="inlineStr">
        <is>
          <t>2022.09</t>
        </is>
      </c>
      <c r="J4" s="7" t="inlineStr">
        <is>
          <t>2022.12</t>
        </is>
      </c>
      <c r="K4" s="7" t="inlineStr">
        <is>
          <t>2022.12A</t>
        </is>
      </c>
      <c r="L4" s="7" t="inlineStr">
        <is>
          <t>2023.03</t>
        </is>
      </c>
      <c r="M4" s="7" t="inlineStr">
        <is>
          <t>2023.06</t>
        </is>
      </c>
      <c r="N4" s="7" t="inlineStr">
        <is>
          <t>2023.09</t>
        </is>
      </c>
      <c r="O4" s="7" t="inlineStr">
        <is>
          <t>2023.12</t>
        </is>
      </c>
      <c r="P4" s="7" t="inlineStr">
        <is>
          <t>2023.12A</t>
        </is>
      </c>
      <c r="Q4" s="7" t="inlineStr">
        <is>
          <t>2024.03</t>
        </is>
      </c>
      <c r="R4" s="7" t="inlineStr">
        <is>
          <t>2024.06</t>
        </is>
      </c>
      <c r="S4" s="7" t="inlineStr">
        <is>
          <t>2024.09</t>
        </is>
      </c>
      <c r="T4" s="7" t="inlineStr">
        <is>
          <t>2024.12</t>
        </is>
      </c>
      <c r="U4" s="7" t="inlineStr">
        <is>
          <t>2024.12A</t>
        </is>
      </c>
      <c r="V4" s="7" t="inlineStr">
        <is>
          <t>2025.03</t>
        </is>
      </c>
      <c r="W4" s="7" t="inlineStr">
        <is>
          <t>2025.06</t>
        </is>
      </c>
      <c r="X4" s="7" t="inlineStr">
        <is>
          <t>2025.09</t>
        </is>
      </c>
      <c r="Y4" s="7" t="inlineStr">
        <is>
          <t>2025.12</t>
        </is>
      </c>
      <c r="Z4" s="7" t="inlineStr">
        <is>
          <t>2025.12A</t>
        </is>
      </c>
      <c r="AA4" s="7" t="inlineStr">
        <is>
          <t>2026.03</t>
        </is>
      </c>
      <c r="AB4" s="8" t="inlineStr">
        <is>
          <t>2026.06</t>
        </is>
      </c>
      <c r="AC4" s="7" t="inlineStr">
        <is>
          <t>2026.09</t>
        </is>
      </c>
      <c r="AD4" s="7" t="inlineStr">
        <is>
          <t>2026.12</t>
        </is>
      </c>
      <c r="AE4" s="7" t="inlineStr">
        <is>
          <t>2026.12A</t>
        </is>
      </c>
      <c r="AF4" s="7" t="inlineStr">
        <is>
          <t>2027.03</t>
        </is>
      </c>
      <c r="AG4" s="7" t="inlineStr">
        <is>
          <t>2027.06</t>
        </is>
      </c>
      <c r="AH4" s="7" t="inlineStr">
        <is>
          <t>2027.09</t>
        </is>
      </c>
      <c r="AI4" s="7" t="inlineStr">
        <is>
          <t>2027.12</t>
        </is>
      </c>
      <c r="AJ4" s="7" t="inlineStr">
        <is>
          <t>2027.12A</t>
        </is>
      </c>
      <c r="AK4" s="7" t="inlineStr">
        <is>
          <t>2028.03</t>
        </is>
      </c>
      <c r="AL4" s="7" t="inlineStr">
        <is>
          <t>2028.06</t>
        </is>
      </c>
      <c r="AM4" s="7" t="inlineStr">
        <is>
          <t>2028.09</t>
        </is>
      </c>
      <c r="AN4" s="7" t="inlineStr">
        <is>
          <t>2028.12</t>
        </is>
      </c>
      <c r="AO4" s="7" t="inlineStr">
        <is>
          <t>2028.12A</t>
        </is>
      </c>
    </row>
    <row r="5">
      <c r="B5" s="1" t="inlineStr">
        <is>
          <t>1. FX</t>
        </is>
      </c>
      <c r="C5" s="2" t="inlineStr">
        <is>
          <t>이름: 환율</t>
        </is>
      </c>
      <c r="F5" s="9" t="n"/>
      <c r="K5" s="9" t="n"/>
      <c r="P5" s="9" t="n"/>
      <c r="U5" s="9" t="n"/>
      <c r="Z5" s="9" t="n"/>
      <c r="AB5" s="5" t="n"/>
      <c r="AC5" s="10" t="n"/>
      <c r="AD5" s="10" t="n"/>
      <c r="AE5" s="11" t="n"/>
      <c r="AF5" s="10" t="n"/>
      <c r="AG5" s="10" t="n"/>
      <c r="AH5" s="10" t="n"/>
      <c r="AI5" s="10" t="n"/>
      <c r="AJ5" s="11" t="n"/>
      <c r="AK5" s="10" t="n"/>
      <c r="AL5" s="10" t="n"/>
      <c r="AM5" s="10" t="n"/>
      <c r="AN5" s="10" t="n"/>
      <c r="AO5" s="11" t="n"/>
    </row>
    <row r="6">
      <c r="A6" s="12" t="inlineStr">
        <is>
          <t>USDKRW_avg</t>
        </is>
      </c>
      <c r="C6" t="inlineStr">
        <is>
          <t xml:space="preserve"> 원/달러(평균)</t>
        </is>
      </c>
      <c r="E6" s="13" t="n">
        <v>1183.5</v>
      </c>
      <c r="F6" s="14" t="n">
        <v>1145.51</v>
      </c>
      <c r="G6" s="13" t="n">
        <v>1205.78</v>
      </c>
      <c r="H6" s="13" t="n">
        <v>1262.09</v>
      </c>
      <c r="I6" s="13" t="n">
        <v>1341.93</v>
      </c>
      <c r="J6" s="13" t="n">
        <v>1360.12</v>
      </c>
      <c r="K6" s="14" t="n">
        <v>1292.98</v>
      </c>
      <c r="L6" s="13" t="n">
        <v>1276.95</v>
      </c>
      <c r="M6" s="13" t="n">
        <v>1315.69</v>
      </c>
      <c r="N6" s="13" t="n">
        <v>1313.62</v>
      </c>
      <c r="O6" s="13" t="n">
        <v>1322.01</v>
      </c>
      <c r="P6" s="14" t="n">
        <v>1306.85</v>
      </c>
      <c r="Q6" s="13" t="n">
        <v>1330.14</v>
      </c>
      <c r="R6" s="13" t="n">
        <v>1371.28</v>
      </c>
      <c r="S6" s="13" t="n">
        <v>1356.22</v>
      </c>
      <c r="T6" s="13" t="n">
        <v>1396.3</v>
      </c>
      <c r="U6" s="14" t="n">
        <v>1363.53</v>
      </c>
      <c r="V6" s="13" t="n">
        <v>1452.28</v>
      </c>
      <c r="W6" s="13" t="n">
        <v>1398.52</v>
      </c>
      <c r="X6" s="13" t="n">
        <v>1386.95</v>
      </c>
      <c r="Y6" s="13" t="n">
        <v>1449.19</v>
      </c>
      <c r="Z6" s="14" t="n">
        <v>1421.52</v>
      </c>
      <c r="AA6" s="13" t="n">
        <v>1466.12</v>
      </c>
      <c r="AB6" s="15" t="n">
        <v>1501.75</v>
      </c>
      <c r="AC6" s="16" t="n">
        <v>1418.75</v>
      </c>
      <c r="AD6" s="16" t="n">
        <v>1343.39</v>
      </c>
      <c r="AE6" s="17" t="n">
        <v>1456.01</v>
      </c>
      <c r="AF6" s="16" t="n">
        <v>1341.45</v>
      </c>
      <c r="AG6" s="16" t="n">
        <v>1341.45</v>
      </c>
      <c r="AH6" s="16" t="n">
        <v>1341.45</v>
      </c>
      <c r="AI6" s="16" t="n">
        <v>1341.45</v>
      </c>
      <c r="AJ6" s="11" t="n"/>
      <c r="AK6" s="16" t="n">
        <v>1341.45</v>
      </c>
      <c r="AL6" s="16" t="n">
        <v>1341.45</v>
      </c>
      <c r="AM6" s="16" t="n">
        <v>1341.45</v>
      </c>
      <c r="AN6" s="16" t="n">
        <v>1341.45</v>
      </c>
      <c r="AO6" s="11" t="n"/>
    </row>
    <row r="7">
      <c r="A7" s="12" t="inlineStr">
        <is>
          <t>USDKRW_end</t>
        </is>
      </c>
      <c r="C7" t="inlineStr">
        <is>
          <t xml:space="preserve"> 원/달러(기말)</t>
        </is>
      </c>
      <c r="E7" s="13" t="n">
        <v>1188.75</v>
      </c>
      <c r="F7" s="14" t="n">
        <v>1188.75</v>
      </c>
      <c r="G7" s="13" t="n">
        <v>1213.74</v>
      </c>
      <c r="H7" s="13" t="n">
        <v>1301.24</v>
      </c>
      <c r="I7" s="13" t="n">
        <v>1436.9</v>
      </c>
      <c r="J7" s="13" t="n">
        <v>1260.16</v>
      </c>
      <c r="K7" s="14" t="n">
        <v>1260.16</v>
      </c>
      <c r="L7" s="13" t="n">
        <v>1305.99</v>
      </c>
      <c r="M7" s="13" t="n">
        <v>1321.44</v>
      </c>
      <c r="N7" s="13" t="n">
        <v>1345.35</v>
      </c>
      <c r="O7" s="13" t="n">
        <v>1297.43</v>
      </c>
      <c r="P7" s="14" t="n">
        <v>1297.43</v>
      </c>
      <c r="Q7" s="13" t="n">
        <v>1349.25</v>
      </c>
      <c r="R7" s="13" t="n">
        <v>1377.73</v>
      </c>
      <c r="S7" s="13" t="n">
        <v>1312.17</v>
      </c>
      <c r="T7" s="13" t="n">
        <v>1474.78</v>
      </c>
      <c r="U7" s="14" t="n">
        <v>1474.78</v>
      </c>
      <c r="V7" s="13" t="n">
        <v>1474.54</v>
      </c>
      <c r="W7" s="13" t="n">
        <v>1355.13</v>
      </c>
      <c r="X7" s="13" t="n">
        <v>1403.67</v>
      </c>
      <c r="Y7" s="13" t="n">
        <v>1444.2</v>
      </c>
      <c r="Z7" s="14" t="n">
        <v>1444.2</v>
      </c>
      <c r="AA7" s="13" t="n">
        <v>1524.8</v>
      </c>
      <c r="AB7" s="15" t="n">
        <v>1550.89</v>
      </c>
      <c r="AC7" s="16" t="n">
        <v>1355.4</v>
      </c>
      <c r="AD7" s="16" t="n">
        <v>1341.45</v>
      </c>
      <c r="AE7" s="17" t="n">
        <v>1341.45</v>
      </c>
      <c r="AF7" s="16" t="n">
        <v>1341.45</v>
      </c>
      <c r="AG7" s="16" t="n">
        <v>1341.45</v>
      </c>
      <c r="AH7" s="16" t="n">
        <v>1341.45</v>
      </c>
      <c r="AI7" s="16" t="n">
        <v>1341.45</v>
      </c>
      <c r="AJ7" s="11" t="n"/>
      <c r="AK7" s="16" t="n">
        <v>1341.45</v>
      </c>
      <c r="AL7" s="16" t="n">
        <v>1341.45</v>
      </c>
      <c r="AM7" s="16" t="n">
        <v>1341.45</v>
      </c>
      <c r="AN7" s="16" t="n">
        <v>1341.45</v>
      </c>
      <c r="AO7" s="11" t="n"/>
    </row>
    <row r="8">
      <c r="A8" s="12" t="inlineStr">
        <is>
          <t>JPY100KRW_avg</t>
        </is>
      </c>
      <c r="C8" t="inlineStr">
        <is>
          <t xml:space="preserve"> 원/100Y(평균)</t>
        </is>
      </c>
      <c r="E8" s="13" t="n">
        <v>1041.02</v>
      </c>
      <c r="F8" s="14" t="n">
        <v>1042.74</v>
      </c>
      <c r="G8" s="13" t="n">
        <v>1036.79</v>
      </c>
      <c r="H8" s="13" t="n">
        <v>972.23</v>
      </c>
      <c r="I8" s="13" t="n">
        <v>970.61</v>
      </c>
      <c r="J8" s="13" t="n">
        <v>961.03</v>
      </c>
      <c r="K8" s="14" t="n">
        <v>985.1</v>
      </c>
      <c r="L8" s="13" t="n">
        <v>964.89</v>
      </c>
      <c r="M8" s="13" t="n">
        <v>957.36</v>
      </c>
      <c r="N8" s="13" t="n">
        <v>909</v>
      </c>
      <c r="O8" s="13" t="n">
        <v>893.22</v>
      </c>
      <c r="P8" s="14" t="n">
        <v>931.11</v>
      </c>
      <c r="Q8" s="13" t="n">
        <v>896.29</v>
      </c>
      <c r="R8" s="13" t="n">
        <v>880.14</v>
      </c>
      <c r="S8" s="13" t="n">
        <v>909.35</v>
      </c>
      <c r="T8" s="13" t="n">
        <v>917.25</v>
      </c>
      <c r="U8" s="14" t="n">
        <v>900.92</v>
      </c>
      <c r="V8" s="13" t="n">
        <v>952.59</v>
      </c>
      <c r="W8" s="13" t="n">
        <v>967.92</v>
      </c>
      <c r="X8" s="13" t="n">
        <v>940.3200000000001</v>
      </c>
      <c r="Y8" s="13" t="n">
        <v>940.77</v>
      </c>
      <c r="Z8" s="14" t="n">
        <v>950.17</v>
      </c>
      <c r="AA8" s="13" t="n">
        <v>934.39</v>
      </c>
      <c r="AB8" s="15" t="n">
        <v>942.16</v>
      </c>
      <c r="AC8" s="16" t="n">
        <v>890.41</v>
      </c>
      <c r="AD8" s="16" t="n">
        <v>849.39</v>
      </c>
      <c r="AE8" s="17" t="n">
        <v>918.46</v>
      </c>
      <c r="AF8" s="16" t="n">
        <v>848.37</v>
      </c>
      <c r="AG8" s="16" t="n">
        <v>848.37</v>
      </c>
      <c r="AH8" s="16" t="n">
        <v>848.37</v>
      </c>
      <c r="AI8" s="16" t="n">
        <v>848.37</v>
      </c>
      <c r="AJ8" s="11" t="n"/>
      <c r="AK8" s="16" t="n">
        <v>848.37</v>
      </c>
      <c r="AL8" s="16" t="n">
        <v>848.37</v>
      </c>
      <c r="AM8" s="16" t="n">
        <v>848.37</v>
      </c>
      <c r="AN8" s="16" t="n">
        <v>848.37</v>
      </c>
      <c r="AO8" s="11" t="n"/>
    </row>
    <row r="9">
      <c r="A9" s="12" t="inlineStr">
        <is>
          <t>JPY100KRW_end</t>
        </is>
      </c>
      <c r="C9" t="inlineStr">
        <is>
          <t xml:space="preserve"> 원/100Y(기말)</t>
        </is>
      </c>
      <c r="E9" s="13" t="n">
        <v>1032.62</v>
      </c>
      <c r="F9" s="14" t="n">
        <v>1032.62</v>
      </c>
      <c r="G9" s="13" t="n">
        <v>996.83</v>
      </c>
      <c r="H9" s="13" t="n">
        <v>954.9</v>
      </c>
      <c r="I9" s="13" t="n">
        <v>993.29</v>
      </c>
      <c r="J9" s="13" t="n">
        <v>955.54</v>
      </c>
      <c r="K9" s="14" t="n">
        <v>955.54</v>
      </c>
      <c r="L9" s="13" t="n">
        <v>980.62</v>
      </c>
      <c r="M9" s="13" t="n">
        <v>913.67</v>
      </c>
      <c r="N9" s="13" t="n">
        <v>901.47</v>
      </c>
      <c r="O9" s="13" t="n">
        <v>917.04</v>
      </c>
      <c r="P9" s="14" t="n">
        <v>917.04</v>
      </c>
      <c r="Q9" s="13" t="n">
        <v>892.42</v>
      </c>
      <c r="R9" s="13" t="n">
        <v>857.76</v>
      </c>
      <c r="S9" s="13" t="n">
        <v>919.21</v>
      </c>
      <c r="T9" s="13" t="n">
        <v>939.65</v>
      </c>
      <c r="U9" s="14" t="n">
        <v>939.65</v>
      </c>
      <c r="V9" s="13" t="n">
        <v>986.84</v>
      </c>
      <c r="W9" s="13" t="n">
        <v>938.85</v>
      </c>
      <c r="X9" s="13" t="n">
        <v>948.49</v>
      </c>
      <c r="Y9" s="13" t="n">
        <v>921.8099999999999</v>
      </c>
      <c r="Z9" s="14" t="n">
        <v>921.8099999999999</v>
      </c>
      <c r="AA9" s="13" t="n">
        <v>955.99</v>
      </c>
      <c r="AB9" s="15" t="n">
        <v>954.75</v>
      </c>
      <c r="AC9" s="16" t="n">
        <v>863.3099999999999</v>
      </c>
      <c r="AD9" s="16" t="n">
        <v>848.37</v>
      </c>
      <c r="AE9" s="17" t="n">
        <v>848.37</v>
      </c>
      <c r="AF9" s="16" t="n">
        <v>848.37</v>
      </c>
      <c r="AG9" s="16" t="n">
        <v>848.37</v>
      </c>
      <c r="AH9" s="16" t="n">
        <v>848.37</v>
      </c>
      <c r="AI9" s="16" t="n">
        <v>848.37</v>
      </c>
      <c r="AJ9" s="11" t="n"/>
      <c r="AK9" s="16" t="n">
        <v>848.37</v>
      </c>
      <c r="AL9" s="16" t="n">
        <v>848.37</v>
      </c>
      <c r="AM9" s="16" t="n">
        <v>848.37</v>
      </c>
      <c r="AN9" s="16" t="n">
        <v>848.37</v>
      </c>
      <c r="AO9" s="11" t="n"/>
    </row>
    <row r="10">
      <c r="A10" s="12" t="inlineStr">
        <is>
          <t>EURKRW_avg</t>
        </is>
      </c>
      <c r="C10" t="inlineStr">
        <is>
          <t xml:space="preserve"> W/Euro(평균)</t>
        </is>
      </c>
      <c r="E10" s="13" t="n">
        <v>1353.32</v>
      </c>
      <c r="F10" s="14" t="n">
        <v>1354.06</v>
      </c>
      <c r="G10" s="13" t="n">
        <v>1352.29</v>
      </c>
      <c r="H10" s="13" t="n">
        <v>1343.31</v>
      </c>
      <c r="I10" s="13" t="n">
        <v>1350.63</v>
      </c>
      <c r="J10" s="13" t="n">
        <v>1386.07</v>
      </c>
      <c r="K10" s="14" t="n">
        <v>1358.07</v>
      </c>
      <c r="L10" s="13" t="n">
        <v>1369.93</v>
      </c>
      <c r="M10" s="13" t="n">
        <v>1432.41</v>
      </c>
      <c r="N10" s="13" t="n">
        <v>1429.41</v>
      </c>
      <c r="O10" s="13" t="n">
        <v>1420.91</v>
      </c>
      <c r="P10" s="14" t="n">
        <v>1412.88</v>
      </c>
      <c r="Q10" s="13" t="n">
        <v>1444.21</v>
      </c>
      <c r="R10" s="13" t="n">
        <v>1476.42</v>
      </c>
      <c r="S10" s="13" t="n">
        <v>1489.3</v>
      </c>
      <c r="T10" s="13" t="n">
        <v>1490.78</v>
      </c>
      <c r="U10" s="14" t="n">
        <v>1475.4</v>
      </c>
      <c r="V10" s="13" t="n">
        <v>1528.33</v>
      </c>
      <c r="W10" s="13" t="n">
        <v>1585.13</v>
      </c>
      <c r="X10" s="13" t="n">
        <v>1620.04</v>
      </c>
      <c r="Y10" s="13" t="n">
        <v>1686.02</v>
      </c>
      <c r="Z10" s="14" t="n">
        <v>1605.45</v>
      </c>
      <c r="AA10" s="13" t="n">
        <v>1715.47</v>
      </c>
      <c r="AB10" s="15" t="n">
        <v>1746.09</v>
      </c>
      <c r="AC10" s="16" t="n">
        <v>1631.97</v>
      </c>
      <c r="AD10" s="16" t="n">
        <v>1506.62</v>
      </c>
      <c r="AE10" s="17" t="n">
        <v>1688.01</v>
      </c>
      <c r="AF10" s="16" t="n">
        <v>1500.82</v>
      </c>
      <c r="AG10" s="16" t="n">
        <v>1500.82</v>
      </c>
      <c r="AH10" s="16" t="n">
        <v>1500.82</v>
      </c>
      <c r="AI10" s="16" t="n">
        <v>1500.82</v>
      </c>
      <c r="AJ10" s="11" t="n"/>
      <c r="AK10" s="16" t="n">
        <v>1500.82</v>
      </c>
      <c r="AL10" s="16" t="n">
        <v>1500.82</v>
      </c>
      <c r="AM10" s="16" t="n">
        <v>1500.82</v>
      </c>
      <c r="AN10" s="16" t="n">
        <v>1500.82</v>
      </c>
      <c r="AO10" s="11" t="n"/>
    </row>
    <row r="11">
      <c r="A11" s="12" t="inlineStr">
        <is>
          <t>EURKRW_end</t>
        </is>
      </c>
      <c r="C11" t="inlineStr">
        <is>
          <t xml:space="preserve"> W/Euro(기말)</t>
        </is>
      </c>
      <c r="E11" s="13" t="n">
        <v>1346.38</v>
      </c>
      <c r="F11" s="14" t="n">
        <v>1346.38</v>
      </c>
      <c r="G11" s="13" t="n">
        <v>1347.37</v>
      </c>
      <c r="H11" s="13" t="n">
        <v>1351.6</v>
      </c>
      <c r="I11" s="13" t="n">
        <v>1400.62</v>
      </c>
      <c r="J11" s="13" t="n">
        <v>1344.08</v>
      </c>
      <c r="K11" s="14" t="n">
        <v>1344.08</v>
      </c>
      <c r="L11" s="13" t="n">
        <v>1420.26</v>
      </c>
      <c r="M11" s="13" t="n">
        <v>1435.88</v>
      </c>
      <c r="N11" s="13" t="n">
        <v>1425.26</v>
      </c>
      <c r="O11" s="13" t="n">
        <v>1433.66</v>
      </c>
      <c r="P11" s="14" t="n">
        <v>1433.66</v>
      </c>
      <c r="Q11" s="13" t="n">
        <v>1458.68</v>
      </c>
      <c r="R11" s="13" t="n">
        <v>1474.86</v>
      </c>
      <c r="S11" s="13" t="n">
        <v>1469.1</v>
      </c>
      <c r="T11" s="13" t="n">
        <v>1532.14</v>
      </c>
      <c r="U11" s="14" t="n">
        <v>1532.14</v>
      </c>
      <c r="V11" s="13" t="n">
        <v>1594.72</v>
      </c>
      <c r="W11" s="13" t="n">
        <v>1588.22</v>
      </c>
      <c r="X11" s="13" t="n">
        <v>1648.04</v>
      </c>
      <c r="Y11" s="13" t="n">
        <v>1696.94</v>
      </c>
      <c r="Z11" s="14" t="n">
        <v>1696.94</v>
      </c>
      <c r="AA11" s="13" t="n">
        <v>1753.21</v>
      </c>
      <c r="AB11" s="15" t="n">
        <v>1767.09</v>
      </c>
      <c r="AC11" s="16" t="n">
        <v>1539.06</v>
      </c>
      <c r="AD11" s="16" t="n">
        <v>1500.82</v>
      </c>
      <c r="AE11" s="17" t="n">
        <v>1500.82</v>
      </c>
      <c r="AF11" s="16" t="n">
        <v>1500.82</v>
      </c>
      <c r="AG11" s="16" t="n">
        <v>1500.82</v>
      </c>
      <c r="AH11" s="16" t="n">
        <v>1500.82</v>
      </c>
      <c r="AI11" s="16" t="n">
        <v>1500.82</v>
      </c>
      <c r="AJ11" s="11" t="n"/>
      <c r="AK11" s="16" t="n">
        <v>1500.82</v>
      </c>
      <c r="AL11" s="16" t="n">
        <v>1500.82</v>
      </c>
      <c r="AM11" s="16" t="n">
        <v>1500.82</v>
      </c>
      <c r="AN11" s="16" t="n">
        <v>1500.82</v>
      </c>
      <c r="AO11" s="11" t="n"/>
    </row>
    <row r="12">
      <c r="A12" s="12" t="inlineStr">
        <is>
          <t>CNYKRW_avg</t>
        </is>
      </c>
      <c r="C12" t="inlineStr">
        <is>
          <t xml:space="preserve"> 원/중국원(평균)</t>
        </is>
      </c>
      <c r="E12" s="13" t="n">
        <v>185.14</v>
      </c>
      <c r="F12" s="14" t="n">
        <v>177.65</v>
      </c>
      <c r="G12" s="13" t="n">
        <v>189.93</v>
      </c>
      <c r="H12" s="13" t="n">
        <v>190.76</v>
      </c>
      <c r="I12" s="13" t="n">
        <v>195.79</v>
      </c>
      <c r="J12" s="13" t="n">
        <v>191.09</v>
      </c>
      <c r="K12" s="14" t="n">
        <v>191.93</v>
      </c>
      <c r="L12" s="13" t="n">
        <v>186.59</v>
      </c>
      <c r="M12" s="13" t="n">
        <v>187.45</v>
      </c>
      <c r="N12" s="13" t="n">
        <v>181.28</v>
      </c>
      <c r="O12" s="13" t="n">
        <v>182.86</v>
      </c>
      <c r="P12" s="14" t="n">
        <v>184.52</v>
      </c>
      <c r="Q12" s="13" t="n">
        <v>185.04</v>
      </c>
      <c r="R12" s="13" t="n">
        <v>189.35</v>
      </c>
      <c r="S12" s="13" t="n">
        <v>189.24</v>
      </c>
      <c r="T12" s="13" t="n">
        <v>194.24</v>
      </c>
      <c r="U12" s="14" t="n">
        <v>189.49</v>
      </c>
      <c r="V12" s="13" t="n">
        <v>199.63</v>
      </c>
      <c r="W12" s="13" t="n">
        <v>193.41</v>
      </c>
      <c r="X12" s="13" t="n">
        <v>193.79</v>
      </c>
      <c r="Y12" s="13" t="n">
        <v>204.38</v>
      </c>
      <c r="Z12" s="14" t="n">
        <v>197.8</v>
      </c>
      <c r="AA12" s="13" t="n">
        <v>211.75</v>
      </c>
      <c r="AB12" s="15" t="n">
        <v>220.8</v>
      </c>
      <c r="AC12" s="16" t="n">
        <v>210.43</v>
      </c>
      <c r="AD12" s="16" t="n">
        <v>200.49</v>
      </c>
      <c r="AE12" s="17" t="n">
        <v>213.61</v>
      </c>
      <c r="AF12" s="16" t="n">
        <v>200.4</v>
      </c>
      <c r="AG12" s="16" t="n">
        <v>200.4</v>
      </c>
      <c r="AH12" s="16" t="n">
        <v>200.4</v>
      </c>
      <c r="AI12" s="16" t="n">
        <v>200.4</v>
      </c>
      <c r="AJ12" s="11" t="n"/>
      <c r="AK12" s="16" t="n">
        <v>200.4</v>
      </c>
      <c r="AL12" s="16" t="n">
        <v>200.4</v>
      </c>
      <c r="AM12" s="16" t="n">
        <v>200.4</v>
      </c>
      <c r="AN12" s="16" t="n">
        <v>200.4</v>
      </c>
      <c r="AO12" s="11" t="n"/>
    </row>
    <row r="13">
      <c r="A13" s="12" t="inlineStr">
        <is>
          <t>CNYKRW_end</t>
        </is>
      </c>
      <c r="C13" t="inlineStr">
        <is>
          <t xml:space="preserve"> 원/중국원(기말)</t>
        </is>
      </c>
      <c r="E13" s="13" t="n">
        <v>187.13</v>
      </c>
      <c r="F13" s="14" t="n">
        <v>187.13</v>
      </c>
      <c r="G13" s="13" t="n">
        <v>191.38</v>
      </c>
      <c r="H13" s="13" t="n">
        <v>194.13</v>
      </c>
      <c r="I13" s="13" t="n">
        <v>201.92</v>
      </c>
      <c r="J13" s="13" t="n">
        <v>182.67</v>
      </c>
      <c r="K13" s="14" t="n">
        <v>182.67</v>
      </c>
      <c r="L13" s="13" t="n">
        <v>189.97</v>
      </c>
      <c r="M13" s="13" t="n">
        <v>181.8</v>
      </c>
      <c r="N13" s="13" t="n">
        <v>184.26</v>
      </c>
      <c r="O13" s="13" t="n">
        <v>182.61</v>
      </c>
      <c r="P13" s="14" t="n">
        <v>182.61</v>
      </c>
      <c r="Q13" s="13" t="n">
        <v>186.66</v>
      </c>
      <c r="R13" s="13" t="n">
        <v>189.7</v>
      </c>
      <c r="S13" s="13" t="n">
        <v>187.12</v>
      </c>
      <c r="T13" s="13" t="n">
        <v>202.04</v>
      </c>
      <c r="U13" s="14" t="n">
        <v>202.04</v>
      </c>
      <c r="V13" s="13" t="n">
        <v>203.3</v>
      </c>
      <c r="W13" s="13" t="n">
        <v>189.14</v>
      </c>
      <c r="X13" s="13" t="n">
        <v>197.16</v>
      </c>
      <c r="Y13" s="13" t="n">
        <v>206.28</v>
      </c>
      <c r="Z13" s="14" t="n">
        <v>206.28</v>
      </c>
      <c r="AA13" s="13" t="n">
        <v>220.97</v>
      </c>
      <c r="AB13" s="15" t="n">
        <v>228.56</v>
      </c>
      <c r="AC13" s="16" t="n">
        <v>202.16</v>
      </c>
      <c r="AD13" s="16" t="n">
        <v>200.4</v>
      </c>
      <c r="AE13" s="17" t="n">
        <v>200.4</v>
      </c>
      <c r="AF13" s="16" t="n">
        <v>200.4</v>
      </c>
      <c r="AG13" s="16" t="n">
        <v>200.4</v>
      </c>
      <c r="AH13" s="16" t="n">
        <v>200.4</v>
      </c>
      <c r="AI13" s="16" t="n">
        <v>200.4</v>
      </c>
      <c r="AJ13" s="11" t="n"/>
      <c r="AK13" s="16" t="n">
        <v>200.4</v>
      </c>
      <c r="AL13" s="16" t="n">
        <v>200.4</v>
      </c>
      <c r="AM13" s="16" t="n">
        <v>200.4</v>
      </c>
      <c r="AN13" s="16" t="n">
        <v>200.4</v>
      </c>
      <c r="AO13" s="11" t="n"/>
    </row>
    <row r="14">
      <c r="B14" s="1" t="inlineStr">
        <is>
          <t>1b. 종가</t>
        </is>
      </c>
      <c r="F14" s="9" t="n"/>
      <c r="K14" s="9" t="n"/>
      <c r="P14" s="9" t="n"/>
      <c r="U14" s="9" t="n"/>
      <c r="Z14" s="9" t="n"/>
      <c r="AB14" s="5" t="n"/>
      <c r="AC14" s="10" t="n"/>
      <c r="AD14" s="10" t="n"/>
      <c r="AE14" s="11" t="n"/>
      <c r="AF14" s="10" t="n"/>
      <c r="AG14" s="10" t="n"/>
      <c r="AH14" s="10" t="n"/>
      <c r="AI14" s="10" t="n"/>
      <c r="AJ14" s="11" t="n"/>
      <c r="AK14" s="10" t="n"/>
      <c r="AL14" s="10" t="n"/>
      <c r="AM14" s="10" t="n"/>
      <c r="AN14" s="10" t="n"/>
      <c r="AO14" s="11" t="n"/>
    </row>
    <row r="15">
      <c r="A15" s="12" t="inlineStr">
        <is>
          <t>price_close_end</t>
        </is>
      </c>
      <c r="C15" t="inlineStr">
        <is>
          <t>종가(기말)</t>
        </is>
      </c>
      <c r="E15" s="18" t="n">
        <v>5730</v>
      </c>
      <c r="F15" s="9" t="n"/>
      <c r="G15" s="18" t="n">
        <v>6650</v>
      </c>
      <c r="H15" s="18" t="n">
        <v>5500</v>
      </c>
      <c r="I15" s="18" t="n">
        <v>4525</v>
      </c>
      <c r="J15" s="18" t="n">
        <v>5530</v>
      </c>
      <c r="K15" s="9" t="n"/>
      <c r="L15" s="18" t="n">
        <v>5230</v>
      </c>
      <c r="M15" s="18" t="n">
        <v>5040</v>
      </c>
      <c r="N15" s="18" t="n">
        <v>4465</v>
      </c>
      <c r="O15" s="18" t="n">
        <v>4320</v>
      </c>
      <c r="P15" s="9" t="n"/>
      <c r="Q15" s="18" t="n">
        <v>4205</v>
      </c>
      <c r="R15" s="18" t="n">
        <v>4300</v>
      </c>
      <c r="S15" s="18" t="n">
        <v>3915</v>
      </c>
      <c r="T15" s="18" t="n">
        <v>3815</v>
      </c>
      <c r="U15" s="9" t="n"/>
      <c r="V15" s="18" t="n">
        <v>3635</v>
      </c>
      <c r="W15" s="18" t="n">
        <v>4010</v>
      </c>
      <c r="X15" s="18" t="n">
        <v>3745</v>
      </c>
      <c r="Y15" s="18" t="n">
        <v>3905</v>
      </c>
      <c r="Z15" s="9" t="n"/>
      <c r="AA15" s="18" t="n">
        <v>4100</v>
      </c>
      <c r="AB15" s="19" t="n">
        <v>4320</v>
      </c>
      <c r="AC15" s="20" t="n">
        <v>4330</v>
      </c>
      <c r="AD15" s="20" t="n">
        <v>4200</v>
      </c>
      <c r="AE15" s="11" t="n"/>
      <c r="AF15" s="10" t="n"/>
      <c r="AG15" s="10" t="n"/>
      <c r="AH15" s="10" t="n"/>
      <c r="AI15" s="10" t="n"/>
      <c r="AJ15" s="11" t="n"/>
      <c r="AK15" s="10" t="n"/>
      <c r="AL15" s="10" t="n"/>
      <c r="AM15" s="10" t="n"/>
      <c r="AN15" s="10" t="n"/>
      <c r="AO15" s="11" t="n"/>
    </row>
    <row r="16">
      <c r="A16" s="12" t="inlineStr">
        <is>
          <t>price_high</t>
        </is>
      </c>
      <c r="C16" t="inlineStr">
        <is>
          <t>종가(최고)</t>
        </is>
      </c>
      <c r="E16" s="18" t="n">
        <v>10700</v>
      </c>
      <c r="F16" s="9" t="n"/>
      <c r="G16" s="18" t="n">
        <v>6900</v>
      </c>
      <c r="H16" s="18" t="n">
        <v>7340</v>
      </c>
      <c r="I16" s="18" t="n">
        <v>6320</v>
      </c>
      <c r="J16" s="18" t="n">
        <v>6700</v>
      </c>
      <c r="K16" s="9" t="n"/>
      <c r="L16" s="18" t="n">
        <v>6480</v>
      </c>
      <c r="M16" s="18" t="n">
        <v>5900</v>
      </c>
      <c r="N16" s="18" t="n">
        <v>5170</v>
      </c>
      <c r="O16" s="18" t="n">
        <v>4720</v>
      </c>
      <c r="P16" s="9" t="n"/>
      <c r="Q16" s="18" t="n">
        <v>4480</v>
      </c>
      <c r="R16" s="18" t="n">
        <v>4690</v>
      </c>
      <c r="S16" s="18" t="n">
        <v>4520</v>
      </c>
      <c r="T16" s="18" t="n">
        <v>4900</v>
      </c>
      <c r="U16" s="9" t="n"/>
      <c r="V16" s="18" t="n">
        <v>4225</v>
      </c>
      <c r="W16" s="18" t="n">
        <v>4460</v>
      </c>
      <c r="X16" s="18" t="n">
        <v>4150</v>
      </c>
      <c r="Y16" s="18" t="n">
        <v>4110</v>
      </c>
      <c r="Z16" s="9" t="n"/>
      <c r="AA16" s="18" t="n">
        <v>4275</v>
      </c>
      <c r="AB16" s="19" t="n">
        <v>4700</v>
      </c>
      <c r="AC16" s="20" t="n">
        <v>4800</v>
      </c>
      <c r="AD16" s="20" t="n">
        <v>4530</v>
      </c>
      <c r="AE16" s="11" t="n"/>
      <c r="AF16" s="10" t="n"/>
      <c r="AG16" s="10" t="n"/>
      <c r="AH16" s="10" t="n"/>
      <c r="AI16" s="10" t="n"/>
      <c r="AJ16" s="11" t="n"/>
      <c r="AK16" s="10" t="n"/>
      <c r="AL16" s="10" t="n"/>
      <c r="AM16" s="10" t="n"/>
      <c r="AN16" s="10" t="n"/>
      <c r="AO16" s="11" t="n"/>
    </row>
    <row r="17">
      <c r="A17" s="12" t="inlineStr">
        <is>
          <t>price_low</t>
        </is>
      </c>
      <c r="C17" t="inlineStr">
        <is>
          <t>종가(최저)</t>
        </is>
      </c>
      <c r="E17" s="18" t="n">
        <v>4895</v>
      </c>
      <c r="F17" s="9" t="n"/>
      <c r="G17" s="18" t="n">
        <v>4865</v>
      </c>
      <c r="H17" s="18" t="n">
        <v>4955</v>
      </c>
      <c r="I17" s="18" t="n">
        <v>4460</v>
      </c>
      <c r="J17" s="18" t="n">
        <v>4390</v>
      </c>
      <c r="K17" s="9" t="n"/>
      <c r="L17" s="18" t="n">
        <v>5140</v>
      </c>
      <c r="M17" s="18" t="n">
        <v>4860</v>
      </c>
      <c r="N17" s="18" t="n">
        <v>4240</v>
      </c>
      <c r="O17" s="18" t="n">
        <v>4100</v>
      </c>
      <c r="P17" s="9" t="n"/>
      <c r="Q17" s="18" t="n">
        <v>4145</v>
      </c>
      <c r="R17" s="18" t="n">
        <v>4060</v>
      </c>
      <c r="S17" s="18" t="n">
        <v>3650</v>
      </c>
      <c r="T17" s="18" t="n">
        <v>3410</v>
      </c>
      <c r="U17" s="9" t="n"/>
      <c r="V17" s="18" t="n">
        <v>3630</v>
      </c>
      <c r="W17" s="18" t="n">
        <v>3485</v>
      </c>
      <c r="X17" s="18" t="n">
        <v>3645</v>
      </c>
      <c r="Y17" s="18" t="n">
        <v>3630</v>
      </c>
      <c r="Z17" s="9" t="n"/>
      <c r="AA17" s="18" t="n">
        <v>3655</v>
      </c>
      <c r="AB17" s="19" t="n">
        <v>3950</v>
      </c>
      <c r="AC17" s="20" t="n">
        <v>4120</v>
      </c>
      <c r="AD17" s="20" t="n">
        <v>4000</v>
      </c>
      <c r="AE17" s="11" t="n"/>
      <c r="AF17" s="10" t="n"/>
      <c r="AG17" s="10" t="n"/>
      <c r="AH17" s="10" t="n"/>
      <c r="AI17" s="10" t="n"/>
      <c r="AJ17" s="11" t="n"/>
      <c r="AK17" s="10" t="n"/>
      <c r="AL17" s="10" t="n"/>
      <c r="AM17" s="10" t="n"/>
      <c r="AN17" s="10" t="n"/>
      <c r="AO17" s="11" t="n"/>
    </row>
    <row r="18">
      <c r="A18" s="12" t="inlineStr">
        <is>
          <t>price_avg</t>
        </is>
      </c>
      <c r="C18" t="inlineStr">
        <is>
          <t>종가(평균)</t>
        </is>
      </c>
      <c r="E18" s="18" t="n">
        <v>6399.4</v>
      </c>
      <c r="F18" s="9" t="n"/>
      <c r="G18" s="18" t="n">
        <v>5685</v>
      </c>
      <c r="H18" s="18" t="n">
        <v>6236.6</v>
      </c>
      <c r="I18" s="18" t="n">
        <v>5538.4</v>
      </c>
      <c r="J18" s="18" t="n">
        <v>5460.3</v>
      </c>
      <c r="K18" s="9" t="n"/>
      <c r="L18" s="18" t="n">
        <v>5827.3</v>
      </c>
      <c r="M18" s="18" t="n">
        <v>5154.8</v>
      </c>
      <c r="N18" s="18" t="n">
        <v>4671.5</v>
      </c>
      <c r="O18" s="18" t="n">
        <v>4344.2</v>
      </c>
      <c r="P18" s="9" t="n"/>
      <c r="Q18" s="18" t="n">
        <v>4303.9</v>
      </c>
      <c r="R18" s="18" t="n">
        <v>4243.6</v>
      </c>
      <c r="S18" s="18" t="n">
        <v>4096.8</v>
      </c>
      <c r="T18" s="18" t="n">
        <v>3896.1</v>
      </c>
      <c r="U18" s="9" t="n"/>
      <c r="V18" s="18" t="n">
        <v>3926.2</v>
      </c>
      <c r="W18" s="18" t="n">
        <v>3922.8</v>
      </c>
      <c r="X18" s="18" t="n">
        <v>3866.1</v>
      </c>
      <c r="Y18" s="18" t="n">
        <v>3844.9</v>
      </c>
      <c r="Z18" s="9" t="n"/>
      <c r="AA18" s="18" t="n">
        <v>3963.5</v>
      </c>
      <c r="AB18" s="19" t="n">
        <v>4288.4</v>
      </c>
      <c r="AC18" s="20" t="n">
        <v>4461.5</v>
      </c>
      <c r="AD18" s="20" t="n">
        <v>4258.8</v>
      </c>
      <c r="AE18" s="11" t="n"/>
      <c r="AF18" s="10" t="n"/>
      <c r="AG18" s="10" t="n"/>
      <c r="AH18" s="10" t="n"/>
      <c r="AI18" s="10" t="n"/>
      <c r="AJ18" s="11" t="n"/>
      <c r="AK18" s="10" t="n"/>
      <c r="AL18" s="10" t="n"/>
      <c r="AM18" s="10" t="n"/>
      <c r="AN18" s="10" t="n"/>
      <c r="AO18" s="11" t="n"/>
    </row>
    <row r="19">
      <c r="F19" s="9" t="n"/>
      <c r="K19" s="9" t="n"/>
      <c r="P19" s="9" t="n"/>
      <c r="U19" s="9" t="n"/>
      <c r="Z19" s="9" t="n"/>
      <c r="AB19" s="5" t="n"/>
      <c r="AC19" s="10" t="n"/>
      <c r="AD19" s="10" t="n"/>
      <c r="AE19" s="11" t="n"/>
      <c r="AF19" s="10" t="n"/>
      <c r="AG19" s="10" t="n"/>
      <c r="AH19" s="10" t="n"/>
      <c r="AI19" s="10" t="n"/>
      <c r="AJ19" s="11" t="n"/>
      <c r="AK19" s="10" t="n"/>
      <c r="AL19" s="10" t="n"/>
      <c r="AM19" s="10" t="n"/>
      <c r="AN19" s="10" t="n"/>
      <c r="AO19" s="11" t="n"/>
    </row>
    <row r="20">
      <c r="B20" s="1" t="inlineStr">
        <is>
          <t>2. 추정 드라이버</t>
        </is>
      </c>
      <c r="C20" s="2" t="inlineStr">
        <is>
          <t>실적 열 = subQ 실현값(수식), 추정 열 = 가정(노란 = 모델값 역산, 연녹 = 3절 스칼라 참조)</t>
        </is>
      </c>
      <c r="F20" s="9" t="n"/>
      <c r="K20" s="9" t="n"/>
      <c r="P20" s="9" t="n"/>
      <c r="U20" s="9" t="n"/>
      <c r="Z20" s="9" t="n"/>
      <c r="AB20" s="5" t="n"/>
      <c r="AC20" s="10" t="n"/>
      <c r="AD20" s="10" t="n"/>
      <c r="AE20" s="11" t="n"/>
      <c r="AF20" s="10" t="n"/>
      <c r="AG20" s="10" t="n"/>
      <c r="AH20" s="10" t="n"/>
      <c r="AI20" s="10" t="n"/>
      <c r="AJ20" s="11" t="n"/>
      <c r="AK20" s="10" t="n"/>
      <c r="AL20" s="10" t="n"/>
      <c r="AM20" s="10" t="n"/>
      <c r="AN20" s="10" t="n"/>
      <c r="AO20" s="11" t="n"/>
    </row>
    <row r="21">
      <c r="A21" s="12" t="inlineStr">
        <is>
          <t>drv:매출액</t>
        </is>
      </c>
      <c r="B21" s="2" t="inlineStr">
        <is>
          <t>yoy</t>
        </is>
      </c>
      <c r="C21" t="inlineStr">
        <is>
          <t>매출액 YoY</t>
        </is>
      </c>
      <c r="E21" s="21" t="n"/>
      <c r="F21" s="22" t="n"/>
      <c r="G21" s="21" t="n"/>
      <c r="H21" s="21" t="n"/>
      <c r="I21" s="21" t="n"/>
      <c r="J21" s="21">
        <f>IFERROR(subQ!J5/subQ!E5-1,"")</f>
        <v/>
      </c>
      <c r="K21" s="22" t="n"/>
      <c r="L21" s="21">
        <f>IFERROR(subQ!L5/subQ!G5-1,"")</f>
        <v/>
      </c>
      <c r="M21" s="21">
        <f>IFERROR(subQ!M5/subQ!H5-1,"")</f>
        <v/>
      </c>
      <c r="N21" s="21">
        <f>IFERROR(subQ!N5/subQ!I5-1,"")</f>
        <v/>
      </c>
      <c r="O21" s="21">
        <f>IFERROR(subQ!O5/subQ!J5-1,"")</f>
        <v/>
      </c>
      <c r="P21" s="22" t="n"/>
      <c r="Q21" s="21">
        <f>IFERROR(subQ!Q5/subQ!L5-1,"")</f>
        <v/>
      </c>
      <c r="R21" s="21">
        <f>IFERROR(subQ!R5/subQ!M5-1,"")</f>
        <v/>
      </c>
      <c r="S21" s="21">
        <f>IFERROR(subQ!S5/subQ!N5-1,"")</f>
        <v/>
      </c>
      <c r="T21" s="21">
        <f>IFERROR(subQ!T5/subQ!O5-1,"")</f>
        <v/>
      </c>
      <c r="U21" s="22" t="n"/>
      <c r="V21" s="21">
        <f>IFERROR(subQ!V5/subQ!Q5-1,"")</f>
        <v/>
      </c>
      <c r="W21" s="21">
        <f>IFERROR(subQ!W5/subQ!R5-1,"")</f>
        <v/>
      </c>
      <c r="X21" s="21">
        <f>IFERROR(subQ!X5/subQ!S5-1,"")</f>
        <v/>
      </c>
      <c r="Y21" s="21">
        <f>IFERROR(subQ!Y5/subQ!T5-1,"")</f>
        <v/>
      </c>
      <c r="Z21" s="22" t="n"/>
      <c r="AA21" s="21">
        <f>IFERROR(subQ!AA5/subQ!V5-1,"")</f>
        <v/>
      </c>
      <c r="AB21" s="23">
        <f>IFERROR(subQ!AB5/subQ!W5-1,"")</f>
        <v/>
      </c>
      <c r="AC21" s="24" t="n">
        <v>0.029823119</v>
      </c>
      <c r="AD21" s="24" t="n">
        <v>0.029822398</v>
      </c>
      <c r="AE21" s="25" t="n"/>
      <c r="AF21" s="24" t="n">
        <v>0.029824605</v>
      </c>
      <c r="AG21" s="24" t="n">
        <v>0.029814445</v>
      </c>
      <c r="AH21" s="24" t="n">
        <v>0.014905766</v>
      </c>
      <c r="AI21" s="24" t="n">
        <v>0.014901644</v>
      </c>
      <c r="AJ21" s="25" t="n"/>
      <c r="AK21" s="24" t="n">
        <v>0.014908476</v>
      </c>
      <c r="AL21" s="24" t="n">
        <v>0.01491568</v>
      </c>
      <c r="AM21" s="24" t="n">
        <v>0.007458765</v>
      </c>
      <c r="AN21" s="24" t="n">
        <v>0.007459532</v>
      </c>
      <c r="AO21" s="25" t="n"/>
    </row>
    <row r="22">
      <c r="A22" s="12" t="inlineStr">
        <is>
          <t>drv:판관비</t>
        </is>
      </c>
      <c r="B22" s="2" t="inlineStr">
        <is>
          <t>ratio</t>
        </is>
      </c>
      <c r="C22" t="inlineStr">
        <is>
          <t>판관비율(/매출)</t>
        </is>
      </c>
      <c r="E22" s="21">
        <f>IFERROR(subQ!E8/subQ!E5,"")</f>
        <v/>
      </c>
      <c r="F22" s="22">
        <f>IFERROR(subQ!F8/subQ!F5,"")</f>
        <v/>
      </c>
      <c r="G22" s="21">
        <f>IFERROR(subQ!G8/subQ!G5,"")</f>
        <v/>
      </c>
      <c r="H22" s="21">
        <f>IFERROR(subQ!H8/subQ!H5,"")</f>
        <v/>
      </c>
      <c r="I22" s="21">
        <f>IFERROR(subQ!I8/subQ!I5,"")</f>
        <v/>
      </c>
      <c r="J22" s="21">
        <f>IFERROR(subQ!J8/subQ!J5,"")</f>
        <v/>
      </c>
      <c r="K22" s="22">
        <f>IFERROR(subQ!K8/subQ!K5,"")</f>
        <v/>
      </c>
      <c r="L22" s="21">
        <f>IFERROR(subQ!L8/subQ!L5,"")</f>
        <v/>
      </c>
      <c r="M22" s="21">
        <f>IFERROR(subQ!M8/subQ!M5,"")</f>
        <v/>
      </c>
      <c r="N22" s="21">
        <f>IFERROR(subQ!N8/subQ!N5,"")</f>
        <v/>
      </c>
      <c r="O22" s="21">
        <f>IFERROR(subQ!O8/subQ!O5,"")</f>
        <v/>
      </c>
      <c r="P22" s="22">
        <f>IFERROR(subQ!P8/subQ!P5,"")</f>
        <v/>
      </c>
      <c r="Q22" s="21">
        <f>IFERROR(subQ!Q8/subQ!Q5,"")</f>
        <v/>
      </c>
      <c r="R22" s="21">
        <f>IFERROR(subQ!R8/subQ!R5,"")</f>
        <v/>
      </c>
      <c r="S22" s="21">
        <f>IFERROR(subQ!S8/subQ!S5,"")</f>
        <v/>
      </c>
      <c r="T22" s="21">
        <f>IFERROR(subQ!T8/subQ!T5,"")</f>
        <v/>
      </c>
      <c r="U22" s="22">
        <f>IFERROR(subQ!U8/subQ!U5,"")</f>
        <v/>
      </c>
      <c r="V22" s="21">
        <f>IFERROR(subQ!V8/subQ!V5,"")</f>
        <v/>
      </c>
      <c r="W22" s="21">
        <f>IFERROR(subQ!W8/subQ!W5,"")</f>
        <v/>
      </c>
      <c r="X22" s="21">
        <f>IFERROR(subQ!X8/subQ!X5,"")</f>
        <v/>
      </c>
      <c r="Y22" s="21">
        <f>IFERROR(subQ!Y8/subQ!Y5,"")</f>
        <v/>
      </c>
      <c r="Z22" s="22">
        <f>IFERROR(subQ!Z8/subQ!Z5,"")</f>
        <v/>
      </c>
      <c r="AA22" s="21">
        <f>IFERROR(subQ!AA8/subQ!AA5,"")</f>
        <v/>
      </c>
      <c r="AB22" s="23">
        <f>IFERROR(subQ!AB8/subQ!AB5,"")</f>
        <v/>
      </c>
      <c r="AC22" s="26">
        <f>$D$52</f>
        <v/>
      </c>
      <c r="AD22" s="26">
        <f>$D$52</f>
        <v/>
      </c>
      <c r="AE22" s="25">
        <f>IFERROR(subQ!AE8/subQ!AE5,"")</f>
        <v/>
      </c>
      <c r="AF22" s="26">
        <f>$D$52</f>
        <v/>
      </c>
      <c r="AG22" s="26">
        <f>$D$52</f>
        <v/>
      </c>
      <c r="AH22" s="26">
        <f>$D$52</f>
        <v/>
      </c>
      <c r="AI22" s="26">
        <f>$D$52</f>
        <v/>
      </c>
      <c r="AJ22" s="25">
        <f>IFERROR(subQ!AJ8/subQ!AJ5,"")</f>
        <v/>
      </c>
      <c r="AK22" s="26">
        <f>$D$52</f>
        <v/>
      </c>
      <c r="AL22" s="26">
        <f>$D$52</f>
        <v/>
      </c>
      <c r="AM22" s="26">
        <f>$D$52</f>
        <v/>
      </c>
      <c r="AN22" s="26">
        <f>$D$52</f>
        <v/>
      </c>
      <c r="AO22" s="25">
        <f>IFERROR(subQ!AO8/subQ!AO5,"")</f>
        <v/>
      </c>
    </row>
    <row r="23">
      <c r="A23" s="12" t="inlineStr">
        <is>
          <t>drv:영업이익</t>
        </is>
      </c>
      <c r="B23" s="2" t="inlineStr">
        <is>
          <t>ratio</t>
        </is>
      </c>
      <c r="C23" t="inlineStr">
        <is>
          <t>영업이익률(OPM)</t>
        </is>
      </c>
      <c r="E23" s="21">
        <f>IFERROR(subQ!E9/subQ!E5,"")</f>
        <v/>
      </c>
      <c r="F23" s="22">
        <f>IFERROR(subQ!F9/subQ!F5,"")</f>
        <v/>
      </c>
      <c r="G23" s="21">
        <f>IFERROR(subQ!G9/subQ!G5,"")</f>
        <v/>
      </c>
      <c r="H23" s="21">
        <f>IFERROR(subQ!H9/subQ!H5,"")</f>
        <v/>
      </c>
      <c r="I23" s="21">
        <f>IFERROR(subQ!I9/subQ!I5,"")</f>
        <v/>
      </c>
      <c r="J23" s="21">
        <f>IFERROR(subQ!J9/subQ!J5,"")</f>
        <v/>
      </c>
      <c r="K23" s="22">
        <f>IFERROR(subQ!K9/subQ!K5,"")</f>
        <v/>
      </c>
      <c r="L23" s="21">
        <f>IFERROR(subQ!L9/subQ!L5,"")</f>
        <v/>
      </c>
      <c r="M23" s="21">
        <f>IFERROR(subQ!M9/subQ!M5,"")</f>
        <v/>
      </c>
      <c r="N23" s="21">
        <f>IFERROR(subQ!N9/subQ!N5,"")</f>
        <v/>
      </c>
      <c r="O23" s="21">
        <f>IFERROR(subQ!O9/subQ!O5,"")</f>
        <v/>
      </c>
      <c r="P23" s="22">
        <f>IFERROR(subQ!P9/subQ!P5,"")</f>
        <v/>
      </c>
      <c r="Q23" s="21">
        <f>IFERROR(subQ!Q9/subQ!Q5,"")</f>
        <v/>
      </c>
      <c r="R23" s="21">
        <f>IFERROR(subQ!R9/subQ!R5,"")</f>
        <v/>
      </c>
      <c r="S23" s="21">
        <f>IFERROR(subQ!S9/subQ!S5,"")</f>
        <v/>
      </c>
      <c r="T23" s="21">
        <f>IFERROR(subQ!T9/subQ!T5,"")</f>
        <v/>
      </c>
      <c r="U23" s="22">
        <f>IFERROR(subQ!U9/subQ!U5,"")</f>
        <v/>
      </c>
      <c r="V23" s="21">
        <f>IFERROR(subQ!V9/subQ!V5,"")</f>
        <v/>
      </c>
      <c r="W23" s="21">
        <f>IFERROR(subQ!W9/subQ!W5,"")</f>
        <v/>
      </c>
      <c r="X23" s="21">
        <f>IFERROR(subQ!X9/subQ!X5,"")</f>
        <v/>
      </c>
      <c r="Y23" s="21">
        <f>IFERROR(subQ!Y9/subQ!Y5,"")</f>
        <v/>
      </c>
      <c r="Z23" s="22">
        <f>IFERROR(subQ!Z9/subQ!Z5,"")</f>
        <v/>
      </c>
      <c r="AA23" s="21">
        <f>IFERROR(subQ!AA9/subQ!AA5,"")</f>
        <v/>
      </c>
      <c r="AB23" s="23">
        <f>IFERROR(subQ!AB9/subQ!AB5,"")</f>
        <v/>
      </c>
      <c r="AC23" s="24" t="n">
        <v>0.056358363</v>
      </c>
      <c r="AD23" s="24" t="n">
        <v>0.056351179</v>
      </c>
      <c r="AE23" s="25">
        <f>IFERROR(subQ!AE9/subQ!AE5,"")</f>
        <v/>
      </c>
      <c r="AF23" s="24" t="n">
        <v>0.056352003</v>
      </c>
      <c r="AG23" s="24" t="n">
        <v>0.056360354</v>
      </c>
      <c r="AH23" s="24" t="n">
        <v>0.056350844</v>
      </c>
      <c r="AI23" s="24" t="n">
        <v>0.056356765</v>
      </c>
      <c r="AJ23" s="25">
        <f>IFERROR(subQ!AJ9/subQ!AJ5,"")</f>
        <v/>
      </c>
      <c r="AK23" s="24" t="n">
        <v>0.056351445</v>
      </c>
      <c r="AL23" s="24" t="n">
        <v>0.05635636</v>
      </c>
      <c r="AM23" s="24" t="n">
        <v>0.056353437</v>
      </c>
      <c r="AN23" s="24" t="n">
        <v>0.056359059</v>
      </c>
      <c r="AO23" s="25">
        <f>IFERROR(subQ!AO9/subQ!AO5,"")</f>
        <v/>
      </c>
    </row>
    <row r="24">
      <c r="A24" s="12" t="inlineStr">
        <is>
          <t>drv:외환손익</t>
        </is>
      </c>
      <c r="B24" s="2" t="inlineStr">
        <is>
          <t>abs</t>
        </is>
      </c>
      <c r="C24" t="inlineStr">
        <is>
          <t>외환손익 (가정, 억원)</t>
        </is>
      </c>
      <c r="E24" s="27">
        <f>subQ!E13</f>
        <v/>
      </c>
      <c r="F24" s="28">
        <f>subQ!F13</f>
        <v/>
      </c>
      <c r="G24" s="27">
        <f>subQ!G13</f>
        <v/>
      </c>
      <c r="H24" s="27">
        <f>subQ!H13</f>
        <v/>
      </c>
      <c r="I24" s="27">
        <f>subQ!I13</f>
        <v/>
      </c>
      <c r="J24" s="27">
        <f>subQ!J13</f>
        <v/>
      </c>
      <c r="K24" s="28">
        <f>subQ!K13</f>
        <v/>
      </c>
      <c r="L24" s="27">
        <f>subQ!L13</f>
        <v/>
      </c>
      <c r="M24" s="27">
        <f>subQ!M13</f>
        <v/>
      </c>
      <c r="N24" s="27">
        <f>subQ!N13</f>
        <v/>
      </c>
      <c r="O24" s="27">
        <f>subQ!O13</f>
        <v/>
      </c>
      <c r="P24" s="28">
        <f>subQ!P13</f>
        <v/>
      </c>
      <c r="Q24" s="27">
        <f>subQ!Q13</f>
        <v/>
      </c>
      <c r="R24" s="27">
        <f>subQ!R13</f>
        <v/>
      </c>
      <c r="S24" s="27">
        <f>subQ!S13</f>
        <v/>
      </c>
      <c r="T24" s="27">
        <f>subQ!T13</f>
        <v/>
      </c>
      <c r="U24" s="28">
        <f>subQ!U13</f>
        <v/>
      </c>
      <c r="V24" s="27">
        <f>subQ!V13</f>
        <v/>
      </c>
      <c r="W24" s="27">
        <f>subQ!W13</f>
        <v/>
      </c>
      <c r="X24" s="27">
        <f>subQ!X13</f>
        <v/>
      </c>
      <c r="Y24" s="27">
        <f>subQ!Y13</f>
        <v/>
      </c>
      <c r="Z24" s="28">
        <f>subQ!Z13</f>
        <v/>
      </c>
      <c r="AA24" s="27">
        <f>subQ!AA13</f>
        <v/>
      </c>
      <c r="AB24" s="29">
        <f>subQ!AB13</f>
        <v/>
      </c>
      <c r="AC24" s="30" t="n">
        <v>0</v>
      </c>
      <c r="AD24" s="30" t="n">
        <v>0</v>
      </c>
      <c r="AE24" s="31">
        <f>subQ!AE13</f>
        <v/>
      </c>
      <c r="AF24" s="30" t="n">
        <v>0</v>
      </c>
      <c r="AG24" s="30" t="n">
        <v>0</v>
      </c>
      <c r="AH24" s="30" t="n">
        <v>0</v>
      </c>
      <c r="AI24" s="30" t="n">
        <v>0</v>
      </c>
      <c r="AJ24" s="31">
        <f>subQ!AJ13</f>
        <v/>
      </c>
      <c r="AK24" s="30" t="n">
        <v>0</v>
      </c>
      <c r="AL24" s="30" t="n">
        <v>0</v>
      </c>
      <c r="AM24" s="30" t="n">
        <v>0</v>
      </c>
      <c r="AN24" s="30" t="n">
        <v>0</v>
      </c>
      <c r="AO24" s="31">
        <f>subQ!AO13</f>
        <v/>
      </c>
    </row>
    <row r="25">
      <c r="A25" s="12" t="inlineStr">
        <is>
          <t>drv:파생상품손익</t>
        </is>
      </c>
      <c r="B25" s="2" t="inlineStr">
        <is>
          <t>abs</t>
        </is>
      </c>
      <c r="C25" t="inlineStr">
        <is>
          <t>파생상품손익 (가정, 억원)</t>
        </is>
      </c>
      <c r="E25" s="27">
        <f>subQ!E14</f>
        <v/>
      </c>
      <c r="F25" s="28">
        <f>subQ!F14</f>
        <v/>
      </c>
      <c r="G25" s="27">
        <f>subQ!G14</f>
        <v/>
      </c>
      <c r="H25" s="27">
        <f>subQ!H14</f>
        <v/>
      </c>
      <c r="I25" s="27">
        <f>subQ!I14</f>
        <v/>
      </c>
      <c r="J25" s="27">
        <f>subQ!J14</f>
        <v/>
      </c>
      <c r="K25" s="28">
        <f>subQ!K14</f>
        <v/>
      </c>
      <c r="L25" s="27">
        <f>subQ!L14</f>
        <v/>
      </c>
      <c r="M25" s="27">
        <f>subQ!M14</f>
        <v/>
      </c>
      <c r="N25" s="27">
        <f>subQ!N14</f>
        <v/>
      </c>
      <c r="O25" s="27">
        <f>subQ!O14</f>
        <v/>
      </c>
      <c r="P25" s="28">
        <f>subQ!P14</f>
        <v/>
      </c>
      <c r="Q25" s="27">
        <f>subQ!Q14</f>
        <v/>
      </c>
      <c r="R25" s="27">
        <f>subQ!R14</f>
        <v/>
      </c>
      <c r="S25" s="27">
        <f>subQ!S14</f>
        <v/>
      </c>
      <c r="T25" s="27">
        <f>subQ!T14</f>
        <v/>
      </c>
      <c r="U25" s="28">
        <f>subQ!U14</f>
        <v/>
      </c>
      <c r="V25" s="27">
        <f>subQ!V14</f>
        <v/>
      </c>
      <c r="W25" s="27">
        <f>subQ!W14</f>
        <v/>
      </c>
      <c r="X25" s="27">
        <f>subQ!X14</f>
        <v/>
      </c>
      <c r="Y25" s="27">
        <f>subQ!Y14</f>
        <v/>
      </c>
      <c r="Z25" s="28">
        <f>subQ!Z14</f>
        <v/>
      </c>
      <c r="AA25" s="27">
        <f>subQ!AA14</f>
        <v/>
      </c>
      <c r="AB25" s="29">
        <f>subQ!AB14</f>
        <v/>
      </c>
      <c r="AC25" s="30" t="n">
        <v>0</v>
      </c>
      <c r="AD25" s="30" t="n">
        <v>0</v>
      </c>
      <c r="AE25" s="31">
        <f>subQ!AE14</f>
        <v/>
      </c>
      <c r="AF25" s="30" t="n">
        <v>0</v>
      </c>
      <c r="AG25" s="30" t="n">
        <v>0</v>
      </c>
      <c r="AH25" s="30" t="n">
        <v>0</v>
      </c>
      <c r="AI25" s="30" t="n">
        <v>0</v>
      </c>
      <c r="AJ25" s="31">
        <f>subQ!AJ14</f>
        <v/>
      </c>
      <c r="AK25" s="30" t="n">
        <v>0</v>
      </c>
      <c r="AL25" s="30" t="n">
        <v>0</v>
      </c>
      <c r="AM25" s="30" t="n">
        <v>0</v>
      </c>
      <c r="AN25" s="30" t="n">
        <v>0</v>
      </c>
      <c r="AO25" s="31">
        <f>subQ!AO14</f>
        <v/>
      </c>
    </row>
    <row r="26">
      <c r="A26" s="12" t="inlineStr">
        <is>
          <t>drv:기타금융손익</t>
        </is>
      </c>
      <c r="B26" s="2" t="inlineStr">
        <is>
          <t>abs</t>
        </is>
      </c>
      <c r="C26" t="inlineStr">
        <is>
          <t>기타금융손익 (가정, 억원)</t>
        </is>
      </c>
      <c r="E26" s="27">
        <f>subQ!E15</f>
        <v/>
      </c>
      <c r="F26" s="28">
        <f>subQ!F15</f>
        <v/>
      </c>
      <c r="G26" s="27">
        <f>subQ!G15</f>
        <v/>
      </c>
      <c r="H26" s="27">
        <f>subQ!H15</f>
        <v/>
      </c>
      <c r="I26" s="27">
        <f>subQ!I15</f>
        <v/>
      </c>
      <c r="J26" s="27">
        <f>subQ!J15</f>
        <v/>
      </c>
      <c r="K26" s="28">
        <f>subQ!K15</f>
        <v/>
      </c>
      <c r="L26" s="27">
        <f>subQ!L15</f>
        <v/>
      </c>
      <c r="M26" s="27">
        <f>subQ!M15</f>
        <v/>
      </c>
      <c r="N26" s="27">
        <f>subQ!N15</f>
        <v/>
      </c>
      <c r="O26" s="27">
        <f>subQ!O15</f>
        <v/>
      </c>
      <c r="P26" s="28">
        <f>subQ!P15</f>
        <v/>
      </c>
      <c r="Q26" s="27">
        <f>subQ!Q15</f>
        <v/>
      </c>
      <c r="R26" s="27">
        <f>subQ!R15</f>
        <v/>
      </c>
      <c r="S26" s="27">
        <f>subQ!S15</f>
        <v/>
      </c>
      <c r="T26" s="27">
        <f>subQ!T15</f>
        <v/>
      </c>
      <c r="U26" s="28">
        <f>subQ!U15</f>
        <v/>
      </c>
      <c r="V26" s="27">
        <f>subQ!V15</f>
        <v/>
      </c>
      <c r="W26" s="27">
        <f>subQ!W15</f>
        <v/>
      </c>
      <c r="X26" s="27">
        <f>subQ!X15</f>
        <v/>
      </c>
      <c r="Y26" s="27">
        <f>subQ!Y15</f>
        <v/>
      </c>
      <c r="Z26" s="28">
        <f>subQ!Z15</f>
        <v/>
      </c>
      <c r="AA26" s="27">
        <f>subQ!AA15</f>
        <v/>
      </c>
      <c r="AB26" s="29">
        <f>subQ!AB15</f>
        <v/>
      </c>
      <c r="AC26" s="30" t="n">
        <v>0</v>
      </c>
      <c r="AD26" s="30" t="n">
        <v>0</v>
      </c>
      <c r="AE26" s="31">
        <f>subQ!AE15</f>
        <v/>
      </c>
      <c r="AF26" s="30" t="n">
        <v>0</v>
      </c>
      <c r="AG26" s="30" t="n">
        <v>0</v>
      </c>
      <c r="AH26" s="30" t="n">
        <v>0</v>
      </c>
      <c r="AI26" s="30" t="n">
        <v>0</v>
      </c>
      <c r="AJ26" s="31">
        <f>subQ!AJ15</f>
        <v/>
      </c>
      <c r="AK26" s="30" t="n">
        <v>0</v>
      </c>
      <c r="AL26" s="30" t="n">
        <v>0</v>
      </c>
      <c r="AM26" s="30" t="n">
        <v>0</v>
      </c>
      <c r="AN26" s="30" t="n">
        <v>0</v>
      </c>
      <c r="AO26" s="31">
        <f>subQ!AO15</f>
        <v/>
      </c>
    </row>
    <row r="27">
      <c r="A27" s="12" t="inlineStr">
        <is>
          <t>drv:기타영업외손익</t>
        </is>
      </c>
      <c r="B27" s="2" t="inlineStr">
        <is>
          <t>abs</t>
        </is>
      </c>
      <c r="C27" t="inlineStr">
        <is>
          <t>기타영업외손익 (가정, 억원)</t>
        </is>
      </c>
      <c r="E27" s="27">
        <f>subQ!E16</f>
        <v/>
      </c>
      <c r="F27" s="28">
        <f>subQ!F16</f>
        <v/>
      </c>
      <c r="G27" s="27">
        <f>subQ!G16</f>
        <v/>
      </c>
      <c r="H27" s="27">
        <f>subQ!H16</f>
        <v/>
      </c>
      <c r="I27" s="27">
        <f>subQ!I16</f>
        <v/>
      </c>
      <c r="J27" s="27">
        <f>subQ!J16</f>
        <v/>
      </c>
      <c r="K27" s="28">
        <f>subQ!K16</f>
        <v/>
      </c>
      <c r="L27" s="27">
        <f>subQ!L16</f>
        <v/>
      </c>
      <c r="M27" s="27">
        <f>subQ!M16</f>
        <v/>
      </c>
      <c r="N27" s="27">
        <f>subQ!N16</f>
        <v/>
      </c>
      <c r="O27" s="27">
        <f>subQ!O16</f>
        <v/>
      </c>
      <c r="P27" s="28">
        <f>subQ!P16</f>
        <v/>
      </c>
      <c r="Q27" s="27">
        <f>subQ!Q16</f>
        <v/>
      </c>
      <c r="R27" s="27">
        <f>subQ!R16</f>
        <v/>
      </c>
      <c r="S27" s="27">
        <f>subQ!S16</f>
        <v/>
      </c>
      <c r="T27" s="27">
        <f>subQ!T16</f>
        <v/>
      </c>
      <c r="U27" s="28">
        <f>subQ!U16</f>
        <v/>
      </c>
      <c r="V27" s="27">
        <f>subQ!V16</f>
        <v/>
      </c>
      <c r="W27" s="27">
        <f>subQ!W16</f>
        <v/>
      </c>
      <c r="X27" s="27">
        <f>subQ!X16</f>
        <v/>
      </c>
      <c r="Y27" s="27">
        <f>subQ!Y16</f>
        <v/>
      </c>
      <c r="Z27" s="28">
        <f>subQ!Z16</f>
        <v/>
      </c>
      <c r="AA27" s="27">
        <f>subQ!AA16</f>
        <v/>
      </c>
      <c r="AB27" s="29">
        <f>subQ!AB16</f>
        <v/>
      </c>
      <c r="AC27" s="30" t="n">
        <v>0</v>
      </c>
      <c r="AD27" s="30" t="n">
        <v>0</v>
      </c>
      <c r="AE27" s="31">
        <f>subQ!AE16</f>
        <v/>
      </c>
      <c r="AF27" s="30" t="n">
        <v>0</v>
      </c>
      <c r="AG27" s="30" t="n">
        <v>0</v>
      </c>
      <c r="AH27" s="30" t="n">
        <v>0</v>
      </c>
      <c r="AI27" s="30" t="n">
        <v>0</v>
      </c>
      <c r="AJ27" s="31">
        <f>subQ!AJ16</f>
        <v/>
      </c>
      <c r="AK27" s="30" t="n">
        <v>0</v>
      </c>
      <c r="AL27" s="30" t="n">
        <v>0</v>
      </c>
      <c r="AM27" s="30" t="n">
        <v>0</v>
      </c>
      <c r="AN27" s="30" t="n">
        <v>0</v>
      </c>
      <c r="AO27" s="31">
        <f>subQ!AO16</f>
        <v/>
      </c>
    </row>
    <row r="28">
      <c r="A28" s="12" t="inlineStr">
        <is>
          <t>drv:지분법손익</t>
        </is>
      </c>
      <c r="B28" s="2" t="inlineStr">
        <is>
          <t>abs</t>
        </is>
      </c>
      <c r="C28" t="inlineStr">
        <is>
          <t>지분법손익 (가정, 억원)</t>
        </is>
      </c>
      <c r="E28" s="27">
        <f>subQ!E17</f>
        <v/>
      </c>
      <c r="F28" s="28">
        <f>subQ!F17</f>
        <v/>
      </c>
      <c r="G28" s="27">
        <f>subQ!G17</f>
        <v/>
      </c>
      <c r="H28" s="27">
        <f>subQ!H17</f>
        <v/>
      </c>
      <c r="I28" s="27">
        <f>subQ!I17</f>
        <v/>
      </c>
      <c r="J28" s="27">
        <f>subQ!J17</f>
        <v/>
      </c>
      <c r="K28" s="28">
        <f>subQ!K17</f>
        <v/>
      </c>
      <c r="L28" s="27">
        <f>subQ!L17</f>
        <v/>
      </c>
      <c r="M28" s="27">
        <f>subQ!M17</f>
        <v/>
      </c>
      <c r="N28" s="27">
        <f>subQ!N17</f>
        <v/>
      </c>
      <c r="O28" s="27">
        <f>subQ!O17</f>
        <v/>
      </c>
      <c r="P28" s="28">
        <f>subQ!P17</f>
        <v/>
      </c>
      <c r="Q28" s="27">
        <f>subQ!Q17</f>
        <v/>
      </c>
      <c r="R28" s="27">
        <f>subQ!R17</f>
        <v/>
      </c>
      <c r="S28" s="27">
        <f>subQ!S17</f>
        <v/>
      </c>
      <c r="T28" s="27">
        <f>subQ!T17</f>
        <v/>
      </c>
      <c r="U28" s="28">
        <f>subQ!U17</f>
        <v/>
      </c>
      <c r="V28" s="27">
        <f>subQ!V17</f>
        <v/>
      </c>
      <c r="W28" s="27">
        <f>subQ!W17</f>
        <v/>
      </c>
      <c r="X28" s="27">
        <f>subQ!X17</f>
        <v/>
      </c>
      <c r="Y28" s="27">
        <f>subQ!Y17</f>
        <v/>
      </c>
      <c r="Z28" s="28">
        <f>subQ!Z17</f>
        <v/>
      </c>
      <c r="AA28" s="27">
        <f>subQ!AA17</f>
        <v/>
      </c>
      <c r="AB28" s="29">
        <f>subQ!AB17</f>
        <v/>
      </c>
      <c r="AC28" s="30" t="n">
        <v>4.51</v>
      </c>
      <c r="AD28" s="30" t="n">
        <v>4.51</v>
      </c>
      <c r="AE28" s="31">
        <f>subQ!AE17</f>
        <v/>
      </c>
      <c r="AF28" s="30" t="n">
        <v>4.51</v>
      </c>
      <c r="AG28" s="30" t="n">
        <v>4.51</v>
      </c>
      <c r="AH28" s="30" t="n">
        <v>4.51</v>
      </c>
      <c r="AI28" s="30" t="n">
        <v>4.51</v>
      </c>
      <c r="AJ28" s="31">
        <f>subQ!AJ17</f>
        <v/>
      </c>
      <c r="AK28" s="30" t="n">
        <v>4.51</v>
      </c>
      <c r="AL28" s="30" t="n">
        <v>4.51</v>
      </c>
      <c r="AM28" s="30" t="n">
        <v>4.51</v>
      </c>
      <c r="AN28" s="30" t="n">
        <v>4.51</v>
      </c>
      <c r="AO28" s="31">
        <f>subQ!AO17</f>
        <v/>
      </c>
    </row>
    <row r="29">
      <c r="A29" s="12" t="inlineStr">
        <is>
          <t>drv:법인세비용</t>
        </is>
      </c>
      <c r="B29" s="2" t="inlineStr">
        <is>
          <t>tax</t>
        </is>
      </c>
      <c r="C29" t="inlineStr">
        <is>
          <t>법인세율(/세전) — 법인세 = MAX(세전,0) × 세율</t>
        </is>
      </c>
      <c r="E29" s="21">
        <f>IFERROR(subQ!E19/subQ!E18,"")</f>
        <v/>
      </c>
      <c r="F29" s="22">
        <f>IFERROR(subQ!F19/subQ!F18,"")</f>
        <v/>
      </c>
      <c r="G29" s="21">
        <f>IFERROR(subQ!G19/subQ!G18,"")</f>
        <v/>
      </c>
      <c r="H29" s="21">
        <f>IFERROR(subQ!H19/subQ!H18,"")</f>
        <v/>
      </c>
      <c r="I29" s="21">
        <f>IFERROR(subQ!I19/subQ!I18,"")</f>
        <v/>
      </c>
      <c r="J29" s="21">
        <f>IFERROR(subQ!J19/subQ!J18,"")</f>
        <v/>
      </c>
      <c r="K29" s="22">
        <f>IFERROR(subQ!K19/subQ!K18,"")</f>
        <v/>
      </c>
      <c r="L29" s="21">
        <f>IFERROR(subQ!L19/subQ!L18,"")</f>
        <v/>
      </c>
      <c r="M29" s="21">
        <f>IFERROR(subQ!M19/subQ!M18,"")</f>
        <v/>
      </c>
      <c r="N29" s="21">
        <f>IFERROR(subQ!N19/subQ!N18,"")</f>
        <v/>
      </c>
      <c r="O29" s="21">
        <f>IFERROR(subQ!O19/subQ!O18,"")</f>
        <v/>
      </c>
      <c r="P29" s="22">
        <f>IFERROR(subQ!P19/subQ!P18,"")</f>
        <v/>
      </c>
      <c r="Q29" s="21">
        <f>IFERROR(subQ!Q19/subQ!Q18,"")</f>
        <v/>
      </c>
      <c r="R29" s="21">
        <f>IFERROR(subQ!R19/subQ!R18,"")</f>
        <v/>
      </c>
      <c r="S29" s="21">
        <f>IFERROR(subQ!S19/subQ!S18,"")</f>
        <v/>
      </c>
      <c r="T29" s="21">
        <f>IFERROR(subQ!T19/subQ!T18,"")</f>
        <v/>
      </c>
      <c r="U29" s="22">
        <f>IFERROR(subQ!U19/subQ!U18,"")</f>
        <v/>
      </c>
      <c r="V29" s="21">
        <f>IFERROR(subQ!V19/subQ!V18,"")</f>
        <v/>
      </c>
      <c r="W29" s="21">
        <f>IFERROR(subQ!W19/subQ!W18,"")</f>
        <v/>
      </c>
      <c r="X29" s="21">
        <f>IFERROR(subQ!X19/subQ!X18,"")</f>
        <v/>
      </c>
      <c r="Y29" s="21">
        <f>IFERROR(subQ!Y19/subQ!Y18,"")</f>
        <v/>
      </c>
      <c r="Z29" s="22">
        <f>IFERROR(subQ!Z19/subQ!Z18,"")</f>
        <v/>
      </c>
      <c r="AA29" s="21">
        <f>IFERROR(subQ!AA19/subQ!AA18,"")</f>
        <v/>
      </c>
      <c r="AB29" s="23">
        <f>IFERROR(subQ!AB19/subQ!AB18,"")</f>
        <v/>
      </c>
      <c r="AC29" s="26">
        <f>$D$51</f>
        <v/>
      </c>
      <c r="AD29" s="26">
        <f>$D$51</f>
        <v/>
      </c>
      <c r="AE29" s="25">
        <f>IFERROR(subQ!AE19/subQ!AE18,"")</f>
        <v/>
      </c>
      <c r="AF29" s="26">
        <f>$D$51</f>
        <v/>
      </c>
      <c r="AG29" s="26">
        <f>$D$51</f>
        <v/>
      </c>
      <c r="AH29" s="26">
        <f>$D$51</f>
        <v/>
      </c>
      <c r="AI29" s="26">
        <f>$D$51</f>
        <v/>
      </c>
      <c r="AJ29" s="25">
        <f>IFERROR(subQ!AJ19/subQ!AJ18,"")</f>
        <v/>
      </c>
      <c r="AK29" s="26">
        <f>$D$51</f>
        <v/>
      </c>
      <c r="AL29" s="26">
        <f>$D$51</f>
        <v/>
      </c>
      <c r="AM29" s="26">
        <f>$D$51</f>
        <v/>
      </c>
      <c r="AN29" s="26">
        <f>$D$51</f>
        <v/>
      </c>
      <c r="AO29" s="25">
        <f>IFERROR(subQ!AO19/subQ!AO18,"")</f>
        <v/>
      </c>
    </row>
    <row r="30">
      <c r="A30" s="12" t="inlineStr">
        <is>
          <t>drv:지배주주순이익</t>
        </is>
      </c>
      <c r="B30" s="2" t="inlineStr">
        <is>
          <t>ratio</t>
        </is>
      </c>
      <c r="C30" t="inlineStr">
        <is>
          <t>지배주주 비중(/당기순이익)</t>
        </is>
      </c>
      <c r="E30" s="21">
        <f>IFERROR(subQ!E21/subQ!E20,"")</f>
        <v/>
      </c>
      <c r="F30" s="22">
        <f>IFERROR(subQ!F21/subQ!F20,"")</f>
        <v/>
      </c>
      <c r="G30" s="21">
        <f>IFERROR(subQ!G21/subQ!G20,"")</f>
        <v/>
      </c>
      <c r="H30" s="21">
        <f>IFERROR(subQ!H21/subQ!H20,"")</f>
        <v/>
      </c>
      <c r="I30" s="21">
        <f>IFERROR(subQ!I21/subQ!I20,"")</f>
        <v/>
      </c>
      <c r="J30" s="21">
        <f>IFERROR(subQ!J21/subQ!J20,"")</f>
        <v/>
      </c>
      <c r="K30" s="22">
        <f>IFERROR(subQ!K21/subQ!K20,"")</f>
        <v/>
      </c>
      <c r="L30" s="21">
        <f>IFERROR(subQ!L21/subQ!L20,"")</f>
        <v/>
      </c>
      <c r="M30" s="21">
        <f>IFERROR(subQ!M21/subQ!M20,"")</f>
        <v/>
      </c>
      <c r="N30" s="21">
        <f>IFERROR(subQ!N21/subQ!N20,"")</f>
        <v/>
      </c>
      <c r="O30" s="21">
        <f>IFERROR(subQ!O21/subQ!O20,"")</f>
        <v/>
      </c>
      <c r="P30" s="22">
        <f>IFERROR(subQ!P21/subQ!P20,"")</f>
        <v/>
      </c>
      <c r="Q30" s="21">
        <f>IFERROR(subQ!Q21/subQ!Q20,"")</f>
        <v/>
      </c>
      <c r="R30" s="21">
        <f>IFERROR(subQ!R21/subQ!R20,"")</f>
        <v/>
      </c>
      <c r="S30" s="21">
        <f>IFERROR(subQ!S21/subQ!S20,"")</f>
        <v/>
      </c>
      <c r="T30" s="21">
        <f>IFERROR(subQ!T21/subQ!T20,"")</f>
        <v/>
      </c>
      <c r="U30" s="22">
        <f>IFERROR(subQ!U21/subQ!U20,"")</f>
        <v/>
      </c>
      <c r="V30" s="21">
        <f>IFERROR(subQ!V21/subQ!V20,"")</f>
        <v/>
      </c>
      <c r="W30" s="21">
        <f>IFERROR(subQ!W21/subQ!W20,"")</f>
        <v/>
      </c>
      <c r="X30" s="21">
        <f>IFERROR(subQ!X21/subQ!X20,"")</f>
        <v/>
      </c>
      <c r="Y30" s="21">
        <f>IFERROR(subQ!Y21/subQ!Y20,"")</f>
        <v/>
      </c>
      <c r="Z30" s="22">
        <f>IFERROR(subQ!Z21/subQ!Z20,"")</f>
        <v/>
      </c>
      <c r="AA30" s="21">
        <f>IFERROR(subQ!AA21/subQ!AA20,"")</f>
        <v/>
      </c>
      <c r="AB30" s="23">
        <f>IFERROR(subQ!AB21/subQ!AB20,"")</f>
        <v/>
      </c>
      <c r="AC30" s="26">
        <f>$D$53</f>
        <v/>
      </c>
      <c r="AD30" s="26">
        <f>$D$53</f>
        <v/>
      </c>
      <c r="AE30" s="25">
        <f>IFERROR(subQ!AE21/subQ!AE20,"")</f>
        <v/>
      </c>
      <c r="AF30" s="26">
        <f>$D$53</f>
        <v/>
      </c>
      <c r="AG30" s="26">
        <f>$D$53</f>
        <v/>
      </c>
      <c r="AH30" s="26">
        <f>$D$53</f>
        <v/>
      </c>
      <c r="AI30" s="26">
        <f>$D$53</f>
        <v/>
      </c>
      <c r="AJ30" s="25">
        <f>IFERROR(subQ!AJ21/subQ!AJ20,"")</f>
        <v/>
      </c>
      <c r="AK30" s="26">
        <f>$D$53</f>
        <v/>
      </c>
      <c r="AL30" s="26">
        <f>$D$53</f>
        <v/>
      </c>
      <c r="AM30" s="26">
        <f>$D$53</f>
        <v/>
      </c>
      <c r="AN30" s="26">
        <f>$D$53</f>
        <v/>
      </c>
      <c r="AO30" s="25">
        <f>IFERROR(subQ!AO21/subQ!AO20,"")</f>
        <v/>
      </c>
    </row>
    <row r="31">
      <c r="A31" s="12" t="inlineStr">
        <is>
          <t>drv:부채총계</t>
        </is>
      </c>
      <c r="B31" s="2" t="inlineStr">
        <is>
          <t>qoq</t>
        </is>
      </c>
      <c r="C31" t="inlineStr">
        <is>
          <t>부채총계 QoQ</t>
        </is>
      </c>
      <c r="E31" s="21" t="n"/>
      <c r="F31" s="22" t="n"/>
      <c r="G31" s="21">
        <f>IFERROR(subQ!G23/subQ!E23-1,"")</f>
        <v/>
      </c>
      <c r="H31" s="21">
        <f>IFERROR(subQ!H23/subQ!G23-1,"")</f>
        <v/>
      </c>
      <c r="I31" s="21">
        <f>IFERROR(subQ!I23/subQ!H23-1,"")</f>
        <v/>
      </c>
      <c r="J31" s="21">
        <f>IFERROR(subQ!J23/subQ!I23-1,"")</f>
        <v/>
      </c>
      <c r="K31" s="22" t="n"/>
      <c r="L31" s="21">
        <f>IFERROR(subQ!L23/subQ!J23-1,"")</f>
        <v/>
      </c>
      <c r="M31" s="21">
        <f>IFERROR(subQ!M23/subQ!L23-1,"")</f>
        <v/>
      </c>
      <c r="N31" s="21">
        <f>IFERROR(subQ!N23/subQ!M23-1,"")</f>
        <v/>
      </c>
      <c r="O31" s="21">
        <f>IFERROR(subQ!O23/subQ!N23-1,"")</f>
        <v/>
      </c>
      <c r="P31" s="22" t="n"/>
      <c r="Q31" s="21">
        <f>IFERROR(subQ!Q23/subQ!O23-1,"")</f>
        <v/>
      </c>
      <c r="R31" s="21">
        <f>IFERROR(subQ!R23/subQ!Q23-1,"")</f>
        <v/>
      </c>
      <c r="S31" s="21">
        <f>IFERROR(subQ!S23/subQ!R23-1,"")</f>
        <v/>
      </c>
      <c r="T31" s="21">
        <f>IFERROR(subQ!T23/subQ!S23-1,"")</f>
        <v/>
      </c>
      <c r="U31" s="22" t="n"/>
      <c r="V31" s="21">
        <f>IFERROR(subQ!V23/subQ!T23-1,"")</f>
        <v/>
      </c>
      <c r="W31" s="21">
        <f>IFERROR(subQ!W23/subQ!V23-1,"")</f>
        <v/>
      </c>
      <c r="X31" s="21">
        <f>IFERROR(subQ!X23/subQ!W23-1,"")</f>
        <v/>
      </c>
      <c r="Y31" s="21">
        <f>IFERROR(subQ!Y23/subQ!X23-1,"")</f>
        <v/>
      </c>
      <c r="Z31" s="22" t="n"/>
      <c r="AA31" s="21">
        <f>IFERROR(subQ!AA23/subQ!Y23-1,"")</f>
        <v/>
      </c>
      <c r="AB31" s="23">
        <f>IFERROR(subQ!AB23/subQ!AA23-1,"")</f>
        <v/>
      </c>
      <c r="AC31" s="24" t="n">
        <v>3.73e-07</v>
      </c>
      <c r="AD31" s="24" t="n">
        <v>0</v>
      </c>
      <c r="AE31" s="25" t="n"/>
      <c r="AF31" s="24" t="n">
        <v>0</v>
      </c>
      <c r="AG31" s="24" t="n">
        <v>0</v>
      </c>
      <c r="AH31" s="24" t="n">
        <v>0</v>
      </c>
      <c r="AI31" s="24" t="n">
        <v>0</v>
      </c>
      <c r="AJ31" s="25" t="n"/>
      <c r="AK31" s="24" t="n">
        <v>0</v>
      </c>
      <c r="AL31" s="24" t="n">
        <v>0</v>
      </c>
      <c r="AM31" s="24" t="n">
        <v>0</v>
      </c>
      <c r="AN31" s="24" t="n">
        <v>0</v>
      </c>
      <c r="AO31" s="25" t="n"/>
    </row>
    <row r="32">
      <c r="A32" s="12" t="inlineStr">
        <is>
          <t>drv:자본총계</t>
        </is>
      </c>
      <c r="B32" s="2" t="inlineStr">
        <is>
          <t>roll</t>
        </is>
      </c>
      <c r="C32" t="inlineStr">
        <is>
          <t>자본총계 기타변동(배당 등, 억원)</t>
        </is>
      </c>
      <c r="E32" s="27" t="n"/>
      <c r="F32" s="28" t="n"/>
      <c r="G32" s="27">
        <f>IFERROR(subQ!E24+subQ!G20-subQ!G24,"")</f>
        <v/>
      </c>
      <c r="H32" s="27">
        <f>IFERROR(subQ!G24+subQ!H20-subQ!H24,"")</f>
        <v/>
      </c>
      <c r="I32" s="27">
        <f>IFERROR(subQ!H24+subQ!I20-subQ!I24,"")</f>
        <v/>
      </c>
      <c r="J32" s="27">
        <f>IFERROR(subQ!I24+subQ!J20-subQ!J24,"")</f>
        <v/>
      </c>
      <c r="K32" s="28" t="n"/>
      <c r="L32" s="27">
        <f>IFERROR(subQ!J24+subQ!L20-subQ!L24,"")</f>
        <v/>
      </c>
      <c r="M32" s="27">
        <f>IFERROR(subQ!L24+subQ!M20-subQ!M24,"")</f>
        <v/>
      </c>
      <c r="N32" s="27">
        <f>IFERROR(subQ!M24+subQ!N20-subQ!N24,"")</f>
        <v/>
      </c>
      <c r="O32" s="27">
        <f>IFERROR(subQ!N24+subQ!O20-subQ!O24,"")</f>
        <v/>
      </c>
      <c r="P32" s="28" t="n"/>
      <c r="Q32" s="27">
        <f>IFERROR(subQ!O24+subQ!Q20-subQ!Q24,"")</f>
        <v/>
      </c>
      <c r="R32" s="27">
        <f>IFERROR(subQ!Q24+subQ!R20-subQ!R24,"")</f>
        <v/>
      </c>
      <c r="S32" s="27">
        <f>IFERROR(subQ!R24+subQ!S20-subQ!S24,"")</f>
        <v/>
      </c>
      <c r="T32" s="27">
        <f>IFERROR(subQ!S24+subQ!T20-subQ!T24,"")</f>
        <v/>
      </c>
      <c r="U32" s="28" t="n"/>
      <c r="V32" s="27">
        <f>IFERROR(subQ!T24+subQ!V20-subQ!V24,"")</f>
        <v/>
      </c>
      <c r="W32" s="27">
        <f>IFERROR(subQ!V24+subQ!W20-subQ!W24,"")</f>
        <v/>
      </c>
      <c r="X32" s="27">
        <f>IFERROR(subQ!W24+subQ!X20-subQ!X24,"")</f>
        <v/>
      </c>
      <c r="Y32" s="27">
        <f>IFERROR(subQ!X24+subQ!Y20-subQ!Y24,"")</f>
        <v/>
      </c>
      <c r="Z32" s="28" t="n"/>
      <c r="AA32" s="27">
        <f>IFERROR(subQ!Y24+subQ!AA20-subQ!AA24,"")</f>
        <v/>
      </c>
      <c r="AB32" s="29">
        <f>IFERROR(subQ!AA24+subQ!AB20-subQ!AB24,"")</f>
        <v/>
      </c>
      <c r="AC32" s="30" t="n">
        <v>-0.000374113</v>
      </c>
      <c r="AD32" s="30" t="n">
        <v>0.001272136</v>
      </c>
      <c r="AE32" s="31" t="n"/>
      <c r="AF32" s="30" t="n">
        <v>-0.0006795320000000001</v>
      </c>
      <c r="AG32" s="30" t="n">
        <v>40.002075613</v>
      </c>
      <c r="AH32" s="30" t="n">
        <v>0.00142807</v>
      </c>
      <c r="AI32" s="30" t="n">
        <v>-0.005560778</v>
      </c>
      <c r="AJ32" s="31" t="n"/>
      <c r="AK32" s="30" t="n">
        <v>0.005036746</v>
      </c>
      <c r="AL32" s="30" t="n">
        <v>39.995639294</v>
      </c>
      <c r="AM32" s="30" t="n">
        <v>0.002259437</v>
      </c>
      <c r="AN32" s="30" t="n">
        <v>0.001481555</v>
      </c>
      <c r="AO32" s="31" t="n"/>
    </row>
    <row r="33">
      <c r="A33" s="12" t="inlineStr">
        <is>
          <t>drv:지배주주지분</t>
        </is>
      </c>
      <c r="B33" s="2" t="inlineStr">
        <is>
          <t>roll</t>
        </is>
      </c>
      <c r="C33" t="inlineStr">
        <is>
          <t>지배주주지분 기타변동(배당 등, 억원)</t>
        </is>
      </c>
      <c r="E33" s="27" t="n"/>
      <c r="F33" s="28" t="n"/>
      <c r="G33" s="27">
        <f>IFERROR(subQ!E25+subQ!G21-subQ!G25,"")</f>
        <v/>
      </c>
      <c r="H33" s="27">
        <f>IFERROR(subQ!G25+subQ!H21-subQ!H25,"")</f>
        <v/>
      </c>
      <c r="I33" s="27">
        <f>IFERROR(subQ!H25+subQ!I21-subQ!I25,"")</f>
        <v/>
      </c>
      <c r="J33" s="27">
        <f>IFERROR(subQ!I25+subQ!J21-subQ!J25,"")</f>
        <v/>
      </c>
      <c r="K33" s="28" t="n"/>
      <c r="L33" s="27">
        <f>IFERROR(subQ!J25+subQ!L21-subQ!L25,"")</f>
        <v/>
      </c>
      <c r="M33" s="27">
        <f>IFERROR(subQ!L25+subQ!M21-subQ!M25,"")</f>
        <v/>
      </c>
      <c r="N33" s="27">
        <f>IFERROR(subQ!M25+subQ!N21-subQ!N25,"")</f>
        <v/>
      </c>
      <c r="O33" s="27">
        <f>IFERROR(subQ!N25+subQ!O21-subQ!O25,"")</f>
        <v/>
      </c>
      <c r="P33" s="28" t="n"/>
      <c r="Q33" s="27">
        <f>IFERROR(subQ!O25+subQ!Q21-subQ!Q25,"")</f>
        <v/>
      </c>
      <c r="R33" s="27">
        <f>IFERROR(subQ!Q25+subQ!R21-subQ!R25,"")</f>
        <v/>
      </c>
      <c r="S33" s="27">
        <f>IFERROR(subQ!R25+subQ!S21-subQ!S25,"")</f>
        <v/>
      </c>
      <c r="T33" s="27">
        <f>IFERROR(subQ!S25+subQ!T21-subQ!T25,"")</f>
        <v/>
      </c>
      <c r="U33" s="28" t="n"/>
      <c r="V33" s="27">
        <f>IFERROR(subQ!T25+subQ!V21-subQ!V25,"")</f>
        <v/>
      </c>
      <c r="W33" s="27">
        <f>IFERROR(subQ!V25+subQ!W21-subQ!W25,"")</f>
        <v/>
      </c>
      <c r="X33" s="27">
        <f>IFERROR(subQ!W25+subQ!X21-subQ!X25,"")</f>
        <v/>
      </c>
      <c r="Y33" s="27">
        <f>IFERROR(subQ!X25+subQ!Y21-subQ!Y25,"")</f>
        <v/>
      </c>
      <c r="Z33" s="28" t="n"/>
      <c r="AA33" s="27">
        <f>IFERROR(subQ!Y25+subQ!AA21-subQ!AA25,"")</f>
        <v/>
      </c>
      <c r="AB33" s="29">
        <f>IFERROR(subQ!AA25+subQ!AB21-subQ!AB25,"")</f>
        <v/>
      </c>
      <c r="AC33" s="30" t="n">
        <v>0.004825887</v>
      </c>
      <c r="AD33" s="30" t="n">
        <v>-0.008727864</v>
      </c>
      <c r="AE33" s="31" t="n"/>
      <c r="AF33" s="30" t="n">
        <v>-0.0006795320000000001</v>
      </c>
      <c r="AG33" s="30" t="n">
        <v>40.012075613</v>
      </c>
      <c r="AH33" s="30" t="n">
        <v>-0.00857193</v>
      </c>
      <c r="AI33" s="30" t="n">
        <v>0.004439222</v>
      </c>
      <c r="AJ33" s="31" t="n"/>
      <c r="AK33" s="30" t="n">
        <v>-0.004963254</v>
      </c>
      <c r="AL33" s="30" t="n">
        <v>40.005639294</v>
      </c>
      <c r="AM33" s="30" t="n">
        <v>0.002259437</v>
      </c>
      <c r="AN33" s="30" t="n">
        <v>0.001481555</v>
      </c>
      <c r="AO33" s="31" t="n"/>
    </row>
    <row r="34">
      <c r="A34" s="12" t="inlineStr">
        <is>
          <t>drv:총차입금</t>
        </is>
      </c>
      <c r="B34" s="2" t="inlineStr">
        <is>
          <t>qoq</t>
        </is>
      </c>
      <c r="C34" t="inlineStr">
        <is>
          <t>총차입금 QoQ</t>
        </is>
      </c>
      <c r="E34" s="21" t="n"/>
      <c r="F34" s="22" t="n"/>
      <c r="G34" s="21">
        <f>IFERROR(subQ!G26/subQ!E26-1,"")</f>
        <v/>
      </c>
      <c r="H34" s="21">
        <f>IFERROR(subQ!H26/subQ!G26-1,"")</f>
        <v/>
      </c>
      <c r="I34" s="21">
        <f>IFERROR(subQ!I26/subQ!H26-1,"")</f>
        <v/>
      </c>
      <c r="J34" s="21">
        <f>IFERROR(subQ!J26/subQ!I26-1,"")</f>
        <v/>
      </c>
      <c r="K34" s="22" t="n"/>
      <c r="L34" s="21">
        <f>IFERROR(subQ!L26/subQ!J26-1,"")</f>
        <v/>
      </c>
      <c r="M34" s="21">
        <f>IFERROR(subQ!M26/subQ!L26-1,"")</f>
        <v/>
      </c>
      <c r="N34" s="21">
        <f>IFERROR(subQ!N26/subQ!M26-1,"")</f>
        <v/>
      </c>
      <c r="O34" s="21">
        <f>IFERROR(subQ!O26/subQ!N26-1,"")</f>
        <v/>
      </c>
      <c r="P34" s="22" t="n"/>
      <c r="Q34" s="21">
        <f>IFERROR(subQ!Q26/subQ!O26-1,"")</f>
        <v/>
      </c>
      <c r="R34" s="21">
        <f>IFERROR(subQ!R26/subQ!Q26-1,"")</f>
        <v/>
      </c>
      <c r="S34" s="21">
        <f>IFERROR(subQ!S26/subQ!R26-1,"")</f>
        <v/>
      </c>
      <c r="T34" s="21">
        <f>IFERROR(subQ!T26/subQ!S26-1,"")</f>
        <v/>
      </c>
      <c r="U34" s="22" t="n"/>
      <c r="V34" s="21">
        <f>IFERROR(subQ!V26/subQ!T26-1,"")</f>
        <v/>
      </c>
      <c r="W34" s="21">
        <f>IFERROR(subQ!W26/subQ!V26-1,"")</f>
        <v/>
      </c>
      <c r="X34" s="21">
        <f>IFERROR(subQ!X26/subQ!W26-1,"")</f>
        <v/>
      </c>
      <c r="Y34" s="21">
        <f>IFERROR(subQ!Y26/subQ!X26-1,"")</f>
        <v/>
      </c>
      <c r="Z34" s="22" t="n"/>
      <c r="AA34" s="21">
        <f>IFERROR(subQ!AA26/subQ!Y26-1,"")</f>
        <v/>
      </c>
      <c r="AB34" s="23">
        <f>IFERROR(subQ!AB26/subQ!AA26-1,"")</f>
        <v/>
      </c>
      <c r="AC34" s="24" t="n">
        <v>-3.581e-06</v>
      </c>
      <c r="AD34" s="24" t="n">
        <v>0</v>
      </c>
      <c r="AE34" s="25" t="n"/>
      <c r="AF34" s="24" t="n">
        <v>0</v>
      </c>
      <c r="AG34" s="24" t="n">
        <v>0</v>
      </c>
      <c r="AH34" s="24" t="n">
        <v>0</v>
      </c>
      <c r="AI34" s="24" t="n">
        <v>0</v>
      </c>
      <c r="AJ34" s="25" t="n"/>
      <c r="AK34" s="24" t="n">
        <v>0</v>
      </c>
      <c r="AL34" s="24" t="n">
        <v>0</v>
      </c>
      <c r="AM34" s="24" t="n">
        <v>0</v>
      </c>
      <c r="AN34" s="24" t="n">
        <v>0</v>
      </c>
      <c r="AO34" s="25" t="n"/>
    </row>
    <row r="35">
      <c r="A35" s="12" t="inlineStr">
        <is>
          <t>drv:순차입금</t>
        </is>
      </c>
      <c r="B35" s="2" t="inlineStr">
        <is>
          <t>qoq</t>
        </is>
      </c>
      <c r="C35" t="inlineStr">
        <is>
          <t>순차입금 QoQ</t>
        </is>
      </c>
      <c r="E35" s="21" t="n"/>
      <c r="F35" s="22" t="n"/>
      <c r="G35" s="21">
        <f>IFERROR(subQ!G27/subQ!E27-1,"")</f>
        <v/>
      </c>
      <c r="H35" s="21">
        <f>IFERROR(subQ!H27/subQ!G27-1,"")</f>
        <v/>
      </c>
      <c r="I35" s="21">
        <f>IFERROR(subQ!I27/subQ!H27-1,"")</f>
        <v/>
      </c>
      <c r="J35" s="21">
        <f>IFERROR(subQ!J27/subQ!I27-1,"")</f>
        <v/>
      </c>
      <c r="K35" s="22" t="n"/>
      <c r="L35" s="21">
        <f>IFERROR(subQ!L27/subQ!J27-1,"")</f>
        <v/>
      </c>
      <c r="M35" s="21">
        <f>IFERROR(subQ!M27/subQ!L27-1,"")</f>
        <v/>
      </c>
      <c r="N35" s="21">
        <f>IFERROR(subQ!N27/subQ!M27-1,"")</f>
        <v/>
      </c>
      <c r="O35" s="21">
        <f>IFERROR(subQ!O27/subQ!N27-1,"")</f>
        <v/>
      </c>
      <c r="P35" s="22" t="n"/>
      <c r="Q35" s="21">
        <f>IFERROR(subQ!Q27/subQ!O27-1,"")</f>
        <v/>
      </c>
      <c r="R35" s="21">
        <f>IFERROR(subQ!R27/subQ!Q27-1,"")</f>
        <v/>
      </c>
      <c r="S35" s="21">
        <f>IFERROR(subQ!S27/subQ!R27-1,"")</f>
        <v/>
      </c>
      <c r="T35" s="21">
        <f>IFERROR(subQ!T27/subQ!S27-1,"")</f>
        <v/>
      </c>
      <c r="U35" s="22" t="n"/>
      <c r="V35" s="21">
        <f>IFERROR(subQ!V27/subQ!T27-1,"")</f>
        <v/>
      </c>
      <c r="W35" s="21">
        <f>IFERROR(subQ!W27/subQ!V27-1,"")</f>
        <v/>
      </c>
      <c r="X35" s="21">
        <f>IFERROR(subQ!X27/subQ!W27-1,"")</f>
        <v/>
      </c>
      <c r="Y35" s="21">
        <f>IFERROR(subQ!Y27/subQ!X27-1,"")</f>
        <v/>
      </c>
      <c r="Z35" s="22" t="n"/>
      <c r="AA35" s="21">
        <f>IFERROR(subQ!AA27/subQ!Y27-1,"")</f>
        <v/>
      </c>
      <c r="AB35" s="23">
        <f>IFERROR(subQ!AB27/subQ!AA27-1,"")</f>
        <v/>
      </c>
      <c r="AC35" s="24" t="n">
        <v>-0.036304685</v>
      </c>
      <c r="AD35" s="24" t="n">
        <v>-0.039136057</v>
      </c>
      <c r="AE35" s="25" t="n"/>
      <c r="AF35" s="24" t="n">
        <v>-0.040718266</v>
      </c>
      <c r="AG35" s="24" t="n">
        <v>-0.000135376</v>
      </c>
      <c r="AH35" s="24" t="n">
        <v>-0.042464674</v>
      </c>
      <c r="AI35" s="24" t="n">
        <v>-0.046057537</v>
      </c>
      <c r="AJ35" s="25" t="n"/>
      <c r="AK35" s="24" t="n">
        <v>-0.048254302</v>
      </c>
      <c r="AL35" s="24" t="n">
        <v>-0.002166218</v>
      </c>
      <c r="AM35" s="24" t="n">
        <v>-0.050498744</v>
      </c>
      <c r="AN35" s="24" t="n">
        <v>-0.055186945</v>
      </c>
      <c r="AO35" s="25" t="n"/>
    </row>
    <row r="36">
      <c r="A36" s="12" t="inlineStr">
        <is>
          <t>drv:이자발생자산</t>
        </is>
      </c>
      <c r="B36" s="2" t="inlineStr">
        <is>
          <t>qoq</t>
        </is>
      </c>
      <c r="C36" t="inlineStr">
        <is>
          <t>이자발생자산 QoQ</t>
        </is>
      </c>
      <c r="E36" s="21" t="n"/>
      <c r="F36" s="22" t="n"/>
      <c r="G36" s="21">
        <f>IFERROR(subQ!G28/subQ!E28-1,"")</f>
        <v/>
      </c>
      <c r="H36" s="21">
        <f>IFERROR(subQ!H28/subQ!G28-1,"")</f>
        <v/>
      </c>
      <c r="I36" s="21">
        <f>IFERROR(subQ!I28/subQ!H28-1,"")</f>
        <v/>
      </c>
      <c r="J36" s="21">
        <f>IFERROR(subQ!J28/subQ!I28-1,"")</f>
        <v/>
      </c>
      <c r="K36" s="22" t="n"/>
      <c r="L36" s="21">
        <f>IFERROR(subQ!L28/subQ!J28-1,"")</f>
        <v/>
      </c>
      <c r="M36" s="21">
        <f>IFERROR(subQ!M28/subQ!L28-1,"")</f>
        <v/>
      </c>
      <c r="N36" s="21">
        <f>IFERROR(subQ!N28/subQ!M28-1,"")</f>
        <v/>
      </c>
      <c r="O36" s="21">
        <f>IFERROR(subQ!O28/subQ!N28-1,"")</f>
        <v/>
      </c>
      <c r="P36" s="22" t="n"/>
      <c r="Q36" s="21">
        <f>IFERROR(subQ!Q28/subQ!O28-1,"")</f>
        <v/>
      </c>
      <c r="R36" s="21">
        <f>IFERROR(subQ!R28/subQ!Q28-1,"")</f>
        <v/>
      </c>
      <c r="S36" s="21">
        <f>IFERROR(subQ!S28/subQ!R28-1,"")</f>
        <v/>
      </c>
      <c r="T36" s="21">
        <f>IFERROR(subQ!T28/subQ!S28-1,"")</f>
        <v/>
      </c>
      <c r="U36" s="22" t="n"/>
      <c r="V36" s="21">
        <f>IFERROR(subQ!V28/subQ!T28-1,"")</f>
        <v/>
      </c>
      <c r="W36" s="21">
        <f>IFERROR(subQ!W28/subQ!V28-1,"")</f>
        <v/>
      </c>
      <c r="X36" s="21">
        <f>IFERROR(subQ!X28/subQ!W28-1,"")</f>
        <v/>
      </c>
      <c r="Y36" s="21">
        <f>IFERROR(subQ!Y28/subQ!X28-1,"")</f>
        <v/>
      </c>
      <c r="Z36" s="22" t="n"/>
      <c r="AA36" s="21">
        <f>IFERROR(subQ!AA28/subQ!Y28-1,"")</f>
        <v/>
      </c>
      <c r="AB36" s="23">
        <f>IFERROR(subQ!AB28/subQ!AA28-1,"")</f>
        <v/>
      </c>
      <c r="AC36" s="24" t="n">
        <v>0.07783538500000001</v>
      </c>
      <c r="AD36" s="24" t="n">
        <v>0.075021202</v>
      </c>
      <c r="AE36" s="25" t="n"/>
      <c r="AF36" s="24" t="n">
        <v>0.06976556</v>
      </c>
      <c r="AG36" s="24" t="n">
        <v>0.000207995</v>
      </c>
      <c r="AH36" s="24" t="n">
        <v>0.06522109</v>
      </c>
      <c r="AI36" s="24" t="n">
        <v>0.063588124</v>
      </c>
      <c r="AJ36" s="25" t="n"/>
      <c r="AK36" s="24" t="n">
        <v>0.059753045</v>
      </c>
      <c r="AL36" s="24" t="n">
        <v>0.002409032</v>
      </c>
      <c r="AM36" s="24" t="n">
        <v>0.055902865</v>
      </c>
      <c r="AN36" s="24" t="n">
        <v>0.054936554</v>
      </c>
      <c r="AO36" s="25" t="n"/>
    </row>
    <row r="37">
      <c r="A37" s="12" t="inlineStr">
        <is>
          <t>drv:현금및현금성자산</t>
        </is>
      </c>
      <c r="B37" s="2" t="inlineStr">
        <is>
          <t>qoq</t>
        </is>
      </c>
      <c r="C37" t="inlineStr">
        <is>
          <t>현금및현금성자산 QoQ</t>
        </is>
      </c>
      <c r="E37" s="21" t="n"/>
      <c r="F37" s="22" t="n"/>
      <c r="G37" s="21">
        <f>IFERROR(subQ!G29/subQ!E29-1,"")</f>
        <v/>
      </c>
      <c r="H37" s="21">
        <f>IFERROR(subQ!H29/subQ!G29-1,"")</f>
        <v/>
      </c>
      <c r="I37" s="21">
        <f>IFERROR(subQ!I29/subQ!H29-1,"")</f>
        <v/>
      </c>
      <c r="J37" s="21">
        <f>IFERROR(subQ!J29/subQ!I29-1,"")</f>
        <v/>
      </c>
      <c r="K37" s="22" t="n"/>
      <c r="L37" s="21">
        <f>IFERROR(subQ!L29/subQ!J29-1,"")</f>
        <v/>
      </c>
      <c r="M37" s="21">
        <f>IFERROR(subQ!M29/subQ!L29-1,"")</f>
        <v/>
      </c>
      <c r="N37" s="21">
        <f>IFERROR(subQ!N29/subQ!M29-1,"")</f>
        <v/>
      </c>
      <c r="O37" s="21">
        <f>IFERROR(subQ!O29/subQ!N29-1,"")</f>
        <v/>
      </c>
      <c r="P37" s="22" t="n"/>
      <c r="Q37" s="21">
        <f>IFERROR(subQ!Q29/subQ!O29-1,"")</f>
        <v/>
      </c>
      <c r="R37" s="21">
        <f>IFERROR(subQ!R29/subQ!Q29-1,"")</f>
        <v/>
      </c>
      <c r="S37" s="21">
        <f>IFERROR(subQ!S29/subQ!R29-1,"")</f>
        <v/>
      </c>
      <c r="T37" s="21">
        <f>IFERROR(subQ!T29/subQ!S29-1,"")</f>
        <v/>
      </c>
      <c r="U37" s="22" t="n"/>
      <c r="V37" s="21">
        <f>IFERROR(subQ!V29/subQ!T29-1,"")</f>
        <v/>
      </c>
      <c r="W37" s="21">
        <f>IFERROR(subQ!W29/subQ!V29-1,"")</f>
        <v/>
      </c>
      <c r="X37" s="21">
        <f>IFERROR(subQ!X29/subQ!W29-1,"")</f>
        <v/>
      </c>
      <c r="Y37" s="21">
        <f>IFERROR(subQ!Y29/subQ!X29-1,"")</f>
        <v/>
      </c>
      <c r="Z37" s="22" t="n"/>
      <c r="AA37" s="21">
        <f>IFERROR(subQ!AA29/subQ!Y29-1,"")</f>
        <v/>
      </c>
      <c r="AB37" s="23">
        <f>IFERROR(subQ!AB29/subQ!AA29-1,"")</f>
        <v/>
      </c>
      <c r="AC37" s="32" t="n"/>
      <c r="AD37" s="32" t="n"/>
      <c r="AE37" s="25" t="n"/>
      <c r="AF37" s="32" t="n"/>
      <c r="AG37" s="32" t="n"/>
      <c r="AH37" s="32" t="n"/>
      <c r="AI37" s="32" t="n"/>
      <c r="AJ37" s="25" t="n"/>
      <c r="AK37" s="32" t="n"/>
      <c r="AL37" s="32" t="n"/>
      <c r="AM37" s="32" t="n"/>
      <c r="AN37" s="32" t="n"/>
      <c r="AO37" s="25" t="n"/>
    </row>
    <row r="38">
      <c r="A38" s="12" t="inlineStr">
        <is>
          <t>drv:CAPEX</t>
        </is>
      </c>
      <c r="B38" s="2" t="inlineStr">
        <is>
          <t>yoy</t>
        </is>
      </c>
      <c r="C38" t="inlineStr">
        <is>
          <t>CAPEX YoY</t>
        </is>
      </c>
      <c r="E38" s="21" t="n"/>
      <c r="F38" s="22" t="n"/>
      <c r="G38" s="21" t="n"/>
      <c r="H38" s="21" t="n"/>
      <c r="I38" s="21" t="n"/>
      <c r="J38" s="21">
        <f>IFERROR(subQ!J30/subQ!E30-1,"")</f>
        <v/>
      </c>
      <c r="K38" s="22" t="n"/>
      <c r="L38" s="21">
        <f>IFERROR(subQ!L30/subQ!G30-1,"")</f>
        <v/>
      </c>
      <c r="M38" s="21">
        <f>IFERROR(subQ!M30/subQ!H30-1,"")</f>
        <v/>
      </c>
      <c r="N38" s="21">
        <f>IFERROR(subQ!N30/subQ!I30-1,"")</f>
        <v/>
      </c>
      <c r="O38" s="21">
        <f>IFERROR(subQ!O30/subQ!J30-1,"")</f>
        <v/>
      </c>
      <c r="P38" s="22" t="n"/>
      <c r="Q38" s="21">
        <f>IFERROR(subQ!Q30/subQ!L30-1,"")</f>
        <v/>
      </c>
      <c r="R38" s="21">
        <f>IFERROR(subQ!R30/subQ!M30-1,"")</f>
        <v/>
      </c>
      <c r="S38" s="21">
        <f>IFERROR(subQ!S30/subQ!N30-1,"")</f>
        <v/>
      </c>
      <c r="T38" s="21">
        <f>IFERROR(subQ!T30/subQ!O30-1,"")</f>
        <v/>
      </c>
      <c r="U38" s="22" t="n"/>
      <c r="V38" s="21">
        <f>IFERROR(subQ!V30/subQ!Q30-1,"")</f>
        <v/>
      </c>
      <c r="W38" s="21">
        <f>IFERROR(subQ!W30/subQ!R30-1,"")</f>
        <v/>
      </c>
      <c r="X38" s="21">
        <f>IFERROR(subQ!X30/subQ!S30-1,"")</f>
        <v/>
      </c>
      <c r="Y38" s="21">
        <f>IFERROR(subQ!Y30/subQ!T30-1,"")</f>
        <v/>
      </c>
      <c r="Z38" s="22" t="n"/>
      <c r="AA38" s="21">
        <f>IFERROR(subQ!AA30/subQ!V30-1,"")</f>
        <v/>
      </c>
      <c r="AB38" s="23">
        <f>IFERROR(subQ!AB30/subQ!W30-1,"")</f>
        <v/>
      </c>
      <c r="AC38" s="24" t="n">
        <v>-0.078071112</v>
      </c>
      <c r="AD38" s="24" t="n">
        <v>-0.421225267</v>
      </c>
      <c r="AE38" s="25" t="n"/>
      <c r="AF38" s="24" t="n">
        <v>0.09227148</v>
      </c>
      <c r="AG38" s="24" t="n">
        <v>1.643980956</v>
      </c>
      <c r="AH38" s="24" t="n">
        <v>0</v>
      </c>
      <c r="AI38" s="24" t="n">
        <v>0</v>
      </c>
      <c r="AJ38" s="25" t="n"/>
      <c r="AK38" s="24" t="n">
        <v>0</v>
      </c>
      <c r="AL38" s="24" t="n">
        <v>0</v>
      </c>
      <c r="AM38" s="24" t="n">
        <v>0</v>
      </c>
      <c r="AN38" s="24" t="n">
        <v>0</v>
      </c>
      <c r="AO38" s="25" t="n"/>
    </row>
    <row r="39">
      <c r="A39" s="12" t="inlineStr">
        <is>
          <t>drv:영업활동현금흐름</t>
        </is>
      </c>
      <c r="B39" s="2" t="inlineStr">
        <is>
          <t>yoy</t>
        </is>
      </c>
      <c r="C39" t="inlineStr">
        <is>
          <t>영업활동현금흐름 YoY</t>
        </is>
      </c>
      <c r="E39" s="21" t="n"/>
      <c r="F39" s="22" t="n"/>
      <c r="G39" s="21" t="n"/>
      <c r="H39" s="21" t="n"/>
      <c r="I39" s="21" t="n"/>
      <c r="J39" s="21">
        <f>IFERROR(subQ!J31/subQ!E31-1,"")</f>
        <v/>
      </c>
      <c r="K39" s="22" t="n"/>
      <c r="L39" s="21">
        <f>IFERROR(subQ!L31/subQ!G31-1,"")</f>
        <v/>
      </c>
      <c r="M39" s="21">
        <f>IFERROR(subQ!M31/subQ!H31-1,"")</f>
        <v/>
      </c>
      <c r="N39" s="21">
        <f>IFERROR(subQ!N31/subQ!I31-1,"")</f>
        <v/>
      </c>
      <c r="O39" s="21">
        <f>IFERROR(subQ!O31/subQ!J31-1,"")</f>
        <v/>
      </c>
      <c r="P39" s="22" t="n"/>
      <c r="Q39" s="21">
        <f>IFERROR(subQ!Q31/subQ!L31-1,"")</f>
        <v/>
      </c>
      <c r="R39" s="21">
        <f>IFERROR(subQ!R31/subQ!M31-1,"")</f>
        <v/>
      </c>
      <c r="S39" s="21">
        <f>IFERROR(subQ!S31/subQ!N31-1,"")</f>
        <v/>
      </c>
      <c r="T39" s="21">
        <f>IFERROR(subQ!T31/subQ!O31-1,"")</f>
        <v/>
      </c>
      <c r="U39" s="22" t="n"/>
      <c r="V39" s="21">
        <f>IFERROR(subQ!V31/subQ!Q31-1,"")</f>
        <v/>
      </c>
      <c r="W39" s="21">
        <f>IFERROR(subQ!W31/subQ!R31-1,"")</f>
        <v/>
      </c>
      <c r="X39" s="21">
        <f>IFERROR(subQ!X31/subQ!S31-1,"")</f>
        <v/>
      </c>
      <c r="Y39" s="21">
        <f>IFERROR(subQ!Y31/subQ!T31-1,"")</f>
        <v/>
      </c>
      <c r="Z39" s="22" t="n"/>
      <c r="AA39" s="21">
        <f>IFERROR(subQ!AA31/subQ!V31-1,"")</f>
        <v/>
      </c>
      <c r="AB39" s="23">
        <f>IFERROR(subQ!AB31/subQ!W31-1,"")</f>
        <v/>
      </c>
      <c r="AC39" s="32" t="n"/>
      <c r="AD39" s="32" t="n"/>
      <c r="AE39" s="25" t="n"/>
      <c r="AF39" s="32" t="n"/>
      <c r="AG39" s="32" t="n"/>
      <c r="AH39" s="32" t="n"/>
      <c r="AI39" s="32" t="n"/>
      <c r="AJ39" s="25" t="n"/>
      <c r="AK39" s="32" t="n"/>
      <c r="AL39" s="32" t="n"/>
      <c r="AM39" s="32" t="n"/>
      <c r="AN39" s="32" t="n"/>
      <c r="AO39" s="25" t="n"/>
    </row>
    <row r="40">
      <c r="A40" s="12" t="inlineStr">
        <is>
          <t>drv:주식수</t>
        </is>
      </c>
      <c r="B40" s="2" t="inlineStr">
        <is>
          <t>qoq</t>
        </is>
      </c>
      <c r="C40" t="inlineStr">
        <is>
          <t>주식수 QoQ</t>
        </is>
      </c>
      <c r="E40" s="21" t="n"/>
      <c r="F40" s="22" t="n"/>
      <c r="G40" s="21">
        <f>IFERROR(subQ!G32/subQ!E32-1,"")</f>
        <v/>
      </c>
      <c r="H40" s="21">
        <f>IFERROR(subQ!H32/subQ!G32-1,"")</f>
        <v/>
      </c>
      <c r="I40" s="21">
        <f>IFERROR(subQ!I32/subQ!H32-1,"")</f>
        <v/>
      </c>
      <c r="J40" s="21">
        <f>IFERROR(subQ!J32/subQ!I32-1,"")</f>
        <v/>
      </c>
      <c r="K40" s="22" t="n"/>
      <c r="L40" s="21">
        <f>IFERROR(subQ!L32/subQ!J32-1,"")</f>
        <v/>
      </c>
      <c r="M40" s="21">
        <f>IFERROR(subQ!M32/subQ!L32-1,"")</f>
        <v/>
      </c>
      <c r="N40" s="21">
        <f>IFERROR(subQ!N32/subQ!M32-1,"")</f>
        <v/>
      </c>
      <c r="O40" s="21">
        <f>IFERROR(subQ!O32/subQ!N32-1,"")</f>
        <v/>
      </c>
      <c r="P40" s="22" t="n"/>
      <c r="Q40" s="21">
        <f>IFERROR(subQ!Q32/subQ!O32-1,"")</f>
        <v/>
      </c>
      <c r="R40" s="21">
        <f>IFERROR(subQ!R32/subQ!Q32-1,"")</f>
        <v/>
      </c>
      <c r="S40" s="21">
        <f>IFERROR(subQ!S32/subQ!R32-1,"")</f>
        <v/>
      </c>
      <c r="T40" s="21">
        <f>IFERROR(subQ!T32/subQ!S32-1,"")</f>
        <v/>
      </c>
      <c r="U40" s="22" t="n"/>
      <c r="V40" s="21">
        <f>IFERROR(subQ!V32/subQ!T32-1,"")</f>
        <v/>
      </c>
      <c r="W40" s="21">
        <f>IFERROR(subQ!W32/subQ!V32-1,"")</f>
        <v/>
      </c>
      <c r="X40" s="21">
        <f>IFERROR(subQ!X32/subQ!W32-1,"")</f>
        <v/>
      </c>
      <c r="Y40" s="21">
        <f>IFERROR(subQ!Y32/subQ!X32-1,"")</f>
        <v/>
      </c>
      <c r="Z40" s="22" t="n"/>
      <c r="AA40" s="21">
        <f>IFERROR(subQ!AA32/subQ!Y32-1,"")</f>
        <v/>
      </c>
      <c r="AB40" s="23">
        <f>IFERROR(subQ!AB32/subQ!AA32-1,"")</f>
        <v/>
      </c>
      <c r="AC40" s="24" t="n">
        <v>0</v>
      </c>
      <c r="AD40" s="24" t="n">
        <v>0</v>
      </c>
      <c r="AE40" s="25" t="n"/>
      <c r="AF40" s="24" t="n">
        <v>0</v>
      </c>
      <c r="AG40" s="24" t="n">
        <v>0</v>
      </c>
      <c r="AH40" s="24" t="n">
        <v>0</v>
      </c>
      <c r="AI40" s="24" t="n">
        <v>0</v>
      </c>
      <c r="AJ40" s="25" t="n"/>
      <c r="AK40" s="24" t="n">
        <v>0</v>
      </c>
      <c r="AL40" s="24" t="n">
        <v>0</v>
      </c>
      <c r="AM40" s="24" t="n">
        <v>0</v>
      </c>
      <c r="AN40" s="24" t="n">
        <v>0</v>
      </c>
      <c r="AO40" s="25" t="n"/>
    </row>
    <row r="41">
      <c r="A41" s="12" t="inlineStr">
        <is>
          <t>drv:DPS</t>
        </is>
      </c>
      <c r="B41" s="2" t="inlineStr">
        <is>
          <t>abs</t>
        </is>
      </c>
      <c r="C41" t="inlineStr">
        <is>
          <t>DPS (가정, 원)</t>
        </is>
      </c>
      <c r="E41" s="27">
        <f>subQ!E35</f>
        <v/>
      </c>
      <c r="F41" s="28">
        <f>subQ!F35</f>
        <v/>
      </c>
      <c r="G41" s="27">
        <f>subQ!G35</f>
        <v/>
      </c>
      <c r="H41" s="27">
        <f>subQ!H35</f>
        <v/>
      </c>
      <c r="I41" s="27">
        <f>subQ!I35</f>
        <v/>
      </c>
      <c r="J41" s="27">
        <f>subQ!J35</f>
        <v/>
      </c>
      <c r="K41" s="28">
        <f>subQ!K35</f>
        <v/>
      </c>
      <c r="L41" s="27">
        <f>subQ!L35</f>
        <v/>
      </c>
      <c r="M41" s="27">
        <f>subQ!M35</f>
        <v/>
      </c>
      <c r="N41" s="27">
        <f>subQ!N35</f>
        <v/>
      </c>
      <c r="O41" s="27">
        <f>subQ!O35</f>
        <v/>
      </c>
      <c r="P41" s="28">
        <f>subQ!P35</f>
        <v/>
      </c>
      <c r="Q41" s="27">
        <f>subQ!Q35</f>
        <v/>
      </c>
      <c r="R41" s="27">
        <f>subQ!R35</f>
        <v/>
      </c>
      <c r="S41" s="27">
        <f>subQ!S35</f>
        <v/>
      </c>
      <c r="T41" s="27">
        <f>subQ!T35</f>
        <v/>
      </c>
      <c r="U41" s="28">
        <f>subQ!U35</f>
        <v/>
      </c>
      <c r="V41" s="27">
        <f>subQ!V35</f>
        <v/>
      </c>
      <c r="W41" s="27">
        <f>subQ!W35</f>
        <v/>
      </c>
      <c r="X41" s="27">
        <f>subQ!X35</f>
        <v/>
      </c>
      <c r="Y41" s="27">
        <f>subQ!Y35</f>
        <v/>
      </c>
      <c r="Z41" s="28">
        <f>subQ!Z35</f>
        <v/>
      </c>
      <c r="AA41" s="27">
        <f>subQ!AA35</f>
        <v/>
      </c>
      <c r="AB41" s="29">
        <f>subQ!AB35</f>
        <v/>
      </c>
      <c r="AC41" s="33" t="n"/>
      <c r="AD41" s="30" t="n">
        <v>250</v>
      </c>
      <c r="AE41" s="31">
        <f>subQ!AE35</f>
        <v/>
      </c>
      <c r="AF41" s="33" t="n"/>
      <c r="AG41" s="33" t="n"/>
      <c r="AH41" s="33" t="n"/>
      <c r="AI41" s="30" t="n">
        <v>250</v>
      </c>
      <c r="AJ41" s="31">
        <f>subQ!AJ35</f>
        <v/>
      </c>
      <c r="AK41" s="33" t="n"/>
      <c r="AL41" s="33" t="n"/>
      <c r="AM41" s="33" t="n"/>
      <c r="AN41" s="30" t="n">
        <v>250</v>
      </c>
      <c r="AO41" s="31">
        <f>subQ!AO35</f>
        <v/>
      </c>
    </row>
    <row r="42">
      <c r="F42" s="9" t="n"/>
      <c r="K42" s="9" t="n"/>
      <c r="P42" s="9" t="n"/>
      <c r="U42" s="9" t="n"/>
      <c r="Z42" s="9" t="n"/>
      <c r="AB42" s="5" t="n"/>
      <c r="AC42" s="10" t="n"/>
      <c r="AD42" s="10" t="n"/>
      <c r="AE42" s="11" t="n"/>
      <c r="AF42" s="10" t="n"/>
      <c r="AG42" s="10" t="n"/>
      <c r="AH42" s="10" t="n"/>
      <c r="AI42" s="10" t="n"/>
      <c r="AJ42" s="11" t="n"/>
      <c r="AK42" s="10" t="n"/>
      <c r="AL42" s="10" t="n"/>
      <c r="AM42" s="10" t="n"/>
      <c r="AN42" s="10" t="n"/>
      <c r="AO42" s="11" t="n"/>
    </row>
    <row r="43">
      <c r="B43" s="1" t="inlineStr">
        <is>
          <t>3. 밸류에이션·스칼라</t>
        </is>
      </c>
      <c r="C43" s="2" t="inlineStr">
        <is>
          <t>노란 셀 = 가정. '연결' 표시는 추정 전 분기 수식이 이 셀을 참조한다는 뜻</t>
        </is>
      </c>
      <c r="F43" s="9" t="n"/>
      <c r="K43" s="9" t="n"/>
      <c r="P43" s="9" t="n"/>
      <c r="U43" s="9" t="n"/>
      <c r="Z43" s="9" t="n"/>
      <c r="AB43" s="5" t="n"/>
      <c r="AC43" s="10" t="n"/>
      <c r="AD43" s="10" t="n"/>
      <c r="AE43" s="11" t="n"/>
      <c r="AF43" s="10" t="n"/>
      <c r="AG43" s="10" t="n"/>
      <c r="AH43" s="10" t="n"/>
      <c r="AI43" s="10" t="n"/>
      <c r="AJ43" s="11" t="n"/>
      <c r="AK43" s="10" t="n"/>
      <c r="AL43" s="10" t="n"/>
      <c r="AM43" s="10" t="n"/>
      <c r="AN43" s="10" t="n"/>
      <c r="AO43" s="11" t="n"/>
    </row>
    <row r="44">
      <c r="A44" s="12" t="inlineStr">
        <is>
          <t>sc:종가</t>
        </is>
      </c>
      <c r="C44" t="inlineStr">
        <is>
          <t>종가</t>
        </is>
      </c>
      <c r="D44" s="34" t="n">
        <v>4200</v>
      </c>
      <c r="E44" s="2" t="inlineStr">
        <is>
          <t>원 — 네이버 정규장 종가(aik 확정종가 대조 · aik 4,230원)</t>
        </is>
      </c>
      <c r="F44" s="9" t="n"/>
      <c r="K44" s="9" t="n"/>
      <c r="P44" s="9" t="n"/>
      <c r="U44" s="9" t="n"/>
      <c r="Z44" s="9" t="n"/>
      <c r="AB44" s="5" t="n"/>
      <c r="AC44" s="10" t="n"/>
      <c r="AD44" s="10" t="n"/>
      <c r="AE44" s="11" t="n"/>
      <c r="AF44" s="10" t="n"/>
      <c r="AG44" s="10" t="n"/>
      <c r="AH44" s="10" t="n"/>
      <c r="AI44" s="10" t="n"/>
      <c r="AJ44" s="11" t="n"/>
      <c r="AK44" s="10" t="n"/>
      <c r="AL44" s="10" t="n"/>
      <c r="AM44" s="10" t="n"/>
      <c r="AN44" s="10" t="n"/>
      <c r="AO44" s="11" t="n"/>
    </row>
    <row r="45">
      <c r="A45" s="12" t="inlineStr">
        <is>
          <t>sc:기준일</t>
        </is>
      </c>
      <c r="C45" t="inlineStr">
        <is>
          <t>기준일</t>
        </is>
      </c>
      <c r="D45" s="35" t="inlineStr">
        <is>
          <t>20261014</t>
        </is>
      </c>
      <c r="E45" s="2" t="inlineStr">
        <is>
          <t>종가 기준일</t>
        </is>
      </c>
      <c r="F45" s="9" t="n"/>
      <c r="K45" s="9" t="n"/>
      <c r="P45" s="9" t="n"/>
      <c r="U45" s="9" t="n"/>
      <c r="Z45" s="9" t="n"/>
      <c r="AB45" s="5" t="n"/>
      <c r="AC45" s="10" t="n"/>
      <c r="AD45" s="10" t="n"/>
      <c r="AE45" s="11" t="n"/>
      <c r="AF45" s="10" t="n"/>
      <c r="AG45" s="10" t="n"/>
      <c r="AH45" s="10" t="n"/>
      <c r="AI45" s="10" t="n"/>
      <c r="AJ45" s="11" t="n"/>
      <c r="AK45" s="10" t="n"/>
      <c r="AL45" s="10" t="n"/>
      <c r="AM45" s="10" t="n"/>
      <c r="AN45" s="10" t="n"/>
      <c r="AO45" s="11" t="n"/>
    </row>
    <row r="46">
      <c r="A46" s="12" t="inlineStr">
        <is>
          <t>sc:COE</t>
        </is>
      </c>
      <c r="C46" t="inlineStr">
        <is>
          <t>COE</t>
        </is>
      </c>
      <c r="D46" s="24" t="n">
        <v>0.09</v>
      </c>
      <c r="E46" s="2" t="inlineStr">
        <is>
          <t>자기자본비용(가정) — TP 적정 PBR = ROE/COE</t>
        </is>
      </c>
      <c r="F46" s="9" t="n"/>
      <c r="K46" s="9" t="n"/>
      <c r="P46" s="9" t="n"/>
      <c r="U46" s="9" t="n"/>
      <c r="Z46" s="9" t="n"/>
      <c r="AB46" s="5" t="n"/>
      <c r="AC46" s="10" t="n"/>
      <c r="AD46" s="10" t="n"/>
      <c r="AE46" s="11" t="n"/>
      <c r="AF46" s="10" t="n"/>
      <c r="AG46" s="10" t="n"/>
      <c r="AH46" s="10" t="n"/>
      <c r="AI46" s="10" t="n"/>
      <c r="AJ46" s="11" t="n"/>
      <c r="AK46" s="10" t="n"/>
      <c r="AL46" s="10" t="n"/>
      <c r="AM46" s="10" t="n"/>
      <c r="AN46" s="10" t="n"/>
      <c r="AO46" s="11" t="n"/>
    </row>
    <row r="47">
      <c r="A47" s="12" t="inlineStr">
        <is>
          <t>sc:PER_lo</t>
        </is>
      </c>
      <c r="C47" t="inlineStr">
        <is>
          <t>PER_lo</t>
        </is>
      </c>
      <c r="D47" s="30" t="n">
        <v>10</v>
      </c>
      <c r="E47" s="2" t="inlineStr">
        <is>
          <t>PER 밴드 하단(배) — sector_default(레퍼런스 TP_PE PB 예시 10/15/20배; 과거 PER 중위 4.1배가 캡 5~30 밖 — 턴어라운드 초기 TTM EPS 왜곡)</t>
        </is>
      </c>
      <c r="F47" s="9" t="n"/>
      <c r="K47" s="9" t="n"/>
      <c r="P47" s="9" t="n"/>
      <c r="U47" s="9" t="n"/>
      <c r="Z47" s="9" t="n"/>
      <c r="AB47" s="5" t="n"/>
      <c r="AC47" s="10" t="n"/>
      <c r="AD47" s="10" t="n"/>
      <c r="AE47" s="11" t="n"/>
      <c r="AF47" s="10" t="n"/>
      <c r="AG47" s="10" t="n"/>
      <c r="AH47" s="10" t="n"/>
      <c r="AI47" s="10" t="n"/>
      <c r="AJ47" s="11" t="n"/>
      <c r="AK47" s="10" t="n"/>
      <c r="AL47" s="10" t="n"/>
      <c r="AM47" s="10" t="n"/>
      <c r="AN47" s="10" t="n"/>
      <c r="AO47" s="11" t="n"/>
    </row>
    <row r="48">
      <c r="A48" s="12" t="inlineStr">
        <is>
          <t>sc:PER_mid</t>
        </is>
      </c>
      <c r="C48" t="inlineStr">
        <is>
          <t>PER_mid</t>
        </is>
      </c>
      <c r="D48" s="30" t="n">
        <v>15</v>
      </c>
      <c r="E48" s="2" t="inlineStr">
        <is>
          <t>PER 밴드 중단(배)</t>
        </is>
      </c>
      <c r="F48" s="9" t="n"/>
      <c r="K48" s="9" t="n"/>
      <c r="P48" s="9" t="n"/>
      <c r="U48" s="9" t="n"/>
      <c r="Z48" s="9" t="n"/>
      <c r="AB48" s="5" t="n"/>
      <c r="AC48" s="10" t="n"/>
      <c r="AD48" s="10" t="n"/>
      <c r="AE48" s="11" t="n"/>
      <c r="AF48" s="10" t="n"/>
      <c r="AG48" s="10" t="n"/>
      <c r="AH48" s="10" t="n"/>
      <c r="AI48" s="10" t="n"/>
      <c r="AJ48" s="11" t="n"/>
      <c r="AK48" s="10" t="n"/>
      <c r="AL48" s="10" t="n"/>
      <c r="AM48" s="10" t="n"/>
      <c r="AN48" s="10" t="n"/>
      <c r="AO48" s="11" t="n"/>
    </row>
    <row r="49">
      <c r="A49" s="12" t="inlineStr">
        <is>
          <t>sc:PER_hi</t>
        </is>
      </c>
      <c r="C49" t="inlineStr">
        <is>
          <t>PER_hi</t>
        </is>
      </c>
      <c r="D49" s="30" t="n">
        <v>20</v>
      </c>
      <c r="E49" s="2" t="inlineStr">
        <is>
          <t>PER 밴드 상단(배)</t>
        </is>
      </c>
      <c r="F49" s="9" t="n"/>
      <c r="K49" s="9" t="n"/>
      <c r="P49" s="9" t="n"/>
      <c r="U49" s="9" t="n"/>
      <c r="Z49" s="9" t="n"/>
      <c r="AB49" s="5" t="n"/>
      <c r="AC49" s="10" t="n"/>
      <c r="AD49" s="10" t="n"/>
      <c r="AE49" s="11" t="n"/>
      <c r="AF49" s="10" t="n"/>
      <c r="AG49" s="10" t="n"/>
      <c r="AH49" s="10" t="n"/>
      <c r="AI49" s="10" t="n"/>
      <c r="AJ49" s="11" t="n"/>
      <c r="AK49" s="10" t="n"/>
      <c r="AL49" s="10" t="n"/>
      <c r="AM49" s="10" t="n"/>
      <c r="AN49" s="10" t="n"/>
      <c r="AO49" s="11" t="n"/>
    </row>
    <row r="50">
      <c r="A50" s="12" t="inlineStr">
        <is>
          <t>sc:EPS_Y1가중</t>
        </is>
      </c>
      <c r="C50" t="inlineStr">
        <is>
          <t>EPS_Y1가중</t>
        </is>
      </c>
      <c r="D50" s="24" t="n">
        <v>0.5</v>
      </c>
      <c r="E50" s="2" t="inlineStr">
        <is>
          <t>12M fwd EPS = FY(last_actual연도)E × w + FY+1E × (1−w) — 기준 분기 2Q 이면 0.5(가정)</t>
        </is>
      </c>
      <c r="F50" s="9" t="n"/>
      <c r="K50" s="9" t="n"/>
      <c r="P50" s="9" t="n"/>
      <c r="U50" s="9" t="n"/>
      <c r="Z50" s="9" t="n"/>
      <c r="AB50" s="5" t="n"/>
      <c r="AC50" s="10" t="n"/>
      <c r="AD50" s="10" t="n"/>
      <c r="AE50" s="11" t="n"/>
      <c r="AF50" s="10" t="n"/>
      <c r="AG50" s="10" t="n"/>
      <c r="AH50" s="10" t="n"/>
      <c r="AI50" s="10" t="n"/>
      <c r="AJ50" s="11" t="n"/>
      <c r="AK50" s="10" t="n"/>
      <c r="AL50" s="10" t="n"/>
      <c r="AM50" s="10" t="n"/>
      <c r="AN50" s="10" t="n"/>
      <c r="AO50" s="11" t="n"/>
    </row>
    <row r="51">
      <c r="A51" s="12" t="inlineStr">
        <is>
          <t>sc:세율</t>
        </is>
      </c>
      <c r="C51" t="inlineStr">
        <is>
          <t>세율</t>
        </is>
      </c>
      <c r="D51" s="36" t="n">
        <v>0.2238588678598955</v>
      </c>
      <c r="E51" s="2" t="inlineStr">
        <is>
          <t>연결 — 법인세 = MAX(세전,0) × 세율(역산, 재현 오차 ≤ 0.05억 · 모델 assumptions 0.2239) · 최근 12분기 유효세율 22.4%(5~27% 안 — 그대로)</t>
        </is>
      </c>
      <c r="F51" s="9" t="n"/>
      <c r="K51" s="9" t="n"/>
      <c r="P51" s="9" t="n"/>
      <c r="U51" s="9" t="n"/>
      <c r="Z51" s="9" t="n"/>
      <c r="AB51" s="5" t="n"/>
      <c r="AC51" s="10" t="n"/>
      <c r="AD51" s="10" t="n"/>
      <c r="AE51" s="11" t="n"/>
      <c r="AF51" s="10" t="n"/>
      <c r="AG51" s="10" t="n"/>
      <c r="AH51" s="10" t="n"/>
      <c r="AI51" s="10" t="n"/>
      <c r="AJ51" s="11" t="n"/>
      <c r="AK51" s="10" t="n"/>
      <c r="AL51" s="10" t="n"/>
      <c r="AM51" s="10" t="n"/>
      <c r="AN51" s="10" t="n"/>
      <c r="AO51" s="11" t="n"/>
    </row>
    <row r="52">
      <c r="A52" s="12" t="inlineStr">
        <is>
          <t>sc:판관비율</t>
        </is>
      </c>
      <c r="C52" t="inlineStr">
        <is>
          <t>판관비율</t>
        </is>
      </c>
      <c r="D52" s="36" t="n">
        <v>0.08680556832600821</v>
      </c>
      <c r="E52" s="2" t="inlineStr">
        <is>
          <t>연결 — 판관비 = 매출액 × 판관비율(역산, 재현 오차 ≤ 0.05억 · 모델 assumptions 0.0868)</t>
        </is>
      </c>
      <c r="F52" s="9" t="n"/>
      <c r="K52" s="9" t="n"/>
      <c r="P52" s="9" t="n"/>
      <c r="U52" s="9" t="n"/>
      <c r="Z52" s="9" t="n"/>
      <c r="AB52" s="5" t="n"/>
      <c r="AC52" s="10" t="n"/>
      <c r="AD52" s="10" t="n"/>
      <c r="AE52" s="11" t="n"/>
      <c r="AF52" s="10" t="n"/>
      <c r="AG52" s="10" t="n"/>
      <c r="AH52" s="10" t="n"/>
      <c r="AI52" s="10" t="n"/>
      <c r="AJ52" s="11" t="n"/>
      <c r="AK52" s="10" t="n"/>
      <c r="AL52" s="10" t="n"/>
      <c r="AM52" s="10" t="n"/>
      <c r="AN52" s="10" t="n"/>
      <c r="AO52" s="11" t="n"/>
    </row>
    <row r="53">
      <c r="A53" s="12" t="inlineStr">
        <is>
          <t>sc:지배주주비중</t>
        </is>
      </c>
      <c r="C53" t="inlineStr">
        <is>
          <t>지배주주비중</t>
        </is>
      </c>
      <c r="D53" s="36" t="n">
        <v>1</v>
      </c>
      <c r="E53" s="2" t="inlineStr">
        <is>
          <t>연결 — 지배주주순이익 = 당기순이익 × 비중(역산, 재현 오차 ≤ 0.05억)</t>
        </is>
      </c>
      <c r="F53" s="9" t="n"/>
      <c r="K53" s="9" t="n"/>
      <c r="P53" s="9" t="n"/>
      <c r="U53" s="9" t="n"/>
      <c r="Z53" s="9" t="n"/>
      <c r="AB53" s="5" t="n"/>
      <c r="AC53" s="10" t="n"/>
      <c r="AD53" s="10" t="n"/>
      <c r="AE53" s="11" t="n"/>
      <c r="AF53" s="10" t="n"/>
      <c r="AG53" s="10" t="n"/>
      <c r="AH53" s="10" t="n"/>
      <c r="AI53" s="10" t="n"/>
      <c r="AJ53" s="11" t="n"/>
      <c r="AK53" s="10" t="n"/>
      <c r="AL53" s="10" t="n"/>
      <c r="AM53" s="10" t="n"/>
      <c r="AN53" s="10" t="n"/>
      <c r="AO53" s="11" t="n"/>
    </row>
    <row r="54">
      <c r="A54" s="12" t="inlineStr">
        <is>
          <t>sc:이자율_자산</t>
        </is>
      </c>
      <c r="C54" t="inlineStr">
        <is>
          <t>이자율_자산</t>
        </is>
      </c>
      <c r="D54" s="36" t="n">
        <v>0.03995373376378581</v>
      </c>
      <c r="E54" s="2" t="inlineStr">
        <is>
          <t>연결 — 이자손익 = (전분기 이자발생자산 × 자산이자율 − 전분기 총차입금 × 부채이자율)/4(역산, 재현 오차 ≤ 0.05억 · 모델 assumptions 0.04)</t>
        </is>
      </c>
      <c r="F54" s="9" t="n"/>
      <c r="K54" s="9" t="n"/>
      <c r="P54" s="9" t="n"/>
      <c r="U54" s="9" t="n"/>
      <c r="Z54" s="9" t="n"/>
      <c r="AB54" s="5" t="n"/>
      <c r="AC54" s="10" t="n"/>
      <c r="AD54" s="10" t="n"/>
      <c r="AE54" s="11" t="n"/>
      <c r="AF54" s="10" t="n"/>
      <c r="AG54" s="10" t="n"/>
      <c r="AH54" s="10" t="n"/>
      <c r="AI54" s="10" t="n"/>
      <c r="AJ54" s="11" t="n"/>
      <c r="AK54" s="10" t="n"/>
      <c r="AL54" s="10" t="n"/>
      <c r="AM54" s="10" t="n"/>
      <c r="AN54" s="10" t="n"/>
      <c r="AO54" s="11" t="n"/>
    </row>
    <row r="55">
      <c r="A55" s="12" t="inlineStr">
        <is>
          <t>sc:이자율_부채</t>
        </is>
      </c>
      <c r="C55" t="inlineStr">
        <is>
          <t>이자율_부채</t>
        </is>
      </c>
      <c r="D55" s="36" t="n">
        <v>0.03604608088321742</v>
      </c>
      <c r="E55" s="2" t="inlineStr">
        <is>
          <t>연결 — 같은 수식의 부채 쪽(총차입금 행이 없으면 0)(역산, 재현 오차 ≤ 0.05억 · 모델 assumptions 0.036)</t>
        </is>
      </c>
      <c r="F55" s="9" t="n"/>
      <c r="K55" s="9" t="n"/>
      <c r="P55" s="9" t="n"/>
      <c r="U55" s="9" t="n"/>
      <c r="Z55" s="9" t="n"/>
      <c r="AB55" s="5" t="n"/>
      <c r="AC55" s="10" t="n"/>
      <c r="AD55" s="10" t="n"/>
      <c r="AE55" s="11" t="n"/>
      <c r="AF55" s="10" t="n"/>
      <c r="AG55" s="10" t="n"/>
      <c r="AH55" s="10" t="n"/>
      <c r="AI55" s="10" t="n"/>
      <c r="AJ55" s="11" t="n"/>
      <c r="AK55" s="10" t="n"/>
      <c r="AL55" s="10" t="n"/>
      <c r="AM55" s="10" t="n"/>
      <c r="AN55" s="10" t="n"/>
      <c r="AO55" s="11" t="n"/>
    </row>
    <row r="56">
      <c r="A56" s="12" t="inlineStr">
        <is>
          <t>sc:배당성향</t>
        </is>
      </c>
      <c r="C56" t="inlineStr">
        <is>
          <t>배당성향</t>
        </is>
      </c>
      <c r="D56" s="24" t="n">
        <v>0.2674</v>
      </c>
      <c r="E56" s="2" t="inlineStr">
        <is>
          <t>배당성향(참고 — 모델은 직전 DPS 유지·Q2 지급 가정)</t>
        </is>
      </c>
      <c r="F56" s="9" t="n"/>
      <c r="K56" s="9" t="n"/>
      <c r="P56" s="9" t="n"/>
      <c r="U56" s="9" t="n"/>
      <c r="Z56" s="9" t="n"/>
      <c r="AB56" s="5" t="n"/>
      <c r="AC56" s="10" t="n"/>
      <c r="AD56" s="10" t="n"/>
      <c r="AE56" s="11" t="n"/>
      <c r="AF56" s="10" t="n"/>
      <c r="AG56" s="10" t="n"/>
      <c r="AH56" s="10" t="n"/>
      <c r="AI56" s="10" t="n"/>
      <c r="AJ56" s="11" t="n"/>
      <c r="AK56" s="10" t="n"/>
      <c r="AL56" s="10" t="n"/>
      <c r="AM56" s="10" t="n"/>
      <c r="AN56" s="10" t="n"/>
      <c r="AO56" s="11" t="n"/>
    </row>
    <row r="57">
      <c r="A57" s="12" t="inlineStr">
        <is>
          <t>sc:외화순노출_백만$</t>
        </is>
      </c>
      <c r="C57" t="inlineStr">
        <is>
          <t>외화순노출_백만$</t>
        </is>
      </c>
      <c r="D57" s="30" t="n"/>
      <c r="E57" s="2" t="inlineStr">
        <is>
          <t>외화 순노출 × Δ기말환율 (외화 시트 방식) — 외화 순노출 미공시(face) → 0 + 표기</t>
        </is>
      </c>
      <c r="F57" s="9" t="n"/>
      <c r="K57" s="9" t="n"/>
      <c r="P57" s="9" t="n"/>
      <c r="U57" s="9" t="n"/>
      <c r="Z57" s="9" t="n"/>
      <c r="AB57" s="5" t="n"/>
      <c r="AC57" s="10" t="n"/>
      <c r="AD57" s="10" t="n"/>
      <c r="AE57" s="11" t="n"/>
      <c r="AF57" s="10" t="n"/>
      <c r="AG57" s="10" t="n"/>
      <c r="AH57" s="10" t="n"/>
      <c r="AI57" s="10" t="n"/>
      <c r="AJ57" s="11" t="n"/>
      <c r="AK57" s="10" t="n"/>
      <c r="AL57" s="10" t="n"/>
      <c r="AM57" s="10" t="n"/>
      <c r="AN57" s="10" t="n"/>
      <c r="AO57" s="11" t="n"/>
    </row>
    <row r="58">
      <c r="A58" s="12" t="inlineStr">
        <is>
          <t>sc:헤지비율</t>
        </is>
      </c>
      <c r="C58" t="inlineStr">
        <is>
          <t>헤지비율</t>
        </is>
      </c>
      <c r="D58" s="24" t="n"/>
      <c r="E58" s="2" t="inlineStr">
        <is>
          <t>sls 없음</t>
        </is>
      </c>
      <c r="F58" s="9" t="n"/>
      <c r="K58" s="9" t="n"/>
      <c r="P58" s="9" t="n"/>
      <c r="U58" s="9" t="n"/>
      <c r="Z58" s="9" t="n"/>
      <c r="AB58" s="5" t="n"/>
      <c r="AC58" s="10" t="n"/>
      <c r="AD58" s="10" t="n"/>
      <c r="AE58" s="11" t="n"/>
      <c r="AF58" s="10" t="n"/>
      <c r="AG58" s="10" t="n"/>
      <c r="AH58" s="10" t="n"/>
      <c r="AI58" s="10" t="n"/>
      <c r="AJ58" s="11" t="n"/>
      <c r="AK58" s="10" t="n"/>
      <c r="AL58" s="10" t="n"/>
      <c r="AM58" s="10" t="n"/>
      <c r="AN58" s="10" t="n"/>
      <c r="AO58" s="11" t="n"/>
    </row>
    <row r="59">
      <c r="A59" s="12" t="inlineStr">
        <is>
          <t>sc:헤지환율_약정</t>
        </is>
      </c>
      <c r="C59" t="inlineStr">
        <is>
          <t>헤지환율_약정</t>
        </is>
      </c>
      <c r="D59" s="16" t="n"/>
      <c r="E59" s="2" t="inlineStr">
        <is>
          <t>sls 없음</t>
        </is>
      </c>
      <c r="F59" s="9" t="n"/>
      <c r="K59" s="9" t="n"/>
      <c r="P59" s="9" t="n"/>
      <c r="U59" s="9" t="n"/>
      <c r="Z59" s="9" t="n"/>
      <c r="AB59" s="5" t="n"/>
      <c r="AC59" s="10" t="n"/>
      <c r="AD59" s="10" t="n"/>
      <c r="AE59" s="11" t="n"/>
      <c r="AF59" s="10" t="n"/>
      <c r="AG59" s="10" t="n"/>
      <c r="AH59" s="10" t="n"/>
      <c r="AI59" s="10" t="n"/>
      <c r="AJ59" s="11" t="n"/>
      <c r="AK59" s="10" t="n"/>
      <c r="AL59" s="10" t="n"/>
      <c r="AM59" s="10" t="n"/>
      <c r="AN59" s="10" t="n"/>
      <c r="AO59" s="11" t="n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102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9" customWidth="1" min="2" max="2"/>
    <col width="26" customWidth="1" min="3" max="3"/>
    <col width="30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</cols>
  <sheetData>
    <row r="1">
      <c r="B1" s="2" t="inlineStr">
        <is>
          <t>(백만원)</t>
        </is>
      </c>
      <c r="C1" s="2" t="inlineStr">
        <is>
          <t>이름: BS연결H</t>
        </is>
      </c>
      <c r="E1" s="3" t="inlineStr">
        <is>
          <t>4Q21</t>
        </is>
      </c>
      <c r="F1" s="3" t="n">
        <v>2021</v>
      </c>
      <c r="G1" s="3" t="inlineStr">
        <is>
          <t>1Q22</t>
        </is>
      </c>
      <c r="H1" s="3" t="inlineStr">
        <is>
          <t>2Q22</t>
        </is>
      </c>
      <c r="I1" s="3" t="inlineStr">
        <is>
          <t>3Q22</t>
        </is>
      </c>
      <c r="J1" s="3" t="inlineStr">
        <is>
          <t>4Q22</t>
        </is>
      </c>
      <c r="K1" s="3" t="n">
        <v>2022</v>
      </c>
      <c r="L1" s="3" t="inlineStr">
        <is>
          <t>1Q23</t>
        </is>
      </c>
      <c r="M1" s="3" t="inlineStr">
        <is>
          <t>2Q23</t>
        </is>
      </c>
      <c r="N1" s="3" t="inlineStr">
        <is>
          <t>3Q23</t>
        </is>
      </c>
      <c r="O1" s="3" t="inlineStr">
        <is>
          <t>4Q23</t>
        </is>
      </c>
      <c r="P1" s="3" t="n">
        <v>2023</v>
      </c>
      <c r="Q1" s="3" t="inlineStr">
        <is>
          <t>1Q24</t>
        </is>
      </c>
      <c r="R1" s="3" t="inlineStr">
        <is>
          <t>2Q24</t>
        </is>
      </c>
      <c r="S1" s="3" t="inlineStr">
        <is>
          <t>3Q24</t>
        </is>
      </c>
      <c r="T1" s="3" t="inlineStr">
        <is>
          <t>4Q24</t>
        </is>
      </c>
      <c r="U1" s="3" t="n">
        <v>2024</v>
      </c>
      <c r="V1" s="3" t="inlineStr">
        <is>
          <t>1Q25</t>
        </is>
      </c>
      <c r="W1" s="3" t="inlineStr">
        <is>
          <t>2Q25</t>
        </is>
      </c>
      <c r="X1" s="3" t="inlineStr">
        <is>
          <t>3Q25</t>
        </is>
      </c>
      <c r="Y1" s="3" t="inlineStr">
        <is>
          <t>4Q25</t>
        </is>
      </c>
      <c r="Z1" s="3" t="n">
        <v>2025</v>
      </c>
      <c r="AA1" s="3" t="inlineStr">
        <is>
          <t>1Q26</t>
        </is>
      </c>
      <c r="AB1" s="4" t="inlineStr">
        <is>
          <t>2Q26</t>
        </is>
      </c>
      <c r="AC1" s="3" t="inlineStr">
        <is>
          <t>3Q26</t>
        </is>
      </c>
      <c r="AD1" s="3" t="inlineStr">
        <is>
          <t>4Q26</t>
        </is>
      </c>
      <c r="AE1" s="3" t="n">
        <v>2026</v>
      </c>
      <c r="AF1" s="3" t="inlineStr">
        <is>
          <t>1Q27</t>
        </is>
      </c>
      <c r="AG1" s="3" t="inlineStr">
        <is>
          <t>2Q27</t>
        </is>
      </c>
      <c r="AH1" s="3" t="inlineStr">
        <is>
          <t>3Q27</t>
        </is>
      </c>
      <c r="AI1" s="3" t="inlineStr">
        <is>
          <t>4Q27</t>
        </is>
      </c>
      <c r="AJ1" s="3" t="n">
        <v>2027</v>
      </c>
      <c r="AK1" s="3" t="inlineStr">
        <is>
          <t>1Q28</t>
        </is>
      </c>
      <c r="AL1" s="3" t="inlineStr">
        <is>
          <t>2Q28</t>
        </is>
      </c>
      <c r="AM1" s="3" t="inlineStr">
        <is>
          <t>3Q28</t>
        </is>
      </c>
      <c r="AN1" s="3" t="inlineStr">
        <is>
          <t>4Q28</t>
        </is>
      </c>
      <c r="AO1" s="3" t="n">
        <v>2028</v>
      </c>
    </row>
    <row r="2">
      <c r="B2" t="inlineStr">
        <is>
          <t>연결</t>
        </is>
      </c>
      <c r="D2" s="2" t="inlineStr">
        <is>
          <t>fin json(kship_fin.py)</t>
        </is>
      </c>
      <c r="AB2" s="5" t="n"/>
    </row>
    <row r="3">
      <c r="B3" t="inlineStr">
        <is>
          <t>DSR(연)</t>
        </is>
      </c>
      <c r="C3" s="2" t="inlineStr">
        <is>
          <t>UPDATE: 26-10-14</t>
        </is>
      </c>
      <c r="E3" s="2" t="n">
        <v>1</v>
      </c>
      <c r="F3" s="2" t="n">
        <v>2</v>
      </c>
      <c r="G3" s="2" t="n">
        <v>3</v>
      </c>
      <c r="H3" s="2" t="n">
        <v>4</v>
      </c>
      <c r="I3" s="2" t="n">
        <v>5</v>
      </c>
      <c r="J3" s="2" t="n">
        <v>6</v>
      </c>
      <c r="K3" s="2" t="n">
        <v>7</v>
      </c>
      <c r="L3" s="2" t="n">
        <v>8</v>
      </c>
      <c r="M3" s="2" t="n">
        <v>9</v>
      </c>
      <c r="N3" s="2" t="n">
        <v>10</v>
      </c>
      <c r="O3" s="2" t="n">
        <v>11</v>
      </c>
      <c r="P3" s="2" t="n">
        <v>12</v>
      </c>
      <c r="Q3" s="2" t="n">
        <v>13</v>
      </c>
      <c r="R3" s="2" t="n">
        <v>14</v>
      </c>
      <c r="S3" s="2" t="n">
        <v>15</v>
      </c>
      <c r="T3" s="2" t="n">
        <v>16</v>
      </c>
      <c r="U3" s="2" t="n">
        <v>17</v>
      </c>
      <c r="V3" s="2" t="n">
        <v>18</v>
      </c>
      <c r="W3" s="2" t="n">
        <v>19</v>
      </c>
      <c r="X3" s="2" t="n">
        <v>20</v>
      </c>
      <c r="Y3" s="2" t="n">
        <v>21</v>
      </c>
      <c r="Z3" s="2" t="n">
        <v>22</v>
      </c>
      <c r="AA3" s="2" t="n">
        <v>23</v>
      </c>
      <c r="AB3" s="6" t="n">
        <v>24</v>
      </c>
      <c r="AC3" s="2" t="n">
        <v>25</v>
      </c>
      <c r="AD3" s="2" t="n">
        <v>26</v>
      </c>
      <c r="AE3" s="2" t="n">
        <v>27</v>
      </c>
      <c r="AF3" s="2" t="n">
        <v>28</v>
      </c>
      <c r="AG3" s="2" t="n">
        <v>29</v>
      </c>
      <c r="AH3" s="2" t="n">
        <v>30</v>
      </c>
      <c r="AI3" s="2" t="n">
        <v>31</v>
      </c>
      <c r="AJ3" s="2" t="n">
        <v>32</v>
      </c>
      <c r="AK3" s="2" t="n">
        <v>33</v>
      </c>
      <c r="AL3" s="2" t="n">
        <v>34</v>
      </c>
      <c r="AM3" s="2" t="n">
        <v>35</v>
      </c>
      <c r="AN3" s="2" t="n">
        <v>36</v>
      </c>
      <c r="AO3" s="2" t="n">
        <v>37</v>
      </c>
    </row>
    <row r="4">
      <c r="B4" s="2" t="inlineStr">
        <is>
          <t>Account Code</t>
        </is>
      </c>
      <c r="C4" s="2" t="inlineStr">
        <is>
          <t>AccountNAME</t>
        </is>
      </c>
      <c r="E4" s="7" t="inlineStr">
        <is>
          <t>2021.12</t>
        </is>
      </c>
      <c r="F4" s="7" t="inlineStr">
        <is>
          <t>2021.12A</t>
        </is>
      </c>
      <c r="G4" s="7" t="inlineStr">
        <is>
          <t>2022.03</t>
        </is>
      </c>
      <c r="H4" s="7" t="inlineStr">
        <is>
          <t>2022.06</t>
        </is>
      </c>
      <c r="I4" s="7" t="inlineStr">
        <is>
          <t>2022.09</t>
        </is>
      </c>
      <c r="J4" s="7" t="inlineStr">
        <is>
          <t>2022.12</t>
        </is>
      </c>
      <c r="K4" s="7" t="inlineStr">
        <is>
          <t>2022.12A</t>
        </is>
      </c>
      <c r="L4" s="7" t="inlineStr">
        <is>
          <t>2023.03</t>
        </is>
      </c>
      <c r="M4" s="7" t="inlineStr">
        <is>
          <t>2023.06</t>
        </is>
      </c>
      <c r="N4" s="7" t="inlineStr">
        <is>
          <t>2023.09</t>
        </is>
      </c>
      <c r="O4" s="7" t="inlineStr">
        <is>
          <t>2023.12</t>
        </is>
      </c>
      <c r="P4" s="7" t="inlineStr">
        <is>
          <t>2023.12A</t>
        </is>
      </c>
      <c r="Q4" s="7" t="inlineStr">
        <is>
          <t>2024.03</t>
        </is>
      </c>
      <c r="R4" s="7" t="inlineStr">
        <is>
          <t>2024.06</t>
        </is>
      </c>
      <c r="S4" s="7" t="inlineStr">
        <is>
          <t>2024.09</t>
        </is>
      </c>
      <c r="T4" s="7" t="inlineStr">
        <is>
          <t>2024.12</t>
        </is>
      </c>
      <c r="U4" s="7" t="inlineStr">
        <is>
          <t>2024.12A</t>
        </is>
      </c>
      <c r="V4" s="7" t="inlineStr">
        <is>
          <t>2025.03</t>
        </is>
      </c>
      <c r="W4" s="7" t="inlineStr">
        <is>
          <t>2025.06</t>
        </is>
      </c>
      <c r="X4" s="7" t="inlineStr">
        <is>
          <t>2025.09</t>
        </is>
      </c>
      <c r="Y4" s="7" t="inlineStr">
        <is>
          <t>2025.12</t>
        </is>
      </c>
      <c r="Z4" s="7" t="inlineStr">
        <is>
          <t>2025.12A</t>
        </is>
      </c>
      <c r="AA4" s="7" t="inlineStr">
        <is>
          <t>2026.03</t>
        </is>
      </c>
      <c r="AB4" s="8" t="inlineStr">
        <is>
          <t>2026.06</t>
        </is>
      </c>
      <c r="AC4" s="7" t="inlineStr">
        <is>
          <t>2026.09</t>
        </is>
      </c>
      <c r="AD4" s="7" t="inlineStr">
        <is>
          <t>2026.12</t>
        </is>
      </c>
      <c r="AE4" s="7" t="inlineStr">
        <is>
          <t>2026.12A</t>
        </is>
      </c>
      <c r="AF4" s="7" t="inlineStr">
        <is>
          <t>2027.03</t>
        </is>
      </c>
      <c r="AG4" s="7" t="inlineStr">
        <is>
          <t>2027.06</t>
        </is>
      </c>
      <c r="AH4" s="7" t="inlineStr">
        <is>
          <t>2027.09</t>
        </is>
      </c>
      <c r="AI4" s="7" t="inlineStr">
        <is>
          <t>2027.12</t>
        </is>
      </c>
      <c r="AJ4" s="7" t="inlineStr">
        <is>
          <t>2027.12A</t>
        </is>
      </c>
      <c r="AK4" s="7" t="inlineStr">
        <is>
          <t>2028.03</t>
        </is>
      </c>
      <c r="AL4" s="7" t="inlineStr">
        <is>
          <t>2028.06</t>
        </is>
      </c>
      <c r="AM4" s="7" t="inlineStr">
        <is>
          <t>2028.09</t>
        </is>
      </c>
      <c r="AN4" s="7" t="inlineStr">
        <is>
          <t>2028.12</t>
        </is>
      </c>
      <c r="AO4" s="7" t="inlineStr">
        <is>
          <t>2028.12A</t>
        </is>
      </c>
    </row>
    <row r="5">
      <c r="A5" t="n">
        <v>1</v>
      </c>
      <c r="C5" t="inlineStr">
        <is>
          <t>유동자산</t>
        </is>
      </c>
      <c r="E5" s="18" t="n">
        <v>185737.51</v>
      </c>
      <c r="F5" s="37" t="n">
        <v>185737.51</v>
      </c>
      <c r="G5" s="18" t="n">
        <v>189275.49</v>
      </c>
      <c r="H5" s="18" t="n">
        <v>199697.13</v>
      </c>
      <c r="I5" s="18" t="n">
        <v>197821.26</v>
      </c>
      <c r="J5" s="18" t="n">
        <v>176061.39</v>
      </c>
      <c r="K5" s="37" t="n">
        <v>176061.39</v>
      </c>
      <c r="L5" s="18" t="n">
        <v>166780.69</v>
      </c>
      <c r="M5" s="18" t="n">
        <v>165267.72</v>
      </c>
      <c r="N5" s="18" t="n">
        <v>158101.03</v>
      </c>
      <c r="O5" s="18" t="n">
        <v>155280.08</v>
      </c>
      <c r="P5" s="37" t="n">
        <v>155280.08</v>
      </c>
      <c r="Q5" s="18" t="n">
        <v>154555.48</v>
      </c>
      <c r="R5" s="18" t="n">
        <v>166525.33</v>
      </c>
      <c r="S5" s="18" t="n">
        <v>152515.68</v>
      </c>
      <c r="T5" s="18" t="n">
        <v>157101.45</v>
      </c>
      <c r="U5" s="37" t="n">
        <v>157101.45</v>
      </c>
      <c r="V5" s="18" t="n">
        <v>153083.13</v>
      </c>
      <c r="W5" s="18" t="n">
        <v>165023.14</v>
      </c>
      <c r="X5" s="18" t="n">
        <v>163859.13</v>
      </c>
      <c r="Y5" s="18" t="n">
        <v>183887.86</v>
      </c>
      <c r="Z5" s="37" t="n">
        <v>183887.86</v>
      </c>
      <c r="AA5" s="18" t="n">
        <v>191960.51</v>
      </c>
      <c r="AB5" s="19" t="n">
        <v>212182.42</v>
      </c>
      <c r="AC5" s="10" t="n"/>
      <c r="AD5" s="10" t="n"/>
      <c r="AE5" s="11" t="n"/>
      <c r="AF5" s="10" t="n"/>
      <c r="AG5" s="10" t="n"/>
      <c r="AH5" s="10" t="n"/>
      <c r="AI5" s="10" t="n"/>
      <c r="AJ5" s="11" t="n"/>
      <c r="AK5" s="10" t="n"/>
      <c r="AL5" s="10" t="n"/>
      <c r="AM5" s="10" t="n"/>
      <c r="AN5" s="10" t="n"/>
      <c r="AO5" s="11" t="n"/>
    </row>
    <row r="6">
      <c r="A6" t="n">
        <v>1</v>
      </c>
      <c r="C6" t="inlineStr">
        <is>
          <t>현금및현금성자산</t>
        </is>
      </c>
      <c r="E6" s="18" t="n">
        <v>15855.02</v>
      </c>
      <c r="F6" s="37" t="n">
        <v>15855.02</v>
      </c>
      <c r="G6" s="18" t="n">
        <v>8499.120000000001</v>
      </c>
      <c r="H6" s="18" t="n">
        <v>8777.889999999999</v>
      </c>
      <c r="I6" s="18" t="n">
        <v>12452.5</v>
      </c>
      <c r="J6" s="18" t="n">
        <v>8655.77</v>
      </c>
      <c r="K6" s="37" t="n">
        <v>8655.77</v>
      </c>
      <c r="L6" s="18" t="n">
        <v>1695.22</v>
      </c>
      <c r="M6" s="18" t="n">
        <v>3861.57</v>
      </c>
      <c r="N6" s="18" t="n">
        <v>9708.42</v>
      </c>
      <c r="O6" s="18" t="n">
        <v>6126.13</v>
      </c>
      <c r="P6" s="37" t="n">
        <v>6126.13</v>
      </c>
      <c r="Q6" s="18" t="n">
        <v>3892.15</v>
      </c>
      <c r="R6" s="18" t="n">
        <v>8193.309999999999</v>
      </c>
      <c r="S6" s="18" t="n">
        <v>9874.77</v>
      </c>
      <c r="T6" s="18" t="n">
        <v>6983.81</v>
      </c>
      <c r="U6" s="37" t="n">
        <v>6983.81</v>
      </c>
      <c r="V6" s="18" t="n">
        <v>7769.05</v>
      </c>
      <c r="W6" s="18" t="n">
        <v>15439.18</v>
      </c>
      <c r="X6" s="18" t="n">
        <v>9786.370000000001</v>
      </c>
      <c r="Y6" s="18" t="n">
        <v>15703.66</v>
      </c>
      <c r="Z6" s="37" t="n">
        <v>15703.66</v>
      </c>
      <c r="AA6" s="18" t="n">
        <v>16440.73</v>
      </c>
      <c r="AB6" s="19" t="n">
        <v>11849.4</v>
      </c>
      <c r="AC6" s="10" t="n"/>
      <c r="AD6" s="10" t="n"/>
      <c r="AE6" s="11" t="n"/>
      <c r="AF6" s="10" t="n"/>
      <c r="AG6" s="10" t="n"/>
      <c r="AH6" s="10" t="n"/>
      <c r="AI6" s="10" t="n"/>
      <c r="AJ6" s="11" t="n"/>
      <c r="AK6" s="10" t="n"/>
      <c r="AL6" s="10" t="n"/>
      <c r="AM6" s="10" t="n"/>
      <c r="AN6" s="10" t="n"/>
      <c r="AO6" s="11" t="n"/>
    </row>
    <row r="7">
      <c r="A7" t="n">
        <v>1</v>
      </c>
      <c r="C7" t="inlineStr">
        <is>
          <t>기타유동금융자산</t>
        </is>
      </c>
      <c r="E7" s="18" t="n">
        <v>2471.5</v>
      </c>
      <c r="F7" s="37" t="n">
        <v>2471.5</v>
      </c>
      <c r="G7" s="18" t="n">
        <v>951.84</v>
      </c>
      <c r="H7" s="18" t="n">
        <v>592.4</v>
      </c>
      <c r="I7" s="18" t="n">
        <v>276.15</v>
      </c>
      <c r="J7" s="18" t="n">
        <v>7707.75</v>
      </c>
      <c r="K7" s="37" t="n">
        <v>7707.75</v>
      </c>
      <c r="L7" s="18" t="n">
        <v>6131.05</v>
      </c>
      <c r="M7" s="18" t="n">
        <v>7642.03</v>
      </c>
      <c r="N7" s="18" t="n">
        <v>8646.66</v>
      </c>
      <c r="O7" s="18" t="n">
        <v>12002.66</v>
      </c>
      <c r="P7" s="37" t="n">
        <v>12002.66</v>
      </c>
      <c r="Q7" s="18" t="n">
        <v>12051.48</v>
      </c>
      <c r="R7" s="18" t="n">
        <v>12101.82</v>
      </c>
      <c r="S7" s="18" t="n">
        <v>5225.97</v>
      </c>
      <c r="T7" s="18" t="n">
        <v>850.88</v>
      </c>
      <c r="U7" s="37" t="n">
        <v>850.88</v>
      </c>
      <c r="V7" s="18" t="n">
        <v>1085.46</v>
      </c>
      <c r="W7" s="18" t="n">
        <v>1126.32</v>
      </c>
      <c r="X7" s="18" t="n">
        <v>1107.71</v>
      </c>
      <c r="Y7" s="18" t="n">
        <v>1029.67</v>
      </c>
      <c r="Z7" s="37" t="n">
        <v>1029.67</v>
      </c>
      <c r="AA7" s="18" t="n">
        <v>1547.46</v>
      </c>
      <c r="AB7" s="19" t="n">
        <v>399.81</v>
      </c>
      <c r="AC7" s="10" t="n"/>
      <c r="AD7" s="10" t="n"/>
      <c r="AE7" s="11" t="n"/>
      <c r="AF7" s="10" t="n"/>
      <c r="AG7" s="10" t="n"/>
      <c r="AH7" s="10" t="n"/>
      <c r="AI7" s="10" t="n"/>
      <c r="AJ7" s="11" t="n"/>
      <c r="AK7" s="10" t="n"/>
      <c r="AL7" s="10" t="n"/>
      <c r="AM7" s="10" t="n"/>
      <c r="AN7" s="10" t="n"/>
      <c r="AO7" s="11" t="n"/>
    </row>
    <row r="8">
      <c r="A8" t="n">
        <v>1</v>
      </c>
      <c r="C8" t="inlineStr">
        <is>
          <t>매출채권및기타채권</t>
        </is>
      </c>
      <c r="E8" s="18" t="n">
        <v>50442.15</v>
      </c>
      <c r="F8" s="37" t="n">
        <v>50442.15</v>
      </c>
      <c r="G8" s="18" t="n">
        <v>56851.32</v>
      </c>
      <c r="H8" s="18" t="n">
        <v>63153.2</v>
      </c>
      <c r="I8" s="18" t="n">
        <v>64541.81</v>
      </c>
      <c r="J8" s="18" t="n">
        <v>55965.51</v>
      </c>
      <c r="K8" s="37" t="n">
        <v>55965.51</v>
      </c>
      <c r="L8" s="18" t="n">
        <v>53032.23</v>
      </c>
      <c r="M8" s="18" t="n">
        <v>54600.12</v>
      </c>
      <c r="N8" s="18" t="n">
        <v>48691.75</v>
      </c>
      <c r="O8" s="18" t="n">
        <v>44550.79</v>
      </c>
      <c r="P8" s="37" t="n">
        <v>44550.79</v>
      </c>
      <c r="Q8" s="18" t="n">
        <v>46010.19</v>
      </c>
      <c r="R8" s="18" t="n">
        <v>51331.76</v>
      </c>
      <c r="S8" s="18" t="n">
        <v>44163.75</v>
      </c>
      <c r="T8" s="18" t="n">
        <v>56529.69</v>
      </c>
      <c r="U8" s="37" t="n">
        <v>56529.69</v>
      </c>
      <c r="V8" s="18" t="n">
        <v>50245.74</v>
      </c>
      <c r="W8" s="18" t="n">
        <v>48679.51</v>
      </c>
      <c r="X8" s="18" t="n">
        <v>48585.94</v>
      </c>
      <c r="Y8" s="18" t="n">
        <v>56462.21</v>
      </c>
      <c r="Z8" s="37" t="n">
        <v>56462.21</v>
      </c>
      <c r="AA8" s="18" t="n">
        <v>59053.85</v>
      </c>
      <c r="AB8" s="19" t="n">
        <v>65224.76</v>
      </c>
      <c r="AC8" s="10" t="n"/>
      <c r="AD8" s="10" t="n"/>
      <c r="AE8" s="11" t="n"/>
      <c r="AF8" s="10" t="n"/>
      <c r="AG8" s="10" t="n"/>
      <c r="AH8" s="10" t="n"/>
      <c r="AI8" s="10" t="n"/>
      <c r="AJ8" s="11" t="n"/>
      <c r="AK8" s="10" t="n"/>
      <c r="AL8" s="10" t="n"/>
      <c r="AM8" s="10" t="n"/>
      <c r="AN8" s="10" t="n"/>
      <c r="AO8" s="11" t="n"/>
    </row>
    <row r="9">
      <c r="A9" t="n">
        <v>1</v>
      </c>
      <c r="C9" t="inlineStr">
        <is>
          <t>기타유동자산</t>
        </is>
      </c>
      <c r="E9" s="18" t="n">
        <v>12651.27</v>
      </c>
      <c r="F9" s="37" t="n">
        <v>12651.27</v>
      </c>
      <c r="G9" s="18" t="n">
        <v>15446.7</v>
      </c>
      <c r="H9" s="18" t="n">
        <v>10832.57</v>
      </c>
      <c r="I9" s="18" t="n">
        <v>8607.18</v>
      </c>
      <c r="J9" s="18" t="n">
        <v>6361.45</v>
      </c>
      <c r="K9" s="37" t="n">
        <v>6361.45</v>
      </c>
      <c r="L9" s="18" t="n">
        <v>8210.709999999999</v>
      </c>
      <c r="M9" s="18" t="n">
        <v>7235.24</v>
      </c>
      <c r="N9" s="18" t="n">
        <v>7035.6</v>
      </c>
      <c r="O9" s="18" t="n">
        <v>9071</v>
      </c>
      <c r="P9" s="37" t="n">
        <v>9071</v>
      </c>
      <c r="Q9" s="18" t="n">
        <v>8446.43</v>
      </c>
      <c r="R9" s="18" t="n">
        <v>7768.37</v>
      </c>
      <c r="S9" s="18" t="n">
        <v>7837.78</v>
      </c>
      <c r="T9" s="18" t="n">
        <v>7596.89</v>
      </c>
      <c r="U9" s="37" t="n">
        <v>7596.89</v>
      </c>
      <c r="V9" s="18" t="n">
        <v>7378.09</v>
      </c>
      <c r="W9" s="18" t="n">
        <v>8501.809999999999</v>
      </c>
      <c r="X9" s="18" t="n">
        <v>7972.64</v>
      </c>
      <c r="Y9" s="18" t="n">
        <v>9712.059999999999</v>
      </c>
      <c r="Z9" s="37" t="n">
        <v>9712.059999999999</v>
      </c>
      <c r="AA9" s="18" t="n">
        <v>11690.29</v>
      </c>
      <c r="AB9" s="19" t="n">
        <v>12751.8</v>
      </c>
      <c r="AC9" s="10" t="n"/>
      <c r="AD9" s="10" t="n"/>
      <c r="AE9" s="11" t="n"/>
      <c r="AF9" s="10" t="n"/>
      <c r="AG9" s="10" t="n"/>
      <c r="AH9" s="10" t="n"/>
      <c r="AI9" s="10" t="n"/>
      <c r="AJ9" s="11" t="n"/>
      <c r="AK9" s="10" t="n"/>
      <c r="AL9" s="10" t="n"/>
      <c r="AM9" s="10" t="n"/>
      <c r="AN9" s="10" t="n"/>
      <c r="AO9" s="11" t="n"/>
    </row>
    <row r="10">
      <c r="A10" t="n">
        <v>1</v>
      </c>
      <c r="C10" t="inlineStr">
        <is>
          <t>재고자산</t>
        </is>
      </c>
      <c r="E10" s="18" t="n">
        <v>87914.95</v>
      </c>
      <c r="F10" s="37" t="n">
        <v>87914.95</v>
      </c>
      <c r="G10" s="18" t="n">
        <v>89778.19</v>
      </c>
      <c r="H10" s="18" t="n">
        <v>103775.22</v>
      </c>
      <c r="I10" s="18" t="n">
        <v>101337.88</v>
      </c>
      <c r="J10" s="18" t="n">
        <v>85462.75</v>
      </c>
      <c r="K10" s="37" t="n">
        <v>85462.75</v>
      </c>
      <c r="L10" s="18" t="n">
        <v>85045.17999999999</v>
      </c>
      <c r="M10" s="18" t="n">
        <v>79287.07000000001</v>
      </c>
      <c r="N10" s="18" t="n">
        <v>71002.78</v>
      </c>
      <c r="O10" s="18" t="n">
        <v>71553.62</v>
      </c>
      <c r="P10" s="37" t="n">
        <v>71553.62</v>
      </c>
      <c r="Q10" s="18" t="n">
        <v>73150.97</v>
      </c>
      <c r="R10" s="18" t="n">
        <v>78557.41</v>
      </c>
      <c r="S10" s="18" t="n">
        <v>79775.71000000001</v>
      </c>
      <c r="T10" s="18" t="n">
        <v>79052.33</v>
      </c>
      <c r="U10" s="37" t="n">
        <v>79052.33</v>
      </c>
      <c r="V10" s="18" t="n">
        <v>80179.57000000001</v>
      </c>
      <c r="W10" s="18" t="n">
        <v>83178.37</v>
      </c>
      <c r="X10" s="18" t="n">
        <v>86059.53999999999</v>
      </c>
      <c r="Y10" s="18" t="n">
        <v>83948.10000000001</v>
      </c>
      <c r="Z10" s="37" t="n">
        <v>83948.10000000001</v>
      </c>
      <c r="AA10" s="18" t="n">
        <v>84397.27</v>
      </c>
      <c r="AB10" s="19" t="n">
        <v>91459.88</v>
      </c>
      <c r="AC10" s="10" t="n"/>
      <c r="AD10" s="10" t="n"/>
      <c r="AE10" s="11" t="n"/>
      <c r="AF10" s="10" t="n"/>
      <c r="AG10" s="10" t="n"/>
      <c r="AH10" s="10" t="n"/>
      <c r="AI10" s="10" t="n"/>
      <c r="AJ10" s="11" t="n"/>
      <c r="AK10" s="10" t="n"/>
      <c r="AL10" s="10" t="n"/>
      <c r="AM10" s="10" t="n"/>
      <c r="AN10" s="10" t="n"/>
      <c r="AO10" s="11" t="n"/>
    </row>
    <row r="11">
      <c r="A11" t="n">
        <v>1</v>
      </c>
      <c r="C11" t="inlineStr">
        <is>
          <t>비유동자산</t>
        </is>
      </c>
      <c r="E11" s="18" t="n">
        <v>116861.12</v>
      </c>
      <c r="F11" s="37" t="n">
        <v>116861.12</v>
      </c>
      <c r="G11" s="18" t="n">
        <v>123129.08</v>
      </c>
      <c r="H11" s="18" t="n">
        <v>174729.15</v>
      </c>
      <c r="I11" s="18" t="n">
        <v>182104.82</v>
      </c>
      <c r="J11" s="18" t="n">
        <v>188649</v>
      </c>
      <c r="K11" s="37" t="n">
        <v>188649</v>
      </c>
      <c r="L11" s="18" t="n">
        <v>191600.76</v>
      </c>
      <c r="M11" s="18" t="n">
        <v>188596.72</v>
      </c>
      <c r="N11" s="18" t="n">
        <v>188360.19</v>
      </c>
      <c r="O11" s="18" t="n">
        <v>188200.94</v>
      </c>
      <c r="P11" s="37" t="n">
        <v>188200.94</v>
      </c>
      <c r="Q11" s="18" t="n">
        <v>190773.83</v>
      </c>
      <c r="R11" s="18" t="n">
        <v>192900.37</v>
      </c>
      <c r="S11" s="18" t="n">
        <v>199755</v>
      </c>
      <c r="T11" s="18" t="n">
        <v>206292.78</v>
      </c>
      <c r="U11" s="37" t="n">
        <v>206292.78</v>
      </c>
      <c r="V11" s="18" t="n">
        <v>202649.73</v>
      </c>
      <c r="W11" s="18" t="n">
        <v>194508.78</v>
      </c>
      <c r="X11" s="18" t="n">
        <v>200148.46</v>
      </c>
      <c r="Y11" s="18" t="n">
        <v>207704.41</v>
      </c>
      <c r="Z11" s="37" t="n">
        <v>207704.41</v>
      </c>
      <c r="AA11" s="18" t="n">
        <v>214909.36</v>
      </c>
      <c r="AB11" s="19" t="n">
        <v>216113.33</v>
      </c>
      <c r="AC11" s="10" t="n"/>
      <c r="AD11" s="10" t="n"/>
      <c r="AE11" s="11" t="n"/>
      <c r="AF11" s="10" t="n"/>
      <c r="AG11" s="10" t="n"/>
      <c r="AH11" s="10" t="n"/>
      <c r="AI11" s="10" t="n"/>
      <c r="AJ11" s="11" t="n"/>
      <c r="AK11" s="10" t="n"/>
      <c r="AL11" s="10" t="n"/>
      <c r="AM11" s="10" t="n"/>
      <c r="AN11" s="10" t="n"/>
      <c r="AO11" s="11" t="n"/>
    </row>
    <row r="12">
      <c r="A12" t="n">
        <v>1</v>
      </c>
      <c r="C12" t="inlineStr">
        <is>
          <t>장기금융자산</t>
        </is>
      </c>
      <c r="E12" s="18" t="n">
        <v>15761.2</v>
      </c>
      <c r="F12" s="37" t="n">
        <v>15761.2</v>
      </c>
      <c r="G12" s="18" t="n">
        <v>17670.58</v>
      </c>
      <c r="H12" s="18" t="n">
        <v>15873.36</v>
      </c>
      <c r="I12" s="18" t="n">
        <v>13803.55</v>
      </c>
      <c r="J12" s="18" t="n">
        <v>23933.03</v>
      </c>
      <c r="K12" s="37" t="n">
        <v>23933.03</v>
      </c>
      <c r="L12" s="18" t="n">
        <v>27512.54</v>
      </c>
      <c r="M12" s="18" t="n">
        <v>26724.71</v>
      </c>
      <c r="N12" s="18" t="n">
        <v>9281.75</v>
      </c>
      <c r="O12" s="18" t="n">
        <v>8522.469999999999</v>
      </c>
      <c r="P12" s="37" t="n">
        <v>8522.469999999999</v>
      </c>
      <c r="Q12" s="18" t="n">
        <v>7847.89</v>
      </c>
      <c r="R12" s="18" t="n">
        <v>23670.26</v>
      </c>
      <c r="S12" s="18" t="n">
        <v>4195.41</v>
      </c>
      <c r="T12" s="18" t="n">
        <v>3912</v>
      </c>
      <c r="U12" s="37" t="n">
        <v>3912</v>
      </c>
      <c r="V12" s="18" t="n">
        <v>3898.37</v>
      </c>
      <c r="W12" s="18" t="n">
        <v>25318.41</v>
      </c>
      <c r="X12" s="18" t="n">
        <v>5904.56</v>
      </c>
      <c r="Y12" s="18" t="n">
        <v>5236.11</v>
      </c>
      <c r="Z12" s="37" t="n">
        <v>5236.11</v>
      </c>
      <c r="AA12" s="18" t="n">
        <v>4891.28</v>
      </c>
      <c r="AB12" s="19" t="n">
        <v>30816.67</v>
      </c>
      <c r="AC12" s="10" t="n"/>
      <c r="AD12" s="10" t="n"/>
      <c r="AE12" s="11" t="n"/>
      <c r="AF12" s="10" t="n"/>
      <c r="AG12" s="10" t="n"/>
      <c r="AH12" s="10" t="n"/>
      <c r="AI12" s="10" t="n"/>
      <c r="AJ12" s="11" t="n"/>
      <c r="AK12" s="10" t="n"/>
      <c r="AL12" s="10" t="n"/>
      <c r="AM12" s="10" t="n"/>
      <c r="AN12" s="10" t="n"/>
      <c r="AO12" s="11" t="n"/>
    </row>
    <row r="13">
      <c r="A13" t="n">
        <v>1</v>
      </c>
      <c r="C13" t="inlineStr">
        <is>
          <t>투자자산</t>
        </is>
      </c>
      <c r="E13" s="18" t="n">
        <v>15761.2</v>
      </c>
      <c r="F13" s="37" t="n">
        <v>15761.2</v>
      </c>
      <c r="G13" s="18" t="n">
        <v>17670.58</v>
      </c>
      <c r="H13" s="18" t="n">
        <v>15873.36</v>
      </c>
      <c r="I13" s="18" t="n">
        <v>13803.55</v>
      </c>
      <c r="J13" s="18" t="n">
        <v>23933.03</v>
      </c>
      <c r="K13" s="37" t="n">
        <v>23933.03</v>
      </c>
      <c r="L13" s="18" t="n">
        <v>27512.54</v>
      </c>
      <c r="M13" s="18" t="n">
        <v>26724.71</v>
      </c>
      <c r="N13" s="18" t="n">
        <v>9281.75</v>
      </c>
      <c r="O13" s="18" t="n">
        <v>8522.469999999999</v>
      </c>
      <c r="P13" s="37" t="n">
        <v>8522.469999999999</v>
      </c>
      <c r="Q13" s="18" t="n">
        <v>7847.89</v>
      </c>
      <c r="R13" s="18" t="n">
        <v>23670.26</v>
      </c>
      <c r="S13" s="18" t="n">
        <v>4195.41</v>
      </c>
      <c r="T13" s="18" t="n">
        <v>7135.73</v>
      </c>
      <c r="U13" s="37" t="n">
        <v>7135.73</v>
      </c>
      <c r="V13" s="18" t="n">
        <v>6822.94</v>
      </c>
      <c r="W13" s="18" t="n">
        <v>28560</v>
      </c>
      <c r="X13" s="18" t="n">
        <v>9284.559999999999</v>
      </c>
      <c r="Y13" s="18" t="n">
        <v>8665.23</v>
      </c>
      <c r="Z13" s="37" t="n">
        <v>8665.23</v>
      </c>
      <c r="AA13" s="18" t="n">
        <v>9249.120000000001</v>
      </c>
      <c r="AB13" s="19" t="n">
        <v>30816.67</v>
      </c>
      <c r="AC13" s="10" t="n"/>
      <c r="AD13" s="10" t="n"/>
      <c r="AE13" s="11" t="n"/>
      <c r="AF13" s="10" t="n"/>
      <c r="AG13" s="10" t="n"/>
      <c r="AH13" s="10" t="n"/>
      <c r="AI13" s="10" t="n"/>
      <c r="AJ13" s="11" t="n"/>
      <c r="AK13" s="10" t="n"/>
      <c r="AL13" s="10" t="n"/>
      <c r="AM13" s="10" t="n"/>
      <c r="AN13" s="10" t="n"/>
      <c r="AO13" s="11" t="n"/>
    </row>
    <row r="14">
      <c r="A14" t="n">
        <v>1</v>
      </c>
      <c r="C14" t="inlineStr">
        <is>
          <t>장기매출채권및기타채권</t>
        </is>
      </c>
      <c r="E14" s="18" t="n">
        <v>489.73</v>
      </c>
      <c r="F14" s="37" t="n">
        <v>489.73</v>
      </c>
      <c r="G14" s="18" t="n">
        <v>479.81</v>
      </c>
      <c r="H14" s="18" t="n">
        <v>489.29</v>
      </c>
      <c r="I14" s="18" t="n">
        <v>100.57</v>
      </c>
      <c r="J14" s="18" t="n">
        <v>99.83</v>
      </c>
      <c r="K14" s="37" t="n">
        <v>99.83</v>
      </c>
      <c r="L14" s="18" t="n">
        <v>104.17</v>
      </c>
      <c r="M14" s="18" t="n">
        <v>122.75</v>
      </c>
      <c r="N14" s="18" t="n">
        <v>163.83</v>
      </c>
      <c r="O14" s="18" t="n">
        <v>150.9</v>
      </c>
      <c r="P14" s="37" t="n">
        <v>150.9</v>
      </c>
      <c r="Q14" s="18" t="n">
        <v>189.56</v>
      </c>
      <c r="R14" s="18" t="n">
        <v>180.55</v>
      </c>
      <c r="T14" s="18" t="n">
        <v>167.95</v>
      </c>
      <c r="U14" s="37" t="n">
        <v>167.95</v>
      </c>
      <c r="Y14" s="18" t="n">
        <v>215.43</v>
      </c>
      <c r="Z14" s="37" t="n">
        <v>215.43</v>
      </c>
      <c r="AA14" s="18" t="n">
        <v>251.24</v>
      </c>
      <c r="AB14" s="19" t="n">
        <v>241.83</v>
      </c>
      <c r="AC14" s="10" t="n"/>
      <c r="AD14" s="10" t="n"/>
      <c r="AE14" s="11" t="n"/>
      <c r="AF14" s="10" t="n"/>
      <c r="AG14" s="10" t="n"/>
      <c r="AH14" s="10" t="n"/>
      <c r="AI14" s="10" t="n"/>
      <c r="AJ14" s="11" t="n"/>
      <c r="AK14" s="10" t="n"/>
      <c r="AL14" s="10" t="n"/>
      <c r="AM14" s="10" t="n"/>
      <c r="AN14" s="10" t="n"/>
      <c r="AO14" s="11" t="n"/>
    </row>
    <row r="15">
      <c r="A15" t="n">
        <v>1</v>
      </c>
      <c r="C15" t="inlineStr">
        <is>
          <t>유형자산</t>
        </is>
      </c>
      <c r="E15" s="18" t="n">
        <v>94435.42999999999</v>
      </c>
      <c r="F15" s="37" t="n">
        <v>94435.42999999999</v>
      </c>
      <c r="G15" s="18" t="n">
        <v>98979.85000000001</v>
      </c>
      <c r="H15" s="18" t="n">
        <v>144717.89</v>
      </c>
      <c r="I15" s="18" t="n">
        <v>153229.55</v>
      </c>
      <c r="J15" s="18" t="n">
        <v>109321.52</v>
      </c>
      <c r="K15" s="37" t="n">
        <v>109321.52</v>
      </c>
      <c r="L15" s="18" t="n">
        <v>109763.37</v>
      </c>
      <c r="M15" s="18" t="n">
        <v>107809.77</v>
      </c>
      <c r="N15" s="18" t="n">
        <v>106418.81</v>
      </c>
      <c r="O15" s="18" t="n">
        <v>103657.39</v>
      </c>
      <c r="P15" s="37" t="n">
        <v>103657.39</v>
      </c>
      <c r="Q15" s="18" t="n">
        <v>107146.17</v>
      </c>
      <c r="R15" s="18" t="n">
        <v>113572.43</v>
      </c>
      <c r="S15" s="18" t="n">
        <v>113444.28</v>
      </c>
      <c r="T15" s="18" t="n">
        <v>118957.29</v>
      </c>
      <c r="U15" s="37" t="n">
        <v>118957.29</v>
      </c>
      <c r="V15" s="18" t="n">
        <v>118381.72</v>
      </c>
      <c r="W15" s="18" t="n">
        <v>112366.36</v>
      </c>
      <c r="X15" s="18" t="n">
        <v>115881.01</v>
      </c>
      <c r="Y15" s="18" t="n">
        <v>120357.08</v>
      </c>
      <c r="Z15" s="37" t="n">
        <v>120357.08</v>
      </c>
      <c r="AA15" s="18" t="n">
        <v>124607.2</v>
      </c>
      <c r="AB15" s="19" t="n">
        <v>125416.82</v>
      </c>
      <c r="AC15" s="10" t="n"/>
      <c r="AD15" s="10" t="n"/>
      <c r="AE15" s="11" t="n"/>
      <c r="AF15" s="10" t="n"/>
      <c r="AG15" s="10" t="n"/>
      <c r="AH15" s="10" t="n"/>
      <c r="AI15" s="10" t="n"/>
      <c r="AJ15" s="11" t="n"/>
      <c r="AK15" s="10" t="n"/>
      <c r="AL15" s="10" t="n"/>
      <c r="AM15" s="10" t="n"/>
      <c r="AN15" s="10" t="n"/>
      <c r="AO15" s="11" t="n"/>
    </row>
    <row r="16">
      <c r="A16" t="n">
        <v>1</v>
      </c>
      <c r="C16" t="inlineStr">
        <is>
          <t>사용권자산</t>
        </is>
      </c>
      <c r="E16" s="18" t="n">
        <v>5672.46</v>
      </c>
      <c r="F16" s="37" t="n">
        <v>5672.46</v>
      </c>
      <c r="G16" s="18" t="n">
        <v>5656.66</v>
      </c>
      <c r="H16" s="18" t="n">
        <v>12888.35</v>
      </c>
      <c r="I16" s="18" t="n">
        <v>13717.06</v>
      </c>
      <c r="J16" s="18" t="n">
        <v>12148.75</v>
      </c>
      <c r="K16" s="37" t="n">
        <v>12148.75</v>
      </c>
      <c r="L16" s="18" t="n">
        <v>12448.54</v>
      </c>
      <c r="M16" s="18" t="n">
        <v>12335.02</v>
      </c>
      <c r="N16" s="18" t="n">
        <v>12121.12</v>
      </c>
      <c r="O16" s="18" t="n">
        <v>11608.78</v>
      </c>
      <c r="P16" s="37" t="n">
        <v>11608.78</v>
      </c>
      <c r="Q16" s="18" t="n">
        <v>11744.14</v>
      </c>
      <c r="R16" s="18" t="n">
        <v>11715.04</v>
      </c>
      <c r="S16" s="18" t="n">
        <v>11418.67</v>
      </c>
      <c r="T16" s="18" t="n">
        <v>12137.5</v>
      </c>
      <c r="U16" s="37" t="n">
        <v>12137.5</v>
      </c>
      <c r="V16" s="18" t="n">
        <v>12498.4</v>
      </c>
      <c r="W16" s="18" t="n">
        <v>11271.78</v>
      </c>
      <c r="X16" s="18" t="n">
        <v>11495.2</v>
      </c>
      <c r="Y16" s="18" t="n">
        <v>11688.44</v>
      </c>
      <c r="Z16" s="37" t="n">
        <v>11688.44</v>
      </c>
      <c r="AA16" s="18" t="n">
        <v>12181.68</v>
      </c>
      <c r="AB16" s="19" t="n">
        <v>12326.78</v>
      </c>
      <c r="AC16" s="10" t="n"/>
      <c r="AD16" s="10" t="n"/>
      <c r="AE16" s="11" t="n"/>
      <c r="AF16" s="10" t="n"/>
      <c r="AG16" s="10" t="n"/>
      <c r="AH16" s="10" t="n"/>
      <c r="AI16" s="10" t="n"/>
      <c r="AJ16" s="11" t="n"/>
      <c r="AK16" s="10" t="n"/>
      <c r="AL16" s="10" t="n"/>
      <c r="AM16" s="10" t="n"/>
      <c r="AN16" s="10" t="n"/>
      <c r="AO16" s="11" t="n"/>
    </row>
    <row r="17">
      <c r="A17" t="n">
        <v>1</v>
      </c>
      <c r="C17" t="inlineStr">
        <is>
          <t>기타비유동자산</t>
        </is>
      </c>
      <c r="E17" s="18" t="n">
        <v>5672.46</v>
      </c>
      <c r="F17" s="37" t="n">
        <v>5672.46</v>
      </c>
      <c r="G17" s="18" t="n">
        <v>5656.66</v>
      </c>
      <c r="H17" s="18" t="n">
        <v>12888.35</v>
      </c>
      <c r="I17" s="18" t="n">
        <v>13717.06</v>
      </c>
      <c r="J17" s="18" t="n">
        <v>12148.75</v>
      </c>
      <c r="K17" s="37" t="n">
        <v>12148.75</v>
      </c>
      <c r="L17" s="18" t="n">
        <v>12448.54</v>
      </c>
      <c r="M17" s="18" t="n">
        <v>12335.02</v>
      </c>
      <c r="N17" s="18" t="n">
        <v>12121.12</v>
      </c>
      <c r="O17" s="18" t="n">
        <v>11608.78</v>
      </c>
      <c r="P17" s="37" t="n">
        <v>11608.78</v>
      </c>
      <c r="Q17" s="18" t="n">
        <v>11744.14</v>
      </c>
      <c r="R17" s="18" t="n">
        <v>11715.04</v>
      </c>
      <c r="S17" s="18" t="n">
        <v>11418.67</v>
      </c>
      <c r="T17" s="18" t="n">
        <v>12137.5</v>
      </c>
      <c r="U17" s="37" t="n">
        <v>12137.5</v>
      </c>
      <c r="V17" s="18" t="n">
        <v>12498.4</v>
      </c>
      <c r="W17" s="18" t="n">
        <v>11271.78</v>
      </c>
      <c r="X17" s="18" t="n">
        <v>11495.2</v>
      </c>
      <c r="Y17" s="18" t="n">
        <v>11688.44</v>
      </c>
      <c r="Z17" s="37" t="n">
        <v>11688.44</v>
      </c>
      <c r="AA17" s="18" t="n">
        <v>12181.68</v>
      </c>
      <c r="AB17" s="19" t="n">
        <v>13174.24</v>
      </c>
      <c r="AC17" s="10" t="n"/>
      <c r="AD17" s="10" t="n"/>
      <c r="AE17" s="11" t="n"/>
      <c r="AF17" s="10" t="n"/>
      <c r="AG17" s="10" t="n"/>
      <c r="AH17" s="10" t="n"/>
      <c r="AI17" s="10" t="n"/>
      <c r="AJ17" s="11" t="n"/>
      <c r="AK17" s="10" t="n"/>
      <c r="AL17" s="10" t="n"/>
      <c r="AM17" s="10" t="n"/>
      <c r="AN17" s="10" t="n"/>
      <c r="AO17" s="11" t="n"/>
    </row>
    <row r="18">
      <c r="A18" t="n">
        <v>1</v>
      </c>
      <c r="C18" t="inlineStr">
        <is>
          <t>이연법인세자산</t>
        </is>
      </c>
      <c r="E18" s="18" t="n">
        <v>502.29</v>
      </c>
      <c r="F18" s="37" t="n">
        <v>502.29</v>
      </c>
      <c r="G18" s="18" t="n">
        <v>342.18</v>
      </c>
      <c r="H18" s="18" t="n">
        <v>760.25</v>
      </c>
      <c r="I18" s="18" t="n">
        <v>1254.09</v>
      </c>
      <c r="J18" s="18" t="n">
        <v>1276.01</v>
      </c>
      <c r="K18" s="37" t="n">
        <v>1276.01</v>
      </c>
      <c r="L18" s="18" t="n">
        <v>205.34</v>
      </c>
      <c r="M18" s="18" t="n">
        <v>56.7</v>
      </c>
      <c r="N18" s="18" t="n">
        <v>149.99</v>
      </c>
      <c r="O18" s="18" t="n">
        <v>550.51</v>
      </c>
      <c r="P18" s="37" t="n">
        <v>550.51</v>
      </c>
      <c r="Q18" s="18" t="n">
        <v>117.13</v>
      </c>
      <c r="R18" s="18" t="n">
        <v>85.27</v>
      </c>
      <c r="S18" s="18" t="n">
        <v>416.31</v>
      </c>
      <c r="T18" s="18" t="n">
        <v>574.29</v>
      </c>
      <c r="U18" s="37" t="n">
        <v>574.29</v>
      </c>
      <c r="V18" s="18" t="n">
        <v>742.64</v>
      </c>
      <c r="W18" s="18" t="n">
        <v>587.54</v>
      </c>
      <c r="X18" s="18" t="n">
        <v>631.14</v>
      </c>
      <c r="Y18" s="18" t="n">
        <v>44.39</v>
      </c>
      <c r="Z18" s="37" t="n">
        <v>44.39</v>
      </c>
      <c r="AA18" s="18" t="n">
        <v>0</v>
      </c>
      <c r="AB18" s="19" t="n">
        <v>0</v>
      </c>
      <c r="AC18" s="10" t="n"/>
      <c r="AD18" s="10" t="n"/>
      <c r="AE18" s="11" t="n"/>
      <c r="AF18" s="10" t="n"/>
      <c r="AG18" s="10" t="n"/>
      <c r="AH18" s="10" t="n"/>
      <c r="AI18" s="10" t="n"/>
      <c r="AJ18" s="11" t="n"/>
      <c r="AK18" s="10" t="n"/>
      <c r="AL18" s="10" t="n"/>
      <c r="AM18" s="10" t="n"/>
      <c r="AN18" s="10" t="n"/>
      <c r="AO18" s="11" t="n"/>
    </row>
    <row r="19">
      <c r="A19" t="n">
        <v>1</v>
      </c>
      <c r="C19" t="inlineStr">
        <is>
          <t>자산총계</t>
        </is>
      </c>
      <c r="E19" s="18" t="n">
        <v>302598.63</v>
      </c>
      <c r="F19" s="37" t="n">
        <v>302598.63</v>
      </c>
      <c r="G19" s="18" t="n">
        <v>312404.57</v>
      </c>
      <c r="H19" s="18" t="n">
        <v>374426.28</v>
      </c>
      <c r="I19" s="18" t="n">
        <v>379926.08</v>
      </c>
      <c r="J19" s="18" t="n">
        <v>364710.39</v>
      </c>
      <c r="K19" s="37" t="n">
        <v>364710.39</v>
      </c>
      <c r="L19" s="18" t="n">
        <v>358381.45</v>
      </c>
      <c r="M19" s="18" t="n">
        <v>353864.45</v>
      </c>
      <c r="N19" s="18" t="n">
        <v>346461.22</v>
      </c>
      <c r="O19" s="18" t="n">
        <v>343481.02</v>
      </c>
      <c r="P19" s="37" t="n">
        <v>343481.02</v>
      </c>
      <c r="Q19" s="18" t="n">
        <v>345329.3</v>
      </c>
      <c r="R19" s="18" t="n">
        <v>359425.7</v>
      </c>
      <c r="S19" s="18" t="n">
        <v>352270.68</v>
      </c>
      <c r="T19" s="18" t="n">
        <v>363394.23</v>
      </c>
      <c r="U19" s="37" t="n">
        <v>363394.23</v>
      </c>
      <c r="V19" s="18" t="n">
        <v>355732.86</v>
      </c>
      <c r="W19" s="18" t="n">
        <v>359531.91</v>
      </c>
      <c r="X19" s="18" t="n">
        <v>364007.6</v>
      </c>
      <c r="Y19" s="18" t="n">
        <v>391592.28</v>
      </c>
      <c r="Z19" s="37" t="n">
        <v>391592.28</v>
      </c>
      <c r="AA19" s="18" t="n">
        <v>406869.86</v>
      </c>
      <c r="AB19" s="19" t="n">
        <v>428295.75</v>
      </c>
      <c r="AC19" s="10" t="n"/>
      <c r="AD19" s="10" t="n"/>
      <c r="AE19" s="11" t="n"/>
      <c r="AF19" s="10" t="n"/>
      <c r="AG19" s="10" t="n"/>
      <c r="AH19" s="10" t="n"/>
      <c r="AI19" s="10" t="n"/>
      <c r="AJ19" s="11" t="n"/>
      <c r="AK19" s="10" t="n"/>
      <c r="AL19" s="10" t="n"/>
      <c r="AM19" s="10" t="n"/>
      <c r="AN19" s="10" t="n"/>
      <c r="AO19" s="11" t="n"/>
    </row>
    <row r="20">
      <c r="A20" t="n">
        <v>1</v>
      </c>
      <c r="C20" t="inlineStr">
        <is>
          <t>유동부채</t>
        </is>
      </c>
      <c r="E20" s="18" t="n">
        <v>115595.67</v>
      </c>
      <c r="F20" s="37" t="n">
        <v>115595.67</v>
      </c>
      <c r="G20" s="18" t="n">
        <v>121316.13</v>
      </c>
      <c r="H20" s="18" t="n">
        <v>152409.5</v>
      </c>
      <c r="I20" s="18" t="n">
        <v>148984.86</v>
      </c>
      <c r="J20" s="18" t="n">
        <v>139483.31</v>
      </c>
      <c r="K20" s="37" t="n">
        <v>139483.31</v>
      </c>
      <c r="L20" s="18" t="n">
        <v>130930.03</v>
      </c>
      <c r="M20" s="18" t="n">
        <v>125592.62</v>
      </c>
      <c r="N20" s="18" t="n">
        <v>116041.93</v>
      </c>
      <c r="O20" s="18" t="n">
        <v>106422.01</v>
      </c>
      <c r="P20" s="37" t="n">
        <v>106422.01</v>
      </c>
      <c r="Q20" s="18" t="n">
        <v>106926.27</v>
      </c>
      <c r="R20" s="18" t="n">
        <v>117997.03</v>
      </c>
      <c r="S20" s="18" t="n">
        <v>108401.23</v>
      </c>
      <c r="T20" s="18" t="n">
        <v>113969.62</v>
      </c>
      <c r="U20" s="37" t="n">
        <v>113969.62</v>
      </c>
      <c r="V20" s="18" t="n">
        <v>103844.7</v>
      </c>
      <c r="W20" s="18" t="n">
        <v>110906.07</v>
      </c>
      <c r="X20" s="18" t="n">
        <v>108257.59</v>
      </c>
      <c r="Y20" s="18" t="n">
        <v>131819.48</v>
      </c>
      <c r="Z20" s="37" t="n">
        <v>131819.48</v>
      </c>
      <c r="AA20" s="18" t="n">
        <v>130779.64</v>
      </c>
      <c r="AB20" s="19" t="n">
        <v>137438.66</v>
      </c>
      <c r="AC20" s="10" t="n"/>
      <c r="AD20" s="10" t="n"/>
      <c r="AE20" s="11" t="n"/>
      <c r="AF20" s="10" t="n"/>
      <c r="AG20" s="10" t="n"/>
      <c r="AH20" s="10" t="n"/>
      <c r="AI20" s="10" t="n"/>
      <c r="AJ20" s="11" t="n"/>
      <c r="AK20" s="10" t="n"/>
      <c r="AL20" s="10" t="n"/>
      <c r="AM20" s="10" t="n"/>
      <c r="AN20" s="10" t="n"/>
      <c r="AO20" s="11" t="n"/>
    </row>
    <row r="21">
      <c r="A21" t="n">
        <v>1</v>
      </c>
      <c r="C21" t="inlineStr">
        <is>
          <t>매입채무및기타채무</t>
        </is>
      </c>
      <c r="E21" s="18" t="n">
        <v>34299.54</v>
      </c>
      <c r="F21" s="37" t="n">
        <v>34299.54</v>
      </c>
      <c r="G21" s="18" t="n">
        <v>35685.49</v>
      </c>
      <c r="H21" s="18" t="n">
        <v>42290.76</v>
      </c>
      <c r="I21" s="18" t="n">
        <v>43969.04</v>
      </c>
      <c r="J21" s="18" t="n">
        <v>37331.61</v>
      </c>
      <c r="K21" s="37" t="n">
        <v>37331.61</v>
      </c>
      <c r="L21" s="18" t="n">
        <v>33248.78</v>
      </c>
      <c r="M21" s="18" t="n">
        <v>28372.34</v>
      </c>
      <c r="N21" s="18" t="n">
        <v>24746.96</v>
      </c>
      <c r="O21" s="18" t="n">
        <v>23284.77</v>
      </c>
      <c r="P21" s="37" t="n">
        <v>23284.77</v>
      </c>
      <c r="Q21" s="18" t="n">
        <v>19230.74</v>
      </c>
      <c r="R21" s="18" t="n">
        <v>27837.39</v>
      </c>
      <c r="S21" s="18" t="n">
        <v>30081.55</v>
      </c>
      <c r="T21" s="18" t="n">
        <v>31925.88</v>
      </c>
      <c r="U21" s="37" t="n">
        <v>31925.88</v>
      </c>
      <c r="V21" s="18" t="n">
        <v>25503.7</v>
      </c>
      <c r="W21" s="18" t="n">
        <v>27138.4</v>
      </c>
      <c r="X21" s="18" t="n">
        <v>27218.31</v>
      </c>
      <c r="Y21" s="18" t="n">
        <v>33595.66</v>
      </c>
      <c r="Z21" s="37" t="n">
        <v>33595.66</v>
      </c>
      <c r="AA21" s="18" t="n">
        <v>34551.4</v>
      </c>
      <c r="AB21" s="19" t="n">
        <v>37864.63</v>
      </c>
      <c r="AC21" s="10" t="n"/>
      <c r="AD21" s="10" t="n"/>
      <c r="AE21" s="11" t="n"/>
      <c r="AF21" s="10" t="n"/>
      <c r="AG21" s="10" t="n"/>
      <c r="AH21" s="10" t="n"/>
      <c r="AI21" s="10" t="n"/>
      <c r="AJ21" s="11" t="n"/>
      <c r="AK21" s="10" t="n"/>
      <c r="AL21" s="10" t="n"/>
      <c r="AM21" s="10" t="n"/>
      <c r="AN21" s="10" t="n"/>
      <c r="AO21" s="11" t="n"/>
    </row>
    <row r="22">
      <c r="A22" t="n">
        <v>1</v>
      </c>
      <c r="C22" t="inlineStr">
        <is>
          <t>계약부채</t>
        </is>
      </c>
      <c r="E22" s="18" t="n">
        <v>4361.7</v>
      </c>
      <c r="F22" s="37" t="n">
        <v>4361.7</v>
      </c>
      <c r="G22" s="18" t="n">
        <v>2616.9</v>
      </c>
      <c r="H22" s="18" t="n">
        <v>3075.74</v>
      </c>
      <c r="I22" s="18" t="n">
        <v>2783.27</v>
      </c>
      <c r="J22" s="18" t="n">
        <v>1481.3</v>
      </c>
      <c r="K22" s="37" t="n">
        <v>1481.3</v>
      </c>
      <c r="L22" s="18" t="n">
        <v>1518.79</v>
      </c>
      <c r="M22" s="18" t="n">
        <v>1209.22</v>
      </c>
      <c r="N22" s="18" t="n">
        <v>1249.99</v>
      </c>
      <c r="O22" s="18" t="n">
        <v>1236.31</v>
      </c>
      <c r="P22" s="37" t="n">
        <v>1236.31</v>
      </c>
      <c r="Q22" s="18" t="n">
        <v>4627.28</v>
      </c>
      <c r="R22" s="18" t="n">
        <v>1798.29</v>
      </c>
      <c r="S22" s="18" t="n">
        <v>1133.56</v>
      </c>
      <c r="T22" s="18" t="n">
        <v>1255.31</v>
      </c>
      <c r="U22" s="37" t="n">
        <v>1255.31</v>
      </c>
      <c r="V22" s="18" t="n">
        <v>1715.58</v>
      </c>
      <c r="W22" s="18" t="n">
        <v>2403.64</v>
      </c>
      <c r="X22" s="18" t="n">
        <v>2025.37</v>
      </c>
      <c r="Y22" s="18" t="n">
        <v>2088.69</v>
      </c>
      <c r="Z22" s="37" t="n">
        <v>2088.69</v>
      </c>
      <c r="AA22" s="18" t="n">
        <v>1559.88</v>
      </c>
      <c r="AB22" s="19" t="n">
        <v>3116.34</v>
      </c>
      <c r="AC22" s="10" t="n"/>
      <c r="AD22" s="10" t="n"/>
      <c r="AE22" s="11" t="n"/>
      <c r="AF22" s="10" t="n"/>
      <c r="AG22" s="10" t="n"/>
      <c r="AH22" s="10" t="n"/>
      <c r="AI22" s="10" t="n"/>
      <c r="AJ22" s="11" t="n"/>
      <c r="AK22" s="10" t="n"/>
      <c r="AL22" s="10" t="n"/>
      <c r="AM22" s="10" t="n"/>
      <c r="AN22" s="10" t="n"/>
      <c r="AO22" s="11" t="n"/>
    </row>
    <row r="23">
      <c r="A23" t="n">
        <v>1</v>
      </c>
      <c r="C23" t="inlineStr">
        <is>
          <t>단기차입금</t>
        </is>
      </c>
      <c r="E23" s="18" t="n">
        <v>69363.28</v>
      </c>
      <c r="F23" s="37" t="n">
        <v>69363.28</v>
      </c>
      <c r="G23" s="18" t="n">
        <v>74732.75999999999</v>
      </c>
      <c r="H23" s="18" t="n">
        <v>84768.83</v>
      </c>
      <c r="I23" s="18" t="n">
        <v>80090.10000000001</v>
      </c>
      <c r="J23" s="18" t="n">
        <v>75120.37</v>
      </c>
      <c r="K23" s="37" t="n">
        <v>75120.37</v>
      </c>
      <c r="L23" s="18" t="n">
        <v>74330.69</v>
      </c>
      <c r="M23" s="18" t="n">
        <v>75073.09</v>
      </c>
      <c r="N23" s="18" t="n">
        <v>71808.71000000001</v>
      </c>
      <c r="O23" s="18" t="n">
        <v>61272.91</v>
      </c>
      <c r="P23" s="37" t="n">
        <v>61272.91</v>
      </c>
      <c r="Q23" s="18" t="n">
        <v>62864.1</v>
      </c>
      <c r="R23" s="18" t="n">
        <v>69981.25</v>
      </c>
      <c r="S23" s="18" t="n">
        <v>63440.74</v>
      </c>
      <c r="T23" s="18" t="n">
        <v>65314.24</v>
      </c>
      <c r="U23" s="37" t="n">
        <v>65314.24</v>
      </c>
      <c r="V23" s="18" t="n">
        <v>66666.45</v>
      </c>
      <c r="W23" s="18" t="n">
        <v>73201.53999999999</v>
      </c>
      <c r="X23" s="18" t="n">
        <v>72335.45</v>
      </c>
      <c r="Y23" s="18" t="n">
        <v>83961.72</v>
      </c>
      <c r="Z23" s="37" t="n">
        <v>83961.72</v>
      </c>
      <c r="AA23" s="18" t="n">
        <v>78598.02</v>
      </c>
      <c r="AB23" s="19" t="n">
        <v>83018.59</v>
      </c>
      <c r="AC23" s="10" t="n"/>
      <c r="AD23" s="10" t="n"/>
      <c r="AE23" s="11" t="n"/>
      <c r="AF23" s="10" t="n"/>
      <c r="AG23" s="10" t="n"/>
      <c r="AH23" s="10" t="n"/>
      <c r="AI23" s="10" t="n"/>
      <c r="AJ23" s="11" t="n"/>
      <c r="AK23" s="10" t="n"/>
      <c r="AL23" s="10" t="n"/>
      <c r="AM23" s="10" t="n"/>
      <c r="AN23" s="10" t="n"/>
      <c r="AO23" s="11" t="n"/>
    </row>
    <row r="24">
      <c r="A24" t="n">
        <v>1</v>
      </c>
      <c r="C24" t="inlineStr">
        <is>
          <t>유동리스부채</t>
        </is>
      </c>
      <c r="E24" s="18" t="n">
        <v>231.34</v>
      </c>
      <c r="F24" s="37" t="n">
        <v>231.34</v>
      </c>
      <c r="G24" s="18" t="n">
        <v>157.29</v>
      </c>
      <c r="H24" s="18" t="n">
        <v>98.09999999999999</v>
      </c>
      <c r="I24" s="18" t="n">
        <v>74.70999999999999</v>
      </c>
      <c r="J24" s="18" t="n">
        <v>106.05</v>
      </c>
      <c r="K24" s="37" t="n">
        <v>106.05</v>
      </c>
      <c r="L24" s="18" t="n">
        <v>109.13</v>
      </c>
      <c r="M24" s="18" t="n">
        <v>110.4</v>
      </c>
      <c r="N24" s="18" t="n">
        <v>89.94</v>
      </c>
      <c r="O24" s="18" t="n">
        <v>110.12</v>
      </c>
      <c r="P24" s="37" t="n">
        <v>110.12</v>
      </c>
      <c r="Q24" s="18" t="n">
        <v>91.40000000000001</v>
      </c>
      <c r="R24" s="18" t="n">
        <v>93.59999999999999</v>
      </c>
      <c r="S24" s="18" t="n">
        <v>89.98</v>
      </c>
      <c r="T24" s="18" t="n">
        <v>41.5</v>
      </c>
      <c r="U24" s="37" t="n">
        <v>41.5</v>
      </c>
      <c r="V24" s="18" t="n">
        <v>115.42</v>
      </c>
      <c r="W24" s="18" t="n">
        <v>102.95</v>
      </c>
      <c r="X24" s="18" t="n">
        <v>107.9</v>
      </c>
      <c r="Y24" s="18" t="n">
        <v>122.2</v>
      </c>
      <c r="Z24" s="37" t="n">
        <v>122.2</v>
      </c>
      <c r="AA24" s="18" t="n">
        <v>96.55</v>
      </c>
      <c r="AB24" s="19" t="n">
        <v>65.40000000000001</v>
      </c>
      <c r="AC24" s="10" t="n"/>
      <c r="AD24" s="10" t="n"/>
      <c r="AE24" s="11" t="n"/>
      <c r="AF24" s="10" t="n"/>
      <c r="AG24" s="10" t="n"/>
      <c r="AH24" s="10" t="n"/>
      <c r="AI24" s="10" t="n"/>
      <c r="AJ24" s="11" t="n"/>
      <c r="AK24" s="10" t="n"/>
      <c r="AL24" s="10" t="n"/>
      <c r="AM24" s="10" t="n"/>
      <c r="AN24" s="10" t="n"/>
      <c r="AO24" s="11" t="n"/>
    </row>
    <row r="25">
      <c r="A25" t="n">
        <v>1</v>
      </c>
      <c r="C25" t="inlineStr">
        <is>
          <t>리스부채</t>
        </is>
      </c>
      <c r="E25" s="18" t="n">
        <v>489.63</v>
      </c>
      <c r="F25" s="37" t="n">
        <v>489.63</v>
      </c>
      <c r="G25" s="18" t="n">
        <v>419.45</v>
      </c>
      <c r="H25" s="18" t="n">
        <v>372.82</v>
      </c>
      <c r="I25" s="18" t="n">
        <v>307.05</v>
      </c>
      <c r="J25" s="18" t="n">
        <v>252.63</v>
      </c>
      <c r="K25" s="37" t="n">
        <v>252.63</v>
      </c>
      <c r="L25" s="18" t="n">
        <v>231.57</v>
      </c>
      <c r="M25" s="18" t="n">
        <v>205.37</v>
      </c>
      <c r="N25" s="18" t="n">
        <v>181.23</v>
      </c>
      <c r="O25" s="18" t="n">
        <v>148.49</v>
      </c>
      <c r="P25" s="37" t="n">
        <v>148.49</v>
      </c>
      <c r="Q25" s="18" t="n">
        <v>125.42</v>
      </c>
      <c r="R25" s="18" t="n">
        <v>98.94</v>
      </c>
      <c r="S25" s="18" t="n">
        <v>89.98</v>
      </c>
      <c r="T25" s="18" t="n">
        <v>41.5</v>
      </c>
      <c r="U25" s="37" t="n">
        <v>41.5</v>
      </c>
      <c r="V25" s="18" t="n">
        <v>566.79</v>
      </c>
      <c r="W25" s="18" t="n">
        <v>495.49</v>
      </c>
      <c r="X25" s="18" t="n">
        <v>556.58</v>
      </c>
      <c r="Y25" s="18" t="n">
        <v>515.12</v>
      </c>
      <c r="Z25" s="37" t="n">
        <v>515.12</v>
      </c>
      <c r="AA25" s="18" t="n">
        <v>509.3</v>
      </c>
      <c r="AB25" s="19" t="n">
        <v>485.25</v>
      </c>
      <c r="AC25" s="10" t="n"/>
      <c r="AD25" s="10" t="n"/>
      <c r="AE25" s="11" t="n"/>
      <c r="AF25" s="10" t="n"/>
      <c r="AG25" s="10" t="n"/>
      <c r="AH25" s="10" t="n"/>
      <c r="AI25" s="10" t="n"/>
      <c r="AJ25" s="11" t="n"/>
      <c r="AK25" s="10" t="n"/>
      <c r="AL25" s="10" t="n"/>
      <c r="AM25" s="10" t="n"/>
      <c r="AN25" s="10" t="n"/>
      <c r="AO25" s="11" t="n"/>
    </row>
    <row r="26">
      <c r="A26" t="n">
        <v>1</v>
      </c>
      <c r="C26" t="inlineStr">
        <is>
          <t>단기금융부채</t>
        </is>
      </c>
      <c r="E26" s="18" t="n">
        <v>242.89</v>
      </c>
      <c r="F26" s="37" t="n">
        <v>242.89</v>
      </c>
      <c r="G26" s="18" t="n">
        <v>194.03</v>
      </c>
      <c r="H26" s="18" t="n">
        <v>256.59</v>
      </c>
      <c r="I26" s="18" t="n">
        <v>74.70999999999999</v>
      </c>
      <c r="J26" s="18" t="n">
        <v>106.05</v>
      </c>
      <c r="K26" s="37" t="n">
        <v>106.05</v>
      </c>
      <c r="L26" s="18" t="n">
        <v>136.99</v>
      </c>
      <c r="M26" s="18" t="n">
        <v>120.47</v>
      </c>
      <c r="N26" s="18" t="n">
        <v>110.69</v>
      </c>
      <c r="O26" s="18" t="n">
        <v>124.71</v>
      </c>
      <c r="P26" s="37" t="n">
        <v>124.71</v>
      </c>
      <c r="Q26" s="18" t="n">
        <v>287.06</v>
      </c>
      <c r="R26" s="18" t="n">
        <v>93.59999999999999</v>
      </c>
      <c r="S26" s="18" t="n">
        <v>89.98</v>
      </c>
      <c r="T26" s="18" t="n">
        <v>80.62</v>
      </c>
      <c r="U26" s="37" t="n">
        <v>80.62</v>
      </c>
      <c r="V26" s="18" t="n">
        <v>147.3</v>
      </c>
      <c r="W26" s="18" t="n">
        <v>102.95</v>
      </c>
      <c r="X26" s="18" t="n">
        <v>242.33</v>
      </c>
      <c r="Y26" s="18" t="n">
        <v>220.98</v>
      </c>
      <c r="Z26" s="37" t="n">
        <v>220.98</v>
      </c>
      <c r="AA26" s="18" t="n">
        <v>234.77</v>
      </c>
      <c r="AB26" s="19" t="n">
        <v>66.40000000000001</v>
      </c>
      <c r="AC26" s="10" t="n"/>
      <c r="AD26" s="10" t="n"/>
      <c r="AE26" s="11" t="n"/>
      <c r="AF26" s="10" t="n"/>
      <c r="AG26" s="10" t="n"/>
      <c r="AH26" s="10" t="n"/>
      <c r="AI26" s="10" t="n"/>
      <c r="AJ26" s="11" t="n"/>
      <c r="AK26" s="10" t="n"/>
      <c r="AL26" s="10" t="n"/>
      <c r="AM26" s="10" t="n"/>
      <c r="AN26" s="10" t="n"/>
      <c r="AO26" s="11" t="n"/>
    </row>
    <row r="27">
      <c r="A27" t="n">
        <v>1</v>
      </c>
      <c r="C27" t="inlineStr">
        <is>
          <t>당기법인세부채(미지급법인세)</t>
        </is>
      </c>
      <c r="E27" s="18" t="n">
        <v>2020.46</v>
      </c>
      <c r="F27" s="37" t="n">
        <v>2020.46</v>
      </c>
      <c r="G27" s="18" t="n">
        <v>3695.73</v>
      </c>
      <c r="H27" s="18" t="n">
        <v>3972.88</v>
      </c>
      <c r="I27" s="18" t="n">
        <v>5667.5</v>
      </c>
      <c r="J27" s="18" t="n">
        <v>7500.69</v>
      </c>
      <c r="K27" s="37" t="n">
        <v>7500.69</v>
      </c>
      <c r="L27" s="18" t="n">
        <v>5099.59</v>
      </c>
      <c r="M27" s="18" t="n">
        <v>2511.79</v>
      </c>
      <c r="N27" s="18" t="n">
        <v>2453.45</v>
      </c>
      <c r="O27" s="18" t="n">
        <v>2627.11</v>
      </c>
      <c r="P27" s="37" t="n">
        <v>2627.11</v>
      </c>
      <c r="Q27" s="18" t="n">
        <v>3370.03</v>
      </c>
      <c r="R27" s="18" t="n">
        <v>1809.77</v>
      </c>
      <c r="S27" s="18" t="n">
        <v>1095.61</v>
      </c>
      <c r="T27" s="18" t="n">
        <v>2825.41</v>
      </c>
      <c r="U27" s="37" t="n">
        <v>2825.41</v>
      </c>
      <c r="V27" s="18" t="n">
        <v>3033.26</v>
      </c>
      <c r="W27" s="18" t="n">
        <v>1339.09</v>
      </c>
      <c r="X27" s="18" t="n">
        <v>1848.09</v>
      </c>
      <c r="Y27" s="18" t="n">
        <v>5335.66</v>
      </c>
      <c r="Z27" s="37" t="n">
        <v>5335.66</v>
      </c>
      <c r="AA27" s="18" t="n">
        <v>7496.12</v>
      </c>
      <c r="AB27" s="19" t="n">
        <v>6257.14</v>
      </c>
      <c r="AC27" s="10" t="n"/>
      <c r="AD27" s="10" t="n"/>
      <c r="AE27" s="11" t="n"/>
      <c r="AF27" s="10" t="n"/>
      <c r="AG27" s="10" t="n"/>
      <c r="AH27" s="10" t="n"/>
      <c r="AI27" s="10" t="n"/>
      <c r="AJ27" s="11" t="n"/>
      <c r="AK27" s="10" t="n"/>
      <c r="AL27" s="10" t="n"/>
      <c r="AM27" s="10" t="n"/>
      <c r="AN27" s="10" t="n"/>
      <c r="AO27" s="11" t="n"/>
    </row>
    <row r="28">
      <c r="A28" t="n">
        <v>1</v>
      </c>
      <c r="C28" t="inlineStr">
        <is>
          <t>기타유동금융부채</t>
        </is>
      </c>
      <c r="E28" s="18" t="n">
        <v>11.55</v>
      </c>
      <c r="F28" s="37" t="n">
        <v>11.55</v>
      </c>
      <c r="G28" s="18" t="n">
        <v>36.74</v>
      </c>
      <c r="H28" s="18" t="n">
        <v>158.49</v>
      </c>
      <c r="I28" s="18" t="n">
        <v>0</v>
      </c>
      <c r="J28" s="18" t="n">
        <v>0</v>
      </c>
      <c r="K28" s="37" t="n">
        <v>0</v>
      </c>
      <c r="L28" s="18" t="n">
        <v>27.86</v>
      </c>
      <c r="M28" s="18" t="n">
        <v>10.07</v>
      </c>
      <c r="N28" s="18" t="n">
        <v>20.75</v>
      </c>
      <c r="O28" s="18" t="n">
        <v>14.59</v>
      </c>
      <c r="P28" s="37" t="n">
        <v>14.59</v>
      </c>
      <c r="Q28" s="18" t="n">
        <v>195.66</v>
      </c>
      <c r="R28" s="18" t="n">
        <v>0</v>
      </c>
      <c r="S28" s="18" t="n">
        <v>0</v>
      </c>
      <c r="T28" s="18" t="n">
        <v>39.12</v>
      </c>
      <c r="U28" s="37" t="n">
        <v>39.12</v>
      </c>
      <c r="V28" s="18" t="n">
        <v>31.88</v>
      </c>
      <c r="W28" s="18" t="n">
        <v>0</v>
      </c>
      <c r="X28" s="18" t="n">
        <v>134.43</v>
      </c>
      <c r="Y28" s="18" t="n">
        <v>98.78</v>
      </c>
      <c r="Z28" s="37" t="n">
        <v>98.78</v>
      </c>
      <c r="AA28" s="18" t="n">
        <v>138.22</v>
      </c>
      <c r="AB28" s="19" t="n">
        <v>1</v>
      </c>
      <c r="AC28" s="10" t="n"/>
      <c r="AD28" s="10" t="n"/>
      <c r="AE28" s="11" t="n"/>
      <c r="AF28" s="10" t="n"/>
      <c r="AG28" s="10" t="n"/>
      <c r="AH28" s="10" t="n"/>
      <c r="AI28" s="10" t="n"/>
      <c r="AJ28" s="11" t="n"/>
      <c r="AK28" s="10" t="n"/>
      <c r="AL28" s="10" t="n"/>
      <c r="AM28" s="10" t="n"/>
      <c r="AN28" s="10" t="n"/>
      <c r="AO28" s="11" t="n"/>
    </row>
    <row r="29">
      <c r="A29" t="n">
        <v>1</v>
      </c>
      <c r="C29" t="inlineStr">
        <is>
          <t>기타유동부채</t>
        </is>
      </c>
      <c r="E29" s="18" t="n">
        <v>5307.8</v>
      </c>
      <c r="F29" s="37" t="n">
        <v>5307.8</v>
      </c>
      <c r="G29" s="18" t="n">
        <v>4391.22</v>
      </c>
      <c r="H29" s="18" t="n">
        <v>5377.98</v>
      </c>
      <c r="I29" s="18" t="n">
        <v>3733.52</v>
      </c>
      <c r="J29" s="18" t="n">
        <v>6332.13</v>
      </c>
      <c r="K29" s="37" t="n">
        <v>6332.13</v>
      </c>
      <c r="L29" s="18" t="n">
        <v>4984.01</v>
      </c>
      <c r="M29" s="18" t="n">
        <v>5638.99</v>
      </c>
      <c r="N29" s="18" t="n">
        <v>4060.97</v>
      </c>
      <c r="O29" s="18" t="n">
        <v>6265.04</v>
      </c>
      <c r="P29" s="37" t="n">
        <v>6265.04</v>
      </c>
      <c r="Q29" s="18" t="n">
        <v>4935.91</v>
      </c>
      <c r="R29" s="18" t="n">
        <v>5921.22</v>
      </c>
      <c r="S29" s="18" t="n">
        <v>4115.38</v>
      </c>
      <c r="T29" s="18" t="n">
        <v>7290.41</v>
      </c>
      <c r="U29" s="37" t="n">
        <v>7290.41</v>
      </c>
      <c r="V29" s="18" t="n">
        <v>4667.32</v>
      </c>
      <c r="W29" s="18" t="n">
        <v>6720.45</v>
      </c>
      <c r="X29" s="18" t="n">
        <v>4588.04</v>
      </c>
      <c r="Y29" s="18" t="n">
        <v>6616.78</v>
      </c>
      <c r="Z29" s="37" t="n">
        <v>6616.78</v>
      </c>
      <c r="AA29" s="18" t="n">
        <v>8339.450000000001</v>
      </c>
      <c r="AB29" s="19" t="n">
        <v>7115.56</v>
      </c>
      <c r="AC29" s="10" t="n"/>
      <c r="AD29" s="10" t="n"/>
      <c r="AE29" s="11" t="n"/>
      <c r="AF29" s="10" t="n"/>
      <c r="AG29" s="10" t="n"/>
      <c r="AH29" s="10" t="n"/>
      <c r="AI29" s="10" t="n"/>
      <c r="AJ29" s="11" t="n"/>
      <c r="AK29" s="10" t="n"/>
      <c r="AL29" s="10" t="n"/>
      <c r="AM29" s="10" t="n"/>
      <c r="AN29" s="10" t="n"/>
      <c r="AO29" s="11" t="n"/>
    </row>
    <row r="30">
      <c r="A30" t="n">
        <v>1</v>
      </c>
      <c r="C30" t="inlineStr">
        <is>
          <t>비유동부채</t>
        </is>
      </c>
      <c r="E30" s="18" t="n">
        <v>8983.75</v>
      </c>
      <c r="F30" s="37" t="n">
        <v>8983.75</v>
      </c>
      <c r="G30" s="18" t="n">
        <v>5316.54</v>
      </c>
      <c r="H30" s="18" t="n">
        <v>30132.9</v>
      </c>
      <c r="I30" s="18" t="n">
        <v>27672.43</v>
      </c>
      <c r="J30" s="18" t="n">
        <v>22900.53</v>
      </c>
      <c r="K30" s="37" t="n">
        <v>22900.53</v>
      </c>
      <c r="L30" s="18" t="n">
        <v>19874.2</v>
      </c>
      <c r="M30" s="18" t="n">
        <v>17039.38</v>
      </c>
      <c r="N30" s="18" t="n">
        <v>13816.49</v>
      </c>
      <c r="O30" s="18" t="n">
        <v>18856.82</v>
      </c>
      <c r="P30" s="37" t="n">
        <v>18856.82</v>
      </c>
      <c r="Q30" s="18" t="n">
        <v>15953.87</v>
      </c>
      <c r="R30" s="18" t="n">
        <v>13887.73</v>
      </c>
      <c r="S30" s="18" t="n">
        <v>13567.27</v>
      </c>
      <c r="T30" s="18" t="n">
        <v>15222.33</v>
      </c>
      <c r="U30" s="37" t="n">
        <v>15222.33</v>
      </c>
      <c r="V30" s="18" t="n">
        <v>14231.11</v>
      </c>
      <c r="W30" s="18" t="n">
        <v>13685.1</v>
      </c>
      <c r="X30" s="18" t="n">
        <v>13404.21</v>
      </c>
      <c r="Y30" s="18" t="n">
        <v>12429.81</v>
      </c>
      <c r="Z30" s="37" t="n">
        <v>12429.81</v>
      </c>
      <c r="AA30" s="18" t="n">
        <v>20911.92</v>
      </c>
      <c r="AB30" s="19" t="n">
        <v>23264.28</v>
      </c>
      <c r="AC30" s="10" t="n"/>
      <c r="AD30" s="10" t="n"/>
      <c r="AE30" s="11" t="n"/>
      <c r="AF30" s="10" t="n"/>
      <c r="AG30" s="10" t="n"/>
      <c r="AH30" s="10" t="n"/>
      <c r="AI30" s="10" t="n"/>
      <c r="AJ30" s="11" t="n"/>
      <c r="AK30" s="10" t="n"/>
      <c r="AL30" s="10" t="n"/>
      <c r="AM30" s="10" t="n"/>
      <c r="AN30" s="10" t="n"/>
      <c r="AO30" s="11" t="n"/>
    </row>
    <row r="31">
      <c r="A31" t="n">
        <v>1</v>
      </c>
      <c r="C31" t="inlineStr">
        <is>
          <t>장기차입금</t>
        </is>
      </c>
      <c r="E31" s="18" t="n">
        <v>7593.9</v>
      </c>
      <c r="F31" s="37" t="n">
        <v>7593.9</v>
      </c>
      <c r="G31" s="18" t="n">
        <v>4040.23</v>
      </c>
      <c r="H31" s="18" t="n">
        <v>28516.15</v>
      </c>
      <c r="I31" s="18" t="n">
        <v>25700.12</v>
      </c>
      <c r="J31" s="18" t="n">
        <v>22186.54</v>
      </c>
      <c r="K31" s="37" t="n">
        <v>22186.54</v>
      </c>
      <c r="L31" s="18" t="n">
        <v>19162.06</v>
      </c>
      <c r="M31" s="18" t="n">
        <v>16193.66</v>
      </c>
      <c r="N31" s="18" t="n">
        <v>12977.62</v>
      </c>
      <c r="O31" s="18" t="n">
        <v>18036.43</v>
      </c>
      <c r="P31" s="37" t="n">
        <v>18036.43</v>
      </c>
      <c r="Q31" s="18" t="n">
        <v>15133.6</v>
      </c>
      <c r="R31" s="18" t="n">
        <v>13094.57</v>
      </c>
      <c r="S31" s="18" t="n">
        <v>12854.74</v>
      </c>
      <c r="T31" s="18" t="n">
        <v>14483.09</v>
      </c>
      <c r="U31" s="37" t="n">
        <v>14483.09</v>
      </c>
      <c r="V31" s="18" t="n">
        <v>12918.6</v>
      </c>
      <c r="W31" s="18" t="n">
        <v>12539.84</v>
      </c>
      <c r="X31" s="18" t="n">
        <v>11914.45</v>
      </c>
      <c r="Y31" s="18" t="n">
        <v>11465.22</v>
      </c>
      <c r="Z31" s="37" t="n">
        <v>11465.22</v>
      </c>
      <c r="AA31" s="18" t="n">
        <v>19729.36</v>
      </c>
      <c r="AB31" s="19" t="n">
        <v>20305.78</v>
      </c>
      <c r="AC31" s="10" t="n"/>
      <c r="AD31" s="10" t="n"/>
      <c r="AE31" s="11" t="n"/>
      <c r="AF31" s="10" t="n"/>
      <c r="AG31" s="10" t="n"/>
      <c r="AH31" s="10" t="n"/>
      <c r="AI31" s="10" t="n"/>
      <c r="AJ31" s="11" t="n"/>
      <c r="AK31" s="10" t="n"/>
      <c r="AL31" s="10" t="n"/>
      <c r="AM31" s="10" t="n"/>
      <c r="AN31" s="10" t="n"/>
      <c r="AO31" s="11" t="n"/>
    </row>
    <row r="32">
      <c r="A32" t="n">
        <v>1</v>
      </c>
      <c r="C32" t="inlineStr">
        <is>
          <t>기타비유동금융부채</t>
        </is>
      </c>
      <c r="E32" s="18" t="n">
        <v>16.5</v>
      </c>
      <c r="F32" s="37" t="n">
        <v>16.5</v>
      </c>
      <c r="G32" s="18" t="n">
        <v>16.5</v>
      </c>
      <c r="H32" s="18" t="n">
        <v>71.62</v>
      </c>
      <c r="I32" s="18" t="n">
        <v>199.45</v>
      </c>
      <c r="J32" s="18" t="n">
        <v>283.15</v>
      </c>
      <c r="K32" s="37" t="n">
        <v>283.15</v>
      </c>
      <c r="L32" s="18" t="n">
        <v>295.9</v>
      </c>
      <c r="M32" s="18" t="n">
        <v>455.9</v>
      </c>
      <c r="N32" s="18" t="n">
        <v>455.9</v>
      </c>
      <c r="O32" s="18" t="n">
        <v>500.4</v>
      </c>
      <c r="P32" s="37" t="n">
        <v>500.4</v>
      </c>
      <c r="Q32" s="18" t="n">
        <v>498.8</v>
      </c>
      <c r="R32" s="18" t="n">
        <v>498.8</v>
      </c>
      <c r="S32" s="18" t="n">
        <v>428.8</v>
      </c>
      <c r="T32" s="18" t="n">
        <v>433.8</v>
      </c>
      <c r="U32" s="37" t="n">
        <v>433.8</v>
      </c>
      <c r="V32" s="18" t="n">
        <v>451.84</v>
      </c>
      <c r="W32" s="18" t="n">
        <v>377.64</v>
      </c>
      <c r="X32" s="18" t="n">
        <v>382.64</v>
      </c>
      <c r="Y32" s="18" t="n">
        <v>282.64</v>
      </c>
      <c r="Z32" s="37" t="n">
        <v>282.64</v>
      </c>
      <c r="AA32" s="18" t="n">
        <v>305.83</v>
      </c>
      <c r="AB32" s="19" t="n">
        <v>305.83</v>
      </c>
      <c r="AC32" s="10" t="n"/>
      <c r="AD32" s="10" t="n"/>
      <c r="AE32" s="11" t="n"/>
      <c r="AF32" s="10" t="n"/>
      <c r="AG32" s="10" t="n"/>
      <c r="AH32" s="10" t="n"/>
      <c r="AI32" s="10" t="n"/>
      <c r="AJ32" s="11" t="n"/>
      <c r="AK32" s="10" t="n"/>
      <c r="AL32" s="10" t="n"/>
      <c r="AM32" s="10" t="n"/>
      <c r="AN32" s="10" t="n"/>
      <c r="AO32" s="11" t="n"/>
    </row>
    <row r="33">
      <c r="A33" t="n">
        <v>1</v>
      </c>
      <c r="C33" t="inlineStr">
        <is>
          <t>장기금융부채</t>
        </is>
      </c>
      <c r="E33" s="18" t="n">
        <v>274.79</v>
      </c>
      <c r="F33" s="37" t="n">
        <v>274.79</v>
      </c>
      <c r="G33" s="18" t="n">
        <v>278.66</v>
      </c>
      <c r="H33" s="18" t="n">
        <v>346.34</v>
      </c>
      <c r="I33" s="18" t="n">
        <v>431.79</v>
      </c>
      <c r="J33" s="18" t="n">
        <v>429.73</v>
      </c>
      <c r="K33" s="37" t="n">
        <v>429.73</v>
      </c>
      <c r="L33" s="18" t="n">
        <v>418.34</v>
      </c>
      <c r="M33" s="18" t="n">
        <v>550.87</v>
      </c>
      <c r="N33" s="18" t="n">
        <v>547.1900000000001</v>
      </c>
      <c r="O33" s="18" t="n">
        <v>538.77</v>
      </c>
      <c r="P33" s="37" t="n">
        <v>538.77</v>
      </c>
      <c r="Q33" s="18" t="n">
        <v>532.8200000000001</v>
      </c>
      <c r="R33" s="18" t="n">
        <v>504.14</v>
      </c>
      <c r="S33" s="18" t="n">
        <v>428.8</v>
      </c>
      <c r="T33" s="18" t="n">
        <v>433.8</v>
      </c>
      <c r="U33" s="37" t="n">
        <v>433.8</v>
      </c>
      <c r="V33" s="18" t="n">
        <v>903.21</v>
      </c>
      <c r="W33" s="18" t="n">
        <v>770.1799999999999</v>
      </c>
      <c r="X33" s="18" t="n">
        <v>831.3200000000001</v>
      </c>
      <c r="Y33" s="18" t="n">
        <v>675.5599999999999</v>
      </c>
      <c r="Z33" s="37" t="n">
        <v>675.5599999999999</v>
      </c>
      <c r="AA33" s="18" t="n">
        <v>718.58</v>
      </c>
      <c r="AB33" s="19" t="n">
        <v>725.6799999999999</v>
      </c>
      <c r="AC33" s="10" t="n"/>
      <c r="AD33" s="10" t="n"/>
      <c r="AE33" s="11" t="n"/>
      <c r="AF33" s="10" t="n"/>
      <c r="AG33" s="10" t="n"/>
      <c r="AH33" s="10" t="n"/>
      <c r="AI33" s="10" t="n"/>
      <c r="AJ33" s="11" t="n"/>
      <c r="AK33" s="10" t="n"/>
      <c r="AL33" s="10" t="n"/>
      <c r="AM33" s="10" t="n"/>
      <c r="AN33" s="10" t="n"/>
      <c r="AO33" s="11" t="n"/>
    </row>
    <row r="34">
      <c r="A34" t="n">
        <v>1</v>
      </c>
      <c r="C34" t="inlineStr">
        <is>
          <t>비유동리스부채</t>
        </is>
      </c>
      <c r="E34" s="18" t="n">
        <v>258.29</v>
      </c>
      <c r="F34" s="37" t="n">
        <v>258.29</v>
      </c>
      <c r="G34" s="18" t="n">
        <v>262.16</v>
      </c>
      <c r="H34" s="18" t="n">
        <v>274.72</v>
      </c>
      <c r="I34" s="18" t="n">
        <v>232.34</v>
      </c>
      <c r="J34" s="18" t="n">
        <v>146.58</v>
      </c>
      <c r="K34" s="37" t="n">
        <v>146.58</v>
      </c>
      <c r="L34" s="18" t="n">
        <v>122.44</v>
      </c>
      <c r="M34" s="18" t="n">
        <v>94.97</v>
      </c>
      <c r="N34" s="18" t="n">
        <v>91.29000000000001</v>
      </c>
      <c r="O34" s="18" t="n">
        <v>38.37</v>
      </c>
      <c r="P34" s="37" t="n">
        <v>38.37</v>
      </c>
      <c r="Q34" s="18" t="n">
        <v>34.02</v>
      </c>
      <c r="R34" s="18" t="n">
        <v>5.34</v>
      </c>
      <c r="S34" s="18" t="n">
        <v>0</v>
      </c>
      <c r="T34" s="18" t="n">
        <v>0</v>
      </c>
      <c r="U34" s="37" t="n">
        <v>0</v>
      </c>
      <c r="V34" s="18" t="n">
        <v>451.37</v>
      </c>
      <c r="W34" s="18" t="n">
        <v>392.54</v>
      </c>
      <c r="X34" s="18" t="n">
        <v>448.68</v>
      </c>
      <c r="Y34" s="18" t="n">
        <v>392.92</v>
      </c>
      <c r="Z34" s="37" t="n">
        <v>392.92</v>
      </c>
      <c r="AA34" s="18" t="n">
        <v>412.75</v>
      </c>
      <c r="AB34" s="19" t="n">
        <v>419.85</v>
      </c>
      <c r="AC34" s="10" t="n"/>
      <c r="AD34" s="10" t="n"/>
      <c r="AE34" s="11" t="n"/>
      <c r="AF34" s="10" t="n"/>
      <c r="AG34" s="10" t="n"/>
      <c r="AH34" s="10" t="n"/>
      <c r="AI34" s="10" t="n"/>
      <c r="AJ34" s="11" t="n"/>
      <c r="AK34" s="10" t="n"/>
      <c r="AL34" s="10" t="n"/>
      <c r="AM34" s="10" t="n"/>
      <c r="AN34" s="10" t="n"/>
      <c r="AO34" s="11" t="n"/>
    </row>
    <row r="35">
      <c r="A35" t="n">
        <v>1</v>
      </c>
      <c r="C35" t="inlineStr">
        <is>
          <t>장기충당부채</t>
        </is>
      </c>
      <c r="E35" s="18" t="n">
        <v>275.79</v>
      </c>
      <c r="F35" s="37" t="n">
        <v>275.79</v>
      </c>
      <c r="G35" s="18" t="n">
        <v>280.56</v>
      </c>
      <c r="H35" s="18" t="n">
        <v>294.32</v>
      </c>
      <c r="I35" s="18" t="n">
        <v>318.67</v>
      </c>
      <c r="J35" s="18" t="n">
        <v>284.26</v>
      </c>
      <c r="K35" s="37" t="n">
        <v>284.26</v>
      </c>
      <c r="L35" s="18" t="n">
        <v>293.79</v>
      </c>
      <c r="M35" s="18" t="n">
        <v>294.85</v>
      </c>
      <c r="N35" s="18" t="n">
        <v>291.67</v>
      </c>
      <c r="O35" s="18" t="n">
        <v>281.62</v>
      </c>
      <c r="P35" s="37" t="n">
        <v>281.62</v>
      </c>
      <c r="Q35" s="18" t="n">
        <v>287.44</v>
      </c>
      <c r="R35" s="18" t="n">
        <v>289.03</v>
      </c>
      <c r="S35" s="18" t="n">
        <v>283.73</v>
      </c>
      <c r="T35" s="18" t="n">
        <v>305.44</v>
      </c>
      <c r="U35" s="37" t="n">
        <v>305.44</v>
      </c>
      <c r="V35" s="18" t="n">
        <v>303.32</v>
      </c>
      <c r="W35" s="18" t="n">
        <v>275.26</v>
      </c>
      <c r="X35" s="18" t="n">
        <v>281.09</v>
      </c>
      <c r="Y35" s="18" t="n">
        <v>289.03</v>
      </c>
      <c r="Z35" s="37" t="n">
        <v>289.03</v>
      </c>
      <c r="AA35" s="18" t="n">
        <v>303.85</v>
      </c>
      <c r="AB35" s="19" t="n">
        <v>310.2</v>
      </c>
      <c r="AC35" s="10" t="n"/>
      <c r="AD35" s="10" t="n"/>
      <c r="AE35" s="11" t="n"/>
      <c r="AF35" s="10" t="n"/>
      <c r="AG35" s="10" t="n"/>
      <c r="AH35" s="10" t="n"/>
      <c r="AI35" s="10" t="n"/>
      <c r="AJ35" s="11" t="n"/>
      <c r="AK35" s="10" t="n"/>
      <c r="AL35" s="10" t="n"/>
      <c r="AM35" s="10" t="n"/>
      <c r="AN35" s="10" t="n"/>
      <c r="AO35" s="11" t="n"/>
    </row>
    <row r="36">
      <c r="A36" t="n">
        <v>1</v>
      </c>
      <c r="C36" t="inlineStr">
        <is>
          <t>확정급여부채</t>
        </is>
      </c>
      <c r="E36" s="18" t="n">
        <v>457.37</v>
      </c>
      <c r="F36" s="37" t="n">
        <v>457.37</v>
      </c>
      <c r="G36" s="18" t="n">
        <v>717.09</v>
      </c>
      <c r="H36" s="18" t="n">
        <v>975.3</v>
      </c>
      <c r="I36" s="18" t="n">
        <v>1221.85</v>
      </c>
      <c r="J36" s="18" t="n">
        <v>0</v>
      </c>
      <c r="K36" s="37" t="n">
        <v>0</v>
      </c>
      <c r="O36" s="18" t="n">
        <v>0</v>
      </c>
      <c r="P36" s="37" t="n">
        <v>0</v>
      </c>
      <c r="T36" s="18" t="n">
        <v>0</v>
      </c>
      <c r="U36" s="37" t="n">
        <v>0</v>
      </c>
      <c r="V36" s="18" t="n">
        <v>125.67</v>
      </c>
      <c r="W36" s="18" t="n">
        <v>99.81999999999999</v>
      </c>
      <c r="X36" s="18" t="n">
        <v>377.37</v>
      </c>
      <c r="Y36" s="18" t="n">
        <v>0</v>
      </c>
      <c r="Z36" s="37" t="n">
        <v>0</v>
      </c>
      <c r="AA36" s="18" t="n">
        <v>0</v>
      </c>
      <c r="AB36" s="5" t="n"/>
      <c r="AC36" s="10" t="n"/>
      <c r="AD36" s="10" t="n"/>
      <c r="AE36" s="11" t="n"/>
      <c r="AF36" s="10" t="n"/>
      <c r="AG36" s="10" t="n"/>
      <c r="AH36" s="10" t="n"/>
      <c r="AI36" s="10" t="n"/>
      <c r="AJ36" s="11" t="n"/>
      <c r="AK36" s="10" t="n"/>
      <c r="AL36" s="10" t="n"/>
      <c r="AM36" s="10" t="n"/>
      <c r="AN36" s="10" t="n"/>
      <c r="AO36" s="11" t="n"/>
    </row>
    <row r="37">
      <c r="A37" t="n">
        <v>1</v>
      </c>
      <c r="C37" t="inlineStr">
        <is>
          <t>이연법인세부채</t>
        </is>
      </c>
      <c r="E37" s="18" t="n">
        <v>0</v>
      </c>
      <c r="F37" s="37" t="n">
        <v>0</v>
      </c>
      <c r="H37" s="18" t="n">
        <v>0.78</v>
      </c>
      <c r="K37" s="9" t="n"/>
      <c r="P37" s="9" t="n"/>
      <c r="U37" s="9" t="n"/>
      <c r="V37" s="18" t="n">
        <v>-19.7</v>
      </c>
      <c r="Z37" s="9" t="n"/>
      <c r="AA37" s="18" t="n">
        <v>160.14</v>
      </c>
      <c r="AB37" s="19" t="n">
        <v>1922.62</v>
      </c>
      <c r="AC37" s="10" t="n"/>
      <c r="AD37" s="10" t="n"/>
      <c r="AE37" s="11" t="n"/>
      <c r="AF37" s="10" t="n"/>
      <c r="AG37" s="10" t="n"/>
      <c r="AH37" s="10" t="n"/>
      <c r="AI37" s="10" t="n"/>
      <c r="AJ37" s="11" t="n"/>
      <c r="AK37" s="10" t="n"/>
      <c r="AL37" s="10" t="n"/>
      <c r="AM37" s="10" t="n"/>
      <c r="AN37" s="10" t="n"/>
      <c r="AO37" s="11" t="n"/>
    </row>
    <row r="38">
      <c r="A38" t="n">
        <v>1</v>
      </c>
      <c r="C38" t="inlineStr">
        <is>
          <t>부채총계</t>
        </is>
      </c>
      <c r="E38" s="18" t="n">
        <v>124579.42</v>
      </c>
      <c r="F38" s="37" t="n">
        <v>124579.42</v>
      </c>
      <c r="G38" s="18" t="n">
        <v>126632.67</v>
      </c>
      <c r="H38" s="18" t="n">
        <v>182542.4</v>
      </c>
      <c r="I38" s="18" t="n">
        <v>176657.29</v>
      </c>
      <c r="J38" s="18" t="n">
        <v>162383.84</v>
      </c>
      <c r="K38" s="37" t="n">
        <v>162383.84</v>
      </c>
      <c r="L38" s="18" t="n">
        <v>150804.23</v>
      </c>
      <c r="M38" s="18" t="n">
        <v>142632.01</v>
      </c>
      <c r="N38" s="18" t="n">
        <v>129858.42</v>
      </c>
      <c r="O38" s="18" t="n">
        <v>125278.83</v>
      </c>
      <c r="P38" s="37" t="n">
        <v>125278.83</v>
      </c>
      <c r="Q38" s="18" t="n">
        <v>122880.14</v>
      </c>
      <c r="R38" s="18" t="n">
        <v>131884.77</v>
      </c>
      <c r="S38" s="18" t="n">
        <v>121968.51</v>
      </c>
      <c r="T38" s="18" t="n">
        <v>129191.95</v>
      </c>
      <c r="U38" s="37" t="n">
        <v>129191.95</v>
      </c>
      <c r="V38" s="18" t="n">
        <v>118075.81</v>
      </c>
      <c r="W38" s="18" t="n">
        <v>124591.17</v>
      </c>
      <c r="X38" s="18" t="n">
        <v>121661.8</v>
      </c>
      <c r="Y38" s="18" t="n">
        <v>144249.29</v>
      </c>
      <c r="Z38" s="37" t="n">
        <v>144249.29</v>
      </c>
      <c r="AA38" s="18" t="n">
        <v>151691.57</v>
      </c>
      <c r="AB38" s="19" t="n">
        <v>160702.94</v>
      </c>
      <c r="AC38" s="10" t="n"/>
      <c r="AD38" s="10" t="n"/>
      <c r="AE38" s="11" t="n"/>
      <c r="AF38" s="10" t="n"/>
      <c r="AG38" s="10" t="n"/>
      <c r="AH38" s="10" t="n"/>
      <c r="AI38" s="10" t="n"/>
      <c r="AJ38" s="11" t="n"/>
      <c r="AK38" s="10" t="n"/>
      <c r="AL38" s="10" t="n"/>
      <c r="AM38" s="10" t="n"/>
      <c r="AN38" s="10" t="n"/>
      <c r="AO38" s="11" t="n"/>
    </row>
    <row r="39">
      <c r="A39" t="n">
        <v>1</v>
      </c>
      <c r="C39" t="inlineStr">
        <is>
          <t>지배주주지분</t>
        </is>
      </c>
      <c r="E39" s="18" t="n">
        <v>175861.52</v>
      </c>
      <c r="F39" s="37" t="n">
        <v>175861.52</v>
      </c>
      <c r="G39" s="18" t="n">
        <v>183509.61</v>
      </c>
      <c r="H39" s="18" t="n">
        <v>189291.26</v>
      </c>
      <c r="I39" s="18" t="n">
        <v>200314.54</v>
      </c>
      <c r="J39" s="18" t="n">
        <v>199673.37</v>
      </c>
      <c r="K39" s="37" t="n">
        <v>199673.37</v>
      </c>
      <c r="L39" s="18" t="n">
        <v>204940.32</v>
      </c>
      <c r="M39" s="18" t="n">
        <v>208529.52</v>
      </c>
      <c r="N39" s="18" t="n">
        <v>213756.98</v>
      </c>
      <c r="O39" s="18" t="n">
        <v>215479.86</v>
      </c>
      <c r="P39" s="37" t="n">
        <v>215479.86</v>
      </c>
      <c r="Q39" s="18" t="n">
        <v>219670.91</v>
      </c>
      <c r="R39" s="18" t="n">
        <v>224538.92</v>
      </c>
      <c r="S39" s="18" t="n">
        <v>227425.21</v>
      </c>
      <c r="T39" s="18" t="n">
        <v>231293.25</v>
      </c>
      <c r="U39" s="37" t="n">
        <v>231293.25</v>
      </c>
      <c r="V39" s="18" t="n">
        <v>234798.35</v>
      </c>
      <c r="W39" s="18" t="n">
        <v>232364.19</v>
      </c>
      <c r="X39" s="18" t="n">
        <v>239714.81</v>
      </c>
      <c r="Y39" s="18" t="n">
        <v>244540.9</v>
      </c>
      <c r="Z39" s="37" t="n">
        <v>244540.9</v>
      </c>
      <c r="AA39" s="18" t="n">
        <v>252225.53</v>
      </c>
      <c r="AB39" s="19" t="n">
        <v>264516.33</v>
      </c>
      <c r="AC39" s="10" t="n"/>
      <c r="AD39" s="10" t="n"/>
      <c r="AE39" s="11" t="n"/>
      <c r="AF39" s="10" t="n"/>
      <c r="AG39" s="10" t="n"/>
      <c r="AH39" s="10" t="n"/>
      <c r="AI39" s="10" t="n"/>
      <c r="AJ39" s="11" t="n"/>
      <c r="AK39" s="10" t="n"/>
      <c r="AL39" s="10" t="n"/>
      <c r="AM39" s="10" t="n"/>
      <c r="AN39" s="10" t="n"/>
      <c r="AO39" s="11" t="n"/>
    </row>
    <row r="40">
      <c r="A40" t="n">
        <v>1</v>
      </c>
      <c r="C40" t="inlineStr">
        <is>
          <t>자본금</t>
        </is>
      </c>
      <c r="E40" s="18" t="n">
        <v>8000</v>
      </c>
      <c r="F40" s="37" t="n">
        <v>8000</v>
      </c>
      <c r="G40" s="18" t="n">
        <v>8000</v>
      </c>
      <c r="H40" s="18" t="n">
        <v>8000</v>
      </c>
      <c r="I40" s="18" t="n">
        <v>8000</v>
      </c>
      <c r="J40" s="18" t="n">
        <v>8000</v>
      </c>
      <c r="K40" s="37" t="n">
        <v>8000</v>
      </c>
      <c r="L40" s="18" t="n">
        <v>8000</v>
      </c>
      <c r="M40" s="18" t="n">
        <v>8000</v>
      </c>
      <c r="N40" s="18" t="n">
        <v>8000</v>
      </c>
      <c r="O40" s="18" t="n">
        <v>8000</v>
      </c>
      <c r="P40" s="37" t="n">
        <v>8000</v>
      </c>
      <c r="Q40" s="18" t="n">
        <v>8000</v>
      </c>
      <c r="R40" s="18" t="n">
        <v>8000</v>
      </c>
      <c r="S40" s="18" t="n">
        <v>8000</v>
      </c>
      <c r="T40" s="18" t="n">
        <v>8000</v>
      </c>
      <c r="U40" s="37" t="n">
        <v>8000</v>
      </c>
      <c r="V40" s="18" t="n">
        <v>8000</v>
      </c>
      <c r="W40" s="18" t="n">
        <v>8000</v>
      </c>
      <c r="X40" s="18" t="n">
        <v>8000</v>
      </c>
      <c r="Y40" s="18" t="n">
        <v>8000</v>
      </c>
      <c r="Z40" s="37" t="n">
        <v>8000</v>
      </c>
      <c r="AA40" s="18" t="n">
        <v>8000</v>
      </c>
      <c r="AB40" s="19" t="n">
        <v>8000</v>
      </c>
      <c r="AC40" s="10" t="n"/>
      <c r="AD40" s="10" t="n"/>
      <c r="AE40" s="11" t="n"/>
      <c r="AF40" s="10" t="n"/>
      <c r="AG40" s="10" t="n"/>
      <c r="AH40" s="10" t="n"/>
      <c r="AI40" s="10" t="n"/>
      <c r="AJ40" s="11" t="n"/>
      <c r="AK40" s="10" t="n"/>
      <c r="AL40" s="10" t="n"/>
      <c r="AM40" s="10" t="n"/>
      <c r="AN40" s="10" t="n"/>
      <c r="AO40" s="11" t="n"/>
    </row>
    <row r="41">
      <c r="A41" t="n">
        <v>1</v>
      </c>
      <c r="C41" t="inlineStr">
        <is>
          <t>자본잉여금</t>
        </is>
      </c>
      <c r="E41" s="18" t="n">
        <v>13724.28</v>
      </c>
      <c r="F41" s="37" t="n">
        <v>13724.28</v>
      </c>
      <c r="G41" s="18" t="n">
        <v>13724.28</v>
      </c>
      <c r="H41" s="18" t="n">
        <v>13724.28</v>
      </c>
      <c r="I41" s="18" t="n">
        <v>13724.28</v>
      </c>
      <c r="J41" s="18" t="n">
        <v>13724.28</v>
      </c>
      <c r="K41" s="37" t="n">
        <v>13724.28</v>
      </c>
      <c r="L41" s="18" t="n">
        <v>13724.28</v>
      </c>
      <c r="M41" s="18" t="n">
        <v>13724.28</v>
      </c>
      <c r="N41" s="18" t="n">
        <v>13724.28</v>
      </c>
      <c r="O41" s="18" t="n">
        <v>13724.28</v>
      </c>
      <c r="P41" s="37" t="n">
        <v>13724.28</v>
      </c>
      <c r="Q41" s="18" t="n">
        <v>13724.28</v>
      </c>
      <c r="R41" s="18" t="n">
        <v>13724.28</v>
      </c>
      <c r="S41" s="18" t="n">
        <v>13724.28</v>
      </c>
      <c r="T41" s="18" t="n">
        <v>13724.28</v>
      </c>
      <c r="U41" s="37" t="n">
        <v>13724.28</v>
      </c>
      <c r="V41" s="18" t="n">
        <v>13724.28</v>
      </c>
      <c r="W41" s="18" t="n">
        <v>13724.28</v>
      </c>
      <c r="X41" s="18" t="n">
        <v>13724.28</v>
      </c>
      <c r="Y41" s="18" t="n">
        <v>13724.28</v>
      </c>
      <c r="Z41" s="37" t="n">
        <v>13724.28</v>
      </c>
      <c r="AA41" s="18" t="n">
        <v>8024.28</v>
      </c>
      <c r="AB41" s="19" t="n">
        <v>8024.28</v>
      </c>
      <c r="AC41" s="10" t="n"/>
      <c r="AD41" s="10" t="n"/>
      <c r="AE41" s="11" t="n"/>
      <c r="AF41" s="10" t="n"/>
      <c r="AG41" s="10" t="n"/>
      <c r="AH41" s="10" t="n"/>
      <c r="AI41" s="10" t="n"/>
      <c r="AJ41" s="11" t="n"/>
      <c r="AK41" s="10" t="n"/>
      <c r="AL41" s="10" t="n"/>
      <c r="AM41" s="10" t="n"/>
      <c r="AN41" s="10" t="n"/>
      <c r="AO41" s="11" t="n"/>
    </row>
    <row r="42">
      <c r="A42" t="n">
        <v>1</v>
      </c>
      <c r="C42" t="inlineStr">
        <is>
          <t>이익잉여금</t>
        </is>
      </c>
      <c r="E42" s="18" t="n">
        <v>151343.29</v>
      </c>
      <c r="F42" s="37" t="n">
        <v>151343.29</v>
      </c>
      <c r="G42" s="18" t="n">
        <v>158168.99</v>
      </c>
      <c r="H42" s="18" t="n">
        <v>163371.96</v>
      </c>
      <c r="I42" s="18" t="n">
        <v>172962.46</v>
      </c>
      <c r="J42" s="18" t="n">
        <v>175374.35</v>
      </c>
      <c r="K42" s="37" t="n">
        <v>175374.35</v>
      </c>
      <c r="L42" s="18" t="n">
        <v>179118.67</v>
      </c>
      <c r="M42" s="18" t="n">
        <v>183799.49</v>
      </c>
      <c r="N42" s="18" t="n">
        <v>189168.77</v>
      </c>
      <c r="O42" s="18" t="n">
        <v>191462.71</v>
      </c>
      <c r="P42" s="37" t="n">
        <v>191462.71</v>
      </c>
      <c r="Q42" s="18" t="n">
        <v>195140.78</v>
      </c>
      <c r="R42" s="18" t="n">
        <v>199662.61</v>
      </c>
      <c r="S42" s="18" t="n">
        <v>203614.55</v>
      </c>
      <c r="T42" s="18" t="n">
        <v>205255.34</v>
      </c>
      <c r="U42" s="37" t="n">
        <v>205255.34</v>
      </c>
      <c r="V42" s="18" t="n">
        <v>208388.88</v>
      </c>
      <c r="W42" s="18" t="n">
        <v>208359.08</v>
      </c>
      <c r="X42" s="18" t="n">
        <v>215673.07</v>
      </c>
      <c r="Y42" s="18" t="n">
        <v>219722.69</v>
      </c>
      <c r="Z42" s="37" t="n">
        <v>219722.69</v>
      </c>
      <c r="AA42" s="18" t="n">
        <v>231211.2</v>
      </c>
      <c r="AB42" s="19" t="n">
        <v>242214.57</v>
      </c>
      <c r="AC42" s="10" t="n"/>
      <c r="AD42" s="10" t="n"/>
      <c r="AE42" s="11" t="n"/>
      <c r="AF42" s="10" t="n"/>
      <c r="AG42" s="10" t="n"/>
      <c r="AH42" s="10" t="n"/>
      <c r="AI42" s="10" t="n"/>
      <c r="AJ42" s="11" t="n"/>
      <c r="AK42" s="10" t="n"/>
      <c r="AL42" s="10" t="n"/>
      <c r="AM42" s="10" t="n"/>
      <c r="AN42" s="10" t="n"/>
      <c r="AO42" s="11" t="n"/>
    </row>
    <row r="43">
      <c r="A43" t="n">
        <v>1</v>
      </c>
      <c r="C43" t="inlineStr">
        <is>
          <t>기타자본</t>
        </is>
      </c>
      <c r="E43" s="18" t="n">
        <v>2793.95</v>
      </c>
      <c r="F43" s="37" t="n">
        <v>2793.95</v>
      </c>
      <c r="G43" s="18" t="n">
        <v>3616.34</v>
      </c>
      <c r="H43" s="18" t="n">
        <v>4195.03</v>
      </c>
      <c r="I43" s="18" t="n">
        <v>5627.81</v>
      </c>
      <c r="J43" s="18" t="n">
        <v>2574.74</v>
      </c>
      <c r="K43" s="37" t="n">
        <v>2574.74</v>
      </c>
      <c r="L43" s="18" t="n">
        <v>4097.37</v>
      </c>
      <c r="M43" s="18" t="n">
        <v>3005.75</v>
      </c>
      <c r="N43" s="18" t="n">
        <v>2863.94</v>
      </c>
      <c r="O43" s="18" t="n">
        <v>2292.88</v>
      </c>
      <c r="P43" s="37" t="n">
        <v>2292.88</v>
      </c>
      <c r="Q43" s="18" t="n">
        <v>2805.86</v>
      </c>
      <c r="R43" s="18" t="n">
        <v>3152.03</v>
      </c>
      <c r="S43" s="18" t="n">
        <v>2086.39</v>
      </c>
      <c r="T43" s="18" t="n">
        <v>4313.63</v>
      </c>
      <c r="U43" s="37" t="n">
        <v>4313.63</v>
      </c>
      <c r="V43" s="18" t="n">
        <v>4685.19</v>
      </c>
      <c r="W43" s="18" t="n">
        <v>2280.84</v>
      </c>
      <c r="X43" s="18" t="n">
        <v>2317.47</v>
      </c>
      <c r="Y43" s="18" t="n">
        <v>3093.93</v>
      </c>
      <c r="Z43" s="37" t="n">
        <v>3093.93</v>
      </c>
      <c r="AA43" s="18" t="n">
        <v>4990.05</v>
      </c>
      <c r="AB43" s="19" t="n">
        <v>6277.48</v>
      </c>
      <c r="AC43" s="10" t="n"/>
      <c r="AD43" s="10" t="n"/>
      <c r="AE43" s="11" t="n"/>
      <c r="AF43" s="10" t="n"/>
      <c r="AG43" s="10" t="n"/>
      <c r="AH43" s="10" t="n"/>
      <c r="AI43" s="10" t="n"/>
      <c r="AJ43" s="11" t="n"/>
      <c r="AK43" s="10" t="n"/>
      <c r="AL43" s="10" t="n"/>
      <c r="AM43" s="10" t="n"/>
      <c r="AN43" s="10" t="n"/>
      <c r="AO43" s="11" t="n"/>
    </row>
    <row r="44">
      <c r="A44" t="n">
        <v>1</v>
      </c>
      <c r="C44" t="inlineStr">
        <is>
          <t>비지배주주지분</t>
        </is>
      </c>
      <c r="E44" s="18" t="n">
        <v>2157.7</v>
      </c>
      <c r="F44" s="37" t="n">
        <v>2157.7</v>
      </c>
      <c r="G44" s="18" t="n">
        <v>2262.29</v>
      </c>
      <c r="H44" s="18" t="n">
        <v>2592.61</v>
      </c>
      <c r="I44" s="18" t="n">
        <v>2954.24</v>
      </c>
      <c r="J44" s="18" t="n">
        <v>2653.18</v>
      </c>
      <c r="K44" s="37" t="n">
        <v>2653.18</v>
      </c>
      <c r="L44" s="18" t="n">
        <v>2636.9</v>
      </c>
      <c r="M44" s="18" t="n">
        <v>2702.92</v>
      </c>
      <c r="N44" s="18" t="n">
        <v>2845.83</v>
      </c>
      <c r="O44" s="18" t="n">
        <v>2722.32</v>
      </c>
      <c r="P44" s="37" t="n">
        <v>2722.32</v>
      </c>
      <c r="Q44" s="18" t="n">
        <v>2778.25</v>
      </c>
      <c r="R44" s="18" t="n">
        <v>3002.01</v>
      </c>
      <c r="S44" s="18" t="n">
        <v>2876.96</v>
      </c>
      <c r="T44" s="18" t="n">
        <v>2909.03</v>
      </c>
      <c r="U44" s="37" t="n">
        <v>2909.03</v>
      </c>
      <c r="V44" s="18" t="n">
        <v>2858.7</v>
      </c>
      <c r="W44" s="18" t="n">
        <v>2576.55</v>
      </c>
      <c r="X44" s="18" t="n">
        <v>2630.99</v>
      </c>
      <c r="Y44" s="18" t="n">
        <v>2802.08</v>
      </c>
      <c r="Z44" s="37" t="n">
        <v>2802.08</v>
      </c>
      <c r="AA44" s="18" t="n">
        <v>2952.76</v>
      </c>
      <c r="AB44" s="19" t="n">
        <v>3076.48</v>
      </c>
      <c r="AC44" s="10" t="n"/>
      <c r="AD44" s="10" t="n"/>
      <c r="AE44" s="11" t="n"/>
      <c r="AF44" s="10" t="n"/>
      <c r="AG44" s="10" t="n"/>
      <c r="AH44" s="10" t="n"/>
      <c r="AI44" s="10" t="n"/>
      <c r="AJ44" s="11" t="n"/>
      <c r="AK44" s="10" t="n"/>
      <c r="AL44" s="10" t="n"/>
      <c r="AM44" s="10" t="n"/>
      <c r="AN44" s="10" t="n"/>
      <c r="AO44" s="11" t="n"/>
    </row>
    <row r="45">
      <c r="A45" t="n">
        <v>1</v>
      </c>
      <c r="C45" t="inlineStr">
        <is>
          <t>자본총계</t>
        </is>
      </c>
      <c r="E45" s="18" t="n">
        <v>178019.21</v>
      </c>
      <c r="F45" s="37" t="n">
        <v>178019.21</v>
      </c>
      <c r="G45" s="18" t="n">
        <v>185771.9</v>
      </c>
      <c r="H45" s="18" t="n">
        <v>191883.87</v>
      </c>
      <c r="I45" s="18" t="n">
        <v>203268.79</v>
      </c>
      <c r="J45" s="18" t="n">
        <v>202326.55</v>
      </c>
      <c r="K45" s="37" t="n">
        <v>202326.55</v>
      </c>
      <c r="L45" s="18" t="n">
        <v>207577.22</v>
      </c>
      <c r="M45" s="18" t="n">
        <v>211232.44</v>
      </c>
      <c r="N45" s="18" t="n">
        <v>216602.81</v>
      </c>
      <c r="O45" s="18" t="n">
        <v>218202.19</v>
      </c>
      <c r="P45" s="37" t="n">
        <v>218202.19</v>
      </c>
      <c r="Q45" s="18" t="n">
        <v>222449.16</v>
      </c>
      <c r="R45" s="18" t="n">
        <v>227540.93</v>
      </c>
      <c r="S45" s="18" t="n">
        <v>230302.17</v>
      </c>
      <c r="T45" s="18" t="n">
        <v>234202.28</v>
      </c>
      <c r="U45" s="37" t="n">
        <v>234202.28</v>
      </c>
      <c r="V45" s="18" t="n">
        <v>237657.05</v>
      </c>
      <c r="W45" s="18" t="n">
        <v>234940.75</v>
      </c>
      <c r="X45" s="18" t="n">
        <v>242345.8</v>
      </c>
      <c r="Y45" s="18" t="n">
        <v>247342.99</v>
      </c>
      <c r="Z45" s="37" t="n">
        <v>247342.99</v>
      </c>
      <c r="AA45" s="18" t="n">
        <v>255178.29</v>
      </c>
      <c r="AB45" s="19" t="n">
        <v>267592.81</v>
      </c>
      <c r="AC45" s="10" t="n"/>
      <c r="AD45" s="10" t="n"/>
      <c r="AE45" s="11" t="n"/>
      <c r="AF45" s="10" t="n"/>
      <c r="AG45" s="10" t="n"/>
      <c r="AH45" s="10" t="n"/>
      <c r="AI45" s="10" t="n"/>
      <c r="AJ45" s="11" t="n"/>
      <c r="AK45" s="10" t="n"/>
      <c r="AL45" s="10" t="n"/>
      <c r="AM45" s="10" t="n"/>
      <c r="AN45" s="10" t="n"/>
      <c r="AO45" s="11" t="n"/>
    </row>
    <row r="46">
      <c r="A46" t="n">
        <v>1</v>
      </c>
      <c r="C46" t="inlineStr">
        <is>
          <t>부채와자본총계</t>
        </is>
      </c>
      <c r="E46" s="18" t="n">
        <v>302598.63</v>
      </c>
      <c r="F46" s="37" t="n">
        <v>302598.63</v>
      </c>
      <c r="G46" s="18" t="n">
        <v>312404.57</v>
      </c>
      <c r="H46" s="18" t="n">
        <v>374426.28</v>
      </c>
      <c r="I46" s="18" t="n">
        <v>379926.08</v>
      </c>
      <c r="J46" s="18" t="n">
        <v>364710.39</v>
      </c>
      <c r="K46" s="37" t="n">
        <v>364710.39</v>
      </c>
      <c r="L46" s="18" t="n">
        <v>358381.45</v>
      </c>
      <c r="M46" s="18" t="n">
        <v>353864.45</v>
      </c>
      <c r="N46" s="18" t="n">
        <v>346461.22</v>
      </c>
      <c r="O46" s="18" t="n">
        <v>343481.02</v>
      </c>
      <c r="P46" s="37" t="n">
        <v>343481.02</v>
      </c>
      <c r="Q46" s="18" t="n">
        <v>345329.3</v>
      </c>
      <c r="R46" s="18" t="n">
        <v>359425.7</v>
      </c>
      <c r="S46" s="18" t="n">
        <v>352270.68</v>
      </c>
      <c r="T46" s="18" t="n">
        <v>363394.23</v>
      </c>
      <c r="U46" s="37" t="n">
        <v>363394.23</v>
      </c>
      <c r="V46" s="18" t="n">
        <v>355732.86</v>
      </c>
      <c r="W46" s="18" t="n">
        <v>359531.91</v>
      </c>
      <c r="X46" s="18" t="n">
        <v>364007.6</v>
      </c>
      <c r="Y46" s="18" t="n">
        <v>391592.28</v>
      </c>
      <c r="Z46" s="37" t="n">
        <v>391592.28</v>
      </c>
      <c r="AA46" s="18" t="n">
        <v>406869.86</v>
      </c>
      <c r="AB46" s="19" t="n">
        <v>428295.75</v>
      </c>
      <c r="AC46" s="10" t="n"/>
      <c r="AD46" s="10" t="n"/>
      <c r="AE46" s="11" t="n"/>
      <c r="AF46" s="10" t="n"/>
      <c r="AG46" s="10" t="n"/>
      <c r="AH46" s="10" t="n"/>
      <c r="AI46" s="10" t="n"/>
      <c r="AJ46" s="11" t="n"/>
      <c r="AK46" s="10" t="n"/>
      <c r="AL46" s="10" t="n"/>
      <c r="AM46" s="10" t="n"/>
      <c r="AN46" s="10" t="n"/>
      <c r="AO46" s="11" t="n"/>
    </row>
    <row r="47">
      <c r="A47" t="n">
        <v>1</v>
      </c>
      <c r="C47" t="inlineStr">
        <is>
          <t>총차입금</t>
        </is>
      </c>
      <c r="E47" s="18" t="n">
        <v>76957.17999999999</v>
      </c>
      <c r="F47" s="37" t="n">
        <v>76957.17999999999</v>
      </c>
      <c r="G47" s="18" t="n">
        <v>78772.99000000001</v>
      </c>
      <c r="H47" s="18" t="n">
        <v>125951.7</v>
      </c>
      <c r="I47" s="18" t="n">
        <v>118456.94</v>
      </c>
      <c r="J47" s="18" t="n">
        <v>108918.07</v>
      </c>
      <c r="K47" s="37" t="n">
        <v>108918.07</v>
      </c>
      <c r="L47" s="18" t="n">
        <v>105103.91</v>
      </c>
      <c r="M47" s="18" t="n">
        <v>103933.47</v>
      </c>
      <c r="N47" s="18" t="n">
        <v>96397.49000000001</v>
      </c>
      <c r="O47" s="18" t="n">
        <v>90920.5</v>
      </c>
      <c r="P47" s="37" t="n">
        <v>90920.5</v>
      </c>
      <c r="Q47" s="18" t="n">
        <v>89608.86</v>
      </c>
      <c r="R47" s="18" t="n">
        <v>93631.32000000001</v>
      </c>
      <c r="S47" s="18" t="n">
        <v>84739.88</v>
      </c>
      <c r="T47" s="18" t="n">
        <v>85075.08</v>
      </c>
      <c r="U47" s="37" t="n">
        <v>85075.08</v>
      </c>
      <c r="V47" s="18" t="n">
        <v>81696.14999999999</v>
      </c>
      <c r="W47" s="18" t="n">
        <v>85741.38</v>
      </c>
      <c r="X47" s="18" t="n">
        <v>84249.89999999999</v>
      </c>
      <c r="Y47" s="18" t="n">
        <v>95426.94</v>
      </c>
      <c r="Z47" s="37" t="n">
        <v>95426.94</v>
      </c>
      <c r="AA47" s="18" t="n">
        <v>98327.38</v>
      </c>
      <c r="AB47" s="19" t="n">
        <v>103324.37</v>
      </c>
      <c r="AC47" s="10" t="n"/>
      <c r="AD47" s="10" t="n"/>
      <c r="AE47" s="11" t="n"/>
      <c r="AF47" s="10" t="n"/>
      <c r="AG47" s="10" t="n"/>
      <c r="AH47" s="10" t="n"/>
      <c r="AI47" s="10" t="n"/>
      <c r="AJ47" s="11" t="n"/>
      <c r="AK47" s="10" t="n"/>
      <c r="AL47" s="10" t="n"/>
      <c r="AM47" s="10" t="n"/>
      <c r="AN47" s="10" t="n"/>
      <c r="AO47" s="11" t="n"/>
    </row>
    <row r="48">
      <c r="A48" t="n">
        <v>1</v>
      </c>
      <c r="C48" t="inlineStr">
        <is>
          <t>순차입금</t>
        </is>
      </c>
      <c r="E48" s="18" t="n">
        <v>61102.16</v>
      </c>
      <c r="F48" s="37" t="n">
        <v>61102.16</v>
      </c>
      <c r="G48" s="18" t="n">
        <v>70273.87</v>
      </c>
      <c r="H48" s="18" t="n">
        <v>117173.81</v>
      </c>
      <c r="I48" s="18" t="n">
        <v>106004.44</v>
      </c>
      <c r="J48" s="18" t="n">
        <v>100262.3</v>
      </c>
      <c r="K48" s="37" t="n">
        <v>100262.3</v>
      </c>
      <c r="L48" s="18" t="n">
        <v>103408.69</v>
      </c>
      <c r="M48" s="18" t="n">
        <v>100071.9</v>
      </c>
      <c r="N48" s="18" t="n">
        <v>86689.07000000001</v>
      </c>
      <c r="O48" s="18" t="n">
        <v>84794.37</v>
      </c>
      <c r="P48" s="37" t="n">
        <v>84794.37</v>
      </c>
      <c r="Q48" s="18" t="n">
        <v>85716.71000000001</v>
      </c>
      <c r="R48" s="18" t="n">
        <v>85438.00999999999</v>
      </c>
      <c r="S48" s="18" t="n">
        <v>74865.11</v>
      </c>
      <c r="T48" s="18" t="n">
        <v>78091.27</v>
      </c>
      <c r="U48" s="37" t="n">
        <v>78091.27</v>
      </c>
      <c r="V48" s="18" t="n">
        <v>73927.10000000001</v>
      </c>
      <c r="W48" s="18" t="n">
        <v>70302.2</v>
      </c>
      <c r="X48" s="18" t="n">
        <v>74463.53</v>
      </c>
      <c r="Y48" s="18" t="n">
        <v>79723.28</v>
      </c>
      <c r="Z48" s="37" t="n">
        <v>79723.28</v>
      </c>
      <c r="AA48" s="18" t="n">
        <v>81886.64999999999</v>
      </c>
      <c r="AB48" s="19" t="n">
        <v>91474.97</v>
      </c>
      <c r="AC48" s="10" t="n"/>
      <c r="AD48" s="10" t="n"/>
      <c r="AE48" s="11" t="n"/>
      <c r="AF48" s="10" t="n"/>
      <c r="AG48" s="10" t="n"/>
      <c r="AH48" s="10" t="n"/>
      <c r="AI48" s="10" t="n"/>
      <c r="AJ48" s="11" t="n"/>
      <c r="AK48" s="10" t="n"/>
      <c r="AL48" s="10" t="n"/>
      <c r="AM48" s="10" t="n"/>
      <c r="AN48" s="10" t="n"/>
      <c r="AO48" s="11" t="n"/>
    </row>
    <row r="49">
      <c r="A49" t="n">
        <v>1</v>
      </c>
      <c r="C49" t="inlineStr">
        <is>
          <t>이자발생자산</t>
        </is>
      </c>
      <c r="E49" s="18" t="n">
        <v>31616.22</v>
      </c>
      <c r="F49" s="37" t="n">
        <v>31616.22</v>
      </c>
      <c r="G49" s="18" t="n">
        <v>26169.7</v>
      </c>
      <c r="H49" s="18" t="n">
        <v>24651.25</v>
      </c>
      <c r="I49" s="18" t="n">
        <v>26256.05</v>
      </c>
      <c r="J49" s="18" t="n">
        <v>32588.8</v>
      </c>
      <c r="K49" s="37" t="n">
        <v>32588.8</v>
      </c>
      <c r="L49" s="18" t="n">
        <v>29207.76</v>
      </c>
      <c r="M49" s="18" t="n">
        <v>30586.28</v>
      </c>
      <c r="N49" s="18" t="n">
        <v>18990.17</v>
      </c>
      <c r="O49" s="18" t="n">
        <v>14648.6</v>
      </c>
      <c r="P49" s="37" t="n">
        <v>14648.6</v>
      </c>
      <c r="Q49" s="18" t="n">
        <v>11740.04</v>
      </c>
      <c r="R49" s="18" t="n">
        <v>31863.57</v>
      </c>
      <c r="S49" s="18" t="n">
        <v>14070.18</v>
      </c>
      <c r="T49" s="18" t="n">
        <v>10895.81</v>
      </c>
      <c r="U49" s="37" t="n">
        <v>10895.81</v>
      </c>
      <c r="V49" s="18" t="n">
        <v>11667.42</v>
      </c>
      <c r="W49" s="18" t="n">
        <v>40757.59</v>
      </c>
      <c r="X49" s="18" t="n">
        <v>15690.93</v>
      </c>
      <c r="Y49" s="18" t="n">
        <v>20939.77</v>
      </c>
      <c r="Z49" s="37" t="n">
        <v>20939.77</v>
      </c>
      <c r="AA49" s="18" t="n">
        <v>21332.01</v>
      </c>
      <c r="AB49" s="19" t="n">
        <v>42666.07</v>
      </c>
      <c r="AC49" s="10" t="n"/>
      <c r="AD49" s="10" t="n"/>
      <c r="AE49" s="11" t="n"/>
      <c r="AF49" s="10" t="n"/>
      <c r="AG49" s="10" t="n"/>
      <c r="AH49" s="10" t="n"/>
      <c r="AI49" s="10" t="n"/>
      <c r="AJ49" s="11" t="n"/>
      <c r="AK49" s="10" t="n"/>
      <c r="AL49" s="10" t="n"/>
      <c r="AM49" s="10" t="n"/>
      <c r="AN49" s="10" t="n"/>
      <c r="AO49" s="11" t="n"/>
    </row>
    <row r="50">
      <c r="A50" t="n">
        <v>1</v>
      </c>
      <c r="C50" t="inlineStr">
        <is>
          <t>단기투자자산(공정가치)</t>
        </is>
      </c>
      <c r="F50" s="9" t="n"/>
      <c r="H50" s="18" t="n">
        <v>12565.86</v>
      </c>
      <c r="K50" s="9" t="n"/>
      <c r="M50" s="18" t="n">
        <v>12641.69</v>
      </c>
      <c r="P50" s="9" t="n"/>
      <c r="R50" s="18" t="n">
        <v>8572.65</v>
      </c>
      <c r="U50" s="9" t="n"/>
      <c r="W50" s="18" t="n">
        <v>8097.94</v>
      </c>
      <c r="Z50" s="9" t="n"/>
      <c r="AB50" s="19" t="n">
        <v>30496.77</v>
      </c>
      <c r="AC50" s="10" t="n"/>
      <c r="AD50" s="10" t="n"/>
      <c r="AE50" s="11" t="n"/>
      <c r="AF50" s="10" t="n"/>
      <c r="AG50" s="10" t="n"/>
      <c r="AH50" s="10" t="n"/>
      <c r="AI50" s="10" t="n"/>
      <c r="AJ50" s="11" t="n"/>
      <c r="AK50" s="10" t="n"/>
      <c r="AL50" s="10" t="n"/>
      <c r="AM50" s="10" t="n"/>
      <c r="AN50" s="10" t="n"/>
      <c r="AO50" s="11" t="n"/>
    </row>
    <row r="51">
      <c r="A51" t="n">
        <v>1</v>
      </c>
      <c r="C51" t="inlineStr">
        <is>
          <t>유동성장기부채</t>
        </is>
      </c>
      <c r="F51" s="9" t="n"/>
      <c r="H51" s="18" t="n">
        <v>12666.72</v>
      </c>
      <c r="I51" s="18" t="n">
        <v>12666.72</v>
      </c>
      <c r="J51" s="18" t="n">
        <v>11611.16</v>
      </c>
      <c r="K51" s="37" t="n">
        <v>11611.16</v>
      </c>
      <c r="L51" s="18" t="n">
        <v>11611.16</v>
      </c>
      <c r="M51" s="18" t="n">
        <v>12666.72</v>
      </c>
      <c r="N51" s="18" t="n">
        <v>11611.16</v>
      </c>
      <c r="O51" s="18" t="n">
        <v>11611.16</v>
      </c>
      <c r="P51" s="37" t="n">
        <v>11611.16</v>
      </c>
      <c r="Q51" s="18" t="n">
        <v>11611.16</v>
      </c>
      <c r="R51" s="18" t="n">
        <v>10555.5</v>
      </c>
      <c r="S51" s="18" t="n">
        <v>8444.4</v>
      </c>
      <c r="T51" s="18" t="n">
        <v>5277.75</v>
      </c>
      <c r="U51" s="37" t="n">
        <v>5277.75</v>
      </c>
      <c r="V51" s="18" t="n">
        <v>2111.1</v>
      </c>
      <c r="W51" s="18" t="n">
        <v>0</v>
      </c>
      <c r="X51" s="18" t="n">
        <v>0</v>
      </c>
      <c r="Y51" s="18" t="n">
        <v>0</v>
      </c>
      <c r="Z51" s="37" t="n">
        <v>0</v>
      </c>
      <c r="AB51" s="19" t="n">
        <v>0</v>
      </c>
      <c r="AC51" s="10" t="n"/>
      <c r="AD51" s="10" t="n"/>
      <c r="AE51" s="11" t="n"/>
      <c r="AF51" s="10" t="n"/>
      <c r="AG51" s="10" t="n"/>
      <c r="AH51" s="10" t="n"/>
      <c r="AI51" s="10" t="n"/>
      <c r="AJ51" s="11" t="n"/>
      <c r="AK51" s="10" t="n"/>
      <c r="AL51" s="10" t="n"/>
      <c r="AM51" s="10" t="n"/>
      <c r="AN51" s="10" t="n"/>
      <c r="AO51" s="11" t="n"/>
    </row>
    <row r="52">
      <c r="A52" t="n">
        <v>1</v>
      </c>
      <c r="C52" t="inlineStr">
        <is>
          <t>투자부동산</t>
        </is>
      </c>
      <c r="F52" s="9" t="n"/>
      <c r="J52" s="18" t="n">
        <v>41869.87</v>
      </c>
      <c r="K52" s="37" t="n">
        <v>41869.87</v>
      </c>
      <c r="L52" s="18" t="n">
        <v>41566.82</v>
      </c>
      <c r="M52" s="18" t="n">
        <v>41547.77</v>
      </c>
      <c r="N52" s="18" t="n">
        <v>41528.72</v>
      </c>
      <c r="O52" s="18" t="n">
        <v>41917.59</v>
      </c>
      <c r="P52" s="37" t="n">
        <v>41917.59</v>
      </c>
      <c r="Q52" s="18" t="n">
        <v>41626.04</v>
      </c>
      <c r="R52" s="18" t="n">
        <v>41606.93</v>
      </c>
      <c r="S52" s="18" t="n">
        <v>41587.82</v>
      </c>
      <c r="T52" s="18" t="n">
        <v>41568.71</v>
      </c>
      <c r="U52" s="37" t="n">
        <v>41568.71</v>
      </c>
      <c r="V52" s="18" t="n">
        <v>41549.6</v>
      </c>
      <c r="W52" s="18" t="n">
        <v>41530.48</v>
      </c>
      <c r="X52" s="18" t="n">
        <v>41511.37</v>
      </c>
      <c r="Y52" s="18" t="n">
        <v>41492.26</v>
      </c>
      <c r="Z52" s="37" t="n">
        <v>41492.26</v>
      </c>
      <c r="AA52" s="18" t="n">
        <v>41473.15</v>
      </c>
      <c r="AB52" s="19" t="n">
        <v>41454.04</v>
      </c>
      <c r="AC52" s="10" t="n"/>
      <c r="AD52" s="10" t="n"/>
      <c r="AE52" s="11" t="n"/>
      <c r="AF52" s="10" t="n"/>
      <c r="AG52" s="10" t="n"/>
      <c r="AH52" s="10" t="n"/>
      <c r="AI52" s="10" t="n"/>
      <c r="AJ52" s="11" t="n"/>
      <c r="AK52" s="10" t="n"/>
      <c r="AL52" s="10" t="n"/>
      <c r="AM52" s="10" t="n"/>
      <c r="AN52" s="10" t="n"/>
      <c r="AO52" s="11" t="n"/>
    </row>
    <row r="53">
      <c r="A53" t="n">
        <v>1</v>
      </c>
      <c r="C53" t="inlineStr">
        <is>
          <t>장기금융부채(face)</t>
        </is>
      </c>
      <c r="F53" s="9" t="n"/>
      <c r="K53" s="9" t="n"/>
      <c r="P53" s="9" t="n"/>
      <c r="S53" s="18" t="n">
        <v>12854.74</v>
      </c>
      <c r="T53" s="18" t="n">
        <v>14483.09</v>
      </c>
      <c r="U53" s="37" t="n">
        <v>14483.09</v>
      </c>
      <c r="V53" s="18" t="n">
        <v>12918.6</v>
      </c>
      <c r="W53" s="18" t="n">
        <v>12539.84</v>
      </c>
      <c r="X53" s="18" t="n">
        <v>11914.45</v>
      </c>
      <c r="Z53" s="9" t="n"/>
      <c r="AB53" s="5" t="n"/>
      <c r="AC53" s="10" t="n"/>
      <c r="AD53" s="10" t="n"/>
      <c r="AE53" s="11" t="n"/>
      <c r="AF53" s="10" t="n"/>
      <c r="AG53" s="10" t="n"/>
      <c r="AH53" s="10" t="n"/>
      <c r="AI53" s="10" t="n"/>
      <c r="AJ53" s="11" t="n"/>
      <c r="AK53" s="10" t="n"/>
      <c r="AL53" s="10" t="n"/>
      <c r="AM53" s="10" t="n"/>
      <c r="AN53" s="10" t="n"/>
      <c r="AO53" s="11" t="n"/>
    </row>
    <row r="54">
      <c r="A54" t="n">
        <v>1</v>
      </c>
      <c r="C54" t="inlineStr">
        <is>
          <t>종속기업및관계기업투자</t>
        </is>
      </c>
      <c r="F54" s="9" t="n"/>
      <c r="K54" s="9" t="n"/>
      <c r="P54" s="9" t="n"/>
      <c r="T54" s="18" t="n">
        <v>3223.73</v>
      </c>
      <c r="U54" s="37" t="n">
        <v>3223.73</v>
      </c>
      <c r="V54" s="18" t="n">
        <v>2924.57</v>
      </c>
      <c r="W54" s="18" t="n">
        <v>3241.59</v>
      </c>
      <c r="X54" s="18" t="n">
        <v>3380</v>
      </c>
      <c r="Y54" s="18" t="n">
        <v>3429.12</v>
      </c>
      <c r="Z54" s="37" t="n">
        <v>3429.12</v>
      </c>
      <c r="AA54" s="18" t="n">
        <v>4357.84</v>
      </c>
      <c r="AB54" s="5" t="n"/>
      <c r="AC54" s="10" t="n"/>
      <c r="AD54" s="10" t="n"/>
      <c r="AE54" s="11" t="n"/>
      <c r="AF54" s="10" t="n"/>
      <c r="AG54" s="10" t="n"/>
      <c r="AH54" s="10" t="n"/>
      <c r="AI54" s="10" t="n"/>
      <c r="AJ54" s="11" t="n"/>
      <c r="AK54" s="10" t="n"/>
      <c r="AL54" s="10" t="n"/>
      <c r="AM54" s="10" t="n"/>
      <c r="AN54" s="10" t="n"/>
      <c r="AO54" s="11" t="n"/>
    </row>
    <row r="55">
      <c r="A55" t="n">
        <v>1</v>
      </c>
      <c r="C55" t="inlineStr">
        <is>
          <t>단기금융부채(face)</t>
        </is>
      </c>
      <c r="F55" s="9" t="n"/>
      <c r="K55" s="9" t="n"/>
      <c r="P55" s="9" t="n"/>
      <c r="U55" s="9" t="n"/>
      <c r="Z55" s="9" t="n"/>
      <c r="AA55" s="18" t="n">
        <v>78598.02</v>
      </c>
      <c r="AB55" s="5" t="n"/>
      <c r="AC55" s="10" t="n"/>
      <c r="AD55" s="10" t="n"/>
      <c r="AE55" s="11" t="n"/>
      <c r="AF55" s="10" t="n"/>
      <c r="AG55" s="10" t="n"/>
      <c r="AH55" s="10" t="n"/>
      <c r="AI55" s="10" t="n"/>
      <c r="AJ55" s="11" t="n"/>
      <c r="AK55" s="10" t="n"/>
      <c r="AL55" s="10" t="n"/>
      <c r="AM55" s="10" t="n"/>
      <c r="AN55" s="10" t="n"/>
      <c r="AO55" s="11" t="n"/>
    </row>
    <row r="56">
      <c r="A56" t="n">
        <v>1</v>
      </c>
      <c r="C56" t="inlineStr">
        <is>
          <t>매출액(수익)</t>
        </is>
      </c>
      <c r="E56" s="18" t="n">
        <v>71758.37</v>
      </c>
      <c r="F56" s="9" t="n"/>
      <c r="G56" s="18" t="n">
        <v>87227.31</v>
      </c>
      <c r="H56" s="18" t="n">
        <v>94795.31</v>
      </c>
      <c r="I56" s="18" t="n">
        <v>97636.39</v>
      </c>
      <c r="J56" s="18" t="n">
        <v>87797.83</v>
      </c>
      <c r="K56" s="37" t="n">
        <v>367456.84</v>
      </c>
      <c r="L56" s="18" t="n">
        <v>71396.46000000001</v>
      </c>
      <c r="M56" s="18" t="n">
        <v>79811.05</v>
      </c>
      <c r="N56" s="18" t="n">
        <v>71585.42</v>
      </c>
      <c r="O56" s="18" t="n">
        <v>68302.14999999999</v>
      </c>
      <c r="P56" s="37" t="n">
        <v>291095.08</v>
      </c>
      <c r="Q56" s="18" t="n">
        <v>68123.56</v>
      </c>
      <c r="R56" s="18" t="n">
        <v>75451.32000000001</v>
      </c>
      <c r="S56" s="18" t="n">
        <v>74179.03999999999</v>
      </c>
      <c r="T56" s="18" t="n">
        <v>82055.21000000001</v>
      </c>
      <c r="U56" s="37" t="n">
        <v>299809.13</v>
      </c>
      <c r="V56" s="18" t="n">
        <v>74084.8</v>
      </c>
      <c r="W56" s="18" t="n">
        <v>76690.59</v>
      </c>
      <c r="X56" s="18" t="n">
        <v>74656.50999999999</v>
      </c>
      <c r="Y56" s="18" t="n">
        <v>76957.92999999999</v>
      </c>
      <c r="Z56" s="37" t="n">
        <v>302389.83</v>
      </c>
      <c r="AA56" s="18" t="n">
        <v>76336.3</v>
      </c>
      <c r="AB56" s="19" t="n">
        <v>88213.95</v>
      </c>
      <c r="AC56" s="10" t="n"/>
      <c r="AD56" s="10" t="n"/>
      <c r="AE56" s="11" t="n"/>
      <c r="AF56" s="10" t="n"/>
      <c r="AG56" s="10" t="n"/>
      <c r="AH56" s="10" t="n"/>
      <c r="AI56" s="10" t="n"/>
      <c r="AJ56" s="11" t="n"/>
      <c r="AK56" s="10" t="n"/>
      <c r="AL56" s="10" t="n"/>
      <c r="AM56" s="10" t="n"/>
      <c r="AN56" s="10" t="n"/>
      <c r="AO56" s="11" t="n"/>
    </row>
    <row r="57">
      <c r="A57" t="n">
        <v>1</v>
      </c>
      <c r="C57" t="inlineStr">
        <is>
          <t>매출원가</t>
        </is>
      </c>
      <c r="E57" s="18" t="n">
        <v>63963.59</v>
      </c>
      <c r="F57" s="9" t="n"/>
      <c r="G57" s="18" t="n">
        <v>71973.42999999999</v>
      </c>
      <c r="H57" s="18" t="n">
        <v>79968.98</v>
      </c>
      <c r="I57" s="18" t="n">
        <v>78994.57000000001</v>
      </c>
      <c r="J57" s="18" t="n">
        <v>73814.25</v>
      </c>
      <c r="K57" s="37" t="n">
        <v>304751.23</v>
      </c>
      <c r="L57" s="18" t="n">
        <v>59752.4</v>
      </c>
      <c r="M57" s="18" t="n">
        <v>66822.56</v>
      </c>
      <c r="N57" s="18" t="n">
        <v>59655.82</v>
      </c>
      <c r="O57" s="18" t="n">
        <v>56707.52</v>
      </c>
      <c r="P57" s="37" t="n">
        <v>242938.3</v>
      </c>
      <c r="Q57" s="18" t="n">
        <v>57885.15</v>
      </c>
      <c r="R57" s="18" t="n">
        <v>63680.81</v>
      </c>
      <c r="S57" s="18" t="n">
        <v>63524.67</v>
      </c>
      <c r="T57" s="18" t="n">
        <v>69986.67</v>
      </c>
      <c r="U57" s="37" t="n">
        <v>255077.3</v>
      </c>
      <c r="V57" s="18" t="n">
        <v>62570.18</v>
      </c>
      <c r="W57" s="18" t="n">
        <v>65781.28</v>
      </c>
      <c r="X57" s="18" t="n">
        <v>62695.69</v>
      </c>
      <c r="Y57" s="18" t="n">
        <v>64803.22</v>
      </c>
      <c r="Z57" s="37" t="n">
        <v>255850.37</v>
      </c>
      <c r="AA57" s="18" t="n">
        <v>63776.77</v>
      </c>
      <c r="AB57" s="19" t="n">
        <v>76465.48</v>
      </c>
      <c r="AC57" s="10" t="n"/>
      <c r="AD57" s="10" t="n"/>
      <c r="AE57" s="11" t="n"/>
      <c r="AF57" s="10" t="n"/>
      <c r="AG57" s="10" t="n"/>
      <c r="AH57" s="10" t="n"/>
      <c r="AI57" s="10" t="n"/>
      <c r="AJ57" s="11" t="n"/>
      <c r="AK57" s="10" t="n"/>
      <c r="AL57" s="10" t="n"/>
      <c r="AM57" s="10" t="n"/>
      <c r="AN57" s="10" t="n"/>
      <c r="AO57" s="11" t="n"/>
    </row>
    <row r="58">
      <c r="A58" t="n">
        <v>1</v>
      </c>
      <c r="C58" t="inlineStr">
        <is>
          <t>매출총이익</t>
        </is>
      </c>
      <c r="E58" s="18" t="n">
        <v>7794.78</v>
      </c>
      <c r="F58" s="9" t="n"/>
      <c r="G58" s="18" t="n">
        <v>15253.88</v>
      </c>
      <c r="H58" s="18" t="n">
        <v>14826.34</v>
      </c>
      <c r="I58" s="18" t="n">
        <v>18641.81</v>
      </c>
      <c r="J58" s="18" t="n">
        <v>13983.57</v>
      </c>
      <c r="K58" s="37" t="n">
        <v>62705.6</v>
      </c>
      <c r="L58" s="18" t="n">
        <v>11644.06</v>
      </c>
      <c r="M58" s="18" t="n">
        <v>12988.49</v>
      </c>
      <c r="N58" s="18" t="n">
        <v>11929.6</v>
      </c>
      <c r="O58" s="18" t="n">
        <v>11594.63</v>
      </c>
      <c r="P58" s="37" t="n">
        <v>48156.78</v>
      </c>
      <c r="Q58" s="18" t="n">
        <v>10238.41</v>
      </c>
      <c r="R58" s="18" t="n">
        <v>11770.5</v>
      </c>
      <c r="S58" s="18" t="n">
        <v>10654.37</v>
      </c>
      <c r="T58" s="18" t="n">
        <v>12068.55</v>
      </c>
      <c r="U58" s="37" t="n">
        <v>44731.83</v>
      </c>
      <c r="V58" s="18" t="n">
        <v>11514.62</v>
      </c>
      <c r="W58" s="18" t="n">
        <v>10909.31</v>
      </c>
      <c r="X58" s="18" t="n">
        <v>11960.83</v>
      </c>
      <c r="Y58" s="18" t="n">
        <v>12154.71</v>
      </c>
      <c r="Z58" s="37" t="n">
        <v>46539.47</v>
      </c>
      <c r="AA58" s="18" t="n">
        <v>12559.53</v>
      </c>
      <c r="AB58" s="19" t="n">
        <v>11748.47</v>
      </c>
      <c r="AC58" s="10" t="n"/>
      <c r="AD58" s="10" t="n"/>
      <c r="AE58" s="11" t="n"/>
      <c r="AF58" s="10" t="n"/>
      <c r="AG58" s="10" t="n"/>
      <c r="AH58" s="10" t="n"/>
      <c r="AI58" s="10" t="n"/>
      <c r="AJ58" s="11" t="n"/>
      <c r="AK58" s="10" t="n"/>
      <c r="AL58" s="10" t="n"/>
      <c r="AM58" s="10" t="n"/>
      <c r="AN58" s="10" t="n"/>
      <c r="AO58" s="11" t="n"/>
    </row>
    <row r="59">
      <c r="A59" t="n">
        <v>1</v>
      </c>
      <c r="C59" t="inlineStr">
        <is>
          <t>판관비</t>
        </is>
      </c>
      <c r="E59" s="18" t="n">
        <v>6682.63</v>
      </c>
      <c r="F59" s="9" t="n"/>
      <c r="G59" s="18" t="n">
        <v>5582.29</v>
      </c>
      <c r="H59" s="18" t="n">
        <v>7593.12</v>
      </c>
      <c r="I59" s="18" t="n">
        <v>5870.9</v>
      </c>
      <c r="J59" s="18" t="n">
        <v>7884.39</v>
      </c>
      <c r="K59" s="37" t="n">
        <v>26930.7</v>
      </c>
      <c r="L59" s="18" t="n">
        <v>5448.72</v>
      </c>
      <c r="M59" s="18" t="n">
        <v>6631.42</v>
      </c>
      <c r="N59" s="18" t="n">
        <v>5215.6</v>
      </c>
      <c r="O59" s="18" t="n">
        <v>6599.2</v>
      </c>
      <c r="P59" s="37" t="n">
        <v>23894.94</v>
      </c>
      <c r="Q59" s="18" t="n">
        <v>5121.17</v>
      </c>
      <c r="R59" s="18" t="n">
        <v>6628.32</v>
      </c>
      <c r="S59" s="18" t="n">
        <v>9064.82</v>
      </c>
      <c r="T59" s="18" t="n">
        <v>8577</v>
      </c>
      <c r="U59" s="37" t="n">
        <v>29391.31</v>
      </c>
      <c r="V59" s="18" t="n">
        <v>5786.61</v>
      </c>
      <c r="W59" s="18" t="n">
        <v>7958.67</v>
      </c>
      <c r="X59" s="18" t="n">
        <v>6466.92</v>
      </c>
      <c r="Y59" s="18" t="n">
        <v>7035.52</v>
      </c>
      <c r="Z59" s="37" t="n">
        <v>27247.72</v>
      </c>
      <c r="AA59" s="18" t="n">
        <v>5885.67</v>
      </c>
      <c r="AB59" s="19" t="n">
        <v>7673.56</v>
      </c>
      <c r="AC59" s="10" t="n"/>
      <c r="AD59" s="10" t="n"/>
      <c r="AE59" s="11" t="n"/>
      <c r="AF59" s="10" t="n"/>
      <c r="AG59" s="10" t="n"/>
      <c r="AH59" s="10" t="n"/>
      <c r="AI59" s="10" t="n"/>
      <c r="AJ59" s="11" t="n"/>
      <c r="AK59" s="10" t="n"/>
      <c r="AL59" s="10" t="n"/>
      <c r="AM59" s="10" t="n"/>
      <c r="AN59" s="10" t="n"/>
      <c r="AO59" s="11" t="n"/>
    </row>
    <row r="60">
      <c r="A60" t="n">
        <v>1</v>
      </c>
      <c r="C60" t="inlineStr">
        <is>
          <t>영업이익</t>
        </is>
      </c>
      <c r="E60" s="18" t="n">
        <v>1112.15</v>
      </c>
      <c r="F60" s="9" t="n"/>
      <c r="G60" s="18" t="n">
        <v>9671.59</v>
      </c>
      <c r="H60" s="18" t="n">
        <v>7233.21</v>
      </c>
      <c r="I60" s="18" t="n">
        <v>12770.91</v>
      </c>
      <c r="J60" s="18" t="n">
        <v>6099.18</v>
      </c>
      <c r="K60" s="37" t="n">
        <v>35774.89</v>
      </c>
      <c r="L60" s="18" t="n">
        <v>6195.34</v>
      </c>
      <c r="M60" s="18" t="n">
        <v>6357.08</v>
      </c>
      <c r="N60" s="18" t="n">
        <v>6714</v>
      </c>
      <c r="O60" s="18" t="n">
        <v>4995.43</v>
      </c>
      <c r="P60" s="37" t="n">
        <v>24261.85</v>
      </c>
      <c r="Q60" s="18" t="n">
        <v>5117.24</v>
      </c>
      <c r="R60" s="18" t="n">
        <v>5142.18</v>
      </c>
      <c r="S60" s="18" t="n">
        <v>1589.55</v>
      </c>
      <c r="T60" s="18" t="n">
        <v>3491.54</v>
      </c>
      <c r="U60" s="37" t="n">
        <v>15340.51</v>
      </c>
      <c r="V60" s="18" t="n">
        <v>5728.01</v>
      </c>
      <c r="W60" s="18" t="n">
        <v>2950.64</v>
      </c>
      <c r="X60" s="18" t="n">
        <v>5493.9</v>
      </c>
      <c r="Y60" s="18" t="n">
        <v>5119.2</v>
      </c>
      <c r="Z60" s="37" t="n">
        <v>19291.75</v>
      </c>
      <c r="AA60" s="18" t="n">
        <v>6673.85</v>
      </c>
      <c r="AB60" s="19" t="n">
        <v>4074.91</v>
      </c>
      <c r="AC60" s="10" t="n"/>
      <c r="AD60" s="10" t="n"/>
      <c r="AE60" s="11" t="n"/>
      <c r="AF60" s="10" t="n"/>
      <c r="AG60" s="10" t="n"/>
      <c r="AH60" s="10" t="n"/>
      <c r="AI60" s="10" t="n"/>
      <c r="AJ60" s="11" t="n"/>
      <c r="AK60" s="10" t="n"/>
      <c r="AL60" s="10" t="n"/>
      <c r="AM60" s="10" t="n"/>
      <c r="AN60" s="10" t="n"/>
      <c r="AO60" s="11" t="n"/>
    </row>
    <row r="61">
      <c r="A61" t="n">
        <v>1</v>
      </c>
      <c r="C61" t="inlineStr">
        <is>
          <t>기타영업외수익</t>
        </is>
      </c>
      <c r="E61" s="18" t="n">
        <v>103.84</v>
      </c>
      <c r="F61" s="9" t="n"/>
      <c r="G61" s="18" t="n">
        <v>992.79</v>
      </c>
      <c r="H61" s="18" t="n">
        <v>2148.48</v>
      </c>
      <c r="I61" s="18" t="n">
        <v>3198.08</v>
      </c>
      <c r="J61" s="18" t="n">
        <v>23.36</v>
      </c>
      <c r="K61" s="37" t="n">
        <v>6362.71</v>
      </c>
      <c r="L61" s="18" t="n">
        <v>1284.65</v>
      </c>
      <c r="M61" s="18" t="n">
        <v>1021.86</v>
      </c>
      <c r="N61" s="18" t="n">
        <v>966.5</v>
      </c>
      <c r="O61" s="18" t="n">
        <v>130.74</v>
      </c>
      <c r="P61" s="37" t="n">
        <v>3403.75</v>
      </c>
      <c r="Q61" s="18" t="n">
        <v>1378.58</v>
      </c>
      <c r="R61" s="18" t="n">
        <v>1334.51</v>
      </c>
      <c r="S61" s="18" t="n">
        <v>3212.7</v>
      </c>
      <c r="T61" s="18" t="n">
        <v>4212.29</v>
      </c>
      <c r="U61" s="37" t="n">
        <v>10138.08</v>
      </c>
      <c r="V61" s="18" t="n">
        <v>1019.95</v>
      </c>
      <c r="W61" s="18" t="n">
        <v>744</v>
      </c>
      <c r="X61" s="18" t="n">
        <v>710.1</v>
      </c>
      <c r="Y61" s="18" t="n">
        <v>878.26</v>
      </c>
      <c r="Z61" s="37" t="n">
        <v>3352.31</v>
      </c>
      <c r="AA61" s="18" t="n">
        <v>3968.49</v>
      </c>
      <c r="AB61" s="19" t="n">
        <v>2306.16</v>
      </c>
      <c r="AC61" s="10" t="n"/>
      <c r="AD61" s="10" t="n"/>
      <c r="AE61" s="11" t="n"/>
      <c r="AF61" s="10" t="n"/>
      <c r="AG61" s="10" t="n"/>
      <c r="AH61" s="10" t="n"/>
      <c r="AI61" s="10" t="n"/>
      <c r="AJ61" s="11" t="n"/>
      <c r="AK61" s="10" t="n"/>
      <c r="AL61" s="10" t="n"/>
      <c r="AM61" s="10" t="n"/>
      <c r="AN61" s="10" t="n"/>
      <c r="AO61" s="11" t="n"/>
    </row>
    <row r="62">
      <c r="A62" t="n">
        <v>1</v>
      </c>
      <c r="C62" t="inlineStr">
        <is>
          <t>기타영업외비용</t>
        </is>
      </c>
      <c r="E62" s="18" t="n">
        <v>-258.43</v>
      </c>
      <c r="F62" s="9" t="n"/>
      <c r="G62" s="18" t="n">
        <v>446.75</v>
      </c>
      <c r="H62" s="18" t="n">
        <v>670.35</v>
      </c>
      <c r="I62" s="18" t="n">
        <v>1193.88</v>
      </c>
      <c r="J62" s="18" t="n">
        <v>3041.1</v>
      </c>
      <c r="K62" s="37" t="n">
        <v>5352.08</v>
      </c>
      <c r="L62" s="18" t="n">
        <v>766.37</v>
      </c>
      <c r="M62" s="18" t="n">
        <v>507.7</v>
      </c>
      <c r="N62" s="18" t="n">
        <v>366.68</v>
      </c>
      <c r="O62" s="18" t="n">
        <v>2461.44</v>
      </c>
      <c r="P62" s="37" t="n">
        <v>4102.19</v>
      </c>
      <c r="Q62" s="18" t="n">
        <v>399.68</v>
      </c>
      <c r="R62" s="18" t="n">
        <v>1065.55</v>
      </c>
      <c r="S62" s="18" t="n">
        <v>886.84</v>
      </c>
      <c r="T62" s="18" t="n">
        <v>3063.51</v>
      </c>
      <c r="U62" s="37" t="n">
        <v>5415.58</v>
      </c>
      <c r="V62" s="18" t="n">
        <v>1340.01</v>
      </c>
      <c r="W62" s="18" t="n">
        <v>5222.82</v>
      </c>
      <c r="X62" s="18" t="n">
        <v>-1884.14</v>
      </c>
      <c r="Y62" s="18" t="n">
        <v>1357.69</v>
      </c>
      <c r="Z62" s="37" t="n">
        <v>6036.38</v>
      </c>
      <c r="AA62" s="18" t="n">
        <v>698.6799999999999</v>
      </c>
      <c r="AB62" s="19" t="n">
        <v>632.3099999999999</v>
      </c>
      <c r="AC62" s="10" t="n"/>
      <c r="AD62" s="10" t="n"/>
      <c r="AE62" s="11" t="n"/>
      <c r="AF62" s="10" t="n"/>
      <c r="AG62" s="10" t="n"/>
      <c r="AH62" s="10" t="n"/>
      <c r="AI62" s="10" t="n"/>
      <c r="AJ62" s="11" t="n"/>
      <c r="AK62" s="10" t="n"/>
      <c r="AL62" s="10" t="n"/>
      <c r="AM62" s="10" t="n"/>
      <c r="AN62" s="10" t="n"/>
      <c r="AO62" s="11" t="n"/>
    </row>
    <row r="63">
      <c r="A63" t="n">
        <v>1</v>
      </c>
      <c r="C63" t="inlineStr">
        <is>
          <t>금융수익</t>
        </is>
      </c>
      <c r="E63" s="18" t="n">
        <v>1268.44</v>
      </c>
      <c r="F63" s="9" t="n"/>
      <c r="G63" s="18" t="n">
        <v>1253.26</v>
      </c>
      <c r="H63" s="18" t="n">
        <v>2406.58</v>
      </c>
      <c r="I63" s="18" t="n">
        <v>2596.91</v>
      </c>
      <c r="J63" s="18" t="n">
        <v>3911.5</v>
      </c>
      <c r="K63" s="37" t="n">
        <v>10168.25</v>
      </c>
      <c r="L63" s="18" t="n">
        <v>4186.17</v>
      </c>
      <c r="M63" s="18" t="n">
        <v>2866.07</v>
      </c>
      <c r="N63" s="18" t="n">
        <v>1901.41</v>
      </c>
      <c r="O63" s="18" t="n">
        <v>4180.66</v>
      </c>
      <c r="P63" s="37" t="n">
        <v>13134.31</v>
      </c>
      <c r="Q63" s="18" t="n">
        <v>2978.11</v>
      </c>
      <c r="R63" s="18" t="n">
        <v>2662.45</v>
      </c>
      <c r="S63" s="18" t="n">
        <v>2693.03</v>
      </c>
      <c r="T63" s="18" t="n">
        <v>2099.09</v>
      </c>
      <c r="U63" s="37" t="n">
        <v>10432.68</v>
      </c>
      <c r="V63" s="18" t="n">
        <v>1794.05</v>
      </c>
      <c r="W63" s="18" t="n">
        <v>2971.98</v>
      </c>
      <c r="X63" s="18" t="n">
        <v>2111.45</v>
      </c>
      <c r="Y63" s="18" t="n">
        <v>2155.05</v>
      </c>
      <c r="Z63" s="37" t="n">
        <v>9032.530000000001</v>
      </c>
      <c r="AA63" s="18" t="n">
        <v>3907.26</v>
      </c>
      <c r="AB63" s="19" t="n">
        <v>9163.120000000001</v>
      </c>
      <c r="AC63" s="10" t="n"/>
      <c r="AD63" s="10" t="n"/>
      <c r="AE63" s="11" t="n"/>
      <c r="AF63" s="10" t="n"/>
      <c r="AG63" s="10" t="n"/>
      <c r="AH63" s="10" t="n"/>
      <c r="AI63" s="10" t="n"/>
      <c r="AJ63" s="11" t="n"/>
      <c r="AK63" s="10" t="n"/>
      <c r="AL63" s="10" t="n"/>
      <c r="AM63" s="10" t="n"/>
      <c r="AN63" s="10" t="n"/>
      <c r="AO63" s="11" t="n"/>
    </row>
    <row r="64">
      <c r="A64" t="n">
        <v>1</v>
      </c>
      <c r="C64" t="inlineStr">
        <is>
          <t>금융비용</t>
        </is>
      </c>
      <c r="E64" s="18" t="n">
        <v>1263.3</v>
      </c>
      <c r="F64" s="9" t="n"/>
      <c r="G64" s="18" t="n">
        <v>1423.08</v>
      </c>
      <c r="H64" s="18" t="n">
        <v>4486.69</v>
      </c>
      <c r="I64" s="18" t="n">
        <v>5055.62</v>
      </c>
      <c r="J64" s="18" t="n">
        <v>3659.43</v>
      </c>
      <c r="K64" s="37" t="n">
        <v>14624.82</v>
      </c>
      <c r="L64" s="18" t="n">
        <v>4551.15</v>
      </c>
      <c r="M64" s="18" t="n">
        <v>3717.47</v>
      </c>
      <c r="N64" s="18" t="n">
        <v>2851.49</v>
      </c>
      <c r="O64" s="18" t="n">
        <v>3222.95</v>
      </c>
      <c r="P64" s="37" t="n">
        <v>14343.06</v>
      </c>
      <c r="Q64" s="18" t="n">
        <v>3237.85</v>
      </c>
      <c r="R64" s="18" t="n">
        <v>2810.22</v>
      </c>
      <c r="S64" s="18" t="n">
        <v>2611.4</v>
      </c>
      <c r="T64" s="18" t="n">
        <v>2873.39</v>
      </c>
      <c r="U64" s="37" t="n">
        <v>11532.86</v>
      </c>
      <c r="V64" s="18" t="n">
        <v>2150.19</v>
      </c>
      <c r="W64" s="18" t="n">
        <v>2053.85</v>
      </c>
      <c r="X64" s="18" t="n">
        <v>1787.16</v>
      </c>
      <c r="Y64" s="18" t="n">
        <v>1730.13</v>
      </c>
      <c r="Z64" s="37" t="n">
        <v>7721.33</v>
      </c>
      <c r="AA64" s="18" t="n">
        <v>2028.97</v>
      </c>
      <c r="AB64" s="19" t="n">
        <v>1446.7</v>
      </c>
      <c r="AC64" s="10" t="n"/>
      <c r="AD64" s="10" t="n"/>
      <c r="AE64" s="11" t="n"/>
      <c r="AF64" s="10" t="n"/>
      <c r="AG64" s="10" t="n"/>
      <c r="AH64" s="10" t="n"/>
      <c r="AI64" s="10" t="n"/>
      <c r="AJ64" s="11" t="n"/>
      <c r="AK64" s="10" t="n"/>
      <c r="AL64" s="10" t="n"/>
      <c r="AM64" s="10" t="n"/>
      <c r="AN64" s="10" t="n"/>
      <c r="AO64" s="11" t="n"/>
    </row>
    <row r="65">
      <c r="A65" t="n">
        <v>1</v>
      </c>
      <c r="C65" t="inlineStr">
        <is>
          <t>법인세비용차감전계속사업이익</t>
        </is>
      </c>
      <c r="E65" s="18" t="n">
        <v>1479.57</v>
      </c>
      <c r="F65" s="9" t="n"/>
      <c r="G65" s="18" t="n">
        <v>10047.82</v>
      </c>
      <c r="H65" s="18" t="n">
        <v>6631.25</v>
      </c>
      <c r="I65" s="18" t="n">
        <v>12316.41</v>
      </c>
      <c r="J65" s="18" t="n">
        <v>3333.5</v>
      </c>
      <c r="K65" s="37" t="n">
        <v>32328.98</v>
      </c>
      <c r="L65" s="18" t="n">
        <v>6348.64</v>
      </c>
      <c r="M65" s="18" t="n">
        <v>6019.82</v>
      </c>
      <c r="N65" s="18" t="n">
        <v>6363.74</v>
      </c>
      <c r="O65" s="18" t="n">
        <v>3622.46</v>
      </c>
      <c r="P65" s="37" t="n">
        <v>22354.66</v>
      </c>
      <c r="Q65" s="18" t="n">
        <v>5836.39</v>
      </c>
      <c r="R65" s="18" t="n">
        <v>5263.37</v>
      </c>
      <c r="S65" s="18" t="n">
        <v>3997.04</v>
      </c>
      <c r="T65" s="18" t="n">
        <v>4168.8</v>
      </c>
      <c r="U65" s="37" t="n">
        <v>19265.6</v>
      </c>
      <c r="V65" s="18" t="n">
        <v>5303.35</v>
      </c>
      <c r="W65" s="18" t="n">
        <v>-119.63</v>
      </c>
      <c r="X65" s="18" t="n">
        <v>8789.52</v>
      </c>
      <c r="Y65" s="18" t="n">
        <v>5402.44</v>
      </c>
      <c r="Z65" s="37" t="n">
        <v>19375.68</v>
      </c>
      <c r="AA65" s="18" t="n">
        <v>12346.59</v>
      </c>
      <c r="AB65" s="19" t="n">
        <v>14200.79</v>
      </c>
      <c r="AC65" s="10" t="n"/>
      <c r="AD65" s="10" t="n"/>
      <c r="AE65" s="11" t="n"/>
      <c r="AF65" s="10" t="n"/>
      <c r="AG65" s="10" t="n"/>
      <c r="AH65" s="10" t="n"/>
      <c r="AI65" s="10" t="n"/>
      <c r="AJ65" s="11" t="n"/>
      <c r="AK65" s="10" t="n"/>
      <c r="AL65" s="10" t="n"/>
      <c r="AM65" s="10" t="n"/>
      <c r="AN65" s="10" t="n"/>
      <c r="AO65" s="11" t="n"/>
    </row>
    <row r="66">
      <c r="A66" t="n">
        <v>1</v>
      </c>
      <c r="C66" t="inlineStr">
        <is>
          <t>법인세비용</t>
        </is>
      </c>
      <c r="E66" s="18" t="n">
        <v>139.05</v>
      </c>
      <c r="F66" s="9" t="n"/>
      <c r="G66" s="18" t="n">
        <v>2361.32</v>
      </c>
      <c r="H66" s="18" t="n">
        <v>1166.53</v>
      </c>
      <c r="I66" s="18" t="n">
        <v>2518.1</v>
      </c>
      <c r="J66" s="18" t="n">
        <v>1735.25</v>
      </c>
      <c r="K66" s="37" t="n">
        <v>7781.2</v>
      </c>
      <c r="L66" s="18" t="n">
        <v>1759.03</v>
      </c>
      <c r="M66" s="18" t="n">
        <v>1204.87</v>
      </c>
      <c r="N66" s="18" t="n">
        <v>901.8099999999999</v>
      </c>
      <c r="O66" s="18" t="n">
        <v>938.99</v>
      </c>
      <c r="P66" s="37" t="n">
        <v>4804.7</v>
      </c>
      <c r="Q66" s="18" t="n">
        <v>1229.12</v>
      </c>
      <c r="R66" s="18" t="n">
        <v>588.26</v>
      </c>
      <c r="S66" s="18" t="n">
        <v>839.49</v>
      </c>
      <c r="T66" s="18" t="n">
        <v>2095.93</v>
      </c>
      <c r="U66" s="37" t="n">
        <v>4752.8</v>
      </c>
      <c r="V66" s="18" t="n">
        <v>1102.67</v>
      </c>
      <c r="W66" s="18" t="n">
        <v>3.72</v>
      </c>
      <c r="X66" s="18" t="n">
        <v>1501</v>
      </c>
      <c r="Y66" s="18" t="n">
        <v>1900.05</v>
      </c>
      <c r="Z66" s="37" t="n">
        <v>4507.44</v>
      </c>
      <c r="AA66" s="18" t="n">
        <v>2562.93</v>
      </c>
      <c r="AB66" s="19" t="n">
        <v>3166.62</v>
      </c>
      <c r="AC66" s="10" t="n"/>
      <c r="AD66" s="10" t="n"/>
      <c r="AE66" s="11" t="n"/>
      <c r="AF66" s="10" t="n"/>
      <c r="AG66" s="10" t="n"/>
      <c r="AH66" s="10" t="n"/>
      <c r="AI66" s="10" t="n"/>
      <c r="AJ66" s="11" t="n"/>
      <c r="AK66" s="10" t="n"/>
      <c r="AL66" s="10" t="n"/>
      <c r="AM66" s="10" t="n"/>
      <c r="AN66" s="10" t="n"/>
      <c r="AO66" s="11" t="n"/>
    </row>
    <row r="67">
      <c r="A67" t="n">
        <v>1</v>
      </c>
      <c r="C67" t="inlineStr">
        <is>
          <t>당기순이익</t>
        </is>
      </c>
      <c r="E67" s="18" t="n">
        <v>1340.51</v>
      </c>
      <c r="F67" s="9" t="n"/>
      <c r="G67" s="18" t="n">
        <v>7686.49</v>
      </c>
      <c r="H67" s="18" t="n">
        <v>5464.72</v>
      </c>
      <c r="I67" s="18" t="n">
        <v>9798.309999999999</v>
      </c>
      <c r="J67" s="18" t="n">
        <v>1598.26</v>
      </c>
      <c r="K67" s="37" t="n">
        <v>24547.78</v>
      </c>
      <c r="L67" s="18" t="n">
        <v>4589.61</v>
      </c>
      <c r="M67" s="18" t="n">
        <v>4814.95</v>
      </c>
      <c r="N67" s="18" t="n">
        <v>5461.93</v>
      </c>
      <c r="O67" s="18" t="n">
        <v>2683.47</v>
      </c>
      <c r="P67" s="37" t="n">
        <v>17549.96</v>
      </c>
      <c r="Q67" s="18" t="n">
        <v>4607.27</v>
      </c>
      <c r="R67" s="18" t="n">
        <v>4675.11</v>
      </c>
      <c r="S67" s="18" t="n">
        <v>3157.55</v>
      </c>
      <c r="T67" s="18" t="n">
        <v>2072.88</v>
      </c>
      <c r="U67" s="37" t="n">
        <v>14512.81</v>
      </c>
      <c r="V67" s="18" t="n">
        <v>4200.68</v>
      </c>
      <c r="W67" s="18" t="n">
        <v>-123.35</v>
      </c>
      <c r="X67" s="18" t="n">
        <v>7288.52</v>
      </c>
      <c r="Y67" s="18" t="n">
        <v>3502.39</v>
      </c>
      <c r="Z67" s="37" t="n">
        <v>14868.24</v>
      </c>
      <c r="AA67" s="18" t="n">
        <v>9783.66</v>
      </c>
      <c r="AB67" s="19" t="n">
        <v>11034.17</v>
      </c>
      <c r="AC67" s="10" t="n"/>
      <c r="AD67" s="10" t="n"/>
      <c r="AE67" s="11" t="n"/>
      <c r="AF67" s="10" t="n"/>
      <c r="AG67" s="10" t="n"/>
      <c r="AH67" s="10" t="n"/>
      <c r="AI67" s="10" t="n"/>
      <c r="AJ67" s="11" t="n"/>
      <c r="AK67" s="10" t="n"/>
      <c r="AL67" s="10" t="n"/>
      <c r="AM67" s="10" t="n"/>
      <c r="AN67" s="10" t="n"/>
      <c r="AO67" s="11" t="n"/>
    </row>
    <row r="68">
      <c r="A68" t="n">
        <v>1</v>
      </c>
      <c r="C68" t="inlineStr">
        <is>
          <t>(지배주주지분)당기순이익</t>
        </is>
      </c>
      <c r="E68" s="18" t="n">
        <v>1325</v>
      </c>
      <c r="F68" s="9" t="n"/>
      <c r="G68" s="18" t="n">
        <v>7625.69</v>
      </c>
      <c r="H68" s="18" t="n">
        <v>5202.98</v>
      </c>
      <c r="I68" s="18" t="n">
        <v>9590.5</v>
      </c>
      <c r="J68" s="18" t="n">
        <v>1606.37</v>
      </c>
      <c r="K68" s="37" t="n">
        <v>24025.54</v>
      </c>
      <c r="L68" s="18" t="n">
        <v>4704.32</v>
      </c>
      <c r="M68" s="18" t="n">
        <v>4680.82</v>
      </c>
      <c r="N68" s="18" t="n">
        <v>5369.28</v>
      </c>
      <c r="O68" s="18" t="n">
        <v>2731.26</v>
      </c>
      <c r="P68" s="37" t="n">
        <v>17485.68</v>
      </c>
      <c r="Q68" s="18" t="n">
        <v>4638.07</v>
      </c>
      <c r="R68" s="18" t="n">
        <v>4521.83</v>
      </c>
      <c r="S68" s="18" t="n">
        <v>3226.39</v>
      </c>
      <c r="T68" s="18" t="n">
        <v>2158.04</v>
      </c>
      <c r="U68" s="37" t="n">
        <v>14544.33</v>
      </c>
      <c r="V68" s="18" t="n">
        <v>4253.54</v>
      </c>
      <c r="W68" s="18" t="n">
        <v>-29.8</v>
      </c>
      <c r="X68" s="18" t="n">
        <v>7313.99</v>
      </c>
      <c r="Y68" s="18" t="n">
        <v>3423.71</v>
      </c>
      <c r="Z68" s="37" t="n">
        <v>14961.44</v>
      </c>
      <c r="AA68" s="18" t="n">
        <v>9788.51</v>
      </c>
      <c r="AB68" s="19" t="n">
        <v>11003.65</v>
      </c>
      <c r="AC68" s="10" t="n"/>
      <c r="AD68" s="10" t="n"/>
      <c r="AE68" s="11" t="n"/>
      <c r="AF68" s="10" t="n"/>
      <c r="AG68" s="10" t="n"/>
      <c r="AH68" s="10" t="n"/>
      <c r="AI68" s="10" t="n"/>
      <c r="AJ68" s="11" t="n"/>
      <c r="AK68" s="10" t="n"/>
      <c r="AL68" s="10" t="n"/>
      <c r="AM68" s="10" t="n"/>
      <c r="AN68" s="10" t="n"/>
      <c r="AO68" s="11" t="n"/>
    </row>
    <row r="69">
      <c r="A69" t="n">
        <v>1</v>
      </c>
      <c r="C69" t="inlineStr">
        <is>
          <t>(비지배주주지분)당기순이익</t>
        </is>
      </c>
      <c r="E69" s="18" t="n">
        <v>15.53</v>
      </c>
      <c r="F69" s="9" t="n"/>
      <c r="G69" s="18" t="n">
        <v>60.8</v>
      </c>
      <c r="H69" s="18" t="n">
        <v>261.74</v>
      </c>
      <c r="I69" s="18" t="n">
        <v>207.81</v>
      </c>
      <c r="J69" s="18" t="n">
        <v>-8.109999999999999</v>
      </c>
      <c r="K69" s="37" t="n">
        <v>522.24</v>
      </c>
      <c r="L69" s="18" t="n">
        <v>-114.71</v>
      </c>
      <c r="M69" s="18" t="n">
        <v>134.14</v>
      </c>
      <c r="N69" s="18" t="n">
        <v>92.65000000000001</v>
      </c>
      <c r="O69" s="18" t="n">
        <v>-47.79</v>
      </c>
      <c r="P69" s="37" t="n">
        <v>64.29000000000001</v>
      </c>
      <c r="Q69" s="18" t="n">
        <v>-30.8</v>
      </c>
      <c r="R69" s="18" t="n">
        <v>153.28</v>
      </c>
      <c r="S69" s="18" t="n">
        <v>-68.84999999999999</v>
      </c>
      <c r="T69" s="18" t="n">
        <v>-85.16</v>
      </c>
      <c r="U69" s="37" t="n">
        <v>-31.53</v>
      </c>
      <c r="V69" s="18" t="n">
        <v>-52.87</v>
      </c>
      <c r="W69" s="18" t="n">
        <v>-93.55</v>
      </c>
      <c r="X69" s="18" t="n">
        <v>-25.47</v>
      </c>
      <c r="Y69" s="18" t="n">
        <v>78.68000000000001</v>
      </c>
      <c r="Z69" s="37" t="n">
        <v>-93.20999999999999</v>
      </c>
      <c r="AA69" s="18" t="n">
        <v>-4.85</v>
      </c>
      <c r="AB69" s="19" t="n">
        <v>30.8</v>
      </c>
      <c r="AC69" s="10" t="n"/>
      <c r="AD69" s="10" t="n"/>
      <c r="AE69" s="11" t="n"/>
      <c r="AF69" s="10" t="n"/>
      <c r="AG69" s="10" t="n"/>
      <c r="AH69" s="10" t="n"/>
      <c r="AI69" s="10" t="n"/>
      <c r="AJ69" s="11" t="n"/>
      <c r="AK69" s="10" t="n"/>
      <c r="AL69" s="10" t="n"/>
      <c r="AM69" s="10" t="n"/>
      <c r="AN69" s="10" t="n"/>
      <c r="AO69" s="11" t="n"/>
    </row>
    <row r="70">
      <c r="A70" t="n">
        <v>1</v>
      </c>
      <c r="C70" t="inlineStr">
        <is>
          <t>금융손익</t>
        </is>
      </c>
      <c r="E70" s="18" t="n">
        <v>5.14</v>
      </c>
      <c r="F70" s="9" t="n"/>
      <c r="G70" s="18" t="n">
        <v>-169.82</v>
      </c>
      <c r="H70" s="18" t="n">
        <v>-2080.11</v>
      </c>
      <c r="I70" s="18" t="n">
        <v>-2458.71</v>
      </c>
      <c r="J70" s="18" t="n">
        <v>252.07</v>
      </c>
      <c r="K70" s="37" t="n">
        <v>-4456.57</v>
      </c>
      <c r="L70" s="18" t="n">
        <v>-364.98</v>
      </c>
      <c r="M70" s="18" t="n">
        <v>-851.4</v>
      </c>
      <c r="N70" s="18" t="n">
        <v>-950.08</v>
      </c>
      <c r="O70" s="18" t="n">
        <v>957.71</v>
      </c>
      <c r="P70" s="37" t="n">
        <v>-1208.75</v>
      </c>
      <c r="Q70" s="18" t="n">
        <v>-259.74</v>
      </c>
      <c r="R70" s="18" t="n">
        <v>-147.77</v>
      </c>
      <c r="S70" s="18" t="n">
        <v>81.63</v>
      </c>
      <c r="T70" s="18" t="n">
        <v>-774.3</v>
      </c>
      <c r="U70" s="37" t="n">
        <v>-1100.18</v>
      </c>
      <c r="V70" s="18" t="n">
        <v>-356.14</v>
      </c>
      <c r="W70" s="18" t="n">
        <v>918.13</v>
      </c>
      <c r="X70" s="18" t="n">
        <v>324.29</v>
      </c>
      <c r="Y70" s="18" t="n">
        <v>424.92</v>
      </c>
      <c r="Z70" s="37" t="n">
        <v>1311.2</v>
      </c>
      <c r="AA70" s="18" t="n">
        <v>1878.29</v>
      </c>
      <c r="AB70" s="19" t="n">
        <v>7716.42</v>
      </c>
      <c r="AC70" s="10" t="n"/>
      <c r="AD70" s="10" t="n"/>
      <c r="AE70" s="11" t="n"/>
      <c r="AF70" s="10" t="n"/>
      <c r="AG70" s="10" t="n"/>
      <c r="AH70" s="10" t="n"/>
      <c r="AI70" s="10" t="n"/>
      <c r="AJ70" s="11" t="n"/>
      <c r="AK70" s="10" t="n"/>
      <c r="AL70" s="10" t="n"/>
      <c r="AM70" s="10" t="n"/>
      <c r="AN70" s="10" t="n"/>
      <c r="AO70" s="11" t="n"/>
    </row>
    <row r="71">
      <c r="A71" t="n">
        <v>1</v>
      </c>
      <c r="C71" t="inlineStr">
        <is>
          <t>기타영업외손익</t>
        </is>
      </c>
      <c r="E71" s="18" t="n">
        <v>362.27</v>
      </c>
      <c r="F71" s="9" t="n"/>
      <c r="G71" s="18" t="n">
        <v>546.04</v>
      </c>
      <c r="H71" s="18" t="n">
        <v>1478.13</v>
      </c>
      <c r="I71" s="18" t="n">
        <v>2004.2</v>
      </c>
      <c r="J71" s="18" t="n">
        <v>-3017.74</v>
      </c>
      <c r="K71" s="37" t="n">
        <v>1010.63</v>
      </c>
      <c r="L71" s="18" t="n">
        <v>518.28</v>
      </c>
      <c r="M71" s="18" t="n">
        <v>514.16</v>
      </c>
      <c r="N71" s="18" t="n">
        <v>599.8200000000001</v>
      </c>
      <c r="O71" s="18" t="n">
        <v>-2330.7</v>
      </c>
      <c r="P71" s="37" t="n">
        <v>-698.4400000000001</v>
      </c>
      <c r="Q71" s="18" t="n">
        <v>978.9</v>
      </c>
      <c r="R71" s="18" t="n">
        <v>268.96</v>
      </c>
      <c r="S71" s="18" t="n">
        <v>2325.86</v>
      </c>
      <c r="T71" s="18" t="n">
        <v>1148.78</v>
      </c>
      <c r="U71" s="37" t="n">
        <v>4722.5</v>
      </c>
      <c r="V71" s="18" t="n">
        <v>-320.06</v>
      </c>
      <c r="W71" s="18" t="n">
        <v>-4478.82</v>
      </c>
      <c r="X71" s="18" t="n">
        <v>2594.24</v>
      </c>
      <c r="Y71" s="18" t="n">
        <v>-479.43</v>
      </c>
      <c r="Z71" s="37" t="n">
        <v>-2684.07</v>
      </c>
      <c r="AA71" s="18" t="n">
        <v>3269.81</v>
      </c>
      <c r="AB71" s="19" t="n">
        <v>1673.85</v>
      </c>
      <c r="AC71" s="10" t="n"/>
      <c r="AD71" s="10" t="n"/>
      <c r="AE71" s="11" t="n"/>
      <c r="AF71" s="10" t="n"/>
      <c r="AG71" s="10" t="n"/>
      <c r="AH71" s="10" t="n"/>
      <c r="AI71" s="10" t="n"/>
      <c r="AJ71" s="11" t="n"/>
      <c r="AK71" s="10" t="n"/>
      <c r="AL71" s="10" t="n"/>
      <c r="AM71" s="10" t="n"/>
      <c r="AN71" s="10" t="n"/>
      <c r="AO71" s="11" t="n"/>
    </row>
    <row r="72">
      <c r="A72" t="n">
        <v>1</v>
      </c>
      <c r="C72" t="inlineStr">
        <is>
          <t>계속사업이익</t>
        </is>
      </c>
      <c r="E72" s="18" t="n">
        <v>1340.51</v>
      </c>
      <c r="F72" s="9" t="n"/>
      <c r="G72" s="18" t="n">
        <v>7686.49</v>
      </c>
      <c r="H72" s="18" t="n">
        <v>5464.72</v>
      </c>
      <c r="I72" s="18" t="n">
        <v>9798.309999999999</v>
      </c>
      <c r="J72" s="18" t="n">
        <v>1598.26</v>
      </c>
      <c r="K72" s="37" t="n">
        <v>24547.78</v>
      </c>
      <c r="L72" s="18" t="n">
        <v>4589.61</v>
      </c>
      <c r="M72" s="18" t="n">
        <v>4814.95</v>
      </c>
      <c r="N72" s="18" t="n">
        <v>5461.93</v>
      </c>
      <c r="O72" s="18" t="n">
        <v>2683.47</v>
      </c>
      <c r="P72" s="37" t="n">
        <v>17549.96</v>
      </c>
      <c r="Q72" s="18" t="n">
        <v>4607.27</v>
      </c>
      <c r="R72" s="18" t="n">
        <v>4675.11</v>
      </c>
      <c r="S72" s="18" t="n">
        <v>3157.55</v>
      </c>
      <c r="T72" s="18" t="n">
        <v>2072.88</v>
      </c>
      <c r="U72" s="37" t="n">
        <v>14512.81</v>
      </c>
      <c r="V72" s="18" t="n">
        <v>4200.68</v>
      </c>
      <c r="W72" s="18" t="n">
        <v>-123.35</v>
      </c>
      <c r="X72" s="18" t="n">
        <v>7288.52</v>
      </c>
      <c r="Y72" s="18" t="n">
        <v>3502.39</v>
      </c>
      <c r="Z72" s="37" t="n">
        <v>14868.24</v>
      </c>
      <c r="AA72" s="18" t="n">
        <v>9783.66</v>
      </c>
      <c r="AB72" s="19" t="n">
        <v>11034.17</v>
      </c>
      <c r="AC72" s="10" t="n"/>
      <c r="AD72" s="10" t="n"/>
      <c r="AE72" s="11" t="n"/>
      <c r="AF72" s="10" t="n"/>
      <c r="AG72" s="10" t="n"/>
      <c r="AH72" s="10" t="n"/>
      <c r="AI72" s="10" t="n"/>
      <c r="AJ72" s="11" t="n"/>
      <c r="AK72" s="10" t="n"/>
      <c r="AL72" s="10" t="n"/>
      <c r="AM72" s="10" t="n"/>
      <c r="AN72" s="10" t="n"/>
      <c r="AO72" s="11" t="n"/>
    </row>
    <row r="73">
      <c r="A73" t="n">
        <v>1</v>
      </c>
      <c r="C73" t="inlineStr">
        <is>
          <t>총포괄손익</t>
        </is>
      </c>
      <c r="E73" s="18" t="n">
        <v>-128.36</v>
      </c>
      <c r="F73" s="9" t="n"/>
      <c r="G73" s="18" t="n">
        <v>8552.690000000001</v>
      </c>
      <c r="H73" s="18" t="n">
        <v>6111.97</v>
      </c>
      <c r="I73" s="18" t="n">
        <v>11384.91</v>
      </c>
      <c r="J73" s="18" t="n">
        <v>-942.25</v>
      </c>
      <c r="K73" s="37" t="n">
        <v>25107.32</v>
      </c>
      <c r="L73" s="18" t="n">
        <v>6210.68</v>
      </c>
      <c r="M73" s="18" t="n">
        <v>3655.21</v>
      </c>
      <c r="N73" s="18" t="n">
        <v>5370.37</v>
      </c>
      <c r="O73" s="18" t="n">
        <v>1599.38</v>
      </c>
      <c r="P73" s="37" t="n">
        <v>16835.64</v>
      </c>
      <c r="Q73" s="18" t="n">
        <v>5206.98</v>
      </c>
      <c r="R73" s="18" t="n">
        <v>5091.77</v>
      </c>
      <c r="S73" s="18" t="n">
        <v>2035.7</v>
      </c>
      <c r="T73" s="18" t="n">
        <v>4625.65</v>
      </c>
      <c r="U73" s="37" t="n">
        <v>16960.1</v>
      </c>
      <c r="V73" s="18" t="n">
        <v>4574.78</v>
      </c>
      <c r="W73" s="18" t="n">
        <v>-2679.17</v>
      </c>
      <c r="X73" s="18" t="n">
        <v>7405.05</v>
      </c>
      <c r="Y73" s="18" t="n">
        <v>4997.19</v>
      </c>
      <c r="Z73" s="37" t="n">
        <v>14297.85</v>
      </c>
      <c r="AA73" s="18" t="n">
        <v>11835.31</v>
      </c>
      <c r="AB73" s="19" t="n">
        <v>12414.52</v>
      </c>
      <c r="AC73" s="10" t="n"/>
      <c r="AD73" s="10" t="n"/>
      <c r="AE73" s="11" t="n"/>
      <c r="AF73" s="10" t="n"/>
      <c r="AG73" s="10" t="n"/>
      <c r="AH73" s="10" t="n"/>
      <c r="AI73" s="10" t="n"/>
      <c r="AJ73" s="11" t="n"/>
      <c r="AK73" s="10" t="n"/>
      <c r="AL73" s="10" t="n"/>
      <c r="AM73" s="10" t="n"/>
      <c r="AN73" s="10" t="n"/>
      <c r="AO73" s="11" t="n"/>
    </row>
    <row r="74">
      <c r="A74" t="n">
        <v>1</v>
      </c>
      <c r="C74" t="inlineStr">
        <is>
          <t>이자수익</t>
        </is>
      </c>
      <c r="F74" s="9" t="n"/>
      <c r="G74" s="18" t="n">
        <v>168.73</v>
      </c>
      <c r="H74" s="18" t="n">
        <v>163.28</v>
      </c>
      <c r="I74" s="18" t="n">
        <v>210.6</v>
      </c>
      <c r="J74" s="18" t="n">
        <v>296.75</v>
      </c>
      <c r="K74" s="37" t="n">
        <v>839.36</v>
      </c>
      <c r="L74" s="18" t="n">
        <v>407.38</v>
      </c>
      <c r="M74" s="18" t="n">
        <v>471.28</v>
      </c>
      <c r="N74" s="18" t="n">
        <v>519.12</v>
      </c>
      <c r="O74" s="18" t="n">
        <v>929.41</v>
      </c>
      <c r="P74" s="37" t="n">
        <v>2327.19</v>
      </c>
      <c r="Q74" s="18" t="n">
        <v>386.53</v>
      </c>
      <c r="R74" s="18" t="n">
        <v>501.24</v>
      </c>
      <c r="S74" s="18" t="n">
        <v>569.53</v>
      </c>
      <c r="T74" s="18" t="n">
        <v>391.49</v>
      </c>
      <c r="U74" s="37" t="n">
        <v>1848.79</v>
      </c>
      <c r="V74" s="18" t="n">
        <v>347.94</v>
      </c>
      <c r="W74" s="18" t="n">
        <v>313.02</v>
      </c>
      <c r="X74" s="18" t="n">
        <v>368.55</v>
      </c>
      <c r="Y74" s="18" t="n">
        <v>192.22</v>
      </c>
      <c r="Z74" s="37" t="n">
        <v>1221.73</v>
      </c>
      <c r="AB74" s="19" t="n">
        <v>325.57</v>
      </c>
      <c r="AC74" s="10" t="n"/>
      <c r="AD74" s="10" t="n"/>
      <c r="AE74" s="11" t="n"/>
      <c r="AF74" s="10" t="n"/>
      <c r="AG74" s="10" t="n"/>
      <c r="AH74" s="10" t="n"/>
      <c r="AI74" s="10" t="n"/>
      <c r="AJ74" s="11" t="n"/>
      <c r="AK74" s="10" t="n"/>
      <c r="AL74" s="10" t="n"/>
      <c r="AM74" s="10" t="n"/>
      <c r="AN74" s="10" t="n"/>
      <c r="AO74" s="11" t="n"/>
    </row>
    <row r="75">
      <c r="A75" t="n">
        <v>1</v>
      </c>
      <c r="C75" t="inlineStr">
        <is>
          <t>이자비용</t>
        </is>
      </c>
      <c r="F75" s="9" t="n"/>
      <c r="G75" s="18" t="n">
        <v>196.6</v>
      </c>
      <c r="H75" s="18" t="n">
        <v>466.19</v>
      </c>
      <c r="I75" s="18" t="n">
        <v>922.3</v>
      </c>
      <c r="J75" s="18" t="n">
        <v>1098.01</v>
      </c>
      <c r="K75" s="37" t="n">
        <v>2683.1</v>
      </c>
      <c r="L75" s="18" t="n">
        <v>1280.19</v>
      </c>
      <c r="M75" s="18" t="n">
        <v>1413.78</v>
      </c>
      <c r="N75" s="18" t="n">
        <v>1203.67</v>
      </c>
      <c r="O75" s="18" t="n">
        <v>1188.82</v>
      </c>
      <c r="P75" s="37" t="n">
        <v>5086.46</v>
      </c>
      <c r="Q75" s="18" t="n">
        <v>1161.97</v>
      </c>
      <c r="R75" s="18" t="n">
        <v>1078.8</v>
      </c>
      <c r="S75" s="18" t="n">
        <v>1065.72</v>
      </c>
      <c r="T75" s="18" t="n">
        <v>962.23</v>
      </c>
      <c r="U75" s="37" t="n">
        <v>4268.72</v>
      </c>
      <c r="V75" s="18" t="n">
        <v>825.51</v>
      </c>
      <c r="W75" s="18" t="n">
        <v>807.9</v>
      </c>
      <c r="X75" s="18" t="n">
        <v>769.54</v>
      </c>
      <c r="Y75" s="18" t="n">
        <v>876.65</v>
      </c>
      <c r="Z75" s="37" t="n">
        <v>3279.6</v>
      </c>
      <c r="AB75" s="19" t="n">
        <v>868.72</v>
      </c>
      <c r="AC75" s="10" t="n"/>
      <c r="AD75" s="10" t="n"/>
      <c r="AE75" s="11" t="n"/>
      <c r="AF75" s="10" t="n"/>
      <c r="AG75" s="10" t="n"/>
      <c r="AH75" s="10" t="n"/>
      <c r="AI75" s="10" t="n"/>
      <c r="AJ75" s="11" t="n"/>
      <c r="AK75" s="10" t="n"/>
      <c r="AL75" s="10" t="n"/>
      <c r="AM75" s="10" t="n"/>
      <c r="AN75" s="10" t="n"/>
      <c r="AO75" s="11" t="n"/>
    </row>
    <row r="76">
      <c r="A76" t="n">
        <v>1</v>
      </c>
      <c r="C76" t="inlineStr">
        <is>
          <t>외환차익</t>
        </is>
      </c>
      <c r="F76" s="9" t="n"/>
      <c r="G76" s="18" t="n">
        <v>102.01</v>
      </c>
      <c r="H76" s="18" t="n">
        <v>8.16</v>
      </c>
      <c r="I76" s="18" t="n">
        <v>180.16</v>
      </c>
      <c r="J76" s="18" t="n">
        <v>-138.03</v>
      </c>
      <c r="K76" s="37" t="n">
        <v>152.3</v>
      </c>
      <c r="L76" s="18" t="n">
        <v>39.09</v>
      </c>
      <c r="M76" s="18" t="n">
        <v>4.94</v>
      </c>
      <c r="N76" s="18" t="n">
        <v>14.12</v>
      </c>
      <c r="O76" s="18" t="n">
        <v>83.54000000000001</v>
      </c>
      <c r="P76" s="37" t="n">
        <v>141.69</v>
      </c>
      <c r="Q76" s="18" t="n">
        <v>37.43</v>
      </c>
      <c r="R76" s="18" t="n">
        <v>-0.58</v>
      </c>
      <c r="S76" s="18" t="n">
        <v>-5.49</v>
      </c>
      <c r="T76" s="18" t="n">
        <v>319.74</v>
      </c>
      <c r="U76" s="37" t="n">
        <v>351.1</v>
      </c>
      <c r="V76" s="18" t="n">
        <v>99.84999999999999</v>
      </c>
      <c r="W76" s="18" t="n">
        <v>-27.94</v>
      </c>
      <c r="X76" s="18" t="n">
        <v>97.92</v>
      </c>
      <c r="Y76" s="18" t="n">
        <v>112.31</v>
      </c>
      <c r="Z76" s="37" t="n">
        <v>282.14</v>
      </c>
      <c r="AB76" s="19" t="n">
        <v>65.11</v>
      </c>
      <c r="AC76" s="10" t="n"/>
      <c r="AD76" s="10" t="n"/>
      <c r="AE76" s="11" t="n"/>
      <c r="AF76" s="10" t="n"/>
      <c r="AG76" s="10" t="n"/>
      <c r="AH76" s="10" t="n"/>
      <c r="AI76" s="10" t="n"/>
      <c r="AJ76" s="11" t="n"/>
      <c r="AK76" s="10" t="n"/>
      <c r="AL76" s="10" t="n"/>
      <c r="AM76" s="10" t="n"/>
      <c r="AN76" s="10" t="n"/>
      <c r="AO76" s="11" t="n"/>
    </row>
    <row r="77">
      <c r="A77" t="n">
        <v>1</v>
      </c>
      <c r="C77" t="inlineStr">
        <is>
          <t>외환차손</t>
        </is>
      </c>
      <c r="F77" s="9" t="n"/>
      <c r="G77" s="18" t="n">
        <v>12.03</v>
      </c>
      <c r="H77" s="18" t="n">
        <v>13.44</v>
      </c>
      <c r="I77" s="18" t="n">
        <v>-5.89</v>
      </c>
      <c r="J77" s="18" t="n">
        <v>13.91</v>
      </c>
      <c r="K77" s="37" t="n">
        <v>33.49</v>
      </c>
      <c r="L77" s="18" t="n">
        <v>15.31</v>
      </c>
      <c r="M77" s="18" t="n">
        <v>19.88</v>
      </c>
      <c r="N77" s="18" t="n">
        <v>-26.85</v>
      </c>
      <c r="O77" s="18" t="n">
        <v>60.53</v>
      </c>
      <c r="P77" s="37" t="n">
        <v>68.87</v>
      </c>
      <c r="Q77" s="18" t="n">
        <v>2.44</v>
      </c>
      <c r="R77" s="18" t="n">
        <v>13.73</v>
      </c>
      <c r="S77" s="18" t="n">
        <v>-3.08</v>
      </c>
      <c r="U77" s="9" t="n"/>
      <c r="V77" s="18" t="n">
        <v>11.71</v>
      </c>
      <c r="W77" s="18" t="n">
        <v>271.34</v>
      </c>
      <c r="X77" s="18" t="n">
        <v>-55.62</v>
      </c>
      <c r="Y77" s="18" t="n">
        <v>-156.77</v>
      </c>
      <c r="Z77" s="37" t="n">
        <v>70.66</v>
      </c>
      <c r="AB77" s="19" t="n">
        <v>-1.66</v>
      </c>
      <c r="AC77" s="10" t="n"/>
      <c r="AD77" s="10" t="n"/>
      <c r="AE77" s="11" t="n"/>
      <c r="AF77" s="10" t="n"/>
      <c r="AG77" s="10" t="n"/>
      <c r="AH77" s="10" t="n"/>
      <c r="AI77" s="10" t="n"/>
      <c r="AJ77" s="11" t="n"/>
      <c r="AK77" s="10" t="n"/>
      <c r="AL77" s="10" t="n"/>
      <c r="AM77" s="10" t="n"/>
      <c r="AN77" s="10" t="n"/>
      <c r="AO77" s="11" t="n"/>
    </row>
    <row r="78">
      <c r="A78" t="n">
        <v>1</v>
      </c>
      <c r="C78" t="inlineStr">
        <is>
          <t>외화환산이익</t>
        </is>
      </c>
      <c r="F78" s="9" t="n"/>
      <c r="G78" s="18" t="n">
        <v>123.98</v>
      </c>
      <c r="H78" s="18" t="n">
        <v>479.78</v>
      </c>
      <c r="I78" s="18" t="n">
        <v>497.33</v>
      </c>
      <c r="J78" s="18" t="n">
        <v>-792.5599999999999</v>
      </c>
      <c r="K78" s="37" t="n">
        <v>308.53</v>
      </c>
      <c r="L78" s="18" t="n">
        <v>0.27</v>
      </c>
      <c r="M78" s="18" t="n">
        <v>15.75</v>
      </c>
      <c r="N78" s="18" t="n">
        <v>42.3</v>
      </c>
      <c r="O78" s="18" t="n">
        <v>1.79</v>
      </c>
      <c r="P78" s="37" t="n">
        <v>60.11</v>
      </c>
      <c r="Q78" s="18" t="n">
        <v>431.44</v>
      </c>
      <c r="R78" s="18" t="n">
        <v>27.85</v>
      </c>
      <c r="S78" s="18" t="n">
        <v>30.01</v>
      </c>
      <c r="T78" s="18" t="n">
        <v>222.05</v>
      </c>
      <c r="U78" s="37" t="n">
        <v>711.35</v>
      </c>
      <c r="V78" s="18" t="n">
        <v>17.53</v>
      </c>
      <c r="W78" s="18" t="n">
        <v>-6.38</v>
      </c>
      <c r="X78" s="18" t="n">
        <v>-4.81</v>
      </c>
      <c r="Y78" s="18" t="n">
        <v>256.86</v>
      </c>
      <c r="Z78" s="37" t="n">
        <v>263.2</v>
      </c>
      <c r="AB78" s="19" t="n">
        <v>132.54</v>
      </c>
      <c r="AC78" s="10" t="n"/>
      <c r="AD78" s="10" t="n"/>
      <c r="AE78" s="11" t="n"/>
      <c r="AF78" s="10" t="n"/>
      <c r="AG78" s="10" t="n"/>
      <c r="AH78" s="10" t="n"/>
      <c r="AI78" s="10" t="n"/>
      <c r="AJ78" s="11" t="n"/>
      <c r="AK78" s="10" t="n"/>
      <c r="AL78" s="10" t="n"/>
      <c r="AM78" s="10" t="n"/>
      <c r="AN78" s="10" t="n"/>
      <c r="AO78" s="11" t="n"/>
    </row>
    <row r="79">
      <c r="A79" t="n">
        <v>1</v>
      </c>
      <c r="C79" t="inlineStr">
        <is>
          <t>외화환산손실</t>
        </is>
      </c>
      <c r="F79" s="9" t="n"/>
      <c r="G79" s="18" t="n">
        <v>30.88</v>
      </c>
      <c r="H79" s="18" t="n">
        <v>-21.51</v>
      </c>
      <c r="I79" s="18" t="n">
        <v>-7.9</v>
      </c>
      <c r="J79" s="18" t="n">
        <v>18.83</v>
      </c>
      <c r="K79" s="37" t="n">
        <v>20.3</v>
      </c>
      <c r="L79" s="18" t="n">
        <v>294.81</v>
      </c>
      <c r="M79" s="18" t="n">
        <v>186.16</v>
      </c>
      <c r="N79" s="18" t="n">
        <v>-338.59</v>
      </c>
      <c r="O79" s="18" t="n">
        <v>237.37</v>
      </c>
      <c r="P79" s="37" t="n">
        <v>379.75</v>
      </c>
      <c r="Q79" s="18" t="n">
        <v>0.4</v>
      </c>
      <c r="R79" s="18" t="n">
        <v>2.54</v>
      </c>
      <c r="S79" s="18" t="n">
        <v>11.85</v>
      </c>
      <c r="U79" s="9" t="n"/>
      <c r="V79" s="18" t="n">
        <v>9.619999999999999</v>
      </c>
      <c r="W79" s="18" t="n">
        <v>273.08</v>
      </c>
      <c r="X79" s="18" t="n">
        <v>35.12</v>
      </c>
      <c r="Y79" s="18" t="n">
        <v>265.36</v>
      </c>
      <c r="Z79" s="37" t="n">
        <v>583.1799999999999</v>
      </c>
      <c r="AB79" s="19" t="n">
        <v>266.64</v>
      </c>
      <c r="AC79" s="10" t="n"/>
      <c r="AD79" s="10" t="n"/>
      <c r="AE79" s="11" t="n"/>
      <c r="AF79" s="10" t="n"/>
      <c r="AG79" s="10" t="n"/>
      <c r="AH79" s="10" t="n"/>
      <c r="AI79" s="10" t="n"/>
      <c r="AJ79" s="11" t="n"/>
      <c r="AK79" s="10" t="n"/>
      <c r="AL79" s="10" t="n"/>
      <c r="AM79" s="10" t="n"/>
      <c r="AN79" s="10" t="n"/>
      <c r="AO79" s="11" t="n"/>
    </row>
    <row r="80">
      <c r="A80" t="n">
        <v>1</v>
      </c>
      <c r="C80" t="inlineStr">
        <is>
          <t>파생상품이익</t>
        </is>
      </c>
      <c r="F80" s="9" t="n"/>
      <c r="G80" s="18" t="n">
        <v>656.13</v>
      </c>
      <c r="H80" s="18" t="n">
        <v>1668.76</v>
      </c>
      <c r="I80" s="18" t="n">
        <v>1769.98</v>
      </c>
      <c r="J80" s="18" t="n">
        <v>4415.13</v>
      </c>
      <c r="K80" s="37" t="n">
        <v>8510</v>
      </c>
      <c r="L80" s="18" t="n">
        <v>2464.61</v>
      </c>
      <c r="M80" s="18" t="n">
        <v>1808.91</v>
      </c>
      <c r="N80" s="18" t="n">
        <v>1446.27</v>
      </c>
      <c r="O80" s="18" t="n">
        <v>2533.88</v>
      </c>
      <c r="P80" s="37" t="n">
        <v>8253.67</v>
      </c>
      <c r="Q80" s="18" t="n">
        <v>1137.54</v>
      </c>
      <c r="R80" s="18" t="n">
        <v>1523.81</v>
      </c>
      <c r="S80" s="18" t="n">
        <v>1546.87</v>
      </c>
      <c r="T80" s="18" t="n">
        <v>810.89</v>
      </c>
      <c r="U80" s="37" t="n">
        <v>5019.11</v>
      </c>
      <c r="V80" s="18" t="n">
        <v>1083.36</v>
      </c>
      <c r="W80" s="18" t="n">
        <v>1701.19</v>
      </c>
      <c r="X80" s="18" t="n">
        <v>511.4</v>
      </c>
      <c r="Y80" s="18" t="n">
        <v>584.86</v>
      </c>
      <c r="Z80" s="37" t="n">
        <v>3880.81</v>
      </c>
      <c r="AB80" s="19" t="n">
        <v>-138.18</v>
      </c>
      <c r="AC80" s="10" t="n"/>
      <c r="AD80" s="10" t="n"/>
      <c r="AE80" s="11" t="n"/>
      <c r="AF80" s="10" t="n"/>
      <c r="AG80" s="10" t="n"/>
      <c r="AH80" s="10" t="n"/>
      <c r="AI80" s="10" t="n"/>
      <c r="AJ80" s="11" t="n"/>
      <c r="AK80" s="10" t="n"/>
      <c r="AL80" s="10" t="n"/>
      <c r="AM80" s="10" t="n"/>
      <c r="AN80" s="10" t="n"/>
      <c r="AO80" s="11" t="n"/>
    </row>
    <row r="81">
      <c r="A81" t="n">
        <v>1</v>
      </c>
      <c r="C81" t="inlineStr">
        <is>
          <t>파생상품손실</t>
        </is>
      </c>
      <c r="F81" s="9" t="n"/>
      <c r="G81" s="18" t="n">
        <v>553.5599999999999</v>
      </c>
      <c r="H81" s="18" t="n">
        <v>2935.09</v>
      </c>
      <c r="I81" s="18" t="n">
        <v>3133.51</v>
      </c>
      <c r="J81" s="18" t="n">
        <v>2537.43</v>
      </c>
      <c r="K81" s="37" t="n">
        <v>9159.59</v>
      </c>
      <c r="L81" s="18" t="n">
        <v>2813.4</v>
      </c>
      <c r="M81" s="18" t="n">
        <v>2089.83</v>
      </c>
      <c r="N81" s="18" t="n">
        <v>1862.34</v>
      </c>
      <c r="O81" s="18" t="n">
        <v>1956.33</v>
      </c>
      <c r="P81" s="37" t="n">
        <v>8721.9</v>
      </c>
      <c r="Q81" s="18" t="n">
        <v>1982.24</v>
      </c>
      <c r="R81" s="18" t="n">
        <v>1715.84</v>
      </c>
      <c r="S81" s="18" t="n">
        <v>979.7</v>
      </c>
      <c r="T81" s="18" t="n">
        <v>2165.16</v>
      </c>
      <c r="U81" s="37" t="n">
        <v>6842.94</v>
      </c>
      <c r="V81" s="18" t="n">
        <v>1048.21</v>
      </c>
      <c r="W81" s="18" t="n">
        <v>948.98</v>
      </c>
      <c r="X81" s="18" t="n">
        <v>870.04</v>
      </c>
      <c r="Y81" s="18" t="n">
        <v>440.98</v>
      </c>
      <c r="Z81" s="37" t="n">
        <v>3308.21</v>
      </c>
      <c r="AB81" s="19" t="n">
        <v>-69.20999999999999</v>
      </c>
      <c r="AC81" s="10" t="n"/>
      <c r="AD81" s="10" t="n"/>
      <c r="AE81" s="11" t="n"/>
      <c r="AF81" s="10" t="n"/>
      <c r="AG81" s="10" t="n"/>
      <c r="AH81" s="10" t="n"/>
      <c r="AI81" s="10" t="n"/>
      <c r="AJ81" s="11" t="n"/>
      <c r="AK81" s="10" t="n"/>
      <c r="AL81" s="10" t="n"/>
      <c r="AM81" s="10" t="n"/>
      <c r="AN81" s="10" t="n"/>
      <c r="AO81" s="11" t="n"/>
    </row>
    <row r="82">
      <c r="A82" t="n">
        <v>1</v>
      </c>
      <c r="C82" t="inlineStr">
        <is>
          <t>이자손익</t>
        </is>
      </c>
      <c r="F82" s="9" t="n"/>
      <c r="G82" s="18" t="n">
        <v>-27.87</v>
      </c>
      <c r="H82" s="18" t="n">
        <v>-302.91</v>
      </c>
      <c r="I82" s="18" t="n">
        <v>-711.7</v>
      </c>
      <c r="J82" s="18" t="n">
        <v>-801.26</v>
      </c>
      <c r="K82" s="37" t="n">
        <v>-1843.74</v>
      </c>
      <c r="L82" s="18" t="n">
        <v>-872.8099999999999</v>
      </c>
      <c r="M82" s="18" t="n">
        <v>-942.5</v>
      </c>
      <c r="N82" s="18" t="n">
        <v>-684.55</v>
      </c>
      <c r="O82" s="18" t="n">
        <v>-259.41</v>
      </c>
      <c r="P82" s="37" t="n">
        <v>-2759.27</v>
      </c>
      <c r="Q82" s="18" t="n">
        <v>-775.4400000000001</v>
      </c>
      <c r="R82" s="18" t="n">
        <v>-577.5599999999999</v>
      </c>
      <c r="S82" s="18" t="n">
        <v>-496.19</v>
      </c>
      <c r="T82" s="18" t="n">
        <v>-570.74</v>
      </c>
      <c r="U82" s="37" t="n">
        <v>-2419.93</v>
      </c>
      <c r="V82" s="18" t="n">
        <v>-477.57</v>
      </c>
      <c r="W82" s="18" t="n">
        <v>-494.88</v>
      </c>
      <c r="X82" s="18" t="n">
        <v>-400.99</v>
      </c>
      <c r="Y82" s="18" t="n">
        <v>-684.4299999999999</v>
      </c>
      <c r="Z82" s="37" t="n">
        <v>-2057.87</v>
      </c>
      <c r="AB82" s="19" t="n">
        <v>-543.15</v>
      </c>
      <c r="AC82" s="10" t="n"/>
      <c r="AD82" s="10" t="n"/>
      <c r="AE82" s="11" t="n"/>
      <c r="AF82" s="10" t="n"/>
      <c r="AG82" s="10" t="n"/>
      <c r="AH82" s="10" t="n"/>
      <c r="AI82" s="10" t="n"/>
      <c r="AJ82" s="11" t="n"/>
      <c r="AK82" s="10" t="n"/>
      <c r="AL82" s="10" t="n"/>
      <c r="AM82" s="10" t="n"/>
      <c r="AN82" s="10" t="n"/>
      <c r="AO82" s="11" t="n"/>
    </row>
    <row r="83">
      <c r="A83" t="n">
        <v>1</v>
      </c>
      <c r="C83" t="inlineStr">
        <is>
          <t>종속기업,공동지배기업및관계기업관련손익</t>
        </is>
      </c>
      <c r="F83" s="9" t="n"/>
      <c r="K83" s="9" t="n"/>
      <c r="P83" s="9" t="n"/>
      <c r="U83" s="9" t="n"/>
      <c r="V83" s="18" t="n">
        <v>251.55</v>
      </c>
      <c r="W83" s="18" t="n">
        <v>490.42</v>
      </c>
      <c r="X83" s="18" t="n">
        <v>377.09</v>
      </c>
      <c r="Y83" s="18" t="n">
        <v>337.77</v>
      </c>
      <c r="Z83" s="37" t="n">
        <v>1456.83</v>
      </c>
      <c r="AA83" s="18" t="n">
        <v>524.64</v>
      </c>
      <c r="AB83" s="19" t="n">
        <v>735.61</v>
      </c>
      <c r="AC83" s="10" t="n"/>
      <c r="AD83" s="10" t="n"/>
      <c r="AE83" s="11" t="n"/>
      <c r="AF83" s="10" t="n"/>
      <c r="AG83" s="10" t="n"/>
      <c r="AH83" s="10" t="n"/>
      <c r="AI83" s="10" t="n"/>
      <c r="AJ83" s="11" t="n"/>
      <c r="AK83" s="10" t="n"/>
      <c r="AL83" s="10" t="n"/>
      <c r="AM83" s="10" t="n"/>
      <c r="AN83" s="10" t="n"/>
      <c r="AO83" s="11" t="n"/>
    </row>
    <row r="84">
      <c r="A84" t="n">
        <v>1</v>
      </c>
      <c r="C84" t="inlineStr">
        <is>
          <t>지분법관련손익</t>
        </is>
      </c>
      <c r="F84" s="9" t="n"/>
      <c r="K84" s="9" t="n"/>
      <c r="P84" s="9" t="n"/>
      <c r="U84" s="9" t="n"/>
      <c r="V84" s="18" t="n">
        <v>251.55</v>
      </c>
      <c r="W84" s="18" t="n">
        <v>490.42</v>
      </c>
      <c r="X84" s="18" t="n">
        <v>377.09</v>
      </c>
      <c r="Y84" s="18" t="n">
        <v>337.77</v>
      </c>
      <c r="Z84" s="37" t="n">
        <v>1456.83</v>
      </c>
      <c r="AA84" s="18" t="n">
        <v>524.64</v>
      </c>
      <c r="AB84" s="19" t="n">
        <v>735.61</v>
      </c>
      <c r="AC84" s="10" t="n"/>
      <c r="AD84" s="10" t="n"/>
      <c r="AE84" s="11" t="n"/>
      <c r="AF84" s="10" t="n"/>
      <c r="AG84" s="10" t="n"/>
      <c r="AH84" s="10" t="n"/>
      <c r="AI84" s="10" t="n"/>
      <c r="AJ84" s="11" t="n"/>
      <c r="AK84" s="10" t="n"/>
      <c r="AL84" s="10" t="n"/>
      <c r="AM84" s="10" t="n"/>
      <c r="AN84" s="10" t="n"/>
      <c r="AO84" s="11" t="n"/>
    </row>
    <row r="85">
      <c r="A85" t="n">
        <v>1</v>
      </c>
      <c r="C85" t="inlineStr">
        <is>
          <t>영업활동으로인한현금흐름</t>
        </is>
      </c>
      <c r="E85" s="18" t="n">
        <v>2644.37</v>
      </c>
      <c r="F85" s="9" t="n"/>
      <c r="G85" s="18" t="n">
        <v>4538.24</v>
      </c>
      <c r="H85" s="18" t="n">
        <v>7960.46</v>
      </c>
      <c r="I85" s="18" t="n">
        <v>21479.7</v>
      </c>
      <c r="J85" s="18" t="n">
        <v>18130.93</v>
      </c>
      <c r="K85" s="37" t="n">
        <v>52109.33</v>
      </c>
      <c r="L85" s="18" t="n">
        <v>-4473.94</v>
      </c>
      <c r="M85" s="18" t="n">
        <v>7289.36</v>
      </c>
      <c r="N85" s="18" t="n">
        <v>16438.06</v>
      </c>
      <c r="O85" s="18" t="n">
        <v>3265.98</v>
      </c>
      <c r="P85" s="37" t="n">
        <v>22519.46</v>
      </c>
      <c r="Q85" s="18" t="n">
        <v>4567.02</v>
      </c>
      <c r="R85" s="18" t="n">
        <v>6895.99</v>
      </c>
      <c r="S85" s="18" t="n">
        <v>2015.44</v>
      </c>
      <c r="T85" s="18" t="n">
        <v>3363.79</v>
      </c>
      <c r="U85" s="37" t="n">
        <v>16842.24</v>
      </c>
      <c r="V85" s="18" t="n">
        <v>507.98</v>
      </c>
      <c r="W85" s="18" t="n">
        <v>3777.18</v>
      </c>
      <c r="X85" s="18" t="n">
        <v>5300.07</v>
      </c>
      <c r="Y85" s="18" t="n">
        <v>10178.26</v>
      </c>
      <c r="Z85" s="37" t="n">
        <v>19763.49</v>
      </c>
      <c r="AA85" s="18" t="n">
        <v>9677.52</v>
      </c>
      <c r="AB85" s="19" t="n">
        <v>-2742.16</v>
      </c>
      <c r="AC85" s="10" t="n"/>
      <c r="AD85" s="10" t="n"/>
      <c r="AE85" s="11" t="n"/>
      <c r="AF85" s="10" t="n"/>
      <c r="AG85" s="10" t="n"/>
      <c r="AH85" s="10" t="n"/>
      <c r="AI85" s="10" t="n"/>
      <c r="AJ85" s="11" t="n"/>
      <c r="AK85" s="10" t="n"/>
      <c r="AL85" s="10" t="n"/>
      <c r="AM85" s="10" t="n"/>
      <c r="AN85" s="10" t="n"/>
      <c r="AO85" s="11" t="n"/>
    </row>
    <row r="86">
      <c r="A86" t="n">
        <v>1</v>
      </c>
      <c r="C86" t="inlineStr">
        <is>
          <t>배당금수취(CF)</t>
        </is>
      </c>
      <c r="E86" s="18" t="n">
        <v>8.210000000000001</v>
      </c>
      <c r="F86" s="9" t="n"/>
      <c r="G86" s="18" t="n">
        <v>0.75</v>
      </c>
      <c r="H86" s="18" t="n">
        <v>48.58</v>
      </c>
      <c r="I86" s="18" t="n">
        <v>13.43</v>
      </c>
      <c r="J86" s="18" t="n">
        <v>12.69</v>
      </c>
      <c r="K86" s="37" t="n">
        <v>75.45</v>
      </c>
      <c r="L86" s="18" t="n">
        <v>1.02</v>
      </c>
      <c r="M86" s="18" t="n">
        <v>79.45</v>
      </c>
      <c r="N86" s="18" t="n">
        <v>12.51</v>
      </c>
      <c r="O86" s="18" t="n">
        <v>13.53</v>
      </c>
      <c r="P86" s="37" t="n">
        <v>106.51</v>
      </c>
      <c r="Q86" s="18" t="n">
        <v>0.08</v>
      </c>
      <c r="R86" s="18" t="n">
        <v>73.37</v>
      </c>
      <c r="S86" s="18" t="n">
        <v>9.67</v>
      </c>
      <c r="T86" s="18" t="n">
        <v>2.27</v>
      </c>
      <c r="U86" s="37" t="n">
        <v>85.39</v>
      </c>
      <c r="V86" s="18" t="n">
        <v>46.1</v>
      </c>
      <c r="W86" s="18" t="n">
        <v>562.63</v>
      </c>
      <c r="X86" s="18" t="n">
        <v>31.27</v>
      </c>
      <c r="Y86" s="18" t="n">
        <v>-96.61</v>
      </c>
      <c r="Z86" s="37" t="n">
        <v>543.39</v>
      </c>
      <c r="AA86" s="18" t="n">
        <v>22.39</v>
      </c>
      <c r="AB86" s="19" t="n">
        <v>411.32</v>
      </c>
      <c r="AC86" s="10" t="n"/>
      <c r="AD86" s="10" t="n"/>
      <c r="AE86" s="11" t="n"/>
      <c r="AF86" s="10" t="n"/>
      <c r="AG86" s="10" t="n"/>
      <c r="AH86" s="10" t="n"/>
      <c r="AI86" s="10" t="n"/>
      <c r="AJ86" s="11" t="n"/>
      <c r="AK86" s="10" t="n"/>
      <c r="AL86" s="10" t="n"/>
      <c r="AM86" s="10" t="n"/>
      <c r="AN86" s="10" t="n"/>
      <c r="AO86" s="11" t="n"/>
    </row>
    <row r="87">
      <c r="A87" t="n">
        <v>1</v>
      </c>
      <c r="C87" t="inlineStr">
        <is>
          <t>법인세납부(CF)</t>
        </is>
      </c>
      <c r="E87" s="18" t="n">
        <v>-25.23</v>
      </c>
      <c r="F87" s="9" t="n"/>
      <c r="G87" s="18" t="n">
        <v>-984.76</v>
      </c>
      <c r="H87" s="18" t="n">
        <v>-1261.15</v>
      </c>
      <c r="I87" s="18" t="n">
        <v>-1257.41</v>
      </c>
      <c r="J87" s="18" t="n">
        <v>-151.67</v>
      </c>
      <c r="K87" s="37" t="n">
        <v>-3654.99</v>
      </c>
      <c r="L87" s="18" t="n">
        <v>-3149.54</v>
      </c>
      <c r="M87" s="18" t="n">
        <v>-3593.43</v>
      </c>
      <c r="N87" s="18" t="n">
        <v>-1018.04</v>
      </c>
      <c r="O87" s="18" t="n">
        <v>-1025.45</v>
      </c>
      <c r="P87" s="37" t="n">
        <v>-8786.459999999999</v>
      </c>
      <c r="Q87" s="18" t="n">
        <v>-49.46</v>
      </c>
      <c r="R87" s="18" t="n">
        <v>-2149.89</v>
      </c>
      <c r="S87" s="18" t="n">
        <v>-1580.68</v>
      </c>
      <c r="T87" s="18" t="n">
        <v>-381.16</v>
      </c>
      <c r="U87" s="37" t="n">
        <v>-4161.19</v>
      </c>
      <c r="V87" s="18" t="n">
        <v>-1082.69</v>
      </c>
      <c r="W87" s="18" t="n">
        <v>-1488.07</v>
      </c>
      <c r="X87" s="18" t="n">
        <v>-1059.84</v>
      </c>
      <c r="Y87" s="18" t="n">
        <v>2001.58</v>
      </c>
      <c r="Z87" s="37" t="n">
        <v>-1629.02</v>
      </c>
      <c r="AA87" s="18" t="n">
        <v>-180.09</v>
      </c>
      <c r="AB87" s="19" t="n">
        <v>-2630.5</v>
      </c>
      <c r="AC87" s="10" t="n"/>
      <c r="AD87" s="10" t="n"/>
      <c r="AE87" s="11" t="n"/>
      <c r="AF87" s="10" t="n"/>
      <c r="AG87" s="10" t="n"/>
      <c r="AH87" s="10" t="n"/>
      <c r="AI87" s="10" t="n"/>
      <c r="AJ87" s="11" t="n"/>
      <c r="AK87" s="10" t="n"/>
      <c r="AL87" s="10" t="n"/>
      <c r="AM87" s="10" t="n"/>
      <c r="AN87" s="10" t="n"/>
      <c r="AO87" s="11" t="n"/>
    </row>
    <row r="88">
      <c r="A88" t="n">
        <v>1</v>
      </c>
      <c r="C88" t="inlineStr">
        <is>
          <t>투자활동으로인한현금흐름</t>
        </is>
      </c>
      <c r="E88" s="18" t="n">
        <v>2862.34</v>
      </c>
      <c r="F88" s="9" t="n"/>
      <c r="G88" s="18" t="n">
        <v>-10262.52</v>
      </c>
      <c r="H88" s="18" t="n">
        <v>-47078.11</v>
      </c>
      <c r="I88" s="18" t="n">
        <v>-5779.32</v>
      </c>
      <c r="J88" s="18" t="n">
        <v>-21067.03</v>
      </c>
      <c r="K88" s="37" t="n">
        <v>-84186.98</v>
      </c>
      <c r="L88" s="18" t="n">
        <v>-2463.25</v>
      </c>
      <c r="M88" s="18" t="n">
        <v>-1650.02</v>
      </c>
      <c r="N88" s="18" t="n">
        <v>-4698.3</v>
      </c>
      <c r="O88" s="18" t="n">
        <v>-4813.79</v>
      </c>
      <c r="P88" s="37" t="n">
        <v>-13625.36</v>
      </c>
      <c r="Q88" s="18" t="n">
        <v>-2559.25</v>
      </c>
      <c r="R88" s="18" t="n">
        <v>-207.44</v>
      </c>
      <c r="S88" s="18" t="n">
        <v>3075.97</v>
      </c>
      <c r="T88" s="18" t="n">
        <v>-993.64</v>
      </c>
      <c r="U88" s="37" t="n">
        <v>-684.36</v>
      </c>
      <c r="V88" s="18" t="n">
        <v>-548.88</v>
      </c>
      <c r="W88" s="18" t="n">
        <v>-622.13</v>
      </c>
      <c r="X88" s="18" t="n">
        <v>-7884.88</v>
      </c>
      <c r="Y88" s="18" t="n">
        <v>-14863.33</v>
      </c>
      <c r="Z88" s="37" t="n">
        <v>-23919.22</v>
      </c>
      <c r="AA88" s="18" t="n">
        <v>-5548.54</v>
      </c>
      <c r="AB88" s="19" t="n">
        <v>-3764.48</v>
      </c>
      <c r="AC88" s="10" t="n"/>
      <c r="AD88" s="10" t="n"/>
      <c r="AE88" s="11" t="n"/>
      <c r="AF88" s="10" t="n"/>
      <c r="AG88" s="10" t="n"/>
      <c r="AH88" s="10" t="n"/>
      <c r="AI88" s="10" t="n"/>
      <c r="AJ88" s="11" t="n"/>
      <c r="AK88" s="10" t="n"/>
      <c r="AL88" s="10" t="n"/>
      <c r="AM88" s="10" t="n"/>
      <c r="AN88" s="10" t="n"/>
      <c r="AO88" s="11" t="n"/>
    </row>
    <row r="89">
      <c r="A89" t="n">
        <v>1</v>
      </c>
      <c r="C89" t="inlineStr">
        <is>
          <t>유형자산의감소</t>
        </is>
      </c>
      <c r="E89" s="18" t="n">
        <v>7.39</v>
      </c>
      <c r="F89" s="9" t="n"/>
      <c r="G89" s="18" t="n">
        <v>2.79</v>
      </c>
      <c r="H89" s="18" t="n">
        <v>7.02</v>
      </c>
      <c r="I89" s="18" t="n">
        <v>73.40000000000001</v>
      </c>
      <c r="J89" s="18" t="n">
        <v>1.6</v>
      </c>
      <c r="K89" s="37" t="n">
        <v>84.81</v>
      </c>
      <c r="L89" s="18" t="n">
        <v>0.6</v>
      </c>
      <c r="M89" s="18" t="n">
        <v>16.62</v>
      </c>
      <c r="N89" s="18" t="n">
        <v>94.73</v>
      </c>
      <c r="O89" s="18" t="n">
        <v>9.74</v>
      </c>
      <c r="P89" s="37" t="n">
        <v>121.69</v>
      </c>
      <c r="Q89" s="18" t="n">
        <v>0</v>
      </c>
      <c r="R89" s="18" t="n">
        <v>6.53</v>
      </c>
      <c r="S89" s="18" t="n">
        <v>5456.02</v>
      </c>
      <c r="T89" s="18" t="n">
        <v>1393.13</v>
      </c>
      <c r="U89" s="37" t="n">
        <v>6855.68</v>
      </c>
      <c r="V89" s="18" t="n">
        <v>22.78</v>
      </c>
      <c r="W89" s="18" t="n">
        <v>115.71</v>
      </c>
      <c r="X89" s="18" t="n">
        <v>15.51</v>
      </c>
      <c r="Y89" s="18" t="n">
        <v>1773.34</v>
      </c>
      <c r="Z89" s="37" t="n">
        <v>1927.34</v>
      </c>
      <c r="AA89" s="18" t="n">
        <v>49.85</v>
      </c>
      <c r="AB89" s="19" t="n">
        <v>32.25</v>
      </c>
      <c r="AC89" s="10" t="n"/>
      <c r="AD89" s="10" t="n"/>
      <c r="AE89" s="11" t="n"/>
      <c r="AF89" s="10" t="n"/>
      <c r="AG89" s="10" t="n"/>
      <c r="AH89" s="10" t="n"/>
      <c r="AI89" s="10" t="n"/>
      <c r="AJ89" s="11" t="n"/>
      <c r="AK89" s="10" t="n"/>
      <c r="AL89" s="10" t="n"/>
      <c r="AM89" s="10" t="n"/>
      <c r="AN89" s="10" t="n"/>
      <c r="AO89" s="11" t="n"/>
    </row>
    <row r="90">
      <c r="A90" t="n">
        <v>1</v>
      </c>
      <c r="C90" t="inlineStr">
        <is>
          <t>유형자산의증가</t>
        </is>
      </c>
      <c r="E90" s="18" t="n">
        <v>4205.25</v>
      </c>
      <c r="F90" s="9" t="n"/>
      <c r="G90" s="18" t="n">
        <v>8568.43</v>
      </c>
      <c r="H90" s="18" t="n">
        <v>53721.53</v>
      </c>
      <c r="I90" s="18" t="n">
        <v>7598.12</v>
      </c>
      <c r="J90" s="18" t="n">
        <v>6242.36</v>
      </c>
      <c r="K90" s="37" t="n">
        <v>76130.44</v>
      </c>
      <c r="L90" s="18" t="n">
        <v>711.3099999999999</v>
      </c>
      <c r="M90" s="18" t="n">
        <v>808.77</v>
      </c>
      <c r="N90" s="18" t="n">
        <v>1221.29</v>
      </c>
      <c r="O90" s="18" t="n">
        <v>1965.37</v>
      </c>
      <c r="P90" s="37" t="n">
        <v>4706.74</v>
      </c>
      <c r="Q90" s="18" t="n">
        <v>4714.46</v>
      </c>
      <c r="R90" s="18" t="n">
        <v>7896.3</v>
      </c>
      <c r="S90" s="18" t="n">
        <v>4827.93</v>
      </c>
      <c r="T90" s="18" t="n">
        <v>5193.73</v>
      </c>
      <c r="U90" s="37" t="n">
        <v>22632.42</v>
      </c>
      <c r="V90" s="18" t="n">
        <v>3275.96</v>
      </c>
      <c r="W90" s="18" t="n">
        <v>2041.84</v>
      </c>
      <c r="X90" s="18" t="n">
        <v>4746.57</v>
      </c>
      <c r="Y90" s="18" t="n">
        <v>7560.8</v>
      </c>
      <c r="Z90" s="37" t="n">
        <v>17625.17</v>
      </c>
      <c r="AA90" s="18" t="n">
        <v>4006.33</v>
      </c>
      <c r="AB90" s="19" t="n">
        <v>1655.08</v>
      </c>
      <c r="AC90" s="10" t="n"/>
      <c r="AD90" s="10" t="n"/>
      <c r="AE90" s="11" t="n"/>
      <c r="AF90" s="10" t="n"/>
      <c r="AG90" s="10" t="n"/>
      <c r="AH90" s="10" t="n"/>
      <c r="AI90" s="10" t="n"/>
      <c r="AJ90" s="11" t="n"/>
      <c r="AK90" s="10" t="n"/>
      <c r="AL90" s="10" t="n"/>
      <c r="AM90" s="10" t="n"/>
      <c r="AN90" s="10" t="n"/>
      <c r="AO90" s="11" t="n"/>
    </row>
    <row r="91">
      <c r="A91" t="n">
        <v>1</v>
      </c>
      <c r="C91" t="inlineStr">
        <is>
          <t>CAPEX</t>
        </is>
      </c>
      <c r="E91" s="18" t="n">
        <v>4205.25</v>
      </c>
      <c r="F91" s="9" t="n"/>
      <c r="G91" s="18" t="n">
        <v>8568.43</v>
      </c>
      <c r="H91" s="18" t="n">
        <v>53721.53</v>
      </c>
      <c r="I91" s="18" t="n">
        <v>7598.12</v>
      </c>
      <c r="J91" s="18" t="n">
        <v>6242.36</v>
      </c>
      <c r="K91" s="37" t="n">
        <v>76130.44</v>
      </c>
      <c r="L91" s="18" t="n">
        <v>711.3099999999999</v>
      </c>
      <c r="M91" s="18" t="n">
        <v>808.77</v>
      </c>
      <c r="N91" s="18" t="n">
        <v>1221.29</v>
      </c>
      <c r="O91" s="18" t="n">
        <v>1965.37</v>
      </c>
      <c r="P91" s="37" t="n">
        <v>4706.74</v>
      </c>
      <c r="Q91" s="18" t="n">
        <v>4714.46</v>
      </c>
      <c r="R91" s="18" t="n">
        <v>7896.3</v>
      </c>
      <c r="S91" s="18" t="n">
        <v>4827.93</v>
      </c>
      <c r="T91" s="18" t="n">
        <v>5193.73</v>
      </c>
      <c r="U91" s="37" t="n">
        <v>22632.42</v>
      </c>
      <c r="V91" s="18" t="n">
        <v>3275.96</v>
      </c>
      <c r="W91" s="18" t="n">
        <v>2041.84</v>
      </c>
      <c r="X91" s="18" t="n">
        <v>4746.57</v>
      </c>
      <c r="Y91" s="18" t="n">
        <v>7560.8</v>
      </c>
      <c r="Z91" s="37" t="n">
        <v>17625.17</v>
      </c>
      <c r="AA91" s="18" t="n">
        <v>4006.33</v>
      </c>
      <c r="AB91" s="19" t="n">
        <v>1655.08</v>
      </c>
      <c r="AC91" s="10" t="n"/>
      <c r="AD91" s="10" t="n"/>
      <c r="AE91" s="11" t="n"/>
      <c r="AF91" s="10" t="n"/>
      <c r="AG91" s="10" t="n"/>
      <c r="AH91" s="10" t="n"/>
      <c r="AI91" s="10" t="n"/>
      <c r="AJ91" s="11" t="n"/>
      <c r="AK91" s="10" t="n"/>
      <c r="AL91" s="10" t="n"/>
      <c r="AM91" s="10" t="n"/>
      <c r="AN91" s="10" t="n"/>
      <c r="AO91" s="11" t="n"/>
    </row>
    <row r="92">
      <c r="A92" t="n">
        <v>1</v>
      </c>
      <c r="C92" t="inlineStr">
        <is>
          <t>재무활동으로인한현금흐름</t>
        </is>
      </c>
      <c r="E92" s="18" t="n">
        <v>4716.35</v>
      </c>
      <c r="F92" s="9" t="n"/>
      <c r="G92" s="18" t="n">
        <v>-1670.86</v>
      </c>
      <c r="H92" s="18" t="n">
        <v>39160.88</v>
      </c>
      <c r="I92" s="18" t="n">
        <v>-12326.39</v>
      </c>
      <c r="J92" s="18" t="n">
        <v>-258.81</v>
      </c>
      <c r="K92" s="37" t="n">
        <v>24904.82</v>
      </c>
      <c r="L92" s="18" t="n">
        <v>-142.45</v>
      </c>
      <c r="M92" s="18" t="n">
        <v>-3448.12</v>
      </c>
      <c r="N92" s="18" t="n">
        <v>-5898.52</v>
      </c>
      <c r="O92" s="18" t="n">
        <v>-1932.02</v>
      </c>
      <c r="P92" s="37" t="n">
        <v>-11421.11</v>
      </c>
      <c r="Q92" s="18" t="n">
        <v>-4312.73</v>
      </c>
      <c r="R92" s="18" t="n">
        <v>-2369.46</v>
      </c>
      <c r="S92" s="18" t="n">
        <v>-3383.22</v>
      </c>
      <c r="T92" s="18" t="n">
        <v>-5490.61</v>
      </c>
      <c r="U92" s="37" t="n">
        <v>-15556.02</v>
      </c>
      <c r="V92" s="18" t="n">
        <v>822.4400000000001</v>
      </c>
      <c r="W92" s="18" t="n">
        <v>4814.61</v>
      </c>
      <c r="X92" s="18" t="n">
        <v>-3208.1</v>
      </c>
      <c r="Y92" s="18" t="n">
        <v>10600.17</v>
      </c>
      <c r="Z92" s="37" t="n">
        <v>13029.12</v>
      </c>
      <c r="AA92" s="18" t="n">
        <v>-3668.49</v>
      </c>
      <c r="AB92" s="19" t="n">
        <v>1956</v>
      </c>
      <c r="AC92" s="10" t="n"/>
      <c r="AD92" s="10" t="n"/>
      <c r="AE92" s="11" t="n"/>
      <c r="AF92" s="10" t="n"/>
      <c r="AG92" s="10" t="n"/>
      <c r="AH92" s="10" t="n"/>
      <c r="AI92" s="10" t="n"/>
      <c r="AJ92" s="11" t="n"/>
      <c r="AK92" s="10" t="n"/>
      <c r="AL92" s="10" t="n"/>
      <c r="AM92" s="10" t="n"/>
      <c r="AN92" s="10" t="n"/>
      <c r="AO92" s="11" t="n"/>
    </row>
    <row r="93">
      <c r="A93" t="n">
        <v>1</v>
      </c>
      <c r="C93" t="inlineStr">
        <is>
          <t>단기차입금의증가</t>
        </is>
      </c>
      <c r="E93" s="18" t="n">
        <v>35903.31</v>
      </c>
      <c r="F93" s="9" t="n"/>
      <c r="G93" s="18" t="n">
        <v>25080.7</v>
      </c>
      <c r="H93" s="18" t="n">
        <v>49587.95</v>
      </c>
      <c r="I93" s="18" t="n">
        <v>24313.12</v>
      </c>
      <c r="J93" s="18" t="n">
        <v>16811.79</v>
      </c>
      <c r="K93" s="37" t="n">
        <v>115793.56</v>
      </c>
      <c r="L93" s="18" t="n">
        <v>38170.09</v>
      </c>
      <c r="M93" s="18" t="n">
        <v>45012.32</v>
      </c>
      <c r="N93" s="18" t="n">
        <v>13885.79</v>
      </c>
      <c r="O93" s="18" t="n">
        <v>28973.09</v>
      </c>
      <c r="P93" s="37" t="n">
        <v>126041.29</v>
      </c>
      <c r="Q93" s="18" t="n">
        <v>33877.28</v>
      </c>
      <c r="R93" s="18" t="n">
        <v>44549.41</v>
      </c>
      <c r="S93" s="18" t="n">
        <v>39577.06</v>
      </c>
      <c r="T93" s="18" t="n">
        <v>41758.95</v>
      </c>
      <c r="U93" s="37" t="n">
        <v>159762.7</v>
      </c>
      <c r="V93" s="18" t="n">
        <v>43254.36</v>
      </c>
      <c r="W93" s="18" t="n">
        <v>62537.5</v>
      </c>
      <c r="X93" s="18" t="n">
        <v>38286.3</v>
      </c>
      <c r="Y93" s="18" t="n">
        <v>41720.63</v>
      </c>
      <c r="Z93" s="37" t="n">
        <v>185798.79</v>
      </c>
      <c r="AA93" s="18" t="n">
        <v>12615.31</v>
      </c>
      <c r="AB93" s="19" t="n">
        <v>58442.97</v>
      </c>
      <c r="AC93" s="10" t="n"/>
      <c r="AD93" s="10" t="n"/>
      <c r="AE93" s="11" t="n"/>
      <c r="AF93" s="10" t="n"/>
      <c r="AG93" s="10" t="n"/>
      <c r="AH93" s="10" t="n"/>
      <c r="AI93" s="10" t="n"/>
      <c r="AJ93" s="11" t="n"/>
      <c r="AK93" s="10" t="n"/>
      <c r="AL93" s="10" t="n"/>
      <c r="AM93" s="10" t="n"/>
      <c r="AN93" s="10" t="n"/>
      <c r="AO93" s="11" t="n"/>
    </row>
    <row r="94">
      <c r="A94" t="n">
        <v>1</v>
      </c>
      <c r="C94" t="inlineStr">
        <is>
          <t>장기차입금의증가</t>
        </is>
      </c>
      <c r="E94" s="18" t="n">
        <v>1009.17</v>
      </c>
      <c r="F94" s="9" t="n"/>
      <c r="G94" s="18" t="n">
        <v>0</v>
      </c>
      <c r="H94" s="18" t="n">
        <v>37980</v>
      </c>
      <c r="I94" s="18" t="n">
        <v>0</v>
      </c>
      <c r="J94" s="18" t="n">
        <v>425.39</v>
      </c>
      <c r="K94" s="37" t="n">
        <v>38405.39</v>
      </c>
      <c r="L94" s="18" t="n">
        <v>26.4</v>
      </c>
      <c r="M94" s="18" t="n">
        <v>92.59999999999999</v>
      </c>
      <c r="O94" s="18" t="n">
        <v>850.95</v>
      </c>
      <c r="P94" s="9" t="n"/>
      <c r="Q94" s="18" t="n">
        <v>7868.45</v>
      </c>
      <c r="T94" s="18" t="n">
        <v>1390.5</v>
      </c>
      <c r="U94" s="9" t="n"/>
      <c r="V94" s="18" t="n">
        <v>448.12</v>
      </c>
      <c r="W94" s="18" t="n">
        <v>1049.57</v>
      </c>
      <c r="Y94" s="18" t="n">
        <v>2855.68</v>
      </c>
      <c r="Z94" s="9" t="n"/>
      <c r="AA94" s="18" t="n">
        <v>10424.53</v>
      </c>
      <c r="AB94" s="19" t="n">
        <v>264.77</v>
      </c>
      <c r="AC94" s="10" t="n"/>
      <c r="AD94" s="10" t="n"/>
      <c r="AE94" s="11" t="n"/>
      <c r="AF94" s="10" t="n"/>
      <c r="AG94" s="10" t="n"/>
      <c r="AH94" s="10" t="n"/>
      <c r="AI94" s="10" t="n"/>
      <c r="AJ94" s="11" t="n"/>
      <c r="AK94" s="10" t="n"/>
      <c r="AL94" s="10" t="n"/>
      <c r="AM94" s="10" t="n"/>
      <c r="AN94" s="10" t="n"/>
      <c r="AO94" s="11" t="n"/>
    </row>
    <row r="95">
      <c r="A95" t="n">
        <v>1</v>
      </c>
      <c r="C95" t="inlineStr">
        <is>
          <t>단기차입금의감소</t>
        </is>
      </c>
      <c r="E95" s="18" t="n">
        <v>29610.48</v>
      </c>
      <c r="F95" s="9" t="n"/>
      <c r="G95" s="18" t="n">
        <v>22198.03</v>
      </c>
      <c r="H95" s="18" t="n">
        <v>45469.65</v>
      </c>
      <c r="I95" s="18" t="n">
        <v>33308.31</v>
      </c>
      <c r="J95" s="18" t="n">
        <v>13492.38</v>
      </c>
      <c r="K95" s="37" t="n">
        <v>114468.37</v>
      </c>
      <c r="L95" s="18" t="n">
        <v>34146.04</v>
      </c>
      <c r="M95" s="18" t="n">
        <v>46627.27</v>
      </c>
      <c r="N95" s="18" t="n">
        <v>15474.67</v>
      </c>
      <c r="O95" s="18" t="n">
        <v>28606.31</v>
      </c>
      <c r="P95" s="37" t="n">
        <v>124854.29</v>
      </c>
      <c r="Q95" s="18" t="n">
        <v>40605.81</v>
      </c>
      <c r="R95" s="18" t="n">
        <v>42783.88</v>
      </c>
      <c r="S95" s="18" t="n">
        <v>40724.04</v>
      </c>
      <c r="T95" s="18" t="n">
        <v>45413.19</v>
      </c>
      <c r="U95" s="37" t="n">
        <v>169526.92</v>
      </c>
      <c r="V95" s="18" t="n">
        <v>37121.93</v>
      </c>
      <c r="W95" s="18" t="n">
        <v>56112.25</v>
      </c>
      <c r="X95" s="18" t="n">
        <v>39784.46</v>
      </c>
      <c r="Y95" s="18" t="n">
        <v>33840.8</v>
      </c>
      <c r="Z95" s="37" t="n">
        <v>166859.44</v>
      </c>
      <c r="AA95" s="18" t="n">
        <v>22701.02</v>
      </c>
      <c r="AB95" s="19" t="n">
        <v>56719.77</v>
      </c>
      <c r="AC95" s="10" t="n"/>
      <c r="AD95" s="10" t="n"/>
      <c r="AE95" s="11" t="n"/>
      <c r="AF95" s="10" t="n"/>
      <c r="AG95" s="10" t="n"/>
      <c r="AH95" s="10" t="n"/>
      <c r="AI95" s="10" t="n"/>
      <c r="AJ95" s="11" t="n"/>
      <c r="AK95" s="10" t="n"/>
      <c r="AL95" s="10" t="n"/>
      <c r="AM95" s="10" t="n"/>
      <c r="AN95" s="10" t="n"/>
      <c r="AO95" s="11" t="n"/>
    </row>
    <row r="96">
      <c r="A96" t="n">
        <v>1</v>
      </c>
      <c r="C96" t="inlineStr">
        <is>
          <t>배당금지급</t>
        </is>
      </c>
      <c r="E96" s="18" t="n">
        <v>0</v>
      </c>
      <c r="F96" s="9" t="n"/>
      <c r="G96" s="18" t="n">
        <v>800</v>
      </c>
      <c r="H96" s="18" t="n">
        <v>0</v>
      </c>
      <c r="I96" s="18" t="n">
        <v>0</v>
      </c>
      <c r="J96" s="18" t="n">
        <v>0</v>
      </c>
      <c r="K96" s="37" t="n">
        <v>800</v>
      </c>
      <c r="L96" s="18" t="n">
        <v>960</v>
      </c>
      <c r="M96" s="18" t="n">
        <v>0</v>
      </c>
      <c r="N96" s="18" t="n">
        <v>0</v>
      </c>
      <c r="O96" s="18" t="n">
        <v>0</v>
      </c>
      <c r="P96" s="37" t="n">
        <v>960</v>
      </c>
      <c r="Q96" s="18" t="n">
        <v>960</v>
      </c>
      <c r="R96" s="18" t="n">
        <v>0</v>
      </c>
      <c r="S96" s="18" t="n">
        <v>0</v>
      </c>
      <c r="T96" s="18" t="n">
        <v>0</v>
      </c>
      <c r="U96" s="37" t="n">
        <v>960</v>
      </c>
      <c r="V96" s="18" t="n">
        <v>1120</v>
      </c>
      <c r="W96" s="18" t="n">
        <v>482.82</v>
      </c>
      <c r="X96" s="18" t="n">
        <v>0</v>
      </c>
      <c r="Y96" s="18" t="n">
        <v>0</v>
      </c>
      <c r="Z96" s="37" t="n">
        <v>1602.82</v>
      </c>
      <c r="AA96" s="18" t="n">
        <v>4000</v>
      </c>
      <c r="AB96" s="19" t="n">
        <v>0</v>
      </c>
      <c r="AC96" s="10" t="n"/>
      <c r="AD96" s="10" t="n"/>
      <c r="AE96" s="11" t="n"/>
      <c r="AF96" s="10" t="n"/>
      <c r="AG96" s="10" t="n"/>
      <c r="AH96" s="10" t="n"/>
      <c r="AI96" s="10" t="n"/>
      <c r="AJ96" s="11" t="n"/>
      <c r="AK96" s="10" t="n"/>
      <c r="AL96" s="10" t="n"/>
      <c r="AM96" s="10" t="n"/>
      <c r="AN96" s="10" t="n"/>
      <c r="AO96" s="11" t="n"/>
    </row>
    <row r="97">
      <c r="A97" t="n">
        <v>1</v>
      </c>
      <c r="C97" t="inlineStr">
        <is>
          <t>리스부채의상환</t>
        </is>
      </c>
      <c r="E97" s="18" t="n">
        <v>50.29</v>
      </c>
      <c r="F97" s="9" t="n"/>
      <c r="G97" s="18" t="n">
        <v>75.59999999999999</v>
      </c>
      <c r="H97" s="18" t="n">
        <v>62.67</v>
      </c>
      <c r="I97" s="18" t="n">
        <v>52.1</v>
      </c>
      <c r="J97" s="18" t="n">
        <v>27.59</v>
      </c>
      <c r="K97" s="37" t="n">
        <v>217.96</v>
      </c>
      <c r="L97" s="18" t="n">
        <v>26.18</v>
      </c>
      <c r="M97" s="18" t="n">
        <v>27.45</v>
      </c>
      <c r="P97" s="9" t="n"/>
      <c r="Q97" s="18" t="n">
        <v>27.69</v>
      </c>
      <c r="R97" s="18" t="n">
        <v>29.08</v>
      </c>
      <c r="U97" s="9" t="n"/>
      <c r="V97" s="18" t="n">
        <v>30.53</v>
      </c>
      <c r="W97" s="18" t="n">
        <v>30.41</v>
      </c>
      <c r="Z97" s="9" t="n"/>
      <c r="AA97" s="18" t="n">
        <v>30.5</v>
      </c>
      <c r="AB97" s="19" t="n">
        <v>31.97</v>
      </c>
      <c r="AC97" s="10" t="n"/>
      <c r="AD97" s="10" t="n"/>
      <c r="AE97" s="11" t="n"/>
      <c r="AF97" s="10" t="n"/>
      <c r="AG97" s="10" t="n"/>
      <c r="AH97" s="10" t="n"/>
      <c r="AI97" s="10" t="n"/>
      <c r="AJ97" s="11" t="n"/>
      <c r="AK97" s="10" t="n"/>
      <c r="AL97" s="10" t="n"/>
      <c r="AM97" s="10" t="n"/>
      <c r="AN97" s="10" t="n"/>
      <c r="AO97" s="11" t="n"/>
    </row>
    <row r="98">
      <c r="A98" t="n">
        <v>1</v>
      </c>
      <c r="C98" t="inlineStr">
        <is>
          <t>현금및현금성자산의증감</t>
        </is>
      </c>
      <c r="E98" s="18" t="n">
        <v>10652.53</v>
      </c>
      <c r="F98" s="9" t="n"/>
      <c r="G98" s="18" t="n">
        <v>-7395.14</v>
      </c>
      <c r="H98" s="18" t="n">
        <v>43.23</v>
      </c>
      <c r="I98" s="18" t="n">
        <v>3373.99</v>
      </c>
      <c r="J98" s="18" t="n">
        <v>-3221.34</v>
      </c>
      <c r="K98" s="37" t="n">
        <v>-7199.26</v>
      </c>
      <c r="L98" s="18" t="n">
        <v>-7079.64</v>
      </c>
      <c r="M98" s="18" t="n">
        <v>2191.22</v>
      </c>
      <c r="N98" s="18" t="n">
        <v>5841.24</v>
      </c>
      <c r="O98" s="18" t="n">
        <v>-3482.45</v>
      </c>
      <c r="P98" s="37" t="n">
        <v>-2529.63</v>
      </c>
      <c r="Q98" s="18" t="n">
        <v>-2304.96</v>
      </c>
      <c r="R98" s="18" t="n">
        <v>4319.09</v>
      </c>
      <c r="S98" s="18" t="n">
        <v>1708.19</v>
      </c>
      <c r="T98" s="18" t="n">
        <v>-2864.64</v>
      </c>
      <c r="U98" s="37" t="n">
        <v>857.6799999999999</v>
      </c>
      <c r="V98" s="18" t="n">
        <v>781.54</v>
      </c>
      <c r="W98" s="18" t="n">
        <v>7969.66</v>
      </c>
      <c r="X98" s="18" t="n">
        <v>-5792.91</v>
      </c>
      <c r="Y98" s="18" t="n">
        <v>5761.56</v>
      </c>
      <c r="Z98" s="37" t="n">
        <v>8719.85</v>
      </c>
      <c r="AA98" s="18" t="n">
        <v>737.0700000000001</v>
      </c>
      <c r="AB98" s="19" t="n">
        <v>-4827.22</v>
      </c>
      <c r="AC98" s="10" t="n"/>
      <c r="AD98" s="10" t="n"/>
      <c r="AE98" s="11" t="n"/>
      <c r="AF98" s="10" t="n"/>
      <c r="AG98" s="10" t="n"/>
      <c r="AH98" s="10" t="n"/>
      <c r="AI98" s="10" t="n"/>
      <c r="AJ98" s="11" t="n"/>
      <c r="AK98" s="10" t="n"/>
      <c r="AL98" s="10" t="n"/>
      <c r="AM98" s="10" t="n"/>
      <c r="AN98" s="10" t="n"/>
      <c r="AO98" s="11" t="n"/>
    </row>
    <row r="99">
      <c r="A99" t="n">
        <v>1</v>
      </c>
      <c r="C99" t="inlineStr">
        <is>
          <t>기말현금및현금성자산</t>
        </is>
      </c>
      <c r="E99" s="18" t="n">
        <v>10336.21</v>
      </c>
      <c r="F99" s="9" t="n"/>
      <c r="G99" s="18" t="n">
        <v>8499.120000000001</v>
      </c>
      <c r="H99" s="18" t="n">
        <v>278.77</v>
      </c>
      <c r="I99" s="18" t="n">
        <v>3674.61</v>
      </c>
      <c r="J99" s="18" t="n">
        <v>-3796.73</v>
      </c>
      <c r="K99" s="37" t="n">
        <v>8655.77</v>
      </c>
      <c r="L99" s="18" t="n">
        <v>1695.22</v>
      </c>
      <c r="M99" s="18" t="n">
        <v>2166.35</v>
      </c>
      <c r="N99" s="18" t="n">
        <v>5846.85</v>
      </c>
      <c r="O99" s="18" t="n">
        <v>-3582.29</v>
      </c>
      <c r="P99" s="37" t="n">
        <v>6126.13</v>
      </c>
      <c r="Q99" s="18" t="n">
        <v>3892.15</v>
      </c>
      <c r="R99" s="18" t="n">
        <v>4301.16</v>
      </c>
      <c r="S99" s="18" t="n">
        <v>1681.46</v>
      </c>
      <c r="T99" s="18" t="n">
        <v>-2890.96</v>
      </c>
      <c r="U99" s="37" t="n">
        <v>6983.81</v>
      </c>
      <c r="V99" s="18" t="n">
        <v>7769.05</v>
      </c>
      <c r="W99" s="18" t="n">
        <v>7670.13</v>
      </c>
      <c r="X99" s="18" t="n">
        <v>-5652.81</v>
      </c>
      <c r="Y99" s="18" t="n">
        <v>5917.29</v>
      </c>
      <c r="Z99" s="37" t="n">
        <v>15703.66</v>
      </c>
      <c r="AA99" s="18" t="n">
        <v>16440.73</v>
      </c>
      <c r="AB99" s="19" t="n">
        <v>-4591.33</v>
      </c>
      <c r="AC99" s="10" t="n"/>
      <c r="AD99" s="10" t="n"/>
      <c r="AE99" s="11" t="n"/>
      <c r="AF99" s="10" t="n"/>
      <c r="AG99" s="10" t="n"/>
      <c r="AH99" s="10" t="n"/>
      <c r="AI99" s="10" t="n"/>
      <c r="AJ99" s="11" t="n"/>
      <c r="AK99" s="10" t="n"/>
      <c r="AL99" s="10" t="n"/>
      <c r="AM99" s="10" t="n"/>
      <c r="AN99" s="10" t="n"/>
      <c r="AO99" s="11" t="n"/>
    </row>
    <row r="100">
      <c r="A100" t="n">
        <v>1</v>
      </c>
      <c r="C100" t="inlineStr">
        <is>
          <t>장기차입금의감소</t>
        </is>
      </c>
      <c r="F100" s="9" t="n"/>
      <c r="G100" s="18" t="n">
        <v>3677.92</v>
      </c>
      <c r="H100" s="18" t="n">
        <v>1819.2</v>
      </c>
      <c r="I100" s="18" t="n">
        <v>112.42</v>
      </c>
      <c r="J100" s="18" t="n">
        <v>20.43</v>
      </c>
      <c r="K100" s="37" t="n">
        <v>5629.97</v>
      </c>
      <c r="L100" s="18" t="n">
        <v>0</v>
      </c>
      <c r="M100" s="18" t="n">
        <v>0</v>
      </c>
      <c r="N100" s="18" t="n">
        <v>0</v>
      </c>
      <c r="O100" s="18" t="n">
        <v>0</v>
      </c>
      <c r="P100" s="37" t="n">
        <v>0</v>
      </c>
      <c r="Q100" s="18" t="n">
        <v>1296.7</v>
      </c>
      <c r="R100" s="18" t="n">
        <v>902.0700000000001</v>
      </c>
      <c r="S100" s="18" t="n">
        <v>0</v>
      </c>
      <c r="T100" s="18" t="n">
        <v>12.19</v>
      </c>
      <c r="U100" s="37" t="n">
        <v>2210.96</v>
      </c>
      <c r="V100" s="18" t="n">
        <v>1458.97</v>
      </c>
      <c r="X100" s="18" t="n">
        <v>1369.53</v>
      </c>
      <c r="Y100" s="18" t="n">
        <v>5.11</v>
      </c>
      <c r="Z100" s="9" t="n"/>
      <c r="AA100" s="18" t="n">
        <v>0</v>
      </c>
      <c r="AB100" s="19" t="n">
        <v>0</v>
      </c>
      <c r="AC100" s="10" t="n"/>
      <c r="AD100" s="10" t="n"/>
      <c r="AE100" s="11" t="n"/>
      <c r="AF100" s="10" t="n"/>
      <c r="AG100" s="10" t="n"/>
      <c r="AH100" s="10" t="n"/>
      <c r="AI100" s="10" t="n"/>
      <c r="AJ100" s="11" t="n"/>
      <c r="AK100" s="10" t="n"/>
      <c r="AL100" s="10" t="n"/>
      <c r="AM100" s="10" t="n"/>
      <c r="AN100" s="10" t="n"/>
      <c r="AO100" s="11" t="n"/>
    </row>
    <row r="101">
      <c r="A101" t="n">
        <v>1</v>
      </c>
      <c r="C101" t="inlineStr">
        <is>
          <t>유동성장기부채의감소</t>
        </is>
      </c>
      <c r="F101" s="9" t="n"/>
      <c r="I101" s="18" t="n">
        <v>3166.68</v>
      </c>
      <c r="J101" s="18" t="n">
        <v>4222.24</v>
      </c>
      <c r="K101" s="9" t="n"/>
      <c r="L101" s="18" t="n">
        <v>3166.68</v>
      </c>
      <c r="M101" s="18" t="n">
        <v>2111.12</v>
      </c>
      <c r="N101" s="18" t="n">
        <v>4222.24</v>
      </c>
      <c r="O101" s="18" t="n">
        <v>3166.68</v>
      </c>
      <c r="P101" s="37" t="n">
        <v>12666.72</v>
      </c>
      <c r="Q101" s="18" t="n">
        <v>3166.65</v>
      </c>
      <c r="R101" s="18" t="n">
        <v>3166.65</v>
      </c>
      <c r="S101" s="18" t="n">
        <v>2111.1</v>
      </c>
      <c r="T101" s="18" t="n">
        <v>3166.65</v>
      </c>
      <c r="U101" s="37" t="n">
        <v>11611.05</v>
      </c>
      <c r="V101" s="18" t="n">
        <v>3166.65</v>
      </c>
      <c r="W101" s="18" t="n">
        <v>2111.1</v>
      </c>
      <c r="X101" s="18" t="n">
        <v>0</v>
      </c>
      <c r="Y101" s="18" t="n">
        <v>0</v>
      </c>
      <c r="Z101" s="37" t="n">
        <v>5277.75</v>
      </c>
      <c r="AA101" s="18" t="n">
        <v>0</v>
      </c>
      <c r="AB101" s="19" t="n">
        <v>0</v>
      </c>
      <c r="AC101" s="10" t="n"/>
      <c r="AD101" s="10" t="n"/>
      <c r="AE101" s="11" t="n"/>
      <c r="AF101" s="10" t="n"/>
      <c r="AG101" s="10" t="n"/>
      <c r="AH101" s="10" t="n"/>
      <c r="AI101" s="10" t="n"/>
      <c r="AJ101" s="11" t="n"/>
      <c r="AK101" s="10" t="n"/>
      <c r="AL101" s="10" t="n"/>
      <c r="AM101" s="10" t="n"/>
      <c r="AN101" s="10" t="n"/>
      <c r="AO101" s="11" t="n"/>
    </row>
    <row r="102">
      <c r="A102" t="n">
        <v>1</v>
      </c>
      <c r="C102" t="inlineStr">
        <is>
          <t>이자수취(CF)</t>
        </is>
      </c>
      <c r="F102" s="9" t="n"/>
      <c r="K102" s="9" t="n"/>
      <c r="O102" s="18" t="n">
        <v>676.88</v>
      </c>
      <c r="P102" s="9" t="n"/>
      <c r="Q102" s="18" t="n">
        <v>339.52</v>
      </c>
      <c r="R102" s="18" t="n">
        <v>458.35</v>
      </c>
      <c r="S102" s="18" t="n">
        <v>362.55</v>
      </c>
      <c r="T102" s="18" t="n">
        <v>480.41</v>
      </c>
      <c r="U102" s="37" t="n">
        <v>1640.83</v>
      </c>
      <c r="V102" s="18" t="n">
        <v>301.34</v>
      </c>
      <c r="W102" s="18" t="n">
        <v>282.28</v>
      </c>
      <c r="X102" s="18" t="n">
        <v>300.09</v>
      </c>
      <c r="Z102" s="9" t="n"/>
      <c r="AB102" s="5" t="n"/>
      <c r="AC102" s="10" t="n"/>
      <c r="AD102" s="10" t="n"/>
      <c r="AE102" s="11" t="n"/>
      <c r="AF102" s="10" t="n"/>
      <c r="AG102" s="10" t="n"/>
      <c r="AH102" s="10" t="n"/>
      <c r="AI102" s="10" t="n"/>
      <c r="AJ102" s="11" t="n"/>
      <c r="AK102" s="10" t="n"/>
      <c r="AL102" s="10" t="n"/>
      <c r="AM102" s="10" t="n"/>
      <c r="AN102" s="10" t="n"/>
      <c r="AO102" s="1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87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9" customWidth="1" min="2" max="2"/>
    <col width="26" customWidth="1" min="3" max="3"/>
    <col width="30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</cols>
  <sheetData>
    <row r="1">
      <c r="B1" s="2" t="inlineStr">
        <is>
          <t>(백만원)</t>
        </is>
      </c>
      <c r="C1" s="2" t="inlineStr">
        <is>
          <t>이름: BS별도H</t>
        </is>
      </c>
      <c r="E1" s="3" t="inlineStr">
        <is>
          <t>4Q21</t>
        </is>
      </c>
      <c r="F1" s="3" t="n">
        <v>2021</v>
      </c>
      <c r="G1" s="3" t="inlineStr">
        <is>
          <t>1Q22</t>
        </is>
      </c>
      <c r="H1" s="3" t="inlineStr">
        <is>
          <t>2Q22</t>
        </is>
      </c>
      <c r="I1" s="3" t="inlineStr">
        <is>
          <t>3Q22</t>
        </is>
      </c>
      <c r="J1" s="3" t="inlineStr">
        <is>
          <t>4Q22</t>
        </is>
      </c>
      <c r="K1" s="3" t="n">
        <v>2022</v>
      </c>
      <c r="L1" s="3" t="inlineStr">
        <is>
          <t>1Q23</t>
        </is>
      </c>
      <c r="M1" s="3" t="inlineStr">
        <is>
          <t>2Q23</t>
        </is>
      </c>
      <c r="N1" s="3" t="inlineStr">
        <is>
          <t>3Q23</t>
        </is>
      </c>
      <c r="O1" s="3" t="inlineStr">
        <is>
          <t>4Q23</t>
        </is>
      </c>
      <c r="P1" s="3" t="n">
        <v>2023</v>
      </c>
      <c r="Q1" s="3" t="inlineStr">
        <is>
          <t>1Q24</t>
        </is>
      </c>
      <c r="R1" s="3" t="inlineStr">
        <is>
          <t>2Q24</t>
        </is>
      </c>
      <c r="S1" s="3" t="inlineStr">
        <is>
          <t>3Q24</t>
        </is>
      </c>
      <c r="T1" s="3" t="inlineStr">
        <is>
          <t>4Q24</t>
        </is>
      </c>
      <c r="U1" s="3" t="n">
        <v>2024</v>
      </c>
      <c r="V1" s="3" t="inlineStr">
        <is>
          <t>1Q25</t>
        </is>
      </c>
      <c r="W1" s="3" t="inlineStr">
        <is>
          <t>2Q25</t>
        </is>
      </c>
      <c r="X1" s="3" t="inlineStr">
        <is>
          <t>3Q25</t>
        </is>
      </c>
      <c r="Y1" s="3" t="inlineStr">
        <is>
          <t>4Q25</t>
        </is>
      </c>
      <c r="Z1" s="3" t="n">
        <v>2025</v>
      </c>
      <c r="AA1" s="3" t="inlineStr">
        <is>
          <t>1Q26</t>
        </is>
      </c>
      <c r="AB1" s="4" t="inlineStr">
        <is>
          <t>2Q26</t>
        </is>
      </c>
      <c r="AC1" s="3" t="inlineStr">
        <is>
          <t>3Q26</t>
        </is>
      </c>
      <c r="AD1" s="3" t="inlineStr">
        <is>
          <t>4Q26</t>
        </is>
      </c>
      <c r="AE1" s="3" t="n">
        <v>2026</v>
      </c>
      <c r="AF1" s="3" t="inlineStr">
        <is>
          <t>1Q27</t>
        </is>
      </c>
      <c r="AG1" s="3" t="inlineStr">
        <is>
          <t>2Q27</t>
        </is>
      </c>
      <c r="AH1" s="3" t="inlineStr">
        <is>
          <t>3Q27</t>
        </is>
      </c>
      <c r="AI1" s="3" t="inlineStr">
        <is>
          <t>4Q27</t>
        </is>
      </c>
      <c r="AJ1" s="3" t="n">
        <v>2027</v>
      </c>
      <c r="AK1" s="3" t="inlineStr">
        <is>
          <t>1Q28</t>
        </is>
      </c>
      <c r="AL1" s="3" t="inlineStr">
        <is>
          <t>2Q28</t>
        </is>
      </c>
      <c r="AM1" s="3" t="inlineStr">
        <is>
          <t>3Q28</t>
        </is>
      </c>
      <c r="AN1" s="3" t="inlineStr">
        <is>
          <t>4Q28</t>
        </is>
      </c>
      <c r="AO1" s="3" t="n">
        <v>2028</v>
      </c>
    </row>
    <row r="2">
      <c r="B2" t="inlineStr">
        <is>
          <t>별도</t>
        </is>
      </c>
      <c r="D2" s="2" t="inlineStr">
        <is>
          <t>fin json(kship_fin.py)</t>
        </is>
      </c>
      <c r="AB2" s="5" t="n"/>
    </row>
    <row r="3">
      <c r="B3" t="inlineStr">
        <is>
          <t>DSR(별)</t>
        </is>
      </c>
      <c r="C3" s="2" t="inlineStr">
        <is>
          <t>UPDATE: 26-10-14</t>
        </is>
      </c>
      <c r="E3" s="2" t="n">
        <v>1</v>
      </c>
      <c r="F3" s="2" t="n">
        <v>2</v>
      </c>
      <c r="G3" s="2" t="n">
        <v>3</v>
      </c>
      <c r="H3" s="2" t="n">
        <v>4</v>
      </c>
      <c r="I3" s="2" t="n">
        <v>5</v>
      </c>
      <c r="J3" s="2" t="n">
        <v>6</v>
      </c>
      <c r="K3" s="2" t="n">
        <v>7</v>
      </c>
      <c r="L3" s="2" t="n">
        <v>8</v>
      </c>
      <c r="M3" s="2" t="n">
        <v>9</v>
      </c>
      <c r="N3" s="2" t="n">
        <v>10</v>
      </c>
      <c r="O3" s="2" t="n">
        <v>11</v>
      </c>
      <c r="P3" s="2" t="n">
        <v>12</v>
      </c>
      <c r="Q3" s="2" t="n">
        <v>13</v>
      </c>
      <c r="R3" s="2" t="n">
        <v>14</v>
      </c>
      <c r="S3" s="2" t="n">
        <v>15</v>
      </c>
      <c r="T3" s="2" t="n">
        <v>16</v>
      </c>
      <c r="U3" s="2" t="n">
        <v>17</v>
      </c>
      <c r="V3" s="2" t="n">
        <v>18</v>
      </c>
      <c r="W3" s="2" t="n">
        <v>19</v>
      </c>
      <c r="X3" s="2" t="n">
        <v>20</v>
      </c>
      <c r="Y3" s="2" t="n">
        <v>21</v>
      </c>
      <c r="Z3" s="2" t="n">
        <v>22</v>
      </c>
      <c r="AA3" s="2" t="n">
        <v>23</v>
      </c>
      <c r="AB3" s="6" t="n">
        <v>24</v>
      </c>
      <c r="AC3" s="2" t="n">
        <v>25</v>
      </c>
      <c r="AD3" s="2" t="n">
        <v>26</v>
      </c>
      <c r="AE3" s="2" t="n">
        <v>27</v>
      </c>
      <c r="AF3" s="2" t="n">
        <v>28</v>
      </c>
      <c r="AG3" s="2" t="n">
        <v>29</v>
      </c>
      <c r="AH3" s="2" t="n">
        <v>30</v>
      </c>
      <c r="AI3" s="2" t="n">
        <v>31</v>
      </c>
      <c r="AJ3" s="2" t="n">
        <v>32</v>
      </c>
      <c r="AK3" s="2" t="n">
        <v>33</v>
      </c>
      <c r="AL3" s="2" t="n">
        <v>34</v>
      </c>
      <c r="AM3" s="2" t="n">
        <v>35</v>
      </c>
      <c r="AN3" s="2" t="n">
        <v>36</v>
      </c>
      <c r="AO3" s="2" t="n">
        <v>37</v>
      </c>
    </row>
    <row r="4">
      <c r="B4" s="2" t="inlineStr">
        <is>
          <t>Account Code</t>
        </is>
      </c>
      <c r="C4" s="2" t="inlineStr">
        <is>
          <t>AccountNAME</t>
        </is>
      </c>
      <c r="E4" s="7" t="inlineStr">
        <is>
          <t>2021.12</t>
        </is>
      </c>
      <c r="F4" s="7" t="inlineStr">
        <is>
          <t>2021.12A</t>
        </is>
      </c>
      <c r="G4" s="7" t="inlineStr">
        <is>
          <t>2022.03</t>
        </is>
      </c>
      <c r="H4" s="7" t="inlineStr">
        <is>
          <t>2022.06</t>
        </is>
      </c>
      <c r="I4" s="7" t="inlineStr">
        <is>
          <t>2022.09</t>
        </is>
      </c>
      <c r="J4" s="7" t="inlineStr">
        <is>
          <t>2022.12</t>
        </is>
      </c>
      <c r="K4" s="7" t="inlineStr">
        <is>
          <t>2022.12A</t>
        </is>
      </c>
      <c r="L4" s="7" t="inlineStr">
        <is>
          <t>2023.03</t>
        </is>
      </c>
      <c r="M4" s="7" t="inlineStr">
        <is>
          <t>2023.06</t>
        </is>
      </c>
      <c r="N4" s="7" t="inlineStr">
        <is>
          <t>2023.09</t>
        </is>
      </c>
      <c r="O4" s="7" t="inlineStr">
        <is>
          <t>2023.12</t>
        </is>
      </c>
      <c r="P4" s="7" t="inlineStr">
        <is>
          <t>2023.12A</t>
        </is>
      </c>
      <c r="Q4" s="7" t="inlineStr">
        <is>
          <t>2024.03</t>
        </is>
      </c>
      <c r="R4" s="7" t="inlineStr">
        <is>
          <t>2024.06</t>
        </is>
      </c>
      <c r="S4" s="7" t="inlineStr">
        <is>
          <t>2024.09</t>
        </is>
      </c>
      <c r="T4" s="7" t="inlineStr">
        <is>
          <t>2024.12</t>
        </is>
      </c>
      <c r="U4" s="7" t="inlineStr">
        <is>
          <t>2024.12A</t>
        </is>
      </c>
      <c r="V4" s="7" t="inlineStr">
        <is>
          <t>2025.03</t>
        </is>
      </c>
      <c r="W4" s="7" t="inlineStr">
        <is>
          <t>2025.06</t>
        </is>
      </c>
      <c r="X4" s="7" t="inlineStr">
        <is>
          <t>2025.09</t>
        </is>
      </c>
      <c r="Y4" s="7" t="inlineStr">
        <is>
          <t>2025.12</t>
        </is>
      </c>
      <c r="Z4" s="7" t="inlineStr">
        <is>
          <t>2025.12A</t>
        </is>
      </c>
      <c r="AA4" s="7" t="inlineStr">
        <is>
          <t>2026.03</t>
        </is>
      </c>
      <c r="AB4" s="8" t="inlineStr">
        <is>
          <t>2026.06</t>
        </is>
      </c>
      <c r="AC4" s="7" t="inlineStr">
        <is>
          <t>2026.09</t>
        </is>
      </c>
      <c r="AD4" s="7" t="inlineStr">
        <is>
          <t>2026.12</t>
        </is>
      </c>
      <c r="AE4" s="7" t="inlineStr">
        <is>
          <t>2026.12A</t>
        </is>
      </c>
      <c r="AF4" s="7" t="inlineStr">
        <is>
          <t>2027.03</t>
        </is>
      </c>
      <c r="AG4" s="7" t="inlineStr">
        <is>
          <t>2027.06</t>
        </is>
      </c>
      <c r="AH4" s="7" t="inlineStr">
        <is>
          <t>2027.09</t>
        </is>
      </c>
      <c r="AI4" s="7" t="inlineStr">
        <is>
          <t>2027.12</t>
        </is>
      </c>
      <c r="AJ4" s="7" t="inlineStr">
        <is>
          <t>2027.12A</t>
        </is>
      </c>
      <c r="AK4" s="7" t="inlineStr">
        <is>
          <t>2028.03</t>
        </is>
      </c>
      <c r="AL4" s="7" t="inlineStr">
        <is>
          <t>2028.06</t>
        </is>
      </c>
      <c r="AM4" s="7" t="inlineStr">
        <is>
          <t>2028.09</t>
        </is>
      </c>
      <c r="AN4" s="7" t="inlineStr">
        <is>
          <t>2028.12</t>
        </is>
      </c>
      <c r="AO4" s="7" t="inlineStr">
        <is>
          <t>2028.12A</t>
        </is>
      </c>
    </row>
    <row r="5">
      <c r="A5" t="n">
        <v>1</v>
      </c>
      <c r="C5" t="inlineStr">
        <is>
          <t>유동자산</t>
        </is>
      </c>
      <c r="E5" s="18" t="n">
        <v>135860.74</v>
      </c>
      <c r="F5" s="37" t="n">
        <v>135860.74</v>
      </c>
      <c r="G5" s="18" t="n">
        <v>136803.89</v>
      </c>
      <c r="H5" s="18" t="n">
        <v>144342.75</v>
      </c>
      <c r="I5" s="18" t="n">
        <v>135061.24</v>
      </c>
      <c r="J5" s="18" t="n">
        <v>127068.73</v>
      </c>
      <c r="K5" s="37" t="n">
        <v>127068.73</v>
      </c>
      <c r="L5" s="18" t="n">
        <v>121352.75</v>
      </c>
      <c r="M5" s="18" t="n">
        <v>120882.24</v>
      </c>
      <c r="N5" s="18" t="n">
        <v>118168.02</v>
      </c>
      <c r="O5" s="18" t="n">
        <v>117149.07</v>
      </c>
      <c r="P5" s="37" t="n">
        <v>117149.07</v>
      </c>
      <c r="Q5" s="18" t="n">
        <v>118920.22</v>
      </c>
      <c r="R5" s="18" t="n">
        <v>130588.02</v>
      </c>
      <c r="S5" s="18" t="n">
        <v>117986.52</v>
      </c>
      <c r="T5" s="18" t="n">
        <v>120196.74</v>
      </c>
      <c r="U5" s="37" t="n">
        <v>120196.74</v>
      </c>
      <c r="V5" s="18" t="n">
        <v>120824.63</v>
      </c>
      <c r="W5" s="18" t="n">
        <v>131975.6</v>
      </c>
      <c r="X5" s="18" t="n">
        <v>128740.55</v>
      </c>
      <c r="Y5" s="18" t="n">
        <v>144477.9</v>
      </c>
      <c r="Z5" s="37" t="n">
        <v>144477.9</v>
      </c>
      <c r="AA5" s="18" t="n">
        <v>144345.92</v>
      </c>
      <c r="AB5" s="19" t="n">
        <v>162498.14</v>
      </c>
      <c r="AC5" s="10" t="n"/>
      <c r="AD5" s="10" t="n"/>
      <c r="AE5" s="11" t="n"/>
      <c r="AF5" s="10" t="n"/>
      <c r="AG5" s="10" t="n"/>
      <c r="AH5" s="10" t="n"/>
      <c r="AI5" s="10" t="n"/>
      <c r="AJ5" s="11" t="n"/>
      <c r="AK5" s="10" t="n"/>
      <c r="AL5" s="10" t="n"/>
      <c r="AM5" s="10" t="n"/>
      <c r="AN5" s="10" t="n"/>
      <c r="AO5" s="11" t="n"/>
    </row>
    <row r="6">
      <c r="A6" t="n">
        <v>1</v>
      </c>
      <c r="C6" t="inlineStr">
        <is>
          <t>현금및현금성자산</t>
        </is>
      </c>
      <c r="E6" s="18" t="n">
        <v>11832.6</v>
      </c>
      <c r="F6" s="37" t="n">
        <v>11832.6</v>
      </c>
      <c r="G6" s="18" t="n">
        <v>5657.8</v>
      </c>
      <c r="H6" s="18" t="n">
        <v>3664.13</v>
      </c>
      <c r="I6" s="18" t="n">
        <v>7754.63</v>
      </c>
      <c r="J6" s="18" t="n">
        <v>4045.76</v>
      </c>
      <c r="K6" s="37" t="n">
        <v>4045.76</v>
      </c>
      <c r="L6" s="18" t="n">
        <v>899.08</v>
      </c>
      <c r="M6" s="18" t="n">
        <v>1379.65</v>
      </c>
      <c r="N6" s="18" t="n">
        <v>3888.61</v>
      </c>
      <c r="O6" s="18" t="n">
        <v>2812.38</v>
      </c>
      <c r="P6" s="37" t="n">
        <v>2812.38</v>
      </c>
      <c r="Q6" s="18" t="n">
        <v>1443.48</v>
      </c>
      <c r="R6" s="18" t="n">
        <v>4371.36</v>
      </c>
      <c r="S6" s="18" t="n">
        <v>5281.56</v>
      </c>
      <c r="T6" s="18" t="n">
        <v>4331.17</v>
      </c>
      <c r="U6" s="37" t="n">
        <v>4331.17</v>
      </c>
      <c r="V6" s="18" t="n">
        <v>5597.94</v>
      </c>
      <c r="W6" s="18" t="n">
        <v>12269.37</v>
      </c>
      <c r="X6" s="18" t="n">
        <v>6309.44</v>
      </c>
      <c r="Y6" s="18" t="n">
        <v>13414.99</v>
      </c>
      <c r="Z6" s="37" t="n">
        <v>13414.99</v>
      </c>
      <c r="AA6" s="18" t="n">
        <v>10354.33</v>
      </c>
      <c r="AB6" s="19" t="n">
        <v>8885.33</v>
      </c>
      <c r="AC6" s="10" t="n"/>
      <c r="AD6" s="10" t="n"/>
      <c r="AE6" s="11" t="n"/>
      <c r="AF6" s="10" t="n"/>
      <c r="AG6" s="10" t="n"/>
      <c r="AH6" s="10" t="n"/>
      <c r="AI6" s="10" t="n"/>
      <c r="AJ6" s="11" t="n"/>
      <c r="AK6" s="10" t="n"/>
      <c r="AL6" s="10" t="n"/>
      <c r="AM6" s="10" t="n"/>
      <c r="AN6" s="10" t="n"/>
      <c r="AO6" s="11" t="n"/>
    </row>
    <row r="7">
      <c r="A7" t="n">
        <v>1</v>
      </c>
      <c r="C7" t="inlineStr">
        <is>
          <t>기타유동금융자산</t>
        </is>
      </c>
      <c r="E7" s="18" t="n">
        <v>2526.13</v>
      </c>
      <c r="F7" s="37" t="n">
        <v>2526.13</v>
      </c>
      <c r="G7" s="18" t="n">
        <v>991.13</v>
      </c>
      <c r="H7" s="18" t="n">
        <v>631.23</v>
      </c>
      <c r="I7" s="18" t="n">
        <v>319.78</v>
      </c>
      <c r="J7" s="18" t="n">
        <v>7764.98</v>
      </c>
      <c r="K7" s="37" t="n">
        <v>7764.98</v>
      </c>
      <c r="L7" s="18" t="n">
        <v>6183.73</v>
      </c>
      <c r="M7" s="18" t="n">
        <v>7681.86</v>
      </c>
      <c r="N7" s="18" t="n">
        <v>8688.379999999999</v>
      </c>
      <c r="O7" s="18" t="n">
        <v>12068.18</v>
      </c>
      <c r="P7" s="37" t="n">
        <v>12068.18</v>
      </c>
      <c r="Q7" s="18" t="n">
        <v>12132.32</v>
      </c>
      <c r="R7" s="18" t="n">
        <v>12173.34</v>
      </c>
      <c r="S7" s="18" t="n">
        <v>5321.6</v>
      </c>
      <c r="T7" s="18" t="n">
        <v>938.58</v>
      </c>
      <c r="U7" s="37" t="n">
        <v>938.58</v>
      </c>
      <c r="V7" s="18" t="n">
        <v>1193.28</v>
      </c>
      <c r="W7" s="18" t="n">
        <v>1240.34</v>
      </c>
      <c r="X7" s="18" t="n">
        <v>1246.09</v>
      </c>
      <c r="Y7" s="18" t="n">
        <v>1124.42</v>
      </c>
      <c r="Z7" s="37" t="n">
        <v>1124.42</v>
      </c>
      <c r="AA7" s="18" t="n">
        <v>1286.99</v>
      </c>
      <c r="AB7" s="19" t="n">
        <v>532.62</v>
      </c>
      <c r="AC7" s="10" t="n"/>
      <c r="AD7" s="10" t="n"/>
      <c r="AE7" s="11" t="n"/>
      <c r="AF7" s="10" t="n"/>
      <c r="AG7" s="10" t="n"/>
      <c r="AH7" s="10" t="n"/>
      <c r="AI7" s="10" t="n"/>
      <c r="AJ7" s="11" t="n"/>
      <c r="AK7" s="10" t="n"/>
      <c r="AL7" s="10" t="n"/>
      <c r="AM7" s="10" t="n"/>
      <c r="AN7" s="10" t="n"/>
      <c r="AO7" s="11" t="n"/>
    </row>
    <row r="8">
      <c r="A8" t="n">
        <v>1</v>
      </c>
      <c r="C8" t="inlineStr">
        <is>
          <t>매출채권및기타채권</t>
        </is>
      </c>
      <c r="E8" s="18" t="n">
        <v>53694.46</v>
      </c>
      <c r="F8" s="37" t="n">
        <v>53694.46</v>
      </c>
      <c r="G8" s="18" t="n">
        <v>57756.14</v>
      </c>
      <c r="H8" s="18" t="n">
        <v>63178.27</v>
      </c>
      <c r="I8" s="18" t="n">
        <v>60818.71</v>
      </c>
      <c r="J8" s="18" t="n">
        <v>52517.33</v>
      </c>
      <c r="K8" s="37" t="n">
        <v>52517.33</v>
      </c>
      <c r="L8" s="18" t="n">
        <v>50941.93</v>
      </c>
      <c r="M8" s="18" t="n">
        <v>49141.55</v>
      </c>
      <c r="N8" s="18" t="n">
        <v>46180.51</v>
      </c>
      <c r="O8" s="18" t="n">
        <v>43512.65</v>
      </c>
      <c r="P8" s="37" t="n">
        <v>43512.65</v>
      </c>
      <c r="Q8" s="18" t="n">
        <v>45301.2</v>
      </c>
      <c r="R8" s="18" t="n">
        <v>53845.55</v>
      </c>
      <c r="S8" s="18" t="n">
        <v>50181.21</v>
      </c>
      <c r="T8" s="18" t="n">
        <v>60799.85</v>
      </c>
      <c r="U8" s="37" t="n">
        <v>60799.85</v>
      </c>
      <c r="V8" s="18" t="n">
        <v>55616.81</v>
      </c>
      <c r="W8" s="18" t="n">
        <v>52022.01</v>
      </c>
      <c r="X8" s="18" t="n">
        <v>51751.04</v>
      </c>
      <c r="Y8" s="18" t="n">
        <v>59558.5</v>
      </c>
      <c r="Z8" s="37" t="n">
        <v>59558.5</v>
      </c>
      <c r="AA8" s="18" t="n">
        <v>60806.01</v>
      </c>
      <c r="AB8" s="19" t="n">
        <v>66886.44</v>
      </c>
      <c r="AC8" s="10" t="n"/>
      <c r="AD8" s="10" t="n"/>
      <c r="AE8" s="11" t="n"/>
      <c r="AF8" s="10" t="n"/>
      <c r="AG8" s="10" t="n"/>
      <c r="AH8" s="10" t="n"/>
      <c r="AI8" s="10" t="n"/>
      <c r="AJ8" s="11" t="n"/>
      <c r="AK8" s="10" t="n"/>
      <c r="AL8" s="10" t="n"/>
      <c r="AM8" s="10" t="n"/>
      <c r="AN8" s="10" t="n"/>
      <c r="AO8" s="11" t="n"/>
    </row>
    <row r="9">
      <c r="A9" t="n">
        <v>1</v>
      </c>
      <c r="C9" t="inlineStr">
        <is>
          <t>기타유동자산</t>
        </is>
      </c>
      <c r="E9" s="18" t="n">
        <v>2493.54</v>
      </c>
      <c r="F9" s="37" t="n">
        <v>2493.54</v>
      </c>
      <c r="G9" s="18" t="n">
        <v>3164.23</v>
      </c>
      <c r="H9" s="18" t="n">
        <v>4462.53</v>
      </c>
      <c r="I9" s="18" t="n">
        <v>2843.28</v>
      </c>
      <c r="J9" s="18" t="n">
        <v>2173.51</v>
      </c>
      <c r="K9" s="37" t="n">
        <v>2173.51</v>
      </c>
      <c r="L9" s="18" t="n">
        <v>2904.75</v>
      </c>
      <c r="M9" s="18" t="n">
        <v>3162.38</v>
      </c>
      <c r="N9" s="18" t="n">
        <v>3468.04</v>
      </c>
      <c r="O9" s="18" t="n">
        <v>2985.81</v>
      </c>
      <c r="P9" s="37" t="n">
        <v>2985.81</v>
      </c>
      <c r="Q9" s="18" t="n">
        <v>2159.3</v>
      </c>
      <c r="R9" s="18" t="n">
        <v>2568.74</v>
      </c>
      <c r="S9" s="18" t="n">
        <v>2303.46</v>
      </c>
      <c r="T9" s="18" t="n">
        <v>1997.61</v>
      </c>
      <c r="U9" s="37" t="n">
        <v>1997.61</v>
      </c>
      <c r="V9" s="18" t="n">
        <v>2930.69</v>
      </c>
      <c r="W9" s="18" t="n">
        <v>3087.39</v>
      </c>
      <c r="X9" s="18" t="n">
        <v>2934.77</v>
      </c>
      <c r="Y9" s="18" t="n">
        <v>1929.65</v>
      </c>
      <c r="Z9" s="37" t="n">
        <v>1929.65</v>
      </c>
      <c r="AA9" s="18" t="n">
        <v>2021.24</v>
      </c>
      <c r="AB9" s="19" t="n">
        <v>2393.94</v>
      </c>
      <c r="AC9" s="10" t="n"/>
      <c r="AD9" s="10" t="n"/>
      <c r="AE9" s="11" t="n"/>
      <c r="AF9" s="10" t="n"/>
      <c r="AG9" s="10" t="n"/>
      <c r="AH9" s="10" t="n"/>
      <c r="AI9" s="10" t="n"/>
      <c r="AJ9" s="11" t="n"/>
      <c r="AK9" s="10" t="n"/>
      <c r="AL9" s="10" t="n"/>
      <c r="AM9" s="10" t="n"/>
      <c r="AN9" s="10" t="n"/>
      <c r="AO9" s="11" t="n"/>
    </row>
    <row r="10">
      <c r="A10" t="n">
        <v>1</v>
      </c>
      <c r="C10" t="inlineStr">
        <is>
          <t>재고자산</t>
        </is>
      </c>
      <c r="E10" s="18" t="n">
        <v>48911.4</v>
      </c>
      <c r="F10" s="37" t="n">
        <v>48911.4</v>
      </c>
      <c r="G10" s="18" t="n">
        <v>51486.27</v>
      </c>
      <c r="H10" s="18" t="n">
        <v>59840.73</v>
      </c>
      <c r="I10" s="18" t="n">
        <v>52719.1</v>
      </c>
      <c r="J10" s="18" t="n">
        <v>48658.98</v>
      </c>
      <c r="K10" s="37" t="n">
        <v>48658.98</v>
      </c>
      <c r="L10" s="18" t="n">
        <v>47756.97</v>
      </c>
      <c r="M10" s="18" t="n">
        <v>46875.09</v>
      </c>
      <c r="N10" s="18" t="n">
        <v>42926.66</v>
      </c>
      <c r="O10" s="18" t="n">
        <v>43794.18</v>
      </c>
      <c r="P10" s="37" t="n">
        <v>43794.18</v>
      </c>
      <c r="Q10" s="18" t="n">
        <v>46879.65</v>
      </c>
      <c r="R10" s="18" t="n">
        <v>49056.38</v>
      </c>
      <c r="S10" s="18" t="n">
        <v>49261</v>
      </c>
      <c r="T10" s="18" t="n">
        <v>46041.68</v>
      </c>
      <c r="U10" s="37" t="n">
        <v>46041.68</v>
      </c>
      <c r="V10" s="18" t="n">
        <v>49060.67</v>
      </c>
      <c r="W10" s="18" t="n">
        <v>55258.54</v>
      </c>
      <c r="X10" s="18" t="n">
        <v>56152.28</v>
      </c>
      <c r="Y10" s="18" t="n">
        <v>51418.17</v>
      </c>
      <c r="Z10" s="37" t="n">
        <v>51418.17</v>
      </c>
      <c r="AA10" s="18" t="n">
        <v>51046.44</v>
      </c>
      <c r="AB10" s="19" t="n">
        <v>53303.04</v>
      </c>
      <c r="AC10" s="10" t="n"/>
      <c r="AD10" s="10" t="n"/>
      <c r="AE10" s="11" t="n"/>
      <c r="AF10" s="10" t="n"/>
      <c r="AG10" s="10" t="n"/>
      <c r="AH10" s="10" t="n"/>
      <c r="AI10" s="10" t="n"/>
      <c r="AJ10" s="11" t="n"/>
      <c r="AK10" s="10" t="n"/>
      <c r="AL10" s="10" t="n"/>
      <c r="AM10" s="10" t="n"/>
      <c r="AN10" s="10" t="n"/>
      <c r="AO10" s="11" t="n"/>
    </row>
    <row r="11">
      <c r="A11" t="n">
        <v>1</v>
      </c>
      <c r="C11" t="inlineStr">
        <is>
          <t>비유동자산</t>
        </is>
      </c>
      <c r="E11" s="18" t="n">
        <v>102096.2</v>
      </c>
      <c r="F11" s="37" t="n">
        <v>102096.2</v>
      </c>
      <c r="G11" s="18" t="n">
        <v>108384.29</v>
      </c>
      <c r="H11" s="18" t="n">
        <v>149052.36</v>
      </c>
      <c r="I11" s="18" t="n">
        <v>147304.37</v>
      </c>
      <c r="J11" s="18" t="n">
        <v>152557.44</v>
      </c>
      <c r="K11" s="37" t="n">
        <v>152557.44</v>
      </c>
      <c r="L11" s="18" t="n">
        <v>154646.63</v>
      </c>
      <c r="M11" s="18" t="n">
        <v>153306.34</v>
      </c>
      <c r="N11" s="18" t="n">
        <v>154496.48</v>
      </c>
      <c r="O11" s="18" t="n">
        <v>154787.95</v>
      </c>
      <c r="P11" s="37" t="n">
        <v>154787.95</v>
      </c>
      <c r="Q11" s="18" t="n">
        <v>156650.53</v>
      </c>
      <c r="R11" s="18" t="n">
        <v>154949.1</v>
      </c>
      <c r="S11" s="18" t="n">
        <v>161184.14</v>
      </c>
      <c r="T11" s="18" t="n">
        <v>159629.29</v>
      </c>
      <c r="U11" s="37" t="n">
        <v>159629.29</v>
      </c>
      <c r="V11" s="18" t="n">
        <v>158978.91</v>
      </c>
      <c r="W11" s="18" t="n">
        <v>155781.34</v>
      </c>
      <c r="X11" s="18" t="n">
        <v>158166.12</v>
      </c>
      <c r="Y11" s="18" t="n">
        <v>156470.73</v>
      </c>
      <c r="Z11" s="37" t="n">
        <v>156470.73</v>
      </c>
      <c r="AA11" s="18" t="n">
        <v>158922.67</v>
      </c>
      <c r="AB11" s="19" t="n">
        <v>159329.69</v>
      </c>
      <c r="AC11" s="10" t="n"/>
      <c r="AD11" s="10" t="n"/>
      <c r="AE11" s="11" t="n"/>
      <c r="AF11" s="10" t="n"/>
      <c r="AG11" s="10" t="n"/>
      <c r="AH11" s="10" t="n"/>
      <c r="AI11" s="10" t="n"/>
      <c r="AJ11" s="11" t="n"/>
      <c r="AK11" s="10" t="n"/>
      <c r="AL11" s="10" t="n"/>
      <c r="AM11" s="10" t="n"/>
      <c r="AN11" s="10" t="n"/>
      <c r="AO11" s="11" t="n"/>
    </row>
    <row r="12">
      <c r="A12" t="n">
        <v>1</v>
      </c>
      <c r="C12" t="inlineStr">
        <is>
          <t>장기금융자산</t>
        </is>
      </c>
      <c r="E12" s="18" t="n">
        <v>15761.2</v>
      </c>
      <c r="F12" s="37" t="n">
        <v>15761.2</v>
      </c>
      <c r="G12" s="18" t="n">
        <v>17670.58</v>
      </c>
      <c r="H12" s="18" t="n">
        <v>15873.36</v>
      </c>
      <c r="I12" s="18" t="n">
        <v>13803.55</v>
      </c>
      <c r="J12" s="18" t="n">
        <v>23933.03</v>
      </c>
      <c r="K12" s="37" t="n">
        <v>23933.03</v>
      </c>
      <c r="L12" s="18" t="n">
        <v>27512.54</v>
      </c>
      <c r="M12" s="18" t="n">
        <v>26593.43</v>
      </c>
      <c r="N12" s="18" t="n">
        <v>9281.75</v>
      </c>
      <c r="O12" s="18" t="n">
        <v>8522.469999999999</v>
      </c>
      <c r="P12" s="37" t="n">
        <v>8522.469999999999</v>
      </c>
      <c r="Q12" s="18" t="n">
        <v>7847.89</v>
      </c>
      <c r="R12" s="18" t="n">
        <v>23531.34</v>
      </c>
      <c r="S12" s="18" t="n">
        <v>4195.41</v>
      </c>
      <c r="T12" s="18" t="n">
        <v>3912</v>
      </c>
      <c r="U12" s="37" t="n">
        <v>3912</v>
      </c>
      <c r="V12" s="18" t="n">
        <v>3898.37</v>
      </c>
      <c r="W12" s="18" t="n">
        <v>25182.77</v>
      </c>
      <c r="X12" s="18" t="n">
        <v>5904.56</v>
      </c>
      <c r="Y12" s="18" t="n">
        <v>5236.11</v>
      </c>
      <c r="Z12" s="37" t="n">
        <v>5236.11</v>
      </c>
      <c r="AA12" s="18" t="n">
        <v>4891.28</v>
      </c>
      <c r="AB12" s="19" t="n">
        <v>30816.67</v>
      </c>
      <c r="AC12" s="10" t="n"/>
      <c r="AD12" s="10" t="n"/>
      <c r="AE12" s="11" t="n"/>
      <c r="AF12" s="10" t="n"/>
      <c r="AG12" s="10" t="n"/>
      <c r="AH12" s="10" t="n"/>
      <c r="AI12" s="10" t="n"/>
      <c r="AJ12" s="11" t="n"/>
      <c r="AK12" s="10" t="n"/>
      <c r="AL12" s="10" t="n"/>
      <c r="AM12" s="10" t="n"/>
      <c r="AN12" s="10" t="n"/>
      <c r="AO12" s="11" t="n"/>
    </row>
    <row r="13">
      <c r="A13" t="n">
        <v>1</v>
      </c>
      <c r="C13" t="inlineStr">
        <is>
          <t>투자자산</t>
        </is>
      </c>
      <c r="E13" s="18" t="n">
        <v>35786.32</v>
      </c>
      <c r="F13" s="37" t="n">
        <v>35786.32</v>
      </c>
      <c r="G13" s="18" t="n">
        <v>37695.7</v>
      </c>
      <c r="H13" s="18" t="n">
        <v>35898.48</v>
      </c>
      <c r="I13" s="18" t="n">
        <v>33828.67</v>
      </c>
      <c r="J13" s="18" t="n">
        <v>41262.75</v>
      </c>
      <c r="K13" s="37" t="n">
        <v>41262.75</v>
      </c>
      <c r="L13" s="18" t="n">
        <v>44842.26</v>
      </c>
      <c r="M13" s="18" t="n">
        <v>43923.15</v>
      </c>
      <c r="N13" s="18" t="n">
        <v>26611.47</v>
      </c>
      <c r="O13" s="18" t="n">
        <v>25160.05</v>
      </c>
      <c r="P13" s="37" t="n">
        <v>25160.05</v>
      </c>
      <c r="Q13" s="18" t="n">
        <v>24485.47</v>
      </c>
      <c r="R13" s="18" t="n">
        <v>40168.92</v>
      </c>
      <c r="S13" s="18" t="n">
        <v>20832.99</v>
      </c>
      <c r="T13" s="18" t="n">
        <v>21553.41</v>
      </c>
      <c r="U13" s="37" t="n">
        <v>21553.41</v>
      </c>
      <c r="V13" s="18" t="n">
        <v>21539.78</v>
      </c>
      <c r="W13" s="18" t="n">
        <v>42824.18</v>
      </c>
      <c r="X13" s="18" t="n">
        <v>23545.97</v>
      </c>
      <c r="Y13" s="18" t="n">
        <v>18954.07</v>
      </c>
      <c r="Z13" s="37" t="n">
        <v>18954.07</v>
      </c>
      <c r="AA13" s="18" t="n">
        <v>18609.24</v>
      </c>
      <c r="AB13" s="19" t="n">
        <v>44534.63</v>
      </c>
      <c r="AC13" s="10" t="n"/>
      <c r="AD13" s="10" t="n"/>
      <c r="AE13" s="11" t="n"/>
      <c r="AF13" s="10" t="n"/>
      <c r="AG13" s="10" t="n"/>
      <c r="AH13" s="10" t="n"/>
      <c r="AI13" s="10" t="n"/>
      <c r="AJ13" s="11" t="n"/>
      <c r="AK13" s="10" t="n"/>
      <c r="AL13" s="10" t="n"/>
      <c r="AM13" s="10" t="n"/>
      <c r="AN13" s="10" t="n"/>
      <c r="AO13" s="11" t="n"/>
    </row>
    <row r="14">
      <c r="A14" t="n">
        <v>1</v>
      </c>
      <c r="C14" t="inlineStr">
        <is>
          <t>장기매출채권및기타채권</t>
        </is>
      </c>
      <c r="E14" s="18" t="n">
        <v>9355.219999999999</v>
      </c>
      <c r="F14" s="37" t="n">
        <v>9355.219999999999</v>
      </c>
      <c r="G14" s="18" t="n">
        <v>9543.200000000001</v>
      </c>
      <c r="H14" s="18" t="n">
        <v>8348.629999999999</v>
      </c>
      <c r="I14" s="18" t="n">
        <v>8866.450000000001</v>
      </c>
      <c r="J14" s="18" t="n">
        <v>7182.51</v>
      </c>
      <c r="K14" s="37" t="n">
        <v>7182.51</v>
      </c>
      <c r="L14" s="18" t="n">
        <v>7420.17</v>
      </c>
      <c r="M14" s="18" t="n">
        <v>7814.65</v>
      </c>
      <c r="N14" s="18" t="n">
        <v>8068.15</v>
      </c>
      <c r="O14" s="18" t="n">
        <v>6909.08</v>
      </c>
      <c r="P14" s="37" t="n">
        <v>6909.08</v>
      </c>
      <c r="Q14" s="18" t="n">
        <v>9850.35</v>
      </c>
      <c r="R14" s="18" t="n">
        <v>11801.71</v>
      </c>
      <c r="T14" s="18" t="n">
        <v>13064.03</v>
      </c>
      <c r="U14" s="37" t="n">
        <v>13064.03</v>
      </c>
      <c r="Y14" s="18" t="n">
        <v>15349.47</v>
      </c>
      <c r="Z14" s="37" t="n">
        <v>15349.47</v>
      </c>
      <c r="AA14" s="18" t="n">
        <v>16785.45</v>
      </c>
      <c r="AB14" s="19" t="n">
        <v>18818.74</v>
      </c>
      <c r="AC14" s="10" t="n"/>
      <c r="AD14" s="10" t="n"/>
      <c r="AE14" s="11" t="n"/>
      <c r="AF14" s="10" t="n"/>
      <c r="AG14" s="10" t="n"/>
      <c r="AH14" s="10" t="n"/>
      <c r="AI14" s="10" t="n"/>
      <c r="AJ14" s="11" t="n"/>
      <c r="AK14" s="10" t="n"/>
      <c r="AL14" s="10" t="n"/>
      <c r="AM14" s="10" t="n"/>
      <c r="AN14" s="10" t="n"/>
      <c r="AO14" s="11" t="n"/>
    </row>
    <row r="15">
      <c r="A15" t="n">
        <v>1</v>
      </c>
      <c r="C15" t="inlineStr">
        <is>
          <t>종속기업및관계기업투자</t>
        </is>
      </c>
      <c r="E15" s="18" t="n">
        <v>20025.12</v>
      </c>
      <c r="F15" s="37" t="n">
        <v>20025.12</v>
      </c>
      <c r="G15" s="18" t="n">
        <v>20025.12</v>
      </c>
      <c r="H15" s="18" t="n">
        <v>20025.12</v>
      </c>
      <c r="I15" s="18" t="n">
        <v>20025.12</v>
      </c>
      <c r="J15" s="18" t="n">
        <v>17329.72</v>
      </c>
      <c r="K15" s="37" t="n">
        <v>17329.72</v>
      </c>
      <c r="L15" s="18" t="n">
        <v>17329.72</v>
      </c>
      <c r="M15" s="18" t="n">
        <v>17329.72</v>
      </c>
      <c r="N15" s="18" t="n">
        <v>17329.72</v>
      </c>
      <c r="O15" s="18" t="n">
        <v>16637.58</v>
      </c>
      <c r="P15" s="37" t="n">
        <v>16637.58</v>
      </c>
      <c r="Q15" s="18" t="n">
        <v>16637.58</v>
      </c>
      <c r="R15" s="18" t="n">
        <v>16637.58</v>
      </c>
      <c r="S15" s="18" t="n">
        <v>16637.58</v>
      </c>
      <c r="T15" s="18" t="n">
        <v>17641.41</v>
      </c>
      <c r="U15" s="37" t="n">
        <v>17641.41</v>
      </c>
      <c r="V15" s="18" t="n">
        <v>17641.41</v>
      </c>
      <c r="W15" s="18" t="n">
        <v>17641.41</v>
      </c>
      <c r="X15" s="18" t="n">
        <v>17641.41</v>
      </c>
      <c r="Y15" s="18" t="n">
        <v>13717.96</v>
      </c>
      <c r="Z15" s="37" t="n">
        <v>13717.96</v>
      </c>
      <c r="AA15" s="18" t="n">
        <v>13717.96</v>
      </c>
      <c r="AB15" s="19" t="n">
        <v>13717.96</v>
      </c>
      <c r="AC15" s="10" t="n"/>
      <c r="AD15" s="10" t="n"/>
      <c r="AE15" s="11" t="n"/>
      <c r="AF15" s="10" t="n"/>
      <c r="AG15" s="10" t="n"/>
      <c r="AH15" s="10" t="n"/>
      <c r="AI15" s="10" t="n"/>
      <c r="AJ15" s="11" t="n"/>
      <c r="AK15" s="10" t="n"/>
      <c r="AL15" s="10" t="n"/>
      <c r="AM15" s="10" t="n"/>
      <c r="AN15" s="10" t="n"/>
      <c r="AO15" s="11" t="n"/>
    </row>
    <row r="16">
      <c r="A16" t="n">
        <v>1</v>
      </c>
      <c r="C16" t="inlineStr">
        <is>
          <t>유형자산</t>
        </is>
      </c>
      <c r="E16" s="18" t="n">
        <v>56631.98</v>
      </c>
      <c r="F16" s="37" t="n">
        <v>56631.98</v>
      </c>
      <c r="G16" s="18" t="n">
        <v>60970.57</v>
      </c>
      <c r="H16" s="18" t="n">
        <v>104383.79</v>
      </c>
      <c r="I16" s="18" t="n">
        <v>104037.14</v>
      </c>
      <c r="J16" s="18" t="n">
        <v>61332.33</v>
      </c>
      <c r="K16" s="37" t="n">
        <v>61332.33</v>
      </c>
      <c r="L16" s="18" t="n">
        <v>60764</v>
      </c>
      <c r="M16" s="18" t="n">
        <v>59972.72</v>
      </c>
      <c r="N16" s="18" t="n">
        <v>59683.94</v>
      </c>
      <c r="O16" s="18" t="n">
        <v>58086.07</v>
      </c>
      <c r="P16" s="37" t="n">
        <v>58086.07</v>
      </c>
      <c r="Q16" s="18" t="n">
        <v>58000.3</v>
      </c>
      <c r="R16" s="18" t="n">
        <v>58703.66</v>
      </c>
      <c r="S16" s="18" t="n">
        <v>57327.45</v>
      </c>
      <c r="T16" s="18" t="n">
        <v>55977.64</v>
      </c>
      <c r="U16" s="37" t="n">
        <v>55977.64</v>
      </c>
      <c r="V16" s="18" t="n">
        <v>56381.39</v>
      </c>
      <c r="W16" s="18" t="n">
        <v>56262.9</v>
      </c>
      <c r="X16" s="18" t="n">
        <v>56146.44</v>
      </c>
      <c r="Y16" s="18" t="n">
        <v>54248</v>
      </c>
      <c r="Z16" s="37" t="n">
        <v>54248</v>
      </c>
      <c r="AA16" s="18" t="n">
        <v>53767.24</v>
      </c>
      <c r="AB16" s="19" t="n">
        <v>53635.66</v>
      </c>
      <c r="AC16" s="10" t="n"/>
      <c r="AD16" s="10" t="n"/>
      <c r="AE16" s="11" t="n"/>
      <c r="AF16" s="10" t="n"/>
      <c r="AG16" s="10" t="n"/>
      <c r="AH16" s="10" t="n"/>
      <c r="AI16" s="10" t="n"/>
      <c r="AJ16" s="11" t="n"/>
      <c r="AK16" s="10" t="n"/>
      <c r="AL16" s="10" t="n"/>
      <c r="AM16" s="10" t="n"/>
      <c r="AN16" s="10" t="n"/>
      <c r="AO16" s="11" t="n"/>
    </row>
    <row r="17">
      <c r="A17" t="n">
        <v>1</v>
      </c>
      <c r="C17" t="inlineStr">
        <is>
          <t>이연법인세자산</t>
        </is>
      </c>
      <c r="E17" s="18" t="n">
        <v>91.36</v>
      </c>
      <c r="F17" s="37" t="n">
        <v>91.36</v>
      </c>
      <c r="G17" s="18" t="n">
        <v>0</v>
      </c>
      <c r="H17" s="18" t="n">
        <v>288.72</v>
      </c>
      <c r="I17" s="18" t="n">
        <v>508.05</v>
      </c>
      <c r="J17" s="18" t="n">
        <v>851.26</v>
      </c>
      <c r="K17" s="37" t="n">
        <v>851.26</v>
      </c>
      <c r="L17" s="18" t="n">
        <v>0</v>
      </c>
      <c r="M17" s="18" t="n">
        <v>0</v>
      </c>
      <c r="N17" s="18" t="n">
        <v>0</v>
      </c>
      <c r="O17" s="18" t="n">
        <v>1013.43</v>
      </c>
      <c r="P17" s="37" t="n">
        <v>1013.43</v>
      </c>
      <c r="Q17" s="18" t="n">
        <v>688.13</v>
      </c>
      <c r="R17" s="18" t="n">
        <v>571.3</v>
      </c>
      <c r="S17" s="18" t="n">
        <v>945.09</v>
      </c>
      <c r="T17" s="18" t="n">
        <v>1845.18</v>
      </c>
      <c r="U17" s="37" t="n">
        <v>1845.18</v>
      </c>
      <c r="V17" s="18" t="n">
        <v>1953.16</v>
      </c>
      <c r="W17" s="18" t="n">
        <v>1702.54</v>
      </c>
      <c r="X17" s="18" t="n">
        <v>1550.43</v>
      </c>
      <c r="Y17" s="18" t="n">
        <v>1280.99</v>
      </c>
      <c r="Z17" s="37" t="n">
        <v>1280.99</v>
      </c>
      <c r="AA17" s="18" t="n">
        <v>1248.45</v>
      </c>
      <c r="AB17" s="19" t="n">
        <v>0</v>
      </c>
      <c r="AC17" s="10" t="n"/>
      <c r="AD17" s="10" t="n"/>
      <c r="AE17" s="11" t="n"/>
      <c r="AF17" s="10" t="n"/>
      <c r="AG17" s="10" t="n"/>
      <c r="AH17" s="10" t="n"/>
      <c r="AI17" s="10" t="n"/>
      <c r="AJ17" s="11" t="n"/>
      <c r="AK17" s="10" t="n"/>
      <c r="AL17" s="10" t="n"/>
      <c r="AM17" s="10" t="n"/>
      <c r="AN17" s="10" t="n"/>
      <c r="AO17" s="11" t="n"/>
    </row>
    <row r="18">
      <c r="A18" t="n">
        <v>1</v>
      </c>
      <c r="C18" t="inlineStr">
        <is>
          <t>사용권자산</t>
        </is>
      </c>
      <c r="E18" s="18" t="n">
        <v>231.31</v>
      </c>
      <c r="F18" s="37" t="n">
        <v>231.31</v>
      </c>
      <c r="G18" s="18" t="n">
        <v>174.82</v>
      </c>
      <c r="H18" s="18" t="n">
        <v>132.73</v>
      </c>
      <c r="I18" s="18" t="n">
        <v>64.06</v>
      </c>
      <c r="J18" s="18" t="n">
        <v>58.72</v>
      </c>
      <c r="K18" s="37" t="n">
        <v>58.72</v>
      </c>
      <c r="L18" s="18" t="n">
        <v>53.38</v>
      </c>
      <c r="M18" s="18" t="n">
        <v>48.04</v>
      </c>
      <c r="N18" s="18" t="n">
        <v>42.7</v>
      </c>
      <c r="O18" s="18" t="n">
        <v>37.37</v>
      </c>
      <c r="P18" s="37" t="n">
        <v>37.37</v>
      </c>
      <c r="Q18" s="18" t="n">
        <v>32.03</v>
      </c>
      <c r="R18" s="18" t="n">
        <v>26.69</v>
      </c>
      <c r="S18" s="18" t="n">
        <v>21.35</v>
      </c>
      <c r="T18" s="18" t="n">
        <v>16.01</v>
      </c>
      <c r="U18" s="37" t="n">
        <v>16.01</v>
      </c>
      <c r="V18" s="18" t="n">
        <v>10.68</v>
      </c>
      <c r="W18" s="18" t="n">
        <v>5.34</v>
      </c>
      <c r="X18" s="18" t="n">
        <v>74.92</v>
      </c>
      <c r="Y18" s="18" t="n">
        <v>47.85</v>
      </c>
      <c r="Z18" s="37" t="n">
        <v>47.85</v>
      </c>
      <c r="AA18" s="18" t="n">
        <v>43.5</v>
      </c>
      <c r="AB18" s="19" t="n">
        <v>39.15</v>
      </c>
      <c r="AC18" s="10" t="n"/>
      <c r="AD18" s="10" t="n"/>
      <c r="AE18" s="11" t="n"/>
      <c r="AF18" s="10" t="n"/>
      <c r="AG18" s="10" t="n"/>
      <c r="AH18" s="10" t="n"/>
      <c r="AI18" s="10" t="n"/>
      <c r="AJ18" s="11" t="n"/>
      <c r="AK18" s="10" t="n"/>
      <c r="AL18" s="10" t="n"/>
      <c r="AM18" s="10" t="n"/>
      <c r="AN18" s="10" t="n"/>
      <c r="AO18" s="11" t="n"/>
    </row>
    <row r="19">
      <c r="A19" t="n">
        <v>1</v>
      </c>
      <c r="C19" t="inlineStr">
        <is>
          <t>기타비유동자산</t>
        </is>
      </c>
      <c r="E19" s="18" t="n">
        <v>231.31</v>
      </c>
      <c r="F19" s="37" t="n">
        <v>231.31</v>
      </c>
      <c r="G19" s="18" t="n">
        <v>174.82</v>
      </c>
      <c r="H19" s="18" t="n">
        <v>132.73</v>
      </c>
      <c r="I19" s="18" t="n">
        <v>64.06</v>
      </c>
      <c r="J19" s="18" t="n">
        <v>58.72</v>
      </c>
      <c r="K19" s="37" t="n">
        <v>58.72</v>
      </c>
      <c r="L19" s="18" t="n">
        <v>53.38</v>
      </c>
      <c r="M19" s="18" t="n">
        <v>48.04</v>
      </c>
      <c r="N19" s="18" t="n">
        <v>42.7</v>
      </c>
      <c r="O19" s="18" t="n">
        <v>37.37</v>
      </c>
      <c r="P19" s="37" t="n">
        <v>37.37</v>
      </c>
      <c r="Q19" s="18" t="n">
        <v>32.03</v>
      </c>
      <c r="R19" s="18" t="n">
        <v>26.69</v>
      </c>
      <c r="S19" s="18" t="n">
        <v>21.35</v>
      </c>
      <c r="T19" s="18" t="n">
        <v>16.01</v>
      </c>
      <c r="U19" s="37" t="n">
        <v>16.01</v>
      </c>
      <c r="V19" s="18" t="n">
        <v>10.68</v>
      </c>
      <c r="W19" s="18" t="n">
        <v>5.34</v>
      </c>
      <c r="X19" s="18" t="n">
        <v>74.92</v>
      </c>
      <c r="Y19" s="18" t="n">
        <v>47.85</v>
      </c>
      <c r="Z19" s="37" t="n">
        <v>47.85</v>
      </c>
      <c r="AA19" s="18" t="n">
        <v>43.5</v>
      </c>
      <c r="AB19" s="19" t="n">
        <v>886.61</v>
      </c>
      <c r="AC19" s="10" t="n"/>
      <c r="AD19" s="10" t="n"/>
      <c r="AE19" s="11" t="n"/>
      <c r="AF19" s="10" t="n"/>
      <c r="AG19" s="10" t="n"/>
      <c r="AH19" s="10" t="n"/>
      <c r="AI19" s="10" t="n"/>
      <c r="AJ19" s="11" t="n"/>
      <c r="AK19" s="10" t="n"/>
      <c r="AL19" s="10" t="n"/>
      <c r="AM19" s="10" t="n"/>
      <c r="AN19" s="10" t="n"/>
      <c r="AO19" s="11" t="n"/>
    </row>
    <row r="20">
      <c r="A20" t="n">
        <v>1</v>
      </c>
      <c r="C20" t="inlineStr">
        <is>
          <t>자산총계</t>
        </is>
      </c>
      <c r="E20" s="18" t="n">
        <v>237956.94</v>
      </c>
      <c r="F20" s="37" t="n">
        <v>237956.94</v>
      </c>
      <c r="G20" s="18" t="n">
        <v>245188.18</v>
      </c>
      <c r="H20" s="18" t="n">
        <v>293395.11</v>
      </c>
      <c r="I20" s="18" t="n">
        <v>282365.61</v>
      </c>
      <c r="J20" s="18" t="n">
        <v>279626.17</v>
      </c>
      <c r="K20" s="37" t="n">
        <v>279626.17</v>
      </c>
      <c r="L20" s="18" t="n">
        <v>275999.39</v>
      </c>
      <c r="M20" s="18" t="n">
        <v>274188.58</v>
      </c>
      <c r="N20" s="18" t="n">
        <v>272664.49</v>
      </c>
      <c r="O20" s="18" t="n">
        <v>271937.03</v>
      </c>
      <c r="P20" s="37" t="n">
        <v>271937.03</v>
      </c>
      <c r="Q20" s="18" t="n">
        <v>275570.76</v>
      </c>
      <c r="R20" s="18" t="n">
        <v>285537.12</v>
      </c>
      <c r="S20" s="18" t="n">
        <v>279170.66</v>
      </c>
      <c r="T20" s="18" t="n">
        <v>279826.03</v>
      </c>
      <c r="U20" s="37" t="n">
        <v>279826.03</v>
      </c>
      <c r="V20" s="18" t="n">
        <v>279803.54</v>
      </c>
      <c r="W20" s="18" t="n">
        <v>287756.94</v>
      </c>
      <c r="X20" s="18" t="n">
        <v>286906.67</v>
      </c>
      <c r="Y20" s="18" t="n">
        <v>300948.63</v>
      </c>
      <c r="Z20" s="37" t="n">
        <v>300948.63</v>
      </c>
      <c r="AA20" s="18" t="n">
        <v>303268.58</v>
      </c>
      <c r="AB20" s="19" t="n">
        <v>321827.82</v>
      </c>
      <c r="AC20" s="10" t="n"/>
      <c r="AD20" s="10" t="n"/>
      <c r="AE20" s="11" t="n"/>
      <c r="AF20" s="10" t="n"/>
      <c r="AG20" s="10" t="n"/>
      <c r="AH20" s="10" t="n"/>
      <c r="AI20" s="10" t="n"/>
      <c r="AJ20" s="11" t="n"/>
      <c r="AK20" s="10" t="n"/>
      <c r="AL20" s="10" t="n"/>
      <c r="AM20" s="10" t="n"/>
      <c r="AN20" s="10" t="n"/>
      <c r="AO20" s="11" t="n"/>
    </row>
    <row r="21">
      <c r="A21" t="n">
        <v>1</v>
      </c>
      <c r="C21" t="inlineStr">
        <is>
          <t>유동부채</t>
        </is>
      </c>
      <c r="E21" s="18" t="n">
        <v>70766.73</v>
      </c>
      <c r="F21" s="37" t="n">
        <v>70766.73</v>
      </c>
      <c r="G21" s="18" t="n">
        <v>70983.60000000001</v>
      </c>
      <c r="H21" s="18" t="n">
        <v>91837.22</v>
      </c>
      <c r="I21" s="18" t="n">
        <v>75596.02</v>
      </c>
      <c r="J21" s="18" t="n">
        <v>75828.2</v>
      </c>
      <c r="K21" s="37" t="n">
        <v>75828.2</v>
      </c>
      <c r="L21" s="18" t="n">
        <v>70732.00999999999</v>
      </c>
      <c r="M21" s="18" t="n">
        <v>68076.35000000001</v>
      </c>
      <c r="N21" s="18" t="n">
        <v>65375.36</v>
      </c>
      <c r="O21" s="18" t="n">
        <v>67991.09</v>
      </c>
      <c r="P21" s="37" t="n">
        <v>67991.09</v>
      </c>
      <c r="Q21" s="18" t="n">
        <v>71644.94</v>
      </c>
      <c r="R21" s="18" t="n">
        <v>80016.87</v>
      </c>
      <c r="S21" s="18" t="n">
        <v>70864.03</v>
      </c>
      <c r="T21" s="18" t="n">
        <v>71193.12</v>
      </c>
      <c r="U21" s="37" t="n">
        <v>71193.12</v>
      </c>
      <c r="V21" s="18" t="n">
        <v>67841.91</v>
      </c>
      <c r="W21" s="18" t="n">
        <v>74388.50999999999</v>
      </c>
      <c r="X21" s="18" t="n">
        <v>67379.16</v>
      </c>
      <c r="Y21" s="18" t="n">
        <v>82731.55</v>
      </c>
      <c r="Z21" s="37" t="n">
        <v>82731.55</v>
      </c>
      <c r="AA21" s="18" t="n">
        <v>80458.87</v>
      </c>
      <c r="AB21" s="19" t="n">
        <v>88018.23</v>
      </c>
      <c r="AC21" s="10" t="n"/>
      <c r="AD21" s="10" t="n"/>
      <c r="AE21" s="11" t="n"/>
      <c r="AF21" s="10" t="n"/>
      <c r="AG21" s="10" t="n"/>
      <c r="AH21" s="10" t="n"/>
      <c r="AI21" s="10" t="n"/>
      <c r="AJ21" s="11" t="n"/>
      <c r="AK21" s="10" t="n"/>
      <c r="AL21" s="10" t="n"/>
      <c r="AM21" s="10" t="n"/>
      <c r="AN21" s="10" t="n"/>
      <c r="AO21" s="11" t="n"/>
    </row>
    <row r="22">
      <c r="A22" t="n">
        <v>1</v>
      </c>
      <c r="C22" t="inlineStr">
        <is>
          <t>매입채무및기타채무</t>
        </is>
      </c>
      <c r="E22" s="18" t="n">
        <v>22979.33</v>
      </c>
      <c r="F22" s="37" t="n">
        <v>22979.33</v>
      </c>
      <c r="G22" s="18" t="n">
        <v>21424.96</v>
      </c>
      <c r="H22" s="18" t="n">
        <v>21096.89</v>
      </c>
      <c r="I22" s="18" t="n">
        <v>14730.12</v>
      </c>
      <c r="J22" s="18" t="n">
        <v>13645.16</v>
      </c>
      <c r="K22" s="37" t="n">
        <v>13645.16</v>
      </c>
      <c r="L22" s="18" t="n">
        <v>14148.24</v>
      </c>
      <c r="M22" s="18" t="n">
        <v>13215.52</v>
      </c>
      <c r="N22" s="18" t="n">
        <v>14355.1</v>
      </c>
      <c r="O22" s="18" t="n">
        <v>13114.81</v>
      </c>
      <c r="P22" s="37" t="n">
        <v>13114.81</v>
      </c>
      <c r="Q22" s="18" t="n">
        <v>15212.2</v>
      </c>
      <c r="R22" s="18" t="n">
        <v>19274.54</v>
      </c>
      <c r="S22" s="18" t="n">
        <v>17129.89</v>
      </c>
      <c r="T22" s="18" t="n">
        <v>17934.83</v>
      </c>
      <c r="U22" s="37" t="n">
        <v>17934.83</v>
      </c>
      <c r="V22" s="18" t="n">
        <v>17513.09</v>
      </c>
      <c r="W22" s="18" t="n">
        <v>16846.76</v>
      </c>
      <c r="X22" s="18" t="n">
        <v>13778.67</v>
      </c>
      <c r="Y22" s="18" t="n">
        <v>16180.67</v>
      </c>
      <c r="Z22" s="37" t="n">
        <v>16180.67</v>
      </c>
      <c r="AA22" s="18" t="n">
        <v>14781.88</v>
      </c>
      <c r="AB22" s="19" t="n">
        <v>20994.63</v>
      </c>
      <c r="AC22" s="10" t="n"/>
      <c r="AD22" s="10" t="n"/>
      <c r="AE22" s="11" t="n"/>
      <c r="AF22" s="10" t="n"/>
      <c r="AG22" s="10" t="n"/>
      <c r="AH22" s="10" t="n"/>
      <c r="AI22" s="10" t="n"/>
      <c r="AJ22" s="11" t="n"/>
      <c r="AK22" s="10" t="n"/>
      <c r="AL22" s="10" t="n"/>
      <c r="AM22" s="10" t="n"/>
      <c r="AN22" s="10" t="n"/>
      <c r="AO22" s="11" t="n"/>
    </row>
    <row r="23">
      <c r="A23" t="n">
        <v>1</v>
      </c>
      <c r="C23" t="inlineStr">
        <is>
          <t>계약부채</t>
        </is>
      </c>
      <c r="E23" s="18" t="n">
        <v>4062.7</v>
      </c>
      <c r="F23" s="37" t="n">
        <v>4062.7</v>
      </c>
      <c r="G23" s="18" t="n">
        <v>2290.77</v>
      </c>
      <c r="H23" s="18" t="n">
        <v>2928.98</v>
      </c>
      <c r="I23" s="18" t="n">
        <v>2490.93</v>
      </c>
      <c r="J23" s="18" t="n">
        <v>1400.13</v>
      </c>
      <c r="K23" s="37" t="n">
        <v>1400.13</v>
      </c>
      <c r="L23" s="18" t="n">
        <v>1425.6</v>
      </c>
      <c r="M23" s="18" t="n">
        <v>974.46</v>
      </c>
      <c r="N23" s="18" t="n">
        <v>1057.39</v>
      </c>
      <c r="O23" s="18" t="n">
        <v>1012.48</v>
      </c>
      <c r="P23" s="37" t="n">
        <v>1012.48</v>
      </c>
      <c r="Q23" s="18" t="n">
        <v>1932.78</v>
      </c>
      <c r="R23" s="18" t="n">
        <v>1550.54</v>
      </c>
      <c r="S23" s="18" t="n">
        <v>823.26</v>
      </c>
      <c r="T23" s="18" t="n">
        <v>1124.77</v>
      </c>
      <c r="U23" s="37" t="n">
        <v>1124.77</v>
      </c>
      <c r="V23" s="18" t="n">
        <v>1439.42</v>
      </c>
      <c r="W23" s="18" t="n">
        <v>2228.57</v>
      </c>
      <c r="X23" s="18" t="n">
        <v>1928.83</v>
      </c>
      <c r="Y23" s="18" t="n">
        <v>1470.69</v>
      </c>
      <c r="Z23" s="37" t="n">
        <v>1470.69</v>
      </c>
      <c r="AA23" s="18" t="n">
        <v>1283.06</v>
      </c>
      <c r="AB23" s="19" t="n">
        <v>2614.78</v>
      </c>
      <c r="AC23" s="10" t="n"/>
      <c r="AD23" s="10" t="n"/>
      <c r="AE23" s="11" t="n"/>
      <c r="AF23" s="10" t="n"/>
      <c r="AG23" s="10" t="n"/>
      <c r="AH23" s="10" t="n"/>
      <c r="AI23" s="10" t="n"/>
      <c r="AJ23" s="11" t="n"/>
      <c r="AK23" s="10" t="n"/>
      <c r="AL23" s="10" t="n"/>
      <c r="AM23" s="10" t="n"/>
      <c r="AN23" s="10" t="n"/>
      <c r="AO23" s="11" t="n"/>
    </row>
    <row r="24">
      <c r="A24" t="n">
        <v>1</v>
      </c>
      <c r="C24" t="inlineStr">
        <is>
          <t>단기차입금</t>
        </is>
      </c>
      <c r="E24" s="18" t="n">
        <v>37175.06</v>
      </c>
      <c r="F24" s="37" t="n">
        <v>37175.06</v>
      </c>
      <c r="G24" s="18" t="n">
        <v>39703.5</v>
      </c>
      <c r="H24" s="18" t="n">
        <v>46376.45</v>
      </c>
      <c r="I24" s="18" t="n">
        <v>37310.57</v>
      </c>
      <c r="J24" s="18" t="n">
        <v>36476.66</v>
      </c>
      <c r="K24" s="37" t="n">
        <v>36476.66</v>
      </c>
      <c r="L24" s="18" t="n">
        <v>34311.11</v>
      </c>
      <c r="M24" s="18" t="n">
        <v>33856.11</v>
      </c>
      <c r="N24" s="18" t="n">
        <v>32495.94</v>
      </c>
      <c r="O24" s="18" t="n">
        <v>34327.69</v>
      </c>
      <c r="P24" s="37" t="n">
        <v>34327.69</v>
      </c>
      <c r="Q24" s="18" t="n">
        <v>35369.58</v>
      </c>
      <c r="R24" s="18" t="n">
        <v>41523.27</v>
      </c>
      <c r="S24" s="18" t="n">
        <v>39913.35</v>
      </c>
      <c r="T24" s="18" t="n">
        <v>37723.34</v>
      </c>
      <c r="U24" s="37" t="n">
        <v>37723.34</v>
      </c>
      <c r="V24" s="18" t="n">
        <v>40034.96</v>
      </c>
      <c r="W24" s="18" t="n">
        <v>47936.26</v>
      </c>
      <c r="X24" s="18" t="n">
        <v>45896.64</v>
      </c>
      <c r="Y24" s="18" t="n">
        <v>54118.99</v>
      </c>
      <c r="Z24" s="37" t="n">
        <v>54118.99</v>
      </c>
      <c r="AA24" s="18" t="n">
        <v>49401.13</v>
      </c>
      <c r="AB24" s="19" t="n">
        <v>52140.12</v>
      </c>
      <c r="AC24" s="10" t="n"/>
      <c r="AD24" s="10" t="n"/>
      <c r="AE24" s="11" t="n"/>
      <c r="AF24" s="10" t="n"/>
      <c r="AG24" s="10" t="n"/>
      <c r="AH24" s="10" t="n"/>
      <c r="AI24" s="10" t="n"/>
      <c r="AJ24" s="11" t="n"/>
      <c r="AK24" s="10" t="n"/>
      <c r="AL24" s="10" t="n"/>
      <c r="AM24" s="10" t="n"/>
      <c r="AN24" s="10" t="n"/>
      <c r="AO24" s="11" t="n"/>
    </row>
    <row r="25">
      <c r="A25" t="n">
        <v>1</v>
      </c>
      <c r="C25" t="inlineStr">
        <is>
          <t>당기법인세부채(미지급법인세)</t>
        </is>
      </c>
      <c r="E25" s="18" t="n">
        <v>1967.49</v>
      </c>
      <c r="F25" s="37" t="n">
        <v>1967.49</v>
      </c>
      <c r="G25" s="18" t="n">
        <v>3695.73</v>
      </c>
      <c r="H25" s="18" t="n">
        <v>3779.54</v>
      </c>
      <c r="I25" s="18" t="n">
        <v>5383.42</v>
      </c>
      <c r="J25" s="18" t="n">
        <v>7217.53</v>
      </c>
      <c r="K25" s="37" t="n">
        <v>7217.53</v>
      </c>
      <c r="L25" s="18" t="n">
        <v>5099.59</v>
      </c>
      <c r="M25" s="18" t="n">
        <v>2511.79</v>
      </c>
      <c r="N25" s="18" t="n">
        <v>2453.45</v>
      </c>
      <c r="O25" s="18" t="n">
        <v>2627.11</v>
      </c>
      <c r="P25" s="37" t="n">
        <v>2627.11</v>
      </c>
      <c r="Q25" s="18" t="n">
        <v>3370.03</v>
      </c>
      <c r="R25" s="18" t="n">
        <v>1809.77</v>
      </c>
      <c r="S25" s="18" t="n">
        <v>1095.61</v>
      </c>
      <c r="T25" s="18" t="n">
        <v>2825.41</v>
      </c>
      <c r="U25" s="37" t="n">
        <v>2825.41</v>
      </c>
      <c r="V25" s="18" t="n">
        <v>3033.26</v>
      </c>
      <c r="W25" s="18" t="n">
        <v>1367.26</v>
      </c>
      <c r="X25" s="18" t="n">
        <v>1848.09</v>
      </c>
      <c r="Y25" s="18" t="n">
        <v>5335.66</v>
      </c>
      <c r="Z25" s="37" t="n">
        <v>5335.66</v>
      </c>
      <c r="AA25" s="18" t="n">
        <v>7496.12</v>
      </c>
      <c r="AB25" s="19" t="n">
        <v>6257.14</v>
      </c>
      <c r="AC25" s="10" t="n"/>
      <c r="AD25" s="10" t="n"/>
      <c r="AE25" s="11" t="n"/>
      <c r="AF25" s="10" t="n"/>
      <c r="AG25" s="10" t="n"/>
      <c r="AH25" s="10" t="n"/>
      <c r="AI25" s="10" t="n"/>
      <c r="AJ25" s="11" t="n"/>
      <c r="AK25" s="10" t="n"/>
      <c r="AL25" s="10" t="n"/>
      <c r="AM25" s="10" t="n"/>
      <c r="AN25" s="10" t="n"/>
      <c r="AO25" s="11" t="n"/>
    </row>
    <row r="26">
      <c r="A26" t="n">
        <v>1</v>
      </c>
      <c r="C26" t="inlineStr">
        <is>
          <t>기타유동금융부채</t>
        </is>
      </c>
      <c r="E26" s="18" t="n">
        <v>11.55</v>
      </c>
      <c r="F26" s="37" t="n">
        <v>11.55</v>
      </c>
      <c r="G26" s="18" t="n">
        <v>36.74</v>
      </c>
      <c r="H26" s="18" t="n">
        <v>158.49</v>
      </c>
      <c r="I26" s="18" t="n">
        <v>0</v>
      </c>
      <c r="J26" s="18" t="n">
        <v>0</v>
      </c>
      <c r="K26" s="37" t="n">
        <v>0</v>
      </c>
      <c r="L26" s="18" t="n">
        <v>27.86</v>
      </c>
      <c r="M26" s="18" t="n">
        <v>10.07</v>
      </c>
      <c r="N26" s="18" t="n">
        <v>20.75</v>
      </c>
      <c r="O26" s="18" t="n">
        <v>14.59</v>
      </c>
      <c r="P26" s="37" t="n">
        <v>14.59</v>
      </c>
      <c r="Q26" s="18" t="n">
        <v>195.66</v>
      </c>
      <c r="R26" s="18" t="n">
        <v>0</v>
      </c>
      <c r="S26" s="18" t="n">
        <v>0</v>
      </c>
      <c r="T26" s="18" t="n">
        <v>39.12</v>
      </c>
      <c r="U26" s="37" t="n">
        <v>39.12</v>
      </c>
      <c r="V26" s="18" t="n">
        <v>31.88</v>
      </c>
      <c r="W26" s="18" t="n">
        <v>0</v>
      </c>
      <c r="X26" s="18" t="n">
        <v>134.43</v>
      </c>
      <c r="Y26" s="18" t="n">
        <v>98.78</v>
      </c>
      <c r="Z26" s="37" t="n">
        <v>98.78</v>
      </c>
      <c r="AA26" s="18" t="n">
        <v>138.22</v>
      </c>
      <c r="AB26" s="19" t="n">
        <v>1</v>
      </c>
      <c r="AC26" s="10" t="n"/>
      <c r="AD26" s="10" t="n"/>
      <c r="AE26" s="11" t="n"/>
      <c r="AF26" s="10" t="n"/>
      <c r="AG26" s="10" t="n"/>
      <c r="AH26" s="10" t="n"/>
      <c r="AI26" s="10" t="n"/>
      <c r="AJ26" s="11" t="n"/>
      <c r="AK26" s="10" t="n"/>
      <c r="AL26" s="10" t="n"/>
      <c r="AM26" s="10" t="n"/>
      <c r="AN26" s="10" t="n"/>
      <c r="AO26" s="11" t="n"/>
    </row>
    <row r="27">
      <c r="A27" t="n">
        <v>1</v>
      </c>
      <c r="C27" t="inlineStr">
        <is>
          <t>단기금융부채</t>
        </is>
      </c>
      <c r="E27" s="18" t="n">
        <v>165.97</v>
      </c>
      <c r="F27" s="37" t="n">
        <v>165.97</v>
      </c>
      <c r="G27" s="18" t="n">
        <v>134.67</v>
      </c>
      <c r="H27" s="18" t="n">
        <v>214.33</v>
      </c>
      <c r="I27" s="18" t="n">
        <v>51.26</v>
      </c>
      <c r="J27" s="18" t="n">
        <v>21.35</v>
      </c>
      <c r="K27" s="37" t="n">
        <v>21.35</v>
      </c>
      <c r="L27" s="18" t="n">
        <v>49.21</v>
      </c>
      <c r="M27" s="18" t="n">
        <v>31.42</v>
      </c>
      <c r="N27" s="18" t="n">
        <v>42.1</v>
      </c>
      <c r="O27" s="18" t="n">
        <v>35.94</v>
      </c>
      <c r="P27" s="37" t="n">
        <v>35.94</v>
      </c>
      <c r="Q27" s="18" t="n">
        <v>217.01</v>
      </c>
      <c r="R27" s="18" t="n">
        <v>21.35</v>
      </c>
      <c r="S27" s="18" t="n">
        <v>21.35</v>
      </c>
      <c r="T27" s="18" t="n">
        <v>55.13</v>
      </c>
      <c r="U27" s="37" t="n">
        <v>55.13</v>
      </c>
      <c r="V27" s="18" t="n">
        <v>42.56</v>
      </c>
      <c r="W27" s="18" t="n">
        <v>5.34</v>
      </c>
      <c r="X27" s="18" t="n">
        <v>140.67</v>
      </c>
      <c r="Y27" s="18" t="n">
        <v>116.18</v>
      </c>
      <c r="Z27" s="37" t="n">
        <v>116.18</v>
      </c>
      <c r="AA27" s="18" t="n">
        <v>151.27</v>
      </c>
      <c r="AB27" s="19" t="n">
        <v>9.699999999999999</v>
      </c>
      <c r="AC27" s="10" t="n"/>
      <c r="AD27" s="10" t="n"/>
      <c r="AE27" s="11" t="n"/>
      <c r="AF27" s="10" t="n"/>
      <c r="AG27" s="10" t="n"/>
      <c r="AH27" s="10" t="n"/>
      <c r="AI27" s="10" t="n"/>
      <c r="AJ27" s="11" t="n"/>
      <c r="AK27" s="10" t="n"/>
      <c r="AL27" s="10" t="n"/>
      <c r="AM27" s="10" t="n"/>
      <c r="AN27" s="10" t="n"/>
      <c r="AO27" s="11" t="n"/>
    </row>
    <row r="28">
      <c r="A28" t="n">
        <v>1</v>
      </c>
      <c r="C28" t="inlineStr">
        <is>
          <t>기타유동부채</t>
        </is>
      </c>
      <c r="E28" s="18" t="n">
        <v>4228.05</v>
      </c>
      <c r="F28" s="37" t="n">
        <v>4228.05</v>
      </c>
      <c r="G28" s="18" t="n">
        <v>3577.37</v>
      </c>
      <c r="H28" s="18" t="n">
        <v>4628.99</v>
      </c>
      <c r="I28" s="18" t="n">
        <v>2720.45</v>
      </c>
      <c r="J28" s="18" t="n">
        <v>5232.92</v>
      </c>
      <c r="K28" s="37" t="n">
        <v>5232.92</v>
      </c>
      <c r="L28" s="18" t="n">
        <v>3919.82</v>
      </c>
      <c r="M28" s="18" t="n">
        <v>4671.57</v>
      </c>
      <c r="N28" s="18" t="n">
        <v>3055.51</v>
      </c>
      <c r="O28" s="18" t="n">
        <v>5058.31</v>
      </c>
      <c r="P28" s="37" t="n">
        <v>5058.31</v>
      </c>
      <c r="Q28" s="18" t="n">
        <v>3760</v>
      </c>
      <c r="R28" s="18" t="n">
        <v>5081.63</v>
      </c>
      <c r="S28" s="18" t="n">
        <v>3175.82</v>
      </c>
      <c r="T28" s="18" t="n">
        <v>6062.75</v>
      </c>
      <c r="U28" s="37" t="n">
        <v>6062.75</v>
      </c>
      <c r="V28" s="18" t="n">
        <v>3455.45</v>
      </c>
      <c r="W28" s="18" t="n">
        <v>5763.27</v>
      </c>
      <c r="X28" s="18" t="n">
        <v>3527.35</v>
      </c>
      <c r="Y28" s="18" t="n">
        <v>5337.86</v>
      </c>
      <c r="Z28" s="37" t="n">
        <v>5337.86</v>
      </c>
      <c r="AA28" s="18" t="n">
        <v>7149.46</v>
      </c>
      <c r="AB28" s="19" t="n">
        <v>5800.67</v>
      </c>
      <c r="AC28" s="10" t="n"/>
      <c r="AD28" s="10" t="n"/>
      <c r="AE28" s="11" t="n"/>
      <c r="AF28" s="10" t="n"/>
      <c r="AG28" s="10" t="n"/>
      <c r="AH28" s="10" t="n"/>
      <c r="AI28" s="10" t="n"/>
      <c r="AJ28" s="11" t="n"/>
      <c r="AK28" s="10" t="n"/>
      <c r="AL28" s="10" t="n"/>
      <c r="AM28" s="10" t="n"/>
      <c r="AN28" s="10" t="n"/>
      <c r="AO28" s="11" t="n"/>
    </row>
    <row r="29">
      <c r="A29" t="n">
        <v>1</v>
      </c>
      <c r="C29" t="inlineStr">
        <is>
          <t>유동리스부채</t>
        </is>
      </c>
      <c r="E29" s="18" t="n">
        <v>154.42</v>
      </c>
      <c r="F29" s="37" t="n">
        <v>154.42</v>
      </c>
      <c r="G29" s="18" t="n">
        <v>97.93000000000001</v>
      </c>
      <c r="H29" s="18" t="n">
        <v>55.84</v>
      </c>
      <c r="I29" s="18" t="n">
        <v>51.26</v>
      </c>
      <c r="J29" s="18" t="n">
        <v>21.35</v>
      </c>
      <c r="K29" s="37" t="n">
        <v>21.35</v>
      </c>
      <c r="L29" s="18" t="n">
        <v>21.35</v>
      </c>
      <c r="M29" s="18" t="n">
        <v>21.35</v>
      </c>
      <c r="N29" s="18" t="n">
        <v>21.35</v>
      </c>
      <c r="O29" s="18" t="n">
        <v>21.35</v>
      </c>
      <c r="P29" s="37" t="n">
        <v>21.35</v>
      </c>
      <c r="Q29" s="18" t="n">
        <v>21.35</v>
      </c>
      <c r="R29" s="18" t="n">
        <v>21.35</v>
      </c>
      <c r="S29" s="18" t="n">
        <v>21.35</v>
      </c>
      <c r="T29" s="18" t="n">
        <v>16.01</v>
      </c>
      <c r="U29" s="37" t="n">
        <v>16.01</v>
      </c>
      <c r="V29" s="18" t="n">
        <v>10.68</v>
      </c>
      <c r="W29" s="18" t="n">
        <v>5.34</v>
      </c>
      <c r="X29" s="18" t="n">
        <v>6.24</v>
      </c>
      <c r="Y29" s="18" t="n">
        <v>17.4</v>
      </c>
      <c r="Z29" s="37" t="n">
        <v>17.4</v>
      </c>
      <c r="AA29" s="18" t="n">
        <v>13.05</v>
      </c>
      <c r="AB29" s="19" t="n">
        <v>8.699999999999999</v>
      </c>
      <c r="AC29" s="10" t="n"/>
      <c r="AD29" s="10" t="n"/>
      <c r="AE29" s="11" t="n"/>
      <c r="AF29" s="10" t="n"/>
      <c r="AG29" s="10" t="n"/>
      <c r="AH29" s="10" t="n"/>
      <c r="AI29" s="10" t="n"/>
      <c r="AJ29" s="11" t="n"/>
      <c r="AK29" s="10" t="n"/>
      <c r="AL29" s="10" t="n"/>
      <c r="AM29" s="10" t="n"/>
      <c r="AN29" s="10" t="n"/>
      <c r="AO29" s="11" t="n"/>
    </row>
    <row r="30">
      <c r="A30" t="n">
        <v>1</v>
      </c>
      <c r="C30" t="inlineStr">
        <is>
          <t>리스부채</t>
        </is>
      </c>
      <c r="E30" s="18" t="n">
        <v>231.31</v>
      </c>
      <c r="F30" s="37" t="n">
        <v>231.31</v>
      </c>
      <c r="G30" s="18" t="n">
        <v>174.82</v>
      </c>
      <c r="H30" s="18" t="n">
        <v>132.73</v>
      </c>
      <c r="I30" s="18" t="n">
        <v>64.06</v>
      </c>
      <c r="J30" s="18" t="n">
        <v>58.72</v>
      </c>
      <c r="K30" s="37" t="n">
        <v>58.72</v>
      </c>
      <c r="L30" s="18" t="n">
        <v>53.38</v>
      </c>
      <c r="M30" s="18" t="n">
        <v>48.04</v>
      </c>
      <c r="N30" s="18" t="n">
        <v>42.7</v>
      </c>
      <c r="O30" s="18" t="n">
        <v>37.36</v>
      </c>
      <c r="P30" s="37" t="n">
        <v>37.36</v>
      </c>
      <c r="Q30" s="18" t="n">
        <v>32.03</v>
      </c>
      <c r="R30" s="18" t="n">
        <v>26.69</v>
      </c>
      <c r="S30" s="18" t="n">
        <v>21.35</v>
      </c>
      <c r="T30" s="18" t="n">
        <v>16.01</v>
      </c>
      <c r="U30" s="37" t="n">
        <v>16.01</v>
      </c>
      <c r="V30" s="18" t="n">
        <v>10.68</v>
      </c>
      <c r="W30" s="18" t="n">
        <v>5.34</v>
      </c>
      <c r="X30" s="18" t="n">
        <v>74.91</v>
      </c>
      <c r="Y30" s="18" t="n">
        <v>47.85</v>
      </c>
      <c r="Z30" s="37" t="n">
        <v>47.85</v>
      </c>
      <c r="AA30" s="18" t="n">
        <v>43.5</v>
      </c>
      <c r="AB30" s="19" t="n">
        <v>39.15</v>
      </c>
      <c r="AC30" s="10" t="n"/>
      <c r="AD30" s="10" t="n"/>
      <c r="AE30" s="11" t="n"/>
      <c r="AF30" s="10" t="n"/>
      <c r="AG30" s="10" t="n"/>
      <c r="AH30" s="10" t="n"/>
      <c r="AI30" s="10" t="n"/>
      <c r="AJ30" s="11" t="n"/>
      <c r="AK30" s="10" t="n"/>
      <c r="AL30" s="10" t="n"/>
      <c r="AM30" s="10" t="n"/>
      <c r="AN30" s="10" t="n"/>
      <c r="AO30" s="11" t="n"/>
    </row>
    <row r="31">
      <c r="A31" t="n">
        <v>1</v>
      </c>
      <c r="C31" t="inlineStr">
        <is>
          <t>비유동부채</t>
        </is>
      </c>
      <c r="E31" s="18" t="n">
        <v>932.66</v>
      </c>
      <c r="F31" s="37" t="n">
        <v>932.66</v>
      </c>
      <c r="G31" s="18" t="n">
        <v>915.16</v>
      </c>
      <c r="H31" s="18" t="n">
        <v>25401.54</v>
      </c>
      <c r="I31" s="18" t="n">
        <v>22545.13</v>
      </c>
      <c r="J31" s="18" t="n">
        <v>18264.87</v>
      </c>
      <c r="K31" s="37" t="n">
        <v>18264.87</v>
      </c>
      <c r="L31" s="18" t="n">
        <v>15185.12</v>
      </c>
      <c r="M31" s="18" t="n">
        <v>12257.78</v>
      </c>
      <c r="N31" s="18" t="n">
        <v>9007.75</v>
      </c>
      <c r="O31" s="18" t="n">
        <v>5794.06</v>
      </c>
      <c r="P31" s="37" t="n">
        <v>5794.06</v>
      </c>
      <c r="Q31" s="18" t="n">
        <v>2620.46</v>
      </c>
      <c r="R31" s="18" t="n">
        <v>504.14</v>
      </c>
      <c r="S31" s="18" t="n">
        <v>428.8</v>
      </c>
      <c r="T31" s="18" t="n">
        <v>433.8</v>
      </c>
      <c r="U31" s="37" t="n">
        <v>433.8</v>
      </c>
      <c r="V31" s="18" t="n">
        <v>577.51</v>
      </c>
      <c r="W31" s="18" t="n">
        <v>477.46</v>
      </c>
      <c r="X31" s="18" t="n">
        <v>828.6799999999999</v>
      </c>
      <c r="Y31" s="18" t="n">
        <v>313.09</v>
      </c>
      <c r="Z31" s="37" t="n">
        <v>313.09</v>
      </c>
      <c r="AA31" s="18" t="n">
        <v>336.28</v>
      </c>
      <c r="AB31" s="19" t="n">
        <v>756.38</v>
      </c>
      <c r="AC31" s="10" t="n"/>
      <c r="AD31" s="10" t="n"/>
      <c r="AE31" s="11" t="n"/>
      <c r="AF31" s="10" t="n"/>
      <c r="AG31" s="10" t="n"/>
      <c r="AH31" s="10" t="n"/>
      <c r="AI31" s="10" t="n"/>
      <c r="AJ31" s="11" t="n"/>
      <c r="AK31" s="10" t="n"/>
      <c r="AL31" s="10" t="n"/>
      <c r="AM31" s="10" t="n"/>
      <c r="AN31" s="10" t="n"/>
      <c r="AO31" s="11" t="n"/>
    </row>
    <row r="32">
      <c r="A32" t="n">
        <v>1</v>
      </c>
      <c r="C32" t="inlineStr">
        <is>
          <t>기타비유동금융부채</t>
        </is>
      </c>
      <c r="E32" s="18" t="n">
        <v>16.5</v>
      </c>
      <c r="F32" s="37" t="n">
        <v>16.5</v>
      </c>
      <c r="G32" s="18" t="n">
        <v>16.5</v>
      </c>
      <c r="H32" s="18" t="n">
        <v>71.62</v>
      </c>
      <c r="I32" s="18" t="n">
        <v>199.45</v>
      </c>
      <c r="J32" s="18" t="n">
        <v>283.15</v>
      </c>
      <c r="K32" s="37" t="n">
        <v>283.15</v>
      </c>
      <c r="L32" s="18" t="n">
        <v>295.9</v>
      </c>
      <c r="M32" s="18" t="n">
        <v>455.9</v>
      </c>
      <c r="N32" s="18" t="n">
        <v>455.9</v>
      </c>
      <c r="O32" s="18" t="n">
        <v>500.4</v>
      </c>
      <c r="P32" s="37" t="n">
        <v>500.4</v>
      </c>
      <c r="Q32" s="18" t="n">
        <v>498.8</v>
      </c>
      <c r="R32" s="18" t="n">
        <v>498.8</v>
      </c>
      <c r="S32" s="18" t="n">
        <v>428.8</v>
      </c>
      <c r="T32" s="18" t="n">
        <v>433.8</v>
      </c>
      <c r="U32" s="37" t="n">
        <v>433.8</v>
      </c>
      <c r="V32" s="18" t="n">
        <v>451.84</v>
      </c>
      <c r="W32" s="18" t="n">
        <v>377.64</v>
      </c>
      <c r="X32" s="18" t="n">
        <v>382.64</v>
      </c>
      <c r="Y32" s="18" t="n">
        <v>282.64</v>
      </c>
      <c r="Z32" s="37" t="n">
        <v>282.64</v>
      </c>
      <c r="AA32" s="18" t="n">
        <v>305.83</v>
      </c>
      <c r="AB32" s="19" t="n">
        <v>305.83</v>
      </c>
      <c r="AC32" s="10" t="n"/>
      <c r="AD32" s="10" t="n"/>
      <c r="AE32" s="11" t="n"/>
      <c r="AF32" s="10" t="n"/>
      <c r="AG32" s="10" t="n"/>
      <c r="AH32" s="10" t="n"/>
      <c r="AI32" s="10" t="n"/>
      <c r="AJ32" s="11" t="n"/>
      <c r="AK32" s="10" t="n"/>
      <c r="AL32" s="10" t="n"/>
      <c r="AM32" s="10" t="n"/>
      <c r="AN32" s="10" t="n"/>
      <c r="AO32" s="11" t="n"/>
    </row>
    <row r="33">
      <c r="A33" t="n">
        <v>1</v>
      </c>
      <c r="C33" t="inlineStr">
        <is>
          <t>장기금융부채</t>
        </is>
      </c>
      <c r="E33" s="18" t="n">
        <v>93.39</v>
      </c>
      <c r="F33" s="37" t="n">
        <v>93.39</v>
      </c>
      <c r="G33" s="18" t="n">
        <v>93.39</v>
      </c>
      <c r="H33" s="18" t="n">
        <v>148.51</v>
      </c>
      <c r="I33" s="18" t="n">
        <v>212.25</v>
      </c>
      <c r="J33" s="18" t="n">
        <v>320.52</v>
      </c>
      <c r="K33" s="37" t="n">
        <v>320.52</v>
      </c>
      <c r="L33" s="18" t="n">
        <v>327.93</v>
      </c>
      <c r="M33" s="18" t="n">
        <v>482.59</v>
      </c>
      <c r="N33" s="18" t="n">
        <v>477.25</v>
      </c>
      <c r="O33" s="18" t="n">
        <v>516.41</v>
      </c>
      <c r="P33" s="37" t="n">
        <v>516.41</v>
      </c>
      <c r="Q33" s="18" t="n">
        <v>509.48</v>
      </c>
      <c r="R33" s="18" t="n">
        <v>504.14</v>
      </c>
      <c r="S33" s="18" t="n">
        <v>428.8</v>
      </c>
      <c r="T33" s="18" t="n">
        <v>433.8</v>
      </c>
      <c r="U33" s="37" t="n">
        <v>433.8</v>
      </c>
      <c r="V33" s="18" t="n">
        <v>451.84</v>
      </c>
      <c r="W33" s="18" t="n">
        <v>377.64</v>
      </c>
      <c r="X33" s="18" t="n">
        <v>451.31</v>
      </c>
      <c r="Y33" s="18" t="n">
        <v>313.09</v>
      </c>
      <c r="Z33" s="37" t="n">
        <v>313.09</v>
      </c>
      <c r="AA33" s="18" t="n">
        <v>336.28</v>
      </c>
      <c r="AB33" s="19" t="n">
        <v>336.28</v>
      </c>
      <c r="AC33" s="10" t="n"/>
      <c r="AD33" s="10" t="n"/>
      <c r="AE33" s="11" t="n"/>
      <c r="AF33" s="10" t="n"/>
      <c r="AG33" s="10" t="n"/>
      <c r="AH33" s="10" t="n"/>
      <c r="AI33" s="10" t="n"/>
      <c r="AJ33" s="11" t="n"/>
      <c r="AK33" s="10" t="n"/>
      <c r="AL33" s="10" t="n"/>
      <c r="AM33" s="10" t="n"/>
      <c r="AN33" s="10" t="n"/>
      <c r="AO33" s="11" t="n"/>
    </row>
    <row r="34">
      <c r="A34" t="n">
        <v>1</v>
      </c>
      <c r="C34" t="inlineStr">
        <is>
          <t>확정급여부채</t>
        </is>
      </c>
      <c r="E34" s="18" t="n">
        <v>457.37</v>
      </c>
      <c r="F34" s="37" t="n">
        <v>457.37</v>
      </c>
      <c r="G34" s="18" t="n">
        <v>717.09</v>
      </c>
      <c r="H34" s="18" t="n">
        <v>975.3</v>
      </c>
      <c r="I34" s="18" t="n">
        <v>1221.85</v>
      </c>
      <c r="J34" s="18" t="n">
        <v>0</v>
      </c>
      <c r="K34" s="37" t="n">
        <v>0</v>
      </c>
      <c r="O34" s="18" t="n">
        <v>0</v>
      </c>
      <c r="P34" s="37" t="n">
        <v>0</v>
      </c>
      <c r="T34" s="18" t="n">
        <v>0</v>
      </c>
      <c r="U34" s="37" t="n">
        <v>0</v>
      </c>
      <c r="V34" s="18" t="n">
        <v>125.67</v>
      </c>
      <c r="W34" s="18" t="n">
        <v>99.81999999999999</v>
      </c>
      <c r="X34" s="18" t="n">
        <v>377.37</v>
      </c>
      <c r="Y34" s="18" t="n">
        <v>0</v>
      </c>
      <c r="Z34" s="37" t="n">
        <v>0</v>
      </c>
      <c r="AA34" s="18" t="n">
        <v>0</v>
      </c>
      <c r="AB34" s="19" t="n">
        <v>0</v>
      </c>
      <c r="AC34" s="10" t="n"/>
      <c r="AD34" s="10" t="n"/>
      <c r="AE34" s="11" t="n"/>
      <c r="AF34" s="10" t="n"/>
      <c r="AG34" s="10" t="n"/>
      <c r="AH34" s="10" t="n"/>
      <c r="AI34" s="10" t="n"/>
      <c r="AJ34" s="11" t="n"/>
      <c r="AK34" s="10" t="n"/>
      <c r="AL34" s="10" t="n"/>
      <c r="AM34" s="10" t="n"/>
      <c r="AN34" s="10" t="n"/>
      <c r="AO34" s="11" t="n"/>
    </row>
    <row r="35">
      <c r="A35" t="n">
        <v>1</v>
      </c>
      <c r="C35" t="inlineStr">
        <is>
          <t>비유동리스부채</t>
        </is>
      </c>
      <c r="E35" s="18" t="n">
        <v>76.89</v>
      </c>
      <c r="F35" s="37" t="n">
        <v>76.89</v>
      </c>
      <c r="G35" s="18" t="n">
        <v>76.89</v>
      </c>
      <c r="H35" s="18" t="n">
        <v>76.89</v>
      </c>
      <c r="I35" s="18" t="n">
        <v>12.8</v>
      </c>
      <c r="J35" s="18" t="n">
        <v>37.37</v>
      </c>
      <c r="K35" s="37" t="n">
        <v>37.37</v>
      </c>
      <c r="L35" s="18" t="n">
        <v>32.03</v>
      </c>
      <c r="M35" s="18" t="n">
        <v>26.69</v>
      </c>
      <c r="N35" s="18" t="n">
        <v>21.35</v>
      </c>
      <c r="O35" s="18" t="n">
        <v>16.01</v>
      </c>
      <c r="P35" s="37" t="n">
        <v>16.01</v>
      </c>
      <c r="Q35" s="18" t="n">
        <v>10.68</v>
      </c>
      <c r="R35" s="18" t="n">
        <v>5.34</v>
      </c>
      <c r="S35" s="18" t="n">
        <v>0</v>
      </c>
      <c r="T35" s="18" t="n">
        <v>0</v>
      </c>
      <c r="U35" s="37" t="n">
        <v>0</v>
      </c>
      <c r="X35" s="18" t="n">
        <v>68.67</v>
      </c>
      <c r="Y35" s="18" t="n">
        <v>30.45</v>
      </c>
      <c r="Z35" s="37" t="n">
        <v>30.45</v>
      </c>
      <c r="AA35" s="18" t="n">
        <v>30.45</v>
      </c>
      <c r="AB35" s="19" t="n">
        <v>30.45</v>
      </c>
      <c r="AC35" s="10" t="n"/>
      <c r="AD35" s="10" t="n"/>
      <c r="AE35" s="11" t="n"/>
      <c r="AF35" s="10" t="n"/>
      <c r="AG35" s="10" t="n"/>
      <c r="AH35" s="10" t="n"/>
      <c r="AI35" s="10" t="n"/>
      <c r="AJ35" s="11" t="n"/>
      <c r="AK35" s="10" t="n"/>
      <c r="AL35" s="10" t="n"/>
      <c r="AM35" s="10" t="n"/>
      <c r="AN35" s="10" t="n"/>
      <c r="AO35" s="11" t="n"/>
    </row>
    <row r="36">
      <c r="A36" t="n">
        <v>1</v>
      </c>
      <c r="C36" t="inlineStr">
        <is>
          <t>이연법인세부채</t>
        </is>
      </c>
      <c r="E36" s="18" t="n">
        <v>0</v>
      </c>
      <c r="F36" s="37" t="n">
        <v>0</v>
      </c>
      <c r="G36" s="18" t="n">
        <v>104.67</v>
      </c>
      <c r="I36" s="18" t="n">
        <v>0</v>
      </c>
      <c r="K36" s="9" t="n"/>
      <c r="L36" s="18" t="n">
        <v>79.51000000000001</v>
      </c>
      <c r="M36" s="18" t="n">
        <v>164.19</v>
      </c>
      <c r="N36" s="18" t="n">
        <v>86.18000000000001</v>
      </c>
      <c r="P36" s="9" t="n"/>
      <c r="U36" s="9" t="n"/>
      <c r="Z36" s="9" t="n"/>
      <c r="AB36" s="19" t="n">
        <v>420.11</v>
      </c>
      <c r="AC36" s="10" t="n"/>
      <c r="AD36" s="10" t="n"/>
      <c r="AE36" s="11" t="n"/>
      <c r="AF36" s="10" t="n"/>
      <c r="AG36" s="10" t="n"/>
      <c r="AH36" s="10" t="n"/>
      <c r="AI36" s="10" t="n"/>
      <c r="AJ36" s="11" t="n"/>
      <c r="AK36" s="10" t="n"/>
      <c r="AL36" s="10" t="n"/>
      <c r="AM36" s="10" t="n"/>
      <c r="AN36" s="10" t="n"/>
      <c r="AO36" s="11" t="n"/>
    </row>
    <row r="37">
      <c r="A37" t="n">
        <v>1</v>
      </c>
      <c r="C37" t="inlineStr">
        <is>
          <t>부채총계</t>
        </is>
      </c>
      <c r="E37" s="18" t="n">
        <v>71699.39</v>
      </c>
      <c r="F37" s="37" t="n">
        <v>71699.39</v>
      </c>
      <c r="G37" s="18" t="n">
        <v>71898.75999999999</v>
      </c>
      <c r="H37" s="18" t="n">
        <v>117238.75</v>
      </c>
      <c r="I37" s="18" t="n">
        <v>98141.14999999999</v>
      </c>
      <c r="J37" s="18" t="n">
        <v>94093.07000000001</v>
      </c>
      <c r="K37" s="37" t="n">
        <v>94093.07000000001</v>
      </c>
      <c r="L37" s="18" t="n">
        <v>85917.13</v>
      </c>
      <c r="M37" s="18" t="n">
        <v>80334.14</v>
      </c>
      <c r="N37" s="18" t="n">
        <v>74383.11</v>
      </c>
      <c r="O37" s="18" t="n">
        <v>73785.14</v>
      </c>
      <c r="P37" s="37" t="n">
        <v>73785.14</v>
      </c>
      <c r="Q37" s="18" t="n">
        <v>74265.41</v>
      </c>
      <c r="R37" s="18" t="n">
        <v>80521.00999999999</v>
      </c>
      <c r="S37" s="18" t="n">
        <v>71292.83</v>
      </c>
      <c r="T37" s="18" t="n">
        <v>71626.92</v>
      </c>
      <c r="U37" s="37" t="n">
        <v>71626.92</v>
      </c>
      <c r="V37" s="18" t="n">
        <v>68419.42</v>
      </c>
      <c r="W37" s="18" t="n">
        <v>74865.97</v>
      </c>
      <c r="X37" s="18" t="n">
        <v>68207.84</v>
      </c>
      <c r="Y37" s="18" t="n">
        <v>83044.63</v>
      </c>
      <c r="Z37" s="37" t="n">
        <v>83044.63</v>
      </c>
      <c r="AA37" s="18" t="n">
        <v>80795.14999999999</v>
      </c>
      <c r="AB37" s="19" t="n">
        <v>88774.61</v>
      </c>
      <c r="AC37" s="10" t="n"/>
      <c r="AD37" s="10" t="n"/>
      <c r="AE37" s="11" t="n"/>
      <c r="AF37" s="10" t="n"/>
      <c r="AG37" s="10" t="n"/>
      <c r="AH37" s="10" t="n"/>
      <c r="AI37" s="10" t="n"/>
      <c r="AJ37" s="11" t="n"/>
      <c r="AK37" s="10" t="n"/>
      <c r="AL37" s="10" t="n"/>
      <c r="AM37" s="10" t="n"/>
      <c r="AN37" s="10" t="n"/>
      <c r="AO37" s="11" t="n"/>
    </row>
    <row r="38">
      <c r="A38" t="n">
        <v>1</v>
      </c>
      <c r="C38" t="inlineStr">
        <is>
          <t>자본금</t>
        </is>
      </c>
      <c r="E38" s="18" t="n">
        <v>8000</v>
      </c>
      <c r="F38" s="37" t="n">
        <v>8000</v>
      </c>
      <c r="G38" s="18" t="n">
        <v>8000</v>
      </c>
      <c r="H38" s="18" t="n">
        <v>8000</v>
      </c>
      <c r="I38" s="18" t="n">
        <v>8000</v>
      </c>
      <c r="J38" s="18" t="n">
        <v>8000</v>
      </c>
      <c r="K38" s="37" t="n">
        <v>8000</v>
      </c>
      <c r="L38" s="18" t="n">
        <v>8000</v>
      </c>
      <c r="M38" s="18" t="n">
        <v>8000</v>
      </c>
      <c r="N38" s="18" t="n">
        <v>8000</v>
      </c>
      <c r="O38" s="18" t="n">
        <v>8000</v>
      </c>
      <c r="P38" s="37" t="n">
        <v>8000</v>
      </c>
      <c r="Q38" s="18" t="n">
        <v>8000</v>
      </c>
      <c r="R38" s="18" t="n">
        <v>8000</v>
      </c>
      <c r="S38" s="18" t="n">
        <v>8000</v>
      </c>
      <c r="T38" s="18" t="n">
        <v>8000</v>
      </c>
      <c r="U38" s="37" t="n">
        <v>8000</v>
      </c>
      <c r="V38" s="18" t="n">
        <v>8000</v>
      </c>
      <c r="W38" s="18" t="n">
        <v>8000</v>
      </c>
      <c r="X38" s="18" t="n">
        <v>8000</v>
      </c>
      <c r="Y38" s="18" t="n">
        <v>8000</v>
      </c>
      <c r="Z38" s="37" t="n">
        <v>8000</v>
      </c>
      <c r="AA38" s="18" t="n">
        <v>8000</v>
      </c>
      <c r="AB38" s="19" t="n">
        <v>8000</v>
      </c>
      <c r="AC38" s="10" t="n"/>
      <c r="AD38" s="10" t="n"/>
      <c r="AE38" s="11" t="n"/>
      <c r="AF38" s="10" t="n"/>
      <c r="AG38" s="10" t="n"/>
      <c r="AH38" s="10" t="n"/>
      <c r="AI38" s="10" t="n"/>
      <c r="AJ38" s="11" t="n"/>
      <c r="AK38" s="10" t="n"/>
      <c r="AL38" s="10" t="n"/>
      <c r="AM38" s="10" t="n"/>
      <c r="AN38" s="10" t="n"/>
      <c r="AO38" s="11" t="n"/>
    </row>
    <row r="39">
      <c r="A39" t="n">
        <v>1</v>
      </c>
      <c r="C39" t="inlineStr">
        <is>
          <t>자본잉여금</t>
        </is>
      </c>
      <c r="E39" s="18" t="n">
        <v>13702.96</v>
      </c>
      <c r="F39" s="37" t="n">
        <v>13702.96</v>
      </c>
      <c r="G39" s="18" t="n">
        <v>13702.96</v>
      </c>
      <c r="H39" s="18" t="n">
        <v>13702.96</v>
      </c>
      <c r="I39" s="18" t="n">
        <v>13702.96</v>
      </c>
      <c r="J39" s="18" t="n">
        <v>13702.96</v>
      </c>
      <c r="K39" s="37" t="n">
        <v>13702.96</v>
      </c>
      <c r="L39" s="18" t="n">
        <v>13702.96</v>
      </c>
      <c r="M39" s="18" t="n">
        <v>13702.96</v>
      </c>
      <c r="N39" s="18" t="n">
        <v>13702.96</v>
      </c>
      <c r="O39" s="18" t="n">
        <v>13702.96</v>
      </c>
      <c r="P39" s="37" t="n">
        <v>13702.96</v>
      </c>
      <c r="Q39" s="18" t="n">
        <v>13702.96</v>
      </c>
      <c r="R39" s="18" t="n">
        <v>13702.96</v>
      </c>
      <c r="S39" s="18" t="n">
        <v>13702.96</v>
      </c>
      <c r="T39" s="18" t="n">
        <v>13702.96</v>
      </c>
      <c r="U39" s="37" t="n">
        <v>13702.96</v>
      </c>
      <c r="V39" s="18" t="n">
        <v>13702.96</v>
      </c>
      <c r="W39" s="18" t="n">
        <v>13702.96</v>
      </c>
      <c r="X39" s="18" t="n">
        <v>13702.96</v>
      </c>
      <c r="Y39" s="18" t="n">
        <v>13702.96</v>
      </c>
      <c r="Z39" s="37" t="n">
        <v>13702.96</v>
      </c>
      <c r="AA39" s="18" t="n">
        <v>8002.96</v>
      </c>
      <c r="AB39" s="19" t="n">
        <v>8002.96</v>
      </c>
      <c r="AC39" s="10" t="n"/>
      <c r="AD39" s="10" t="n"/>
      <c r="AE39" s="11" t="n"/>
      <c r="AF39" s="10" t="n"/>
      <c r="AG39" s="10" t="n"/>
      <c r="AH39" s="10" t="n"/>
      <c r="AI39" s="10" t="n"/>
      <c r="AJ39" s="11" t="n"/>
      <c r="AK39" s="10" t="n"/>
      <c r="AL39" s="10" t="n"/>
      <c r="AM39" s="10" t="n"/>
      <c r="AN39" s="10" t="n"/>
      <c r="AO39" s="11" t="n"/>
    </row>
    <row r="40">
      <c r="A40" t="n">
        <v>1</v>
      </c>
      <c r="C40" t="inlineStr">
        <is>
          <t>이익잉여금</t>
        </is>
      </c>
      <c r="E40" s="18" t="n">
        <v>143048.31</v>
      </c>
      <c r="F40" s="37" t="n">
        <v>143048.31</v>
      </c>
      <c r="G40" s="18" t="n">
        <v>149810.5</v>
      </c>
      <c r="H40" s="18" t="n">
        <v>152875.2</v>
      </c>
      <c r="I40" s="18" t="n">
        <v>161248.94</v>
      </c>
      <c r="J40" s="18" t="n">
        <v>162288.15</v>
      </c>
      <c r="K40" s="37" t="n">
        <v>162288.15</v>
      </c>
      <c r="L40" s="18" t="n">
        <v>166607.45</v>
      </c>
      <c r="M40" s="18" t="n">
        <v>170587.49</v>
      </c>
      <c r="N40" s="18" t="n">
        <v>175153</v>
      </c>
      <c r="O40" s="18" t="n">
        <v>175121.95</v>
      </c>
      <c r="P40" s="37" t="n">
        <v>175121.95</v>
      </c>
      <c r="Q40" s="18" t="n">
        <v>178288.18</v>
      </c>
      <c r="R40" s="18" t="n">
        <v>181873.14</v>
      </c>
      <c r="S40" s="18" t="n">
        <v>185885.46</v>
      </c>
      <c r="T40" s="18" t="n">
        <v>186206.74</v>
      </c>
      <c r="U40" s="37" t="n">
        <v>186206.74</v>
      </c>
      <c r="V40" s="18" t="n">
        <v>189391.75</v>
      </c>
      <c r="W40" s="18" t="n">
        <v>190898.6</v>
      </c>
      <c r="X40" s="18" t="n">
        <v>196706.46</v>
      </c>
      <c r="Y40" s="18" t="n">
        <v>195920.43</v>
      </c>
      <c r="Z40" s="37" t="n">
        <v>195920.43</v>
      </c>
      <c r="AA40" s="18" t="n">
        <v>206309.56</v>
      </c>
      <c r="AB40" s="19" t="n">
        <v>216860.58</v>
      </c>
      <c r="AC40" s="10" t="n"/>
      <c r="AD40" s="10" t="n"/>
      <c r="AE40" s="11" t="n"/>
      <c r="AF40" s="10" t="n"/>
      <c r="AG40" s="10" t="n"/>
      <c r="AH40" s="10" t="n"/>
      <c r="AI40" s="10" t="n"/>
      <c r="AJ40" s="11" t="n"/>
      <c r="AK40" s="10" t="n"/>
      <c r="AL40" s="10" t="n"/>
      <c r="AM40" s="10" t="n"/>
      <c r="AN40" s="10" t="n"/>
      <c r="AO40" s="11" t="n"/>
    </row>
    <row r="41">
      <c r="A41" t="n">
        <v>1</v>
      </c>
      <c r="C41" t="inlineStr">
        <is>
          <t>기타자본</t>
        </is>
      </c>
      <c r="E41" s="18" t="n">
        <v>1506.28</v>
      </c>
      <c r="F41" s="37" t="n">
        <v>1506.28</v>
      </c>
      <c r="G41" s="18" t="n">
        <v>1775.96</v>
      </c>
      <c r="H41" s="18" t="n">
        <v>1578.19</v>
      </c>
      <c r="I41" s="18" t="n">
        <v>1272.55</v>
      </c>
      <c r="J41" s="18" t="n">
        <v>1541.98</v>
      </c>
      <c r="K41" s="37" t="n">
        <v>1541.98</v>
      </c>
      <c r="L41" s="18" t="n">
        <v>1771.84</v>
      </c>
      <c r="M41" s="18" t="n">
        <v>1563.99</v>
      </c>
      <c r="N41" s="18" t="n">
        <v>1425.42</v>
      </c>
      <c r="O41" s="18" t="n">
        <v>1326.97</v>
      </c>
      <c r="P41" s="37" t="n">
        <v>1326.97</v>
      </c>
      <c r="Q41" s="18" t="n">
        <v>1314.2</v>
      </c>
      <c r="R41" s="18" t="n">
        <v>1440.01</v>
      </c>
      <c r="S41" s="18" t="n">
        <v>289.41</v>
      </c>
      <c r="T41" s="18" t="n">
        <v>289.41</v>
      </c>
      <c r="U41" s="37" t="n">
        <v>289.41</v>
      </c>
      <c r="V41" s="18" t="n">
        <v>289.41</v>
      </c>
      <c r="W41" s="18" t="n">
        <v>289.41</v>
      </c>
      <c r="X41" s="18" t="n">
        <v>289.41</v>
      </c>
      <c r="Y41" s="18" t="n">
        <v>280.61</v>
      </c>
      <c r="Z41" s="37" t="n">
        <v>280.61</v>
      </c>
      <c r="AA41" s="18" t="n">
        <v>160.91</v>
      </c>
      <c r="AB41" s="19" t="n">
        <v>189.66</v>
      </c>
      <c r="AC41" s="10" t="n"/>
      <c r="AD41" s="10" t="n"/>
      <c r="AE41" s="11" t="n"/>
      <c r="AF41" s="10" t="n"/>
      <c r="AG41" s="10" t="n"/>
      <c r="AH41" s="10" t="n"/>
      <c r="AI41" s="10" t="n"/>
      <c r="AJ41" s="11" t="n"/>
      <c r="AK41" s="10" t="n"/>
      <c r="AL41" s="10" t="n"/>
      <c r="AM41" s="10" t="n"/>
      <c r="AN41" s="10" t="n"/>
      <c r="AO41" s="11" t="n"/>
    </row>
    <row r="42">
      <c r="A42" t="n">
        <v>1</v>
      </c>
      <c r="C42" t="inlineStr">
        <is>
          <t>자본총계</t>
        </is>
      </c>
      <c r="E42" s="18" t="n">
        <v>166257.55</v>
      </c>
      <c r="F42" s="37" t="n">
        <v>166257.55</v>
      </c>
      <c r="G42" s="18" t="n">
        <v>173289.43</v>
      </c>
      <c r="H42" s="18" t="n">
        <v>176156.36</v>
      </c>
      <c r="I42" s="18" t="n">
        <v>184224.46</v>
      </c>
      <c r="J42" s="18" t="n">
        <v>185533.1</v>
      </c>
      <c r="K42" s="37" t="n">
        <v>185533.1</v>
      </c>
      <c r="L42" s="18" t="n">
        <v>190082.26</v>
      </c>
      <c r="M42" s="18" t="n">
        <v>193854.44</v>
      </c>
      <c r="N42" s="18" t="n">
        <v>198281.38</v>
      </c>
      <c r="O42" s="18" t="n">
        <v>198151.88</v>
      </c>
      <c r="P42" s="37" t="n">
        <v>198151.88</v>
      </c>
      <c r="Q42" s="18" t="n">
        <v>201305.35</v>
      </c>
      <c r="R42" s="18" t="n">
        <v>205016.11</v>
      </c>
      <c r="S42" s="18" t="n">
        <v>207877.83</v>
      </c>
      <c r="T42" s="18" t="n">
        <v>208199.11</v>
      </c>
      <c r="U42" s="37" t="n">
        <v>208199.11</v>
      </c>
      <c r="V42" s="18" t="n">
        <v>211384.12</v>
      </c>
      <c r="W42" s="18" t="n">
        <v>212890.97</v>
      </c>
      <c r="X42" s="18" t="n">
        <v>218698.83</v>
      </c>
      <c r="Y42" s="18" t="n">
        <v>217904</v>
      </c>
      <c r="Z42" s="37" t="n">
        <v>217904</v>
      </c>
      <c r="AA42" s="18" t="n">
        <v>222473.44</v>
      </c>
      <c r="AB42" s="19" t="n">
        <v>233053.21</v>
      </c>
      <c r="AC42" s="10" t="n"/>
      <c r="AD42" s="10" t="n"/>
      <c r="AE42" s="11" t="n"/>
      <c r="AF42" s="10" t="n"/>
      <c r="AG42" s="10" t="n"/>
      <c r="AH42" s="10" t="n"/>
      <c r="AI42" s="10" t="n"/>
      <c r="AJ42" s="11" t="n"/>
      <c r="AK42" s="10" t="n"/>
      <c r="AL42" s="10" t="n"/>
      <c r="AM42" s="10" t="n"/>
      <c r="AN42" s="10" t="n"/>
      <c r="AO42" s="11" t="n"/>
    </row>
    <row r="43">
      <c r="A43" t="n">
        <v>1</v>
      </c>
      <c r="C43" t="inlineStr">
        <is>
          <t>부채와자본총계</t>
        </is>
      </c>
      <c r="E43" s="18" t="n">
        <v>237956.94</v>
      </c>
      <c r="F43" s="37" t="n">
        <v>237956.94</v>
      </c>
      <c r="G43" s="18" t="n">
        <v>245188.18</v>
      </c>
      <c r="H43" s="18" t="n">
        <v>293395.11</v>
      </c>
      <c r="I43" s="18" t="n">
        <v>282365.61</v>
      </c>
      <c r="J43" s="18" t="n">
        <v>279626.17</v>
      </c>
      <c r="K43" s="37" t="n">
        <v>279626.17</v>
      </c>
      <c r="L43" s="18" t="n">
        <v>275999.39</v>
      </c>
      <c r="M43" s="18" t="n">
        <v>274188.58</v>
      </c>
      <c r="N43" s="18" t="n">
        <v>272664.49</v>
      </c>
      <c r="O43" s="18" t="n">
        <v>271937.03</v>
      </c>
      <c r="P43" s="37" t="n">
        <v>271937.03</v>
      </c>
      <c r="Q43" s="18" t="n">
        <v>275570.76</v>
      </c>
      <c r="R43" s="18" t="n">
        <v>285537.12</v>
      </c>
      <c r="S43" s="18" t="n">
        <v>279170.66</v>
      </c>
      <c r="T43" s="18" t="n">
        <v>279826.03</v>
      </c>
      <c r="U43" s="37" t="n">
        <v>279826.03</v>
      </c>
      <c r="V43" s="18" t="n">
        <v>279803.54</v>
      </c>
      <c r="W43" s="18" t="n">
        <v>287756.94</v>
      </c>
      <c r="X43" s="18" t="n">
        <v>286906.67</v>
      </c>
      <c r="Y43" s="18" t="n">
        <v>300948.63</v>
      </c>
      <c r="Z43" s="37" t="n">
        <v>300948.63</v>
      </c>
      <c r="AA43" s="18" t="n">
        <v>303268.58</v>
      </c>
      <c r="AB43" s="19" t="n">
        <v>321827.82</v>
      </c>
      <c r="AC43" s="10" t="n"/>
      <c r="AD43" s="10" t="n"/>
      <c r="AE43" s="11" t="n"/>
      <c r="AF43" s="10" t="n"/>
      <c r="AG43" s="10" t="n"/>
      <c r="AH43" s="10" t="n"/>
      <c r="AI43" s="10" t="n"/>
      <c r="AJ43" s="11" t="n"/>
      <c r="AK43" s="10" t="n"/>
      <c r="AL43" s="10" t="n"/>
      <c r="AM43" s="10" t="n"/>
      <c r="AN43" s="10" t="n"/>
      <c r="AO43" s="11" t="n"/>
    </row>
    <row r="44">
      <c r="A44" t="n">
        <v>1</v>
      </c>
      <c r="C44" t="inlineStr">
        <is>
          <t>지배주주지분</t>
        </is>
      </c>
      <c r="E44" s="18" t="n">
        <v>166257.55</v>
      </c>
      <c r="F44" s="37" t="n">
        <v>166257.55</v>
      </c>
      <c r="G44" s="18" t="n">
        <v>173289.43</v>
      </c>
      <c r="H44" s="18" t="n">
        <v>176156.36</v>
      </c>
      <c r="I44" s="18" t="n">
        <v>184224.46</v>
      </c>
      <c r="J44" s="18" t="n">
        <v>185533.1</v>
      </c>
      <c r="K44" s="37" t="n">
        <v>185533.1</v>
      </c>
      <c r="L44" s="18" t="n">
        <v>190082.26</v>
      </c>
      <c r="M44" s="18" t="n">
        <v>193854.44</v>
      </c>
      <c r="N44" s="18" t="n">
        <v>198281.38</v>
      </c>
      <c r="O44" s="18" t="n">
        <v>198151.88</v>
      </c>
      <c r="P44" s="37" t="n">
        <v>198151.88</v>
      </c>
      <c r="Q44" s="18" t="n">
        <v>201305.35</v>
      </c>
      <c r="R44" s="18" t="n">
        <v>205016.11</v>
      </c>
      <c r="S44" s="18" t="n">
        <v>207877.83</v>
      </c>
      <c r="T44" s="18" t="n">
        <v>208199.11</v>
      </c>
      <c r="U44" s="37" t="n">
        <v>208199.11</v>
      </c>
      <c r="V44" s="18" t="n">
        <v>211384.12</v>
      </c>
      <c r="W44" s="18" t="n">
        <v>212890.97</v>
      </c>
      <c r="X44" s="18" t="n">
        <v>218698.83</v>
      </c>
      <c r="Y44" s="18" t="n">
        <v>217904</v>
      </c>
      <c r="Z44" s="37" t="n">
        <v>217904</v>
      </c>
      <c r="AA44" s="18" t="n">
        <v>222473.44</v>
      </c>
      <c r="AB44" s="19" t="n">
        <v>233053.21</v>
      </c>
      <c r="AC44" s="10" t="n"/>
      <c r="AD44" s="10" t="n"/>
      <c r="AE44" s="11" t="n"/>
      <c r="AF44" s="10" t="n"/>
      <c r="AG44" s="10" t="n"/>
      <c r="AH44" s="10" t="n"/>
      <c r="AI44" s="10" t="n"/>
      <c r="AJ44" s="11" t="n"/>
      <c r="AK44" s="10" t="n"/>
      <c r="AL44" s="10" t="n"/>
      <c r="AM44" s="10" t="n"/>
      <c r="AN44" s="10" t="n"/>
      <c r="AO44" s="11" t="n"/>
    </row>
    <row r="45">
      <c r="A45" t="n">
        <v>1</v>
      </c>
      <c r="C45" t="inlineStr">
        <is>
          <t>총차입금</t>
        </is>
      </c>
      <c r="E45" s="18" t="n">
        <v>37175.06</v>
      </c>
      <c r="F45" s="37" t="n">
        <v>37175.06</v>
      </c>
      <c r="G45" s="18" t="n">
        <v>39703.5</v>
      </c>
      <c r="H45" s="18" t="n">
        <v>83320.89</v>
      </c>
      <c r="I45" s="18" t="n">
        <v>71088.33</v>
      </c>
      <c r="J45" s="18" t="n">
        <v>66032.17999999999</v>
      </c>
      <c r="K45" s="37" t="n">
        <v>66032.17999999999</v>
      </c>
      <c r="L45" s="18" t="n">
        <v>60699.95</v>
      </c>
      <c r="M45" s="18" t="n">
        <v>58133.83</v>
      </c>
      <c r="N45" s="18" t="n">
        <v>52551.42</v>
      </c>
      <c r="O45" s="18" t="n">
        <v>51216.49</v>
      </c>
      <c r="P45" s="37" t="n">
        <v>51216.49</v>
      </c>
      <c r="Q45" s="18" t="n">
        <v>49091.73</v>
      </c>
      <c r="R45" s="18" t="n">
        <v>52078.77</v>
      </c>
      <c r="S45" s="18" t="n">
        <v>48357.75</v>
      </c>
      <c r="T45" s="18" t="n">
        <v>43001.09</v>
      </c>
      <c r="U45" s="37" t="n">
        <v>43001.09</v>
      </c>
      <c r="V45" s="18" t="n">
        <v>42146.06</v>
      </c>
      <c r="W45" s="18" t="n">
        <v>47936.26</v>
      </c>
      <c r="X45" s="18" t="n">
        <v>45896.64</v>
      </c>
      <c r="Y45" s="18" t="n">
        <v>54118.99</v>
      </c>
      <c r="Z45" s="37" t="n">
        <v>54118.99</v>
      </c>
      <c r="AA45" s="18" t="n">
        <v>49401.13</v>
      </c>
      <c r="AB45" s="19" t="n">
        <v>52140.12</v>
      </c>
      <c r="AC45" s="10" t="n"/>
      <c r="AD45" s="10" t="n"/>
      <c r="AE45" s="11" t="n"/>
      <c r="AF45" s="10" t="n"/>
      <c r="AG45" s="10" t="n"/>
      <c r="AH45" s="10" t="n"/>
      <c r="AI45" s="10" t="n"/>
      <c r="AJ45" s="11" t="n"/>
      <c r="AK45" s="10" t="n"/>
      <c r="AL45" s="10" t="n"/>
      <c r="AM45" s="10" t="n"/>
      <c r="AN45" s="10" t="n"/>
      <c r="AO45" s="11" t="n"/>
    </row>
    <row r="46">
      <c r="A46" t="n">
        <v>1</v>
      </c>
      <c r="C46" t="inlineStr">
        <is>
          <t>순차입금</t>
        </is>
      </c>
      <c r="E46" s="18" t="n">
        <v>25342.46</v>
      </c>
      <c r="F46" s="37" t="n">
        <v>25342.46</v>
      </c>
      <c r="G46" s="18" t="n">
        <v>34045.7</v>
      </c>
      <c r="H46" s="18" t="n">
        <v>79656.75999999999</v>
      </c>
      <c r="I46" s="18" t="n">
        <v>63333.7</v>
      </c>
      <c r="J46" s="18" t="n">
        <v>61986.42</v>
      </c>
      <c r="K46" s="37" t="n">
        <v>61986.42</v>
      </c>
      <c r="L46" s="18" t="n">
        <v>59800.87</v>
      </c>
      <c r="M46" s="18" t="n">
        <v>56754.18</v>
      </c>
      <c r="N46" s="18" t="n">
        <v>48662.81</v>
      </c>
      <c r="O46" s="18" t="n">
        <v>48404.11</v>
      </c>
      <c r="P46" s="37" t="n">
        <v>48404.11</v>
      </c>
      <c r="Q46" s="18" t="n">
        <v>47648.25</v>
      </c>
      <c r="R46" s="18" t="n">
        <v>47707.41</v>
      </c>
      <c r="S46" s="18" t="n">
        <v>43076.19</v>
      </c>
      <c r="T46" s="18" t="n">
        <v>38669.92</v>
      </c>
      <c r="U46" s="37" t="n">
        <v>38669.92</v>
      </c>
      <c r="V46" s="18" t="n">
        <v>36548.12</v>
      </c>
      <c r="W46" s="18" t="n">
        <v>35666.89</v>
      </c>
      <c r="X46" s="18" t="n">
        <v>39587.2</v>
      </c>
      <c r="Y46" s="18" t="n">
        <v>40704</v>
      </c>
      <c r="Z46" s="37" t="n">
        <v>40704</v>
      </c>
      <c r="AA46" s="18" t="n">
        <v>39046.8</v>
      </c>
      <c r="AB46" s="19" t="n">
        <v>43254.79</v>
      </c>
      <c r="AC46" s="10" t="n"/>
      <c r="AD46" s="10" t="n"/>
      <c r="AE46" s="11" t="n"/>
      <c r="AF46" s="10" t="n"/>
      <c r="AG46" s="10" t="n"/>
      <c r="AH46" s="10" t="n"/>
      <c r="AI46" s="10" t="n"/>
      <c r="AJ46" s="11" t="n"/>
      <c r="AK46" s="10" t="n"/>
      <c r="AL46" s="10" t="n"/>
      <c r="AM46" s="10" t="n"/>
      <c r="AN46" s="10" t="n"/>
      <c r="AO46" s="11" t="n"/>
    </row>
    <row r="47">
      <c r="A47" t="n">
        <v>1</v>
      </c>
      <c r="C47" t="inlineStr">
        <is>
          <t>이자발생자산</t>
        </is>
      </c>
      <c r="E47" s="18" t="n">
        <v>27593.8</v>
      </c>
      <c r="F47" s="37" t="n">
        <v>27593.8</v>
      </c>
      <c r="G47" s="18" t="n">
        <v>23328.38</v>
      </c>
      <c r="H47" s="18" t="n">
        <v>19537.49</v>
      </c>
      <c r="I47" s="18" t="n">
        <v>21558.18</v>
      </c>
      <c r="J47" s="18" t="n">
        <v>27978.79</v>
      </c>
      <c r="K47" s="37" t="n">
        <v>27978.79</v>
      </c>
      <c r="L47" s="18" t="n">
        <v>28411.62</v>
      </c>
      <c r="M47" s="18" t="n">
        <v>27973.08</v>
      </c>
      <c r="N47" s="18" t="n">
        <v>13170.36</v>
      </c>
      <c r="O47" s="18" t="n">
        <v>11334.85</v>
      </c>
      <c r="P47" s="37" t="n">
        <v>11334.85</v>
      </c>
      <c r="Q47" s="18" t="n">
        <v>9291.370000000001</v>
      </c>
      <c r="R47" s="18" t="n">
        <v>27902.7</v>
      </c>
      <c r="S47" s="18" t="n">
        <v>9476.969999999999</v>
      </c>
      <c r="T47" s="18" t="n">
        <v>8243.17</v>
      </c>
      <c r="U47" s="37" t="n">
        <v>8243.17</v>
      </c>
      <c r="V47" s="18" t="n">
        <v>9496.309999999999</v>
      </c>
      <c r="W47" s="18" t="n">
        <v>37452.14</v>
      </c>
      <c r="X47" s="18" t="n">
        <v>12214</v>
      </c>
      <c r="Y47" s="18" t="n">
        <v>18651.1</v>
      </c>
      <c r="Z47" s="37" t="n">
        <v>18651.1</v>
      </c>
      <c r="AA47" s="18" t="n">
        <v>15245.61</v>
      </c>
      <c r="AB47" s="19" t="n">
        <v>39702</v>
      </c>
      <c r="AC47" s="10" t="n"/>
      <c r="AD47" s="10" t="n"/>
      <c r="AE47" s="11" t="n"/>
      <c r="AF47" s="10" t="n"/>
      <c r="AG47" s="10" t="n"/>
      <c r="AH47" s="10" t="n"/>
      <c r="AI47" s="10" t="n"/>
      <c r="AJ47" s="11" t="n"/>
      <c r="AK47" s="10" t="n"/>
      <c r="AL47" s="10" t="n"/>
      <c r="AM47" s="10" t="n"/>
      <c r="AN47" s="10" t="n"/>
      <c r="AO47" s="11" t="n"/>
    </row>
    <row r="48">
      <c r="A48" t="n">
        <v>1</v>
      </c>
      <c r="C48" t="inlineStr">
        <is>
          <t>단기투자자산(공정가치)</t>
        </is>
      </c>
      <c r="F48" s="9" t="n"/>
      <c r="H48" s="18" t="n">
        <v>12565.86</v>
      </c>
      <c r="K48" s="9" t="n"/>
      <c r="M48" s="18" t="n">
        <v>12641.69</v>
      </c>
      <c r="P48" s="9" t="n"/>
      <c r="R48" s="18" t="n">
        <v>8572.65</v>
      </c>
      <c r="U48" s="9" t="n"/>
      <c r="W48" s="18" t="n">
        <v>8097.94</v>
      </c>
      <c r="Z48" s="9" t="n"/>
      <c r="AB48" s="19" t="n">
        <v>30496.77</v>
      </c>
      <c r="AC48" s="10" t="n"/>
      <c r="AD48" s="10" t="n"/>
      <c r="AE48" s="11" t="n"/>
      <c r="AF48" s="10" t="n"/>
      <c r="AG48" s="10" t="n"/>
      <c r="AH48" s="10" t="n"/>
      <c r="AI48" s="10" t="n"/>
      <c r="AJ48" s="11" t="n"/>
      <c r="AK48" s="10" t="n"/>
      <c r="AL48" s="10" t="n"/>
      <c r="AM48" s="10" t="n"/>
      <c r="AN48" s="10" t="n"/>
      <c r="AO48" s="11" t="n"/>
    </row>
    <row r="49">
      <c r="A49" t="n">
        <v>1</v>
      </c>
      <c r="C49" t="inlineStr">
        <is>
          <t>유동성장기부채</t>
        </is>
      </c>
      <c r="F49" s="9" t="n"/>
      <c r="H49" s="18" t="n">
        <v>12666.72</v>
      </c>
      <c r="I49" s="18" t="n">
        <v>12666.72</v>
      </c>
      <c r="J49" s="18" t="n">
        <v>11611.16</v>
      </c>
      <c r="K49" s="37" t="n">
        <v>11611.16</v>
      </c>
      <c r="L49" s="18" t="n">
        <v>11611.16</v>
      </c>
      <c r="M49" s="18" t="n">
        <v>12666.72</v>
      </c>
      <c r="N49" s="18" t="n">
        <v>11611.16</v>
      </c>
      <c r="O49" s="18" t="n">
        <v>11611.16</v>
      </c>
      <c r="P49" s="37" t="n">
        <v>11611.16</v>
      </c>
      <c r="Q49" s="18" t="n">
        <v>11611.16</v>
      </c>
      <c r="R49" s="18" t="n">
        <v>10555.5</v>
      </c>
      <c r="S49" s="18" t="n">
        <v>8444.4</v>
      </c>
      <c r="T49" s="18" t="n">
        <v>5277.75</v>
      </c>
      <c r="U49" s="37" t="n">
        <v>5277.75</v>
      </c>
      <c r="V49" s="18" t="n">
        <v>2111.1</v>
      </c>
      <c r="W49" s="18" t="n">
        <v>0</v>
      </c>
      <c r="X49" s="18" t="n">
        <v>0</v>
      </c>
      <c r="Y49" s="18" t="n">
        <v>0</v>
      </c>
      <c r="Z49" s="37" t="n">
        <v>0</v>
      </c>
      <c r="AB49" s="19" t="n">
        <v>0</v>
      </c>
      <c r="AC49" s="10" t="n"/>
      <c r="AD49" s="10" t="n"/>
      <c r="AE49" s="11" t="n"/>
      <c r="AF49" s="10" t="n"/>
      <c r="AG49" s="10" t="n"/>
      <c r="AH49" s="10" t="n"/>
      <c r="AI49" s="10" t="n"/>
      <c r="AJ49" s="11" t="n"/>
      <c r="AK49" s="10" t="n"/>
      <c r="AL49" s="10" t="n"/>
      <c r="AM49" s="10" t="n"/>
      <c r="AN49" s="10" t="n"/>
      <c r="AO49" s="11" t="n"/>
    </row>
    <row r="50">
      <c r="A50" t="n">
        <v>1</v>
      </c>
      <c r="C50" t="inlineStr">
        <is>
          <t>장기차입금</t>
        </is>
      </c>
      <c r="F50" s="9" t="n"/>
      <c r="H50" s="18" t="n">
        <v>24277.72</v>
      </c>
      <c r="I50" s="18" t="n">
        <v>21111.04</v>
      </c>
      <c r="J50" s="18" t="n">
        <v>17944.36</v>
      </c>
      <c r="K50" s="37" t="n">
        <v>17944.36</v>
      </c>
      <c r="L50" s="18" t="n">
        <v>14777.68</v>
      </c>
      <c r="M50" s="18" t="n">
        <v>11611</v>
      </c>
      <c r="N50" s="18" t="n">
        <v>8444.32</v>
      </c>
      <c r="O50" s="18" t="n">
        <v>5277.64</v>
      </c>
      <c r="P50" s="37" t="n">
        <v>5277.64</v>
      </c>
      <c r="Q50" s="18" t="n">
        <v>2110.99</v>
      </c>
      <c r="R50" s="18" t="n">
        <v>0</v>
      </c>
      <c r="S50" s="18" t="n">
        <v>0</v>
      </c>
      <c r="T50" s="18" t="n">
        <v>0</v>
      </c>
      <c r="U50" s="37" t="n">
        <v>0</v>
      </c>
      <c r="Y50" s="18" t="n">
        <v>0</v>
      </c>
      <c r="Z50" s="37" t="n">
        <v>0</v>
      </c>
      <c r="AB50" s="5" t="n"/>
      <c r="AC50" s="10" t="n"/>
      <c r="AD50" s="10" t="n"/>
      <c r="AE50" s="11" t="n"/>
      <c r="AF50" s="10" t="n"/>
      <c r="AG50" s="10" t="n"/>
      <c r="AH50" s="10" t="n"/>
      <c r="AI50" s="10" t="n"/>
      <c r="AJ50" s="11" t="n"/>
      <c r="AK50" s="10" t="n"/>
      <c r="AL50" s="10" t="n"/>
      <c r="AM50" s="10" t="n"/>
      <c r="AN50" s="10" t="n"/>
      <c r="AO50" s="11" t="n"/>
    </row>
    <row r="51">
      <c r="A51" t="n">
        <v>1</v>
      </c>
      <c r="C51" t="inlineStr">
        <is>
          <t>투자부동산</t>
        </is>
      </c>
      <c r="F51" s="9" t="n"/>
      <c r="J51" s="18" t="n">
        <v>41869.87</v>
      </c>
      <c r="K51" s="37" t="n">
        <v>41869.87</v>
      </c>
      <c r="L51" s="18" t="n">
        <v>41566.82</v>
      </c>
      <c r="M51" s="18" t="n">
        <v>41547.77</v>
      </c>
      <c r="N51" s="18" t="n">
        <v>41528.72</v>
      </c>
      <c r="O51" s="18" t="n">
        <v>41917.59</v>
      </c>
      <c r="P51" s="37" t="n">
        <v>41917.59</v>
      </c>
      <c r="Q51" s="18" t="n">
        <v>41626.04</v>
      </c>
      <c r="R51" s="18" t="n">
        <v>41606.93</v>
      </c>
      <c r="S51" s="18" t="n">
        <v>41587.82</v>
      </c>
      <c r="T51" s="18" t="n">
        <v>41568.71</v>
      </c>
      <c r="U51" s="37" t="n">
        <v>41568.71</v>
      </c>
      <c r="V51" s="18" t="n">
        <v>41549.6</v>
      </c>
      <c r="W51" s="18" t="n">
        <v>41530.48</v>
      </c>
      <c r="X51" s="18" t="n">
        <v>41511.37</v>
      </c>
      <c r="Y51" s="18" t="n">
        <v>41492.26</v>
      </c>
      <c r="Z51" s="37" t="n">
        <v>41492.26</v>
      </c>
      <c r="AA51" s="18" t="n">
        <v>41473.15</v>
      </c>
      <c r="AB51" s="19" t="n">
        <v>41454.04</v>
      </c>
      <c r="AC51" s="10" t="n"/>
      <c r="AD51" s="10" t="n"/>
      <c r="AE51" s="11" t="n"/>
      <c r="AF51" s="10" t="n"/>
      <c r="AG51" s="10" t="n"/>
      <c r="AH51" s="10" t="n"/>
      <c r="AI51" s="10" t="n"/>
      <c r="AJ51" s="11" t="n"/>
      <c r="AK51" s="10" t="n"/>
      <c r="AL51" s="10" t="n"/>
      <c r="AM51" s="10" t="n"/>
      <c r="AN51" s="10" t="n"/>
      <c r="AO51" s="11" t="n"/>
    </row>
    <row r="52">
      <c r="A52" t="n">
        <v>1</v>
      </c>
      <c r="C52" t="inlineStr">
        <is>
          <t>단기금융부채(face)</t>
        </is>
      </c>
      <c r="F52" s="9" t="n"/>
      <c r="K52" s="9" t="n"/>
      <c r="N52" s="18" t="n">
        <v>32495.94</v>
      </c>
      <c r="O52" s="18" t="n">
        <v>34327.69</v>
      </c>
      <c r="P52" s="37" t="n">
        <v>34327.69</v>
      </c>
      <c r="Q52" s="18" t="n">
        <v>35369.58</v>
      </c>
      <c r="R52" s="18" t="n">
        <v>41523.27</v>
      </c>
      <c r="S52" s="18" t="n">
        <v>39913.35</v>
      </c>
      <c r="T52" s="18" t="n">
        <v>37723.34</v>
      </c>
      <c r="U52" s="37" t="n">
        <v>37723.34</v>
      </c>
      <c r="V52" s="18" t="n">
        <v>40034.96</v>
      </c>
      <c r="W52" s="18" t="n">
        <v>47936.26</v>
      </c>
      <c r="X52" s="18" t="n">
        <v>45896.64</v>
      </c>
      <c r="Y52" s="18" t="n">
        <v>54118.99</v>
      </c>
      <c r="Z52" s="37" t="n">
        <v>54118.99</v>
      </c>
      <c r="AA52" s="18" t="n">
        <v>49401.13</v>
      </c>
      <c r="AB52" s="19" t="n">
        <v>52140.12</v>
      </c>
      <c r="AC52" s="10" t="n"/>
      <c r="AD52" s="10" t="n"/>
      <c r="AE52" s="11" t="n"/>
      <c r="AF52" s="10" t="n"/>
      <c r="AG52" s="10" t="n"/>
      <c r="AH52" s="10" t="n"/>
      <c r="AI52" s="10" t="n"/>
      <c r="AJ52" s="11" t="n"/>
      <c r="AK52" s="10" t="n"/>
      <c r="AL52" s="10" t="n"/>
      <c r="AM52" s="10" t="n"/>
      <c r="AN52" s="10" t="n"/>
      <c r="AO52" s="11" t="n"/>
    </row>
    <row r="53">
      <c r="A53" t="n">
        <v>1</v>
      </c>
      <c r="C53" t="inlineStr">
        <is>
          <t>장기금융부채(face)</t>
        </is>
      </c>
      <c r="F53" s="9" t="n"/>
      <c r="K53" s="9" t="n"/>
      <c r="P53" s="9" t="n"/>
      <c r="S53" s="18" t="n">
        <v>0</v>
      </c>
      <c r="T53" s="18" t="n">
        <v>0</v>
      </c>
      <c r="U53" s="37" t="n">
        <v>0</v>
      </c>
      <c r="Z53" s="9" t="n"/>
      <c r="AB53" s="5" t="n"/>
      <c r="AC53" s="10" t="n"/>
      <c r="AD53" s="10" t="n"/>
      <c r="AE53" s="11" t="n"/>
      <c r="AF53" s="10" t="n"/>
      <c r="AG53" s="10" t="n"/>
      <c r="AH53" s="10" t="n"/>
      <c r="AI53" s="10" t="n"/>
      <c r="AJ53" s="11" t="n"/>
      <c r="AK53" s="10" t="n"/>
      <c r="AL53" s="10" t="n"/>
      <c r="AM53" s="10" t="n"/>
      <c r="AN53" s="10" t="n"/>
      <c r="AO53" s="11" t="n"/>
    </row>
    <row r="54">
      <c r="A54" t="n">
        <v>1</v>
      </c>
      <c r="C54" t="inlineStr">
        <is>
          <t>매출액(수익)</t>
        </is>
      </c>
      <c r="E54" s="18" t="n">
        <v>48779.82</v>
      </c>
      <c r="F54" s="9" t="n"/>
      <c r="G54" s="18" t="n">
        <v>61438.38</v>
      </c>
      <c r="H54" s="18" t="n">
        <v>62414.2</v>
      </c>
      <c r="I54" s="18" t="n">
        <v>66264.10000000001</v>
      </c>
      <c r="J54" s="18" t="n">
        <v>56289.13</v>
      </c>
      <c r="K54" s="37" t="n">
        <v>246405.81</v>
      </c>
      <c r="L54" s="18" t="n">
        <v>46615.32</v>
      </c>
      <c r="M54" s="18" t="n">
        <v>49804.22</v>
      </c>
      <c r="N54" s="18" t="n">
        <v>47890.4</v>
      </c>
      <c r="O54" s="18" t="n">
        <v>45908.15</v>
      </c>
      <c r="P54" s="37" t="n">
        <v>190218.09</v>
      </c>
      <c r="Q54" s="18" t="n">
        <v>45824.47</v>
      </c>
      <c r="R54" s="18" t="n">
        <v>54172.88</v>
      </c>
      <c r="S54" s="18" t="n">
        <v>50245.47</v>
      </c>
      <c r="T54" s="18" t="n">
        <v>57237.88</v>
      </c>
      <c r="U54" s="37" t="n">
        <v>207480.7</v>
      </c>
      <c r="V54" s="18" t="n">
        <v>51115.32</v>
      </c>
      <c r="W54" s="18" t="n">
        <v>48238.25</v>
      </c>
      <c r="X54" s="18" t="n">
        <v>48882.39</v>
      </c>
      <c r="Y54" s="18" t="n">
        <v>49956.08</v>
      </c>
      <c r="Z54" s="37" t="n">
        <v>198192.04</v>
      </c>
      <c r="AA54" s="18" t="n">
        <v>47231.63</v>
      </c>
      <c r="AB54" s="19" t="n">
        <v>56971.55</v>
      </c>
      <c r="AC54" s="10" t="n"/>
      <c r="AD54" s="10" t="n"/>
      <c r="AE54" s="11" t="n"/>
      <c r="AF54" s="10" t="n"/>
      <c r="AG54" s="10" t="n"/>
      <c r="AH54" s="10" t="n"/>
      <c r="AI54" s="10" t="n"/>
      <c r="AJ54" s="11" t="n"/>
      <c r="AK54" s="10" t="n"/>
      <c r="AL54" s="10" t="n"/>
      <c r="AM54" s="10" t="n"/>
      <c r="AN54" s="10" t="n"/>
      <c r="AO54" s="11" t="n"/>
    </row>
    <row r="55">
      <c r="A55" t="n">
        <v>1</v>
      </c>
      <c r="C55" t="inlineStr">
        <is>
          <t>매출원가</t>
        </is>
      </c>
      <c r="E55" s="18" t="n">
        <v>42682.4</v>
      </c>
      <c r="F55" s="9" t="n"/>
      <c r="G55" s="18" t="n">
        <v>48077.79</v>
      </c>
      <c r="H55" s="18" t="n">
        <v>51995.37</v>
      </c>
      <c r="I55" s="18" t="n">
        <v>51355.52</v>
      </c>
      <c r="J55" s="18" t="n">
        <v>45412.7</v>
      </c>
      <c r="K55" s="37" t="n">
        <v>196841.38</v>
      </c>
      <c r="L55" s="18" t="n">
        <v>37207.43</v>
      </c>
      <c r="M55" s="18" t="n">
        <v>40544.35</v>
      </c>
      <c r="N55" s="18" t="n">
        <v>38802.81</v>
      </c>
      <c r="O55" s="18" t="n">
        <v>38194.02</v>
      </c>
      <c r="P55" s="37" t="n">
        <v>154748.61</v>
      </c>
      <c r="Q55" s="18" t="n">
        <v>38259.98</v>
      </c>
      <c r="R55" s="18" t="n">
        <v>46171.68</v>
      </c>
      <c r="S55" s="18" t="n">
        <v>42721.85</v>
      </c>
      <c r="T55" s="18" t="n">
        <v>47980.03</v>
      </c>
      <c r="U55" s="37" t="n">
        <v>175133.54</v>
      </c>
      <c r="V55" s="18" t="n">
        <v>42340.85</v>
      </c>
      <c r="W55" s="18" t="n">
        <v>40567.86</v>
      </c>
      <c r="X55" s="18" t="n">
        <v>40265.87</v>
      </c>
      <c r="Y55" s="18" t="n">
        <v>41969.88</v>
      </c>
      <c r="Z55" s="37" t="n">
        <v>165144.46</v>
      </c>
      <c r="AA55" s="18" t="n">
        <v>37365.05</v>
      </c>
      <c r="AB55" s="19" t="n">
        <v>48866.51</v>
      </c>
      <c r="AC55" s="10" t="n"/>
      <c r="AD55" s="10" t="n"/>
      <c r="AE55" s="11" t="n"/>
      <c r="AF55" s="10" t="n"/>
      <c r="AG55" s="10" t="n"/>
      <c r="AH55" s="10" t="n"/>
      <c r="AI55" s="10" t="n"/>
      <c r="AJ55" s="11" t="n"/>
      <c r="AK55" s="10" t="n"/>
      <c r="AL55" s="10" t="n"/>
      <c r="AM55" s="10" t="n"/>
      <c r="AN55" s="10" t="n"/>
      <c r="AO55" s="11" t="n"/>
    </row>
    <row r="56">
      <c r="A56" t="n">
        <v>1</v>
      </c>
      <c r="C56" t="inlineStr">
        <is>
          <t>매출총이익</t>
        </is>
      </c>
      <c r="E56" s="18" t="n">
        <v>6097.42</v>
      </c>
      <c r="F56" s="9" t="n"/>
      <c r="G56" s="18" t="n">
        <v>13360.59</v>
      </c>
      <c r="H56" s="18" t="n">
        <v>10418.83</v>
      </c>
      <c r="I56" s="18" t="n">
        <v>14908.57</v>
      </c>
      <c r="J56" s="18" t="n">
        <v>10876.43</v>
      </c>
      <c r="K56" s="37" t="n">
        <v>49564.42</v>
      </c>
      <c r="L56" s="18" t="n">
        <v>9407.9</v>
      </c>
      <c r="M56" s="18" t="n">
        <v>9259.870000000001</v>
      </c>
      <c r="N56" s="18" t="n">
        <v>9087.6</v>
      </c>
      <c r="O56" s="18" t="n">
        <v>7714.13</v>
      </c>
      <c r="P56" s="37" t="n">
        <v>35469.5</v>
      </c>
      <c r="Q56" s="18" t="n">
        <v>7564.49</v>
      </c>
      <c r="R56" s="18" t="n">
        <v>8001.19</v>
      </c>
      <c r="S56" s="18" t="n">
        <v>7523.63</v>
      </c>
      <c r="T56" s="18" t="n">
        <v>9257.85</v>
      </c>
      <c r="U56" s="37" t="n">
        <v>32347.16</v>
      </c>
      <c r="V56" s="18" t="n">
        <v>8774.469999999999</v>
      </c>
      <c r="W56" s="18" t="n">
        <v>7670.39</v>
      </c>
      <c r="X56" s="18" t="n">
        <v>8616.52</v>
      </c>
      <c r="Y56" s="18" t="n">
        <v>7986.2</v>
      </c>
      <c r="Z56" s="37" t="n">
        <v>33047.58</v>
      </c>
      <c r="AA56" s="18" t="n">
        <v>9866.59</v>
      </c>
      <c r="AB56" s="19" t="n">
        <v>8105.04</v>
      </c>
      <c r="AC56" s="10" t="n"/>
      <c r="AD56" s="10" t="n"/>
      <c r="AE56" s="11" t="n"/>
      <c r="AF56" s="10" t="n"/>
      <c r="AG56" s="10" t="n"/>
      <c r="AH56" s="10" t="n"/>
      <c r="AI56" s="10" t="n"/>
      <c r="AJ56" s="11" t="n"/>
      <c r="AK56" s="10" t="n"/>
      <c r="AL56" s="10" t="n"/>
      <c r="AM56" s="10" t="n"/>
      <c r="AN56" s="10" t="n"/>
      <c r="AO56" s="11" t="n"/>
    </row>
    <row r="57">
      <c r="A57" t="n">
        <v>1</v>
      </c>
      <c r="C57" t="inlineStr">
        <is>
          <t>판관비</t>
        </is>
      </c>
      <c r="E57" s="18" t="n">
        <v>4529.6</v>
      </c>
      <c r="F57" s="9" t="n"/>
      <c r="G57" s="18" t="n">
        <v>3696.48</v>
      </c>
      <c r="H57" s="18" t="n">
        <v>5642.01</v>
      </c>
      <c r="I57" s="18" t="n">
        <v>3758.6</v>
      </c>
      <c r="J57" s="18" t="n">
        <v>5388.55</v>
      </c>
      <c r="K57" s="37" t="n">
        <v>18485.64</v>
      </c>
      <c r="L57" s="18" t="n">
        <v>3470.88</v>
      </c>
      <c r="M57" s="18" t="n">
        <v>4570.92</v>
      </c>
      <c r="N57" s="18" t="n">
        <v>3489.16</v>
      </c>
      <c r="O57" s="18" t="n">
        <v>3985.11</v>
      </c>
      <c r="P57" s="37" t="n">
        <v>15516.07</v>
      </c>
      <c r="Q57" s="18" t="n">
        <v>3217.32</v>
      </c>
      <c r="R57" s="18" t="n">
        <v>4396.59</v>
      </c>
      <c r="S57" s="18" t="n">
        <v>6965.56</v>
      </c>
      <c r="T57" s="18" t="n">
        <v>5476.26</v>
      </c>
      <c r="U57" s="37" t="n">
        <v>20055.73</v>
      </c>
      <c r="V57" s="18" t="n">
        <v>3610.23</v>
      </c>
      <c r="W57" s="18" t="n">
        <v>5427.88</v>
      </c>
      <c r="X57" s="18" t="n">
        <v>3623.75</v>
      </c>
      <c r="Y57" s="18" t="n">
        <v>4262.85</v>
      </c>
      <c r="Z57" s="37" t="n">
        <v>16924.71</v>
      </c>
      <c r="AA57" s="18" t="n">
        <v>3241.7</v>
      </c>
      <c r="AB57" s="19" t="n">
        <v>5012.03</v>
      </c>
      <c r="AC57" s="10" t="n"/>
      <c r="AD57" s="10" t="n"/>
      <c r="AE57" s="11" t="n"/>
      <c r="AF57" s="10" t="n"/>
      <c r="AG57" s="10" t="n"/>
      <c r="AH57" s="10" t="n"/>
      <c r="AI57" s="10" t="n"/>
      <c r="AJ57" s="11" t="n"/>
      <c r="AK57" s="10" t="n"/>
      <c r="AL57" s="10" t="n"/>
      <c r="AM57" s="10" t="n"/>
      <c r="AN57" s="10" t="n"/>
      <c r="AO57" s="11" t="n"/>
    </row>
    <row r="58">
      <c r="A58" t="n">
        <v>1</v>
      </c>
      <c r="C58" t="inlineStr">
        <is>
          <t>영업이익</t>
        </is>
      </c>
      <c r="E58" s="18" t="n">
        <v>1567.8</v>
      </c>
      <c r="F58" s="9" t="n"/>
      <c r="G58" s="18" t="n">
        <v>9664.1</v>
      </c>
      <c r="H58" s="18" t="n">
        <v>4776.82</v>
      </c>
      <c r="I58" s="18" t="n">
        <v>11149.97</v>
      </c>
      <c r="J58" s="18" t="n">
        <v>5487.87</v>
      </c>
      <c r="K58" s="37" t="n">
        <v>31078.76</v>
      </c>
      <c r="L58" s="18" t="n">
        <v>5937.01</v>
      </c>
      <c r="M58" s="18" t="n">
        <v>4688.95</v>
      </c>
      <c r="N58" s="18" t="n">
        <v>5598.43</v>
      </c>
      <c r="O58" s="18" t="n">
        <v>3729.02</v>
      </c>
      <c r="P58" s="37" t="n">
        <v>19953.41</v>
      </c>
      <c r="Q58" s="18" t="n">
        <v>4347.17</v>
      </c>
      <c r="R58" s="18" t="n">
        <v>3604.61</v>
      </c>
      <c r="S58" s="18" t="n">
        <v>558.0700000000001</v>
      </c>
      <c r="T58" s="18" t="n">
        <v>3781.58</v>
      </c>
      <c r="U58" s="37" t="n">
        <v>12291.43</v>
      </c>
      <c r="V58" s="18" t="n">
        <v>5164.23</v>
      </c>
      <c r="W58" s="18" t="n">
        <v>2242.51</v>
      </c>
      <c r="X58" s="18" t="n">
        <v>4992.77</v>
      </c>
      <c r="Y58" s="18" t="n">
        <v>3723.36</v>
      </c>
      <c r="Z58" s="37" t="n">
        <v>16122.87</v>
      </c>
      <c r="AA58" s="18" t="n">
        <v>6624.89</v>
      </c>
      <c r="AB58" s="19" t="n">
        <v>3093</v>
      </c>
      <c r="AC58" s="10" t="n"/>
      <c r="AD58" s="10" t="n"/>
      <c r="AE58" s="11" t="n"/>
      <c r="AF58" s="10" t="n"/>
      <c r="AG58" s="10" t="n"/>
      <c r="AH58" s="10" t="n"/>
      <c r="AI58" s="10" t="n"/>
      <c r="AJ58" s="11" t="n"/>
      <c r="AK58" s="10" t="n"/>
      <c r="AL58" s="10" t="n"/>
      <c r="AM58" s="10" t="n"/>
      <c r="AN58" s="10" t="n"/>
      <c r="AO58" s="11" t="n"/>
    </row>
    <row r="59">
      <c r="A59" t="n">
        <v>1</v>
      </c>
      <c r="C59" t="inlineStr">
        <is>
          <t>기타영업외수익</t>
        </is>
      </c>
      <c r="E59" s="18" t="n">
        <v>-502.71</v>
      </c>
      <c r="F59" s="9" t="n"/>
      <c r="G59" s="18" t="n">
        <v>836.25</v>
      </c>
      <c r="H59" s="18" t="n">
        <v>2133.5</v>
      </c>
      <c r="I59" s="18" t="n">
        <v>3333.44</v>
      </c>
      <c r="J59" s="18" t="n">
        <v>-1133.63</v>
      </c>
      <c r="K59" s="37" t="n">
        <v>5169.56</v>
      </c>
      <c r="L59" s="18" t="n">
        <v>1186.71</v>
      </c>
      <c r="M59" s="18" t="n">
        <v>741.4</v>
      </c>
      <c r="N59" s="18" t="n">
        <v>809.84</v>
      </c>
      <c r="O59" s="18" t="n">
        <v>-46.3</v>
      </c>
      <c r="P59" s="37" t="n">
        <v>2691.65</v>
      </c>
      <c r="Q59" s="18" t="n">
        <v>1129.74</v>
      </c>
      <c r="R59" s="18" t="n">
        <v>1156.93</v>
      </c>
      <c r="S59" s="18" t="n">
        <v>3383.91</v>
      </c>
      <c r="T59" s="18" t="n">
        <v>4061.89</v>
      </c>
      <c r="U59" s="37" t="n">
        <v>9732.469999999999</v>
      </c>
      <c r="V59" s="18" t="n">
        <v>911.98</v>
      </c>
      <c r="W59" s="18" t="n">
        <v>1174.56</v>
      </c>
      <c r="X59" s="18" t="n">
        <v>712.28</v>
      </c>
      <c r="Y59" s="18" t="n">
        <v>894.52</v>
      </c>
      <c r="Z59" s="37" t="n">
        <v>3693.34</v>
      </c>
      <c r="AA59" s="18" t="n">
        <v>2611.48</v>
      </c>
      <c r="AB59" s="19" t="n">
        <v>2442.04</v>
      </c>
      <c r="AC59" s="10" t="n"/>
      <c r="AD59" s="10" t="n"/>
      <c r="AE59" s="11" t="n"/>
      <c r="AF59" s="10" t="n"/>
      <c r="AG59" s="10" t="n"/>
      <c r="AH59" s="10" t="n"/>
      <c r="AI59" s="10" t="n"/>
      <c r="AJ59" s="11" t="n"/>
      <c r="AK59" s="10" t="n"/>
      <c r="AL59" s="10" t="n"/>
      <c r="AM59" s="10" t="n"/>
      <c r="AN59" s="10" t="n"/>
      <c r="AO59" s="11" t="n"/>
    </row>
    <row r="60">
      <c r="A60" t="n">
        <v>1</v>
      </c>
      <c r="C60" t="inlineStr">
        <is>
          <t>기타영업외비용</t>
        </is>
      </c>
      <c r="E60" s="18" t="n">
        <v>1573.65</v>
      </c>
      <c r="F60" s="9" t="n"/>
      <c r="G60" s="18" t="n">
        <v>383.21</v>
      </c>
      <c r="H60" s="18" t="n">
        <v>652.6900000000001</v>
      </c>
      <c r="I60" s="18" t="n">
        <v>990.97</v>
      </c>
      <c r="J60" s="18" t="n">
        <v>4260.04</v>
      </c>
      <c r="K60" s="37" t="n">
        <v>6286.91</v>
      </c>
      <c r="L60" s="18" t="n">
        <v>718.3099999999999</v>
      </c>
      <c r="M60" s="18" t="n">
        <v>433.43</v>
      </c>
      <c r="N60" s="18" t="n">
        <v>319.24</v>
      </c>
      <c r="O60" s="18" t="n">
        <v>4892.22</v>
      </c>
      <c r="P60" s="37" t="n">
        <v>6363.2</v>
      </c>
      <c r="Q60" s="18" t="n">
        <v>353.5</v>
      </c>
      <c r="R60" s="18" t="n">
        <v>695.71</v>
      </c>
      <c r="S60" s="18" t="n">
        <v>540.4299999999999</v>
      </c>
      <c r="T60" s="18" t="n">
        <v>5434.88</v>
      </c>
      <c r="U60" s="37" t="n">
        <v>7024.52</v>
      </c>
      <c r="V60" s="18" t="n">
        <v>726.04</v>
      </c>
      <c r="W60" s="18" t="n">
        <v>3454</v>
      </c>
      <c r="X60" s="18" t="n">
        <v>-884.29</v>
      </c>
      <c r="Y60" s="18" t="n">
        <v>5648.54</v>
      </c>
      <c r="Z60" s="37" t="n">
        <v>8944.290000000001</v>
      </c>
      <c r="AA60" s="18" t="n">
        <v>606.55</v>
      </c>
      <c r="AB60" s="19" t="n">
        <v>593.3200000000001</v>
      </c>
      <c r="AC60" s="10" t="n"/>
      <c r="AD60" s="10" t="n"/>
      <c r="AE60" s="11" t="n"/>
      <c r="AF60" s="10" t="n"/>
      <c r="AG60" s="10" t="n"/>
      <c r="AH60" s="10" t="n"/>
      <c r="AI60" s="10" t="n"/>
      <c r="AJ60" s="11" t="n"/>
      <c r="AK60" s="10" t="n"/>
      <c r="AL60" s="10" t="n"/>
      <c r="AM60" s="10" t="n"/>
      <c r="AN60" s="10" t="n"/>
      <c r="AO60" s="11" t="n"/>
    </row>
    <row r="61">
      <c r="A61" t="n">
        <v>1</v>
      </c>
      <c r="C61" t="inlineStr">
        <is>
          <t>금융수익</t>
        </is>
      </c>
      <c r="E61" s="18" t="n">
        <v>1076.27</v>
      </c>
      <c r="F61" s="9" t="n"/>
      <c r="G61" s="18" t="n">
        <v>1153.1</v>
      </c>
      <c r="H61" s="18" t="n">
        <v>2067.27</v>
      </c>
      <c r="I61" s="18" t="n">
        <v>2130.29</v>
      </c>
      <c r="J61" s="18" t="n">
        <v>4594.17</v>
      </c>
      <c r="K61" s="37" t="n">
        <v>9944.83</v>
      </c>
      <c r="L61" s="18" t="n">
        <v>4205.83</v>
      </c>
      <c r="M61" s="18" t="n">
        <v>2886.7</v>
      </c>
      <c r="N61" s="18" t="n">
        <v>1923.58</v>
      </c>
      <c r="O61" s="18" t="n">
        <v>4203.84</v>
      </c>
      <c r="P61" s="37" t="n">
        <v>13219.95</v>
      </c>
      <c r="Q61" s="18" t="n">
        <v>2762.53</v>
      </c>
      <c r="R61" s="18" t="n">
        <v>2486.97</v>
      </c>
      <c r="S61" s="18" t="n">
        <v>2770.19</v>
      </c>
      <c r="T61" s="18" t="n">
        <v>1882.38</v>
      </c>
      <c r="U61" s="37" t="n">
        <v>9902.07</v>
      </c>
      <c r="V61" s="18" t="n">
        <v>1851.8</v>
      </c>
      <c r="W61" s="18" t="n">
        <v>3023.57</v>
      </c>
      <c r="X61" s="18" t="n">
        <v>2172.24</v>
      </c>
      <c r="Y61" s="18" t="n">
        <v>2219.57</v>
      </c>
      <c r="Z61" s="37" t="n">
        <v>9267.18</v>
      </c>
      <c r="AA61" s="18" t="n">
        <v>3973.37</v>
      </c>
      <c r="AB61" s="19" t="n">
        <v>9233.190000000001</v>
      </c>
      <c r="AC61" s="10" t="n"/>
      <c r="AD61" s="10" t="n"/>
      <c r="AE61" s="11" t="n"/>
      <c r="AF61" s="10" t="n"/>
      <c r="AG61" s="10" t="n"/>
      <c r="AH61" s="10" t="n"/>
      <c r="AI61" s="10" t="n"/>
      <c r="AJ61" s="11" t="n"/>
      <c r="AK61" s="10" t="n"/>
      <c r="AL61" s="10" t="n"/>
      <c r="AM61" s="10" t="n"/>
      <c r="AN61" s="10" t="n"/>
      <c r="AO61" s="11" t="n"/>
    </row>
    <row r="62">
      <c r="A62" t="n">
        <v>1</v>
      </c>
      <c r="C62" t="inlineStr">
        <is>
          <t>금융비용</t>
        </is>
      </c>
      <c r="E62" s="18" t="n">
        <v>1156</v>
      </c>
      <c r="F62" s="9" t="n"/>
      <c r="G62" s="18" t="n">
        <v>1325.71</v>
      </c>
      <c r="H62" s="18" t="n">
        <v>4301.57</v>
      </c>
      <c r="I62" s="18" t="n">
        <v>4553.01</v>
      </c>
      <c r="J62" s="18" t="n">
        <v>3197.43</v>
      </c>
      <c r="K62" s="37" t="n">
        <v>13377.72</v>
      </c>
      <c r="L62" s="18" t="n">
        <v>3734.02</v>
      </c>
      <c r="M62" s="18" t="n">
        <v>2815.7</v>
      </c>
      <c r="N62" s="18" t="n">
        <v>2617.82</v>
      </c>
      <c r="O62" s="18" t="n">
        <v>2393.83</v>
      </c>
      <c r="P62" s="37" t="n">
        <v>11561.37</v>
      </c>
      <c r="Q62" s="18" t="n">
        <v>2638.67</v>
      </c>
      <c r="R62" s="18" t="n">
        <v>2312.53</v>
      </c>
      <c r="S62" s="18" t="n">
        <v>2070.29</v>
      </c>
      <c r="T62" s="18" t="n">
        <v>2414.74</v>
      </c>
      <c r="U62" s="37" t="n">
        <v>9436.23</v>
      </c>
      <c r="V62" s="18" t="n">
        <v>1714.41</v>
      </c>
      <c r="W62" s="18" t="n">
        <v>1407.12</v>
      </c>
      <c r="X62" s="18" t="n">
        <v>1435.26</v>
      </c>
      <c r="Y62" s="18" t="n">
        <v>1181.96</v>
      </c>
      <c r="Z62" s="37" t="n">
        <v>5738.75</v>
      </c>
      <c r="AA62" s="18" t="n">
        <v>1506.86</v>
      </c>
      <c r="AB62" s="19" t="n">
        <v>677.62</v>
      </c>
      <c r="AC62" s="10" t="n"/>
      <c r="AD62" s="10" t="n"/>
      <c r="AE62" s="11" t="n"/>
      <c r="AF62" s="10" t="n"/>
      <c r="AG62" s="10" t="n"/>
      <c r="AH62" s="10" t="n"/>
      <c r="AI62" s="10" t="n"/>
      <c r="AJ62" s="11" t="n"/>
      <c r="AK62" s="10" t="n"/>
      <c r="AL62" s="10" t="n"/>
      <c r="AM62" s="10" t="n"/>
      <c r="AN62" s="10" t="n"/>
      <c r="AO62" s="11" t="n"/>
    </row>
    <row r="63">
      <c r="A63" t="n">
        <v>1</v>
      </c>
      <c r="C63" t="inlineStr">
        <is>
          <t>법인세비용차감전계속사업이익</t>
        </is>
      </c>
      <c r="E63" s="18" t="n">
        <v>-565.78</v>
      </c>
      <c r="F63" s="9" t="n"/>
      <c r="G63" s="18" t="n">
        <v>9944.530000000001</v>
      </c>
      <c r="H63" s="18" t="n">
        <v>4023.33</v>
      </c>
      <c r="I63" s="18" t="n">
        <v>11069.72</v>
      </c>
      <c r="J63" s="18" t="n">
        <v>1490.95</v>
      </c>
      <c r="K63" s="37" t="n">
        <v>26528.53</v>
      </c>
      <c r="L63" s="18" t="n">
        <v>6877.23</v>
      </c>
      <c r="M63" s="18" t="n">
        <v>5067.92</v>
      </c>
      <c r="N63" s="18" t="n">
        <v>5394.79</v>
      </c>
      <c r="O63" s="18" t="n">
        <v>600.5</v>
      </c>
      <c r="P63" s="37" t="n">
        <v>17940.44</v>
      </c>
      <c r="Q63" s="18" t="n">
        <v>5247.28</v>
      </c>
      <c r="R63" s="18" t="n">
        <v>4240.26</v>
      </c>
      <c r="S63" s="18" t="n">
        <v>4101.44</v>
      </c>
      <c r="T63" s="18" t="n">
        <v>1876.23</v>
      </c>
      <c r="U63" s="37" t="n">
        <v>15465.21</v>
      </c>
      <c r="V63" s="18" t="n">
        <v>5487.56</v>
      </c>
      <c r="W63" s="18" t="n">
        <v>1579.52</v>
      </c>
      <c r="X63" s="18" t="n">
        <v>7326.32</v>
      </c>
      <c r="Y63" s="18" t="n">
        <v>6.95</v>
      </c>
      <c r="Z63" s="37" t="n">
        <v>14400.35</v>
      </c>
      <c r="AA63" s="18" t="n">
        <v>11096.32</v>
      </c>
      <c r="AB63" s="19" t="n">
        <v>13497.29</v>
      </c>
      <c r="AC63" s="10" t="n"/>
      <c r="AD63" s="10" t="n"/>
      <c r="AE63" s="11" t="n"/>
      <c r="AF63" s="10" t="n"/>
      <c r="AG63" s="10" t="n"/>
      <c r="AH63" s="10" t="n"/>
      <c r="AI63" s="10" t="n"/>
      <c r="AJ63" s="11" t="n"/>
      <c r="AK63" s="10" t="n"/>
      <c r="AL63" s="10" t="n"/>
      <c r="AM63" s="10" t="n"/>
      <c r="AN63" s="10" t="n"/>
      <c r="AO63" s="11" t="n"/>
    </row>
    <row r="64">
      <c r="A64" t="n">
        <v>1</v>
      </c>
      <c r="C64" t="inlineStr">
        <is>
          <t>법인세비용</t>
        </is>
      </c>
      <c r="E64" s="18" t="n">
        <v>472.49</v>
      </c>
      <c r="F64" s="9" t="n"/>
      <c r="G64" s="18" t="n">
        <v>2382.35</v>
      </c>
      <c r="H64" s="18" t="n">
        <v>958.63</v>
      </c>
      <c r="I64" s="18" t="n">
        <v>2695.98</v>
      </c>
      <c r="J64" s="18" t="n">
        <v>1257.27</v>
      </c>
      <c r="K64" s="37" t="n">
        <v>7294.23</v>
      </c>
      <c r="L64" s="18" t="n">
        <v>1597.92</v>
      </c>
      <c r="M64" s="18" t="n">
        <v>1087.89</v>
      </c>
      <c r="N64" s="18" t="n">
        <v>829.28</v>
      </c>
      <c r="O64" s="18" t="n">
        <v>194.24</v>
      </c>
      <c r="P64" s="37" t="n">
        <v>3709.33</v>
      </c>
      <c r="Q64" s="18" t="n">
        <v>1121.04</v>
      </c>
      <c r="R64" s="18" t="n">
        <v>655.3099999999999</v>
      </c>
      <c r="S64" s="18" t="n">
        <v>814.66</v>
      </c>
      <c r="T64" s="18" t="n">
        <v>1037.71</v>
      </c>
      <c r="U64" s="37" t="n">
        <v>3628.72</v>
      </c>
      <c r="V64" s="18" t="n">
        <v>1182.55</v>
      </c>
      <c r="W64" s="18" t="n">
        <v>72.67</v>
      </c>
      <c r="X64" s="18" t="n">
        <v>1518.45</v>
      </c>
      <c r="Y64" s="18" t="n">
        <v>1418.89</v>
      </c>
      <c r="Z64" s="37" t="n">
        <v>4192.56</v>
      </c>
      <c r="AA64" s="18" t="n">
        <v>2407.18</v>
      </c>
      <c r="AB64" s="19" t="n">
        <v>2946.27</v>
      </c>
      <c r="AC64" s="10" t="n"/>
      <c r="AD64" s="10" t="n"/>
      <c r="AE64" s="11" t="n"/>
      <c r="AF64" s="10" t="n"/>
      <c r="AG64" s="10" t="n"/>
      <c r="AH64" s="10" t="n"/>
      <c r="AI64" s="10" t="n"/>
      <c r="AJ64" s="11" t="n"/>
      <c r="AK64" s="10" t="n"/>
      <c r="AL64" s="10" t="n"/>
      <c r="AM64" s="10" t="n"/>
      <c r="AN64" s="10" t="n"/>
      <c r="AO64" s="11" t="n"/>
    </row>
    <row r="65">
      <c r="A65" t="n">
        <v>1</v>
      </c>
      <c r="C65" t="inlineStr">
        <is>
          <t>당기순이익</t>
        </is>
      </c>
      <c r="E65" s="18" t="n">
        <v>-1038.28</v>
      </c>
      <c r="F65" s="9" t="n"/>
      <c r="G65" s="18" t="n">
        <v>7562.19</v>
      </c>
      <c r="H65" s="18" t="n">
        <v>3064.7</v>
      </c>
      <c r="I65" s="18" t="n">
        <v>8373.74</v>
      </c>
      <c r="J65" s="18" t="n">
        <v>233.69</v>
      </c>
      <c r="K65" s="37" t="n">
        <v>19234.32</v>
      </c>
      <c r="L65" s="18" t="n">
        <v>5279.3</v>
      </c>
      <c r="M65" s="18" t="n">
        <v>3980.04</v>
      </c>
      <c r="N65" s="18" t="n">
        <v>4565.51</v>
      </c>
      <c r="O65" s="18" t="n">
        <v>406.26</v>
      </c>
      <c r="P65" s="37" t="n">
        <v>14231.11</v>
      </c>
      <c r="Q65" s="18" t="n">
        <v>4126.23</v>
      </c>
      <c r="R65" s="18" t="n">
        <v>3584.96</v>
      </c>
      <c r="S65" s="18" t="n">
        <v>3286.77</v>
      </c>
      <c r="T65" s="18" t="n">
        <v>838.52</v>
      </c>
      <c r="U65" s="37" t="n">
        <v>11836.48</v>
      </c>
      <c r="V65" s="18" t="n">
        <v>4305.01</v>
      </c>
      <c r="W65" s="18" t="n">
        <v>1506.85</v>
      </c>
      <c r="X65" s="18" t="n">
        <v>5807.87</v>
      </c>
      <c r="Y65" s="18" t="n">
        <v>-1411.95</v>
      </c>
      <c r="Z65" s="37" t="n">
        <v>10207.78</v>
      </c>
      <c r="AA65" s="18" t="n">
        <v>8689.129999999999</v>
      </c>
      <c r="AB65" s="19" t="n">
        <v>10551.02</v>
      </c>
      <c r="AC65" s="10" t="n"/>
      <c r="AD65" s="10" t="n"/>
      <c r="AE65" s="11" t="n"/>
      <c r="AF65" s="10" t="n"/>
      <c r="AG65" s="10" t="n"/>
      <c r="AH65" s="10" t="n"/>
      <c r="AI65" s="10" t="n"/>
      <c r="AJ65" s="11" t="n"/>
      <c r="AK65" s="10" t="n"/>
      <c r="AL65" s="10" t="n"/>
      <c r="AM65" s="10" t="n"/>
      <c r="AN65" s="10" t="n"/>
      <c r="AO65" s="11" t="n"/>
    </row>
    <row r="66">
      <c r="A66" t="n">
        <v>1</v>
      </c>
      <c r="C66" t="inlineStr">
        <is>
          <t>금융손익</t>
        </is>
      </c>
      <c r="E66" s="18" t="n">
        <v>-79.73</v>
      </c>
      <c r="F66" s="9" t="n"/>
      <c r="G66" s="18" t="n">
        <v>-172.61</v>
      </c>
      <c r="H66" s="18" t="n">
        <v>-2234.3</v>
      </c>
      <c r="I66" s="18" t="n">
        <v>-2422.72</v>
      </c>
      <c r="J66" s="18" t="n">
        <v>1396.74</v>
      </c>
      <c r="K66" s="37" t="n">
        <v>-3432.89</v>
      </c>
      <c r="L66" s="18" t="n">
        <v>471.81</v>
      </c>
      <c r="M66" s="18" t="n">
        <v>71</v>
      </c>
      <c r="N66" s="18" t="n">
        <v>-694.24</v>
      </c>
      <c r="O66" s="18" t="n">
        <v>1810.01</v>
      </c>
      <c r="P66" s="37" t="n">
        <v>1658.58</v>
      </c>
      <c r="Q66" s="18" t="n">
        <v>123.86</v>
      </c>
      <c r="R66" s="18" t="n">
        <v>174.44</v>
      </c>
      <c r="S66" s="18" t="n">
        <v>699.9</v>
      </c>
      <c r="T66" s="18" t="n">
        <v>-532.36</v>
      </c>
      <c r="U66" s="37" t="n">
        <v>465.84</v>
      </c>
      <c r="V66" s="18" t="n">
        <v>137.39</v>
      </c>
      <c r="W66" s="18" t="n">
        <v>1616.45</v>
      </c>
      <c r="X66" s="18" t="n">
        <v>736.98</v>
      </c>
      <c r="Y66" s="18" t="n">
        <v>1037.61</v>
      </c>
      <c r="Z66" s="37" t="n">
        <v>3528.43</v>
      </c>
      <c r="AA66" s="18" t="n">
        <v>2466.51</v>
      </c>
      <c r="AB66" s="19" t="n">
        <v>8555.57</v>
      </c>
      <c r="AC66" s="10" t="n"/>
      <c r="AD66" s="10" t="n"/>
      <c r="AE66" s="11" t="n"/>
      <c r="AF66" s="10" t="n"/>
      <c r="AG66" s="10" t="n"/>
      <c r="AH66" s="10" t="n"/>
      <c r="AI66" s="10" t="n"/>
      <c r="AJ66" s="11" t="n"/>
      <c r="AK66" s="10" t="n"/>
      <c r="AL66" s="10" t="n"/>
      <c r="AM66" s="10" t="n"/>
      <c r="AN66" s="10" t="n"/>
      <c r="AO66" s="11" t="n"/>
    </row>
    <row r="67">
      <c r="A67" t="n">
        <v>1</v>
      </c>
      <c r="C67" t="inlineStr">
        <is>
          <t>기타영업외손익</t>
        </is>
      </c>
      <c r="E67" s="18" t="n">
        <v>-2076.36</v>
      </c>
      <c r="F67" s="9" t="n"/>
      <c r="G67" s="18" t="n">
        <v>453.04</v>
      </c>
      <c r="H67" s="18" t="n">
        <v>1480.81</v>
      </c>
      <c r="I67" s="18" t="n">
        <v>2342.47</v>
      </c>
      <c r="J67" s="18" t="n">
        <v>-5393.67</v>
      </c>
      <c r="K67" s="37" t="n">
        <v>-1117.35</v>
      </c>
      <c r="L67" s="18" t="n">
        <v>468.4</v>
      </c>
      <c r="M67" s="18" t="n">
        <v>307.97</v>
      </c>
      <c r="N67" s="18" t="n">
        <v>490.6</v>
      </c>
      <c r="O67" s="18" t="n">
        <v>-4938.52</v>
      </c>
      <c r="P67" s="37" t="n">
        <v>-3671.55</v>
      </c>
      <c r="Q67" s="18" t="n">
        <v>776.24</v>
      </c>
      <c r="R67" s="18" t="n">
        <v>461.22</v>
      </c>
      <c r="S67" s="18" t="n">
        <v>2843.48</v>
      </c>
      <c r="T67" s="18" t="n">
        <v>-1372.99</v>
      </c>
      <c r="U67" s="37" t="n">
        <v>2707.95</v>
      </c>
      <c r="V67" s="18" t="n">
        <v>185.94</v>
      </c>
      <c r="W67" s="18" t="n">
        <v>-2279.44</v>
      </c>
      <c r="X67" s="18" t="n">
        <v>1596.57</v>
      </c>
      <c r="Y67" s="18" t="n">
        <v>-4754.02</v>
      </c>
      <c r="Z67" s="37" t="n">
        <v>-5250.95</v>
      </c>
      <c r="AA67" s="18" t="n">
        <v>2004.93</v>
      </c>
      <c r="AB67" s="19" t="n">
        <v>1848.72</v>
      </c>
      <c r="AC67" s="10" t="n"/>
      <c r="AD67" s="10" t="n"/>
      <c r="AE67" s="11" t="n"/>
      <c r="AF67" s="10" t="n"/>
      <c r="AG67" s="10" t="n"/>
      <c r="AH67" s="10" t="n"/>
      <c r="AI67" s="10" t="n"/>
      <c r="AJ67" s="11" t="n"/>
      <c r="AK67" s="10" t="n"/>
      <c r="AL67" s="10" t="n"/>
      <c r="AM67" s="10" t="n"/>
      <c r="AN67" s="10" t="n"/>
      <c r="AO67" s="11" t="n"/>
    </row>
    <row r="68">
      <c r="A68" t="n">
        <v>1</v>
      </c>
      <c r="C68" t="inlineStr">
        <is>
          <t>(지배주주지분)당기순이익</t>
        </is>
      </c>
      <c r="E68" s="18" t="n">
        <v>-1038.28</v>
      </c>
      <c r="F68" s="9" t="n"/>
      <c r="G68" s="18" t="n">
        <v>7562.19</v>
      </c>
      <c r="H68" s="18" t="n">
        <v>3064.7</v>
      </c>
      <c r="I68" s="18" t="n">
        <v>8373.74</v>
      </c>
      <c r="J68" s="18" t="n">
        <v>233.69</v>
      </c>
      <c r="K68" s="37" t="n">
        <v>19234.32</v>
      </c>
      <c r="L68" s="18" t="n">
        <v>5279.3</v>
      </c>
      <c r="M68" s="18" t="n">
        <v>3980.04</v>
      </c>
      <c r="N68" s="18" t="n">
        <v>4565.51</v>
      </c>
      <c r="O68" s="18" t="n">
        <v>406.26</v>
      </c>
      <c r="P68" s="37" t="n">
        <v>14231.11</v>
      </c>
      <c r="Q68" s="18" t="n">
        <v>4126.23</v>
      </c>
      <c r="R68" s="18" t="n">
        <v>3584.96</v>
      </c>
      <c r="S68" s="18" t="n">
        <v>3286.77</v>
      </c>
      <c r="T68" s="18" t="n">
        <v>838.52</v>
      </c>
      <c r="U68" s="37" t="n">
        <v>11836.48</v>
      </c>
      <c r="V68" s="18" t="n">
        <v>4305.01</v>
      </c>
      <c r="W68" s="18" t="n">
        <v>1506.85</v>
      </c>
      <c r="X68" s="18" t="n">
        <v>5807.87</v>
      </c>
      <c r="Y68" s="18" t="n">
        <v>-1411.95</v>
      </c>
      <c r="Z68" s="37" t="n">
        <v>10207.78</v>
      </c>
      <c r="AA68" s="18" t="n">
        <v>8689.129999999999</v>
      </c>
      <c r="AB68" s="19" t="n">
        <v>10551.02</v>
      </c>
      <c r="AC68" s="10" t="n"/>
      <c r="AD68" s="10" t="n"/>
      <c r="AE68" s="11" t="n"/>
      <c r="AF68" s="10" t="n"/>
      <c r="AG68" s="10" t="n"/>
      <c r="AH68" s="10" t="n"/>
      <c r="AI68" s="10" t="n"/>
      <c r="AJ68" s="11" t="n"/>
      <c r="AK68" s="10" t="n"/>
      <c r="AL68" s="10" t="n"/>
      <c r="AM68" s="10" t="n"/>
      <c r="AN68" s="10" t="n"/>
      <c r="AO68" s="11" t="n"/>
    </row>
    <row r="69">
      <c r="A69" t="n">
        <v>1</v>
      </c>
      <c r="C69" t="inlineStr">
        <is>
          <t>계속사업이익</t>
        </is>
      </c>
      <c r="E69" s="18" t="n">
        <v>-1038.28</v>
      </c>
      <c r="F69" s="9" t="n"/>
      <c r="G69" s="18" t="n">
        <v>7562.19</v>
      </c>
      <c r="H69" s="18" t="n">
        <v>3064.7</v>
      </c>
      <c r="I69" s="18" t="n">
        <v>8373.74</v>
      </c>
      <c r="J69" s="18" t="n">
        <v>233.69</v>
      </c>
      <c r="K69" s="37" t="n">
        <v>19234.32</v>
      </c>
      <c r="L69" s="18" t="n">
        <v>5279.3</v>
      </c>
      <c r="M69" s="18" t="n">
        <v>3980.04</v>
      </c>
      <c r="N69" s="18" t="n">
        <v>4565.51</v>
      </c>
      <c r="O69" s="18" t="n">
        <v>406.26</v>
      </c>
      <c r="P69" s="37" t="n">
        <v>14231.11</v>
      </c>
      <c r="Q69" s="18" t="n">
        <v>4126.23</v>
      </c>
      <c r="R69" s="18" t="n">
        <v>3584.96</v>
      </c>
      <c r="S69" s="18" t="n">
        <v>3286.77</v>
      </c>
      <c r="T69" s="18" t="n">
        <v>838.52</v>
      </c>
      <c r="U69" s="37" t="n">
        <v>11836.48</v>
      </c>
      <c r="V69" s="18" t="n">
        <v>4305.01</v>
      </c>
      <c r="W69" s="18" t="n">
        <v>1506.85</v>
      </c>
      <c r="X69" s="18" t="n">
        <v>5807.87</v>
      </c>
      <c r="Y69" s="18" t="n">
        <v>-1411.95</v>
      </c>
      <c r="Z69" s="37" t="n">
        <v>10207.78</v>
      </c>
      <c r="AA69" s="18" t="n">
        <v>8689.129999999999</v>
      </c>
      <c r="AB69" s="19" t="n">
        <v>10551.02</v>
      </c>
      <c r="AC69" s="10" t="n"/>
      <c r="AD69" s="10" t="n"/>
      <c r="AE69" s="11" t="n"/>
      <c r="AF69" s="10" t="n"/>
      <c r="AG69" s="10" t="n"/>
      <c r="AH69" s="10" t="n"/>
      <c r="AI69" s="10" t="n"/>
      <c r="AJ69" s="11" t="n"/>
      <c r="AK69" s="10" t="n"/>
      <c r="AL69" s="10" t="n"/>
      <c r="AM69" s="10" t="n"/>
      <c r="AN69" s="10" t="n"/>
      <c r="AO69" s="11" t="n"/>
    </row>
    <row r="70">
      <c r="A70" t="n">
        <v>1</v>
      </c>
      <c r="C70" t="inlineStr">
        <is>
          <t>총포괄손익</t>
        </is>
      </c>
      <c r="E70" s="18" t="n">
        <v>-2720.74</v>
      </c>
      <c r="F70" s="9" t="n"/>
      <c r="G70" s="18" t="n">
        <v>7831.87</v>
      </c>
      <c r="H70" s="18" t="n">
        <v>2866.93</v>
      </c>
      <c r="I70" s="18" t="n">
        <v>8068.1</v>
      </c>
      <c r="J70" s="18" t="n">
        <v>1308.64</v>
      </c>
      <c r="K70" s="37" t="n">
        <v>20075.54</v>
      </c>
      <c r="L70" s="18" t="n">
        <v>5509.16</v>
      </c>
      <c r="M70" s="18" t="n">
        <v>3772.18</v>
      </c>
      <c r="N70" s="18" t="n">
        <v>4426.94</v>
      </c>
      <c r="O70" s="18" t="n">
        <v>-129.5</v>
      </c>
      <c r="P70" s="37" t="n">
        <v>13578.78</v>
      </c>
      <c r="Q70" s="18" t="n">
        <v>4113.47</v>
      </c>
      <c r="R70" s="18" t="n">
        <v>3710.76</v>
      </c>
      <c r="S70" s="18" t="n">
        <v>2136.17</v>
      </c>
      <c r="T70" s="18" t="n">
        <v>1046.83</v>
      </c>
      <c r="U70" s="37" t="n">
        <v>11007.23</v>
      </c>
      <c r="V70" s="18" t="n">
        <v>4305.01</v>
      </c>
      <c r="W70" s="18" t="n">
        <v>1506.85</v>
      </c>
      <c r="X70" s="18" t="n">
        <v>5807.87</v>
      </c>
      <c r="Y70" s="18" t="n">
        <v>-794.83</v>
      </c>
      <c r="Z70" s="37" t="n">
        <v>10824.9</v>
      </c>
      <c r="AA70" s="18" t="n">
        <v>8569.440000000001</v>
      </c>
      <c r="AB70" s="19" t="n">
        <v>10579.77</v>
      </c>
      <c r="AC70" s="10" t="n"/>
      <c r="AD70" s="10" t="n"/>
      <c r="AE70" s="11" t="n"/>
      <c r="AF70" s="10" t="n"/>
      <c r="AG70" s="10" t="n"/>
      <c r="AH70" s="10" t="n"/>
      <c r="AI70" s="10" t="n"/>
      <c r="AJ70" s="11" t="n"/>
      <c r="AK70" s="10" t="n"/>
      <c r="AL70" s="10" t="n"/>
      <c r="AM70" s="10" t="n"/>
      <c r="AN70" s="10" t="n"/>
      <c r="AO70" s="11" t="n"/>
    </row>
    <row r="71">
      <c r="A71" t="n">
        <v>1</v>
      </c>
      <c r="C71" t="inlineStr">
        <is>
          <t>영업활동으로인한현금흐름</t>
        </is>
      </c>
      <c r="E71" s="18" t="n">
        <v>4747.08</v>
      </c>
      <c r="F71" s="9" t="n"/>
      <c r="G71" s="18" t="n">
        <v>3909</v>
      </c>
      <c r="H71" s="18" t="n">
        <v>-2728.06</v>
      </c>
      <c r="I71" s="18" t="n">
        <v>16947.78</v>
      </c>
      <c r="J71" s="18" t="n">
        <v>13118.05</v>
      </c>
      <c r="K71" s="37" t="n">
        <v>31246.77</v>
      </c>
      <c r="L71" s="18" t="n">
        <v>-1071.52</v>
      </c>
      <c r="M71" s="18" t="n">
        <v>6762.23</v>
      </c>
      <c r="N71" s="18" t="n">
        <v>11189.06</v>
      </c>
      <c r="O71" s="18" t="n">
        <v>4588.85</v>
      </c>
      <c r="P71" s="37" t="n">
        <v>21468.62</v>
      </c>
      <c r="Q71" s="18" t="n">
        <v>3982.58</v>
      </c>
      <c r="R71" s="18" t="n">
        <v>1263.6</v>
      </c>
      <c r="S71" s="18" t="n">
        <v>-5754.32</v>
      </c>
      <c r="T71" s="18" t="n">
        <v>6473.87</v>
      </c>
      <c r="U71" s="37" t="n">
        <v>5965.73</v>
      </c>
      <c r="V71" s="18" t="n">
        <v>415.3</v>
      </c>
      <c r="W71" s="18" t="n">
        <v>3303.27</v>
      </c>
      <c r="X71" s="18" t="n">
        <v>366.19</v>
      </c>
      <c r="Y71" s="18" t="n">
        <v>9580.59</v>
      </c>
      <c r="Z71" s="37" t="n">
        <v>13665.35</v>
      </c>
      <c r="AA71" s="18" t="n">
        <v>8464.540000000001</v>
      </c>
      <c r="AB71" s="19" t="n">
        <v>1809.9</v>
      </c>
      <c r="AC71" s="10" t="n"/>
      <c r="AD71" s="10" t="n"/>
      <c r="AE71" s="11" t="n"/>
      <c r="AF71" s="10" t="n"/>
      <c r="AG71" s="10" t="n"/>
      <c r="AH71" s="10" t="n"/>
      <c r="AI71" s="10" t="n"/>
      <c r="AJ71" s="11" t="n"/>
      <c r="AK71" s="10" t="n"/>
      <c r="AL71" s="10" t="n"/>
      <c r="AM71" s="10" t="n"/>
      <c r="AN71" s="10" t="n"/>
      <c r="AO71" s="11" t="n"/>
    </row>
    <row r="72">
      <c r="A72" t="n">
        <v>1</v>
      </c>
      <c r="C72" t="inlineStr">
        <is>
          <t>배당금수취(CF)</t>
        </is>
      </c>
      <c r="E72" s="18" t="n">
        <v>8.210000000000001</v>
      </c>
      <c r="F72" s="9" t="n"/>
      <c r="G72" s="18" t="n">
        <v>0.75</v>
      </c>
      <c r="H72" s="18" t="n">
        <v>48.58</v>
      </c>
      <c r="I72" s="18" t="n">
        <v>13.43</v>
      </c>
      <c r="J72" s="18" t="n">
        <v>12.69</v>
      </c>
      <c r="K72" s="37" t="n">
        <v>75.45</v>
      </c>
      <c r="L72" s="18" t="n">
        <v>1.02</v>
      </c>
      <c r="M72" s="18" t="n">
        <v>79.45</v>
      </c>
      <c r="N72" s="18" t="n">
        <v>12.51</v>
      </c>
      <c r="O72" s="18" t="n">
        <v>13.53</v>
      </c>
      <c r="P72" s="37" t="n">
        <v>106.51</v>
      </c>
      <c r="Q72" s="18" t="n">
        <v>0.08</v>
      </c>
      <c r="R72" s="18" t="n">
        <v>73.37</v>
      </c>
      <c r="S72" s="18" t="n">
        <v>9.67</v>
      </c>
      <c r="T72" s="18" t="n">
        <v>2.27</v>
      </c>
      <c r="U72" s="37" t="n">
        <v>85.39</v>
      </c>
      <c r="V72" s="18" t="n">
        <v>46.1</v>
      </c>
      <c r="W72" s="18" t="n">
        <v>427.84</v>
      </c>
      <c r="X72" s="18" t="n">
        <v>33.22</v>
      </c>
      <c r="Y72" s="18" t="n">
        <v>-6.58</v>
      </c>
      <c r="Z72" s="37" t="n">
        <v>500.58</v>
      </c>
      <c r="AA72" s="18" t="n">
        <v>22.39</v>
      </c>
      <c r="AB72" s="19" t="n">
        <v>238.71</v>
      </c>
      <c r="AC72" s="10" t="n"/>
      <c r="AD72" s="10" t="n"/>
      <c r="AE72" s="11" t="n"/>
      <c r="AF72" s="10" t="n"/>
      <c r="AG72" s="10" t="n"/>
      <c r="AH72" s="10" t="n"/>
      <c r="AI72" s="10" t="n"/>
      <c r="AJ72" s="11" t="n"/>
      <c r="AK72" s="10" t="n"/>
      <c r="AL72" s="10" t="n"/>
      <c r="AM72" s="10" t="n"/>
      <c r="AN72" s="10" t="n"/>
      <c r="AO72" s="11" t="n"/>
    </row>
    <row r="73">
      <c r="A73" t="n">
        <v>1</v>
      </c>
      <c r="C73" t="inlineStr">
        <is>
          <t>법인세납부(CF)</t>
        </is>
      </c>
      <c r="E73" s="18" t="n">
        <v>-24.67</v>
      </c>
      <c r="F73" s="9" t="n"/>
      <c r="G73" s="18" t="n">
        <v>-916.03</v>
      </c>
      <c r="H73" s="18" t="n">
        <v>-1212.44</v>
      </c>
      <c r="I73" s="18" t="n">
        <v>-1225.22</v>
      </c>
      <c r="J73" s="18" t="n">
        <v>-31.46</v>
      </c>
      <c r="K73" s="37" t="n">
        <v>-3385.15</v>
      </c>
      <c r="L73" s="18" t="n">
        <v>-2843.36</v>
      </c>
      <c r="M73" s="18" t="n">
        <v>-3536.09</v>
      </c>
      <c r="N73" s="18" t="n">
        <v>-929.02</v>
      </c>
      <c r="O73" s="18" t="n">
        <v>-978.61</v>
      </c>
      <c r="P73" s="37" t="n">
        <v>-8287.08</v>
      </c>
      <c r="Q73" s="18" t="n">
        <v>-49.46</v>
      </c>
      <c r="R73" s="18" t="n">
        <v>-2131.98</v>
      </c>
      <c r="S73" s="18" t="n">
        <v>-1598.59</v>
      </c>
      <c r="T73" s="18" t="n">
        <v>-71.34</v>
      </c>
      <c r="U73" s="37" t="n">
        <v>-3851.37</v>
      </c>
      <c r="V73" s="18" t="n">
        <v>-1082.69</v>
      </c>
      <c r="W73" s="18" t="n">
        <v>-1488.04</v>
      </c>
      <c r="X73" s="18" t="n">
        <v>-885.51</v>
      </c>
      <c r="Y73" s="18" t="n">
        <v>2169.71</v>
      </c>
      <c r="Z73" s="37" t="n">
        <v>-1286.53</v>
      </c>
      <c r="AA73" s="18" t="n">
        <v>-180.09</v>
      </c>
      <c r="AB73" s="19" t="n">
        <v>-2524.8</v>
      </c>
      <c r="AC73" s="10" t="n"/>
      <c r="AD73" s="10" t="n"/>
      <c r="AE73" s="11" t="n"/>
      <c r="AF73" s="10" t="n"/>
      <c r="AG73" s="10" t="n"/>
      <c r="AH73" s="10" t="n"/>
      <c r="AI73" s="10" t="n"/>
      <c r="AJ73" s="11" t="n"/>
      <c r="AK73" s="10" t="n"/>
      <c r="AL73" s="10" t="n"/>
      <c r="AM73" s="10" t="n"/>
      <c r="AN73" s="10" t="n"/>
      <c r="AO73" s="11" t="n"/>
    </row>
    <row r="74">
      <c r="A74" t="n">
        <v>1</v>
      </c>
      <c r="C74" t="inlineStr">
        <is>
          <t>투자활동으로인한현금흐름</t>
        </is>
      </c>
      <c r="E74" s="18" t="n">
        <v>5799.8</v>
      </c>
      <c r="F74" s="9" t="n"/>
      <c r="G74" s="18" t="n">
        <v>-9833.370000000001</v>
      </c>
      <c r="H74" s="18" t="n">
        <v>-38296.3</v>
      </c>
      <c r="I74" s="18" t="n">
        <v>1005.66</v>
      </c>
      <c r="J74" s="18" t="n">
        <v>-15826.73</v>
      </c>
      <c r="K74" s="37" t="n">
        <v>-62950.74</v>
      </c>
      <c r="L74" s="18" t="n">
        <v>-2030.4</v>
      </c>
      <c r="M74" s="18" t="n">
        <v>-1237.23</v>
      </c>
      <c r="N74" s="18" t="n">
        <v>-4527.75</v>
      </c>
      <c r="O74" s="18" t="n">
        <v>-6336.24</v>
      </c>
      <c r="P74" s="37" t="n">
        <v>-14131.62</v>
      </c>
      <c r="Q74" s="18" t="n">
        <v>-2458.85</v>
      </c>
      <c r="R74" s="18" t="n">
        <v>3759.05</v>
      </c>
      <c r="S74" s="18" t="n">
        <v>5542.03</v>
      </c>
      <c r="T74" s="18" t="n">
        <v>1467.9</v>
      </c>
      <c r="U74" s="37" t="n">
        <v>8310.129999999999</v>
      </c>
      <c r="V74" s="18" t="n">
        <v>-1822.64</v>
      </c>
      <c r="W74" s="18" t="n">
        <v>233.95</v>
      </c>
      <c r="X74" s="18" t="n">
        <v>-4243.17</v>
      </c>
      <c r="Y74" s="18" t="n">
        <v>-10456.4</v>
      </c>
      <c r="Z74" s="37" t="n">
        <v>-16288.26</v>
      </c>
      <c r="AA74" s="18" t="n">
        <v>-2637.45</v>
      </c>
      <c r="AB74" s="19" t="n">
        <v>-4064.35</v>
      </c>
      <c r="AC74" s="10" t="n"/>
      <c r="AD74" s="10" t="n"/>
      <c r="AE74" s="11" t="n"/>
      <c r="AF74" s="10" t="n"/>
      <c r="AG74" s="10" t="n"/>
      <c r="AH74" s="10" t="n"/>
      <c r="AI74" s="10" t="n"/>
      <c r="AJ74" s="11" t="n"/>
      <c r="AK74" s="10" t="n"/>
      <c r="AL74" s="10" t="n"/>
      <c r="AM74" s="10" t="n"/>
      <c r="AN74" s="10" t="n"/>
      <c r="AO74" s="11" t="n"/>
    </row>
    <row r="75">
      <c r="A75" t="n">
        <v>1</v>
      </c>
      <c r="C75" t="inlineStr">
        <is>
          <t>유형자산의감소</t>
        </is>
      </c>
      <c r="E75" s="18" t="n">
        <v>7.37</v>
      </c>
      <c r="F75" s="9" t="n"/>
      <c r="G75" s="18" t="n">
        <v>2.61</v>
      </c>
      <c r="H75" s="18" t="n">
        <v>7.01</v>
      </c>
      <c r="I75" s="18" t="n">
        <v>72.28</v>
      </c>
      <c r="J75" s="18" t="n">
        <v>1.08</v>
      </c>
      <c r="K75" s="37" t="n">
        <v>82.98</v>
      </c>
      <c r="L75" s="18" t="n">
        <v>0.6</v>
      </c>
      <c r="M75" s="18" t="n">
        <v>7</v>
      </c>
      <c r="N75" s="18" t="n">
        <v>94.84</v>
      </c>
      <c r="O75" s="18" t="n">
        <v>3.74</v>
      </c>
      <c r="P75" s="37" t="n">
        <v>106.18</v>
      </c>
      <c r="Q75" s="18" t="n">
        <v>0</v>
      </c>
      <c r="R75" s="18" t="n">
        <v>6.51</v>
      </c>
      <c r="S75" s="18" t="n">
        <v>5455.7</v>
      </c>
      <c r="T75" s="18" t="n">
        <v>1383.91</v>
      </c>
      <c r="U75" s="37" t="n">
        <v>6846.12</v>
      </c>
      <c r="V75" s="18" t="n">
        <v>19.36</v>
      </c>
      <c r="W75" s="18" t="n">
        <v>115.55</v>
      </c>
      <c r="X75" s="18" t="n">
        <v>10.91</v>
      </c>
      <c r="Y75" s="18" t="n">
        <v>1773.23</v>
      </c>
      <c r="Z75" s="37" t="n">
        <v>1919.05</v>
      </c>
      <c r="AA75" s="18" t="n">
        <v>19.09</v>
      </c>
      <c r="AB75" s="19" t="n">
        <v>27.72</v>
      </c>
      <c r="AC75" s="10" t="n"/>
      <c r="AD75" s="10" t="n"/>
      <c r="AE75" s="11" t="n"/>
      <c r="AF75" s="10" t="n"/>
      <c r="AG75" s="10" t="n"/>
      <c r="AH75" s="10" t="n"/>
      <c r="AI75" s="10" t="n"/>
      <c r="AJ75" s="11" t="n"/>
      <c r="AK75" s="10" t="n"/>
      <c r="AL75" s="10" t="n"/>
      <c r="AM75" s="10" t="n"/>
      <c r="AN75" s="10" t="n"/>
      <c r="AO75" s="11" t="n"/>
    </row>
    <row r="76">
      <c r="A76" t="n">
        <v>1</v>
      </c>
      <c r="C76" t="inlineStr">
        <is>
          <t>유형자산의증가</t>
        </is>
      </c>
      <c r="E76" s="18" t="n">
        <v>1421.05</v>
      </c>
      <c r="F76" s="9" t="n"/>
      <c r="G76" s="18" t="n">
        <v>8139.1</v>
      </c>
      <c r="H76" s="18" t="n">
        <v>44919.71</v>
      </c>
      <c r="I76" s="18" t="n">
        <v>812.75</v>
      </c>
      <c r="J76" s="18" t="n">
        <v>982.52</v>
      </c>
      <c r="K76" s="37" t="n">
        <v>54854.08</v>
      </c>
      <c r="L76" s="18" t="n">
        <v>252.06</v>
      </c>
      <c r="M76" s="18" t="n">
        <v>169.67</v>
      </c>
      <c r="N76" s="18" t="n">
        <v>991.38</v>
      </c>
      <c r="O76" s="18" t="n">
        <v>462.12</v>
      </c>
      <c r="P76" s="37" t="n">
        <v>1875.23</v>
      </c>
      <c r="Q76" s="18" t="n">
        <v>924.1</v>
      </c>
      <c r="R76" s="18" t="n">
        <v>1498.05</v>
      </c>
      <c r="S76" s="18" t="n">
        <v>1293.07</v>
      </c>
      <c r="T76" s="18" t="n">
        <v>1101.69</v>
      </c>
      <c r="U76" s="37" t="n">
        <v>4816.91</v>
      </c>
      <c r="V76" s="18" t="n">
        <v>2343.05</v>
      </c>
      <c r="W76" s="18" t="n">
        <v>1145.23</v>
      </c>
      <c r="X76" s="18" t="n">
        <v>970.4299999999999</v>
      </c>
      <c r="Y76" s="18" t="n">
        <v>1324.39</v>
      </c>
      <c r="Z76" s="37" t="n">
        <v>5783.1</v>
      </c>
      <c r="AA76" s="18" t="n">
        <v>1064.49</v>
      </c>
      <c r="AB76" s="19" t="n">
        <v>456.51</v>
      </c>
      <c r="AC76" s="10" t="n"/>
      <c r="AD76" s="10" t="n"/>
      <c r="AE76" s="11" t="n"/>
      <c r="AF76" s="10" t="n"/>
      <c r="AG76" s="10" t="n"/>
      <c r="AH76" s="10" t="n"/>
      <c r="AI76" s="10" t="n"/>
      <c r="AJ76" s="11" t="n"/>
      <c r="AK76" s="10" t="n"/>
      <c r="AL76" s="10" t="n"/>
      <c r="AM76" s="10" t="n"/>
      <c r="AN76" s="10" t="n"/>
      <c r="AO76" s="11" t="n"/>
    </row>
    <row r="77">
      <c r="A77" t="n">
        <v>1</v>
      </c>
      <c r="C77" t="inlineStr">
        <is>
          <t>CAPEX</t>
        </is>
      </c>
      <c r="E77" s="18" t="n">
        <v>1421.05</v>
      </c>
      <c r="F77" s="9" t="n"/>
      <c r="G77" s="18" t="n">
        <v>8139.1</v>
      </c>
      <c r="H77" s="18" t="n">
        <v>44919.71</v>
      </c>
      <c r="I77" s="18" t="n">
        <v>812.75</v>
      </c>
      <c r="J77" s="18" t="n">
        <v>982.52</v>
      </c>
      <c r="K77" s="37" t="n">
        <v>54854.08</v>
      </c>
      <c r="L77" s="18" t="n">
        <v>252.06</v>
      </c>
      <c r="M77" s="18" t="n">
        <v>169.67</v>
      </c>
      <c r="N77" s="18" t="n">
        <v>991.38</v>
      </c>
      <c r="O77" s="18" t="n">
        <v>462.12</v>
      </c>
      <c r="P77" s="37" t="n">
        <v>1875.23</v>
      </c>
      <c r="Q77" s="18" t="n">
        <v>924.1</v>
      </c>
      <c r="R77" s="18" t="n">
        <v>1498.05</v>
      </c>
      <c r="S77" s="18" t="n">
        <v>1293.07</v>
      </c>
      <c r="T77" s="18" t="n">
        <v>1101.69</v>
      </c>
      <c r="U77" s="37" t="n">
        <v>4816.91</v>
      </c>
      <c r="V77" s="18" t="n">
        <v>2343.05</v>
      </c>
      <c r="W77" s="18" t="n">
        <v>1145.23</v>
      </c>
      <c r="X77" s="18" t="n">
        <v>970.4299999999999</v>
      </c>
      <c r="Y77" s="18" t="n">
        <v>1324.39</v>
      </c>
      <c r="Z77" s="37" t="n">
        <v>5783.1</v>
      </c>
      <c r="AA77" s="18" t="n">
        <v>1064.49</v>
      </c>
      <c r="AB77" s="19" t="n">
        <v>456.51</v>
      </c>
      <c r="AC77" s="10" t="n"/>
      <c r="AD77" s="10" t="n"/>
      <c r="AE77" s="11" t="n"/>
      <c r="AF77" s="10" t="n"/>
      <c r="AG77" s="10" t="n"/>
      <c r="AH77" s="10" t="n"/>
      <c r="AI77" s="10" t="n"/>
      <c r="AJ77" s="11" t="n"/>
      <c r="AK77" s="10" t="n"/>
      <c r="AL77" s="10" t="n"/>
      <c r="AM77" s="10" t="n"/>
      <c r="AN77" s="10" t="n"/>
      <c r="AO77" s="11" t="n"/>
    </row>
    <row r="78">
      <c r="A78" t="n">
        <v>1</v>
      </c>
      <c r="C78" t="inlineStr">
        <is>
          <t>재무활동으로인한현금흐름</t>
        </is>
      </c>
      <c r="E78" s="18" t="n">
        <v>-2041.57</v>
      </c>
      <c r="F78" s="9" t="n"/>
      <c r="G78" s="18" t="n">
        <v>-220.86</v>
      </c>
      <c r="H78" s="18" t="n">
        <v>39006.42</v>
      </c>
      <c r="I78" s="18" t="n">
        <v>-13876.89</v>
      </c>
      <c r="J78" s="18" t="n">
        <v>-971.1</v>
      </c>
      <c r="K78" s="37" t="n">
        <v>23937.57</v>
      </c>
      <c r="L78" s="18" t="n">
        <v>-45.03</v>
      </c>
      <c r="M78" s="18" t="n">
        <v>-5060.69</v>
      </c>
      <c r="N78" s="18" t="n">
        <v>-4137.58</v>
      </c>
      <c r="O78" s="18" t="n">
        <v>681.03</v>
      </c>
      <c r="P78" s="37" t="n">
        <v>-8562.27</v>
      </c>
      <c r="Q78" s="18" t="n">
        <v>-2893.59</v>
      </c>
      <c r="R78" s="18" t="n">
        <v>-2091.91</v>
      </c>
      <c r="S78" s="18" t="n">
        <v>1134.55</v>
      </c>
      <c r="T78" s="18" t="n">
        <v>-8918.67</v>
      </c>
      <c r="U78" s="37" t="n">
        <v>-12769.62</v>
      </c>
      <c r="V78" s="18" t="n">
        <v>2658.85</v>
      </c>
      <c r="W78" s="18" t="n">
        <v>3175.13</v>
      </c>
      <c r="X78" s="18" t="n">
        <v>-2095.5</v>
      </c>
      <c r="Y78" s="18" t="n">
        <v>8041.55</v>
      </c>
      <c r="Z78" s="37" t="n">
        <v>11780.03</v>
      </c>
      <c r="AA78" s="18" t="n">
        <v>-8937.950000000001</v>
      </c>
      <c r="AB78" s="19" t="n">
        <v>805.38</v>
      </c>
      <c r="AC78" s="10" t="n"/>
      <c r="AD78" s="10" t="n"/>
      <c r="AE78" s="11" t="n"/>
      <c r="AF78" s="10" t="n"/>
      <c r="AG78" s="10" t="n"/>
      <c r="AH78" s="10" t="n"/>
      <c r="AI78" s="10" t="n"/>
      <c r="AJ78" s="11" t="n"/>
      <c r="AK78" s="10" t="n"/>
      <c r="AL78" s="10" t="n"/>
      <c r="AM78" s="10" t="n"/>
      <c r="AN78" s="10" t="n"/>
      <c r="AO78" s="11" t="n"/>
    </row>
    <row r="79">
      <c r="A79" t="n">
        <v>1</v>
      </c>
      <c r="C79" t="inlineStr">
        <is>
          <t>단기차입금의증가</t>
        </is>
      </c>
      <c r="E79" s="18" t="n">
        <v>27000.77</v>
      </c>
      <c r="F79" s="9" t="n"/>
      <c r="G79" s="18" t="n">
        <v>22680.1</v>
      </c>
      <c r="H79" s="18" t="n">
        <v>41335.71</v>
      </c>
      <c r="I79" s="18" t="n">
        <v>16474.24</v>
      </c>
      <c r="J79" s="18" t="n">
        <v>7345.47</v>
      </c>
      <c r="K79" s="37" t="n">
        <v>87835.52</v>
      </c>
      <c r="L79" s="18" t="n">
        <v>32386.62</v>
      </c>
      <c r="M79" s="18" t="n">
        <v>35217.18</v>
      </c>
      <c r="N79" s="18" t="n">
        <v>10160</v>
      </c>
      <c r="O79" s="18" t="n">
        <v>24098.72</v>
      </c>
      <c r="P79" s="37" t="n">
        <v>101862.52</v>
      </c>
      <c r="Q79" s="18" t="n">
        <v>26592.14</v>
      </c>
      <c r="R79" s="18" t="n">
        <v>34590.62</v>
      </c>
      <c r="S79" s="18" t="n">
        <v>35725.34</v>
      </c>
      <c r="T79" s="18" t="n">
        <v>35078.77</v>
      </c>
      <c r="U79" s="37" t="n">
        <v>131986.87</v>
      </c>
      <c r="V79" s="18" t="n">
        <v>38200.28</v>
      </c>
      <c r="W79" s="18" t="n">
        <v>50149.26</v>
      </c>
      <c r="X79" s="18" t="n">
        <v>32429.1</v>
      </c>
      <c r="Y79" s="18" t="n">
        <v>30352.04</v>
      </c>
      <c r="Z79" s="37" t="n">
        <v>151130.68</v>
      </c>
      <c r="AA79" s="18" t="n">
        <v>12615.31</v>
      </c>
      <c r="AB79" s="19" t="n">
        <v>43650</v>
      </c>
      <c r="AC79" s="10" t="n"/>
      <c r="AD79" s="10" t="n"/>
      <c r="AE79" s="11" t="n"/>
      <c r="AF79" s="10" t="n"/>
      <c r="AG79" s="10" t="n"/>
      <c r="AH79" s="10" t="n"/>
      <c r="AI79" s="10" t="n"/>
      <c r="AJ79" s="11" t="n"/>
      <c r="AK79" s="10" t="n"/>
      <c r="AL79" s="10" t="n"/>
      <c r="AM79" s="10" t="n"/>
      <c r="AN79" s="10" t="n"/>
      <c r="AO79" s="11" t="n"/>
    </row>
    <row r="80">
      <c r="A80" t="n">
        <v>1</v>
      </c>
      <c r="C80" t="inlineStr">
        <is>
          <t>단기차입금의감소</t>
        </is>
      </c>
      <c r="E80" s="18" t="n">
        <v>29010.85</v>
      </c>
      <c r="F80" s="9" t="n"/>
      <c r="G80" s="18" t="n">
        <v>22044.47</v>
      </c>
      <c r="H80" s="18" t="n">
        <v>39231.64</v>
      </c>
      <c r="I80" s="18" t="n">
        <v>27154.25</v>
      </c>
      <c r="J80" s="18" t="n">
        <v>4355.63</v>
      </c>
      <c r="K80" s="37" t="n">
        <v>92785.99000000001</v>
      </c>
      <c r="L80" s="18" t="n">
        <v>28312.39</v>
      </c>
      <c r="M80" s="18" t="n">
        <v>38321.41</v>
      </c>
      <c r="N80" s="18" t="n">
        <v>10070</v>
      </c>
      <c r="O80" s="18" t="n">
        <v>20290.17</v>
      </c>
      <c r="P80" s="37" t="n">
        <v>96993.97</v>
      </c>
      <c r="Q80" s="18" t="n">
        <v>25352.14</v>
      </c>
      <c r="R80" s="18" t="n">
        <v>33510.54</v>
      </c>
      <c r="S80" s="18" t="n">
        <v>32404.34</v>
      </c>
      <c r="T80" s="18" t="n">
        <v>40830.46</v>
      </c>
      <c r="U80" s="37" t="n">
        <v>132097.48</v>
      </c>
      <c r="V80" s="18" t="n">
        <v>31267.48</v>
      </c>
      <c r="W80" s="18" t="n">
        <v>44783.49</v>
      </c>
      <c r="X80" s="18" t="n">
        <v>34524.26</v>
      </c>
      <c r="Y80" s="18" t="n">
        <v>22206.15</v>
      </c>
      <c r="Z80" s="37" t="n">
        <v>132781.38</v>
      </c>
      <c r="AA80" s="18" t="n">
        <v>17572.11</v>
      </c>
      <c r="AB80" s="19" t="n">
        <v>42840.26</v>
      </c>
      <c r="AC80" s="10" t="n"/>
      <c r="AD80" s="10" t="n"/>
      <c r="AE80" s="11" t="n"/>
      <c r="AF80" s="10" t="n"/>
      <c r="AG80" s="10" t="n"/>
      <c r="AH80" s="10" t="n"/>
      <c r="AI80" s="10" t="n"/>
      <c r="AJ80" s="11" t="n"/>
      <c r="AK80" s="10" t="n"/>
      <c r="AL80" s="10" t="n"/>
      <c r="AM80" s="10" t="n"/>
      <c r="AN80" s="10" t="n"/>
      <c r="AO80" s="11" t="n"/>
    </row>
    <row r="81">
      <c r="A81" t="n">
        <v>1</v>
      </c>
      <c r="C81" t="inlineStr">
        <is>
          <t>배당금지급</t>
        </is>
      </c>
      <c r="E81" s="18" t="n">
        <v>0</v>
      </c>
      <c r="F81" s="9" t="n"/>
      <c r="G81" s="18" t="n">
        <v>800</v>
      </c>
      <c r="H81" s="18" t="n">
        <v>0</v>
      </c>
      <c r="I81" s="18" t="n">
        <v>0</v>
      </c>
      <c r="J81" s="18" t="n">
        <v>0</v>
      </c>
      <c r="K81" s="37" t="n">
        <v>800</v>
      </c>
      <c r="L81" s="18" t="n">
        <v>960</v>
      </c>
      <c r="M81" s="18" t="n">
        <v>0</v>
      </c>
      <c r="N81" s="18" t="n">
        <v>0</v>
      </c>
      <c r="O81" s="18" t="n">
        <v>0</v>
      </c>
      <c r="P81" s="37" t="n">
        <v>960</v>
      </c>
      <c r="Q81" s="18" t="n">
        <v>960</v>
      </c>
      <c r="R81" s="18" t="n">
        <v>0</v>
      </c>
      <c r="S81" s="18" t="n">
        <v>0</v>
      </c>
      <c r="T81" s="18" t="n">
        <v>0</v>
      </c>
      <c r="U81" s="37" t="n">
        <v>960</v>
      </c>
      <c r="V81" s="18" t="n">
        <v>1120</v>
      </c>
      <c r="W81" s="18" t="n">
        <v>0</v>
      </c>
      <c r="X81" s="18" t="n">
        <v>0</v>
      </c>
      <c r="Y81" s="18" t="n">
        <v>0</v>
      </c>
      <c r="Z81" s="37" t="n">
        <v>1120</v>
      </c>
      <c r="AA81" s="18" t="n">
        <v>4000</v>
      </c>
      <c r="AB81" s="19" t="n">
        <v>0</v>
      </c>
      <c r="AC81" s="10" t="n"/>
      <c r="AD81" s="10" t="n"/>
      <c r="AE81" s="11" t="n"/>
      <c r="AF81" s="10" t="n"/>
      <c r="AG81" s="10" t="n"/>
      <c r="AH81" s="10" t="n"/>
      <c r="AI81" s="10" t="n"/>
      <c r="AJ81" s="11" t="n"/>
      <c r="AK81" s="10" t="n"/>
      <c r="AL81" s="10" t="n"/>
      <c r="AM81" s="10" t="n"/>
      <c r="AN81" s="10" t="n"/>
      <c r="AO81" s="11" t="n"/>
    </row>
    <row r="82">
      <c r="A82" t="n">
        <v>1</v>
      </c>
      <c r="C82" t="inlineStr">
        <is>
          <t>리스부채의상환</t>
        </is>
      </c>
      <c r="E82" s="18" t="n">
        <v>31.49</v>
      </c>
      <c r="F82" s="9" t="n"/>
      <c r="G82" s="18" t="n">
        <v>56.49</v>
      </c>
      <c r="H82" s="18" t="n">
        <v>42.09</v>
      </c>
      <c r="I82" s="18" t="n">
        <v>30.21</v>
      </c>
      <c r="J82" s="18" t="n">
        <v>5.33</v>
      </c>
      <c r="K82" s="37" t="n">
        <v>134.12</v>
      </c>
      <c r="L82" s="18" t="n">
        <v>5.34</v>
      </c>
      <c r="M82" s="18" t="n">
        <v>5.34</v>
      </c>
      <c r="P82" s="9" t="n"/>
      <c r="Q82" s="18" t="n">
        <v>5.34</v>
      </c>
      <c r="R82" s="18" t="n">
        <v>5.34</v>
      </c>
      <c r="U82" s="9" t="n"/>
      <c r="V82" s="18" t="n">
        <v>5.34</v>
      </c>
      <c r="W82" s="18" t="n">
        <v>5.34</v>
      </c>
      <c r="Z82" s="9" t="n"/>
      <c r="AA82" s="18" t="n">
        <v>4.35</v>
      </c>
      <c r="AB82" s="19" t="n">
        <v>4.35</v>
      </c>
      <c r="AC82" s="10" t="n"/>
      <c r="AD82" s="10" t="n"/>
      <c r="AE82" s="11" t="n"/>
      <c r="AF82" s="10" t="n"/>
      <c r="AG82" s="10" t="n"/>
      <c r="AH82" s="10" t="n"/>
      <c r="AI82" s="10" t="n"/>
      <c r="AJ82" s="11" t="n"/>
      <c r="AK82" s="10" t="n"/>
      <c r="AL82" s="10" t="n"/>
      <c r="AM82" s="10" t="n"/>
      <c r="AN82" s="10" t="n"/>
      <c r="AO82" s="11" t="n"/>
    </row>
    <row r="83">
      <c r="A83" t="n">
        <v>1</v>
      </c>
      <c r="C83" t="inlineStr">
        <is>
          <t>현금및현금성자산의증감</t>
        </is>
      </c>
      <c r="E83" s="18" t="n">
        <v>8500.280000000001</v>
      </c>
      <c r="F83" s="9" t="n"/>
      <c r="G83" s="18" t="n">
        <v>-6145.23</v>
      </c>
      <c r="H83" s="18" t="n">
        <v>-2017.94</v>
      </c>
      <c r="I83" s="18" t="n">
        <v>4076.55</v>
      </c>
      <c r="J83" s="18" t="n">
        <v>-3700.22</v>
      </c>
      <c r="K83" s="37" t="n">
        <v>-7786.84</v>
      </c>
      <c r="L83" s="18" t="n">
        <v>-3146.95</v>
      </c>
      <c r="M83" s="18" t="n">
        <v>464.3</v>
      </c>
      <c r="N83" s="18" t="n">
        <v>2523.74</v>
      </c>
      <c r="O83" s="18" t="n">
        <v>-1074.47</v>
      </c>
      <c r="P83" s="37" t="n">
        <v>-1233.38</v>
      </c>
      <c r="Q83" s="18" t="n">
        <v>-1369.87</v>
      </c>
      <c r="R83" s="18" t="n">
        <v>2930.76</v>
      </c>
      <c r="S83" s="18" t="n">
        <v>922.25</v>
      </c>
      <c r="T83" s="18" t="n">
        <v>-964.35</v>
      </c>
      <c r="U83" s="37" t="n">
        <v>1518.79</v>
      </c>
      <c r="V83" s="18" t="n">
        <v>1251.51</v>
      </c>
      <c r="W83" s="18" t="n">
        <v>6712.35</v>
      </c>
      <c r="X83" s="18" t="n">
        <v>-5972.48</v>
      </c>
      <c r="Y83" s="18" t="n">
        <v>7092.43</v>
      </c>
      <c r="Z83" s="37" t="n">
        <v>9083.809999999999</v>
      </c>
      <c r="AA83" s="18" t="n">
        <v>-3060.66</v>
      </c>
      <c r="AB83" s="19" t="n">
        <v>-1499.27</v>
      </c>
      <c r="AC83" s="10" t="n"/>
      <c r="AD83" s="10" t="n"/>
      <c r="AE83" s="11" t="n"/>
      <c r="AF83" s="10" t="n"/>
      <c r="AG83" s="10" t="n"/>
      <c r="AH83" s="10" t="n"/>
      <c r="AI83" s="10" t="n"/>
      <c r="AJ83" s="11" t="n"/>
      <c r="AK83" s="10" t="n"/>
      <c r="AL83" s="10" t="n"/>
      <c r="AM83" s="10" t="n"/>
      <c r="AN83" s="10" t="n"/>
      <c r="AO83" s="11" t="n"/>
    </row>
    <row r="84">
      <c r="A84" t="n">
        <v>1</v>
      </c>
      <c r="C84" t="inlineStr">
        <is>
          <t>기말현금및현금성자산</t>
        </is>
      </c>
      <c r="E84" s="18" t="n">
        <v>8496.139999999999</v>
      </c>
      <c r="F84" s="9" t="n"/>
      <c r="G84" s="18" t="n">
        <v>5657.8</v>
      </c>
      <c r="H84" s="18" t="n">
        <v>-1993.67</v>
      </c>
      <c r="I84" s="18" t="n">
        <v>4090.5</v>
      </c>
      <c r="J84" s="18" t="n">
        <v>-3708.87</v>
      </c>
      <c r="K84" s="37" t="n">
        <v>4045.76</v>
      </c>
      <c r="L84" s="18" t="n">
        <v>899.08</v>
      </c>
      <c r="M84" s="18" t="n">
        <v>480.57</v>
      </c>
      <c r="N84" s="18" t="n">
        <v>2508.96</v>
      </c>
      <c r="O84" s="18" t="n">
        <v>-1076.23</v>
      </c>
      <c r="P84" s="37" t="n">
        <v>2812.38</v>
      </c>
      <c r="Q84" s="18" t="n">
        <v>1443.48</v>
      </c>
      <c r="R84" s="18" t="n">
        <v>2927.88</v>
      </c>
      <c r="S84" s="18" t="n">
        <v>910.2</v>
      </c>
      <c r="T84" s="18" t="n">
        <v>-950.39</v>
      </c>
      <c r="U84" s="37" t="n">
        <v>4331.17</v>
      </c>
      <c r="V84" s="18" t="n">
        <v>5597.94</v>
      </c>
      <c r="W84" s="18" t="n">
        <v>6671.43</v>
      </c>
      <c r="X84" s="18" t="n">
        <v>-5959.93</v>
      </c>
      <c r="Y84" s="18" t="n">
        <v>7105.55</v>
      </c>
      <c r="Z84" s="37" t="n">
        <v>13414.99</v>
      </c>
      <c r="AA84" s="18" t="n">
        <v>10354.33</v>
      </c>
      <c r="AB84" s="19" t="n">
        <v>-1469</v>
      </c>
      <c r="AC84" s="10" t="n"/>
      <c r="AD84" s="10" t="n"/>
      <c r="AE84" s="11" t="n"/>
      <c r="AF84" s="10" t="n"/>
      <c r="AG84" s="10" t="n"/>
      <c r="AH84" s="10" t="n"/>
      <c r="AI84" s="10" t="n"/>
      <c r="AJ84" s="11" t="n"/>
      <c r="AK84" s="10" t="n"/>
      <c r="AL84" s="10" t="n"/>
      <c r="AM84" s="10" t="n"/>
      <c r="AN84" s="10" t="n"/>
      <c r="AO84" s="11" t="n"/>
    </row>
    <row r="85">
      <c r="A85" t="n">
        <v>1</v>
      </c>
      <c r="C85" t="inlineStr">
        <is>
          <t>장기차입금의증가</t>
        </is>
      </c>
      <c r="F85" s="9" t="n"/>
      <c r="I85" s="18" t="n">
        <v>0</v>
      </c>
      <c r="J85" s="18" t="n">
        <v>0</v>
      </c>
      <c r="K85" s="9" t="n"/>
      <c r="N85" s="18" t="n">
        <v>0</v>
      </c>
      <c r="O85" s="18" t="n">
        <v>0</v>
      </c>
      <c r="P85" s="9" t="n"/>
      <c r="U85" s="9" t="n"/>
      <c r="Z85" s="9" t="n"/>
      <c r="AB85" s="5" t="n"/>
      <c r="AC85" s="10" t="n"/>
      <c r="AD85" s="10" t="n"/>
      <c r="AE85" s="11" t="n"/>
      <c r="AF85" s="10" t="n"/>
      <c r="AG85" s="10" t="n"/>
      <c r="AH85" s="10" t="n"/>
      <c r="AI85" s="10" t="n"/>
      <c r="AJ85" s="11" t="n"/>
      <c r="AK85" s="10" t="n"/>
      <c r="AL85" s="10" t="n"/>
      <c r="AM85" s="10" t="n"/>
      <c r="AN85" s="10" t="n"/>
      <c r="AO85" s="11" t="n"/>
    </row>
    <row r="86">
      <c r="A86" t="n">
        <v>1</v>
      </c>
      <c r="C86" t="inlineStr">
        <is>
          <t>유동성장기부채의감소</t>
        </is>
      </c>
      <c r="F86" s="9" t="n"/>
      <c r="I86" s="18" t="n">
        <v>3166.68</v>
      </c>
      <c r="K86" s="9" t="n"/>
      <c r="L86" s="18" t="n">
        <v>3166.68</v>
      </c>
      <c r="M86" s="18" t="n">
        <v>2111.12</v>
      </c>
      <c r="N86" s="18" t="n">
        <v>4222.24</v>
      </c>
      <c r="P86" s="9" t="n"/>
      <c r="Q86" s="18" t="n">
        <v>3166.65</v>
      </c>
      <c r="R86" s="18" t="n">
        <v>3166.65</v>
      </c>
      <c r="S86" s="18" t="n">
        <v>2111.1</v>
      </c>
      <c r="U86" s="9" t="n"/>
      <c r="V86" s="18" t="n">
        <v>3166.65</v>
      </c>
      <c r="W86" s="18" t="n">
        <v>2111.1</v>
      </c>
      <c r="X86" s="18" t="n">
        <v>0</v>
      </c>
      <c r="Y86" s="18" t="n">
        <v>0</v>
      </c>
      <c r="Z86" s="37" t="n">
        <v>5277.75</v>
      </c>
      <c r="AA86" s="18" t="n">
        <v>0</v>
      </c>
      <c r="AB86" s="19" t="n">
        <v>0</v>
      </c>
      <c r="AC86" s="10" t="n"/>
      <c r="AD86" s="10" t="n"/>
      <c r="AE86" s="11" t="n"/>
      <c r="AF86" s="10" t="n"/>
      <c r="AG86" s="10" t="n"/>
      <c r="AH86" s="10" t="n"/>
      <c r="AI86" s="10" t="n"/>
      <c r="AJ86" s="11" t="n"/>
      <c r="AK86" s="10" t="n"/>
      <c r="AL86" s="10" t="n"/>
      <c r="AM86" s="10" t="n"/>
      <c r="AN86" s="10" t="n"/>
      <c r="AO86" s="11" t="n"/>
    </row>
    <row r="87">
      <c r="A87" t="n">
        <v>1</v>
      </c>
      <c r="C87" t="inlineStr">
        <is>
          <t>이자수취(CF)</t>
        </is>
      </c>
      <c r="F87" s="9" t="n"/>
      <c r="K87" s="9" t="n"/>
      <c r="O87" s="18" t="n">
        <v>700.05</v>
      </c>
      <c r="P87" s="9" t="n"/>
      <c r="Q87" s="18" t="n">
        <v>368.76</v>
      </c>
      <c r="R87" s="18" t="n">
        <v>496.31</v>
      </c>
      <c r="S87" s="18" t="n">
        <v>404.02</v>
      </c>
      <c r="T87" s="18" t="n">
        <v>539.6900000000001</v>
      </c>
      <c r="U87" s="37" t="n">
        <v>1808.78</v>
      </c>
      <c r="V87" s="18" t="n">
        <v>359.09</v>
      </c>
      <c r="W87" s="18" t="n">
        <v>333.88</v>
      </c>
      <c r="X87" s="18" t="n">
        <v>360.88</v>
      </c>
      <c r="Z87" s="9" t="n"/>
      <c r="AB87" s="5" t="n"/>
      <c r="AC87" s="10" t="n"/>
      <c r="AD87" s="10" t="n"/>
      <c r="AE87" s="11" t="n"/>
      <c r="AF87" s="10" t="n"/>
      <c r="AG87" s="10" t="n"/>
      <c r="AH87" s="10" t="n"/>
      <c r="AI87" s="10" t="n"/>
      <c r="AJ87" s="11" t="n"/>
      <c r="AK87" s="10" t="n"/>
      <c r="AL87" s="10" t="n"/>
      <c r="AM87" s="10" t="n"/>
      <c r="AN87" s="10" t="n"/>
      <c r="AO87" s="1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43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9" customWidth="1" min="2" max="2"/>
    <col width="26" customWidth="1" min="3" max="3"/>
    <col width="30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</cols>
  <sheetData>
    <row r="1">
      <c r="A1" s="1" t="inlineStr">
        <is>
          <t>YQ</t>
        </is>
      </c>
      <c r="C1" s="2" t="inlineStr">
        <is>
          <t>subQ 분기 서브모델(억원, U=100)</t>
        </is>
      </c>
      <c r="E1" s="3" t="inlineStr">
        <is>
          <t>4Q21</t>
        </is>
      </c>
      <c r="F1" s="3" t="n">
        <v>2021</v>
      </c>
      <c r="G1" s="3" t="inlineStr">
        <is>
          <t>1Q22</t>
        </is>
      </c>
      <c r="H1" s="3" t="inlineStr">
        <is>
          <t>2Q22</t>
        </is>
      </c>
      <c r="I1" s="3" t="inlineStr">
        <is>
          <t>3Q22</t>
        </is>
      </c>
      <c r="J1" s="3" t="inlineStr">
        <is>
          <t>4Q22</t>
        </is>
      </c>
      <c r="K1" s="3" t="n">
        <v>2022</v>
      </c>
      <c r="L1" s="3" t="inlineStr">
        <is>
          <t>1Q23</t>
        </is>
      </c>
      <c r="M1" s="3" t="inlineStr">
        <is>
          <t>2Q23</t>
        </is>
      </c>
      <c r="N1" s="3" t="inlineStr">
        <is>
          <t>3Q23</t>
        </is>
      </c>
      <c r="O1" s="3" t="inlineStr">
        <is>
          <t>4Q23</t>
        </is>
      </c>
      <c r="P1" s="3" t="n">
        <v>2023</v>
      </c>
      <c r="Q1" s="3" t="inlineStr">
        <is>
          <t>1Q24</t>
        </is>
      </c>
      <c r="R1" s="3" t="inlineStr">
        <is>
          <t>2Q24</t>
        </is>
      </c>
      <c r="S1" s="3" t="inlineStr">
        <is>
          <t>3Q24</t>
        </is>
      </c>
      <c r="T1" s="3" t="inlineStr">
        <is>
          <t>4Q24</t>
        </is>
      </c>
      <c r="U1" s="3" t="n">
        <v>2024</v>
      </c>
      <c r="V1" s="3" t="inlineStr">
        <is>
          <t>1Q25</t>
        </is>
      </c>
      <c r="W1" s="3" t="inlineStr">
        <is>
          <t>2Q25</t>
        </is>
      </c>
      <c r="X1" s="3" t="inlineStr">
        <is>
          <t>3Q25</t>
        </is>
      </c>
      <c r="Y1" s="3" t="inlineStr">
        <is>
          <t>4Q25</t>
        </is>
      </c>
      <c r="Z1" s="3" t="n">
        <v>2025</v>
      </c>
      <c r="AA1" s="3" t="inlineStr">
        <is>
          <t>1Q26</t>
        </is>
      </c>
      <c r="AB1" s="4" t="inlineStr">
        <is>
          <t>2Q26</t>
        </is>
      </c>
      <c r="AC1" s="3" t="inlineStr">
        <is>
          <t>3Q26</t>
        </is>
      </c>
      <c r="AD1" s="3" t="inlineStr">
        <is>
          <t>4Q26</t>
        </is>
      </c>
      <c r="AE1" s="3" t="n">
        <v>2026</v>
      </c>
      <c r="AF1" s="3" t="inlineStr">
        <is>
          <t>1Q27</t>
        </is>
      </c>
      <c r="AG1" s="3" t="inlineStr">
        <is>
          <t>2Q27</t>
        </is>
      </c>
      <c r="AH1" s="3" t="inlineStr">
        <is>
          <t>3Q27</t>
        </is>
      </c>
      <c r="AI1" s="3" t="inlineStr">
        <is>
          <t>4Q27</t>
        </is>
      </c>
      <c r="AJ1" s="3" t="n">
        <v>2027</v>
      </c>
      <c r="AK1" s="3" t="inlineStr">
        <is>
          <t>1Q28</t>
        </is>
      </c>
      <c r="AL1" s="3" t="inlineStr">
        <is>
          <t>2Q28</t>
        </is>
      </c>
      <c r="AM1" s="3" t="inlineStr">
        <is>
          <t>3Q28</t>
        </is>
      </c>
      <c r="AN1" s="3" t="inlineStr">
        <is>
          <t>4Q28</t>
        </is>
      </c>
      <c r="AO1" s="3" t="n">
        <v>2028</v>
      </c>
    </row>
    <row r="2">
      <c r="A2" s="2" t="inlineStr">
        <is>
          <t>A=이름(key) B=그룹 C=단위 D=FnGuide 계정명(VLOOKUP 키). 확정=VLOOKUP(BS), 추정=변수 가정 참조</t>
        </is>
      </c>
      <c r="AB2" s="5" t="n"/>
    </row>
    <row r="3">
      <c r="E3" s="2" t="n">
        <v>1</v>
      </c>
      <c r="F3" s="2" t="n">
        <v>2</v>
      </c>
      <c r="G3" s="2" t="n">
        <v>3</v>
      </c>
      <c r="H3" s="2" t="n">
        <v>4</v>
      </c>
      <c r="I3" s="2" t="n">
        <v>5</v>
      </c>
      <c r="J3" s="2" t="n">
        <v>6</v>
      </c>
      <c r="K3" s="2" t="n">
        <v>7</v>
      </c>
      <c r="L3" s="2" t="n">
        <v>8</v>
      </c>
      <c r="M3" s="2" t="n">
        <v>9</v>
      </c>
      <c r="N3" s="2" t="n">
        <v>10</v>
      </c>
      <c r="O3" s="2" t="n">
        <v>11</v>
      </c>
      <c r="P3" s="2" t="n">
        <v>12</v>
      </c>
      <c r="Q3" s="2" t="n">
        <v>13</v>
      </c>
      <c r="R3" s="2" t="n">
        <v>14</v>
      </c>
      <c r="S3" s="2" t="n">
        <v>15</v>
      </c>
      <c r="T3" s="2" t="n">
        <v>16</v>
      </c>
      <c r="U3" s="2" t="n">
        <v>17</v>
      </c>
      <c r="V3" s="2" t="n">
        <v>18</v>
      </c>
      <c r="W3" s="2" t="n">
        <v>19</v>
      </c>
      <c r="X3" s="2" t="n">
        <v>20</v>
      </c>
      <c r="Y3" s="2" t="n">
        <v>21</v>
      </c>
      <c r="Z3" s="2" t="n">
        <v>22</v>
      </c>
      <c r="AA3" s="2" t="n">
        <v>23</v>
      </c>
      <c r="AB3" s="6" t="n">
        <v>24</v>
      </c>
      <c r="AC3" s="2" t="n">
        <v>25</v>
      </c>
      <c r="AD3" s="2" t="n">
        <v>26</v>
      </c>
      <c r="AE3" s="2" t="n">
        <v>27</v>
      </c>
      <c r="AF3" s="2" t="n">
        <v>28</v>
      </c>
      <c r="AG3" s="2" t="n">
        <v>29</v>
      </c>
      <c r="AH3" s="2" t="n">
        <v>30</v>
      </c>
      <c r="AI3" s="2" t="n">
        <v>31</v>
      </c>
      <c r="AJ3" s="2" t="n">
        <v>32</v>
      </c>
      <c r="AK3" s="2" t="n">
        <v>33</v>
      </c>
      <c r="AL3" s="2" t="n">
        <v>34</v>
      </c>
      <c r="AM3" s="2" t="n">
        <v>35</v>
      </c>
      <c r="AN3" s="2" t="n">
        <v>36</v>
      </c>
      <c r="AO3" s="2" t="n">
        <v>37</v>
      </c>
    </row>
    <row r="4">
      <c r="E4" s="7" t="inlineStr">
        <is>
          <t>2021.12</t>
        </is>
      </c>
      <c r="F4" s="7" t="inlineStr">
        <is>
          <t>2021.12A</t>
        </is>
      </c>
      <c r="G4" s="7" t="inlineStr">
        <is>
          <t>2022.03</t>
        </is>
      </c>
      <c r="H4" s="7" t="inlineStr">
        <is>
          <t>2022.06</t>
        </is>
      </c>
      <c r="I4" s="7" t="inlineStr">
        <is>
          <t>2022.09</t>
        </is>
      </c>
      <c r="J4" s="7" t="inlineStr">
        <is>
          <t>2022.12</t>
        </is>
      </c>
      <c r="K4" s="7" t="inlineStr">
        <is>
          <t>2022.12A</t>
        </is>
      </c>
      <c r="L4" s="7" t="inlineStr">
        <is>
          <t>2023.03</t>
        </is>
      </c>
      <c r="M4" s="7" t="inlineStr">
        <is>
          <t>2023.06</t>
        </is>
      </c>
      <c r="N4" s="7" t="inlineStr">
        <is>
          <t>2023.09</t>
        </is>
      </c>
      <c r="O4" s="7" t="inlineStr">
        <is>
          <t>2023.12</t>
        </is>
      </c>
      <c r="P4" s="7" t="inlineStr">
        <is>
          <t>2023.12A</t>
        </is>
      </c>
      <c r="Q4" s="7" t="inlineStr">
        <is>
          <t>2024.03</t>
        </is>
      </c>
      <c r="R4" s="7" t="inlineStr">
        <is>
          <t>2024.06</t>
        </is>
      </c>
      <c r="S4" s="7" t="inlineStr">
        <is>
          <t>2024.09</t>
        </is>
      </c>
      <c r="T4" s="7" t="inlineStr">
        <is>
          <t>2024.12</t>
        </is>
      </c>
      <c r="U4" s="7" t="inlineStr">
        <is>
          <t>2024.12A</t>
        </is>
      </c>
      <c r="V4" s="7" t="inlineStr">
        <is>
          <t>2025.03</t>
        </is>
      </c>
      <c r="W4" s="7" t="inlineStr">
        <is>
          <t>2025.06</t>
        </is>
      </c>
      <c r="X4" s="7" t="inlineStr">
        <is>
          <t>2025.09</t>
        </is>
      </c>
      <c r="Y4" s="7" t="inlineStr">
        <is>
          <t>2025.12</t>
        </is>
      </c>
      <c r="Z4" s="7" t="inlineStr">
        <is>
          <t>2025.12A</t>
        </is>
      </c>
      <c r="AA4" s="7" t="inlineStr">
        <is>
          <t>2026.03</t>
        </is>
      </c>
      <c r="AB4" s="8" t="inlineStr">
        <is>
          <t>2026.06</t>
        </is>
      </c>
      <c r="AC4" s="7" t="inlineStr">
        <is>
          <t>2026.09</t>
        </is>
      </c>
      <c r="AD4" s="7" t="inlineStr">
        <is>
          <t>2026.12</t>
        </is>
      </c>
      <c r="AE4" s="7" t="inlineStr">
        <is>
          <t>2026.12A</t>
        </is>
      </c>
      <c r="AF4" s="7" t="inlineStr">
        <is>
          <t>2027.03</t>
        </is>
      </c>
      <c r="AG4" s="7" t="inlineStr">
        <is>
          <t>2027.06</t>
        </is>
      </c>
      <c r="AH4" s="7" t="inlineStr">
        <is>
          <t>2027.09</t>
        </is>
      </c>
      <c r="AI4" s="7" t="inlineStr">
        <is>
          <t>2027.12</t>
        </is>
      </c>
      <c r="AJ4" s="7" t="inlineStr">
        <is>
          <t>2027.12A</t>
        </is>
      </c>
      <c r="AK4" s="7" t="inlineStr">
        <is>
          <t>2028.03</t>
        </is>
      </c>
      <c r="AL4" s="7" t="inlineStr">
        <is>
          <t>2028.06</t>
        </is>
      </c>
      <c r="AM4" s="7" t="inlineStr">
        <is>
          <t>2028.09</t>
        </is>
      </c>
      <c r="AN4" s="7" t="inlineStr">
        <is>
          <t>2028.12</t>
        </is>
      </c>
      <c r="AO4" s="7" t="inlineStr">
        <is>
          <t>2028.12A</t>
        </is>
      </c>
    </row>
    <row r="5">
      <c r="A5" s="12" t="inlineStr">
        <is>
          <t>매출액</t>
        </is>
      </c>
      <c r="B5" t="inlineStr">
        <is>
          <t>손익</t>
        </is>
      </c>
      <c r="C5" t="inlineStr">
        <is>
          <t>억원</t>
        </is>
      </c>
      <c r="D5" t="inlineStr">
        <is>
          <t>매출액(수익)</t>
        </is>
      </c>
      <c r="E5" s="18">
        <f>IFERROR(VLOOKUP($D5,BS연결,MATCH(E$1,BS연결H,0),0)/100,"")</f>
        <v/>
      </c>
      <c r="F5" s="37" t="n"/>
      <c r="G5" s="18">
        <f>IFERROR(VLOOKUP($D5,BS연결,MATCH(G$1,BS연결H,0),0)/100,"")</f>
        <v/>
      </c>
      <c r="H5" s="18">
        <f>IFERROR(VLOOKUP($D5,BS연결,MATCH(H$1,BS연결H,0),0)/100,"")</f>
        <v/>
      </c>
      <c r="I5" s="18">
        <f>IFERROR(VLOOKUP($D5,BS연결,MATCH(I$1,BS연결H,0),0)/100,"")</f>
        <v/>
      </c>
      <c r="J5" s="18">
        <f>IFERROR(VLOOKUP($D5,BS연결,MATCH(J$1,BS연결H,0),0)/100,"")</f>
        <v/>
      </c>
      <c r="K5" s="37">
        <f>IFERROR(VLOOKUP($D5,BS연결,MATCH(K$1,BS연결H,0),0)/100,"")</f>
        <v/>
      </c>
      <c r="L5" s="18">
        <f>IFERROR(VLOOKUP($D5,BS연결,MATCH(L$1,BS연결H,0),0)/100,"")</f>
        <v/>
      </c>
      <c r="M5" s="18">
        <f>IFERROR(VLOOKUP($D5,BS연결,MATCH(M$1,BS연결H,0),0)/100,"")</f>
        <v/>
      </c>
      <c r="N5" s="18">
        <f>IFERROR(VLOOKUP($D5,BS연결,MATCH(N$1,BS연결H,0),0)/100,"")</f>
        <v/>
      </c>
      <c r="O5" s="18">
        <f>IFERROR(VLOOKUP($D5,BS연결,MATCH(O$1,BS연결H,0),0)/100,"")</f>
        <v/>
      </c>
      <c r="P5" s="37">
        <f>IFERROR(VLOOKUP($D5,BS연결,MATCH(P$1,BS연결H,0),0)/100,"")</f>
        <v/>
      </c>
      <c r="Q5" s="18">
        <f>IFERROR(VLOOKUP($D5,BS연결,MATCH(Q$1,BS연결H,0),0)/100,"")</f>
        <v/>
      </c>
      <c r="R5" s="18">
        <f>IFERROR(VLOOKUP($D5,BS연결,MATCH(R$1,BS연결H,0),0)/100,"")</f>
        <v/>
      </c>
      <c r="S5" s="18">
        <f>IFERROR(VLOOKUP($D5,BS연결,MATCH(S$1,BS연결H,0),0)/100,"")</f>
        <v/>
      </c>
      <c r="T5" s="18">
        <f>IFERROR(VLOOKUP($D5,BS연결,MATCH(T$1,BS연결H,0),0)/100,"")</f>
        <v/>
      </c>
      <c r="U5" s="37">
        <f>IFERROR(VLOOKUP($D5,BS연결,MATCH(U$1,BS연결H,0),0)/100,"")</f>
        <v/>
      </c>
      <c r="V5" s="18">
        <f>IFERROR(VLOOKUP($D5,BS연결,MATCH(V$1,BS연결H,0),0)/100,"")</f>
        <v/>
      </c>
      <c r="W5" s="18">
        <f>IFERROR(VLOOKUP($D5,BS연결,MATCH(W$1,BS연결H,0),0)/100,"")</f>
        <v/>
      </c>
      <c r="X5" s="18">
        <f>IFERROR(VLOOKUP($D5,BS연결,MATCH(X$1,BS연결H,0),0)/100,"")</f>
        <v/>
      </c>
      <c r="Y5" s="18">
        <f>IFERROR(VLOOKUP($D5,BS연결,MATCH(Y$1,BS연결H,0),0)/100,"")</f>
        <v/>
      </c>
      <c r="Z5" s="37">
        <f>IFERROR(VLOOKUP($D5,BS연결,MATCH(Z$1,BS연결H,0),0)/100,"")</f>
        <v/>
      </c>
      <c r="AA5" s="18">
        <f>IFERROR(VLOOKUP($D5,BS연결,MATCH(AA$1,BS연결H,0),0)/100,"")</f>
        <v/>
      </c>
      <c r="AB5" s="19">
        <f>IFERROR(VLOOKUP($D5,BS연결,MATCH(AB$1,BS연결H,0),0)/100,"")</f>
        <v/>
      </c>
      <c r="AC5" s="20">
        <f>IFERROR(X5*(1+변수!AC21),"")</f>
        <v/>
      </c>
      <c r="AD5" s="20">
        <f>IFERROR(Y5*(1+변수!AD21),"")</f>
        <v/>
      </c>
      <c r="AE5" s="38">
        <f>SUM(AA5:AD5)</f>
        <v/>
      </c>
      <c r="AF5" s="20">
        <f>IFERROR(AA5*(1+변수!AF21),"")</f>
        <v/>
      </c>
      <c r="AG5" s="20">
        <f>IFERROR(AB5*(1+변수!AG21),"")</f>
        <v/>
      </c>
      <c r="AH5" s="20">
        <f>IFERROR(AC5*(1+변수!AH21),"")</f>
        <v/>
      </c>
      <c r="AI5" s="20">
        <f>IFERROR(AD5*(1+변수!AI21),"")</f>
        <v/>
      </c>
      <c r="AJ5" s="38">
        <f>SUM(AF5:AI5)</f>
        <v/>
      </c>
      <c r="AK5" s="20">
        <f>IFERROR(AF5*(1+변수!AK21),"")</f>
        <v/>
      </c>
      <c r="AL5" s="20">
        <f>IFERROR(AG5*(1+변수!AL21),"")</f>
        <v/>
      </c>
      <c r="AM5" s="20">
        <f>IFERROR(AH5*(1+변수!AM21),"")</f>
        <v/>
      </c>
      <c r="AN5" s="20">
        <f>IFERROR(AI5*(1+변수!AN21),"")</f>
        <v/>
      </c>
      <c r="AO5" s="38">
        <f>SUM(AK5:AN5)</f>
        <v/>
      </c>
    </row>
    <row r="6">
      <c r="A6" s="12" t="inlineStr">
        <is>
          <t>매출원가</t>
        </is>
      </c>
      <c r="B6" t="inlineStr">
        <is>
          <t>손익</t>
        </is>
      </c>
      <c r="C6" t="inlineStr">
        <is>
          <t>억원</t>
        </is>
      </c>
      <c r="D6" t="inlineStr">
        <is>
          <t>매출원가</t>
        </is>
      </c>
      <c r="E6" s="18">
        <f>IFERROR(VLOOKUP($D6,BS연결,MATCH(E$1,BS연결H,0),0)/100,"")</f>
        <v/>
      </c>
      <c r="F6" s="37" t="n"/>
      <c r="G6" s="18">
        <f>IFERROR(VLOOKUP($D6,BS연결,MATCH(G$1,BS연결H,0),0)/100,"")</f>
        <v/>
      </c>
      <c r="H6" s="18">
        <f>IFERROR(VLOOKUP($D6,BS연결,MATCH(H$1,BS연결H,0),0)/100,"")</f>
        <v/>
      </c>
      <c r="I6" s="18">
        <f>IFERROR(VLOOKUP($D6,BS연결,MATCH(I$1,BS연결H,0),0)/100,"")</f>
        <v/>
      </c>
      <c r="J6" s="18">
        <f>IFERROR(VLOOKUP($D6,BS연결,MATCH(J$1,BS연결H,0),0)/100,"")</f>
        <v/>
      </c>
      <c r="K6" s="37">
        <f>IFERROR(VLOOKUP($D6,BS연결,MATCH(K$1,BS연결H,0),0)/100,"")</f>
        <v/>
      </c>
      <c r="L6" s="18">
        <f>IFERROR(VLOOKUP($D6,BS연결,MATCH(L$1,BS연결H,0),0)/100,"")</f>
        <v/>
      </c>
      <c r="M6" s="18">
        <f>IFERROR(VLOOKUP($D6,BS연결,MATCH(M$1,BS연결H,0),0)/100,"")</f>
        <v/>
      </c>
      <c r="N6" s="18">
        <f>IFERROR(VLOOKUP($D6,BS연결,MATCH(N$1,BS연결H,0),0)/100,"")</f>
        <v/>
      </c>
      <c r="O6" s="18">
        <f>IFERROR(VLOOKUP($D6,BS연결,MATCH(O$1,BS연결H,0),0)/100,"")</f>
        <v/>
      </c>
      <c r="P6" s="37">
        <f>IFERROR(VLOOKUP($D6,BS연결,MATCH(P$1,BS연결H,0),0)/100,"")</f>
        <v/>
      </c>
      <c r="Q6" s="18">
        <f>IFERROR(VLOOKUP($D6,BS연결,MATCH(Q$1,BS연결H,0),0)/100,"")</f>
        <v/>
      </c>
      <c r="R6" s="18">
        <f>IFERROR(VLOOKUP($D6,BS연결,MATCH(R$1,BS연결H,0),0)/100,"")</f>
        <v/>
      </c>
      <c r="S6" s="18">
        <f>IFERROR(VLOOKUP($D6,BS연결,MATCH(S$1,BS연결H,0),0)/100,"")</f>
        <v/>
      </c>
      <c r="T6" s="18">
        <f>IFERROR(VLOOKUP($D6,BS연결,MATCH(T$1,BS연결H,0),0)/100,"")</f>
        <v/>
      </c>
      <c r="U6" s="37">
        <f>IFERROR(VLOOKUP($D6,BS연결,MATCH(U$1,BS연결H,0),0)/100,"")</f>
        <v/>
      </c>
      <c r="V6" s="18">
        <f>IFERROR(VLOOKUP($D6,BS연결,MATCH(V$1,BS연결H,0),0)/100,"")</f>
        <v/>
      </c>
      <c r="W6" s="18">
        <f>IFERROR(VLOOKUP($D6,BS연결,MATCH(W$1,BS연결H,0),0)/100,"")</f>
        <v/>
      </c>
      <c r="X6" s="18">
        <f>IFERROR(VLOOKUP($D6,BS연결,MATCH(X$1,BS연결H,0),0)/100,"")</f>
        <v/>
      </c>
      <c r="Y6" s="18">
        <f>IFERROR(VLOOKUP($D6,BS연결,MATCH(Y$1,BS연결H,0),0)/100,"")</f>
        <v/>
      </c>
      <c r="Z6" s="37">
        <f>IFERROR(VLOOKUP($D6,BS연결,MATCH(Z$1,BS연결H,0),0)/100,"")</f>
        <v/>
      </c>
      <c r="AA6" s="18">
        <f>IFERROR(VLOOKUP($D6,BS연결,MATCH(AA$1,BS연결H,0),0)/100,"")</f>
        <v/>
      </c>
      <c r="AB6" s="19">
        <f>IFERROR(VLOOKUP($D6,BS연결,MATCH(AB$1,BS연결H,0),0)/100,"")</f>
        <v/>
      </c>
      <c r="AC6" s="20">
        <f>IFERROR(AC5-AC7,"")</f>
        <v/>
      </c>
      <c r="AD6" s="20">
        <f>IFERROR(AD5-AD7,"")</f>
        <v/>
      </c>
      <c r="AE6" s="38">
        <f>SUM(AA6:AD6)</f>
        <v/>
      </c>
      <c r="AF6" s="20">
        <f>IFERROR(AF5-AF7,"")</f>
        <v/>
      </c>
      <c r="AG6" s="20">
        <f>IFERROR(AG5-AG7,"")</f>
        <v/>
      </c>
      <c r="AH6" s="20">
        <f>IFERROR(AH5-AH7,"")</f>
        <v/>
      </c>
      <c r="AI6" s="20">
        <f>IFERROR(AI5-AI7,"")</f>
        <v/>
      </c>
      <c r="AJ6" s="38">
        <f>SUM(AF6:AI6)</f>
        <v/>
      </c>
      <c r="AK6" s="20">
        <f>IFERROR(AK5-AK7,"")</f>
        <v/>
      </c>
      <c r="AL6" s="20">
        <f>IFERROR(AL5-AL7,"")</f>
        <v/>
      </c>
      <c r="AM6" s="20">
        <f>IFERROR(AM5-AM7,"")</f>
        <v/>
      </c>
      <c r="AN6" s="20">
        <f>IFERROR(AN5-AN7,"")</f>
        <v/>
      </c>
      <c r="AO6" s="38">
        <f>SUM(AK6:AN6)</f>
        <v/>
      </c>
    </row>
    <row r="7">
      <c r="A7" s="12" t="inlineStr">
        <is>
          <t>매출총이익</t>
        </is>
      </c>
      <c r="B7" t="inlineStr">
        <is>
          <t>손익</t>
        </is>
      </c>
      <c r="C7" t="inlineStr">
        <is>
          <t>억원</t>
        </is>
      </c>
      <c r="D7" t="inlineStr">
        <is>
          <t>매출총이익</t>
        </is>
      </c>
      <c r="E7" s="18">
        <f>IFERROR(VLOOKUP($D7,BS연결,MATCH(E$1,BS연결H,0),0)/100,"")</f>
        <v/>
      </c>
      <c r="F7" s="37" t="n"/>
      <c r="G7" s="18">
        <f>IFERROR(VLOOKUP($D7,BS연결,MATCH(G$1,BS연결H,0),0)/100,"")</f>
        <v/>
      </c>
      <c r="H7" s="18">
        <f>IFERROR(VLOOKUP($D7,BS연결,MATCH(H$1,BS연결H,0),0)/100,"")</f>
        <v/>
      </c>
      <c r="I7" s="18">
        <f>IFERROR(VLOOKUP($D7,BS연결,MATCH(I$1,BS연결H,0),0)/100,"")</f>
        <v/>
      </c>
      <c r="J7" s="18">
        <f>IFERROR(VLOOKUP($D7,BS연결,MATCH(J$1,BS연결H,0),0)/100,"")</f>
        <v/>
      </c>
      <c r="K7" s="37">
        <f>IFERROR(VLOOKUP($D7,BS연결,MATCH(K$1,BS연결H,0),0)/100,"")</f>
        <v/>
      </c>
      <c r="L7" s="18">
        <f>IFERROR(VLOOKUP($D7,BS연결,MATCH(L$1,BS연결H,0),0)/100,"")</f>
        <v/>
      </c>
      <c r="M7" s="18">
        <f>IFERROR(VLOOKUP($D7,BS연결,MATCH(M$1,BS연결H,0),0)/100,"")</f>
        <v/>
      </c>
      <c r="N7" s="18">
        <f>IFERROR(VLOOKUP($D7,BS연결,MATCH(N$1,BS연결H,0),0)/100,"")</f>
        <v/>
      </c>
      <c r="O7" s="18">
        <f>IFERROR(VLOOKUP($D7,BS연결,MATCH(O$1,BS연결H,0),0)/100,"")</f>
        <v/>
      </c>
      <c r="P7" s="37">
        <f>IFERROR(VLOOKUP($D7,BS연결,MATCH(P$1,BS연결H,0),0)/100,"")</f>
        <v/>
      </c>
      <c r="Q7" s="18">
        <f>IFERROR(VLOOKUP($D7,BS연결,MATCH(Q$1,BS연결H,0),0)/100,"")</f>
        <v/>
      </c>
      <c r="R7" s="18">
        <f>IFERROR(VLOOKUP($D7,BS연결,MATCH(R$1,BS연결H,0),0)/100,"")</f>
        <v/>
      </c>
      <c r="S7" s="18">
        <f>IFERROR(VLOOKUP($D7,BS연결,MATCH(S$1,BS연결H,0),0)/100,"")</f>
        <v/>
      </c>
      <c r="T7" s="18">
        <f>IFERROR(VLOOKUP($D7,BS연결,MATCH(T$1,BS연결H,0),0)/100,"")</f>
        <v/>
      </c>
      <c r="U7" s="37">
        <f>IFERROR(VLOOKUP($D7,BS연결,MATCH(U$1,BS연결H,0),0)/100,"")</f>
        <v/>
      </c>
      <c r="V7" s="18">
        <f>IFERROR(VLOOKUP($D7,BS연결,MATCH(V$1,BS연결H,0),0)/100,"")</f>
        <v/>
      </c>
      <c r="W7" s="18">
        <f>IFERROR(VLOOKUP($D7,BS연결,MATCH(W$1,BS연결H,0),0)/100,"")</f>
        <v/>
      </c>
      <c r="X7" s="18">
        <f>IFERROR(VLOOKUP($D7,BS연결,MATCH(X$1,BS연결H,0),0)/100,"")</f>
        <v/>
      </c>
      <c r="Y7" s="18">
        <f>IFERROR(VLOOKUP($D7,BS연결,MATCH(Y$1,BS연결H,0),0)/100,"")</f>
        <v/>
      </c>
      <c r="Z7" s="37">
        <f>IFERROR(VLOOKUP($D7,BS연결,MATCH(Z$1,BS연결H,0),0)/100,"")</f>
        <v/>
      </c>
      <c r="AA7" s="18">
        <f>IFERROR(VLOOKUP($D7,BS연결,MATCH(AA$1,BS연결H,0),0)/100,"")</f>
        <v/>
      </c>
      <c r="AB7" s="19">
        <f>IFERROR(VLOOKUP($D7,BS연결,MATCH(AB$1,BS연결H,0),0)/100,"")</f>
        <v/>
      </c>
      <c r="AC7" s="20">
        <f>IFERROR(AC9+AC8,"")</f>
        <v/>
      </c>
      <c r="AD7" s="20">
        <f>IFERROR(AD9+AD8,"")</f>
        <v/>
      </c>
      <c r="AE7" s="38">
        <f>SUM(AA7:AD7)</f>
        <v/>
      </c>
      <c r="AF7" s="20">
        <f>IFERROR(AF9+AF8,"")</f>
        <v/>
      </c>
      <c r="AG7" s="20">
        <f>IFERROR(AG9+AG8,"")</f>
        <v/>
      </c>
      <c r="AH7" s="20">
        <f>IFERROR(AH9+AH8,"")</f>
        <v/>
      </c>
      <c r="AI7" s="20">
        <f>IFERROR(AI9+AI8,"")</f>
        <v/>
      </c>
      <c r="AJ7" s="38">
        <f>SUM(AF7:AI7)</f>
        <v/>
      </c>
      <c r="AK7" s="20">
        <f>IFERROR(AK9+AK8,"")</f>
        <v/>
      </c>
      <c r="AL7" s="20">
        <f>IFERROR(AL9+AL8,"")</f>
        <v/>
      </c>
      <c r="AM7" s="20">
        <f>IFERROR(AM9+AM8,"")</f>
        <v/>
      </c>
      <c r="AN7" s="20">
        <f>IFERROR(AN9+AN8,"")</f>
        <v/>
      </c>
      <c r="AO7" s="38">
        <f>SUM(AK7:AN7)</f>
        <v/>
      </c>
    </row>
    <row r="8">
      <c r="A8" s="12" t="inlineStr">
        <is>
          <t>판관비</t>
        </is>
      </c>
      <c r="B8" t="inlineStr">
        <is>
          <t>손익</t>
        </is>
      </c>
      <c r="C8" t="inlineStr">
        <is>
          <t>억원</t>
        </is>
      </c>
      <c r="D8" t="inlineStr">
        <is>
          <t>판관비</t>
        </is>
      </c>
      <c r="E8" s="18">
        <f>IFERROR(VLOOKUP($D8,BS연결,MATCH(E$1,BS연결H,0),0)/100,"")</f>
        <v/>
      </c>
      <c r="F8" s="37" t="n"/>
      <c r="G8" s="18">
        <f>IFERROR(VLOOKUP($D8,BS연결,MATCH(G$1,BS연결H,0),0)/100,"")</f>
        <v/>
      </c>
      <c r="H8" s="18">
        <f>IFERROR(VLOOKUP($D8,BS연결,MATCH(H$1,BS연결H,0),0)/100,"")</f>
        <v/>
      </c>
      <c r="I8" s="18">
        <f>IFERROR(VLOOKUP($D8,BS연결,MATCH(I$1,BS연결H,0),0)/100,"")</f>
        <v/>
      </c>
      <c r="J8" s="18">
        <f>IFERROR(VLOOKUP($D8,BS연결,MATCH(J$1,BS연결H,0),0)/100,"")</f>
        <v/>
      </c>
      <c r="K8" s="37">
        <f>IFERROR(VLOOKUP($D8,BS연결,MATCH(K$1,BS연결H,0),0)/100,"")</f>
        <v/>
      </c>
      <c r="L8" s="18">
        <f>IFERROR(VLOOKUP($D8,BS연결,MATCH(L$1,BS연결H,0),0)/100,"")</f>
        <v/>
      </c>
      <c r="M8" s="18">
        <f>IFERROR(VLOOKUP($D8,BS연결,MATCH(M$1,BS연결H,0),0)/100,"")</f>
        <v/>
      </c>
      <c r="N8" s="18">
        <f>IFERROR(VLOOKUP($D8,BS연결,MATCH(N$1,BS연결H,0),0)/100,"")</f>
        <v/>
      </c>
      <c r="O8" s="18">
        <f>IFERROR(VLOOKUP($D8,BS연결,MATCH(O$1,BS연결H,0),0)/100,"")</f>
        <v/>
      </c>
      <c r="P8" s="37">
        <f>IFERROR(VLOOKUP($D8,BS연결,MATCH(P$1,BS연결H,0),0)/100,"")</f>
        <v/>
      </c>
      <c r="Q8" s="18">
        <f>IFERROR(VLOOKUP($D8,BS연결,MATCH(Q$1,BS연결H,0),0)/100,"")</f>
        <v/>
      </c>
      <c r="R8" s="18">
        <f>IFERROR(VLOOKUP($D8,BS연결,MATCH(R$1,BS연결H,0),0)/100,"")</f>
        <v/>
      </c>
      <c r="S8" s="18">
        <f>IFERROR(VLOOKUP($D8,BS연결,MATCH(S$1,BS연결H,0),0)/100,"")</f>
        <v/>
      </c>
      <c r="T8" s="18">
        <f>IFERROR(VLOOKUP($D8,BS연결,MATCH(T$1,BS연결H,0),0)/100,"")</f>
        <v/>
      </c>
      <c r="U8" s="37">
        <f>IFERROR(VLOOKUP($D8,BS연결,MATCH(U$1,BS연결H,0),0)/100,"")</f>
        <v/>
      </c>
      <c r="V8" s="18">
        <f>IFERROR(VLOOKUP($D8,BS연결,MATCH(V$1,BS연결H,0),0)/100,"")</f>
        <v/>
      </c>
      <c r="W8" s="18">
        <f>IFERROR(VLOOKUP($D8,BS연결,MATCH(W$1,BS연결H,0),0)/100,"")</f>
        <v/>
      </c>
      <c r="X8" s="18">
        <f>IFERROR(VLOOKUP($D8,BS연결,MATCH(X$1,BS연결H,0),0)/100,"")</f>
        <v/>
      </c>
      <c r="Y8" s="18">
        <f>IFERROR(VLOOKUP($D8,BS연결,MATCH(Y$1,BS연결H,0),0)/100,"")</f>
        <v/>
      </c>
      <c r="Z8" s="37">
        <f>SUM(V8:Y8)</f>
        <v/>
      </c>
      <c r="AA8" s="18">
        <f>IFERROR(VLOOKUP($D8,BS연결,MATCH(AA$1,BS연결H,0),0)/100,"")</f>
        <v/>
      </c>
      <c r="AB8" s="19">
        <f>IFERROR(VLOOKUP($D8,BS연결,MATCH(AB$1,BS연결H,0),0)/100,"")</f>
        <v/>
      </c>
      <c r="AC8" s="20">
        <f>IFERROR(AC5*변수!AC22,"")</f>
        <v/>
      </c>
      <c r="AD8" s="20">
        <f>IFERROR(AD5*변수!AD22,"")</f>
        <v/>
      </c>
      <c r="AE8" s="38">
        <f>SUM(AA8:AD8)</f>
        <v/>
      </c>
      <c r="AF8" s="20">
        <f>IFERROR(AF5*변수!AF22,"")</f>
        <v/>
      </c>
      <c r="AG8" s="20">
        <f>IFERROR(AG5*변수!AG22,"")</f>
        <v/>
      </c>
      <c r="AH8" s="20">
        <f>IFERROR(AH5*변수!AH22,"")</f>
        <v/>
      </c>
      <c r="AI8" s="20">
        <f>IFERROR(AI5*변수!AI22,"")</f>
        <v/>
      </c>
      <c r="AJ8" s="38">
        <f>SUM(AF8:AI8)</f>
        <v/>
      </c>
      <c r="AK8" s="20">
        <f>IFERROR(AK5*변수!AK22,"")</f>
        <v/>
      </c>
      <c r="AL8" s="20">
        <f>IFERROR(AL5*변수!AL22,"")</f>
        <v/>
      </c>
      <c r="AM8" s="20">
        <f>IFERROR(AM5*변수!AM22,"")</f>
        <v/>
      </c>
      <c r="AN8" s="20">
        <f>IFERROR(AN5*변수!AN22,"")</f>
        <v/>
      </c>
      <c r="AO8" s="38">
        <f>SUM(AK8:AN8)</f>
        <v/>
      </c>
    </row>
    <row r="9">
      <c r="A9" s="12" t="inlineStr">
        <is>
          <t>영업이익</t>
        </is>
      </c>
      <c r="B9" t="inlineStr">
        <is>
          <t>손익</t>
        </is>
      </c>
      <c r="C9" t="inlineStr">
        <is>
          <t>억원</t>
        </is>
      </c>
      <c r="D9" t="inlineStr">
        <is>
          <t>영업이익</t>
        </is>
      </c>
      <c r="E9" s="18">
        <f>IFERROR(VLOOKUP($D9,BS연결,MATCH(E$1,BS연결H,0),0)/100,"")</f>
        <v/>
      </c>
      <c r="F9" s="37" t="n"/>
      <c r="G9" s="18">
        <f>IFERROR(VLOOKUP($D9,BS연결,MATCH(G$1,BS연결H,0),0)/100,"")</f>
        <v/>
      </c>
      <c r="H9" s="18">
        <f>IFERROR(VLOOKUP($D9,BS연결,MATCH(H$1,BS연결H,0),0)/100,"")</f>
        <v/>
      </c>
      <c r="I9" s="18">
        <f>IFERROR(VLOOKUP($D9,BS연결,MATCH(I$1,BS연결H,0),0)/100,"")</f>
        <v/>
      </c>
      <c r="J9" s="18">
        <f>IFERROR(VLOOKUP($D9,BS연결,MATCH(J$1,BS연결H,0),0)/100,"")</f>
        <v/>
      </c>
      <c r="K9" s="37">
        <f>IFERROR(VLOOKUP($D9,BS연결,MATCH(K$1,BS연결H,0),0)/100,"")</f>
        <v/>
      </c>
      <c r="L9" s="18">
        <f>IFERROR(VLOOKUP($D9,BS연결,MATCH(L$1,BS연결H,0),0)/100,"")</f>
        <v/>
      </c>
      <c r="M9" s="18">
        <f>IFERROR(VLOOKUP($D9,BS연결,MATCH(M$1,BS연결H,0),0)/100,"")</f>
        <v/>
      </c>
      <c r="N9" s="18">
        <f>IFERROR(VLOOKUP($D9,BS연결,MATCH(N$1,BS연결H,0),0)/100,"")</f>
        <v/>
      </c>
      <c r="O9" s="18">
        <f>IFERROR(VLOOKUP($D9,BS연결,MATCH(O$1,BS연결H,0),0)/100,"")</f>
        <v/>
      </c>
      <c r="P9" s="37">
        <f>IFERROR(VLOOKUP($D9,BS연결,MATCH(P$1,BS연결H,0),0)/100,"")</f>
        <v/>
      </c>
      <c r="Q9" s="18">
        <f>IFERROR(VLOOKUP($D9,BS연결,MATCH(Q$1,BS연결H,0),0)/100,"")</f>
        <v/>
      </c>
      <c r="R9" s="18">
        <f>IFERROR(VLOOKUP($D9,BS연결,MATCH(R$1,BS연결H,0),0)/100,"")</f>
        <v/>
      </c>
      <c r="S9" s="18">
        <f>IFERROR(VLOOKUP($D9,BS연결,MATCH(S$1,BS연결H,0),0)/100,"")</f>
        <v/>
      </c>
      <c r="T9" s="18">
        <f>IFERROR(VLOOKUP($D9,BS연결,MATCH(T$1,BS연결H,0),0)/100,"")</f>
        <v/>
      </c>
      <c r="U9" s="37">
        <f>IFERROR(VLOOKUP($D9,BS연결,MATCH(U$1,BS연결H,0),0)/100,"")</f>
        <v/>
      </c>
      <c r="V9" s="18">
        <f>IFERROR(VLOOKUP($D9,BS연결,MATCH(V$1,BS연결H,0),0)/100,"")</f>
        <v/>
      </c>
      <c r="W9" s="18">
        <f>IFERROR(VLOOKUP($D9,BS연결,MATCH(W$1,BS연결H,0),0)/100,"")</f>
        <v/>
      </c>
      <c r="X9" s="18">
        <f>IFERROR(VLOOKUP($D9,BS연결,MATCH(X$1,BS연결H,0),0)/100,"")</f>
        <v/>
      </c>
      <c r="Y9" s="18">
        <f>IFERROR(VLOOKUP($D9,BS연결,MATCH(Y$1,BS연결H,0),0)/100,"")</f>
        <v/>
      </c>
      <c r="Z9" s="37">
        <f>IFERROR(VLOOKUP($D9,BS연결,MATCH(Z$1,BS연결H,0),0)/100,"")</f>
        <v/>
      </c>
      <c r="AA9" s="18">
        <f>IFERROR(VLOOKUP($D9,BS연결,MATCH(AA$1,BS연결H,0),0)/100,"")</f>
        <v/>
      </c>
      <c r="AB9" s="19">
        <f>IFERROR(VLOOKUP($D9,BS연결,MATCH(AB$1,BS연결H,0),0)/100,"")</f>
        <v/>
      </c>
      <c r="AC9" s="20">
        <f>IFERROR(AC5*변수!AC23,"")</f>
        <v/>
      </c>
      <c r="AD9" s="20">
        <f>IFERROR(AD5*변수!AD23,"")</f>
        <v/>
      </c>
      <c r="AE9" s="38">
        <f>SUM(AA9:AD9)</f>
        <v/>
      </c>
      <c r="AF9" s="20">
        <f>IFERROR(AF5*변수!AF23,"")</f>
        <v/>
      </c>
      <c r="AG9" s="20">
        <f>IFERROR(AG5*변수!AG23,"")</f>
        <v/>
      </c>
      <c r="AH9" s="20">
        <f>IFERROR(AH5*변수!AH23,"")</f>
        <v/>
      </c>
      <c r="AI9" s="20">
        <f>IFERROR(AI5*변수!AI23,"")</f>
        <v/>
      </c>
      <c r="AJ9" s="38">
        <f>SUM(AF9:AI9)</f>
        <v/>
      </c>
      <c r="AK9" s="20">
        <f>IFERROR(AK5*변수!AK23,"")</f>
        <v/>
      </c>
      <c r="AL9" s="20">
        <f>IFERROR(AL5*변수!AL23,"")</f>
        <v/>
      </c>
      <c r="AM9" s="20">
        <f>IFERROR(AM5*변수!AM23,"")</f>
        <v/>
      </c>
      <c r="AN9" s="20">
        <f>IFERROR(AN5*변수!AN23,"")</f>
        <v/>
      </c>
      <c r="AO9" s="38">
        <f>SUM(AK9:AN9)</f>
        <v/>
      </c>
    </row>
    <row r="10">
      <c r="A10" s="12" t="inlineStr">
        <is>
          <t>OPM</t>
        </is>
      </c>
      <c r="B10" t="inlineStr">
        <is>
          <t>손익</t>
        </is>
      </c>
      <c r="C10" t="inlineStr">
        <is>
          <t>%</t>
        </is>
      </c>
      <c r="D10" t="inlineStr">
        <is>
          <t>영업이익률</t>
        </is>
      </c>
      <c r="E10" s="21">
        <f>IFERROR(E9/E5,"")</f>
        <v/>
      </c>
      <c r="F10" s="22" t="n"/>
      <c r="G10" s="21">
        <f>IFERROR(G9/G5,"")</f>
        <v/>
      </c>
      <c r="H10" s="21">
        <f>IFERROR(H9/H5,"")</f>
        <v/>
      </c>
      <c r="I10" s="21">
        <f>IFERROR(I9/I5,"")</f>
        <v/>
      </c>
      <c r="J10" s="21">
        <f>IFERROR(J9/J5,"")</f>
        <v/>
      </c>
      <c r="K10" s="22">
        <f>IFERROR(K9/K5,"")</f>
        <v/>
      </c>
      <c r="L10" s="21">
        <f>IFERROR(L9/L5,"")</f>
        <v/>
      </c>
      <c r="M10" s="21">
        <f>IFERROR(M9/M5,"")</f>
        <v/>
      </c>
      <c r="N10" s="21">
        <f>IFERROR(N9/N5,"")</f>
        <v/>
      </c>
      <c r="O10" s="21">
        <f>IFERROR(O9/O5,"")</f>
        <v/>
      </c>
      <c r="P10" s="22">
        <f>IFERROR(P9/P5,"")</f>
        <v/>
      </c>
      <c r="Q10" s="21">
        <f>IFERROR(Q9/Q5,"")</f>
        <v/>
      </c>
      <c r="R10" s="21">
        <f>IFERROR(R9/R5,"")</f>
        <v/>
      </c>
      <c r="S10" s="21">
        <f>IFERROR(S9/S5,"")</f>
        <v/>
      </c>
      <c r="T10" s="21">
        <f>IFERROR(T9/T5,"")</f>
        <v/>
      </c>
      <c r="U10" s="22">
        <f>IFERROR(U9/U5,"")</f>
        <v/>
      </c>
      <c r="V10" s="21">
        <f>IFERROR(V9/V5,"")</f>
        <v/>
      </c>
      <c r="W10" s="21">
        <f>IFERROR(W9/W5,"")</f>
        <v/>
      </c>
      <c r="X10" s="21">
        <f>IFERROR(X9/X5,"")</f>
        <v/>
      </c>
      <c r="Y10" s="21">
        <f>IFERROR(Y9/Y5,"")</f>
        <v/>
      </c>
      <c r="Z10" s="22">
        <f>IFERROR(Z9/Z5,"")</f>
        <v/>
      </c>
      <c r="AA10" s="21">
        <f>IFERROR(AA9/AA5,"")</f>
        <v/>
      </c>
      <c r="AB10" s="23">
        <f>IFERROR(AB9/AB5,"")</f>
        <v/>
      </c>
      <c r="AC10" s="32">
        <f>IFERROR(AC9/AC5,"")</f>
        <v/>
      </c>
      <c r="AD10" s="32">
        <f>IFERROR(AD9/AD5,"")</f>
        <v/>
      </c>
      <c r="AE10" s="25">
        <f>IFERROR(AE9/AE5,"")</f>
        <v/>
      </c>
      <c r="AF10" s="32">
        <f>IFERROR(AF9/AF5,"")</f>
        <v/>
      </c>
      <c r="AG10" s="32">
        <f>IFERROR(AG9/AG5,"")</f>
        <v/>
      </c>
      <c r="AH10" s="32">
        <f>IFERROR(AH9/AH5,"")</f>
        <v/>
      </c>
      <c r="AI10" s="32">
        <f>IFERROR(AI9/AI5,"")</f>
        <v/>
      </c>
      <c r="AJ10" s="25">
        <f>IFERROR(AJ9/AJ5,"")</f>
        <v/>
      </c>
      <c r="AK10" s="32">
        <f>IFERROR(AK9/AK5,"")</f>
        <v/>
      </c>
      <c r="AL10" s="32">
        <f>IFERROR(AL9/AL5,"")</f>
        <v/>
      </c>
      <c r="AM10" s="32">
        <f>IFERROR(AM9/AM5,"")</f>
        <v/>
      </c>
      <c r="AN10" s="32">
        <f>IFERROR(AN9/AN5,"")</f>
        <v/>
      </c>
      <c r="AO10" s="25">
        <f>IFERROR(AO9/AO5,"")</f>
        <v/>
      </c>
    </row>
    <row r="11">
      <c r="A11" s="12" t="inlineStr">
        <is>
          <t>금융손익</t>
        </is>
      </c>
      <c r="B11" t="inlineStr">
        <is>
          <t>손익</t>
        </is>
      </c>
      <c r="C11" t="inlineStr">
        <is>
          <t>억원</t>
        </is>
      </c>
      <c r="D11" t="inlineStr">
        <is>
          <t>금융손익</t>
        </is>
      </c>
      <c r="E11" s="18">
        <f>IFERROR(VLOOKUP($D11,BS연결,MATCH(E$1,BS연결H,0),0)/100,"")</f>
        <v/>
      </c>
      <c r="F11" s="37" t="n"/>
      <c r="G11" s="18">
        <f>IFERROR(VLOOKUP($D11,BS연결,MATCH(G$1,BS연결H,0),0)/100,"")</f>
        <v/>
      </c>
      <c r="H11" s="18">
        <f>IFERROR(VLOOKUP($D11,BS연결,MATCH(H$1,BS연결H,0),0)/100,"")</f>
        <v/>
      </c>
      <c r="I11" s="18">
        <f>IFERROR(VLOOKUP($D11,BS연결,MATCH(I$1,BS연결H,0),0)/100,"")</f>
        <v/>
      </c>
      <c r="J11" s="18">
        <f>IFERROR(VLOOKUP($D11,BS연결,MATCH(J$1,BS연결H,0),0)/100,"")</f>
        <v/>
      </c>
      <c r="K11" s="37">
        <f>IFERROR(VLOOKUP($D11,BS연결,MATCH(K$1,BS연결H,0),0)/100,"")</f>
        <v/>
      </c>
      <c r="L11" s="18">
        <f>IFERROR(VLOOKUP($D11,BS연결,MATCH(L$1,BS연결H,0),0)/100,"")</f>
        <v/>
      </c>
      <c r="M11" s="18">
        <f>IFERROR(VLOOKUP($D11,BS연결,MATCH(M$1,BS연결H,0),0)/100,"")</f>
        <v/>
      </c>
      <c r="N11" s="18">
        <f>IFERROR(VLOOKUP($D11,BS연결,MATCH(N$1,BS연결H,0),0)/100,"")</f>
        <v/>
      </c>
      <c r="O11" s="18">
        <f>IFERROR(VLOOKUP($D11,BS연결,MATCH(O$1,BS연결H,0),0)/100,"")</f>
        <v/>
      </c>
      <c r="P11" s="37">
        <f>IFERROR(VLOOKUP($D11,BS연결,MATCH(P$1,BS연결H,0),0)/100,"")</f>
        <v/>
      </c>
      <c r="Q11" s="18">
        <f>IFERROR(VLOOKUP($D11,BS연결,MATCH(Q$1,BS연결H,0),0)/100,"")</f>
        <v/>
      </c>
      <c r="R11" s="18">
        <f>IFERROR(VLOOKUP($D11,BS연결,MATCH(R$1,BS연결H,0),0)/100,"")</f>
        <v/>
      </c>
      <c r="S11" s="18">
        <f>IFERROR(VLOOKUP($D11,BS연결,MATCH(S$1,BS연결H,0),0)/100,"")</f>
        <v/>
      </c>
      <c r="T11" s="18">
        <f>IFERROR(VLOOKUP($D11,BS연결,MATCH(T$1,BS연결H,0),0)/100,"")</f>
        <v/>
      </c>
      <c r="U11" s="37">
        <f>IFERROR(VLOOKUP($D11,BS연결,MATCH(U$1,BS연결H,0),0)/100,"")</f>
        <v/>
      </c>
      <c r="V11" s="18">
        <f>IFERROR(VLOOKUP($D11,BS연결,MATCH(V$1,BS연결H,0),0)/100,"")</f>
        <v/>
      </c>
      <c r="W11" s="18">
        <f>IFERROR(VLOOKUP($D11,BS연결,MATCH(W$1,BS연결H,0),0)/100,"")</f>
        <v/>
      </c>
      <c r="X11" s="18">
        <f>IFERROR(VLOOKUP($D11,BS연결,MATCH(X$1,BS연결H,0),0)/100,"")</f>
        <v/>
      </c>
      <c r="Y11" s="18">
        <f>IFERROR(VLOOKUP($D11,BS연결,MATCH(Y$1,BS연결H,0),0)/100,"")</f>
        <v/>
      </c>
      <c r="Z11" s="37">
        <f>IFERROR(VLOOKUP($D11,BS연결,MATCH(Z$1,BS연결H,0),0)/100,"")</f>
        <v/>
      </c>
      <c r="AA11" s="18">
        <f>IFERROR(VLOOKUP($D11,BS연결,MATCH(AA$1,BS연결H,0),0)/100,"")</f>
        <v/>
      </c>
      <c r="AB11" s="19">
        <f>IFERROR(VLOOKUP($D11,BS연결,MATCH(AB$1,BS연결H,0),0)/100,"")</f>
        <v/>
      </c>
      <c r="AC11" s="20">
        <f>IFERROR(AC12+AC13+AC14+AC15,"")</f>
        <v/>
      </c>
      <c r="AD11" s="20">
        <f>IFERROR(AD12+AD13+AD14+AD15,"")</f>
        <v/>
      </c>
      <c r="AE11" s="38">
        <f>SUM(AA11:AD11)</f>
        <v/>
      </c>
      <c r="AF11" s="20">
        <f>IFERROR(AF12+AF13+AF14+AF15,"")</f>
        <v/>
      </c>
      <c r="AG11" s="20">
        <f>IFERROR(AG12+AG13+AG14+AG15,"")</f>
        <v/>
      </c>
      <c r="AH11" s="20">
        <f>IFERROR(AH12+AH13+AH14+AH15,"")</f>
        <v/>
      </c>
      <c r="AI11" s="20">
        <f>IFERROR(AI12+AI13+AI14+AI15,"")</f>
        <v/>
      </c>
      <c r="AJ11" s="38">
        <f>SUM(AF11:AI11)</f>
        <v/>
      </c>
      <c r="AK11" s="20">
        <f>IFERROR(AK12+AK13+AK14+AK15,"")</f>
        <v/>
      </c>
      <c r="AL11" s="20">
        <f>IFERROR(AL12+AL13+AL14+AL15,"")</f>
        <v/>
      </c>
      <c r="AM11" s="20">
        <f>IFERROR(AM12+AM13+AM14+AM15,"")</f>
        <v/>
      </c>
      <c r="AN11" s="20">
        <f>IFERROR(AN12+AN13+AN14+AN15,"")</f>
        <v/>
      </c>
      <c r="AO11" s="38">
        <f>SUM(AK11:AN11)</f>
        <v/>
      </c>
    </row>
    <row r="12">
      <c r="A12" s="12" t="inlineStr">
        <is>
          <t>이자손익</t>
        </is>
      </c>
      <c r="B12" t="inlineStr">
        <is>
          <t>손익</t>
        </is>
      </c>
      <c r="C12" t="inlineStr">
        <is>
          <t>억원</t>
        </is>
      </c>
      <c r="D12" t="inlineStr">
        <is>
          <t>이자손익</t>
        </is>
      </c>
      <c r="E12" s="18" t="n"/>
      <c r="F12" s="37" t="n"/>
      <c r="G12" s="18">
        <f>IFERROR(VLOOKUP($D12,BS연결,MATCH(G$1,BS연결H,0),0)/100,"")</f>
        <v/>
      </c>
      <c r="H12" s="18">
        <f>IFERROR(VLOOKUP($D12,BS연결,MATCH(H$1,BS연결H,0),0)/100,"")</f>
        <v/>
      </c>
      <c r="I12" s="18">
        <f>IFERROR(VLOOKUP($D12,BS연결,MATCH(I$1,BS연결H,0),0)/100,"")</f>
        <v/>
      </c>
      <c r="J12" s="18">
        <f>IFERROR(VLOOKUP($D12,BS연결,MATCH(J$1,BS연결H,0),0)/100,"")</f>
        <v/>
      </c>
      <c r="K12" s="37">
        <f>IFERROR(VLOOKUP($D12,BS연결,MATCH(K$1,BS연결H,0),0)/100,"")</f>
        <v/>
      </c>
      <c r="L12" s="18">
        <f>IFERROR(VLOOKUP($D12,BS연결,MATCH(L$1,BS연결H,0),0)/100,"")</f>
        <v/>
      </c>
      <c r="M12" s="18">
        <f>IFERROR(VLOOKUP($D12,BS연결,MATCH(M$1,BS연결H,0),0)/100,"")</f>
        <v/>
      </c>
      <c r="N12" s="18">
        <f>IFERROR(VLOOKUP($D12,BS연결,MATCH(N$1,BS연결H,0),0)/100,"")</f>
        <v/>
      </c>
      <c r="O12" s="18">
        <f>IFERROR(VLOOKUP($D12,BS연결,MATCH(O$1,BS연결H,0),0)/100,"")</f>
        <v/>
      </c>
      <c r="P12" s="37">
        <f>IFERROR(VLOOKUP($D12,BS연결,MATCH(P$1,BS연결H,0),0)/100,"")</f>
        <v/>
      </c>
      <c r="Q12" s="18">
        <f>IFERROR(VLOOKUP($D12,BS연결,MATCH(Q$1,BS연결H,0),0)/100,"")</f>
        <v/>
      </c>
      <c r="R12" s="18">
        <f>IFERROR(VLOOKUP($D12,BS연결,MATCH(R$1,BS연결H,0),0)/100,"")</f>
        <v/>
      </c>
      <c r="S12" s="18">
        <f>IFERROR(VLOOKUP($D12,BS연결,MATCH(S$1,BS연결H,0),0)/100,"")</f>
        <v/>
      </c>
      <c r="T12" s="18">
        <f>IFERROR(VLOOKUP($D12,BS연결,MATCH(T$1,BS연결H,0),0)/100,"")</f>
        <v/>
      </c>
      <c r="U12" s="37">
        <f>IFERROR(VLOOKUP($D12,BS연결,MATCH(U$1,BS연결H,0),0)/100,"")</f>
        <v/>
      </c>
      <c r="V12" s="18">
        <f>IFERROR(VLOOKUP($D12,BS연결,MATCH(V$1,BS연결H,0),0)/100,"")</f>
        <v/>
      </c>
      <c r="W12" s="18">
        <f>IFERROR(VLOOKUP($D12,BS연결,MATCH(W$1,BS연결H,0),0)/100,"")</f>
        <v/>
      </c>
      <c r="X12" s="18">
        <f>IFERROR(VLOOKUP($D12,BS연결,MATCH(X$1,BS연결H,0),0)/100,"")</f>
        <v/>
      </c>
      <c r="Y12" s="18">
        <f>IFERROR(VLOOKUP($D12,BS연결,MATCH(Y$1,BS연결H,0),0)/100,"")</f>
        <v/>
      </c>
      <c r="Z12" s="37">
        <f>IFERROR(VLOOKUP($D12,BS연결,MATCH(Z$1,BS연결H,0),0)/100,"")</f>
        <v/>
      </c>
      <c r="AA12" s="18" t="n"/>
      <c r="AB12" s="19">
        <f>IFERROR(VLOOKUP($D12,BS연결,MATCH(AB$1,BS연결H,0),0)/100,"")</f>
        <v/>
      </c>
      <c r="AC12" s="20">
        <f>IFERROR((AB28*변수!$D$54-AB26*변수!$D$55)/4,"")</f>
        <v/>
      </c>
      <c r="AD12" s="20">
        <f>IFERROR((AC28*변수!$D$54-AC26*변수!$D$55)/4,"")</f>
        <v/>
      </c>
      <c r="AE12" s="38">
        <f>SUM(AA12:AD12)</f>
        <v/>
      </c>
      <c r="AF12" s="20">
        <f>IFERROR((AD28*변수!$D$54-AD26*변수!$D$55)/4,"")</f>
        <v/>
      </c>
      <c r="AG12" s="20">
        <f>IFERROR((AF28*변수!$D$54-AF26*변수!$D$55)/4,"")</f>
        <v/>
      </c>
      <c r="AH12" s="20">
        <f>IFERROR((AG28*변수!$D$54-AG26*변수!$D$55)/4,"")</f>
        <v/>
      </c>
      <c r="AI12" s="20">
        <f>IFERROR((AH28*변수!$D$54-AH26*변수!$D$55)/4,"")</f>
        <v/>
      </c>
      <c r="AJ12" s="38">
        <f>SUM(AF12:AI12)</f>
        <v/>
      </c>
      <c r="AK12" s="20">
        <f>IFERROR((AI28*변수!$D$54-AI26*변수!$D$55)/4,"")</f>
        <v/>
      </c>
      <c r="AL12" s="20">
        <f>IFERROR((AK28*변수!$D$54-AK26*변수!$D$55)/4,"")</f>
        <v/>
      </c>
      <c r="AM12" s="20">
        <f>IFERROR((AL28*변수!$D$54-AL26*변수!$D$55)/4,"")</f>
        <v/>
      </c>
      <c r="AN12" s="20">
        <f>IFERROR((AM28*변수!$D$54-AM26*변수!$D$55)/4,"")</f>
        <v/>
      </c>
      <c r="AO12" s="38">
        <f>SUM(AK12:AN12)</f>
        <v/>
      </c>
    </row>
    <row r="13">
      <c r="A13" s="12" t="inlineStr">
        <is>
          <t>외환손익</t>
        </is>
      </c>
      <c r="B13" t="inlineStr">
        <is>
          <t>손익</t>
        </is>
      </c>
      <c r="C13" t="inlineStr">
        <is>
          <t>억원</t>
        </is>
      </c>
      <c r="D13" t="inlineStr">
        <is>
          <t>외환손익(실적만; 추정 환효과는 환관련손익)</t>
        </is>
      </c>
      <c r="E13" s="18" t="n"/>
      <c r="F13" s="37" t="n"/>
      <c r="G13" s="18">
        <f>IFERROR((VLOOKUP("외환차익",BS연결,MATCH(G$1,BS연결H,0),0)-VLOOKUP("외환차손",BS연결,MATCH(G$1,BS연결H,0),0)+VLOOKUP("외화환산이익",BS연결,MATCH(G$1,BS연결H,0),0)-VLOOKUP("외화환산손실",BS연결,MATCH(G$1,BS연결H,0),0))/100,"")</f>
        <v/>
      </c>
      <c r="H13" s="18">
        <f>IFERROR((VLOOKUP("외환차익",BS연결,MATCH(H$1,BS연결H,0),0)-VLOOKUP("외환차손",BS연결,MATCH(H$1,BS연결H,0),0)+VLOOKUP("외화환산이익",BS연결,MATCH(H$1,BS연결H,0),0)-VLOOKUP("외화환산손실",BS연결,MATCH(H$1,BS연결H,0),0))/100,"")</f>
        <v/>
      </c>
      <c r="I13" s="18">
        <f>IFERROR((VLOOKUP("외환차익",BS연결,MATCH(I$1,BS연결H,0),0)-VLOOKUP("외환차손",BS연결,MATCH(I$1,BS연결H,0),0)+VLOOKUP("외화환산이익",BS연결,MATCH(I$1,BS연결H,0),0)-VLOOKUP("외화환산손실",BS연결,MATCH(I$1,BS연결H,0),0))/100,"")</f>
        <v/>
      </c>
      <c r="J13" s="18">
        <f>IFERROR((VLOOKUP("외환차익",BS연결,MATCH(J$1,BS연결H,0),0)-VLOOKUP("외환차손",BS연결,MATCH(J$1,BS연결H,0),0)+VLOOKUP("외화환산이익",BS연결,MATCH(J$1,BS연결H,0),0)-VLOOKUP("외화환산손실",BS연결,MATCH(J$1,BS연결H,0),0))/100,"")</f>
        <v/>
      </c>
      <c r="K13" s="37">
        <f>SUM(G13:J13)</f>
        <v/>
      </c>
      <c r="L13" s="18">
        <f>IFERROR((VLOOKUP("외환차익",BS연결,MATCH(L$1,BS연결H,0),0)-VLOOKUP("외환차손",BS연결,MATCH(L$1,BS연결H,0),0)+VLOOKUP("외화환산이익",BS연결,MATCH(L$1,BS연결H,0),0)-VLOOKUP("외화환산손실",BS연결,MATCH(L$1,BS연결H,0),0))/100,"")</f>
        <v/>
      </c>
      <c r="M13" s="18">
        <f>IFERROR((VLOOKUP("외환차익",BS연결,MATCH(M$1,BS연결H,0),0)-VLOOKUP("외환차손",BS연결,MATCH(M$1,BS연결H,0),0)+VLOOKUP("외화환산이익",BS연결,MATCH(M$1,BS연결H,0),0)-VLOOKUP("외화환산손실",BS연결,MATCH(M$1,BS연결H,0),0))/100,"")</f>
        <v/>
      </c>
      <c r="N13" s="18">
        <f>IFERROR((VLOOKUP("외환차익",BS연결,MATCH(N$1,BS연결H,0),0)-VLOOKUP("외환차손",BS연결,MATCH(N$1,BS연결H,0),0)+VLOOKUP("외화환산이익",BS연결,MATCH(N$1,BS연결H,0),0)-VLOOKUP("외화환산손실",BS연결,MATCH(N$1,BS연결H,0),0))/100,"")</f>
        <v/>
      </c>
      <c r="O13" s="18">
        <f>IFERROR((VLOOKUP("외환차익",BS연결,MATCH(O$1,BS연결H,0),0)-VLOOKUP("외환차손",BS연결,MATCH(O$1,BS연결H,0),0)+VLOOKUP("외화환산이익",BS연결,MATCH(O$1,BS연결H,0),0)-VLOOKUP("외화환산손실",BS연결,MATCH(O$1,BS연결H,0),0))/100,"")</f>
        <v/>
      </c>
      <c r="P13" s="37">
        <f>SUM(L13:O13)</f>
        <v/>
      </c>
      <c r="Q13" s="18">
        <f>IFERROR((VLOOKUP("외환차익",BS연결,MATCH(Q$1,BS연결H,0),0)-VLOOKUP("외환차손",BS연결,MATCH(Q$1,BS연결H,0),0)+VLOOKUP("외화환산이익",BS연결,MATCH(Q$1,BS연결H,0),0)-VLOOKUP("외화환산손실",BS연결,MATCH(Q$1,BS연결H,0),0))/100,"")</f>
        <v/>
      </c>
      <c r="R13" s="18">
        <f>IFERROR((VLOOKUP("외환차익",BS연결,MATCH(R$1,BS연결H,0),0)-VLOOKUP("외환차손",BS연결,MATCH(R$1,BS연결H,0),0)+VLOOKUP("외화환산이익",BS연결,MATCH(R$1,BS연결H,0),0)-VLOOKUP("외화환산손실",BS연결,MATCH(R$1,BS연결H,0),0))/100,"")</f>
        <v/>
      </c>
      <c r="S13" s="18">
        <f>IFERROR((VLOOKUP("외환차익",BS연결,MATCH(S$1,BS연결H,0),0)-VLOOKUP("외환차손",BS연결,MATCH(S$1,BS연결H,0),0)+VLOOKUP("외화환산이익",BS연결,MATCH(S$1,BS연결H,0),0)-VLOOKUP("외화환산손실",BS연결,MATCH(S$1,BS연결H,0),0))/100,"")</f>
        <v/>
      </c>
      <c r="T13" s="18" t="n"/>
      <c r="U13" s="37">
        <f>SUM(Q13:T13)</f>
        <v/>
      </c>
      <c r="V13" s="18">
        <f>IFERROR((VLOOKUP("외환차익",BS연결,MATCH(V$1,BS연결H,0),0)-VLOOKUP("외환차손",BS연결,MATCH(V$1,BS연결H,0),0)+VLOOKUP("외화환산이익",BS연결,MATCH(V$1,BS연결H,0),0)-VLOOKUP("외화환산손실",BS연결,MATCH(V$1,BS연결H,0),0))/100,"")</f>
        <v/>
      </c>
      <c r="W13" s="18">
        <f>IFERROR((VLOOKUP("외환차익",BS연결,MATCH(W$1,BS연결H,0),0)-VLOOKUP("외환차손",BS연결,MATCH(W$1,BS연결H,0),0)+VLOOKUP("외화환산이익",BS연결,MATCH(W$1,BS연결H,0),0)-VLOOKUP("외화환산손실",BS연결,MATCH(W$1,BS연결H,0),0))/100,"")</f>
        <v/>
      </c>
      <c r="X13" s="18">
        <f>IFERROR((VLOOKUP("외환차익",BS연결,MATCH(X$1,BS연결H,0),0)-VLOOKUP("외환차손",BS연결,MATCH(X$1,BS연결H,0),0)+VLOOKUP("외화환산이익",BS연결,MATCH(X$1,BS연결H,0),0)-VLOOKUP("외화환산손실",BS연결,MATCH(X$1,BS연결H,0),0))/100,"")</f>
        <v/>
      </c>
      <c r="Y13" s="18">
        <f>IFERROR((VLOOKUP("외환차익",BS연결,MATCH(Y$1,BS연결H,0),0)-VLOOKUP("외환차손",BS연결,MATCH(Y$1,BS연결H,0),0)+VLOOKUP("외화환산이익",BS연결,MATCH(Y$1,BS연결H,0),0)-VLOOKUP("외화환산손실",BS연결,MATCH(Y$1,BS연결H,0),0))/100,"")</f>
        <v/>
      </c>
      <c r="Z13" s="37">
        <f>SUM(V13:Y13)</f>
        <v/>
      </c>
      <c r="AA13" s="18" t="n"/>
      <c r="AB13" s="19">
        <f>IFERROR((VLOOKUP("외환차익",BS연결,MATCH(AB$1,BS연결H,0),0)-VLOOKUP("외환차손",BS연결,MATCH(AB$1,BS연결H,0),0)+VLOOKUP("외화환산이익",BS연결,MATCH(AB$1,BS연결H,0),0)-VLOOKUP("외화환산손실",BS연결,MATCH(AB$1,BS연결H,0),0))/100,"")</f>
        <v/>
      </c>
      <c r="AC13" s="20">
        <f>변수!AC24</f>
        <v/>
      </c>
      <c r="AD13" s="20">
        <f>변수!AD24</f>
        <v/>
      </c>
      <c r="AE13" s="38">
        <f>SUM(AA13:AD13)</f>
        <v/>
      </c>
      <c r="AF13" s="20">
        <f>변수!AF24</f>
        <v/>
      </c>
      <c r="AG13" s="20">
        <f>변수!AG24</f>
        <v/>
      </c>
      <c r="AH13" s="20">
        <f>변수!AH24</f>
        <v/>
      </c>
      <c r="AI13" s="20">
        <f>변수!AI24</f>
        <v/>
      </c>
      <c r="AJ13" s="38">
        <f>SUM(AF13:AI13)</f>
        <v/>
      </c>
      <c r="AK13" s="20">
        <f>변수!AK24</f>
        <v/>
      </c>
      <c r="AL13" s="20">
        <f>변수!AL24</f>
        <v/>
      </c>
      <c r="AM13" s="20">
        <f>변수!AM24</f>
        <v/>
      </c>
      <c r="AN13" s="20">
        <f>변수!AN24</f>
        <v/>
      </c>
      <c r="AO13" s="38">
        <f>SUM(AK13:AN13)</f>
        <v/>
      </c>
    </row>
    <row r="14">
      <c r="A14" s="12" t="inlineStr">
        <is>
          <t>파생상품손익</t>
        </is>
      </c>
      <c r="B14" t="inlineStr">
        <is>
          <t>손익</t>
        </is>
      </c>
      <c r="C14" t="inlineStr">
        <is>
          <t>억원</t>
        </is>
      </c>
      <c r="D14" t="inlineStr">
        <is>
          <t>파생상품손익</t>
        </is>
      </c>
      <c r="E14" s="18" t="n"/>
      <c r="F14" s="37" t="n"/>
      <c r="G14" s="18">
        <f>IFERROR((VLOOKUP("파생상품이익",BS연결,MATCH(G$1,BS연결H,0),0)-VLOOKUP("파생상품손실",BS연결,MATCH(G$1,BS연결H,0),0))/100,"")</f>
        <v/>
      </c>
      <c r="H14" s="18">
        <f>IFERROR((VLOOKUP("파생상품이익",BS연결,MATCH(H$1,BS연결H,0),0)-VLOOKUP("파생상품손실",BS연결,MATCH(H$1,BS연결H,0),0))/100,"")</f>
        <v/>
      </c>
      <c r="I14" s="18">
        <f>IFERROR((VLOOKUP("파생상품이익",BS연결,MATCH(I$1,BS연결H,0),0)-VLOOKUP("파생상품손실",BS연결,MATCH(I$1,BS연결H,0),0))/100,"")</f>
        <v/>
      </c>
      <c r="J14" s="18">
        <f>IFERROR((VLOOKUP("파생상품이익",BS연결,MATCH(J$1,BS연결H,0),0)-VLOOKUP("파생상품손실",BS연결,MATCH(J$1,BS연결H,0),0))/100,"")</f>
        <v/>
      </c>
      <c r="K14" s="37">
        <f>SUM(G14:J14)</f>
        <v/>
      </c>
      <c r="L14" s="18">
        <f>IFERROR((VLOOKUP("파생상품이익",BS연결,MATCH(L$1,BS연결H,0),0)-VLOOKUP("파생상품손실",BS연결,MATCH(L$1,BS연결H,0),0))/100,"")</f>
        <v/>
      </c>
      <c r="M14" s="18">
        <f>IFERROR((VLOOKUP("파생상품이익",BS연결,MATCH(M$1,BS연결H,0),0)-VLOOKUP("파생상품손실",BS연결,MATCH(M$1,BS연결H,0),0))/100,"")</f>
        <v/>
      </c>
      <c r="N14" s="18">
        <f>IFERROR((VLOOKUP("파생상품이익",BS연결,MATCH(N$1,BS연결H,0),0)-VLOOKUP("파생상품손실",BS연결,MATCH(N$1,BS연결H,0),0))/100,"")</f>
        <v/>
      </c>
      <c r="O14" s="18">
        <f>IFERROR((VLOOKUP("파생상품이익",BS연결,MATCH(O$1,BS연결H,0),0)-VLOOKUP("파생상품손실",BS연결,MATCH(O$1,BS연결H,0),0))/100,"")</f>
        <v/>
      </c>
      <c r="P14" s="37">
        <f>SUM(L14:O14)</f>
        <v/>
      </c>
      <c r="Q14" s="18">
        <f>IFERROR((VLOOKUP("파생상품이익",BS연결,MATCH(Q$1,BS연결H,0),0)-VLOOKUP("파생상품손실",BS연결,MATCH(Q$1,BS연결H,0),0))/100,"")</f>
        <v/>
      </c>
      <c r="R14" s="18">
        <f>IFERROR((VLOOKUP("파생상품이익",BS연결,MATCH(R$1,BS연결H,0),0)-VLOOKUP("파생상품손실",BS연결,MATCH(R$1,BS연결H,0),0))/100,"")</f>
        <v/>
      </c>
      <c r="S14" s="18">
        <f>IFERROR((VLOOKUP("파생상품이익",BS연결,MATCH(S$1,BS연결H,0),0)-VLOOKUP("파생상품손실",BS연결,MATCH(S$1,BS연결H,0),0))/100,"")</f>
        <v/>
      </c>
      <c r="T14" s="18">
        <f>IFERROR((VLOOKUP("파생상품이익",BS연결,MATCH(T$1,BS연결H,0),0)-VLOOKUP("파생상품손실",BS연결,MATCH(T$1,BS연결H,0),0))/100,"")</f>
        <v/>
      </c>
      <c r="U14" s="37">
        <f>SUM(Q14:T14)</f>
        <v/>
      </c>
      <c r="V14" s="18">
        <f>IFERROR((VLOOKUP("파생상품이익",BS연결,MATCH(V$1,BS연결H,0),0)-VLOOKUP("파생상품손실",BS연결,MATCH(V$1,BS연결H,0),0))/100,"")</f>
        <v/>
      </c>
      <c r="W14" s="18">
        <f>IFERROR((VLOOKUP("파생상품이익",BS연결,MATCH(W$1,BS연결H,0),0)-VLOOKUP("파생상품손실",BS연결,MATCH(W$1,BS연결H,0),0))/100,"")</f>
        <v/>
      </c>
      <c r="X14" s="18">
        <f>IFERROR((VLOOKUP("파생상품이익",BS연결,MATCH(X$1,BS연결H,0),0)-VLOOKUP("파생상품손실",BS연결,MATCH(X$1,BS연결H,0),0))/100,"")</f>
        <v/>
      </c>
      <c r="Y14" s="18">
        <f>IFERROR((VLOOKUP("파생상품이익",BS연결,MATCH(Y$1,BS연결H,0),0)-VLOOKUP("파생상품손실",BS연결,MATCH(Y$1,BS연결H,0),0))/100,"")</f>
        <v/>
      </c>
      <c r="Z14" s="37">
        <f>SUM(V14:Y14)</f>
        <v/>
      </c>
      <c r="AA14" s="18" t="n"/>
      <c r="AB14" s="19">
        <f>IFERROR((VLOOKUP("파생상품이익",BS연결,MATCH(AB$1,BS연결H,0),0)-VLOOKUP("파생상품손실",BS연결,MATCH(AB$1,BS연결H,0),0))/100,"")</f>
        <v/>
      </c>
      <c r="AC14" s="20">
        <f>변수!AC25</f>
        <v/>
      </c>
      <c r="AD14" s="20">
        <f>변수!AD25</f>
        <v/>
      </c>
      <c r="AE14" s="38">
        <f>SUM(AA14:AD14)</f>
        <v/>
      </c>
      <c r="AF14" s="20">
        <f>변수!AF25</f>
        <v/>
      </c>
      <c r="AG14" s="20">
        <f>변수!AG25</f>
        <v/>
      </c>
      <c r="AH14" s="20">
        <f>변수!AH25</f>
        <v/>
      </c>
      <c r="AI14" s="20">
        <f>변수!AI25</f>
        <v/>
      </c>
      <c r="AJ14" s="38">
        <f>SUM(AF14:AI14)</f>
        <v/>
      </c>
      <c r="AK14" s="20">
        <f>변수!AK25</f>
        <v/>
      </c>
      <c r="AL14" s="20">
        <f>변수!AL25</f>
        <v/>
      </c>
      <c r="AM14" s="20">
        <f>변수!AM25</f>
        <v/>
      </c>
      <c r="AN14" s="20">
        <f>변수!AN25</f>
        <v/>
      </c>
      <c r="AO14" s="38">
        <f>SUM(AK14:AN14)</f>
        <v/>
      </c>
    </row>
    <row r="15">
      <c r="A15" s="12" t="inlineStr">
        <is>
          <t>기타금융손익</t>
        </is>
      </c>
      <c r="B15" t="inlineStr">
        <is>
          <t>손익</t>
        </is>
      </c>
      <c r="C15" t="inlineStr">
        <is>
          <t>억원</t>
        </is>
      </c>
      <c r="D15" t="inlineStr">
        <is>
          <t>기타금융손익(금융손익 잔차)</t>
        </is>
      </c>
      <c r="E15" s="18" t="n"/>
      <c r="F15" s="37" t="n"/>
      <c r="G15" s="18">
        <f>IFERROR(G11-G12-G13-G14,"")</f>
        <v/>
      </c>
      <c r="H15" s="18">
        <f>IFERROR(H11-H12-H13-H14,"")</f>
        <v/>
      </c>
      <c r="I15" s="18">
        <f>IFERROR(I11-I12-I13-I14,"")</f>
        <v/>
      </c>
      <c r="J15" s="18">
        <f>IFERROR(J11-J12-J13-J14,"")</f>
        <v/>
      </c>
      <c r="K15" s="37">
        <f>SUM(G15:J15)</f>
        <v/>
      </c>
      <c r="L15" s="18">
        <f>IFERROR(L11-L12-L13-L14,"")</f>
        <v/>
      </c>
      <c r="M15" s="18">
        <f>IFERROR(M11-M12-M13-M14,"")</f>
        <v/>
      </c>
      <c r="N15" s="18">
        <f>IFERROR(N11-N12-N13-N14,"")</f>
        <v/>
      </c>
      <c r="O15" s="18">
        <f>IFERROR(O11-O12-O13-O14,"")</f>
        <v/>
      </c>
      <c r="P15" s="37">
        <f>SUM(L15:O15)</f>
        <v/>
      </c>
      <c r="Q15" s="18">
        <f>IFERROR(Q11-Q12-Q13-Q14,"")</f>
        <v/>
      </c>
      <c r="R15" s="18">
        <f>IFERROR(R11-R12-R13-R14,"")</f>
        <v/>
      </c>
      <c r="S15" s="18">
        <f>IFERROR(S11-S12-S13-S14,"")</f>
        <v/>
      </c>
      <c r="T15" s="18" t="n"/>
      <c r="U15" s="37">
        <f>SUM(Q15:T15)</f>
        <v/>
      </c>
      <c r="V15" s="18">
        <f>IFERROR(V11-V12-V13-V14,"")</f>
        <v/>
      </c>
      <c r="W15" s="18">
        <f>IFERROR(W11-W12-W13-W14,"")</f>
        <v/>
      </c>
      <c r="X15" s="18">
        <f>IFERROR(X11-X12-X13-X14,"")</f>
        <v/>
      </c>
      <c r="Y15" s="18">
        <f>IFERROR(Y11-Y12-Y13-Y14,"")</f>
        <v/>
      </c>
      <c r="Z15" s="37">
        <f>SUM(V15:Y15)</f>
        <v/>
      </c>
      <c r="AA15" s="18" t="n"/>
      <c r="AB15" s="19">
        <f>IFERROR(AB11-AB12-AB13-AB14,"")</f>
        <v/>
      </c>
      <c r="AC15" s="20">
        <f>변수!AC26</f>
        <v/>
      </c>
      <c r="AD15" s="20">
        <f>변수!AD26</f>
        <v/>
      </c>
      <c r="AE15" s="38">
        <f>SUM(AA15:AD15)</f>
        <v/>
      </c>
      <c r="AF15" s="20">
        <f>변수!AF26</f>
        <v/>
      </c>
      <c r="AG15" s="20">
        <f>변수!AG26</f>
        <v/>
      </c>
      <c r="AH15" s="20">
        <f>변수!AH26</f>
        <v/>
      </c>
      <c r="AI15" s="20">
        <f>변수!AI26</f>
        <v/>
      </c>
      <c r="AJ15" s="38">
        <f>SUM(AF15:AI15)</f>
        <v/>
      </c>
      <c r="AK15" s="20">
        <f>변수!AK26</f>
        <v/>
      </c>
      <c r="AL15" s="20">
        <f>변수!AL26</f>
        <v/>
      </c>
      <c r="AM15" s="20">
        <f>변수!AM26</f>
        <v/>
      </c>
      <c r="AN15" s="20">
        <f>변수!AN26</f>
        <v/>
      </c>
      <c r="AO15" s="38">
        <f>SUM(AK15:AN15)</f>
        <v/>
      </c>
    </row>
    <row r="16">
      <c r="A16" s="12" t="inlineStr">
        <is>
          <t>기타영업외손익</t>
        </is>
      </c>
      <c r="B16" t="inlineStr">
        <is>
          <t>손익</t>
        </is>
      </c>
      <c r="C16" t="inlineStr">
        <is>
          <t>억원</t>
        </is>
      </c>
      <c r="D16" t="inlineStr">
        <is>
          <t>기타영업외손익</t>
        </is>
      </c>
      <c r="E16" s="18">
        <f>IFERROR(VLOOKUP($D16,BS연결,MATCH(E$1,BS연결H,0),0)/100,"")</f>
        <v/>
      </c>
      <c r="F16" s="37" t="n"/>
      <c r="G16" s="18">
        <f>IFERROR(VLOOKUP($D16,BS연결,MATCH(G$1,BS연결H,0),0)/100,"")</f>
        <v/>
      </c>
      <c r="H16" s="18">
        <f>IFERROR(VLOOKUP($D16,BS연결,MATCH(H$1,BS연결H,0),0)/100,"")</f>
        <v/>
      </c>
      <c r="I16" s="18">
        <f>IFERROR(VLOOKUP($D16,BS연결,MATCH(I$1,BS연결H,0),0)/100,"")</f>
        <v/>
      </c>
      <c r="J16" s="18">
        <f>IFERROR(VLOOKUP($D16,BS연결,MATCH(J$1,BS연결H,0),0)/100,"")</f>
        <v/>
      </c>
      <c r="K16" s="37">
        <f>IFERROR(VLOOKUP($D16,BS연결,MATCH(K$1,BS연결H,0),0)/100,"")</f>
        <v/>
      </c>
      <c r="L16" s="18">
        <f>IFERROR(VLOOKUP($D16,BS연결,MATCH(L$1,BS연결H,0),0)/100,"")</f>
        <v/>
      </c>
      <c r="M16" s="18">
        <f>IFERROR(VLOOKUP($D16,BS연결,MATCH(M$1,BS연결H,0),0)/100,"")</f>
        <v/>
      </c>
      <c r="N16" s="18">
        <f>IFERROR(VLOOKUP($D16,BS연결,MATCH(N$1,BS연결H,0),0)/100,"")</f>
        <v/>
      </c>
      <c r="O16" s="18">
        <f>IFERROR(VLOOKUP($D16,BS연결,MATCH(O$1,BS연결H,0),0)/100,"")</f>
        <v/>
      </c>
      <c r="P16" s="37">
        <f>IFERROR(VLOOKUP($D16,BS연결,MATCH(P$1,BS연결H,0),0)/100,"")</f>
        <v/>
      </c>
      <c r="Q16" s="18">
        <f>IFERROR(VLOOKUP($D16,BS연결,MATCH(Q$1,BS연결H,0),0)/100,"")</f>
        <v/>
      </c>
      <c r="R16" s="18">
        <f>IFERROR(VLOOKUP($D16,BS연결,MATCH(R$1,BS연결H,0),0)/100,"")</f>
        <v/>
      </c>
      <c r="S16" s="18">
        <f>IFERROR(VLOOKUP($D16,BS연결,MATCH(S$1,BS연결H,0),0)/100,"")</f>
        <v/>
      </c>
      <c r="T16" s="18">
        <f>IFERROR(VLOOKUP($D16,BS연결,MATCH(T$1,BS연결H,0),0)/100,"")</f>
        <v/>
      </c>
      <c r="U16" s="37">
        <f>IFERROR(VLOOKUP($D16,BS연결,MATCH(U$1,BS연결H,0),0)/100,"")</f>
        <v/>
      </c>
      <c r="V16" s="18">
        <f>IFERROR(VLOOKUP($D16,BS연결,MATCH(V$1,BS연결H,0),0)/100,"")</f>
        <v/>
      </c>
      <c r="W16" s="18">
        <f>IFERROR(VLOOKUP($D16,BS연결,MATCH(W$1,BS연결H,0),0)/100,"")</f>
        <v/>
      </c>
      <c r="X16" s="18">
        <f>IFERROR(VLOOKUP($D16,BS연결,MATCH(X$1,BS연결H,0),0)/100,"")</f>
        <v/>
      </c>
      <c r="Y16" s="18">
        <f>IFERROR(VLOOKUP($D16,BS연결,MATCH(Y$1,BS연결H,0),0)/100,"")</f>
        <v/>
      </c>
      <c r="Z16" s="37">
        <f>IFERROR(VLOOKUP($D16,BS연결,MATCH(Z$1,BS연결H,0),0)/100,"")</f>
        <v/>
      </c>
      <c r="AA16" s="18">
        <f>IFERROR(VLOOKUP($D16,BS연결,MATCH(AA$1,BS연결H,0),0)/100,"")</f>
        <v/>
      </c>
      <c r="AB16" s="19">
        <f>IFERROR(VLOOKUP($D16,BS연결,MATCH(AB$1,BS연결H,0),0)/100,"")</f>
        <v/>
      </c>
      <c r="AC16" s="20">
        <f>변수!AC27</f>
        <v/>
      </c>
      <c r="AD16" s="20">
        <f>변수!AD27</f>
        <v/>
      </c>
      <c r="AE16" s="38">
        <f>SUM(AA16:AD16)</f>
        <v/>
      </c>
      <c r="AF16" s="20">
        <f>변수!AF27</f>
        <v/>
      </c>
      <c r="AG16" s="20">
        <f>변수!AG27</f>
        <v/>
      </c>
      <c r="AH16" s="20">
        <f>변수!AH27</f>
        <v/>
      </c>
      <c r="AI16" s="20">
        <f>변수!AI27</f>
        <v/>
      </c>
      <c r="AJ16" s="38">
        <f>SUM(AF16:AI16)</f>
        <v/>
      </c>
      <c r="AK16" s="20">
        <f>변수!AK27</f>
        <v/>
      </c>
      <c r="AL16" s="20">
        <f>변수!AL27</f>
        <v/>
      </c>
      <c r="AM16" s="20">
        <f>변수!AM27</f>
        <v/>
      </c>
      <c r="AN16" s="20">
        <f>변수!AN27</f>
        <v/>
      </c>
      <c r="AO16" s="38">
        <f>SUM(AK16:AN16)</f>
        <v/>
      </c>
    </row>
    <row r="17">
      <c r="A17" s="12" t="inlineStr">
        <is>
          <t>지분법손익</t>
        </is>
      </c>
      <c r="B17" t="inlineStr">
        <is>
          <t>손익</t>
        </is>
      </c>
      <c r="C17" t="inlineStr">
        <is>
          <t>억원</t>
        </is>
      </c>
      <c r="D17" t="inlineStr">
        <is>
          <t>종속기업,공동지배기업및관계기업관련손익</t>
        </is>
      </c>
      <c r="E17" s="18" t="n"/>
      <c r="F17" s="37" t="n"/>
      <c r="G17" s="18" t="n"/>
      <c r="H17" s="18" t="n"/>
      <c r="I17" s="18" t="n"/>
      <c r="J17" s="18" t="n"/>
      <c r="K17" s="37">
        <f>SUM(G17:J17)</f>
        <v/>
      </c>
      <c r="L17" s="18" t="n"/>
      <c r="M17" s="18" t="n"/>
      <c r="N17" s="18" t="n"/>
      <c r="O17" s="18" t="n"/>
      <c r="P17" s="37">
        <f>SUM(L17:O17)</f>
        <v/>
      </c>
      <c r="Q17" s="18" t="n"/>
      <c r="R17" s="18" t="n"/>
      <c r="S17" s="18" t="n"/>
      <c r="T17" s="18" t="n"/>
      <c r="U17" s="37">
        <f>SUM(Q17:T17)</f>
        <v/>
      </c>
      <c r="V17" s="18">
        <f>IFERROR(VLOOKUP($D17,BS연결,MATCH(V$1,BS연결H,0),0)/100,"")</f>
        <v/>
      </c>
      <c r="W17" s="18">
        <f>IFERROR(VLOOKUP($D17,BS연결,MATCH(W$1,BS연결H,0),0)/100,"")</f>
        <v/>
      </c>
      <c r="X17" s="18">
        <f>IFERROR(VLOOKUP($D17,BS연결,MATCH(X$1,BS연결H,0),0)/100,"")</f>
        <v/>
      </c>
      <c r="Y17" s="18">
        <f>IFERROR(VLOOKUP($D17,BS연결,MATCH(Y$1,BS연결H,0),0)/100,"")</f>
        <v/>
      </c>
      <c r="Z17" s="37">
        <f>IFERROR(VLOOKUP($D17,BS연결,MATCH(Z$1,BS연결H,0),0)/100,"")</f>
        <v/>
      </c>
      <c r="AA17" s="18">
        <f>IFERROR(VLOOKUP($D17,BS연결,MATCH(AA$1,BS연결H,0),0)/100,"")</f>
        <v/>
      </c>
      <c r="AB17" s="19">
        <f>IFERROR(VLOOKUP($D17,BS연결,MATCH(AB$1,BS연결H,0),0)/100,"")</f>
        <v/>
      </c>
      <c r="AC17" s="20">
        <f>변수!AC28</f>
        <v/>
      </c>
      <c r="AD17" s="20">
        <f>변수!AD28</f>
        <v/>
      </c>
      <c r="AE17" s="38">
        <f>SUM(AA17:AD17)</f>
        <v/>
      </c>
      <c r="AF17" s="20">
        <f>변수!AF28</f>
        <v/>
      </c>
      <c r="AG17" s="20">
        <f>변수!AG28</f>
        <v/>
      </c>
      <c r="AH17" s="20">
        <f>변수!AH28</f>
        <v/>
      </c>
      <c r="AI17" s="20">
        <f>변수!AI28</f>
        <v/>
      </c>
      <c r="AJ17" s="38">
        <f>SUM(AF17:AI17)</f>
        <v/>
      </c>
      <c r="AK17" s="20">
        <f>변수!AK28</f>
        <v/>
      </c>
      <c r="AL17" s="20">
        <f>변수!AL28</f>
        <v/>
      </c>
      <c r="AM17" s="20">
        <f>변수!AM28</f>
        <v/>
      </c>
      <c r="AN17" s="20">
        <f>변수!AN28</f>
        <v/>
      </c>
      <c r="AO17" s="38">
        <f>SUM(AK17:AN17)</f>
        <v/>
      </c>
    </row>
    <row r="18">
      <c r="A18" s="12" t="inlineStr">
        <is>
          <t>세전이익</t>
        </is>
      </c>
      <c r="B18" t="inlineStr">
        <is>
          <t>손익</t>
        </is>
      </c>
      <c r="C18" t="inlineStr">
        <is>
          <t>억원</t>
        </is>
      </c>
      <c r="D18" t="inlineStr">
        <is>
          <t>법인세비용차감전계속사업이익</t>
        </is>
      </c>
      <c r="E18" s="18">
        <f>IFERROR(VLOOKUP($D18,BS연결,MATCH(E$1,BS연결H,0),0)/100,"")</f>
        <v/>
      </c>
      <c r="F18" s="37" t="n"/>
      <c r="G18" s="18">
        <f>IFERROR(VLOOKUP($D18,BS연결,MATCH(G$1,BS연결H,0),0)/100,"")</f>
        <v/>
      </c>
      <c r="H18" s="18">
        <f>IFERROR(VLOOKUP($D18,BS연결,MATCH(H$1,BS연결H,0),0)/100,"")</f>
        <v/>
      </c>
      <c r="I18" s="18">
        <f>IFERROR(VLOOKUP($D18,BS연결,MATCH(I$1,BS연결H,0),0)/100,"")</f>
        <v/>
      </c>
      <c r="J18" s="18">
        <f>IFERROR(VLOOKUP($D18,BS연결,MATCH(J$1,BS연결H,0),0)/100,"")</f>
        <v/>
      </c>
      <c r="K18" s="37">
        <f>IFERROR(VLOOKUP($D18,BS연결,MATCH(K$1,BS연결H,0),0)/100,"")</f>
        <v/>
      </c>
      <c r="L18" s="18">
        <f>IFERROR(VLOOKUP($D18,BS연결,MATCH(L$1,BS연결H,0),0)/100,"")</f>
        <v/>
      </c>
      <c r="M18" s="18">
        <f>IFERROR(VLOOKUP($D18,BS연결,MATCH(M$1,BS연결H,0),0)/100,"")</f>
        <v/>
      </c>
      <c r="N18" s="18">
        <f>IFERROR(VLOOKUP($D18,BS연결,MATCH(N$1,BS연결H,0),0)/100,"")</f>
        <v/>
      </c>
      <c r="O18" s="18">
        <f>IFERROR(VLOOKUP($D18,BS연결,MATCH(O$1,BS연결H,0),0)/100,"")</f>
        <v/>
      </c>
      <c r="P18" s="37">
        <f>IFERROR(VLOOKUP($D18,BS연결,MATCH(P$1,BS연결H,0),0)/100,"")</f>
        <v/>
      </c>
      <c r="Q18" s="18">
        <f>IFERROR(VLOOKUP($D18,BS연결,MATCH(Q$1,BS연결H,0),0)/100,"")</f>
        <v/>
      </c>
      <c r="R18" s="18">
        <f>IFERROR(VLOOKUP($D18,BS연결,MATCH(R$1,BS연결H,0),0)/100,"")</f>
        <v/>
      </c>
      <c r="S18" s="18">
        <f>IFERROR(VLOOKUP($D18,BS연결,MATCH(S$1,BS연결H,0),0)/100,"")</f>
        <v/>
      </c>
      <c r="T18" s="18">
        <f>IFERROR(VLOOKUP($D18,BS연결,MATCH(T$1,BS연결H,0),0)/100,"")</f>
        <v/>
      </c>
      <c r="U18" s="37">
        <f>IFERROR(VLOOKUP($D18,BS연결,MATCH(U$1,BS연결H,0),0)/100,"")</f>
        <v/>
      </c>
      <c r="V18" s="18">
        <f>IFERROR(VLOOKUP($D18,BS연결,MATCH(V$1,BS연결H,0),0)/100,"")</f>
        <v/>
      </c>
      <c r="W18" s="18">
        <f>IFERROR(VLOOKUP($D18,BS연결,MATCH(W$1,BS연결H,0),0)/100,"")</f>
        <v/>
      </c>
      <c r="X18" s="18">
        <f>IFERROR(VLOOKUP($D18,BS연결,MATCH(X$1,BS연결H,0),0)/100,"")</f>
        <v/>
      </c>
      <c r="Y18" s="18">
        <f>IFERROR(VLOOKUP($D18,BS연결,MATCH(Y$1,BS연결H,0),0)/100,"")</f>
        <v/>
      </c>
      <c r="Z18" s="37">
        <f>IFERROR(VLOOKUP($D18,BS연결,MATCH(Z$1,BS연결H,0),0)/100,"")</f>
        <v/>
      </c>
      <c r="AA18" s="18">
        <f>IFERROR(VLOOKUP($D18,BS연결,MATCH(AA$1,BS연결H,0),0)/100,"")</f>
        <v/>
      </c>
      <c r="AB18" s="19">
        <f>IFERROR(VLOOKUP($D18,BS연결,MATCH(AB$1,BS연결H,0),0)/100,"")</f>
        <v/>
      </c>
      <c r="AC18" s="20">
        <f>IFERROR(AC9+AC11+AC16+AC17,"")</f>
        <v/>
      </c>
      <c r="AD18" s="20">
        <f>IFERROR(AD9+AD11+AD16+AD17,"")</f>
        <v/>
      </c>
      <c r="AE18" s="38">
        <f>SUM(AA18:AD18)</f>
        <v/>
      </c>
      <c r="AF18" s="20">
        <f>IFERROR(AF9+AF11+AF16+AF17,"")</f>
        <v/>
      </c>
      <c r="AG18" s="20">
        <f>IFERROR(AG9+AG11+AG16+AG17,"")</f>
        <v/>
      </c>
      <c r="AH18" s="20">
        <f>IFERROR(AH9+AH11+AH16+AH17,"")</f>
        <v/>
      </c>
      <c r="AI18" s="20">
        <f>IFERROR(AI9+AI11+AI16+AI17,"")</f>
        <v/>
      </c>
      <c r="AJ18" s="38">
        <f>SUM(AF18:AI18)</f>
        <v/>
      </c>
      <c r="AK18" s="20">
        <f>IFERROR(AK9+AK11+AK16+AK17,"")</f>
        <v/>
      </c>
      <c r="AL18" s="20">
        <f>IFERROR(AL9+AL11+AL16+AL17,"")</f>
        <v/>
      </c>
      <c r="AM18" s="20">
        <f>IFERROR(AM9+AM11+AM16+AM17,"")</f>
        <v/>
      </c>
      <c r="AN18" s="20">
        <f>IFERROR(AN9+AN11+AN16+AN17,"")</f>
        <v/>
      </c>
      <c r="AO18" s="38">
        <f>SUM(AK18:AN18)</f>
        <v/>
      </c>
    </row>
    <row r="19">
      <c r="A19" s="12" t="inlineStr">
        <is>
          <t>법인세비용</t>
        </is>
      </c>
      <c r="B19" t="inlineStr">
        <is>
          <t>손익</t>
        </is>
      </c>
      <c r="C19" t="inlineStr">
        <is>
          <t>억원</t>
        </is>
      </c>
      <c r="D19" t="inlineStr">
        <is>
          <t>법인세비용</t>
        </is>
      </c>
      <c r="E19" s="18">
        <f>IFERROR(VLOOKUP($D19,BS연결,MATCH(E$1,BS연결H,0),0)/100,"")</f>
        <v/>
      </c>
      <c r="F19" s="37" t="n"/>
      <c r="G19" s="18">
        <f>IFERROR(VLOOKUP($D19,BS연결,MATCH(G$1,BS연결H,0),0)/100,"")</f>
        <v/>
      </c>
      <c r="H19" s="18">
        <f>IFERROR(VLOOKUP($D19,BS연결,MATCH(H$1,BS연결H,0),0)/100,"")</f>
        <v/>
      </c>
      <c r="I19" s="18">
        <f>IFERROR(VLOOKUP($D19,BS연결,MATCH(I$1,BS연결H,0),0)/100,"")</f>
        <v/>
      </c>
      <c r="J19" s="18">
        <f>IFERROR(VLOOKUP($D19,BS연결,MATCH(J$1,BS연결H,0),0)/100,"")</f>
        <v/>
      </c>
      <c r="K19" s="37">
        <f>IFERROR(VLOOKUP($D19,BS연결,MATCH(K$1,BS연결H,0),0)/100,"")</f>
        <v/>
      </c>
      <c r="L19" s="18">
        <f>IFERROR(VLOOKUP($D19,BS연결,MATCH(L$1,BS연결H,0),0)/100,"")</f>
        <v/>
      </c>
      <c r="M19" s="18">
        <f>IFERROR(VLOOKUP($D19,BS연결,MATCH(M$1,BS연결H,0),0)/100,"")</f>
        <v/>
      </c>
      <c r="N19" s="18">
        <f>IFERROR(VLOOKUP($D19,BS연결,MATCH(N$1,BS연결H,0),0)/100,"")</f>
        <v/>
      </c>
      <c r="O19" s="18">
        <f>IFERROR(VLOOKUP($D19,BS연결,MATCH(O$1,BS연결H,0),0)/100,"")</f>
        <v/>
      </c>
      <c r="P19" s="37">
        <f>IFERROR(VLOOKUP($D19,BS연결,MATCH(P$1,BS연결H,0),0)/100,"")</f>
        <v/>
      </c>
      <c r="Q19" s="18">
        <f>IFERROR(VLOOKUP($D19,BS연결,MATCH(Q$1,BS연결H,0),0)/100,"")</f>
        <v/>
      </c>
      <c r="R19" s="18">
        <f>IFERROR(VLOOKUP($D19,BS연결,MATCH(R$1,BS연결H,0),0)/100,"")</f>
        <v/>
      </c>
      <c r="S19" s="18">
        <f>IFERROR(VLOOKUP($D19,BS연결,MATCH(S$1,BS연결H,0),0)/100,"")</f>
        <v/>
      </c>
      <c r="T19" s="18">
        <f>IFERROR(VLOOKUP($D19,BS연결,MATCH(T$1,BS연결H,0),0)/100,"")</f>
        <v/>
      </c>
      <c r="U19" s="37">
        <f>IFERROR(VLOOKUP($D19,BS연결,MATCH(U$1,BS연결H,0),0)/100,"")</f>
        <v/>
      </c>
      <c r="V19" s="18">
        <f>IFERROR(VLOOKUP($D19,BS연결,MATCH(V$1,BS연결H,0),0)/100,"")</f>
        <v/>
      </c>
      <c r="W19" s="18">
        <f>IFERROR(VLOOKUP($D19,BS연결,MATCH(W$1,BS연결H,0),0)/100,"")</f>
        <v/>
      </c>
      <c r="X19" s="18">
        <f>IFERROR(VLOOKUP($D19,BS연결,MATCH(X$1,BS연결H,0),0)/100,"")</f>
        <v/>
      </c>
      <c r="Y19" s="18">
        <f>IFERROR(VLOOKUP($D19,BS연결,MATCH(Y$1,BS연결H,0),0)/100,"")</f>
        <v/>
      </c>
      <c r="Z19" s="37">
        <f>IFERROR(VLOOKUP($D19,BS연결,MATCH(Z$1,BS연결H,0),0)/100,"")</f>
        <v/>
      </c>
      <c r="AA19" s="18">
        <f>IFERROR(VLOOKUP($D19,BS연결,MATCH(AA$1,BS연결H,0),0)/100,"")</f>
        <v/>
      </c>
      <c r="AB19" s="19">
        <f>IFERROR(VLOOKUP($D19,BS연결,MATCH(AB$1,BS연결H,0),0)/100,"")</f>
        <v/>
      </c>
      <c r="AC19" s="20">
        <f>IFERROR(MAX(AC18,0)*변수!AC29,"")</f>
        <v/>
      </c>
      <c r="AD19" s="20">
        <f>IFERROR(MAX(AD18,0)*변수!AD29,"")</f>
        <v/>
      </c>
      <c r="AE19" s="38">
        <f>SUM(AA19:AD19)</f>
        <v/>
      </c>
      <c r="AF19" s="20">
        <f>IFERROR(MAX(AF18,0)*변수!AF29,"")</f>
        <v/>
      </c>
      <c r="AG19" s="20">
        <f>IFERROR(MAX(AG18,0)*변수!AG29,"")</f>
        <v/>
      </c>
      <c r="AH19" s="20">
        <f>IFERROR(MAX(AH18,0)*변수!AH29,"")</f>
        <v/>
      </c>
      <c r="AI19" s="20">
        <f>IFERROR(MAX(AI18,0)*변수!AI29,"")</f>
        <v/>
      </c>
      <c r="AJ19" s="38">
        <f>SUM(AF19:AI19)</f>
        <v/>
      </c>
      <c r="AK19" s="20">
        <f>IFERROR(MAX(AK18,0)*변수!AK29,"")</f>
        <v/>
      </c>
      <c r="AL19" s="20">
        <f>IFERROR(MAX(AL18,0)*변수!AL29,"")</f>
        <v/>
      </c>
      <c r="AM19" s="20">
        <f>IFERROR(MAX(AM18,0)*변수!AM29,"")</f>
        <v/>
      </c>
      <c r="AN19" s="20">
        <f>IFERROR(MAX(AN18,0)*변수!AN29,"")</f>
        <v/>
      </c>
      <c r="AO19" s="38">
        <f>SUM(AK19:AN19)</f>
        <v/>
      </c>
    </row>
    <row r="20">
      <c r="A20" s="12" t="inlineStr">
        <is>
          <t>당기순이익</t>
        </is>
      </c>
      <c r="B20" t="inlineStr">
        <is>
          <t>손익</t>
        </is>
      </c>
      <c r="C20" t="inlineStr">
        <is>
          <t>억원</t>
        </is>
      </c>
      <c r="D20" t="inlineStr">
        <is>
          <t>당기순이익</t>
        </is>
      </c>
      <c r="E20" s="18">
        <f>IFERROR(VLOOKUP($D20,BS연결,MATCH(E$1,BS연결H,0),0)/100,"")</f>
        <v/>
      </c>
      <c r="F20" s="37" t="n"/>
      <c r="G20" s="18">
        <f>IFERROR(VLOOKUP($D20,BS연결,MATCH(G$1,BS연결H,0),0)/100,"")</f>
        <v/>
      </c>
      <c r="H20" s="18">
        <f>IFERROR(VLOOKUP($D20,BS연결,MATCH(H$1,BS연결H,0),0)/100,"")</f>
        <v/>
      </c>
      <c r="I20" s="18">
        <f>IFERROR(VLOOKUP($D20,BS연결,MATCH(I$1,BS연결H,0),0)/100,"")</f>
        <v/>
      </c>
      <c r="J20" s="18">
        <f>IFERROR(VLOOKUP($D20,BS연결,MATCH(J$1,BS연결H,0),0)/100,"")</f>
        <v/>
      </c>
      <c r="K20" s="37">
        <f>IFERROR(VLOOKUP($D20,BS연결,MATCH(K$1,BS연결H,0),0)/100,"")</f>
        <v/>
      </c>
      <c r="L20" s="18">
        <f>IFERROR(VLOOKUP($D20,BS연결,MATCH(L$1,BS연결H,0),0)/100,"")</f>
        <v/>
      </c>
      <c r="M20" s="18">
        <f>IFERROR(VLOOKUP($D20,BS연결,MATCH(M$1,BS연결H,0),0)/100,"")</f>
        <v/>
      </c>
      <c r="N20" s="18">
        <f>IFERROR(VLOOKUP($D20,BS연결,MATCH(N$1,BS연결H,0),0)/100,"")</f>
        <v/>
      </c>
      <c r="O20" s="18">
        <f>IFERROR(VLOOKUP($D20,BS연결,MATCH(O$1,BS연결H,0),0)/100,"")</f>
        <v/>
      </c>
      <c r="P20" s="37">
        <f>IFERROR(VLOOKUP($D20,BS연결,MATCH(P$1,BS연결H,0),0)/100,"")</f>
        <v/>
      </c>
      <c r="Q20" s="18">
        <f>IFERROR(VLOOKUP($D20,BS연결,MATCH(Q$1,BS연결H,0),0)/100,"")</f>
        <v/>
      </c>
      <c r="R20" s="18">
        <f>IFERROR(VLOOKUP($D20,BS연결,MATCH(R$1,BS연결H,0),0)/100,"")</f>
        <v/>
      </c>
      <c r="S20" s="18">
        <f>IFERROR(VLOOKUP($D20,BS연결,MATCH(S$1,BS연결H,0),0)/100,"")</f>
        <v/>
      </c>
      <c r="T20" s="18">
        <f>IFERROR(VLOOKUP($D20,BS연결,MATCH(T$1,BS연결H,0),0)/100,"")</f>
        <v/>
      </c>
      <c r="U20" s="37">
        <f>IFERROR(VLOOKUP($D20,BS연결,MATCH(U$1,BS연결H,0),0)/100,"")</f>
        <v/>
      </c>
      <c r="V20" s="18">
        <f>IFERROR(VLOOKUP($D20,BS연결,MATCH(V$1,BS연결H,0),0)/100,"")</f>
        <v/>
      </c>
      <c r="W20" s="18">
        <f>IFERROR(VLOOKUP($D20,BS연결,MATCH(W$1,BS연결H,0),0)/100,"")</f>
        <v/>
      </c>
      <c r="X20" s="18">
        <f>IFERROR(VLOOKUP($D20,BS연결,MATCH(X$1,BS연결H,0),0)/100,"")</f>
        <v/>
      </c>
      <c r="Y20" s="18">
        <f>IFERROR(VLOOKUP($D20,BS연결,MATCH(Y$1,BS연결H,0),0)/100,"")</f>
        <v/>
      </c>
      <c r="Z20" s="37">
        <f>IFERROR(VLOOKUP($D20,BS연결,MATCH(Z$1,BS연결H,0),0)/100,"")</f>
        <v/>
      </c>
      <c r="AA20" s="18">
        <f>IFERROR(VLOOKUP($D20,BS연결,MATCH(AA$1,BS연결H,0),0)/100,"")</f>
        <v/>
      </c>
      <c r="AB20" s="19">
        <f>IFERROR(VLOOKUP($D20,BS연결,MATCH(AB$1,BS연결H,0),0)/100,"")</f>
        <v/>
      </c>
      <c r="AC20" s="20">
        <f>IFERROR(AC18-AC19,"")</f>
        <v/>
      </c>
      <c r="AD20" s="20">
        <f>IFERROR(AD18-AD19,"")</f>
        <v/>
      </c>
      <c r="AE20" s="38">
        <f>SUM(AA20:AD20)</f>
        <v/>
      </c>
      <c r="AF20" s="20">
        <f>IFERROR(AF18-AF19,"")</f>
        <v/>
      </c>
      <c r="AG20" s="20">
        <f>IFERROR(AG18-AG19,"")</f>
        <v/>
      </c>
      <c r="AH20" s="20">
        <f>IFERROR(AH18-AH19,"")</f>
        <v/>
      </c>
      <c r="AI20" s="20">
        <f>IFERROR(AI18-AI19,"")</f>
        <v/>
      </c>
      <c r="AJ20" s="38">
        <f>SUM(AF20:AI20)</f>
        <v/>
      </c>
      <c r="AK20" s="20">
        <f>IFERROR(AK18-AK19,"")</f>
        <v/>
      </c>
      <c r="AL20" s="20">
        <f>IFERROR(AL18-AL19,"")</f>
        <v/>
      </c>
      <c r="AM20" s="20">
        <f>IFERROR(AM18-AM19,"")</f>
        <v/>
      </c>
      <c r="AN20" s="20">
        <f>IFERROR(AN18-AN19,"")</f>
        <v/>
      </c>
      <c r="AO20" s="38">
        <f>SUM(AK20:AN20)</f>
        <v/>
      </c>
    </row>
    <row r="21">
      <c r="A21" s="12" t="inlineStr">
        <is>
          <t>지배주주순이익</t>
        </is>
      </c>
      <c r="B21" t="inlineStr">
        <is>
          <t>손익</t>
        </is>
      </c>
      <c r="C21" t="inlineStr">
        <is>
          <t>억원</t>
        </is>
      </c>
      <c r="D21" t="inlineStr">
        <is>
          <t>(지배주주지분)당기순이익</t>
        </is>
      </c>
      <c r="E21" s="18">
        <f>IFERROR(VLOOKUP($D21,BS연결,MATCH(E$1,BS연결H,0),0)/100,"")</f>
        <v/>
      </c>
      <c r="F21" s="37" t="n"/>
      <c r="G21" s="18">
        <f>IFERROR(VLOOKUP($D21,BS연결,MATCH(G$1,BS연결H,0),0)/100,"")</f>
        <v/>
      </c>
      <c r="H21" s="18">
        <f>IFERROR(VLOOKUP($D21,BS연결,MATCH(H$1,BS연결H,0),0)/100,"")</f>
        <v/>
      </c>
      <c r="I21" s="18">
        <f>IFERROR(VLOOKUP($D21,BS연결,MATCH(I$1,BS연결H,0),0)/100,"")</f>
        <v/>
      </c>
      <c r="J21" s="18">
        <f>IFERROR(VLOOKUP($D21,BS연결,MATCH(J$1,BS연결H,0),0)/100,"")</f>
        <v/>
      </c>
      <c r="K21" s="37">
        <f>IFERROR(VLOOKUP($D21,BS연결,MATCH(K$1,BS연결H,0),0)/100,"")</f>
        <v/>
      </c>
      <c r="L21" s="18">
        <f>IFERROR(VLOOKUP($D21,BS연결,MATCH(L$1,BS연결H,0),0)/100,"")</f>
        <v/>
      </c>
      <c r="M21" s="18">
        <f>IFERROR(VLOOKUP($D21,BS연결,MATCH(M$1,BS연결H,0),0)/100,"")</f>
        <v/>
      </c>
      <c r="N21" s="18">
        <f>IFERROR(VLOOKUP($D21,BS연결,MATCH(N$1,BS연결H,0),0)/100,"")</f>
        <v/>
      </c>
      <c r="O21" s="18">
        <f>IFERROR(VLOOKUP($D21,BS연결,MATCH(O$1,BS연결H,0),0)/100,"")</f>
        <v/>
      </c>
      <c r="P21" s="37">
        <f>IFERROR(VLOOKUP($D21,BS연결,MATCH(P$1,BS연결H,0),0)/100,"")</f>
        <v/>
      </c>
      <c r="Q21" s="18">
        <f>IFERROR(VLOOKUP($D21,BS연결,MATCH(Q$1,BS연결H,0),0)/100,"")</f>
        <v/>
      </c>
      <c r="R21" s="18">
        <f>IFERROR(VLOOKUP($D21,BS연결,MATCH(R$1,BS연결H,0),0)/100,"")</f>
        <v/>
      </c>
      <c r="S21" s="18">
        <f>IFERROR(VLOOKUP($D21,BS연결,MATCH(S$1,BS연결H,0),0)/100,"")</f>
        <v/>
      </c>
      <c r="T21" s="18">
        <f>IFERROR(VLOOKUP($D21,BS연결,MATCH(T$1,BS연결H,0),0)/100,"")</f>
        <v/>
      </c>
      <c r="U21" s="37">
        <f>IFERROR(VLOOKUP($D21,BS연결,MATCH(U$1,BS연결H,0),0)/100,"")</f>
        <v/>
      </c>
      <c r="V21" s="18">
        <f>IFERROR(VLOOKUP($D21,BS연결,MATCH(V$1,BS연결H,0),0)/100,"")</f>
        <v/>
      </c>
      <c r="W21" s="18">
        <f>IFERROR(VLOOKUP($D21,BS연결,MATCH(W$1,BS연결H,0),0)/100,"")</f>
        <v/>
      </c>
      <c r="X21" s="18">
        <f>IFERROR(VLOOKUP($D21,BS연결,MATCH(X$1,BS연결H,0),0)/100,"")</f>
        <v/>
      </c>
      <c r="Y21" s="18">
        <f>IFERROR(VLOOKUP($D21,BS연결,MATCH(Y$1,BS연결H,0),0)/100,"")</f>
        <v/>
      </c>
      <c r="Z21" s="37">
        <f>IFERROR(VLOOKUP($D21,BS연결,MATCH(Z$1,BS연결H,0),0)/100,"")</f>
        <v/>
      </c>
      <c r="AA21" s="18">
        <f>IFERROR(VLOOKUP($D21,BS연결,MATCH(AA$1,BS연결H,0),0)/100,"")</f>
        <v/>
      </c>
      <c r="AB21" s="19">
        <f>IFERROR(VLOOKUP($D21,BS연결,MATCH(AB$1,BS연결H,0),0)/100,"")</f>
        <v/>
      </c>
      <c r="AC21" s="20">
        <f>IFERROR(AC20*변수!AC30,"")</f>
        <v/>
      </c>
      <c r="AD21" s="20">
        <f>IFERROR(AD20*변수!AD30,"")</f>
        <v/>
      </c>
      <c r="AE21" s="38">
        <f>SUM(AA21:AD21)</f>
        <v/>
      </c>
      <c r="AF21" s="20">
        <f>IFERROR(AF20*변수!AF30,"")</f>
        <v/>
      </c>
      <c r="AG21" s="20">
        <f>IFERROR(AG20*변수!AG30,"")</f>
        <v/>
      </c>
      <c r="AH21" s="20">
        <f>IFERROR(AH20*변수!AH30,"")</f>
        <v/>
      </c>
      <c r="AI21" s="20">
        <f>IFERROR(AI20*변수!AI30,"")</f>
        <v/>
      </c>
      <c r="AJ21" s="38">
        <f>SUM(AF21:AI21)</f>
        <v/>
      </c>
      <c r="AK21" s="20">
        <f>IFERROR(AK20*변수!AK30,"")</f>
        <v/>
      </c>
      <c r="AL21" s="20">
        <f>IFERROR(AL20*변수!AL30,"")</f>
        <v/>
      </c>
      <c r="AM21" s="20">
        <f>IFERROR(AM20*변수!AM30,"")</f>
        <v/>
      </c>
      <c r="AN21" s="20">
        <f>IFERROR(AN20*변수!AN30,"")</f>
        <v/>
      </c>
      <c r="AO21" s="38">
        <f>SUM(AK21:AN21)</f>
        <v/>
      </c>
    </row>
    <row r="22">
      <c r="A22" s="12" t="inlineStr">
        <is>
          <t>자산총계</t>
        </is>
      </c>
      <c r="B22" t="inlineStr">
        <is>
          <t>재무상태</t>
        </is>
      </c>
      <c r="C22" t="inlineStr">
        <is>
          <t>억원</t>
        </is>
      </c>
      <c r="D22" t="inlineStr">
        <is>
          <t>자산총계</t>
        </is>
      </c>
      <c r="E22" s="18">
        <f>IFERROR(VLOOKUP($D22,BS연결,MATCH(E$1,BS연결H,0),0)/100,"")</f>
        <v/>
      </c>
      <c r="F22" s="37">
        <f>IFERROR(VLOOKUP($D22,BS연결,MATCH(F$1,BS연결H,0),0)/100,"")</f>
        <v/>
      </c>
      <c r="G22" s="18">
        <f>IFERROR(VLOOKUP($D22,BS연결,MATCH(G$1,BS연결H,0),0)/100,"")</f>
        <v/>
      </c>
      <c r="H22" s="18">
        <f>IFERROR(VLOOKUP($D22,BS연결,MATCH(H$1,BS연결H,0),0)/100,"")</f>
        <v/>
      </c>
      <c r="I22" s="18">
        <f>IFERROR(VLOOKUP($D22,BS연결,MATCH(I$1,BS연결H,0),0)/100,"")</f>
        <v/>
      </c>
      <c r="J22" s="18">
        <f>IFERROR(VLOOKUP($D22,BS연결,MATCH(J$1,BS연결H,0),0)/100,"")</f>
        <v/>
      </c>
      <c r="K22" s="37">
        <f>IFERROR(VLOOKUP($D22,BS연결,MATCH(K$1,BS연결H,0),0)/100,"")</f>
        <v/>
      </c>
      <c r="L22" s="18">
        <f>IFERROR(VLOOKUP($D22,BS연결,MATCH(L$1,BS연결H,0),0)/100,"")</f>
        <v/>
      </c>
      <c r="M22" s="18">
        <f>IFERROR(VLOOKUP($D22,BS연결,MATCH(M$1,BS연결H,0),0)/100,"")</f>
        <v/>
      </c>
      <c r="N22" s="18">
        <f>IFERROR(VLOOKUP($D22,BS연결,MATCH(N$1,BS연결H,0),0)/100,"")</f>
        <v/>
      </c>
      <c r="O22" s="18">
        <f>IFERROR(VLOOKUP($D22,BS연결,MATCH(O$1,BS연결H,0),0)/100,"")</f>
        <v/>
      </c>
      <c r="P22" s="37">
        <f>IFERROR(VLOOKUP($D22,BS연결,MATCH(P$1,BS연결H,0),0)/100,"")</f>
        <v/>
      </c>
      <c r="Q22" s="18">
        <f>IFERROR(VLOOKUP($D22,BS연결,MATCH(Q$1,BS연결H,0),0)/100,"")</f>
        <v/>
      </c>
      <c r="R22" s="18">
        <f>IFERROR(VLOOKUP($D22,BS연결,MATCH(R$1,BS연결H,0),0)/100,"")</f>
        <v/>
      </c>
      <c r="S22" s="18">
        <f>IFERROR(VLOOKUP($D22,BS연결,MATCH(S$1,BS연결H,0),0)/100,"")</f>
        <v/>
      </c>
      <c r="T22" s="18">
        <f>IFERROR(VLOOKUP($D22,BS연결,MATCH(T$1,BS연결H,0),0)/100,"")</f>
        <v/>
      </c>
      <c r="U22" s="37">
        <f>IFERROR(VLOOKUP($D22,BS연결,MATCH(U$1,BS연결H,0),0)/100,"")</f>
        <v/>
      </c>
      <c r="V22" s="18">
        <f>IFERROR(VLOOKUP($D22,BS연결,MATCH(V$1,BS연결H,0),0)/100,"")</f>
        <v/>
      </c>
      <c r="W22" s="18">
        <f>IFERROR(VLOOKUP($D22,BS연결,MATCH(W$1,BS연결H,0),0)/100,"")</f>
        <v/>
      </c>
      <c r="X22" s="18">
        <f>IFERROR(VLOOKUP($D22,BS연결,MATCH(X$1,BS연결H,0),0)/100,"")</f>
        <v/>
      </c>
      <c r="Y22" s="18">
        <f>IFERROR(VLOOKUP($D22,BS연결,MATCH(Y$1,BS연결H,0),0)/100,"")</f>
        <v/>
      </c>
      <c r="Z22" s="37">
        <f>IFERROR(VLOOKUP($D22,BS연결,MATCH(Z$1,BS연결H,0),0)/100,"")</f>
        <v/>
      </c>
      <c r="AA22" s="18">
        <f>IFERROR(VLOOKUP($D22,BS연결,MATCH(AA$1,BS연결H,0),0)/100,"")</f>
        <v/>
      </c>
      <c r="AB22" s="19">
        <f>IFERROR(VLOOKUP($D22,BS연결,MATCH(AB$1,BS연결H,0),0)/100,"")</f>
        <v/>
      </c>
      <c r="AC22" s="20">
        <f>IFERROR(AC23+AC24,"")</f>
        <v/>
      </c>
      <c r="AD22" s="20">
        <f>IFERROR(AD23+AD24,"")</f>
        <v/>
      </c>
      <c r="AE22" s="38">
        <f>AD22</f>
        <v/>
      </c>
      <c r="AF22" s="20">
        <f>IFERROR(AF23+AF24,"")</f>
        <v/>
      </c>
      <c r="AG22" s="20">
        <f>IFERROR(AG23+AG24,"")</f>
        <v/>
      </c>
      <c r="AH22" s="20">
        <f>IFERROR(AH23+AH24,"")</f>
        <v/>
      </c>
      <c r="AI22" s="20">
        <f>IFERROR(AI23+AI24,"")</f>
        <v/>
      </c>
      <c r="AJ22" s="38">
        <f>AI22</f>
        <v/>
      </c>
      <c r="AK22" s="20">
        <f>IFERROR(AK23+AK24,"")</f>
        <v/>
      </c>
      <c r="AL22" s="20">
        <f>IFERROR(AL23+AL24,"")</f>
        <v/>
      </c>
      <c r="AM22" s="20">
        <f>IFERROR(AM23+AM24,"")</f>
        <v/>
      </c>
      <c r="AN22" s="20">
        <f>IFERROR(AN23+AN24,"")</f>
        <v/>
      </c>
      <c r="AO22" s="38">
        <f>AN22</f>
        <v/>
      </c>
    </row>
    <row r="23">
      <c r="A23" s="12" t="inlineStr">
        <is>
          <t>부채총계</t>
        </is>
      </c>
      <c r="B23" t="inlineStr">
        <is>
          <t>재무상태</t>
        </is>
      </c>
      <c r="C23" t="inlineStr">
        <is>
          <t>억원</t>
        </is>
      </c>
      <c r="D23" t="inlineStr">
        <is>
          <t>부채총계</t>
        </is>
      </c>
      <c r="E23" s="18">
        <f>IFERROR(VLOOKUP($D23,BS연결,MATCH(E$1,BS연결H,0),0)/100,"")</f>
        <v/>
      </c>
      <c r="F23" s="37">
        <f>IFERROR(VLOOKUP($D23,BS연결,MATCH(F$1,BS연결H,0),0)/100,"")</f>
        <v/>
      </c>
      <c r="G23" s="18">
        <f>IFERROR(VLOOKUP($D23,BS연결,MATCH(G$1,BS연결H,0),0)/100,"")</f>
        <v/>
      </c>
      <c r="H23" s="18">
        <f>IFERROR(VLOOKUP($D23,BS연결,MATCH(H$1,BS연결H,0),0)/100,"")</f>
        <v/>
      </c>
      <c r="I23" s="18">
        <f>IFERROR(VLOOKUP($D23,BS연결,MATCH(I$1,BS연결H,0),0)/100,"")</f>
        <v/>
      </c>
      <c r="J23" s="18">
        <f>IFERROR(VLOOKUP($D23,BS연결,MATCH(J$1,BS연결H,0),0)/100,"")</f>
        <v/>
      </c>
      <c r="K23" s="37">
        <f>IFERROR(VLOOKUP($D23,BS연결,MATCH(K$1,BS연결H,0),0)/100,"")</f>
        <v/>
      </c>
      <c r="L23" s="18">
        <f>IFERROR(VLOOKUP($D23,BS연결,MATCH(L$1,BS연결H,0),0)/100,"")</f>
        <v/>
      </c>
      <c r="M23" s="18">
        <f>IFERROR(VLOOKUP($D23,BS연결,MATCH(M$1,BS연결H,0),0)/100,"")</f>
        <v/>
      </c>
      <c r="N23" s="18">
        <f>IFERROR(VLOOKUP($D23,BS연결,MATCH(N$1,BS연결H,0),0)/100,"")</f>
        <v/>
      </c>
      <c r="O23" s="18">
        <f>IFERROR(VLOOKUP($D23,BS연결,MATCH(O$1,BS연결H,0),0)/100,"")</f>
        <v/>
      </c>
      <c r="P23" s="37">
        <f>IFERROR(VLOOKUP($D23,BS연결,MATCH(P$1,BS연결H,0),0)/100,"")</f>
        <v/>
      </c>
      <c r="Q23" s="18">
        <f>IFERROR(VLOOKUP($D23,BS연결,MATCH(Q$1,BS연결H,0),0)/100,"")</f>
        <v/>
      </c>
      <c r="R23" s="18">
        <f>IFERROR(VLOOKUP($D23,BS연결,MATCH(R$1,BS연결H,0),0)/100,"")</f>
        <v/>
      </c>
      <c r="S23" s="18">
        <f>IFERROR(VLOOKUP($D23,BS연결,MATCH(S$1,BS연결H,0),0)/100,"")</f>
        <v/>
      </c>
      <c r="T23" s="18">
        <f>IFERROR(VLOOKUP($D23,BS연결,MATCH(T$1,BS연결H,0),0)/100,"")</f>
        <v/>
      </c>
      <c r="U23" s="37">
        <f>IFERROR(VLOOKUP($D23,BS연결,MATCH(U$1,BS연결H,0),0)/100,"")</f>
        <v/>
      </c>
      <c r="V23" s="18">
        <f>IFERROR(VLOOKUP($D23,BS연결,MATCH(V$1,BS연결H,0),0)/100,"")</f>
        <v/>
      </c>
      <c r="W23" s="18">
        <f>IFERROR(VLOOKUP($D23,BS연결,MATCH(W$1,BS연결H,0),0)/100,"")</f>
        <v/>
      </c>
      <c r="X23" s="18">
        <f>IFERROR(VLOOKUP($D23,BS연결,MATCH(X$1,BS연결H,0),0)/100,"")</f>
        <v/>
      </c>
      <c r="Y23" s="18">
        <f>IFERROR(VLOOKUP($D23,BS연결,MATCH(Y$1,BS연결H,0),0)/100,"")</f>
        <v/>
      </c>
      <c r="Z23" s="37">
        <f>IFERROR(VLOOKUP($D23,BS연결,MATCH(Z$1,BS연결H,0),0)/100,"")</f>
        <v/>
      </c>
      <c r="AA23" s="18">
        <f>IFERROR(VLOOKUP($D23,BS연결,MATCH(AA$1,BS연결H,0),0)/100,"")</f>
        <v/>
      </c>
      <c r="AB23" s="19">
        <f>IFERROR(VLOOKUP($D23,BS연결,MATCH(AB$1,BS연결H,0),0)/100,"")</f>
        <v/>
      </c>
      <c r="AC23" s="20">
        <f>IFERROR(AB23*(1+변수!AC31),"")</f>
        <v/>
      </c>
      <c r="AD23" s="20">
        <f>IFERROR(AC23*(1+변수!AD31),"")</f>
        <v/>
      </c>
      <c r="AE23" s="38">
        <f>AD23</f>
        <v/>
      </c>
      <c r="AF23" s="20">
        <f>IFERROR(AD23*(1+변수!AF31),"")</f>
        <v/>
      </c>
      <c r="AG23" s="20">
        <f>IFERROR(AF23*(1+변수!AG31),"")</f>
        <v/>
      </c>
      <c r="AH23" s="20">
        <f>IFERROR(AG23*(1+변수!AH31),"")</f>
        <v/>
      </c>
      <c r="AI23" s="20">
        <f>IFERROR(AH23*(1+변수!AI31),"")</f>
        <v/>
      </c>
      <c r="AJ23" s="38">
        <f>AI23</f>
        <v/>
      </c>
      <c r="AK23" s="20">
        <f>IFERROR(AI23*(1+변수!AK31),"")</f>
        <v/>
      </c>
      <c r="AL23" s="20">
        <f>IFERROR(AK23*(1+변수!AL31),"")</f>
        <v/>
      </c>
      <c r="AM23" s="20">
        <f>IFERROR(AL23*(1+변수!AM31),"")</f>
        <v/>
      </c>
      <c r="AN23" s="20">
        <f>IFERROR(AM23*(1+변수!AN31),"")</f>
        <v/>
      </c>
      <c r="AO23" s="38">
        <f>AN23</f>
        <v/>
      </c>
    </row>
    <row r="24">
      <c r="A24" s="12" t="inlineStr">
        <is>
          <t>자본총계</t>
        </is>
      </c>
      <c r="B24" t="inlineStr">
        <is>
          <t>재무상태</t>
        </is>
      </c>
      <c r="C24" t="inlineStr">
        <is>
          <t>억원</t>
        </is>
      </c>
      <c r="D24" t="inlineStr">
        <is>
          <t>자본총계</t>
        </is>
      </c>
      <c r="E24" s="18">
        <f>IFERROR(VLOOKUP($D24,BS연결,MATCH(E$1,BS연결H,0),0)/100,"")</f>
        <v/>
      </c>
      <c r="F24" s="37">
        <f>IFERROR(VLOOKUP($D24,BS연결,MATCH(F$1,BS연결H,0),0)/100,"")</f>
        <v/>
      </c>
      <c r="G24" s="18">
        <f>IFERROR(VLOOKUP($D24,BS연결,MATCH(G$1,BS연결H,0),0)/100,"")</f>
        <v/>
      </c>
      <c r="H24" s="18">
        <f>IFERROR(VLOOKUP($D24,BS연결,MATCH(H$1,BS연결H,0),0)/100,"")</f>
        <v/>
      </c>
      <c r="I24" s="18">
        <f>IFERROR(VLOOKUP($D24,BS연결,MATCH(I$1,BS연결H,0),0)/100,"")</f>
        <v/>
      </c>
      <c r="J24" s="18">
        <f>IFERROR(VLOOKUP($D24,BS연결,MATCH(J$1,BS연결H,0),0)/100,"")</f>
        <v/>
      </c>
      <c r="K24" s="37">
        <f>IFERROR(VLOOKUP($D24,BS연결,MATCH(K$1,BS연결H,0),0)/100,"")</f>
        <v/>
      </c>
      <c r="L24" s="18">
        <f>IFERROR(VLOOKUP($D24,BS연결,MATCH(L$1,BS연결H,0),0)/100,"")</f>
        <v/>
      </c>
      <c r="M24" s="18">
        <f>IFERROR(VLOOKUP($D24,BS연결,MATCH(M$1,BS연결H,0),0)/100,"")</f>
        <v/>
      </c>
      <c r="N24" s="18">
        <f>IFERROR(VLOOKUP($D24,BS연결,MATCH(N$1,BS연결H,0),0)/100,"")</f>
        <v/>
      </c>
      <c r="O24" s="18">
        <f>IFERROR(VLOOKUP($D24,BS연결,MATCH(O$1,BS연결H,0),0)/100,"")</f>
        <v/>
      </c>
      <c r="P24" s="37">
        <f>IFERROR(VLOOKUP($D24,BS연결,MATCH(P$1,BS연결H,0),0)/100,"")</f>
        <v/>
      </c>
      <c r="Q24" s="18">
        <f>IFERROR(VLOOKUP($D24,BS연결,MATCH(Q$1,BS연결H,0),0)/100,"")</f>
        <v/>
      </c>
      <c r="R24" s="18">
        <f>IFERROR(VLOOKUP($D24,BS연결,MATCH(R$1,BS연결H,0),0)/100,"")</f>
        <v/>
      </c>
      <c r="S24" s="18">
        <f>IFERROR(VLOOKUP($D24,BS연결,MATCH(S$1,BS연결H,0),0)/100,"")</f>
        <v/>
      </c>
      <c r="T24" s="18">
        <f>IFERROR(VLOOKUP($D24,BS연결,MATCH(T$1,BS연결H,0),0)/100,"")</f>
        <v/>
      </c>
      <c r="U24" s="37">
        <f>IFERROR(VLOOKUP($D24,BS연결,MATCH(U$1,BS연결H,0),0)/100,"")</f>
        <v/>
      </c>
      <c r="V24" s="18">
        <f>IFERROR(VLOOKUP($D24,BS연결,MATCH(V$1,BS연결H,0),0)/100,"")</f>
        <v/>
      </c>
      <c r="W24" s="18">
        <f>IFERROR(VLOOKUP($D24,BS연결,MATCH(W$1,BS연결H,0),0)/100,"")</f>
        <v/>
      </c>
      <c r="X24" s="18">
        <f>IFERROR(VLOOKUP($D24,BS연결,MATCH(X$1,BS연결H,0),0)/100,"")</f>
        <v/>
      </c>
      <c r="Y24" s="18">
        <f>IFERROR(VLOOKUP($D24,BS연결,MATCH(Y$1,BS연결H,0),0)/100,"")</f>
        <v/>
      </c>
      <c r="Z24" s="37">
        <f>IFERROR(VLOOKUP($D24,BS연결,MATCH(Z$1,BS연결H,0),0)/100,"")</f>
        <v/>
      </c>
      <c r="AA24" s="18">
        <f>IFERROR(VLOOKUP($D24,BS연결,MATCH(AA$1,BS연결H,0),0)/100,"")</f>
        <v/>
      </c>
      <c r="AB24" s="19">
        <f>IFERROR(VLOOKUP($D24,BS연결,MATCH(AB$1,BS연결H,0),0)/100,"")</f>
        <v/>
      </c>
      <c r="AC24" s="20">
        <f>IFERROR(AB24+AC20-변수!AC32,"")</f>
        <v/>
      </c>
      <c r="AD24" s="20">
        <f>IFERROR(AC24+AD20-변수!AD32,"")</f>
        <v/>
      </c>
      <c r="AE24" s="38">
        <f>AD24</f>
        <v/>
      </c>
      <c r="AF24" s="20">
        <f>IFERROR(AD24+AF20-변수!AF32,"")</f>
        <v/>
      </c>
      <c r="AG24" s="20">
        <f>IFERROR(AF24+AG20-변수!AG32,"")</f>
        <v/>
      </c>
      <c r="AH24" s="20">
        <f>IFERROR(AG24+AH20-변수!AH32,"")</f>
        <v/>
      </c>
      <c r="AI24" s="20">
        <f>IFERROR(AH24+AI20-변수!AI32,"")</f>
        <v/>
      </c>
      <c r="AJ24" s="38">
        <f>AI24</f>
        <v/>
      </c>
      <c r="AK24" s="20">
        <f>IFERROR(AI24+AK20-변수!AK32,"")</f>
        <v/>
      </c>
      <c r="AL24" s="20">
        <f>IFERROR(AK24+AL20-변수!AL32,"")</f>
        <v/>
      </c>
      <c r="AM24" s="20">
        <f>IFERROR(AL24+AM20-변수!AM32,"")</f>
        <v/>
      </c>
      <c r="AN24" s="20">
        <f>IFERROR(AM24+AN20-변수!AN32,"")</f>
        <v/>
      </c>
      <c r="AO24" s="38">
        <f>AN24</f>
        <v/>
      </c>
    </row>
    <row r="25">
      <c r="A25" s="12" t="inlineStr">
        <is>
          <t>지배주주지분</t>
        </is>
      </c>
      <c r="B25" t="inlineStr">
        <is>
          <t>재무상태</t>
        </is>
      </c>
      <c r="C25" t="inlineStr">
        <is>
          <t>억원</t>
        </is>
      </c>
      <c r="D25" t="inlineStr">
        <is>
          <t>지배주주지분</t>
        </is>
      </c>
      <c r="E25" s="18">
        <f>IFERROR(VLOOKUP($D25,BS연결,MATCH(E$1,BS연결H,0),0)/100,"")</f>
        <v/>
      </c>
      <c r="F25" s="37">
        <f>IFERROR(VLOOKUP($D25,BS연결,MATCH(F$1,BS연결H,0),0)/100,"")</f>
        <v/>
      </c>
      <c r="G25" s="18">
        <f>IFERROR(VLOOKUP($D25,BS연결,MATCH(G$1,BS연결H,0),0)/100,"")</f>
        <v/>
      </c>
      <c r="H25" s="18">
        <f>IFERROR(VLOOKUP($D25,BS연결,MATCH(H$1,BS연결H,0),0)/100,"")</f>
        <v/>
      </c>
      <c r="I25" s="18">
        <f>IFERROR(VLOOKUP($D25,BS연결,MATCH(I$1,BS연결H,0),0)/100,"")</f>
        <v/>
      </c>
      <c r="J25" s="18">
        <f>IFERROR(VLOOKUP($D25,BS연결,MATCH(J$1,BS연결H,0),0)/100,"")</f>
        <v/>
      </c>
      <c r="K25" s="37">
        <f>IFERROR(VLOOKUP($D25,BS연결,MATCH(K$1,BS연결H,0),0)/100,"")</f>
        <v/>
      </c>
      <c r="L25" s="18">
        <f>IFERROR(VLOOKUP($D25,BS연결,MATCH(L$1,BS연결H,0),0)/100,"")</f>
        <v/>
      </c>
      <c r="M25" s="18">
        <f>IFERROR(VLOOKUP($D25,BS연결,MATCH(M$1,BS연결H,0),0)/100,"")</f>
        <v/>
      </c>
      <c r="N25" s="18">
        <f>IFERROR(VLOOKUP($D25,BS연결,MATCH(N$1,BS연결H,0),0)/100,"")</f>
        <v/>
      </c>
      <c r="O25" s="18">
        <f>IFERROR(VLOOKUP($D25,BS연결,MATCH(O$1,BS연결H,0),0)/100,"")</f>
        <v/>
      </c>
      <c r="P25" s="37">
        <f>IFERROR(VLOOKUP($D25,BS연결,MATCH(P$1,BS연결H,0),0)/100,"")</f>
        <v/>
      </c>
      <c r="Q25" s="18">
        <f>IFERROR(VLOOKUP($D25,BS연결,MATCH(Q$1,BS연결H,0),0)/100,"")</f>
        <v/>
      </c>
      <c r="R25" s="18">
        <f>IFERROR(VLOOKUP($D25,BS연결,MATCH(R$1,BS연결H,0),0)/100,"")</f>
        <v/>
      </c>
      <c r="S25" s="18">
        <f>IFERROR(VLOOKUP($D25,BS연결,MATCH(S$1,BS연결H,0),0)/100,"")</f>
        <v/>
      </c>
      <c r="T25" s="18">
        <f>IFERROR(VLOOKUP($D25,BS연결,MATCH(T$1,BS연결H,0),0)/100,"")</f>
        <v/>
      </c>
      <c r="U25" s="37">
        <f>IFERROR(VLOOKUP($D25,BS연결,MATCH(U$1,BS연결H,0),0)/100,"")</f>
        <v/>
      </c>
      <c r="V25" s="18">
        <f>IFERROR(VLOOKUP($D25,BS연결,MATCH(V$1,BS연결H,0),0)/100,"")</f>
        <v/>
      </c>
      <c r="W25" s="18">
        <f>IFERROR(VLOOKUP($D25,BS연결,MATCH(W$1,BS연결H,0),0)/100,"")</f>
        <v/>
      </c>
      <c r="X25" s="18">
        <f>IFERROR(VLOOKUP($D25,BS연결,MATCH(X$1,BS연결H,0),0)/100,"")</f>
        <v/>
      </c>
      <c r="Y25" s="18">
        <f>IFERROR(VLOOKUP($D25,BS연결,MATCH(Y$1,BS연결H,0),0)/100,"")</f>
        <v/>
      </c>
      <c r="Z25" s="37">
        <f>IFERROR(VLOOKUP($D25,BS연결,MATCH(Z$1,BS연결H,0),0)/100,"")</f>
        <v/>
      </c>
      <c r="AA25" s="18">
        <f>IFERROR(VLOOKUP($D25,BS연결,MATCH(AA$1,BS연결H,0),0)/100,"")</f>
        <v/>
      </c>
      <c r="AB25" s="19">
        <f>IFERROR(VLOOKUP($D25,BS연결,MATCH(AB$1,BS연결H,0),0)/100,"")</f>
        <v/>
      </c>
      <c r="AC25" s="20">
        <f>IFERROR(AB25+AC21-변수!AC33,"")</f>
        <v/>
      </c>
      <c r="AD25" s="20">
        <f>IFERROR(AC25+AD21-변수!AD33,"")</f>
        <v/>
      </c>
      <c r="AE25" s="38">
        <f>AD25</f>
        <v/>
      </c>
      <c r="AF25" s="20">
        <f>IFERROR(AD25+AF21-변수!AF33,"")</f>
        <v/>
      </c>
      <c r="AG25" s="20">
        <f>IFERROR(AF25+AG21-변수!AG33,"")</f>
        <v/>
      </c>
      <c r="AH25" s="20">
        <f>IFERROR(AG25+AH21-변수!AH33,"")</f>
        <v/>
      </c>
      <c r="AI25" s="20">
        <f>IFERROR(AH25+AI21-변수!AI33,"")</f>
        <v/>
      </c>
      <c r="AJ25" s="38">
        <f>AI25</f>
        <v/>
      </c>
      <c r="AK25" s="20">
        <f>IFERROR(AI25+AK21-변수!AK33,"")</f>
        <v/>
      </c>
      <c r="AL25" s="20">
        <f>IFERROR(AK25+AL21-변수!AL33,"")</f>
        <v/>
      </c>
      <c r="AM25" s="20">
        <f>IFERROR(AL25+AM21-변수!AM33,"")</f>
        <v/>
      </c>
      <c r="AN25" s="20">
        <f>IFERROR(AM25+AN21-변수!AN33,"")</f>
        <v/>
      </c>
      <c r="AO25" s="38">
        <f>AN25</f>
        <v/>
      </c>
    </row>
    <row r="26">
      <c r="A26" s="12" t="inlineStr">
        <is>
          <t>총차입금</t>
        </is>
      </c>
      <c r="B26" t="inlineStr">
        <is>
          <t>재무상태</t>
        </is>
      </c>
      <c r="C26" t="inlineStr">
        <is>
          <t>억원</t>
        </is>
      </c>
      <c r="D26" t="inlineStr">
        <is>
          <t>총차입금</t>
        </is>
      </c>
      <c r="E26" s="18">
        <f>IFERROR(VLOOKUP($D26,BS연결,MATCH(E$1,BS연결H,0),0)/100,"")</f>
        <v/>
      </c>
      <c r="F26" s="37">
        <f>IFERROR(VLOOKUP($D26,BS연결,MATCH(F$1,BS연결H,0),0)/100,"")</f>
        <v/>
      </c>
      <c r="G26" s="18">
        <f>IFERROR(VLOOKUP($D26,BS연결,MATCH(G$1,BS연결H,0),0)/100,"")</f>
        <v/>
      </c>
      <c r="H26" s="18">
        <f>IFERROR(VLOOKUP($D26,BS연결,MATCH(H$1,BS연결H,0),0)/100,"")</f>
        <v/>
      </c>
      <c r="I26" s="18">
        <f>IFERROR(VLOOKUP($D26,BS연결,MATCH(I$1,BS연결H,0),0)/100,"")</f>
        <v/>
      </c>
      <c r="J26" s="18">
        <f>IFERROR(VLOOKUP($D26,BS연결,MATCH(J$1,BS연결H,0),0)/100,"")</f>
        <v/>
      </c>
      <c r="K26" s="37">
        <f>IFERROR(VLOOKUP($D26,BS연결,MATCH(K$1,BS연결H,0),0)/100,"")</f>
        <v/>
      </c>
      <c r="L26" s="18">
        <f>IFERROR(VLOOKUP($D26,BS연결,MATCH(L$1,BS연결H,0),0)/100,"")</f>
        <v/>
      </c>
      <c r="M26" s="18">
        <f>IFERROR(VLOOKUP($D26,BS연결,MATCH(M$1,BS연결H,0),0)/100,"")</f>
        <v/>
      </c>
      <c r="N26" s="18">
        <f>IFERROR(VLOOKUP($D26,BS연결,MATCH(N$1,BS연결H,0),0)/100,"")</f>
        <v/>
      </c>
      <c r="O26" s="18">
        <f>IFERROR(VLOOKUP($D26,BS연결,MATCH(O$1,BS연결H,0),0)/100,"")</f>
        <v/>
      </c>
      <c r="P26" s="37">
        <f>IFERROR(VLOOKUP($D26,BS연결,MATCH(P$1,BS연결H,0),0)/100,"")</f>
        <v/>
      </c>
      <c r="Q26" s="18">
        <f>IFERROR(VLOOKUP($D26,BS연결,MATCH(Q$1,BS연결H,0),0)/100,"")</f>
        <v/>
      </c>
      <c r="R26" s="18">
        <f>IFERROR(VLOOKUP($D26,BS연결,MATCH(R$1,BS연결H,0),0)/100,"")</f>
        <v/>
      </c>
      <c r="S26" s="18">
        <f>IFERROR(VLOOKUP($D26,BS연결,MATCH(S$1,BS연결H,0),0)/100,"")</f>
        <v/>
      </c>
      <c r="T26" s="18">
        <f>IFERROR(VLOOKUP($D26,BS연결,MATCH(T$1,BS연결H,0),0)/100,"")</f>
        <v/>
      </c>
      <c r="U26" s="37">
        <f>IFERROR(VLOOKUP($D26,BS연결,MATCH(U$1,BS연결H,0),0)/100,"")</f>
        <v/>
      </c>
      <c r="V26" s="18">
        <f>IFERROR(VLOOKUP($D26,BS연결,MATCH(V$1,BS연결H,0),0)/100,"")</f>
        <v/>
      </c>
      <c r="W26" s="18">
        <f>IFERROR(VLOOKUP($D26,BS연결,MATCH(W$1,BS연결H,0),0)/100,"")</f>
        <v/>
      </c>
      <c r="X26" s="18">
        <f>IFERROR(VLOOKUP($D26,BS연결,MATCH(X$1,BS연결H,0),0)/100,"")</f>
        <v/>
      </c>
      <c r="Y26" s="18">
        <f>IFERROR(VLOOKUP($D26,BS연결,MATCH(Y$1,BS연결H,0),0)/100,"")</f>
        <v/>
      </c>
      <c r="Z26" s="37">
        <f>IFERROR(VLOOKUP($D26,BS연결,MATCH(Z$1,BS연결H,0),0)/100,"")</f>
        <v/>
      </c>
      <c r="AA26" s="18">
        <f>IFERROR(VLOOKUP($D26,BS연결,MATCH(AA$1,BS연결H,0),0)/100,"")</f>
        <v/>
      </c>
      <c r="AB26" s="19">
        <f>IFERROR(VLOOKUP($D26,BS연결,MATCH(AB$1,BS연결H,0),0)/100,"")</f>
        <v/>
      </c>
      <c r="AC26" s="20">
        <f>IFERROR(AB26*(1+변수!AC34),"")</f>
        <v/>
      </c>
      <c r="AD26" s="20">
        <f>IFERROR(AC26*(1+변수!AD34),"")</f>
        <v/>
      </c>
      <c r="AE26" s="38">
        <f>AD26</f>
        <v/>
      </c>
      <c r="AF26" s="20">
        <f>IFERROR(AD26*(1+변수!AF34),"")</f>
        <v/>
      </c>
      <c r="AG26" s="20">
        <f>IFERROR(AF26*(1+변수!AG34),"")</f>
        <v/>
      </c>
      <c r="AH26" s="20">
        <f>IFERROR(AG26*(1+변수!AH34),"")</f>
        <v/>
      </c>
      <c r="AI26" s="20">
        <f>IFERROR(AH26*(1+변수!AI34),"")</f>
        <v/>
      </c>
      <c r="AJ26" s="38">
        <f>AI26</f>
        <v/>
      </c>
      <c r="AK26" s="20">
        <f>IFERROR(AI26*(1+변수!AK34),"")</f>
        <v/>
      </c>
      <c r="AL26" s="20">
        <f>IFERROR(AK26*(1+변수!AL34),"")</f>
        <v/>
      </c>
      <c r="AM26" s="20">
        <f>IFERROR(AL26*(1+변수!AM34),"")</f>
        <v/>
      </c>
      <c r="AN26" s="20">
        <f>IFERROR(AM26*(1+변수!AN34),"")</f>
        <v/>
      </c>
      <c r="AO26" s="38">
        <f>AN26</f>
        <v/>
      </c>
    </row>
    <row r="27">
      <c r="A27" s="12" t="inlineStr">
        <is>
          <t>순차입금</t>
        </is>
      </c>
      <c r="B27" t="inlineStr">
        <is>
          <t>재무상태</t>
        </is>
      </c>
      <c r="C27" t="inlineStr">
        <is>
          <t>억원</t>
        </is>
      </c>
      <c r="D27" t="inlineStr">
        <is>
          <t>순차입금</t>
        </is>
      </c>
      <c r="E27" s="18">
        <f>IFERROR(VLOOKUP($D27,BS연결,MATCH(E$1,BS연결H,0),0)/100,"")</f>
        <v/>
      </c>
      <c r="F27" s="37">
        <f>IFERROR(VLOOKUP($D27,BS연결,MATCH(F$1,BS연결H,0),0)/100,"")</f>
        <v/>
      </c>
      <c r="G27" s="18">
        <f>IFERROR(VLOOKUP($D27,BS연결,MATCH(G$1,BS연결H,0),0)/100,"")</f>
        <v/>
      </c>
      <c r="H27" s="18">
        <f>IFERROR(VLOOKUP($D27,BS연결,MATCH(H$1,BS연결H,0),0)/100,"")</f>
        <v/>
      </c>
      <c r="I27" s="18">
        <f>IFERROR(VLOOKUP($D27,BS연결,MATCH(I$1,BS연결H,0),0)/100,"")</f>
        <v/>
      </c>
      <c r="J27" s="18">
        <f>IFERROR(VLOOKUP($D27,BS연결,MATCH(J$1,BS연결H,0),0)/100,"")</f>
        <v/>
      </c>
      <c r="K27" s="37">
        <f>IFERROR(VLOOKUP($D27,BS연결,MATCH(K$1,BS연결H,0),0)/100,"")</f>
        <v/>
      </c>
      <c r="L27" s="18">
        <f>IFERROR(VLOOKUP($D27,BS연결,MATCH(L$1,BS연결H,0),0)/100,"")</f>
        <v/>
      </c>
      <c r="M27" s="18">
        <f>IFERROR(VLOOKUP($D27,BS연결,MATCH(M$1,BS연결H,0),0)/100,"")</f>
        <v/>
      </c>
      <c r="N27" s="18">
        <f>IFERROR(VLOOKUP($D27,BS연결,MATCH(N$1,BS연결H,0),0)/100,"")</f>
        <v/>
      </c>
      <c r="O27" s="18">
        <f>IFERROR(VLOOKUP($D27,BS연결,MATCH(O$1,BS연결H,0),0)/100,"")</f>
        <v/>
      </c>
      <c r="P27" s="37">
        <f>IFERROR(VLOOKUP($D27,BS연결,MATCH(P$1,BS연결H,0),0)/100,"")</f>
        <v/>
      </c>
      <c r="Q27" s="18">
        <f>IFERROR(VLOOKUP($D27,BS연결,MATCH(Q$1,BS연결H,0),0)/100,"")</f>
        <v/>
      </c>
      <c r="R27" s="18">
        <f>IFERROR(VLOOKUP($D27,BS연결,MATCH(R$1,BS연결H,0),0)/100,"")</f>
        <v/>
      </c>
      <c r="S27" s="18">
        <f>IFERROR(VLOOKUP($D27,BS연결,MATCH(S$1,BS연결H,0),0)/100,"")</f>
        <v/>
      </c>
      <c r="T27" s="18">
        <f>IFERROR(VLOOKUP($D27,BS연결,MATCH(T$1,BS연결H,0),0)/100,"")</f>
        <v/>
      </c>
      <c r="U27" s="37">
        <f>IFERROR(VLOOKUP($D27,BS연결,MATCH(U$1,BS연결H,0),0)/100,"")</f>
        <v/>
      </c>
      <c r="V27" s="18">
        <f>IFERROR(VLOOKUP($D27,BS연결,MATCH(V$1,BS연결H,0),0)/100,"")</f>
        <v/>
      </c>
      <c r="W27" s="18">
        <f>IFERROR(VLOOKUP($D27,BS연결,MATCH(W$1,BS연결H,0),0)/100,"")</f>
        <v/>
      </c>
      <c r="X27" s="18">
        <f>IFERROR(VLOOKUP($D27,BS연결,MATCH(X$1,BS연결H,0),0)/100,"")</f>
        <v/>
      </c>
      <c r="Y27" s="18">
        <f>IFERROR(VLOOKUP($D27,BS연결,MATCH(Y$1,BS연결H,0),0)/100,"")</f>
        <v/>
      </c>
      <c r="Z27" s="37">
        <f>IFERROR(VLOOKUP($D27,BS연결,MATCH(Z$1,BS연결H,0),0)/100,"")</f>
        <v/>
      </c>
      <c r="AA27" s="18">
        <f>IFERROR(VLOOKUP($D27,BS연결,MATCH(AA$1,BS연결H,0),0)/100,"")</f>
        <v/>
      </c>
      <c r="AB27" s="19">
        <f>IFERROR(VLOOKUP($D27,BS연결,MATCH(AB$1,BS연결H,0),0)/100,"")</f>
        <v/>
      </c>
      <c r="AC27" s="20">
        <f>IFERROR(AB27*(1+변수!AC35),"")</f>
        <v/>
      </c>
      <c r="AD27" s="20">
        <f>IFERROR(AC27*(1+변수!AD35),"")</f>
        <v/>
      </c>
      <c r="AE27" s="38">
        <f>AD27</f>
        <v/>
      </c>
      <c r="AF27" s="20">
        <f>IFERROR(AD27*(1+변수!AF35),"")</f>
        <v/>
      </c>
      <c r="AG27" s="20">
        <f>IFERROR(AF27*(1+변수!AG35),"")</f>
        <v/>
      </c>
      <c r="AH27" s="20">
        <f>IFERROR(AG27*(1+변수!AH35),"")</f>
        <v/>
      </c>
      <c r="AI27" s="20">
        <f>IFERROR(AH27*(1+변수!AI35),"")</f>
        <v/>
      </c>
      <c r="AJ27" s="38">
        <f>AI27</f>
        <v/>
      </c>
      <c r="AK27" s="20">
        <f>IFERROR(AI27*(1+변수!AK35),"")</f>
        <v/>
      </c>
      <c r="AL27" s="20">
        <f>IFERROR(AK27*(1+변수!AL35),"")</f>
        <v/>
      </c>
      <c r="AM27" s="20">
        <f>IFERROR(AL27*(1+변수!AM35),"")</f>
        <v/>
      </c>
      <c r="AN27" s="20">
        <f>IFERROR(AM27*(1+변수!AN35),"")</f>
        <v/>
      </c>
      <c r="AO27" s="38">
        <f>AN27</f>
        <v/>
      </c>
    </row>
    <row r="28">
      <c r="A28" s="12" t="inlineStr">
        <is>
          <t>이자발생자산</t>
        </is>
      </c>
      <c r="B28" t="inlineStr">
        <is>
          <t>재무상태</t>
        </is>
      </c>
      <c r="C28" t="inlineStr">
        <is>
          <t>억원</t>
        </is>
      </c>
      <c r="D28" t="inlineStr">
        <is>
          <t>이자발생자산</t>
        </is>
      </c>
      <c r="E28" s="18">
        <f>IFERROR(VLOOKUP($D28,BS연결,MATCH(E$1,BS연결H,0),0)/100,"")</f>
        <v/>
      </c>
      <c r="F28" s="37">
        <f>IFERROR(VLOOKUP($D28,BS연결,MATCH(F$1,BS연결H,0),0)/100,"")</f>
        <v/>
      </c>
      <c r="G28" s="18">
        <f>IFERROR(VLOOKUP($D28,BS연결,MATCH(G$1,BS연결H,0),0)/100,"")</f>
        <v/>
      </c>
      <c r="H28" s="18">
        <f>IFERROR(VLOOKUP($D28,BS연결,MATCH(H$1,BS연결H,0),0)/100,"")</f>
        <v/>
      </c>
      <c r="I28" s="18">
        <f>IFERROR(VLOOKUP($D28,BS연결,MATCH(I$1,BS연결H,0),0)/100,"")</f>
        <v/>
      </c>
      <c r="J28" s="18">
        <f>IFERROR(VLOOKUP($D28,BS연결,MATCH(J$1,BS연결H,0),0)/100,"")</f>
        <v/>
      </c>
      <c r="K28" s="37">
        <f>IFERROR(VLOOKUP($D28,BS연결,MATCH(K$1,BS연결H,0),0)/100,"")</f>
        <v/>
      </c>
      <c r="L28" s="18">
        <f>IFERROR(VLOOKUP($D28,BS연결,MATCH(L$1,BS연결H,0),0)/100,"")</f>
        <v/>
      </c>
      <c r="M28" s="18">
        <f>IFERROR(VLOOKUP($D28,BS연결,MATCH(M$1,BS연결H,0),0)/100,"")</f>
        <v/>
      </c>
      <c r="N28" s="18">
        <f>IFERROR(VLOOKUP($D28,BS연결,MATCH(N$1,BS연결H,0),0)/100,"")</f>
        <v/>
      </c>
      <c r="O28" s="18">
        <f>IFERROR(VLOOKUP($D28,BS연결,MATCH(O$1,BS연결H,0),0)/100,"")</f>
        <v/>
      </c>
      <c r="P28" s="37">
        <f>IFERROR(VLOOKUP($D28,BS연결,MATCH(P$1,BS연결H,0),0)/100,"")</f>
        <v/>
      </c>
      <c r="Q28" s="18">
        <f>IFERROR(VLOOKUP($D28,BS연결,MATCH(Q$1,BS연결H,0),0)/100,"")</f>
        <v/>
      </c>
      <c r="R28" s="18">
        <f>IFERROR(VLOOKUP($D28,BS연결,MATCH(R$1,BS연결H,0),0)/100,"")</f>
        <v/>
      </c>
      <c r="S28" s="18">
        <f>IFERROR(VLOOKUP($D28,BS연결,MATCH(S$1,BS연결H,0),0)/100,"")</f>
        <v/>
      </c>
      <c r="T28" s="18">
        <f>IFERROR(VLOOKUP($D28,BS연결,MATCH(T$1,BS연결H,0),0)/100,"")</f>
        <v/>
      </c>
      <c r="U28" s="37">
        <f>IFERROR(VLOOKUP($D28,BS연결,MATCH(U$1,BS연결H,0),0)/100,"")</f>
        <v/>
      </c>
      <c r="V28" s="18">
        <f>IFERROR(VLOOKUP($D28,BS연결,MATCH(V$1,BS연결H,0),0)/100,"")</f>
        <v/>
      </c>
      <c r="W28" s="18">
        <f>IFERROR(VLOOKUP($D28,BS연결,MATCH(W$1,BS연결H,0),0)/100,"")</f>
        <v/>
      </c>
      <c r="X28" s="18">
        <f>IFERROR(VLOOKUP($D28,BS연결,MATCH(X$1,BS연결H,0),0)/100,"")</f>
        <v/>
      </c>
      <c r="Y28" s="18">
        <f>IFERROR(VLOOKUP($D28,BS연결,MATCH(Y$1,BS연결H,0),0)/100,"")</f>
        <v/>
      </c>
      <c r="Z28" s="37">
        <f>IFERROR(VLOOKUP($D28,BS연결,MATCH(Z$1,BS연결H,0),0)/100,"")</f>
        <v/>
      </c>
      <c r="AA28" s="18">
        <f>IFERROR(VLOOKUP($D28,BS연결,MATCH(AA$1,BS연결H,0),0)/100,"")</f>
        <v/>
      </c>
      <c r="AB28" s="19">
        <f>IFERROR(VLOOKUP($D28,BS연결,MATCH(AB$1,BS연결H,0),0)/100,"")</f>
        <v/>
      </c>
      <c r="AC28" s="20">
        <f>IFERROR(AB28*(1+변수!AC36),"")</f>
        <v/>
      </c>
      <c r="AD28" s="20">
        <f>IFERROR(AC28*(1+변수!AD36),"")</f>
        <v/>
      </c>
      <c r="AE28" s="38">
        <f>AD28</f>
        <v/>
      </c>
      <c r="AF28" s="20">
        <f>IFERROR(AD28*(1+변수!AF36),"")</f>
        <v/>
      </c>
      <c r="AG28" s="20">
        <f>IFERROR(AF28*(1+변수!AG36),"")</f>
        <v/>
      </c>
      <c r="AH28" s="20">
        <f>IFERROR(AG28*(1+변수!AH36),"")</f>
        <v/>
      </c>
      <c r="AI28" s="20">
        <f>IFERROR(AH28*(1+변수!AI36),"")</f>
        <v/>
      </c>
      <c r="AJ28" s="38">
        <f>AI28</f>
        <v/>
      </c>
      <c r="AK28" s="20">
        <f>IFERROR(AI28*(1+변수!AK36),"")</f>
        <v/>
      </c>
      <c r="AL28" s="20">
        <f>IFERROR(AK28*(1+변수!AL36),"")</f>
        <v/>
      </c>
      <c r="AM28" s="20">
        <f>IFERROR(AL28*(1+변수!AM36),"")</f>
        <v/>
      </c>
      <c r="AN28" s="20">
        <f>IFERROR(AM28*(1+변수!AN36),"")</f>
        <v/>
      </c>
      <c r="AO28" s="38">
        <f>AN28</f>
        <v/>
      </c>
    </row>
    <row r="29">
      <c r="A29" s="12" t="inlineStr">
        <is>
          <t>현금및현금성자산</t>
        </is>
      </c>
      <c r="B29" t="inlineStr">
        <is>
          <t>재무상태</t>
        </is>
      </c>
      <c r="C29" t="inlineStr">
        <is>
          <t>억원</t>
        </is>
      </c>
      <c r="D29" t="inlineStr">
        <is>
          <t>현금및현금성자산</t>
        </is>
      </c>
      <c r="E29" s="18">
        <f>IFERROR(VLOOKUP($D29,BS연결,MATCH(E$1,BS연결H,0),0)/100,"")</f>
        <v/>
      </c>
      <c r="F29" s="37">
        <f>IFERROR(VLOOKUP($D29,BS연결,MATCH(F$1,BS연결H,0),0)/100,"")</f>
        <v/>
      </c>
      <c r="G29" s="18">
        <f>IFERROR(VLOOKUP($D29,BS연결,MATCH(G$1,BS연결H,0),0)/100,"")</f>
        <v/>
      </c>
      <c r="H29" s="18">
        <f>IFERROR(VLOOKUP($D29,BS연결,MATCH(H$1,BS연결H,0),0)/100,"")</f>
        <v/>
      </c>
      <c r="I29" s="18">
        <f>IFERROR(VLOOKUP($D29,BS연결,MATCH(I$1,BS연결H,0),0)/100,"")</f>
        <v/>
      </c>
      <c r="J29" s="18">
        <f>IFERROR(VLOOKUP($D29,BS연결,MATCH(J$1,BS연결H,0),0)/100,"")</f>
        <v/>
      </c>
      <c r="K29" s="37">
        <f>IFERROR(VLOOKUP($D29,BS연결,MATCH(K$1,BS연결H,0),0)/100,"")</f>
        <v/>
      </c>
      <c r="L29" s="18">
        <f>IFERROR(VLOOKUP($D29,BS연결,MATCH(L$1,BS연결H,0),0)/100,"")</f>
        <v/>
      </c>
      <c r="M29" s="18">
        <f>IFERROR(VLOOKUP($D29,BS연결,MATCH(M$1,BS연결H,0),0)/100,"")</f>
        <v/>
      </c>
      <c r="N29" s="18">
        <f>IFERROR(VLOOKUP($D29,BS연결,MATCH(N$1,BS연결H,0),0)/100,"")</f>
        <v/>
      </c>
      <c r="O29" s="18">
        <f>IFERROR(VLOOKUP($D29,BS연결,MATCH(O$1,BS연결H,0),0)/100,"")</f>
        <v/>
      </c>
      <c r="P29" s="37">
        <f>IFERROR(VLOOKUP($D29,BS연결,MATCH(P$1,BS연결H,0),0)/100,"")</f>
        <v/>
      </c>
      <c r="Q29" s="18">
        <f>IFERROR(VLOOKUP($D29,BS연결,MATCH(Q$1,BS연결H,0),0)/100,"")</f>
        <v/>
      </c>
      <c r="R29" s="18">
        <f>IFERROR(VLOOKUP($D29,BS연결,MATCH(R$1,BS연결H,0),0)/100,"")</f>
        <v/>
      </c>
      <c r="S29" s="18">
        <f>IFERROR(VLOOKUP($D29,BS연결,MATCH(S$1,BS연결H,0),0)/100,"")</f>
        <v/>
      </c>
      <c r="T29" s="18">
        <f>IFERROR(VLOOKUP($D29,BS연결,MATCH(T$1,BS연결H,0),0)/100,"")</f>
        <v/>
      </c>
      <c r="U29" s="37">
        <f>IFERROR(VLOOKUP($D29,BS연결,MATCH(U$1,BS연결H,0),0)/100,"")</f>
        <v/>
      </c>
      <c r="V29" s="18">
        <f>IFERROR(VLOOKUP($D29,BS연결,MATCH(V$1,BS연결H,0),0)/100,"")</f>
        <v/>
      </c>
      <c r="W29" s="18">
        <f>IFERROR(VLOOKUP($D29,BS연결,MATCH(W$1,BS연결H,0),0)/100,"")</f>
        <v/>
      </c>
      <c r="X29" s="18">
        <f>IFERROR(VLOOKUP($D29,BS연결,MATCH(X$1,BS연결H,0),0)/100,"")</f>
        <v/>
      </c>
      <c r="Y29" s="18">
        <f>IFERROR(VLOOKUP($D29,BS연결,MATCH(Y$1,BS연결H,0),0)/100,"")</f>
        <v/>
      </c>
      <c r="Z29" s="37">
        <f>IFERROR(VLOOKUP($D29,BS연결,MATCH(Z$1,BS연결H,0),0)/100,"")</f>
        <v/>
      </c>
      <c r="AA29" s="18">
        <f>IFERROR(VLOOKUP($D29,BS연결,MATCH(AA$1,BS연결H,0),0)/100,"")</f>
        <v/>
      </c>
      <c r="AB29" s="19">
        <f>IFERROR(VLOOKUP($D29,BS연결,MATCH(AB$1,BS연결H,0),0)/100,"")</f>
        <v/>
      </c>
      <c r="AC29" s="20" t="n"/>
      <c r="AD29" s="20" t="n"/>
      <c r="AE29" s="38">
        <f>AD29</f>
        <v/>
      </c>
      <c r="AF29" s="20" t="n"/>
      <c r="AG29" s="20" t="n"/>
      <c r="AH29" s="20" t="n"/>
      <c r="AI29" s="20" t="n"/>
      <c r="AJ29" s="38">
        <f>AI29</f>
        <v/>
      </c>
      <c r="AK29" s="20" t="n"/>
      <c r="AL29" s="20" t="n"/>
      <c r="AM29" s="20" t="n"/>
      <c r="AN29" s="20" t="n"/>
      <c r="AO29" s="38">
        <f>AN29</f>
        <v/>
      </c>
    </row>
    <row r="30">
      <c r="A30" s="12" t="inlineStr">
        <is>
          <t>CAPEX</t>
        </is>
      </c>
      <c r="B30" t="inlineStr">
        <is>
          <t>현금흐름</t>
        </is>
      </c>
      <c r="C30" t="inlineStr">
        <is>
          <t>억원</t>
        </is>
      </c>
      <c r="D30" t="inlineStr">
        <is>
          <t>CAPEX</t>
        </is>
      </c>
      <c r="E30" s="18">
        <f>IFERROR(VLOOKUP($D30,BS연결,MATCH(E$1,BS연결H,0),0)/100,"")</f>
        <v/>
      </c>
      <c r="F30" s="37" t="n"/>
      <c r="G30" s="18">
        <f>IFERROR(VLOOKUP($D30,BS연결,MATCH(G$1,BS연결H,0),0)/100,"")</f>
        <v/>
      </c>
      <c r="H30" s="18">
        <f>IFERROR(VLOOKUP($D30,BS연결,MATCH(H$1,BS연결H,0),0)/100,"")</f>
        <v/>
      </c>
      <c r="I30" s="18">
        <f>IFERROR(VLOOKUP($D30,BS연결,MATCH(I$1,BS연결H,0),0)/100,"")</f>
        <v/>
      </c>
      <c r="J30" s="18">
        <f>IFERROR(VLOOKUP($D30,BS연결,MATCH(J$1,BS연결H,0),0)/100,"")</f>
        <v/>
      </c>
      <c r="K30" s="37">
        <f>IFERROR(VLOOKUP($D30,BS연결,MATCH(K$1,BS연결H,0),0)/100,"")</f>
        <v/>
      </c>
      <c r="L30" s="18">
        <f>IFERROR(VLOOKUP($D30,BS연결,MATCH(L$1,BS연결H,0),0)/100,"")</f>
        <v/>
      </c>
      <c r="M30" s="18">
        <f>IFERROR(VLOOKUP($D30,BS연결,MATCH(M$1,BS연결H,0),0)/100,"")</f>
        <v/>
      </c>
      <c r="N30" s="18">
        <f>IFERROR(VLOOKUP($D30,BS연결,MATCH(N$1,BS연결H,0),0)/100,"")</f>
        <v/>
      </c>
      <c r="O30" s="18">
        <f>IFERROR(VLOOKUP($D30,BS연결,MATCH(O$1,BS연결H,0),0)/100,"")</f>
        <v/>
      </c>
      <c r="P30" s="37">
        <f>IFERROR(VLOOKUP($D30,BS연결,MATCH(P$1,BS연결H,0),0)/100,"")</f>
        <v/>
      </c>
      <c r="Q30" s="18">
        <f>IFERROR(VLOOKUP($D30,BS연결,MATCH(Q$1,BS연결H,0),0)/100,"")</f>
        <v/>
      </c>
      <c r="R30" s="18">
        <f>IFERROR(VLOOKUP($D30,BS연결,MATCH(R$1,BS연결H,0),0)/100,"")</f>
        <v/>
      </c>
      <c r="S30" s="18">
        <f>IFERROR(VLOOKUP($D30,BS연결,MATCH(S$1,BS연결H,0),0)/100,"")</f>
        <v/>
      </c>
      <c r="T30" s="18">
        <f>IFERROR(VLOOKUP($D30,BS연결,MATCH(T$1,BS연결H,0),0)/100,"")</f>
        <v/>
      </c>
      <c r="U30" s="37">
        <f>IFERROR(VLOOKUP($D30,BS연결,MATCH(U$1,BS연결H,0),0)/100,"")</f>
        <v/>
      </c>
      <c r="V30" s="18">
        <f>IFERROR(VLOOKUP($D30,BS연결,MATCH(V$1,BS연결H,0),0)/100,"")</f>
        <v/>
      </c>
      <c r="W30" s="18">
        <f>IFERROR(VLOOKUP($D30,BS연결,MATCH(W$1,BS연결H,0),0)/100,"")</f>
        <v/>
      </c>
      <c r="X30" s="18">
        <f>IFERROR(VLOOKUP($D30,BS연결,MATCH(X$1,BS연결H,0),0)/100,"")</f>
        <v/>
      </c>
      <c r="Y30" s="18">
        <f>IFERROR(VLOOKUP($D30,BS연결,MATCH(Y$1,BS연결H,0),0)/100,"")</f>
        <v/>
      </c>
      <c r="Z30" s="37">
        <f>IFERROR(VLOOKUP($D30,BS연결,MATCH(Z$1,BS연결H,0),0)/100,"")</f>
        <v/>
      </c>
      <c r="AA30" s="18">
        <f>IFERROR(VLOOKUP($D30,BS연결,MATCH(AA$1,BS연결H,0),0)/100,"")</f>
        <v/>
      </c>
      <c r="AB30" s="19">
        <f>IFERROR(VLOOKUP($D30,BS연결,MATCH(AB$1,BS연결H,0),0)/100,"")</f>
        <v/>
      </c>
      <c r="AC30" s="20">
        <f>IFERROR(X30*(1+변수!AC38),"")</f>
        <v/>
      </c>
      <c r="AD30" s="20">
        <f>IFERROR(Y30*(1+변수!AD38),"")</f>
        <v/>
      </c>
      <c r="AE30" s="38">
        <f>SUM(AA30:AD30)</f>
        <v/>
      </c>
      <c r="AF30" s="20">
        <f>IFERROR(AA30*(1+변수!AF38),"")</f>
        <v/>
      </c>
      <c r="AG30" s="20">
        <f>IFERROR(AB30*(1+변수!AG38),"")</f>
        <v/>
      </c>
      <c r="AH30" s="20">
        <f>IFERROR(AC30*(1+변수!AH38),"")</f>
        <v/>
      </c>
      <c r="AI30" s="20">
        <f>IFERROR(AD30*(1+변수!AI38),"")</f>
        <v/>
      </c>
      <c r="AJ30" s="38">
        <f>SUM(AF30:AI30)</f>
        <v/>
      </c>
      <c r="AK30" s="20">
        <f>IFERROR(AF30*(1+변수!AK38),"")</f>
        <v/>
      </c>
      <c r="AL30" s="20">
        <f>IFERROR(AG30*(1+변수!AL38),"")</f>
        <v/>
      </c>
      <c r="AM30" s="20">
        <f>IFERROR(AH30*(1+변수!AM38),"")</f>
        <v/>
      </c>
      <c r="AN30" s="20">
        <f>IFERROR(AI30*(1+변수!AN38),"")</f>
        <v/>
      </c>
      <c r="AO30" s="38">
        <f>SUM(AK30:AN30)</f>
        <v/>
      </c>
    </row>
    <row r="31">
      <c r="A31" s="12" t="inlineStr">
        <is>
          <t>영업활동현금흐름</t>
        </is>
      </c>
      <c r="B31" t="inlineStr">
        <is>
          <t>현금흐름</t>
        </is>
      </c>
      <c r="C31" t="inlineStr">
        <is>
          <t>억원</t>
        </is>
      </c>
      <c r="D31" t="inlineStr">
        <is>
          <t>영업활동으로인한현금흐름</t>
        </is>
      </c>
      <c r="E31" s="18">
        <f>IFERROR(VLOOKUP($D31,BS연결,MATCH(E$1,BS연결H,0),0)/100,"")</f>
        <v/>
      </c>
      <c r="F31" s="37" t="n"/>
      <c r="G31" s="18">
        <f>IFERROR(VLOOKUP($D31,BS연결,MATCH(G$1,BS연결H,0),0)/100,"")</f>
        <v/>
      </c>
      <c r="H31" s="18">
        <f>IFERROR(VLOOKUP($D31,BS연결,MATCH(H$1,BS연결H,0),0)/100,"")</f>
        <v/>
      </c>
      <c r="I31" s="18">
        <f>IFERROR(VLOOKUP($D31,BS연결,MATCH(I$1,BS연결H,0),0)/100,"")</f>
        <v/>
      </c>
      <c r="J31" s="18">
        <f>IFERROR(VLOOKUP($D31,BS연결,MATCH(J$1,BS연결H,0),0)/100,"")</f>
        <v/>
      </c>
      <c r="K31" s="37">
        <f>IFERROR(VLOOKUP($D31,BS연결,MATCH(K$1,BS연결H,0),0)/100,"")</f>
        <v/>
      </c>
      <c r="L31" s="18">
        <f>IFERROR(VLOOKUP($D31,BS연결,MATCH(L$1,BS연결H,0),0)/100,"")</f>
        <v/>
      </c>
      <c r="M31" s="18">
        <f>IFERROR(VLOOKUP($D31,BS연결,MATCH(M$1,BS연결H,0),0)/100,"")</f>
        <v/>
      </c>
      <c r="N31" s="18">
        <f>IFERROR(VLOOKUP($D31,BS연결,MATCH(N$1,BS연결H,0),0)/100,"")</f>
        <v/>
      </c>
      <c r="O31" s="18">
        <f>IFERROR(VLOOKUP($D31,BS연결,MATCH(O$1,BS연결H,0),0)/100,"")</f>
        <v/>
      </c>
      <c r="P31" s="37">
        <f>IFERROR(VLOOKUP($D31,BS연결,MATCH(P$1,BS연결H,0),0)/100,"")</f>
        <v/>
      </c>
      <c r="Q31" s="18">
        <f>IFERROR(VLOOKUP($D31,BS연결,MATCH(Q$1,BS연결H,0),0)/100,"")</f>
        <v/>
      </c>
      <c r="R31" s="18">
        <f>IFERROR(VLOOKUP($D31,BS연결,MATCH(R$1,BS연결H,0),0)/100,"")</f>
        <v/>
      </c>
      <c r="S31" s="18">
        <f>IFERROR(VLOOKUP($D31,BS연결,MATCH(S$1,BS연결H,0),0)/100,"")</f>
        <v/>
      </c>
      <c r="T31" s="18">
        <f>IFERROR(VLOOKUP($D31,BS연결,MATCH(T$1,BS연결H,0),0)/100,"")</f>
        <v/>
      </c>
      <c r="U31" s="37">
        <f>IFERROR(VLOOKUP($D31,BS연결,MATCH(U$1,BS연결H,0),0)/100,"")</f>
        <v/>
      </c>
      <c r="V31" s="18">
        <f>IFERROR(VLOOKUP($D31,BS연결,MATCH(V$1,BS연결H,0),0)/100,"")</f>
        <v/>
      </c>
      <c r="W31" s="18">
        <f>IFERROR(VLOOKUP($D31,BS연결,MATCH(W$1,BS연결H,0),0)/100,"")</f>
        <v/>
      </c>
      <c r="X31" s="18">
        <f>IFERROR(VLOOKUP($D31,BS연결,MATCH(X$1,BS연결H,0),0)/100,"")</f>
        <v/>
      </c>
      <c r="Y31" s="18">
        <f>IFERROR(VLOOKUP($D31,BS연결,MATCH(Y$1,BS연결H,0),0)/100,"")</f>
        <v/>
      </c>
      <c r="Z31" s="37">
        <f>IFERROR(VLOOKUP($D31,BS연결,MATCH(Z$1,BS연결H,0),0)/100,"")</f>
        <v/>
      </c>
      <c r="AA31" s="18">
        <f>IFERROR(VLOOKUP($D31,BS연결,MATCH(AA$1,BS연결H,0),0)/100,"")</f>
        <v/>
      </c>
      <c r="AB31" s="19">
        <f>IFERROR(VLOOKUP($D31,BS연결,MATCH(AB$1,BS연결H,0),0)/100,"")</f>
        <v/>
      </c>
      <c r="AC31" s="20" t="n"/>
      <c r="AD31" s="20" t="n"/>
      <c r="AE31" s="38">
        <f>SUM(AA31:AD31)</f>
        <v/>
      </c>
      <c r="AF31" s="20" t="n"/>
      <c r="AG31" s="20" t="n"/>
      <c r="AH31" s="20" t="n"/>
      <c r="AI31" s="20" t="n"/>
      <c r="AJ31" s="38">
        <f>SUM(AF31:AI31)</f>
        <v/>
      </c>
      <c r="AK31" s="20" t="n"/>
      <c r="AL31" s="20" t="n"/>
      <c r="AM31" s="20" t="n"/>
      <c r="AN31" s="20" t="n"/>
      <c r="AO31" s="38">
        <f>SUM(AK31:AN31)</f>
        <v/>
      </c>
    </row>
    <row r="32">
      <c r="A32" s="12" t="inlineStr">
        <is>
          <t>주식수</t>
        </is>
      </c>
      <c r="B32" t="inlineStr">
        <is>
          <t>주당</t>
        </is>
      </c>
      <c r="C32" t="inlineStr">
        <is>
          <t>백만주</t>
        </is>
      </c>
      <c r="D32" t="inlineStr">
        <is>
          <t>유통주식수</t>
        </is>
      </c>
      <c r="E32" s="27" t="n">
        <v>16</v>
      </c>
      <c r="F32" s="28">
        <f>E32</f>
        <v/>
      </c>
      <c r="G32" s="27" t="n">
        <v>16</v>
      </c>
      <c r="H32" s="27" t="n">
        <v>16</v>
      </c>
      <c r="I32" s="27" t="n">
        <v>16</v>
      </c>
      <c r="J32" s="27" t="n">
        <v>16</v>
      </c>
      <c r="K32" s="28">
        <f>J32</f>
        <v/>
      </c>
      <c r="L32" s="27" t="n">
        <v>16</v>
      </c>
      <c r="M32" s="27" t="n">
        <v>16</v>
      </c>
      <c r="N32" s="27" t="n">
        <v>16</v>
      </c>
      <c r="O32" s="27" t="n">
        <v>16</v>
      </c>
      <c r="P32" s="28">
        <f>O32</f>
        <v/>
      </c>
      <c r="Q32" s="27" t="n">
        <v>16</v>
      </c>
      <c r="R32" s="27" t="n">
        <v>16</v>
      </c>
      <c r="S32" s="27" t="n">
        <v>16</v>
      </c>
      <c r="T32" s="27" t="n">
        <v>16</v>
      </c>
      <c r="U32" s="28">
        <f>T32</f>
        <v/>
      </c>
      <c r="V32" s="27" t="n">
        <v>16</v>
      </c>
      <c r="W32" s="27" t="n">
        <v>16</v>
      </c>
      <c r="X32" s="27" t="n">
        <v>16</v>
      </c>
      <c r="Y32" s="27" t="n">
        <v>16</v>
      </c>
      <c r="Z32" s="28">
        <f>Y32</f>
        <v/>
      </c>
      <c r="AA32" s="27" t="n">
        <v>16</v>
      </c>
      <c r="AB32" s="29" t="n">
        <v>16</v>
      </c>
      <c r="AC32" s="33">
        <f>IFERROR(AB32*(1+변수!AC40),"")</f>
        <v/>
      </c>
      <c r="AD32" s="33">
        <f>IFERROR(AC32*(1+변수!AD40),"")</f>
        <v/>
      </c>
      <c r="AE32" s="31">
        <f>AD32</f>
        <v/>
      </c>
      <c r="AF32" s="33">
        <f>IFERROR(AD32*(1+변수!AF40),"")</f>
        <v/>
      </c>
      <c r="AG32" s="33">
        <f>IFERROR(AF32*(1+변수!AG40),"")</f>
        <v/>
      </c>
      <c r="AH32" s="33">
        <f>IFERROR(AG32*(1+변수!AH40),"")</f>
        <v/>
      </c>
      <c r="AI32" s="33">
        <f>IFERROR(AH32*(1+변수!AI40),"")</f>
        <v/>
      </c>
      <c r="AJ32" s="31">
        <f>AI32</f>
        <v/>
      </c>
      <c r="AK32" s="33">
        <f>IFERROR(AI32*(1+변수!AK40),"")</f>
        <v/>
      </c>
      <c r="AL32" s="33">
        <f>IFERROR(AK32*(1+변수!AL40),"")</f>
        <v/>
      </c>
      <c r="AM32" s="33">
        <f>IFERROR(AL32*(1+변수!AM40),"")</f>
        <v/>
      </c>
      <c r="AN32" s="33">
        <f>IFERROR(AM32*(1+변수!AN40),"")</f>
        <v/>
      </c>
      <c r="AO32" s="31">
        <f>AN32</f>
        <v/>
      </c>
    </row>
    <row r="33">
      <c r="A33" s="12" t="inlineStr">
        <is>
          <t>EPS</t>
        </is>
      </c>
      <c r="B33" t="inlineStr">
        <is>
          <t>주당</t>
        </is>
      </c>
      <c r="C33" t="inlineStr">
        <is>
          <t>원</t>
        </is>
      </c>
      <c r="D33" t="inlineStr">
        <is>
          <t>EPS</t>
        </is>
      </c>
      <c r="E33" s="18">
        <f>IFERROR(E21*100/E32,"")</f>
        <v/>
      </c>
      <c r="F33" s="37" t="n"/>
      <c r="G33" s="18">
        <f>IFERROR(G21*100/G32,"")</f>
        <v/>
      </c>
      <c r="H33" s="18">
        <f>IFERROR(H21*100/H32,"")</f>
        <v/>
      </c>
      <c r="I33" s="18">
        <f>IFERROR(I21*100/I32,"")</f>
        <v/>
      </c>
      <c r="J33" s="18">
        <f>IFERROR(J21*100/J32,"")</f>
        <v/>
      </c>
      <c r="K33" s="37">
        <f>SUM(G33:J33)</f>
        <v/>
      </c>
      <c r="L33" s="18">
        <f>IFERROR(L21*100/L32,"")</f>
        <v/>
      </c>
      <c r="M33" s="18">
        <f>IFERROR(M21*100/M32,"")</f>
        <v/>
      </c>
      <c r="N33" s="18">
        <f>IFERROR(N21*100/N32,"")</f>
        <v/>
      </c>
      <c r="O33" s="18">
        <f>IFERROR(O21*100/O32,"")</f>
        <v/>
      </c>
      <c r="P33" s="37">
        <f>SUM(L33:O33)</f>
        <v/>
      </c>
      <c r="Q33" s="18">
        <f>IFERROR(Q21*100/Q32,"")</f>
        <v/>
      </c>
      <c r="R33" s="18">
        <f>IFERROR(R21*100/R32,"")</f>
        <v/>
      </c>
      <c r="S33" s="18">
        <f>IFERROR(S21*100/S32,"")</f>
        <v/>
      </c>
      <c r="T33" s="18">
        <f>IFERROR(T21*100/T32,"")</f>
        <v/>
      </c>
      <c r="U33" s="37">
        <f>SUM(Q33:T33)</f>
        <v/>
      </c>
      <c r="V33" s="18">
        <f>IFERROR(V21*100/V32,"")</f>
        <v/>
      </c>
      <c r="W33" s="18">
        <f>IFERROR(W21*100/W32,"")</f>
        <v/>
      </c>
      <c r="X33" s="18">
        <f>IFERROR(X21*100/X32,"")</f>
        <v/>
      </c>
      <c r="Y33" s="18">
        <f>IFERROR(Y21*100/Y32,"")</f>
        <v/>
      </c>
      <c r="Z33" s="37">
        <f>SUM(V33:Y33)</f>
        <v/>
      </c>
      <c r="AA33" s="18">
        <f>IFERROR(AA21*100/AA32,"")</f>
        <v/>
      </c>
      <c r="AB33" s="19">
        <f>IFERROR(AB21*100/AB32,"")</f>
        <v/>
      </c>
      <c r="AC33" s="20">
        <f>IFERROR(AC21*100/AC32,"")</f>
        <v/>
      </c>
      <c r="AD33" s="20">
        <f>IFERROR(AD21*100/AD32,"")</f>
        <v/>
      </c>
      <c r="AE33" s="38">
        <f>SUM(AA33:AD33)</f>
        <v/>
      </c>
      <c r="AF33" s="20">
        <f>IFERROR(AF21*100/AF32,"")</f>
        <v/>
      </c>
      <c r="AG33" s="20">
        <f>IFERROR(AG21*100/AG32,"")</f>
        <v/>
      </c>
      <c r="AH33" s="20">
        <f>IFERROR(AH21*100/AH32,"")</f>
        <v/>
      </c>
      <c r="AI33" s="20">
        <f>IFERROR(AI21*100/AI32,"")</f>
        <v/>
      </c>
      <c r="AJ33" s="38">
        <f>SUM(AF33:AI33)</f>
        <v/>
      </c>
      <c r="AK33" s="20">
        <f>IFERROR(AK21*100/AK32,"")</f>
        <v/>
      </c>
      <c r="AL33" s="20">
        <f>IFERROR(AL21*100/AL32,"")</f>
        <v/>
      </c>
      <c r="AM33" s="20">
        <f>IFERROR(AM21*100/AM32,"")</f>
        <v/>
      </c>
      <c r="AN33" s="20">
        <f>IFERROR(AN21*100/AN32,"")</f>
        <v/>
      </c>
      <c r="AO33" s="38">
        <f>SUM(AK33:AN33)</f>
        <v/>
      </c>
    </row>
    <row r="34">
      <c r="A34" s="12" t="inlineStr">
        <is>
          <t>BPS</t>
        </is>
      </c>
      <c r="B34" t="inlineStr">
        <is>
          <t>주당</t>
        </is>
      </c>
      <c r="C34" t="inlineStr">
        <is>
          <t>원</t>
        </is>
      </c>
      <c r="D34" t="inlineStr">
        <is>
          <t>BPS</t>
        </is>
      </c>
      <c r="E34" s="18">
        <f>IFERROR(E25*100/E32,"")</f>
        <v/>
      </c>
      <c r="F34" s="37">
        <f>E34</f>
        <v/>
      </c>
      <c r="G34" s="18">
        <f>IFERROR(G25*100/G32,"")</f>
        <v/>
      </c>
      <c r="H34" s="18">
        <f>IFERROR(H25*100/H32,"")</f>
        <v/>
      </c>
      <c r="I34" s="18">
        <f>IFERROR(I25*100/I32,"")</f>
        <v/>
      </c>
      <c r="J34" s="18">
        <f>IFERROR(J25*100/J32,"")</f>
        <v/>
      </c>
      <c r="K34" s="37">
        <f>J34</f>
        <v/>
      </c>
      <c r="L34" s="18">
        <f>IFERROR(L25*100/L32,"")</f>
        <v/>
      </c>
      <c r="M34" s="18">
        <f>IFERROR(M25*100/M32,"")</f>
        <v/>
      </c>
      <c r="N34" s="18">
        <f>IFERROR(N25*100/N32,"")</f>
        <v/>
      </c>
      <c r="O34" s="18">
        <f>IFERROR(O25*100/O32,"")</f>
        <v/>
      </c>
      <c r="P34" s="37">
        <f>O34</f>
        <v/>
      </c>
      <c r="Q34" s="18">
        <f>IFERROR(Q25*100/Q32,"")</f>
        <v/>
      </c>
      <c r="R34" s="18">
        <f>IFERROR(R25*100/R32,"")</f>
        <v/>
      </c>
      <c r="S34" s="18">
        <f>IFERROR(S25*100/S32,"")</f>
        <v/>
      </c>
      <c r="T34" s="18">
        <f>IFERROR(T25*100/T32,"")</f>
        <v/>
      </c>
      <c r="U34" s="37">
        <f>T34</f>
        <v/>
      </c>
      <c r="V34" s="18">
        <f>IFERROR(V25*100/V32,"")</f>
        <v/>
      </c>
      <c r="W34" s="18">
        <f>IFERROR(W25*100/W32,"")</f>
        <v/>
      </c>
      <c r="X34" s="18">
        <f>IFERROR(X25*100/X32,"")</f>
        <v/>
      </c>
      <c r="Y34" s="18">
        <f>IFERROR(Y25*100/Y32,"")</f>
        <v/>
      </c>
      <c r="Z34" s="37">
        <f>Y34</f>
        <v/>
      </c>
      <c r="AA34" s="18">
        <f>IFERROR(AA25*100/AA32,"")</f>
        <v/>
      </c>
      <c r="AB34" s="19">
        <f>IFERROR(AB25*100/AB32,"")</f>
        <v/>
      </c>
      <c r="AC34" s="20">
        <f>IFERROR(AC25*100/AC32,"")</f>
        <v/>
      </c>
      <c r="AD34" s="20">
        <f>IFERROR(AD25*100/AD32,"")</f>
        <v/>
      </c>
      <c r="AE34" s="38">
        <f>AD34</f>
        <v/>
      </c>
      <c r="AF34" s="20">
        <f>IFERROR(AF25*100/AF32,"")</f>
        <v/>
      </c>
      <c r="AG34" s="20">
        <f>IFERROR(AG25*100/AG32,"")</f>
        <v/>
      </c>
      <c r="AH34" s="20">
        <f>IFERROR(AH25*100/AH32,"")</f>
        <v/>
      </c>
      <c r="AI34" s="20">
        <f>IFERROR(AI25*100/AI32,"")</f>
        <v/>
      </c>
      <c r="AJ34" s="38">
        <f>AI34</f>
        <v/>
      </c>
      <c r="AK34" s="20">
        <f>IFERROR(AK25*100/AK32,"")</f>
        <v/>
      </c>
      <c r="AL34" s="20">
        <f>IFERROR(AL25*100/AL32,"")</f>
        <v/>
      </c>
      <c r="AM34" s="20">
        <f>IFERROR(AM25*100/AM32,"")</f>
        <v/>
      </c>
      <c r="AN34" s="20">
        <f>IFERROR(AN25*100/AN32,"")</f>
        <v/>
      </c>
      <c r="AO34" s="38">
        <f>AN34</f>
        <v/>
      </c>
    </row>
    <row r="35">
      <c r="A35" s="12" t="inlineStr">
        <is>
          <t>DPS</t>
        </is>
      </c>
      <c r="B35" t="inlineStr">
        <is>
          <t>주당</t>
        </is>
      </c>
      <c r="C35" t="inlineStr">
        <is>
          <t>원</t>
        </is>
      </c>
      <c r="D35" t="inlineStr">
        <is>
          <t>DPS(보통주)</t>
        </is>
      </c>
      <c r="E35" s="18" t="n">
        <v>50</v>
      </c>
      <c r="F35" s="37" t="n">
        <v>50</v>
      </c>
      <c r="G35" s="18" t="n"/>
      <c r="H35" s="18" t="n"/>
      <c r="I35" s="18" t="n"/>
      <c r="J35" s="18" t="n">
        <v>60</v>
      </c>
      <c r="K35" s="37">
        <f>SUM(G35:J35)</f>
        <v/>
      </c>
      <c r="L35" s="18" t="n"/>
      <c r="M35" s="18" t="n"/>
      <c r="N35" s="18" t="n"/>
      <c r="O35" s="18" t="n">
        <v>60</v>
      </c>
      <c r="P35" s="37">
        <f>SUM(L35:O35)</f>
        <v/>
      </c>
      <c r="Q35" s="18" t="n"/>
      <c r="R35" s="18" t="n"/>
      <c r="S35" s="18" t="n"/>
      <c r="T35" s="18" t="n">
        <v>70</v>
      </c>
      <c r="U35" s="37">
        <f>SUM(Q35:T35)</f>
        <v/>
      </c>
      <c r="V35" s="18" t="n"/>
      <c r="W35" s="18" t="n"/>
      <c r="X35" s="18" t="n"/>
      <c r="Y35" s="18" t="n">
        <v>250</v>
      </c>
      <c r="Z35" s="37">
        <f>SUM(V35:Y35)</f>
        <v/>
      </c>
      <c r="AA35" s="18" t="n"/>
      <c r="AB35" s="19" t="n"/>
      <c r="AC35" s="20" t="n"/>
      <c r="AD35" s="20">
        <f>변수!AD41</f>
        <v/>
      </c>
      <c r="AE35" s="38">
        <f>SUM(AA35:AD35)</f>
        <v/>
      </c>
      <c r="AF35" s="20" t="n"/>
      <c r="AG35" s="20" t="n"/>
      <c r="AH35" s="20" t="n"/>
      <c r="AI35" s="20">
        <f>변수!AI41</f>
        <v/>
      </c>
      <c r="AJ35" s="38">
        <f>SUM(AF35:AI35)</f>
        <v/>
      </c>
      <c r="AK35" s="20" t="n"/>
      <c r="AL35" s="20" t="n"/>
      <c r="AM35" s="20" t="n"/>
      <c r="AN35" s="20">
        <f>변수!AN41</f>
        <v/>
      </c>
      <c r="AO35" s="38">
        <f>SUM(AK35:AN35)</f>
        <v/>
      </c>
    </row>
    <row r="36">
      <c r="A36" s="12" t="inlineStr">
        <is>
          <t>PER</t>
        </is>
      </c>
      <c r="B36" t="inlineStr">
        <is>
          <t>주당</t>
        </is>
      </c>
      <c r="C36" t="inlineStr">
        <is>
          <t>배</t>
        </is>
      </c>
      <c r="D36" t="inlineStr">
        <is>
          <t>PER</t>
        </is>
      </c>
      <c r="E36" s="13" t="n"/>
      <c r="F36" s="14">
        <f>E36</f>
        <v/>
      </c>
      <c r="G36" s="13" t="n"/>
      <c r="H36" s="13" t="n"/>
      <c r="I36" s="13">
        <f>IFERROR(변수!I18/(E33+G33+H33+I33),"")</f>
        <v/>
      </c>
      <c r="J36" s="13">
        <f>IFERROR(변수!J18/(G33+H33+I33+J33),"")</f>
        <v/>
      </c>
      <c r="K36" s="14">
        <f>J36</f>
        <v/>
      </c>
      <c r="L36" s="13">
        <f>IFERROR(변수!L18/(H33+I33+J33+L33),"")</f>
        <v/>
      </c>
      <c r="M36" s="13">
        <f>IFERROR(변수!M18/(I33+J33+L33+M33),"")</f>
        <v/>
      </c>
      <c r="N36" s="13">
        <f>IFERROR(변수!N18/(J33+L33+M33+N33),"")</f>
        <v/>
      </c>
      <c r="O36" s="13">
        <f>IFERROR(변수!O18/(L33+M33+N33+O33),"")</f>
        <v/>
      </c>
      <c r="P36" s="14">
        <f>O36</f>
        <v/>
      </c>
      <c r="Q36" s="13">
        <f>IFERROR(변수!Q18/(M33+N33+O33+Q33),"")</f>
        <v/>
      </c>
      <c r="R36" s="13">
        <f>IFERROR(변수!R18/(N33+O33+Q33+R33),"")</f>
        <v/>
      </c>
      <c r="S36" s="13">
        <f>IFERROR(변수!S18/(O33+Q33+R33+S33),"")</f>
        <v/>
      </c>
      <c r="T36" s="13">
        <f>IFERROR(변수!T18/(Q33+R33+S33+T33),"")</f>
        <v/>
      </c>
      <c r="U36" s="14">
        <f>T36</f>
        <v/>
      </c>
      <c r="V36" s="13">
        <f>IFERROR(변수!V18/(R33+S33+T33+V33),"")</f>
        <v/>
      </c>
      <c r="W36" s="13">
        <f>IFERROR(변수!W18/(S33+T33+V33+W33),"")</f>
        <v/>
      </c>
      <c r="X36" s="13">
        <f>IFERROR(변수!X18/(T33+V33+W33+X33),"")</f>
        <v/>
      </c>
      <c r="Y36" s="13">
        <f>IFERROR(변수!Y18/(V33+W33+X33+Y33),"")</f>
        <v/>
      </c>
      <c r="Z36" s="14">
        <f>Y36</f>
        <v/>
      </c>
      <c r="AA36" s="13">
        <f>IFERROR(변수!AA18/(W33+X33+Y33+AA33),"")</f>
        <v/>
      </c>
      <c r="AB36" s="15">
        <f>IFERROR(변수!AB18/(X33+Y33+AA33+AB33),"")</f>
        <v/>
      </c>
      <c r="AC36" s="39">
        <f>IFERROR(변수!$D$44/(Y33+AA33+AB33+AC33),"")</f>
        <v/>
      </c>
      <c r="AD36" s="39">
        <f>IFERROR(변수!$D$44/(AA33+AB33+AC33+AD33),"")</f>
        <v/>
      </c>
      <c r="AE36" s="40">
        <f>AD36</f>
        <v/>
      </c>
      <c r="AF36" s="39">
        <f>IFERROR(변수!$D$44/(AB33+AC33+AD33+AF33),"")</f>
        <v/>
      </c>
      <c r="AG36" s="39">
        <f>IFERROR(변수!$D$44/(AC33+AD33+AF33+AG33),"")</f>
        <v/>
      </c>
      <c r="AH36" s="39">
        <f>IFERROR(변수!$D$44/(AD33+AF33+AG33+AH33),"")</f>
        <v/>
      </c>
      <c r="AI36" s="39">
        <f>IFERROR(변수!$D$44/(AF33+AG33+AH33+AI33),"")</f>
        <v/>
      </c>
      <c r="AJ36" s="40">
        <f>AI36</f>
        <v/>
      </c>
      <c r="AK36" s="39">
        <f>IFERROR(변수!$D$44/(AG33+AH33+AI33+AK33),"")</f>
        <v/>
      </c>
      <c r="AL36" s="39">
        <f>IFERROR(변수!$D$44/(AH33+AI33+AK33+AL33),"")</f>
        <v/>
      </c>
      <c r="AM36" s="39">
        <f>IFERROR(변수!$D$44/(AI33+AK33+AL33+AM33),"")</f>
        <v/>
      </c>
      <c r="AN36" s="39">
        <f>IFERROR(변수!$D$44/(AK33+AL33+AM33+AN33),"")</f>
        <v/>
      </c>
      <c r="AO36" s="40">
        <f>AN36</f>
        <v/>
      </c>
    </row>
    <row r="37">
      <c r="A37" s="12" t="inlineStr">
        <is>
          <t>PBR</t>
        </is>
      </c>
      <c r="B37" t="inlineStr">
        <is>
          <t>주당</t>
        </is>
      </c>
      <c r="C37" t="inlineStr">
        <is>
          <t>배</t>
        </is>
      </c>
      <c r="D37" t="inlineStr">
        <is>
          <t>PBR</t>
        </is>
      </c>
      <c r="E37" s="13">
        <f>IFERROR(변수!E18/E34,"")</f>
        <v/>
      </c>
      <c r="F37" s="14">
        <f>E37</f>
        <v/>
      </c>
      <c r="G37" s="13">
        <f>IFERROR(변수!G18/G34,"")</f>
        <v/>
      </c>
      <c r="H37" s="13">
        <f>IFERROR(변수!H18/H34,"")</f>
        <v/>
      </c>
      <c r="I37" s="13">
        <f>IFERROR(변수!I18/I34,"")</f>
        <v/>
      </c>
      <c r="J37" s="13">
        <f>IFERROR(변수!J18/J34,"")</f>
        <v/>
      </c>
      <c r="K37" s="14">
        <f>J37</f>
        <v/>
      </c>
      <c r="L37" s="13">
        <f>IFERROR(변수!L18/L34,"")</f>
        <v/>
      </c>
      <c r="M37" s="13">
        <f>IFERROR(변수!M18/M34,"")</f>
        <v/>
      </c>
      <c r="N37" s="13">
        <f>IFERROR(변수!N18/N34,"")</f>
        <v/>
      </c>
      <c r="O37" s="13">
        <f>IFERROR(변수!O18/O34,"")</f>
        <v/>
      </c>
      <c r="P37" s="14">
        <f>O37</f>
        <v/>
      </c>
      <c r="Q37" s="13">
        <f>IFERROR(변수!Q18/Q34,"")</f>
        <v/>
      </c>
      <c r="R37" s="13">
        <f>IFERROR(변수!R18/R34,"")</f>
        <v/>
      </c>
      <c r="S37" s="13">
        <f>IFERROR(변수!S18/S34,"")</f>
        <v/>
      </c>
      <c r="T37" s="13">
        <f>IFERROR(변수!T18/T34,"")</f>
        <v/>
      </c>
      <c r="U37" s="14">
        <f>T37</f>
        <v/>
      </c>
      <c r="V37" s="13">
        <f>IFERROR(변수!V18/V34,"")</f>
        <v/>
      </c>
      <c r="W37" s="13">
        <f>IFERROR(변수!W18/W34,"")</f>
        <v/>
      </c>
      <c r="X37" s="13">
        <f>IFERROR(변수!X18/X34,"")</f>
        <v/>
      </c>
      <c r="Y37" s="13">
        <f>IFERROR(변수!Y18/Y34,"")</f>
        <v/>
      </c>
      <c r="Z37" s="14">
        <f>Y37</f>
        <v/>
      </c>
      <c r="AA37" s="13">
        <f>IFERROR(변수!AA18/AA34,"")</f>
        <v/>
      </c>
      <c r="AB37" s="15">
        <f>IFERROR(변수!AB18/AB34,"")</f>
        <v/>
      </c>
      <c r="AC37" s="39">
        <f>IFERROR(변수!$D$44/AC34,"")</f>
        <v/>
      </c>
      <c r="AD37" s="39">
        <f>IFERROR(변수!$D$44/AD34,"")</f>
        <v/>
      </c>
      <c r="AE37" s="40">
        <f>AD37</f>
        <v/>
      </c>
      <c r="AF37" s="39">
        <f>IFERROR(변수!$D$44/AF34,"")</f>
        <v/>
      </c>
      <c r="AG37" s="39">
        <f>IFERROR(변수!$D$44/AG34,"")</f>
        <v/>
      </c>
      <c r="AH37" s="39">
        <f>IFERROR(변수!$D$44/AH34,"")</f>
        <v/>
      </c>
      <c r="AI37" s="39">
        <f>IFERROR(변수!$D$44/AI34,"")</f>
        <v/>
      </c>
      <c r="AJ37" s="40">
        <f>AI37</f>
        <v/>
      </c>
      <c r="AK37" s="39">
        <f>IFERROR(변수!$D$44/AK34,"")</f>
        <v/>
      </c>
      <c r="AL37" s="39">
        <f>IFERROR(변수!$D$44/AL34,"")</f>
        <v/>
      </c>
      <c r="AM37" s="39">
        <f>IFERROR(변수!$D$44/AM34,"")</f>
        <v/>
      </c>
      <c r="AN37" s="39">
        <f>IFERROR(변수!$D$44/AN34,"")</f>
        <v/>
      </c>
      <c r="AO37" s="40">
        <f>AN37</f>
        <v/>
      </c>
    </row>
    <row r="38">
      <c r="A38" s="12" t="inlineStr">
        <is>
          <t>매출전사</t>
        </is>
      </c>
      <c r="B38" t="inlineStr">
        <is>
          <t>사업부</t>
        </is>
      </c>
      <c r="C38" t="inlineStr">
        <is>
          <t>억원</t>
        </is>
      </c>
      <c r="D38" t="inlineStr">
        <is>
          <t>매출 전사(부문 미분리)</t>
        </is>
      </c>
      <c r="E38" s="18" t="n">
        <v>717.58</v>
      </c>
      <c r="F38" s="37" t="n"/>
      <c r="G38" s="18" t="n">
        <v>872.27</v>
      </c>
      <c r="H38" s="18" t="n">
        <v>947.95</v>
      </c>
      <c r="I38" s="18" t="n">
        <v>976.36</v>
      </c>
      <c r="J38" s="18" t="n">
        <v>877.98</v>
      </c>
      <c r="K38" s="37">
        <f>SUM(G38:J38)</f>
        <v/>
      </c>
      <c r="L38" s="18" t="n">
        <v>713.96</v>
      </c>
      <c r="M38" s="18" t="n">
        <v>798.11</v>
      </c>
      <c r="N38" s="18" t="n">
        <v>715.85</v>
      </c>
      <c r="O38" s="18" t="n">
        <v>683.02</v>
      </c>
      <c r="P38" s="37">
        <f>SUM(L38:O38)</f>
        <v/>
      </c>
      <c r="Q38" s="18" t="n">
        <v>681.24</v>
      </c>
      <c r="R38" s="18" t="n">
        <v>754.51</v>
      </c>
      <c r="S38" s="18" t="n">
        <v>741.79</v>
      </c>
      <c r="T38" s="18" t="n">
        <v>820.55</v>
      </c>
      <c r="U38" s="37">
        <f>SUM(Q38:T38)</f>
        <v/>
      </c>
      <c r="V38" s="18" t="n">
        <v>740.85</v>
      </c>
      <c r="W38" s="18" t="n">
        <v>766.91</v>
      </c>
      <c r="X38" s="18" t="n">
        <v>746.5700000000001</v>
      </c>
      <c r="Y38" s="18" t="n">
        <v>769.58</v>
      </c>
      <c r="Z38" s="37">
        <f>SUM(V38:Y38)</f>
        <v/>
      </c>
      <c r="AA38" s="18" t="n">
        <v>763.36</v>
      </c>
      <c r="AB38" s="19" t="n">
        <v>882.14</v>
      </c>
      <c r="AC38" s="20">
        <f>IFERROR(AC5,"")</f>
        <v/>
      </c>
      <c r="AD38" s="20">
        <f>IFERROR(AD5,"")</f>
        <v/>
      </c>
      <c r="AE38" s="38">
        <f>SUM(AA38:AD38)</f>
        <v/>
      </c>
      <c r="AF38" s="20">
        <f>IFERROR(AF5,"")</f>
        <v/>
      </c>
      <c r="AG38" s="20">
        <f>IFERROR(AG5,"")</f>
        <v/>
      </c>
      <c r="AH38" s="20">
        <f>IFERROR(AH5,"")</f>
        <v/>
      </c>
      <c r="AI38" s="20">
        <f>IFERROR(AI5,"")</f>
        <v/>
      </c>
      <c r="AJ38" s="38">
        <f>SUM(AF38:AI38)</f>
        <v/>
      </c>
      <c r="AK38" s="20">
        <f>IFERROR(AK5,"")</f>
        <v/>
      </c>
      <c r="AL38" s="20">
        <f>IFERROR(AL5,"")</f>
        <v/>
      </c>
      <c r="AM38" s="20">
        <f>IFERROR(AM5,"")</f>
        <v/>
      </c>
      <c r="AN38" s="20">
        <f>IFERROR(AN5,"")</f>
        <v/>
      </c>
      <c r="AO38" s="38">
        <f>SUM(AK38:AN38)</f>
        <v/>
      </c>
    </row>
    <row r="39">
      <c r="A39" s="12" t="inlineStr">
        <is>
          <t>OP전사</t>
        </is>
      </c>
      <c r="B39" t="inlineStr">
        <is>
          <t>사업부</t>
        </is>
      </c>
      <c r="C39" t="inlineStr">
        <is>
          <t>억원</t>
        </is>
      </c>
      <c r="D39" t="inlineStr">
        <is>
          <t>OP 전사(부문 미분리)</t>
        </is>
      </c>
      <c r="E39" s="18" t="n">
        <v>11.12</v>
      </c>
      <c r="F39" s="37" t="n"/>
      <c r="G39" s="18" t="n">
        <v>96.72</v>
      </c>
      <c r="H39" s="18" t="n">
        <v>72.33</v>
      </c>
      <c r="I39" s="18" t="n">
        <v>127.71</v>
      </c>
      <c r="J39" s="18" t="n">
        <v>60.99</v>
      </c>
      <c r="K39" s="37">
        <f>SUM(G39:J39)</f>
        <v/>
      </c>
      <c r="L39" s="18" t="n">
        <v>61.95</v>
      </c>
      <c r="M39" s="18" t="n">
        <v>63.57</v>
      </c>
      <c r="N39" s="18" t="n">
        <v>67.14</v>
      </c>
      <c r="O39" s="18" t="n">
        <v>49.95</v>
      </c>
      <c r="P39" s="37">
        <f>SUM(L39:O39)</f>
        <v/>
      </c>
      <c r="Q39" s="18" t="n">
        <v>51.17</v>
      </c>
      <c r="R39" s="18" t="n">
        <v>51.42</v>
      </c>
      <c r="S39" s="18" t="n">
        <v>15.9</v>
      </c>
      <c r="T39" s="18" t="n">
        <v>34.92</v>
      </c>
      <c r="U39" s="37">
        <f>SUM(Q39:T39)</f>
        <v/>
      </c>
      <c r="V39" s="18" t="n">
        <v>57.28</v>
      </c>
      <c r="W39" s="18" t="n">
        <v>29.51</v>
      </c>
      <c r="X39" s="18" t="n">
        <v>54.94</v>
      </c>
      <c r="Y39" s="18" t="n">
        <v>51.19</v>
      </c>
      <c r="Z39" s="37">
        <f>SUM(V39:Y39)</f>
        <v/>
      </c>
      <c r="AA39" s="18" t="n">
        <v>66.73999999999999</v>
      </c>
      <c r="AB39" s="19" t="n">
        <v>40.75</v>
      </c>
      <c r="AC39" s="20">
        <f>IFERROR(AC9,"")</f>
        <v/>
      </c>
      <c r="AD39" s="20">
        <f>IFERROR(AD9,"")</f>
        <v/>
      </c>
      <c r="AE39" s="38">
        <f>SUM(AA39:AD39)</f>
        <v/>
      </c>
      <c r="AF39" s="20">
        <f>IFERROR(AF9,"")</f>
        <v/>
      </c>
      <c r="AG39" s="20">
        <f>IFERROR(AG9,"")</f>
        <v/>
      </c>
      <c r="AH39" s="20">
        <f>IFERROR(AH9,"")</f>
        <v/>
      </c>
      <c r="AI39" s="20">
        <f>IFERROR(AI9,"")</f>
        <v/>
      </c>
      <c r="AJ39" s="38">
        <f>SUM(AF39:AI39)</f>
        <v/>
      </c>
      <c r="AK39" s="20">
        <f>IFERROR(AK9,"")</f>
        <v/>
      </c>
      <c r="AL39" s="20">
        <f>IFERROR(AL9,"")</f>
        <v/>
      </c>
      <c r="AM39" s="20">
        <f>IFERROR(AM9,"")</f>
        <v/>
      </c>
      <c r="AN39" s="20">
        <f>IFERROR(AN9,"")</f>
        <v/>
      </c>
      <c r="AO39" s="38">
        <f>SUM(AK39:AN39)</f>
        <v/>
      </c>
    </row>
    <row r="40">
      <c r="B40" s="2" t="inlineStr">
        <is>
          <t>비율(참고)</t>
        </is>
      </c>
      <c r="F40" s="9" t="n"/>
      <c r="K40" s="9" t="n"/>
      <c r="P40" s="9" t="n"/>
      <c r="U40" s="9" t="n"/>
      <c r="Z40" s="9" t="n"/>
      <c r="AB40" s="5" t="n"/>
      <c r="AC40" s="10" t="n"/>
      <c r="AD40" s="10" t="n"/>
      <c r="AE40" s="11" t="n"/>
      <c r="AF40" s="10" t="n"/>
      <c r="AG40" s="10" t="n"/>
      <c r="AH40" s="10" t="n"/>
      <c r="AI40" s="10" t="n"/>
      <c r="AJ40" s="11" t="n"/>
      <c r="AK40" s="10" t="n"/>
      <c r="AL40" s="10" t="n"/>
      <c r="AM40" s="10" t="n"/>
      <c r="AN40" s="10" t="n"/>
      <c r="AO40" s="11" t="n"/>
    </row>
    <row r="41">
      <c r="A41" s="12" t="inlineStr">
        <is>
          <t>NPM</t>
        </is>
      </c>
      <c r="C41" t="inlineStr">
        <is>
          <t>%</t>
        </is>
      </c>
      <c r="D41" t="inlineStr">
        <is>
          <t>지배주주순이익 / 매출액</t>
        </is>
      </c>
      <c r="E41" s="21">
        <f>IFERROR(E21/E5,"")</f>
        <v/>
      </c>
      <c r="F41" s="22">
        <f>IFERROR(F21/F5,"")</f>
        <v/>
      </c>
      <c r="G41" s="21">
        <f>IFERROR(G21/G5,"")</f>
        <v/>
      </c>
      <c r="H41" s="21">
        <f>IFERROR(H21/H5,"")</f>
        <v/>
      </c>
      <c r="I41" s="21">
        <f>IFERROR(I21/I5,"")</f>
        <v/>
      </c>
      <c r="J41" s="21">
        <f>IFERROR(J21/J5,"")</f>
        <v/>
      </c>
      <c r="K41" s="22">
        <f>IFERROR(K21/K5,"")</f>
        <v/>
      </c>
      <c r="L41" s="21">
        <f>IFERROR(L21/L5,"")</f>
        <v/>
      </c>
      <c r="M41" s="21">
        <f>IFERROR(M21/M5,"")</f>
        <v/>
      </c>
      <c r="N41" s="21">
        <f>IFERROR(N21/N5,"")</f>
        <v/>
      </c>
      <c r="O41" s="21">
        <f>IFERROR(O21/O5,"")</f>
        <v/>
      </c>
      <c r="P41" s="22">
        <f>IFERROR(P21/P5,"")</f>
        <v/>
      </c>
      <c r="Q41" s="21">
        <f>IFERROR(Q21/Q5,"")</f>
        <v/>
      </c>
      <c r="R41" s="21">
        <f>IFERROR(R21/R5,"")</f>
        <v/>
      </c>
      <c r="S41" s="21">
        <f>IFERROR(S21/S5,"")</f>
        <v/>
      </c>
      <c r="T41" s="21">
        <f>IFERROR(T21/T5,"")</f>
        <v/>
      </c>
      <c r="U41" s="22">
        <f>IFERROR(U21/U5,"")</f>
        <v/>
      </c>
      <c r="V41" s="21">
        <f>IFERROR(V21/V5,"")</f>
        <v/>
      </c>
      <c r="W41" s="21">
        <f>IFERROR(W21/W5,"")</f>
        <v/>
      </c>
      <c r="X41" s="21">
        <f>IFERROR(X21/X5,"")</f>
        <v/>
      </c>
      <c r="Y41" s="21">
        <f>IFERROR(Y21/Y5,"")</f>
        <v/>
      </c>
      <c r="Z41" s="22">
        <f>IFERROR(Z21/Z5,"")</f>
        <v/>
      </c>
      <c r="AA41" s="21">
        <f>IFERROR(AA21/AA5,"")</f>
        <v/>
      </c>
      <c r="AB41" s="23">
        <f>IFERROR(AB21/AB5,"")</f>
        <v/>
      </c>
      <c r="AC41" s="32">
        <f>IFERROR(AC21/AC5,"")</f>
        <v/>
      </c>
      <c r="AD41" s="32">
        <f>IFERROR(AD21/AD5,"")</f>
        <v/>
      </c>
      <c r="AE41" s="25">
        <f>IFERROR(AE21/AE5,"")</f>
        <v/>
      </c>
      <c r="AF41" s="32">
        <f>IFERROR(AF21/AF5,"")</f>
        <v/>
      </c>
      <c r="AG41" s="32">
        <f>IFERROR(AG21/AG5,"")</f>
        <v/>
      </c>
      <c r="AH41" s="32">
        <f>IFERROR(AH21/AH5,"")</f>
        <v/>
      </c>
      <c r="AI41" s="32">
        <f>IFERROR(AI21/AI5,"")</f>
        <v/>
      </c>
      <c r="AJ41" s="25">
        <f>IFERROR(AJ21/AJ5,"")</f>
        <v/>
      </c>
      <c r="AK41" s="32">
        <f>IFERROR(AK21/AK5,"")</f>
        <v/>
      </c>
      <c r="AL41" s="32">
        <f>IFERROR(AL21/AL5,"")</f>
        <v/>
      </c>
      <c r="AM41" s="32">
        <f>IFERROR(AM21/AM5,"")</f>
        <v/>
      </c>
      <c r="AN41" s="32">
        <f>IFERROR(AN21/AN5,"")</f>
        <v/>
      </c>
      <c r="AO41" s="25">
        <f>IFERROR(AO21/AO5,"")</f>
        <v/>
      </c>
    </row>
    <row r="42">
      <c r="A42" s="12" t="inlineStr">
        <is>
          <t>매출원가율</t>
        </is>
      </c>
      <c r="C42" t="inlineStr">
        <is>
          <t>%</t>
        </is>
      </c>
      <c r="D42" t="inlineStr">
        <is>
          <t>매출원가 / 매출액</t>
        </is>
      </c>
      <c r="E42" s="21">
        <f>IFERROR(E6/E5,"")</f>
        <v/>
      </c>
      <c r="F42" s="22">
        <f>IFERROR(F6/F5,"")</f>
        <v/>
      </c>
      <c r="G42" s="21">
        <f>IFERROR(G6/G5,"")</f>
        <v/>
      </c>
      <c r="H42" s="21">
        <f>IFERROR(H6/H5,"")</f>
        <v/>
      </c>
      <c r="I42" s="21">
        <f>IFERROR(I6/I5,"")</f>
        <v/>
      </c>
      <c r="J42" s="21">
        <f>IFERROR(J6/J5,"")</f>
        <v/>
      </c>
      <c r="K42" s="22">
        <f>IFERROR(K6/K5,"")</f>
        <v/>
      </c>
      <c r="L42" s="21">
        <f>IFERROR(L6/L5,"")</f>
        <v/>
      </c>
      <c r="M42" s="21">
        <f>IFERROR(M6/M5,"")</f>
        <v/>
      </c>
      <c r="N42" s="21">
        <f>IFERROR(N6/N5,"")</f>
        <v/>
      </c>
      <c r="O42" s="21">
        <f>IFERROR(O6/O5,"")</f>
        <v/>
      </c>
      <c r="P42" s="22">
        <f>IFERROR(P6/P5,"")</f>
        <v/>
      </c>
      <c r="Q42" s="21">
        <f>IFERROR(Q6/Q5,"")</f>
        <v/>
      </c>
      <c r="R42" s="21">
        <f>IFERROR(R6/R5,"")</f>
        <v/>
      </c>
      <c r="S42" s="21">
        <f>IFERROR(S6/S5,"")</f>
        <v/>
      </c>
      <c r="T42" s="21">
        <f>IFERROR(T6/T5,"")</f>
        <v/>
      </c>
      <c r="U42" s="22">
        <f>IFERROR(U6/U5,"")</f>
        <v/>
      </c>
      <c r="V42" s="21">
        <f>IFERROR(V6/V5,"")</f>
        <v/>
      </c>
      <c r="W42" s="21">
        <f>IFERROR(W6/W5,"")</f>
        <v/>
      </c>
      <c r="X42" s="21">
        <f>IFERROR(X6/X5,"")</f>
        <v/>
      </c>
      <c r="Y42" s="21">
        <f>IFERROR(Y6/Y5,"")</f>
        <v/>
      </c>
      <c r="Z42" s="22">
        <f>IFERROR(Z6/Z5,"")</f>
        <v/>
      </c>
      <c r="AA42" s="21">
        <f>IFERROR(AA6/AA5,"")</f>
        <v/>
      </c>
      <c r="AB42" s="23">
        <f>IFERROR(AB6/AB5,"")</f>
        <v/>
      </c>
      <c r="AC42" s="32">
        <f>IFERROR(AC6/AC5,"")</f>
        <v/>
      </c>
      <c r="AD42" s="32">
        <f>IFERROR(AD6/AD5,"")</f>
        <v/>
      </c>
      <c r="AE42" s="25">
        <f>IFERROR(AE6/AE5,"")</f>
        <v/>
      </c>
      <c r="AF42" s="32">
        <f>IFERROR(AF6/AF5,"")</f>
        <v/>
      </c>
      <c r="AG42" s="32">
        <f>IFERROR(AG6/AG5,"")</f>
        <v/>
      </c>
      <c r="AH42" s="32">
        <f>IFERROR(AH6/AH5,"")</f>
        <v/>
      </c>
      <c r="AI42" s="32">
        <f>IFERROR(AI6/AI5,"")</f>
        <v/>
      </c>
      <c r="AJ42" s="25">
        <f>IFERROR(AJ6/AJ5,"")</f>
        <v/>
      </c>
      <c r="AK42" s="32">
        <f>IFERROR(AK6/AK5,"")</f>
        <v/>
      </c>
      <c r="AL42" s="32">
        <f>IFERROR(AL6/AL5,"")</f>
        <v/>
      </c>
      <c r="AM42" s="32">
        <f>IFERROR(AM6/AM5,"")</f>
        <v/>
      </c>
      <c r="AN42" s="32">
        <f>IFERROR(AN6/AN5,"")</f>
        <v/>
      </c>
      <c r="AO42" s="25">
        <f>IFERROR(AO6/AO5,"")</f>
        <v/>
      </c>
    </row>
    <row r="43">
      <c r="A43" s="12" t="inlineStr">
        <is>
          <t>판관비율</t>
        </is>
      </c>
      <c r="C43" t="inlineStr">
        <is>
          <t>%</t>
        </is>
      </c>
      <c r="D43" t="inlineStr">
        <is>
          <t>판관비 / 매출액</t>
        </is>
      </c>
      <c r="E43" s="21">
        <f>IFERROR(E8/E5,"")</f>
        <v/>
      </c>
      <c r="F43" s="22">
        <f>IFERROR(F8/F5,"")</f>
        <v/>
      </c>
      <c r="G43" s="21">
        <f>IFERROR(G8/G5,"")</f>
        <v/>
      </c>
      <c r="H43" s="21">
        <f>IFERROR(H8/H5,"")</f>
        <v/>
      </c>
      <c r="I43" s="21">
        <f>IFERROR(I8/I5,"")</f>
        <v/>
      </c>
      <c r="J43" s="21">
        <f>IFERROR(J8/J5,"")</f>
        <v/>
      </c>
      <c r="K43" s="22">
        <f>IFERROR(K8/K5,"")</f>
        <v/>
      </c>
      <c r="L43" s="21">
        <f>IFERROR(L8/L5,"")</f>
        <v/>
      </c>
      <c r="M43" s="21">
        <f>IFERROR(M8/M5,"")</f>
        <v/>
      </c>
      <c r="N43" s="21">
        <f>IFERROR(N8/N5,"")</f>
        <v/>
      </c>
      <c r="O43" s="21">
        <f>IFERROR(O8/O5,"")</f>
        <v/>
      </c>
      <c r="P43" s="22">
        <f>IFERROR(P8/P5,"")</f>
        <v/>
      </c>
      <c r="Q43" s="21">
        <f>IFERROR(Q8/Q5,"")</f>
        <v/>
      </c>
      <c r="R43" s="21">
        <f>IFERROR(R8/R5,"")</f>
        <v/>
      </c>
      <c r="S43" s="21">
        <f>IFERROR(S8/S5,"")</f>
        <v/>
      </c>
      <c r="T43" s="21">
        <f>IFERROR(T8/T5,"")</f>
        <v/>
      </c>
      <c r="U43" s="22">
        <f>IFERROR(U8/U5,"")</f>
        <v/>
      </c>
      <c r="V43" s="21">
        <f>IFERROR(V8/V5,"")</f>
        <v/>
      </c>
      <c r="W43" s="21">
        <f>IFERROR(W8/W5,"")</f>
        <v/>
      </c>
      <c r="X43" s="21">
        <f>IFERROR(X8/X5,"")</f>
        <v/>
      </c>
      <c r="Y43" s="21">
        <f>IFERROR(Y8/Y5,"")</f>
        <v/>
      </c>
      <c r="Z43" s="22">
        <f>IFERROR(Z8/Z5,"")</f>
        <v/>
      </c>
      <c r="AA43" s="21">
        <f>IFERROR(AA8/AA5,"")</f>
        <v/>
      </c>
      <c r="AB43" s="23">
        <f>IFERROR(AB8/AB5,"")</f>
        <v/>
      </c>
      <c r="AC43" s="32">
        <f>IFERROR(AC8/AC5,"")</f>
        <v/>
      </c>
      <c r="AD43" s="32">
        <f>IFERROR(AD8/AD5,"")</f>
        <v/>
      </c>
      <c r="AE43" s="25">
        <f>IFERROR(AE8/AE5,"")</f>
        <v/>
      </c>
      <c r="AF43" s="32">
        <f>IFERROR(AF8/AF5,"")</f>
        <v/>
      </c>
      <c r="AG43" s="32">
        <f>IFERROR(AG8/AG5,"")</f>
        <v/>
      </c>
      <c r="AH43" s="32">
        <f>IFERROR(AH8/AH5,"")</f>
        <v/>
      </c>
      <c r="AI43" s="32">
        <f>IFERROR(AI8/AI5,"")</f>
        <v/>
      </c>
      <c r="AJ43" s="25">
        <f>IFERROR(AJ8/AJ5,"")</f>
        <v/>
      </c>
      <c r="AK43" s="32">
        <f>IFERROR(AK8/AK5,"")</f>
        <v/>
      </c>
      <c r="AL43" s="32">
        <f>IFERROR(AL8/AL5,"")</f>
        <v/>
      </c>
      <c r="AM43" s="32">
        <f>IFERROR(AM8/AM5,"")</f>
        <v/>
      </c>
      <c r="AN43" s="32">
        <f>IFERROR(AN8/AN5,"")</f>
        <v/>
      </c>
      <c r="AO43" s="25">
        <f>IFERROR(AO8/AO5,"")</f>
        <v/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G43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9" customWidth="1" min="2" max="2"/>
    <col width="26" customWidth="1" min="3" max="3"/>
    <col width="30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</cols>
  <sheetData>
    <row r="1">
      <c r="C1" s="2" t="inlineStr">
        <is>
          <t>이름: 분기H — subQ 를 이름으로 VLOOKUP(억원)</t>
        </is>
      </c>
      <c r="E1" s="3" t="inlineStr">
        <is>
          <t>4Q21</t>
        </is>
      </c>
      <c r="F1" s="3" t="inlineStr">
        <is>
          <t>1Q22</t>
        </is>
      </c>
      <c r="G1" s="3" t="inlineStr">
        <is>
          <t>2Q22</t>
        </is>
      </c>
      <c r="H1" s="3" t="inlineStr">
        <is>
          <t>3Q22</t>
        </is>
      </c>
      <c r="I1" s="3" t="inlineStr">
        <is>
          <t>4Q22</t>
        </is>
      </c>
      <c r="J1" s="3" t="inlineStr">
        <is>
          <t>1Q23</t>
        </is>
      </c>
      <c r="K1" s="3" t="inlineStr">
        <is>
          <t>2Q23</t>
        </is>
      </c>
      <c r="L1" s="3" t="inlineStr">
        <is>
          <t>3Q23</t>
        </is>
      </c>
      <c r="M1" s="3" t="inlineStr">
        <is>
          <t>4Q23</t>
        </is>
      </c>
      <c r="N1" s="3" t="inlineStr">
        <is>
          <t>1Q24</t>
        </is>
      </c>
      <c r="O1" s="3" t="inlineStr">
        <is>
          <t>2Q24</t>
        </is>
      </c>
      <c r="P1" s="3" t="inlineStr">
        <is>
          <t>3Q24</t>
        </is>
      </c>
      <c r="Q1" s="3" t="inlineStr">
        <is>
          <t>4Q24</t>
        </is>
      </c>
      <c r="R1" s="3" t="inlineStr">
        <is>
          <t>1Q25</t>
        </is>
      </c>
      <c r="S1" s="3" t="inlineStr">
        <is>
          <t>2Q25</t>
        </is>
      </c>
      <c r="T1" s="3" t="inlineStr">
        <is>
          <t>3Q25</t>
        </is>
      </c>
      <c r="U1" s="3" t="inlineStr">
        <is>
          <t>4Q25</t>
        </is>
      </c>
      <c r="V1" s="3" t="inlineStr">
        <is>
          <t>1Q26</t>
        </is>
      </c>
      <c r="W1" s="41" t="inlineStr">
        <is>
          <t>2Q26</t>
        </is>
      </c>
      <c r="X1" s="3" t="inlineStr">
        <is>
          <t>3Q26</t>
        </is>
      </c>
      <c r="Y1" s="3" t="inlineStr">
        <is>
          <t>4Q26</t>
        </is>
      </c>
      <c r="Z1" s="3" t="inlineStr">
        <is>
          <t>1Q27</t>
        </is>
      </c>
      <c r="AA1" s="3" t="inlineStr">
        <is>
          <t>2Q27</t>
        </is>
      </c>
      <c r="AB1" s="3" t="inlineStr">
        <is>
          <t>3Q27</t>
        </is>
      </c>
      <c r="AC1" s="3" t="inlineStr">
        <is>
          <t>4Q27</t>
        </is>
      </c>
      <c r="AD1" s="3" t="inlineStr">
        <is>
          <t>1Q28</t>
        </is>
      </c>
      <c r="AE1" s="3" t="inlineStr">
        <is>
          <t>2Q28</t>
        </is>
      </c>
      <c r="AF1" s="3" t="inlineStr">
        <is>
          <t>3Q28</t>
        </is>
      </c>
      <c r="AG1" s="3" t="inlineStr">
        <is>
          <t>4Q28</t>
        </is>
      </c>
    </row>
    <row r="2">
      <c r="C2" t="inlineStr">
        <is>
          <t>종가:</t>
        </is>
      </c>
      <c r="D2" s="18">
        <f>변수!D44</f>
        <v/>
      </c>
      <c r="W2" s="42" t="n"/>
    </row>
    <row r="3">
      <c r="C3" t="inlineStr">
        <is>
          <t>기준일:</t>
        </is>
      </c>
      <c r="D3" t="inlineStr">
        <is>
          <t>20261014</t>
        </is>
      </c>
      <c r="E3" s="2" t="n">
        <v>1</v>
      </c>
      <c r="F3" s="2" t="n">
        <v>2</v>
      </c>
      <c r="G3" s="2" t="n">
        <v>3</v>
      </c>
      <c r="H3" s="2" t="n">
        <v>4</v>
      </c>
      <c r="I3" s="2" t="n">
        <v>5</v>
      </c>
      <c r="J3" s="2" t="n">
        <v>6</v>
      </c>
      <c r="K3" s="2" t="n">
        <v>7</v>
      </c>
      <c r="L3" s="2" t="n">
        <v>8</v>
      </c>
      <c r="M3" s="2" t="n">
        <v>9</v>
      </c>
      <c r="N3" s="2" t="n">
        <v>10</v>
      </c>
      <c r="O3" s="2" t="n">
        <v>11</v>
      </c>
      <c r="P3" s="2" t="n">
        <v>12</v>
      </c>
      <c r="Q3" s="2" t="n">
        <v>13</v>
      </c>
      <c r="R3" s="2" t="n">
        <v>14</v>
      </c>
      <c r="S3" s="2" t="n">
        <v>15</v>
      </c>
      <c r="T3" s="2" t="n">
        <v>16</v>
      </c>
      <c r="U3" s="2" t="n">
        <v>17</v>
      </c>
      <c r="V3" s="2" t="n">
        <v>18</v>
      </c>
      <c r="W3" s="43" t="n">
        <v>19</v>
      </c>
      <c r="X3" s="2" t="n">
        <v>20</v>
      </c>
      <c r="Y3" s="2" t="n">
        <v>21</v>
      </c>
      <c r="Z3" s="2" t="n">
        <v>22</v>
      </c>
      <c r="AA3" s="2" t="n">
        <v>23</v>
      </c>
      <c r="AB3" s="2" t="n">
        <v>24</v>
      </c>
      <c r="AC3" s="2" t="n">
        <v>25</v>
      </c>
      <c r="AD3" s="2" t="n">
        <v>26</v>
      </c>
      <c r="AE3" s="2" t="n">
        <v>27</v>
      </c>
      <c r="AF3" s="2" t="n">
        <v>28</v>
      </c>
      <c r="AG3" s="2" t="n">
        <v>29</v>
      </c>
    </row>
    <row r="4">
      <c r="E4" s="7" t="inlineStr">
        <is>
          <t>2021.12</t>
        </is>
      </c>
      <c r="F4" s="7" t="inlineStr">
        <is>
          <t>2022.03</t>
        </is>
      </c>
      <c r="G4" s="7" t="inlineStr">
        <is>
          <t>2022.06</t>
        </is>
      </c>
      <c r="H4" s="7" t="inlineStr">
        <is>
          <t>2022.09</t>
        </is>
      </c>
      <c r="I4" s="7" t="inlineStr">
        <is>
          <t>2022.12</t>
        </is>
      </c>
      <c r="J4" s="7" t="inlineStr">
        <is>
          <t>2023.03</t>
        </is>
      </c>
      <c r="K4" s="7" t="inlineStr">
        <is>
          <t>2023.06</t>
        </is>
      </c>
      <c r="L4" s="7" t="inlineStr">
        <is>
          <t>2023.09</t>
        </is>
      </c>
      <c r="M4" s="7" t="inlineStr">
        <is>
          <t>2023.12</t>
        </is>
      </c>
      <c r="N4" s="7" t="inlineStr">
        <is>
          <t>2024.03</t>
        </is>
      </c>
      <c r="O4" s="7" t="inlineStr">
        <is>
          <t>2024.06</t>
        </is>
      </c>
      <c r="P4" s="7" t="inlineStr">
        <is>
          <t>2024.09</t>
        </is>
      </c>
      <c r="Q4" s="7" t="inlineStr">
        <is>
          <t>2024.12</t>
        </is>
      </c>
      <c r="R4" s="7" t="inlineStr">
        <is>
          <t>2025.03</t>
        </is>
      </c>
      <c r="S4" s="7" t="inlineStr">
        <is>
          <t>2025.06</t>
        </is>
      </c>
      <c r="T4" s="7" t="inlineStr">
        <is>
          <t>2025.09</t>
        </is>
      </c>
      <c r="U4" s="7" t="inlineStr">
        <is>
          <t>2025.12</t>
        </is>
      </c>
      <c r="V4" s="7" t="inlineStr">
        <is>
          <t>2026.03</t>
        </is>
      </c>
      <c r="W4" s="44" t="inlineStr">
        <is>
          <t>2026.06</t>
        </is>
      </c>
      <c r="X4" s="7" t="inlineStr">
        <is>
          <t>2026.09</t>
        </is>
      </c>
      <c r="Y4" s="7" t="inlineStr">
        <is>
          <t>2026.12</t>
        </is>
      </c>
      <c r="Z4" s="7" t="inlineStr">
        <is>
          <t>2027.03</t>
        </is>
      </c>
      <c r="AA4" s="7" t="inlineStr">
        <is>
          <t>2027.06</t>
        </is>
      </c>
      <c r="AB4" s="7" t="inlineStr">
        <is>
          <t>2027.09</t>
        </is>
      </c>
      <c r="AC4" s="7" t="inlineStr">
        <is>
          <t>2027.12</t>
        </is>
      </c>
      <c r="AD4" s="7" t="inlineStr">
        <is>
          <t>2028.03</t>
        </is>
      </c>
      <c r="AE4" s="7" t="inlineStr">
        <is>
          <t>2028.06</t>
        </is>
      </c>
      <c r="AF4" s="7" t="inlineStr">
        <is>
          <t>2028.09</t>
        </is>
      </c>
      <c r="AG4" s="7" t="inlineStr">
        <is>
          <t>2028.12</t>
        </is>
      </c>
    </row>
    <row r="5">
      <c r="A5" s="12" t="inlineStr">
        <is>
          <t>매출액</t>
        </is>
      </c>
      <c r="D5" t="inlineStr">
        <is>
          <t>매출액</t>
        </is>
      </c>
      <c r="E5" s="18">
        <f>IFERROR(VLOOKUP($A5,subQ,MATCH(E$1,SUBQH,0),0),"")</f>
        <v/>
      </c>
      <c r="F5" s="18">
        <f>IFERROR(VLOOKUP($A5,subQ,MATCH(F$1,SUBQH,0),0),"")</f>
        <v/>
      </c>
      <c r="G5" s="18">
        <f>IFERROR(VLOOKUP($A5,subQ,MATCH(G$1,SUBQH,0),0),"")</f>
        <v/>
      </c>
      <c r="H5" s="18">
        <f>IFERROR(VLOOKUP($A5,subQ,MATCH(H$1,SUBQH,0),0),"")</f>
        <v/>
      </c>
      <c r="I5" s="18">
        <f>IFERROR(VLOOKUP($A5,subQ,MATCH(I$1,SUBQH,0),0),"")</f>
        <v/>
      </c>
      <c r="J5" s="18">
        <f>IFERROR(VLOOKUP($A5,subQ,MATCH(J$1,SUBQH,0),0),"")</f>
        <v/>
      </c>
      <c r="K5" s="18">
        <f>IFERROR(VLOOKUP($A5,subQ,MATCH(K$1,SUBQH,0),0),"")</f>
        <v/>
      </c>
      <c r="L5" s="18">
        <f>IFERROR(VLOOKUP($A5,subQ,MATCH(L$1,SUBQH,0),0),"")</f>
        <v/>
      </c>
      <c r="M5" s="18">
        <f>IFERROR(VLOOKUP($A5,subQ,MATCH(M$1,SUBQH,0),0),"")</f>
        <v/>
      </c>
      <c r="N5" s="18">
        <f>IFERROR(VLOOKUP($A5,subQ,MATCH(N$1,SUBQH,0),0),"")</f>
        <v/>
      </c>
      <c r="O5" s="18">
        <f>IFERROR(VLOOKUP($A5,subQ,MATCH(O$1,SUBQH,0),0),"")</f>
        <v/>
      </c>
      <c r="P5" s="18">
        <f>IFERROR(VLOOKUP($A5,subQ,MATCH(P$1,SUBQH,0),0),"")</f>
        <v/>
      </c>
      <c r="Q5" s="18">
        <f>IFERROR(VLOOKUP($A5,subQ,MATCH(Q$1,SUBQH,0),0),"")</f>
        <v/>
      </c>
      <c r="R5" s="18">
        <f>IFERROR(VLOOKUP($A5,subQ,MATCH(R$1,SUBQH,0),0),"")</f>
        <v/>
      </c>
      <c r="S5" s="18">
        <f>IFERROR(VLOOKUP($A5,subQ,MATCH(S$1,SUBQH,0),0),"")</f>
        <v/>
      </c>
      <c r="T5" s="18">
        <f>IFERROR(VLOOKUP($A5,subQ,MATCH(T$1,SUBQH,0),0),"")</f>
        <v/>
      </c>
      <c r="U5" s="18">
        <f>IFERROR(VLOOKUP($A5,subQ,MATCH(U$1,SUBQH,0),0),"")</f>
        <v/>
      </c>
      <c r="V5" s="18">
        <f>IFERROR(VLOOKUP($A5,subQ,MATCH(V$1,SUBQH,0),0),"")</f>
        <v/>
      </c>
      <c r="W5" s="45">
        <f>IFERROR(VLOOKUP($A5,subQ,MATCH(W$1,SUBQH,0),0),"")</f>
        <v/>
      </c>
      <c r="X5" s="20">
        <f>IFERROR(VLOOKUP($A5,subQ,MATCH(X$1,SUBQH,0),0),"")</f>
        <v/>
      </c>
      <c r="Y5" s="20">
        <f>IFERROR(VLOOKUP($A5,subQ,MATCH(Y$1,SUBQH,0),0),"")</f>
        <v/>
      </c>
      <c r="Z5" s="20">
        <f>IFERROR(VLOOKUP($A5,subQ,MATCH(Z$1,SUBQH,0),0),"")</f>
        <v/>
      </c>
      <c r="AA5" s="20">
        <f>IFERROR(VLOOKUP($A5,subQ,MATCH(AA$1,SUBQH,0),0),"")</f>
        <v/>
      </c>
      <c r="AB5" s="20">
        <f>IFERROR(VLOOKUP($A5,subQ,MATCH(AB$1,SUBQH,0),0),"")</f>
        <v/>
      </c>
      <c r="AC5" s="20">
        <f>IFERROR(VLOOKUP($A5,subQ,MATCH(AC$1,SUBQH,0),0),"")</f>
        <v/>
      </c>
      <c r="AD5" s="20">
        <f>IFERROR(VLOOKUP($A5,subQ,MATCH(AD$1,SUBQH,0),0),"")</f>
        <v/>
      </c>
      <c r="AE5" s="20">
        <f>IFERROR(VLOOKUP($A5,subQ,MATCH(AE$1,SUBQH,0),0),"")</f>
        <v/>
      </c>
      <c r="AF5" s="20">
        <f>IFERROR(VLOOKUP($A5,subQ,MATCH(AF$1,SUBQH,0),0),"")</f>
        <v/>
      </c>
      <c r="AG5" s="20">
        <f>IFERROR(VLOOKUP($A5,subQ,MATCH(AG$1,SUBQH,0),0),"")</f>
        <v/>
      </c>
    </row>
    <row r="6">
      <c r="A6" s="12" t="inlineStr">
        <is>
          <t>매출원가</t>
        </is>
      </c>
      <c r="D6" t="inlineStr">
        <is>
          <t>매출원가</t>
        </is>
      </c>
      <c r="E6" s="18">
        <f>IFERROR(VLOOKUP($A6,subQ,MATCH(E$1,SUBQH,0),0),"")</f>
        <v/>
      </c>
      <c r="F6" s="18">
        <f>IFERROR(VLOOKUP($A6,subQ,MATCH(F$1,SUBQH,0),0),"")</f>
        <v/>
      </c>
      <c r="G6" s="18">
        <f>IFERROR(VLOOKUP($A6,subQ,MATCH(G$1,SUBQH,0),0),"")</f>
        <v/>
      </c>
      <c r="H6" s="18">
        <f>IFERROR(VLOOKUP($A6,subQ,MATCH(H$1,SUBQH,0),0),"")</f>
        <v/>
      </c>
      <c r="I6" s="18">
        <f>IFERROR(VLOOKUP($A6,subQ,MATCH(I$1,SUBQH,0),0),"")</f>
        <v/>
      </c>
      <c r="J6" s="18">
        <f>IFERROR(VLOOKUP($A6,subQ,MATCH(J$1,SUBQH,0),0),"")</f>
        <v/>
      </c>
      <c r="K6" s="18">
        <f>IFERROR(VLOOKUP($A6,subQ,MATCH(K$1,SUBQH,0),0),"")</f>
        <v/>
      </c>
      <c r="L6" s="18">
        <f>IFERROR(VLOOKUP($A6,subQ,MATCH(L$1,SUBQH,0),0),"")</f>
        <v/>
      </c>
      <c r="M6" s="18">
        <f>IFERROR(VLOOKUP($A6,subQ,MATCH(M$1,SUBQH,0),0),"")</f>
        <v/>
      </c>
      <c r="N6" s="18">
        <f>IFERROR(VLOOKUP($A6,subQ,MATCH(N$1,SUBQH,0),0),"")</f>
        <v/>
      </c>
      <c r="O6" s="18">
        <f>IFERROR(VLOOKUP($A6,subQ,MATCH(O$1,SUBQH,0),0),"")</f>
        <v/>
      </c>
      <c r="P6" s="18">
        <f>IFERROR(VLOOKUP($A6,subQ,MATCH(P$1,SUBQH,0),0),"")</f>
        <v/>
      </c>
      <c r="Q6" s="18">
        <f>IFERROR(VLOOKUP($A6,subQ,MATCH(Q$1,SUBQH,0),0),"")</f>
        <v/>
      </c>
      <c r="R6" s="18">
        <f>IFERROR(VLOOKUP($A6,subQ,MATCH(R$1,SUBQH,0),0),"")</f>
        <v/>
      </c>
      <c r="S6" s="18">
        <f>IFERROR(VLOOKUP($A6,subQ,MATCH(S$1,SUBQH,0),0),"")</f>
        <v/>
      </c>
      <c r="T6" s="18">
        <f>IFERROR(VLOOKUP($A6,subQ,MATCH(T$1,SUBQH,0),0),"")</f>
        <v/>
      </c>
      <c r="U6" s="18">
        <f>IFERROR(VLOOKUP($A6,subQ,MATCH(U$1,SUBQH,0),0),"")</f>
        <v/>
      </c>
      <c r="V6" s="18">
        <f>IFERROR(VLOOKUP($A6,subQ,MATCH(V$1,SUBQH,0),0),"")</f>
        <v/>
      </c>
      <c r="W6" s="45">
        <f>IFERROR(VLOOKUP($A6,subQ,MATCH(W$1,SUBQH,0),0),"")</f>
        <v/>
      </c>
      <c r="X6" s="20">
        <f>IFERROR(VLOOKUP($A6,subQ,MATCH(X$1,SUBQH,0),0),"")</f>
        <v/>
      </c>
      <c r="Y6" s="20">
        <f>IFERROR(VLOOKUP($A6,subQ,MATCH(Y$1,SUBQH,0),0),"")</f>
        <v/>
      </c>
      <c r="Z6" s="20">
        <f>IFERROR(VLOOKUP($A6,subQ,MATCH(Z$1,SUBQH,0),0),"")</f>
        <v/>
      </c>
      <c r="AA6" s="20">
        <f>IFERROR(VLOOKUP($A6,subQ,MATCH(AA$1,SUBQH,0),0),"")</f>
        <v/>
      </c>
      <c r="AB6" s="20">
        <f>IFERROR(VLOOKUP($A6,subQ,MATCH(AB$1,SUBQH,0),0),"")</f>
        <v/>
      </c>
      <c r="AC6" s="20">
        <f>IFERROR(VLOOKUP($A6,subQ,MATCH(AC$1,SUBQH,0),0),"")</f>
        <v/>
      </c>
      <c r="AD6" s="20">
        <f>IFERROR(VLOOKUP($A6,subQ,MATCH(AD$1,SUBQH,0),0),"")</f>
        <v/>
      </c>
      <c r="AE6" s="20">
        <f>IFERROR(VLOOKUP($A6,subQ,MATCH(AE$1,SUBQH,0),0),"")</f>
        <v/>
      </c>
      <c r="AF6" s="20">
        <f>IFERROR(VLOOKUP($A6,subQ,MATCH(AF$1,SUBQH,0),0),"")</f>
        <v/>
      </c>
      <c r="AG6" s="20">
        <f>IFERROR(VLOOKUP($A6,subQ,MATCH(AG$1,SUBQH,0),0),"")</f>
        <v/>
      </c>
    </row>
    <row r="7">
      <c r="A7" s="12" t="inlineStr">
        <is>
          <t>매출총이익</t>
        </is>
      </c>
      <c r="D7" t="inlineStr">
        <is>
          <t>매출총이익</t>
        </is>
      </c>
      <c r="E7" s="18">
        <f>IFERROR(VLOOKUP($A7,subQ,MATCH(E$1,SUBQH,0),0),"")</f>
        <v/>
      </c>
      <c r="F7" s="18">
        <f>IFERROR(VLOOKUP($A7,subQ,MATCH(F$1,SUBQH,0),0),"")</f>
        <v/>
      </c>
      <c r="G7" s="18">
        <f>IFERROR(VLOOKUP($A7,subQ,MATCH(G$1,SUBQH,0),0),"")</f>
        <v/>
      </c>
      <c r="H7" s="18">
        <f>IFERROR(VLOOKUP($A7,subQ,MATCH(H$1,SUBQH,0),0),"")</f>
        <v/>
      </c>
      <c r="I7" s="18">
        <f>IFERROR(VLOOKUP($A7,subQ,MATCH(I$1,SUBQH,0),0),"")</f>
        <v/>
      </c>
      <c r="J7" s="18">
        <f>IFERROR(VLOOKUP($A7,subQ,MATCH(J$1,SUBQH,0),0),"")</f>
        <v/>
      </c>
      <c r="K7" s="18">
        <f>IFERROR(VLOOKUP($A7,subQ,MATCH(K$1,SUBQH,0),0),"")</f>
        <v/>
      </c>
      <c r="L7" s="18">
        <f>IFERROR(VLOOKUP($A7,subQ,MATCH(L$1,SUBQH,0),0),"")</f>
        <v/>
      </c>
      <c r="M7" s="18">
        <f>IFERROR(VLOOKUP($A7,subQ,MATCH(M$1,SUBQH,0),0),"")</f>
        <v/>
      </c>
      <c r="N7" s="18">
        <f>IFERROR(VLOOKUP($A7,subQ,MATCH(N$1,SUBQH,0),0),"")</f>
        <v/>
      </c>
      <c r="O7" s="18">
        <f>IFERROR(VLOOKUP($A7,subQ,MATCH(O$1,SUBQH,0),0),"")</f>
        <v/>
      </c>
      <c r="P7" s="18">
        <f>IFERROR(VLOOKUP($A7,subQ,MATCH(P$1,SUBQH,0),0),"")</f>
        <v/>
      </c>
      <c r="Q7" s="18">
        <f>IFERROR(VLOOKUP($A7,subQ,MATCH(Q$1,SUBQH,0),0),"")</f>
        <v/>
      </c>
      <c r="R7" s="18">
        <f>IFERROR(VLOOKUP($A7,subQ,MATCH(R$1,SUBQH,0),0),"")</f>
        <v/>
      </c>
      <c r="S7" s="18">
        <f>IFERROR(VLOOKUP($A7,subQ,MATCH(S$1,SUBQH,0),0),"")</f>
        <v/>
      </c>
      <c r="T7" s="18">
        <f>IFERROR(VLOOKUP($A7,subQ,MATCH(T$1,SUBQH,0),0),"")</f>
        <v/>
      </c>
      <c r="U7" s="18">
        <f>IFERROR(VLOOKUP($A7,subQ,MATCH(U$1,SUBQH,0),0),"")</f>
        <v/>
      </c>
      <c r="V7" s="18">
        <f>IFERROR(VLOOKUP($A7,subQ,MATCH(V$1,SUBQH,0),0),"")</f>
        <v/>
      </c>
      <c r="W7" s="45">
        <f>IFERROR(VLOOKUP($A7,subQ,MATCH(W$1,SUBQH,0),0),"")</f>
        <v/>
      </c>
      <c r="X7" s="20">
        <f>IFERROR(VLOOKUP($A7,subQ,MATCH(X$1,SUBQH,0),0),"")</f>
        <v/>
      </c>
      <c r="Y7" s="20">
        <f>IFERROR(VLOOKUP($A7,subQ,MATCH(Y$1,SUBQH,0),0),"")</f>
        <v/>
      </c>
      <c r="Z7" s="20">
        <f>IFERROR(VLOOKUP($A7,subQ,MATCH(Z$1,SUBQH,0),0),"")</f>
        <v/>
      </c>
      <c r="AA7" s="20">
        <f>IFERROR(VLOOKUP($A7,subQ,MATCH(AA$1,SUBQH,0),0),"")</f>
        <v/>
      </c>
      <c r="AB7" s="20">
        <f>IFERROR(VLOOKUP($A7,subQ,MATCH(AB$1,SUBQH,0),0),"")</f>
        <v/>
      </c>
      <c r="AC7" s="20">
        <f>IFERROR(VLOOKUP($A7,subQ,MATCH(AC$1,SUBQH,0),0),"")</f>
        <v/>
      </c>
      <c r="AD7" s="20">
        <f>IFERROR(VLOOKUP($A7,subQ,MATCH(AD$1,SUBQH,0),0),"")</f>
        <v/>
      </c>
      <c r="AE7" s="20">
        <f>IFERROR(VLOOKUP($A7,subQ,MATCH(AE$1,SUBQH,0),0),"")</f>
        <v/>
      </c>
      <c r="AF7" s="20">
        <f>IFERROR(VLOOKUP($A7,subQ,MATCH(AF$1,SUBQH,0),0),"")</f>
        <v/>
      </c>
      <c r="AG7" s="20">
        <f>IFERROR(VLOOKUP($A7,subQ,MATCH(AG$1,SUBQH,0),0),"")</f>
        <v/>
      </c>
    </row>
    <row r="8">
      <c r="A8" s="12" t="inlineStr">
        <is>
          <t>판관비</t>
        </is>
      </c>
      <c r="D8" t="inlineStr">
        <is>
          <t>판매비와관리비</t>
        </is>
      </c>
      <c r="E8" s="18">
        <f>IFERROR(VLOOKUP($A8,subQ,MATCH(E$1,SUBQH,0),0),"")</f>
        <v/>
      </c>
      <c r="F8" s="18">
        <f>IFERROR(VLOOKUP($A8,subQ,MATCH(F$1,SUBQH,0),0),"")</f>
        <v/>
      </c>
      <c r="G8" s="18">
        <f>IFERROR(VLOOKUP($A8,subQ,MATCH(G$1,SUBQH,0),0),"")</f>
        <v/>
      </c>
      <c r="H8" s="18">
        <f>IFERROR(VLOOKUP($A8,subQ,MATCH(H$1,SUBQH,0),0),"")</f>
        <v/>
      </c>
      <c r="I8" s="18">
        <f>IFERROR(VLOOKUP($A8,subQ,MATCH(I$1,SUBQH,0),0),"")</f>
        <v/>
      </c>
      <c r="J8" s="18">
        <f>IFERROR(VLOOKUP($A8,subQ,MATCH(J$1,SUBQH,0),0),"")</f>
        <v/>
      </c>
      <c r="K8" s="18">
        <f>IFERROR(VLOOKUP($A8,subQ,MATCH(K$1,SUBQH,0),0),"")</f>
        <v/>
      </c>
      <c r="L8" s="18">
        <f>IFERROR(VLOOKUP($A8,subQ,MATCH(L$1,SUBQH,0),0),"")</f>
        <v/>
      </c>
      <c r="M8" s="18">
        <f>IFERROR(VLOOKUP($A8,subQ,MATCH(M$1,SUBQH,0),0),"")</f>
        <v/>
      </c>
      <c r="N8" s="18">
        <f>IFERROR(VLOOKUP($A8,subQ,MATCH(N$1,SUBQH,0),0),"")</f>
        <v/>
      </c>
      <c r="O8" s="18">
        <f>IFERROR(VLOOKUP($A8,subQ,MATCH(O$1,SUBQH,0),0),"")</f>
        <v/>
      </c>
      <c r="P8" s="18">
        <f>IFERROR(VLOOKUP($A8,subQ,MATCH(P$1,SUBQH,0),0),"")</f>
        <v/>
      </c>
      <c r="Q8" s="18">
        <f>IFERROR(VLOOKUP($A8,subQ,MATCH(Q$1,SUBQH,0),0),"")</f>
        <v/>
      </c>
      <c r="R8" s="18">
        <f>IFERROR(VLOOKUP($A8,subQ,MATCH(R$1,SUBQH,0),0),"")</f>
        <v/>
      </c>
      <c r="S8" s="18">
        <f>IFERROR(VLOOKUP($A8,subQ,MATCH(S$1,SUBQH,0),0),"")</f>
        <v/>
      </c>
      <c r="T8" s="18">
        <f>IFERROR(VLOOKUP($A8,subQ,MATCH(T$1,SUBQH,0),0),"")</f>
        <v/>
      </c>
      <c r="U8" s="18">
        <f>IFERROR(VLOOKUP($A8,subQ,MATCH(U$1,SUBQH,0),0),"")</f>
        <v/>
      </c>
      <c r="V8" s="18">
        <f>IFERROR(VLOOKUP($A8,subQ,MATCH(V$1,SUBQH,0),0),"")</f>
        <v/>
      </c>
      <c r="W8" s="45">
        <f>IFERROR(VLOOKUP($A8,subQ,MATCH(W$1,SUBQH,0),0),"")</f>
        <v/>
      </c>
      <c r="X8" s="20">
        <f>IFERROR(VLOOKUP($A8,subQ,MATCH(X$1,SUBQH,0),0),"")</f>
        <v/>
      </c>
      <c r="Y8" s="20">
        <f>IFERROR(VLOOKUP($A8,subQ,MATCH(Y$1,SUBQH,0),0),"")</f>
        <v/>
      </c>
      <c r="Z8" s="20">
        <f>IFERROR(VLOOKUP($A8,subQ,MATCH(Z$1,SUBQH,0),0),"")</f>
        <v/>
      </c>
      <c r="AA8" s="20">
        <f>IFERROR(VLOOKUP($A8,subQ,MATCH(AA$1,SUBQH,0),0),"")</f>
        <v/>
      </c>
      <c r="AB8" s="20">
        <f>IFERROR(VLOOKUP($A8,subQ,MATCH(AB$1,SUBQH,0),0),"")</f>
        <v/>
      </c>
      <c r="AC8" s="20">
        <f>IFERROR(VLOOKUP($A8,subQ,MATCH(AC$1,SUBQH,0),0),"")</f>
        <v/>
      </c>
      <c r="AD8" s="20">
        <f>IFERROR(VLOOKUP($A8,subQ,MATCH(AD$1,SUBQH,0),0),"")</f>
        <v/>
      </c>
      <c r="AE8" s="20">
        <f>IFERROR(VLOOKUP($A8,subQ,MATCH(AE$1,SUBQH,0),0),"")</f>
        <v/>
      </c>
      <c r="AF8" s="20">
        <f>IFERROR(VLOOKUP($A8,subQ,MATCH(AF$1,SUBQH,0),0),"")</f>
        <v/>
      </c>
      <c r="AG8" s="20">
        <f>IFERROR(VLOOKUP($A8,subQ,MATCH(AG$1,SUBQH,0),0),"")</f>
        <v/>
      </c>
    </row>
    <row r="9">
      <c r="A9" s="12" t="inlineStr">
        <is>
          <t>영업이익</t>
        </is>
      </c>
      <c r="D9" t="inlineStr">
        <is>
          <t>영업이익</t>
        </is>
      </c>
      <c r="E9" s="18">
        <f>IFERROR(VLOOKUP($A9,subQ,MATCH(E$1,SUBQH,0),0),"")</f>
        <v/>
      </c>
      <c r="F9" s="18">
        <f>IFERROR(VLOOKUP($A9,subQ,MATCH(F$1,SUBQH,0),0),"")</f>
        <v/>
      </c>
      <c r="G9" s="18">
        <f>IFERROR(VLOOKUP($A9,subQ,MATCH(G$1,SUBQH,0),0),"")</f>
        <v/>
      </c>
      <c r="H9" s="18">
        <f>IFERROR(VLOOKUP($A9,subQ,MATCH(H$1,SUBQH,0),0),"")</f>
        <v/>
      </c>
      <c r="I9" s="18">
        <f>IFERROR(VLOOKUP($A9,subQ,MATCH(I$1,SUBQH,0),0),"")</f>
        <v/>
      </c>
      <c r="J9" s="18">
        <f>IFERROR(VLOOKUP($A9,subQ,MATCH(J$1,SUBQH,0),0),"")</f>
        <v/>
      </c>
      <c r="K9" s="18">
        <f>IFERROR(VLOOKUP($A9,subQ,MATCH(K$1,SUBQH,0),0),"")</f>
        <v/>
      </c>
      <c r="L9" s="18">
        <f>IFERROR(VLOOKUP($A9,subQ,MATCH(L$1,SUBQH,0),0),"")</f>
        <v/>
      </c>
      <c r="M9" s="18">
        <f>IFERROR(VLOOKUP($A9,subQ,MATCH(M$1,SUBQH,0),0),"")</f>
        <v/>
      </c>
      <c r="N9" s="18">
        <f>IFERROR(VLOOKUP($A9,subQ,MATCH(N$1,SUBQH,0),0),"")</f>
        <v/>
      </c>
      <c r="O9" s="18">
        <f>IFERROR(VLOOKUP($A9,subQ,MATCH(O$1,SUBQH,0),0),"")</f>
        <v/>
      </c>
      <c r="P9" s="18">
        <f>IFERROR(VLOOKUP($A9,subQ,MATCH(P$1,SUBQH,0),0),"")</f>
        <v/>
      </c>
      <c r="Q9" s="18">
        <f>IFERROR(VLOOKUP($A9,subQ,MATCH(Q$1,SUBQH,0),0),"")</f>
        <v/>
      </c>
      <c r="R9" s="18">
        <f>IFERROR(VLOOKUP($A9,subQ,MATCH(R$1,SUBQH,0),0),"")</f>
        <v/>
      </c>
      <c r="S9" s="18">
        <f>IFERROR(VLOOKUP($A9,subQ,MATCH(S$1,SUBQH,0),0),"")</f>
        <v/>
      </c>
      <c r="T9" s="18">
        <f>IFERROR(VLOOKUP($A9,subQ,MATCH(T$1,SUBQH,0),0),"")</f>
        <v/>
      </c>
      <c r="U9" s="18">
        <f>IFERROR(VLOOKUP($A9,subQ,MATCH(U$1,SUBQH,0),0),"")</f>
        <v/>
      </c>
      <c r="V9" s="18">
        <f>IFERROR(VLOOKUP($A9,subQ,MATCH(V$1,SUBQH,0),0),"")</f>
        <v/>
      </c>
      <c r="W9" s="45">
        <f>IFERROR(VLOOKUP($A9,subQ,MATCH(W$1,SUBQH,0),0),"")</f>
        <v/>
      </c>
      <c r="X9" s="20">
        <f>IFERROR(VLOOKUP($A9,subQ,MATCH(X$1,SUBQH,0),0),"")</f>
        <v/>
      </c>
      <c r="Y9" s="20">
        <f>IFERROR(VLOOKUP($A9,subQ,MATCH(Y$1,SUBQH,0),0),"")</f>
        <v/>
      </c>
      <c r="Z9" s="20">
        <f>IFERROR(VLOOKUP($A9,subQ,MATCH(Z$1,SUBQH,0),0),"")</f>
        <v/>
      </c>
      <c r="AA9" s="20">
        <f>IFERROR(VLOOKUP($A9,subQ,MATCH(AA$1,SUBQH,0),0),"")</f>
        <v/>
      </c>
      <c r="AB9" s="20">
        <f>IFERROR(VLOOKUP($A9,subQ,MATCH(AB$1,SUBQH,0),0),"")</f>
        <v/>
      </c>
      <c r="AC9" s="20">
        <f>IFERROR(VLOOKUP($A9,subQ,MATCH(AC$1,SUBQH,0),0),"")</f>
        <v/>
      </c>
      <c r="AD9" s="20">
        <f>IFERROR(VLOOKUP($A9,subQ,MATCH(AD$1,SUBQH,0),0),"")</f>
        <v/>
      </c>
      <c r="AE9" s="20">
        <f>IFERROR(VLOOKUP($A9,subQ,MATCH(AE$1,SUBQH,0),0),"")</f>
        <v/>
      </c>
      <c r="AF9" s="20">
        <f>IFERROR(VLOOKUP($A9,subQ,MATCH(AF$1,SUBQH,0),0),"")</f>
        <v/>
      </c>
      <c r="AG9" s="20">
        <f>IFERROR(VLOOKUP($A9,subQ,MATCH(AG$1,SUBQH,0),0),"")</f>
        <v/>
      </c>
    </row>
    <row r="10">
      <c r="A10" s="12" t="inlineStr">
        <is>
          <t>OPM</t>
        </is>
      </c>
      <c r="D10" t="inlineStr">
        <is>
          <t>영업이익률</t>
        </is>
      </c>
      <c r="E10" s="21">
        <f>IFERROR(VLOOKUP($A10,subQ,MATCH(E$1,SUBQH,0),0),"")</f>
        <v/>
      </c>
      <c r="F10" s="21">
        <f>IFERROR(VLOOKUP($A10,subQ,MATCH(F$1,SUBQH,0),0),"")</f>
        <v/>
      </c>
      <c r="G10" s="21">
        <f>IFERROR(VLOOKUP($A10,subQ,MATCH(G$1,SUBQH,0),0),"")</f>
        <v/>
      </c>
      <c r="H10" s="21">
        <f>IFERROR(VLOOKUP($A10,subQ,MATCH(H$1,SUBQH,0),0),"")</f>
        <v/>
      </c>
      <c r="I10" s="21">
        <f>IFERROR(VLOOKUP($A10,subQ,MATCH(I$1,SUBQH,0),0),"")</f>
        <v/>
      </c>
      <c r="J10" s="21">
        <f>IFERROR(VLOOKUP($A10,subQ,MATCH(J$1,SUBQH,0),0),"")</f>
        <v/>
      </c>
      <c r="K10" s="21">
        <f>IFERROR(VLOOKUP($A10,subQ,MATCH(K$1,SUBQH,0),0),"")</f>
        <v/>
      </c>
      <c r="L10" s="21">
        <f>IFERROR(VLOOKUP($A10,subQ,MATCH(L$1,SUBQH,0),0),"")</f>
        <v/>
      </c>
      <c r="M10" s="21">
        <f>IFERROR(VLOOKUP($A10,subQ,MATCH(M$1,SUBQH,0),0),"")</f>
        <v/>
      </c>
      <c r="N10" s="21">
        <f>IFERROR(VLOOKUP($A10,subQ,MATCH(N$1,SUBQH,0),0),"")</f>
        <v/>
      </c>
      <c r="O10" s="21">
        <f>IFERROR(VLOOKUP($A10,subQ,MATCH(O$1,SUBQH,0),0),"")</f>
        <v/>
      </c>
      <c r="P10" s="21">
        <f>IFERROR(VLOOKUP($A10,subQ,MATCH(P$1,SUBQH,0),0),"")</f>
        <v/>
      </c>
      <c r="Q10" s="21">
        <f>IFERROR(VLOOKUP($A10,subQ,MATCH(Q$1,SUBQH,0),0),"")</f>
        <v/>
      </c>
      <c r="R10" s="21">
        <f>IFERROR(VLOOKUP($A10,subQ,MATCH(R$1,SUBQH,0),0),"")</f>
        <v/>
      </c>
      <c r="S10" s="21">
        <f>IFERROR(VLOOKUP($A10,subQ,MATCH(S$1,SUBQH,0),0),"")</f>
        <v/>
      </c>
      <c r="T10" s="21">
        <f>IFERROR(VLOOKUP($A10,subQ,MATCH(T$1,SUBQH,0),0),"")</f>
        <v/>
      </c>
      <c r="U10" s="21">
        <f>IFERROR(VLOOKUP($A10,subQ,MATCH(U$1,SUBQH,0),0),"")</f>
        <v/>
      </c>
      <c r="V10" s="21">
        <f>IFERROR(VLOOKUP($A10,subQ,MATCH(V$1,SUBQH,0),0),"")</f>
        <v/>
      </c>
      <c r="W10" s="46">
        <f>IFERROR(VLOOKUP($A10,subQ,MATCH(W$1,SUBQH,0),0),"")</f>
        <v/>
      </c>
      <c r="X10" s="32">
        <f>IFERROR(VLOOKUP($A10,subQ,MATCH(X$1,SUBQH,0),0),"")</f>
        <v/>
      </c>
      <c r="Y10" s="32">
        <f>IFERROR(VLOOKUP($A10,subQ,MATCH(Y$1,SUBQH,0),0),"")</f>
        <v/>
      </c>
      <c r="Z10" s="32">
        <f>IFERROR(VLOOKUP($A10,subQ,MATCH(Z$1,SUBQH,0),0),"")</f>
        <v/>
      </c>
      <c r="AA10" s="32">
        <f>IFERROR(VLOOKUP($A10,subQ,MATCH(AA$1,SUBQH,0),0),"")</f>
        <v/>
      </c>
      <c r="AB10" s="32">
        <f>IFERROR(VLOOKUP($A10,subQ,MATCH(AB$1,SUBQH,0),0),"")</f>
        <v/>
      </c>
      <c r="AC10" s="32">
        <f>IFERROR(VLOOKUP($A10,subQ,MATCH(AC$1,SUBQH,0),0),"")</f>
        <v/>
      </c>
      <c r="AD10" s="32">
        <f>IFERROR(VLOOKUP($A10,subQ,MATCH(AD$1,SUBQH,0),0),"")</f>
        <v/>
      </c>
      <c r="AE10" s="32">
        <f>IFERROR(VLOOKUP($A10,subQ,MATCH(AE$1,SUBQH,0),0),"")</f>
        <v/>
      </c>
      <c r="AF10" s="32">
        <f>IFERROR(VLOOKUP($A10,subQ,MATCH(AF$1,SUBQH,0),0),"")</f>
        <v/>
      </c>
      <c r="AG10" s="32">
        <f>IFERROR(VLOOKUP($A10,subQ,MATCH(AG$1,SUBQH,0),0),"")</f>
        <v/>
      </c>
    </row>
    <row r="11">
      <c r="A11" s="12" t="inlineStr">
        <is>
          <t>금융손익</t>
        </is>
      </c>
      <c r="D11" t="inlineStr">
        <is>
          <t>금융손익(이자·환 포함)</t>
        </is>
      </c>
      <c r="E11" s="18">
        <f>IFERROR(VLOOKUP($A11,subQ,MATCH(E$1,SUBQH,0),0),"")</f>
        <v/>
      </c>
      <c r="F11" s="18">
        <f>IFERROR(VLOOKUP($A11,subQ,MATCH(F$1,SUBQH,0),0),"")</f>
        <v/>
      </c>
      <c r="G11" s="18">
        <f>IFERROR(VLOOKUP($A11,subQ,MATCH(G$1,SUBQH,0),0),"")</f>
        <v/>
      </c>
      <c r="H11" s="18">
        <f>IFERROR(VLOOKUP($A11,subQ,MATCH(H$1,SUBQH,0),0),"")</f>
        <v/>
      </c>
      <c r="I11" s="18">
        <f>IFERROR(VLOOKUP($A11,subQ,MATCH(I$1,SUBQH,0),0),"")</f>
        <v/>
      </c>
      <c r="J11" s="18">
        <f>IFERROR(VLOOKUP($A11,subQ,MATCH(J$1,SUBQH,0),0),"")</f>
        <v/>
      </c>
      <c r="K11" s="18">
        <f>IFERROR(VLOOKUP($A11,subQ,MATCH(K$1,SUBQH,0),0),"")</f>
        <v/>
      </c>
      <c r="L11" s="18">
        <f>IFERROR(VLOOKUP($A11,subQ,MATCH(L$1,SUBQH,0),0),"")</f>
        <v/>
      </c>
      <c r="M11" s="18">
        <f>IFERROR(VLOOKUP($A11,subQ,MATCH(M$1,SUBQH,0),0),"")</f>
        <v/>
      </c>
      <c r="N11" s="18">
        <f>IFERROR(VLOOKUP($A11,subQ,MATCH(N$1,SUBQH,0),0),"")</f>
        <v/>
      </c>
      <c r="O11" s="18">
        <f>IFERROR(VLOOKUP($A11,subQ,MATCH(O$1,SUBQH,0),0),"")</f>
        <v/>
      </c>
      <c r="P11" s="18">
        <f>IFERROR(VLOOKUP($A11,subQ,MATCH(P$1,SUBQH,0),0),"")</f>
        <v/>
      </c>
      <c r="Q11" s="18">
        <f>IFERROR(VLOOKUP($A11,subQ,MATCH(Q$1,SUBQH,0),0),"")</f>
        <v/>
      </c>
      <c r="R11" s="18">
        <f>IFERROR(VLOOKUP($A11,subQ,MATCH(R$1,SUBQH,0),0),"")</f>
        <v/>
      </c>
      <c r="S11" s="18">
        <f>IFERROR(VLOOKUP($A11,subQ,MATCH(S$1,SUBQH,0),0),"")</f>
        <v/>
      </c>
      <c r="T11" s="18">
        <f>IFERROR(VLOOKUP($A11,subQ,MATCH(T$1,SUBQH,0),0),"")</f>
        <v/>
      </c>
      <c r="U11" s="18">
        <f>IFERROR(VLOOKUP($A11,subQ,MATCH(U$1,SUBQH,0),0),"")</f>
        <v/>
      </c>
      <c r="V11" s="18">
        <f>IFERROR(VLOOKUP($A11,subQ,MATCH(V$1,SUBQH,0),0),"")</f>
        <v/>
      </c>
      <c r="W11" s="45">
        <f>IFERROR(VLOOKUP($A11,subQ,MATCH(W$1,SUBQH,0),0),"")</f>
        <v/>
      </c>
      <c r="X11" s="20">
        <f>IFERROR(VLOOKUP($A11,subQ,MATCH(X$1,SUBQH,0),0),"")</f>
        <v/>
      </c>
      <c r="Y11" s="20">
        <f>IFERROR(VLOOKUP($A11,subQ,MATCH(Y$1,SUBQH,0),0),"")</f>
        <v/>
      </c>
      <c r="Z11" s="20">
        <f>IFERROR(VLOOKUP($A11,subQ,MATCH(Z$1,SUBQH,0),0),"")</f>
        <v/>
      </c>
      <c r="AA11" s="20">
        <f>IFERROR(VLOOKUP($A11,subQ,MATCH(AA$1,SUBQH,0),0),"")</f>
        <v/>
      </c>
      <c r="AB11" s="20">
        <f>IFERROR(VLOOKUP($A11,subQ,MATCH(AB$1,SUBQH,0),0),"")</f>
        <v/>
      </c>
      <c r="AC11" s="20">
        <f>IFERROR(VLOOKUP($A11,subQ,MATCH(AC$1,SUBQH,0),0),"")</f>
        <v/>
      </c>
      <c r="AD11" s="20">
        <f>IFERROR(VLOOKUP($A11,subQ,MATCH(AD$1,SUBQH,0),0),"")</f>
        <v/>
      </c>
      <c r="AE11" s="20">
        <f>IFERROR(VLOOKUP($A11,subQ,MATCH(AE$1,SUBQH,0),0),"")</f>
        <v/>
      </c>
      <c r="AF11" s="20">
        <f>IFERROR(VLOOKUP($A11,subQ,MATCH(AF$1,SUBQH,0),0),"")</f>
        <v/>
      </c>
      <c r="AG11" s="20">
        <f>IFERROR(VLOOKUP($A11,subQ,MATCH(AG$1,SUBQH,0),0),"")</f>
        <v/>
      </c>
    </row>
    <row r="12">
      <c r="A12" s="12" t="inlineStr">
        <is>
          <t>이자손익</t>
        </is>
      </c>
      <c r="D12" t="inlineStr">
        <is>
          <t>이자손익(이자수익 − 이자비용)</t>
        </is>
      </c>
      <c r="E12" s="18">
        <f>IFERROR(VLOOKUP($A12,subQ,MATCH(E$1,SUBQH,0),0),"")</f>
        <v/>
      </c>
      <c r="F12" s="18">
        <f>IFERROR(VLOOKUP($A12,subQ,MATCH(F$1,SUBQH,0),0),"")</f>
        <v/>
      </c>
      <c r="G12" s="18">
        <f>IFERROR(VLOOKUP($A12,subQ,MATCH(G$1,SUBQH,0),0),"")</f>
        <v/>
      </c>
      <c r="H12" s="18">
        <f>IFERROR(VLOOKUP($A12,subQ,MATCH(H$1,SUBQH,0),0),"")</f>
        <v/>
      </c>
      <c r="I12" s="18">
        <f>IFERROR(VLOOKUP($A12,subQ,MATCH(I$1,SUBQH,0),0),"")</f>
        <v/>
      </c>
      <c r="J12" s="18">
        <f>IFERROR(VLOOKUP($A12,subQ,MATCH(J$1,SUBQH,0),0),"")</f>
        <v/>
      </c>
      <c r="K12" s="18">
        <f>IFERROR(VLOOKUP($A12,subQ,MATCH(K$1,SUBQH,0),0),"")</f>
        <v/>
      </c>
      <c r="L12" s="18">
        <f>IFERROR(VLOOKUP($A12,subQ,MATCH(L$1,SUBQH,0),0),"")</f>
        <v/>
      </c>
      <c r="M12" s="18">
        <f>IFERROR(VLOOKUP($A12,subQ,MATCH(M$1,SUBQH,0),0),"")</f>
        <v/>
      </c>
      <c r="N12" s="18">
        <f>IFERROR(VLOOKUP($A12,subQ,MATCH(N$1,SUBQH,0),0),"")</f>
        <v/>
      </c>
      <c r="O12" s="18">
        <f>IFERROR(VLOOKUP($A12,subQ,MATCH(O$1,SUBQH,0),0),"")</f>
        <v/>
      </c>
      <c r="P12" s="18">
        <f>IFERROR(VLOOKUP($A12,subQ,MATCH(P$1,SUBQH,0),0),"")</f>
        <v/>
      </c>
      <c r="Q12" s="18">
        <f>IFERROR(VLOOKUP($A12,subQ,MATCH(Q$1,SUBQH,0),0),"")</f>
        <v/>
      </c>
      <c r="R12" s="18">
        <f>IFERROR(VLOOKUP($A12,subQ,MATCH(R$1,SUBQH,0),0),"")</f>
        <v/>
      </c>
      <c r="S12" s="18">
        <f>IFERROR(VLOOKUP($A12,subQ,MATCH(S$1,SUBQH,0),0),"")</f>
        <v/>
      </c>
      <c r="T12" s="18">
        <f>IFERROR(VLOOKUP($A12,subQ,MATCH(T$1,SUBQH,0),0),"")</f>
        <v/>
      </c>
      <c r="U12" s="18">
        <f>IFERROR(VLOOKUP($A12,subQ,MATCH(U$1,SUBQH,0),0),"")</f>
        <v/>
      </c>
      <c r="V12" s="18">
        <f>IFERROR(VLOOKUP($A12,subQ,MATCH(V$1,SUBQH,0),0),"")</f>
        <v/>
      </c>
      <c r="W12" s="45">
        <f>IFERROR(VLOOKUP($A12,subQ,MATCH(W$1,SUBQH,0),0),"")</f>
        <v/>
      </c>
      <c r="X12" s="20">
        <f>IFERROR(VLOOKUP($A12,subQ,MATCH(X$1,SUBQH,0),0),"")</f>
        <v/>
      </c>
      <c r="Y12" s="20">
        <f>IFERROR(VLOOKUP($A12,subQ,MATCH(Y$1,SUBQH,0),0),"")</f>
        <v/>
      </c>
      <c r="Z12" s="20">
        <f>IFERROR(VLOOKUP($A12,subQ,MATCH(Z$1,SUBQH,0),0),"")</f>
        <v/>
      </c>
      <c r="AA12" s="20">
        <f>IFERROR(VLOOKUP($A12,subQ,MATCH(AA$1,SUBQH,0),0),"")</f>
        <v/>
      </c>
      <c r="AB12" s="20">
        <f>IFERROR(VLOOKUP($A12,subQ,MATCH(AB$1,SUBQH,0),0),"")</f>
        <v/>
      </c>
      <c r="AC12" s="20">
        <f>IFERROR(VLOOKUP($A12,subQ,MATCH(AC$1,SUBQH,0),0),"")</f>
        <v/>
      </c>
      <c r="AD12" s="20">
        <f>IFERROR(VLOOKUP($A12,subQ,MATCH(AD$1,SUBQH,0),0),"")</f>
        <v/>
      </c>
      <c r="AE12" s="20">
        <f>IFERROR(VLOOKUP($A12,subQ,MATCH(AE$1,SUBQH,0),0),"")</f>
        <v/>
      </c>
      <c r="AF12" s="20">
        <f>IFERROR(VLOOKUP($A12,subQ,MATCH(AF$1,SUBQH,0),0),"")</f>
        <v/>
      </c>
      <c r="AG12" s="20">
        <f>IFERROR(VLOOKUP($A12,subQ,MATCH(AG$1,SUBQH,0),0),"")</f>
        <v/>
      </c>
    </row>
    <row r="13">
      <c r="A13" s="12" t="inlineStr">
        <is>
          <t>외환손익</t>
        </is>
      </c>
      <c r="D13" t="inlineStr">
        <is>
          <t>외환손익(실적만; 추정 환효과는 환관련손익)</t>
        </is>
      </c>
      <c r="E13" s="18">
        <f>IFERROR(VLOOKUP($A13,subQ,MATCH(E$1,SUBQH,0),0),"")</f>
        <v/>
      </c>
      <c r="F13" s="18">
        <f>IFERROR(VLOOKUP($A13,subQ,MATCH(F$1,SUBQH,0),0),"")</f>
        <v/>
      </c>
      <c r="G13" s="18">
        <f>IFERROR(VLOOKUP($A13,subQ,MATCH(G$1,SUBQH,0),0),"")</f>
        <v/>
      </c>
      <c r="H13" s="18">
        <f>IFERROR(VLOOKUP($A13,subQ,MATCH(H$1,SUBQH,0),0),"")</f>
        <v/>
      </c>
      <c r="I13" s="18">
        <f>IFERROR(VLOOKUP($A13,subQ,MATCH(I$1,SUBQH,0),0),"")</f>
        <v/>
      </c>
      <c r="J13" s="18">
        <f>IFERROR(VLOOKUP($A13,subQ,MATCH(J$1,SUBQH,0),0),"")</f>
        <v/>
      </c>
      <c r="K13" s="18">
        <f>IFERROR(VLOOKUP($A13,subQ,MATCH(K$1,SUBQH,0),0),"")</f>
        <v/>
      </c>
      <c r="L13" s="18">
        <f>IFERROR(VLOOKUP($A13,subQ,MATCH(L$1,SUBQH,0),0),"")</f>
        <v/>
      </c>
      <c r="M13" s="18">
        <f>IFERROR(VLOOKUP($A13,subQ,MATCH(M$1,SUBQH,0),0),"")</f>
        <v/>
      </c>
      <c r="N13" s="18">
        <f>IFERROR(VLOOKUP($A13,subQ,MATCH(N$1,SUBQH,0),0),"")</f>
        <v/>
      </c>
      <c r="O13" s="18">
        <f>IFERROR(VLOOKUP($A13,subQ,MATCH(O$1,SUBQH,0),0),"")</f>
        <v/>
      </c>
      <c r="P13" s="18">
        <f>IFERROR(VLOOKUP($A13,subQ,MATCH(P$1,SUBQH,0),0),"")</f>
        <v/>
      </c>
      <c r="Q13" s="18">
        <f>IFERROR(VLOOKUP($A13,subQ,MATCH(Q$1,SUBQH,0),0),"")</f>
        <v/>
      </c>
      <c r="R13" s="18">
        <f>IFERROR(VLOOKUP($A13,subQ,MATCH(R$1,SUBQH,0),0),"")</f>
        <v/>
      </c>
      <c r="S13" s="18">
        <f>IFERROR(VLOOKUP($A13,subQ,MATCH(S$1,SUBQH,0),0),"")</f>
        <v/>
      </c>
      <c r="T13" s="18">
        <f>IFERROR(VLOOKUP($A13,subQ,MATCH(T$1,SUBQH,0),0),"")</f>
        <v/>
      </c>
      <c r="U13" s="18">
        <f>IFERROR(VLOOKUP($A13,subQ,MATCH(U$1,SUBQH,0),0),"")</f>
        <v/>
      </c>
      <c r="V13" s="18">
        <f>IFERROR(VLOOKUP($A13,subQ,MATCH(V$1,SUBQH,0),0),"")</f>
        <v/>
      </c>
      <c r="W13" s="45">
        <f>IFERROR(VLOOKUP($A13,subQ,MATCH(W$1,SUBQH,0),0),"")</f>
        <v/>
      </c>
      <c r="X13" s="20">
        <f>IFERROR(VLOOKUP($A13,subQ,MATCH(X$1,SUBQH,0),0),"")</f>
        <v/>
      </c>
      <c r="Y13" s="20">
        <f>IFERROR(VLOOKUP($A13,subQ,MATCH(Y$1,SUBQH,0),0),"")</f>
        <v/>
      </c>
      <c r="Z13" s="20">
        <f>IFERROR(VLOOKUP($A13,subQ,MATCH(Z$1,SUBQH,0),0),"")</f>
        <v/>
      </c>
      <c r="AA13" s="20">
        <f>IFERROR(VLOOKUP($A13,subQ,MATCH(AA$1,SUBQH,0),0),"")</f>
        <v/>
      </c>
      <c r="AB13" s="20">
        <f>IFERROR(VLOOKUP($A13,subQ,MATCH(AB$1,SUBQH,0),0),"")</f>
        <v/>
      </c>
      <c r="AC13" s="20">
        <f>IFERROR(VLOOKUP($A13,subQ,MATCH(AC$1,SUBQH,0),0),"")</f>
        <v/>
      </c>
      <c r="AD13" s="20">
        <f>IFERROR(VLOOKUP($A13,subQ,MATCH(AD$1,SUBQH,0),0),"")</f>
        <v/>
      </c>
      <c r="AE13" s="20">
        <f>IFERROR(VLOOKUP($A13,subQ,MATCH(AE$1,SUBQH,0),0),"")</f>
        <v/>
      </c>
      <c r="AF13" s="20">
        <f>IFERROR(VLOOKUP($A13,subQ,MATCH(AF$1,SUBQH,0),0),"")</f>
        <v/>
      </c>
      <c r="AG13" s="20">
        <f>IFERROR(VLOOKUP($A13,subQ,MATCH(AG$1,SUBQH,0),0),"")</f>
        <v/>
      </c>
    </row>
    <row r="14">
      <c r="A14" s="12" t="inlineStr">
        <is>
          <t>파생상품손익</t>
        </is>
      </c>
      <c r="D14" t="inlineStr">
        <is>
          <t>파생상품손익</t>
        </is>
      </c>
      <c r="E14" s="18">
        <f>IFERROR(VLOOKUP($A14,subQ,MATCH(E$1,SUBQH,0),0),"")</f>
        <v/>
      </c>
      <c r="F14" s="18">
        <f>IFERROR(VLOOKUP($A14,subQ,MATCH(F$1,SUBQH,0),0),"")</f>
        <v/>
      </c>
      <c r="G14" s="18">
        <f>IFERROR(VLOOKUP($A14,subQ,MATCH(G$1,SUBQH,0),0),"")</f>
        <v/>
      </c>
      <c r="H14" s="18">
        <f>IFERROR(VLOOKUP($A14,subQ,MATCH(H$1,SUBQH,0),0),"")</f>
        <v/>
      </c>
      <c r="I14" s="18">
        <f>IFERROR(VLOOKUP($A14,subQ,MATCH(I$1,SUBQH,0),0),"")</f>
        <v/>
      </c>
      <c r="J14" s="18">
        <f>IFERROR(VLOOKUP($A14,subQ,MATCH(J$1,SUBQH,0),0),"")</f>
        <v/>
      </c>
      <c r="K14" s="18">
        <f>IFERROR(VLOOKUP($A14,subQ,MATCH(K$1,SUBQH,0),0),"")</f>
        <v/>
      </c>
      <c r="L14" s="18">
        <f>IFERROR(VLOOKUP($A14,subQ,MATCH(L$1,SUBQH,0),0),"")</f>
        <v/>
      </c>
      <c r="M14" s="18">
        <f>IFERROR(VLOOKUP($A14,subQ,MATCH(M$1,SUBQH,0),0),"")</f>
        <v/>
      </c>
      <c r="N14" s="18">
        <f>IFERROR(VLOOKUP($A14,subQ,MATCH(N$1,SUBQH,0),0),"")</f>
        <v/>
      </c>
      <c r="O14" s="18">
        <f>IFERROR(VLOOKUP($A14,subQ,MATCH(O$1,SUBQH,0),0),"")</f>
        <v/>
      </c>
      <c r="P14" s="18">
        <f>IFERROR(VLOOKUP($A14,subQ,MATCH(P$1,SUBQH,0),0),"")</f>
        <v/>
      </c>
      <c r="Q14" s="18">
        <f>IFERROR(VLOOKUP($A14,subQ,MATCH(Q$1,SUBQH,0),0),"")</f>
        <v/>
      </c>
      <c r="R14" s="18">
        <f>IFERROR(VLOOKUP($A14,subQ,MATCH(R$1,SUBQH,0),0),"")</f>
        <v/>
      </c>
      <c r="S14" s="18">
        <f>IFERROR(VLOOKUP($A14,subQ,MATCH(S$1,SUBQH,0),0),"")</f>
        <v/>
      </c>
      <c r="T14" s="18">
        <f>IFERROR(VLOOKUP($A14,subQ,MATCH(T$1,SUBQH,0),0),"")</f>
        <v/>
      </c>
      <c r="U14" s="18">
        <f>IFERROR(VLOOKUP($A14,subQ,MATCH(U$1,SUBQH,0),0),"")</f>
        <v/>
      </c>
      <c r="V14" s="18">
        <f>IFERROR(VLOOKUP($A14,subQ,MATCH(V$1,SUBQH,0),0),"")</f>
        <v/>
      </c>
      <c r="W14" s="45">
        <f>IFERROR(VLOOKUP($A14,subQ,MATCH(W$1,SUBQH,0),0),"")</f>
        <v/>
      </c>
      <c r="X14" s="20">
        <f>IFERROR(VLOOKUP($A14,subQ,MATCH(X$1,SUBQH,0),0),"")</f>
        <v/>
      </c>
      <c r="Y14" s="20">
        <f>IFERROR(VLOOKUP($A14,subQ,MATCH(Y$1,SUBQH,0),0),"")</f>
        <v/>
      </c>
      <c r="Z14" s="20">
        <f>IFERROR(VLOOKUP($A14,subQ,MATCH(Z$1,SUBQH,0),0),"")</f>
        <v/>
      </c>
      <c r="AA14" s="20">
        <f>IFERROR(VLOOKUP($A14,subQ,MATCH(AA$1,SUBQH,0),0),"")</f>
        <v/>
      </c>
      <c r="AB14" s="20">
        <f>IFERROR(VLOOKUP($A14,subQ,MATCH(AB$1,SUBQH,0),0),"")</f>
        <v/>
      </c>
      <c r="AC14" s="20">
        <f>IFERROR(VLOOKUP($A14,subQ,MATCH(AC$1,SUBQH,0),0),"")</f>
        <v/>
      </c>
      <c r="AD14" s="20">
        <f>IFERROR(VLOOKUP($A14,subQ,MATCH(AD$1,SUBQH,0),0),"")</f>
        <v/>
      </c>
      <c r="AE14" s="20">
        <f>IFERROR(VLOOKUP($A14,subQ,MATCH(AE$1,SUBQH,0),0),"")</f>
        <v/>
      </c>
      <c r="AF14" s="20">
        <f>IFERROR(VLOOKUP($A14,subQ,MATCH(AF$1,SUBQH,0),0),"")</f>
        <v/>
      </c>
      <c r="AG14" s="20">
        <f>IFERROR(VLOOKUP($A14,subQ,MATCH(AG$1,SUBQH,0),0),"")</f>
        <v/>
      </c>
    </row>
    <row r="15">
      <c r="A15" s="12" t="inlineStr">
        <is>
          <t>기타금융손익</t>
        </is>
      </c>
      <c r="D15" t="inlineStr">
        <is>
          <t>기타금융손익(금융손익 잔차)</t>
        </is>
      </c>
      <c r="E15" s="18">
        <f>IFERROR(VLOOKUP($A15,subQ,MATCH(E$1,SUBQH,0),0),"")</f>
        <v/>
      </c>
      <c r="F15" s="18">
        <f>IFERROR(VLOOKUP($A15,subQ,MATCH(F$1,SUBQH,0),0),"")</f>
        <v/>
      </c>
      <c r="G15" s="18">
        <f>IFERROR(VLOOKUP($A15,subQ,MATCH(G$1,SUBQH,0),0),"")</f>
        <v/>
      </c>
      <c r="H15" s="18">
        <f>IFERROR(VLOOKUP($A15,subQ,MATCH(H$1,SUBQH,0),0),"")</f>
        <v/>
      </c>
      <c r="I15" s="18">
        <f>IFERROR(VLOOKUP($A15,subQ,MATCH(I$1,SUBQH,0),0),"")</f>
        <v/>
      </c>
      <c r="J15" s="18">
        <f>IFERROR(VLOOKUP($A15,subQ,MATCH(J$1,SUBQH,0),0),"")</f>
        <v/>
      </c>
      <c r="K15" s="18">
        <f>IFERROR(VLOOKUP($A15,subQ,MATCH(K$1,SUBQH,0),0),"")</f>
        <v/>
      </c>
      <c r="L15" s="18">
        <f>IFERROR(VLOOKUP($A15,subQ,MATCH(L$1,SUBQH,0),0),"")</f>
        <v/>
      </c>
      <c r="M15" s="18">
        <f>IFERROR(VLOOKUP($A15,subQ,MATCH(M$1,SUBQH,0),0),"")</f>
        <v/>
      </c>
      <c r="N15" s="18">
        <f>IFERROR(VLOOKUP($A15,subQ,MATCH(N$1,SUBQH,0),0),"")</f>
        <v/>
      </c>
      <c r="O15" s="18">
        <f>IFERROR(VLOOKUP($A15,subQ,MATCH(O$1,SUBQH,0),0),"")</f>
        <v/>
      </c>
      <c r="P15" s="18">
        <f>IFERROR(VLOOKUP($A15,subQ,MATCH(P$1,SUBQH,0),0),"")</f>
        <v/>
      </c>
      <c r="Q15" s="18">
        <f>IFERROR(VLOOKUP($A15,subQ,MATCH(Q$1,SUBQH,0),0),"")</f>
        <v/>
      </c>
      <c r="R15" s="18">
        <f>IFERROR(VLOOKUP($A15,subQ,MATCH(R$1,SUBQH,0),0),"")</f>
        <v/>
      </c>
      <c r="S15" s="18">
        <f>IFERROR(VLOOKUP($A15,subQ,MATCH(S$1,SUBQH,0),0),"")</f>
        <v/>
      </c>
      <c r="T15" s="18">
        <f>IFERROR(VLOOKUP($A15,subQ,MATCH(T$1,SUBQH,0),0),"")</f>
        <v/>
      </c>
      <c r="U15" s="18">
        <f>IFERROR(VLOOKUP($A15,subQ,MATCH(U$1,SUBQH,0),0),"")</f>
        <v/>
      </c>
      <c r="V15" s="18">
        <f>IFERROR(VLOOKUP($A15,subQ,MATCH(V$1,SUBQH,0),0),"")</f>
        <v/>
      </c>
      <c r="W15" s="45">
        <f>IFERROR(VLOOKUP($A15,subQ,MATCH(W$1,SUBQH,0),0),"")</f>
        <v/>
      </c>
      <c r="X15" s="20">
        <f>IFERROR(VLOOKUP($A15,subQ,MATCH(X$1,SUBQH,0),0),"")</f>
        <v/>
      </c>
      <c r="Y15" s="20">
        <f>IFERROR(VLOOKUP($A15,subQ,MATCH(Y$1,SUBQH,0),0),"")</f>
        <v/>
      </c>
      <c r="Z15" s="20">
        <f>IFERROR(VLOOKUP($A15,subQ,MATCH(Z$1,SUBQH,0),0),"")</f>
        <v/>
      </c>
      <c r="AA15" s="20">
        <f>IFERROR(VLOOKUP($A15,subQ,MATCH(AA$1,SUBQH,0),0),"")</f>
        <v/>
      </c>
      <c r="AB15" s="20">
        <f>IFERROR(VLOOKUP($A15,subQ,MATCH(AB$1,SUBQH,0),0),"")</f>
        <v/>
      </c>
      <c r="AC15" s="20">
        <f>IFERROR(VLOOKUP($A15,subQ,MATCH(AC$1,SUBQH,0),0),"")</f>
        <v/>
      </c>
      <c r="AD15" s="20">
        <f>IFERROR(VLOOKUP($A15,subQ,MATCH(AD$1,SUBQH,0),0),"")</f>
        <v/>
      </c>
      <c r="AE15" s="20">
        <f>IFERROR(VLOOKUP($A15,subQ,MATCH(AE$1,SUBQH,0),0),"")</f>
        <v/>
      </c>
      <c r="AF15" s="20">
        <f>IFERROR(VLOOKUP($A15,subQ,MATCH(AF$1,SUBQH,0),0),"")</f>
        <v/>
      </c>
      <c r="AG15" s="20">
        <f>IFERROR(VLOOKUP($A15,subQ,MATCH(AG$1,SUBQH,0),0),"")</f>
        <v/>
      </c>
    </row>
    <row r="16">
      <c r="A16" s="12" t="inlineStr">
        <is>
          <t>기타영업외손익</t>
        </is>
      </c>
      <c r="D16" t="inlineStr">
        <is>
          <t>기타영업외손익</t>
        </is>
      </c>
      <c r="E16" s="18">
        <f>IFERROR(VLOOKUP($A16,subQ,MATCH(E$1,SUBQH,0),0),"")</f>
        <v/>
      </c>
      <c r="F16" s="18">
        <f>IFERROR(VLOOKUP($A16,subQ,MATCH(F$1,SUBQH,0),0),"")</f>
        <v/>
      </c>
      <c r="G16" s="18">
        <f>IFERROR(VLOOKUP($A16,subQ,MATCH(G$1,SUBQH,0),0),"")</f>
        <v/>
      </c>
      <c r="H16" s="18">
        <f>IFERROR(VLOOKUP($A16,subQ,MATCH(H$1,SUBQH,0),0),"")</f>
        <v/>
      </c>
      <c r="I16" s="18">
        <f>IFERROR(VLOOKUP($A16,subQ,MATCH(I$1,SUBQH,0),0),"")</f>
        <v/>
      </c>
      <c r="J16" s="18">
        <f>IFERROR(VLOOKUP($A16,subQ,MATCH(J$1,SUBQH,0),0),"")</f>
        <v/>
      </c>
      <c r="K16" s="18">
        <f>IFERROR(VLOOKUP($A16,subQ,MATCH(K$1,SUBQH,0),0),"")</f>
        <v/>
      </c>
      <c r="L16" s="18">
        <f>IFERROR(VLOOKUP($A16,subQ,MATCH(L$1,SUBQH,0),0),"")</f>
        <v/>
      </c>
      <c r="M16" s="18">
        <f>IFERROR(VLOOKUP($A16,subQ,MATCH(M$1,SUBQH,0),0),"")</f>
        <v/>
      </c>
      <c r="N16" s="18">
        <f>IFERROR(VLOOKUP($A16,subQ,MATCH(N$1,SUBQH,0),0),"")</f>
        <v/>
      </c>
      <c r="O16" s="18">
        <f>IFERROR(VLOOKUP($A16,subQ,MATCH(O$1,SUBQH,0),0),"")</f>
        <v/>
      </c>
      <c r="P16" s="18">
        <f>IFERROR(VLOOKUP($A16,subQ,MATCH(P$1,SUBQH,0),0),"")</f>
        <v/>
      </c>
      <c r="Q16" s="18">
        <f>IFERROR(VLOOKUP($A16,subQ,MATCH(Q$1,SUBQH,0),0),"")</f>
        <v/>
      </c>
      <c r="R16" s="18">
        <f>IFERROR(VLOOKUP($A16,subQ,MATCH(R$1,SUBQH,0),0),"")</f>
        <v/>
      </c>
      <c r="S16" s="18">
        <f>IFERROR(VLOOKUP($A16,subQ,MATCH(S$1,SUBQH,0),0),"")</f>
        <v/>
      </c>
      <c r="T16" s="18">
        <f>IFERROR(VLOOKUP($A16,subQ,MATCH(T$1,SUBQH,0),0),"")</f>
        <v/>
      </c>
      <c r="U16" s="18">
        <f>IFERROR(VLOOKUP($A16,subQ,MATCH(U$1,SUBQH,0),0),"")</f>
        <v/>
      </c>
      <c r="V16" s="18">
        <f>IFERROR(VLOOKUP($A16,subQ,MATCH(V$1,SUBQH,0),0),"")</f>
        <v/>
      </c>
      <c r="W16" s="45">
        <f>IFERROR(VLOOKUP($A16,subQ,MATCH(W$1,SUBQH,0),0),"")</f>
        <v/>
      </c>
      <c r="X16" s="20">
        <f>IFERROR(VLOOKUP($A16,subQ,MATCH(X$1,SUBQH,0),0),"")</f>
        <v/>
      </c>
      <c r="Y16" s="20">
        <f>IFERROR(VLOOKUP($A16,subQ,MATCH(Y$1,SUBQH,0),0),"")</f>
        <v/>
      </c>
      <c r="Z16" s="20">
        <f>IFERROR(VLOOKUP($A16,subQ,MATCH(Z$1,SUBQH,0),0),"")</f>
        <v/>
      </c>
      <c r="AA16" s="20">
        <f>IFERROR(VLOOKUP($A16,subQ,MATCH(AA$1,SUBQH,0),0),"")</f>
        <v/>
      </c>
      <c r="AB16" s="20">
        <f>IFERROR(VLOOKUP($A16,subQ,MATCH(AB$1,SUBQH,0),0),"")</f>
        <v/>
      </c>
      <c r="AC16" s="20">
        <f>IFERROR(VLOOKUP($A16,subQ,MATCH(AC$1,SUBQH,0),0),"")</f>
        <v/>
      </c>
      <c r="AD16" s="20">
        <f>IFERROR(VLOOKUP($A16,subQ,MATCH(AD$1,SUBQH,0),0),"")</f>
        <v/>
      </c>
      <c r="AE16" s="20">
        <f>IFERROR(VLOOKUP($A16,subQ,MATCH(AE$1,SUBQH,0),0),"")</f>
        <v/>
      </c>
      <c r="AF16" s="20">
        <f>IFERROR(VLOOKUP($A16,subQ,MATCH(AF$1,SUBQH,0),0),"")</f>
        <v/>
      </c>
      <c r="AG16" s="20">
        <f>IFERROR(VLOOKUP($A16,subQ,MATCH(AG$1,SUBQH,0),0),"")</f>
        <v/>
      </c>
    </row>
    <row r="17">
      <c r="A17" s="12" t="inlineStr">
        <is>
          <t>지분법손익</t>
        </is>
      </c>
      <c r="D17" t="inlineStr">
        <is>
          <t>지분법손익</t>
        </is>
      </c>
      <c r="E17" s="18">
        <f>IFERROR(VLOOKUP($A17,subQ,MATCH(E$1,SUBQH,0),0),"")</f>
        <v/>
      </c>
      <c r="F17" s="18">
        <f>IFERROR(VLOOKUP($A17,subQ,MATCH(F$1,SUBQH,0),0),"")</f>
        <v/>
      </c>
      <c r="G17" s="18">
        <f>IFERROR(VLOOKUP($A17,subQ,MATCH(G$1,SUBQH,0),0),"")</f>
        <v/>
      </c>
      <c r="H17" s="18">
        <f>IFERROR(VLOOKUP($A17,subQ,MATCH(H$1,SUBQH,0),0),"")</f>
        <v/>
      </c>
      <c r="I17" s="18">
        <f>IFERROR(VLOOKUP($A17,subQ,MATCH(I$1,SUBQH,0),0),"")</f>
        <v/>
      </c>
      <c r="J17" s="18">
        <f>IFERROR(VLOOKUP($A17,subQ,MATCH(J$1,SUBQH,0),0),"")</f>
        <v/>
      </c>
      <c r="K17" s="18">
        <f>IFERROR(VLOOKUP($A17,subQ,MATCH(K$1,SUBQH,0),0),"")</f>
        <v/>
      </c>
      <c r="L17" s="18">
        <f>IFERROR(VLOOKUP($A17,subQ,MATCH(L$1,SUBQH,0),0),"")</f>
        <v/>
      </c>
      <c r="M17" s="18">
        <f>IFERROR(VLOOKUP($A17,subQ,MATCH(M$1,SUBQH,0),0),"")</f>
        <v/>
      </c>
      <c r="N17" s="18">
        <f>IFERROR(VLOOKUP($A17,subQ,MATCH(N$1,SUBQH,0),0),"")</f>
        <v/>
      </c>
      <c r="O17" s="18">
        <f>IFERROR(VLOOKUP($A17,subQ,MATCH(O$1,SUBQH,0),0),"")</f>
        <v/>
      </c>
      <c r="P17" s="18">
        <f>IFERROR(VLOOKUP($A17,subQ,MATCH(P$1,SUBQH,0),0),"")</f>
        <v/>
      </c>
      <c r="Q17" s="18">
        <f>IFERROR(VLOOKUP($A17,subQ,MATCH(Q$1,SUBQH,0),0),"")</f>
        <v/>
      </c>
      <c r="R17" s="18">
        <f>IFERROR(VLOOKUP($A17,subQ,MATCH(R$1,SUBQH,0),0),"")</f>
        <v/>
      </c>
      <c r="S17" s="18">
        <f>IFERROR(VLOOKUP($A17,subQ,MATCH(S$1,SUBQH,0),0),"")</f>
        <v/>
      </c>
      <c r="T17" s="18">
        <f>IFERROR(VLOOKUP($A17,subQ,MATCH(T$1,SUBQH,0),0),"")</f>
        <v/>
      </c>
      <c r="U17" s="18">
        <f>IFERROR(VLOOKUP($A17,subQ,MATCH(U$1,SUBQH,0),0),"")</f>
        <v/>
      </c>
      <c r="V17" s="18">
        <f>IFERROR(VLOOKUP($A17,subQ,MATCH(V$1,SUBQH,0),0),"")</f>
        <v/>
      </c>
      <c r="W17" s="45">
        <f>IFERROR(VLOOKUP($A17,subQ,MATCH(W$1,SUBQH,0),0),"")</f>
        <v/>
      </c>
      <c r="X17" s="20">
        <f>IFERROR(VLOOKUP($A17,subQ,MATCH(X$1,SUBQH,0),0),"")</f>
        <v/>
      </c>
      <c r="Y17" s="20">
        <f>IFERROR(VLOOKUP($A17,subQ,MATCH(Y$1,SUBQH,0),0),"")</f>
        <v/>
      </c>
      <c r="Z17" s="20">
        <f>IFERROR(VLOOKUP($A17,subQ,MATCH(Z$1,SUBQH,0),0),"")</f>
        <v/>
      </c>
      <c r="AA17" s="20">
        <f>IFERROR(VLOOKUP($A17,subQ,MATCH(AA$1,SUBQH,0),0),"")</f>
        <v/>
      </c>
      <c r="AB17" s="20">
        <f>IFERROR(VLOOKUP($A17,subQ,MATCH(AB$1,SUBQH,0),0),"")</f>
        <v/>
      </c>
      <c r="AC17" s="20">
        <f>IFERROR(VLOOKUP($A17,subQ,MATCH(AC$1,SUBQH,0),0),"")</f>
        <v/>
      </c>
      <c r="AD17" s="20">
        <f>IFERROR(VLOOKUP($A17,subQ,MATCH(AD$1,SUBQH,0),0),"")</f>
        <v/>
      </c>
      <c r="AE17" s="20">
        <f>IFERROR(VLOOKUP($A17,subQ,MATCH(AE$1,SUBQH,0),0),"")</f>
        <v/>
      </c>
      <c r="AF17" s="20">
        <f>IFERROR(VLOOKUP($A17,subQ,MATCH(AF$1,SUBQH,0),0),"")</f>
        <v/>
      </c>
      <c r="AG17" s="20">
        <f>IFERROR(VLOOKUP($A17,subQ,MATCH(AG$1,SUBQH,0),0),"")</f>
        <v/>
      </c>
    </row>
    <row r="18">
      <c r="A18" s="12" t="inlineStr">
        <is>
          <t>세전이익</t>
        </is>
      </c>
      <c r="D18" t="inlineStr">
        <is>
          <t>법인세비용차감전이익</t>
        </is>
      </c>
      <c r="E18" s="18">
        <f>IFERROR(VLOOKUP($A18,subQ,MATCH(E$1,SUBQH,0),0),"")</f>
        <v/>
      </c>
      <c r="F18" s="18">
        <f>IFERROR(VLOOKUP($A18,subQ,MATCH(F$1,SUBQH,0),0),"")</f>
        <v/>
      </c>
      <c r="G18" s="18">
        <f>IFERROR(VLOOKUP($A18,subQ,MATCH(G$1,SUBQH,0),0),"")</f>
        <v/>
      </c>
      <c r="H18" s="18">
        <f>IFERROR(VLOOKUP($A18,subQ,MATCH(H$1,SUBQH,0),0),"")</f>
        <v/>
      </c>
      <c r="I18" s="18">
        <f>IFERROR(VLOOKUP($A18,subQ,MATCH(I$1,SUBQH,0),0),"")</f>
        <v/>
      </c>
      <c r="J18" s="18">
        <f>IFERROR(VLOOKUP($A18,subQ,MATCH(J$1,SUBQH,0),0),"")</f>
        <v/>
      </c>
      <c r="K18" s="18">
        <f>IFERROR(VLOOKUP($A18,subQ,MATCH(K$1,SUBQH,0),0),"")</f>
        <v/>
      </c>
      <c r="L18" s="18">
        <f>IFERROR(VLOOKUP($A18,subQ,MATCH(L$1,SUBQH,0),0),"")</f>
        <v/>
      </c>
      <c r="M18" s="18">
        <f>IFERROR(VLOOKUP($A18,subQ,MATCH(M$1,SUBQH,0),0),"")</f>
        <v/>
      </c>
      <c r="N18" s="18">
        <f>IFERROR(VLOOKUP($A18,subQ,MATCH(N$1,SUBQH,0),0),"")</f>
        <v/>
      </c>
      <c r="O18" s="18">
        <f>IFERROR(VLOOKUP($A18,subQ,MATCH(O$1,SUBQH,0),0),"")</f>
        <v/>
      </c>
      <c r="P18" s="18">
        <f>IFERROR(VLOOKUP($A18,subQ,MATCH(P$1,SUBQH,0),0),"")</f>
        <v/>
      </c>
      <c r="Q18" s="18">
        <f>IFERROR(VLOOKUP($A18,subQ,MATCH(Q$1,SUBQH,0),0),"")</f>
        <v/>
      </c>
      <c r="R18" s="18">
        <f>IFERROR(VLOOKUP($A18,subQ,MATCH(R$1,SUBQH,0),0),"")</f>
        <v/>
      </c>
      <c r="S18" s="18">
        <f>IFERROR(VLOOKUP($A18,subQ,MATCH(S$1,SUBQH,0),0),"")</f>
        <v/>
      </c>
      <c r="T18" s="18">
        <f>IFERROR(VLOOKUP($A18,subQ,MATCH(T$1,SUBQH,0),0),"")</f>
        <v/>
      </c>
      <c r="U18" s="18">
        <f>IFERROR(VLOOKUP($A18,subQ,MATCH(U$1,SUBQH,0),0),"")</f>
        <v/>
      </c>
      <c r="V18" s="18">
        <f>IFERROR(VLOOKUP($A18,subQ,MATCH(V$1,SUBQH,0),0),"")</f>
        <v/>
      </c>
      <c r="W18" s="45">
        <f>IFERROR(VLOOKUP($A18,subQ,MATCH(W$1,SUBQH,0),0),"")</f>
        <v/>
      </c>
      <c r="X18" s="20">
        <f>IFERROR(VLOOKUP($A18,subQ,MATCH(X$1,SUBQH,0),0),"")</f>
        <v/>
      </c>
      <c r="Y18" s="20">
        <f>IFERROR(VLOOKUP($A18,subQ,MATCH(Y$1,SUBQH,0),0),"")</f>
        <v/>
      </c>
      <c r="Z18" s="20">
        <f>IFERROR(VLOOKUP($A18,subQ,MATCH(Z$1,SUBQH,0),0),"")</f>
        <v/>
      </c>
      <c r="AA18" s="20">
        <f>IFERROR(VLOOKUP($A18,subQ,MATCH(AA$1,SUBQH,0),0),"")</f>
        <v/>
      </c>
      <c r="AB18" s="20">
        <f>IFERROR(VLOOKUP($A18,subQ,MATCH(AB$1,SUBQH,0),0),"")</f>
        <v/>
      </c>
      <c r="AC18" s="20">
        <f>IFERROR(VLOOKUP($A18,subQ,MATCH(AC$1,SUBQH,0),0),"")</f>
        <v/>
      </c>
      <c r="AD18" s="20">
        <f>IFERROR(VLOOKUP($A18,subQ,MATCH(AD$1,SUBQH,0),0),"")</f>
        <v/>
      </c>
      <c r="AE18" s="20">
        <f>IFERROR(VLOOKUP($A18,subQ,MATCH(AE$1,SUBQH,0),0),"")</f>
        <v/>
      </c>
      <c r="AF18" s="20">
        <f>IFERROR(VLOOKUP($A18,subQ,MATCH(AF$1,SUBQH,0),0),"")</f>
        <v/>
      </c>
      <c r="AG18" s="20">
        <f>IFERROR(VLOOKUP($A18,subQ,MATCH(AG$1,SUBQH,0),0),"")</f>
        <v/>
      </c>
    </row>
    <row r="19">
      <c r="A19" s="12" t="inlineStr">
        <is>
          <t>법인세비용</t>
        </is>
      </c>
      <c r="D19" t="inlineStr">
        <is>
          <t>법인세비용</t>
        </is>
      </c>
      <c r="E19" s="18">
        <f>IFERROR(VLOOKUP($A19,subQ,MATCH(E$1,SUBQH,0),0),"")</f>
        <v/>
      </c>
      <c r="F19" s="18">
        <f>IFERROR(VLOOKUP($A19,subQ,MATCH(F$1,SUBQH,0),0),"")</f>
        <v/>
      </c>
      <c r="G19" s="18">
        <f>IFERROR(VLOOKUP($A19,subQ,MATCH(G$1,SUBQH,0),0),"")</f>
        <v/>
      </c>
      <c r="H19" s="18">
        <f>IFERROR(VLOOKUP($A19,subQ,MATCH(H$1,SUBQH,0),0),"")</f>
        <v/>
      </c>
      <c r="I19" s="18">
        <f>IFERROR(VLOOKUP($A19,subQ,MATCH(I$1,SUBQH,0),0),"")</f>
        <v/>
      </c>
      <c r="J19" s="18">
        <f>IFERROR(VLOOKUP($A19,subQ,MATCH(J$1,SUBQH,0),0),"")</f>
        <v/>
      </c>
      <c r="K19" s="18">
        <f>IFERROR(VLOOKUP($A19,subQ,MATCH(K$1,SUBQH,0),0),"")</f>
        <v/>
      </c>
      <c r="L19" s="18">
        <f>IFERROR(VLOOKUP($A19,subQ,MATCH(L$1,SUBQH,0),0),"")</f>
        <v/>
      </c>
      <c r="M19" s="18">
        <f>IFERROR(VLOOKUP($A19,subQ,MATCH(M$1,SUBQH,0),0),"")</f>
        <v/>
      </c>
      <c r="N19" s="18">
        <f>IFERROR(VLOOKUP($A19,subQ,MATCH(N$1,SUBQH,0),0),"")</f>
        <v/>
      </c>
      <c r="O19" s="18">
        <f>IFERROR(VLOOKUP($A19,subQ,MATCH(O$1,SUBQH,0),0),"")</f>
        <v/>
      </c>
      <c r="P19" s="18">
        <f>IFERROR(VLOOKUP($A19,subQ,MATCH(P$1,SUBQH,0),0),"")</f>
        <v/>
      </c>
      <c r="Q19" s="18">
        <f>IFERROR(VLOOKUP($A19,subQ,MATCH(Q$1,SUBQH,0),0),"")</f>
        <v/>
      </c>
      <c r="R19" s="18">
        <f>IFERROR(VLOOKUP($A19,subQ,MATCH(R$1,SUBQH,0),0),"")</f>
        <v/>
      </c>
      <c r="S19" s="18">
        <f>IFERROR(VLOOKUP($A19,subQ,MATCH(S$1,SUBQH,0),0),"")</f>
        <v/>
      </c>
      <c r="T19" s="18">
        <f>IFERROR(VLOOKUP($A19,subQ,MATCH(T$1,SUBQH,0),0),"")</f>
        <v/>
      </c>
      <c r="U19" s="18">
        <f>IFERROR(VLOOKUP($A19,subQ,MATCH(U$1,SUBQH,0),0),"")</f>
        <v/>
      </c>
      <c r="V19" s="18">
        <f>IFERROR(VLOOKUP($A19,subQ,MATCH(V$1,SUBQH,0),0),"")</f>
        <v/>
      </c>
      <c r="W19" s="45">
        <f>IFERROR(VLOOKUP($A19,subQ,MATCH(W$1,SUBQH,0),0),"")</f>
        <v/>
      </c>
      <c r="X19" s="20">
        <f>IFERROR(VLOOKUP($A19,subQ,MATCH(X$1,SUBQH,0),0),"")</f>
        <v/>
      </c>
      <c r="Y19" s="20">
        <f>IFERROR(VLOOKUP($A19,subQ,MATCH(Y$1,SUBQH,0),0),"")</f>
        <v/>
      </c>
      <c r="Z19" s="20">
        <f>IFERROR(VLOOKUP($A19,subQ,MATCH(Z$1,SUBQH,0),0),"")</f>
        <v/>
      </c>
      <c r="AA19" s="20">
        <f>IFERROR(VLOOKUP($A19,subQ,MATCH(AA$1,SUBQH,0),0),"")</f>
        <v/>
      </c>
      <c r="AB19" s="20">
        <f>IFERROR(VLOOKUP($A19,subQ,MATCH(AB$1,SUBQH,0),0),"")</f>
        <v/>
      </c>
      <c r="AC19" s="20">
        <f>IFERROR(VLOOKUP($A19,subQ,MATCH(AC$1,SUBQH,0),0),"")</f>
        <v/>
      </c>
      <c r="AD19" s="20">
        <f>IFERROR(VLOOKUP($A19,subQ,MATCH(AD$1,SUBQH,0),0),"")</f>
        <v/>
      </c>
      <c r="AE19" s="20">
        <f>IFERROR(VLOOKUP($A19,subQ,MATCH(AE$1,SUBQH,0),0),"")</f>
        <v/>
      </c>
      <c r="AF19" s="20">
        <f>IFERROR(VLOOKUP($A19,subQ,MATCH(AF$1,SUBQH,0),0),"")</f>
        <v/>
      </c>
      <c r="AG19" s="20">
        <f>IFERROR(VLOOKUP($A19,subQ,MATCH(AG$1,SUBQH,0),0),"")</f>
        <v/>
      </c>
    </row>
    <row r="20">
      <c r="A20" s="12" t="inlineStr">
        <is>
          <t>당기순이익</t>
        </is>
      </c>
      <c r="D20" t="inlineStr">
        <is>
          <t>당기순이익</t>
        </is>
      </c>
      <c r="E20" s="18">
        <f>IFERROR(VLOOKUP($A20,subQ,MATCH(E$1,SUBQH,0),0),"")</f>
        <v/>
      </c>
      <c r="F20" s="18">
        <f>IFERROR(VLOOKUP($A20,subQ,MATCH(F$1,SUBQH,0),0),"")</f>
        <v/>
      </c>
      <c r="G20" s="18">
        <f>IFERROR(VLOOKUP($A20,subQ,MATCH(G$1,SUBQH,0),0),"")</f>
        <v/>
      </c>
      <c r="H20" s="18">
        <f>IFERROR(VLOOKUP($A20,subQ,MATCH(H$1,SUBQH,0),0),"")</f>
        <v/>
      </c>
      <c r="I20" s="18">
        <f>IFERROR(VLOOKUP($A20,subQ,MATCH(I$1,SUBQH,0),0),"")</f>
        <v/>
      </c>
      <c r="J20" s="18">
        <f>IFERROR(VLOOKUP($A20,subQ,MATCH(J$1,SUBQH,0),0),"")</f>
        <v/>
      </c>
      <c r="K20" s="18">
        <f>IFERROR(VLOOKUP($A20,subQ,MATCH(K$1,SUBQH,0),0),"")</f>
        <v/>
      </c>
      <c r="L20" s="18">
        <f>IFERROR(VLOOKUP($A20,subQ,MATCH(L$1,SUBQH,0),0),"")</f>
        <v/>
      </c>
      <c r="M20" s="18">
        <f>IFERROR(VLOOKUP($A20,subQ,MATCH(M$1,SUBQH,0),0),"")</f>
        <v/>
      </c>
      <c r="N20" s="18">
        <f>IFERROR(VLOOKUP($A20,subQ,MATCH(N$1,SUBQH,0),0),"")</f>
        <v/>
      </c>
      <c r="O20" s="18">
        <f>IFERROR(VLOOKUP($A20,subQ,MATCH(O$1,SUBQH,0),0),"")</f>
        <v/>
      </c>
      <c r="P20" s="18">
        <f>IFERROR(VLOOKUP($A20,subQ,MATCH(P$1,SUBQH,0),0),"")</f>
        <v/>
      </c>
      <c r="Q20" s="18">
        <f>IFERROR(VLOOKUP($A20,subQ,MATCH(Q$1,SUBQH,0),0),"")</f>
        <v/>
      </c>
      <c r="R20" s="18">
        <f>IFERROR(VLOOKUP($A20,subQ,MATCH(R$1,SUBQH,0),0),"")</f>
        <v/>
      </c>
      <c r="S20" s="18">
        <f>IFERROR(VLOOKUP($A20,subQ,MATCH(S$1,SUBQH,0),0),"")</f>
        <v/>
      </c>
      <c r="T20" s="18">
        <f>IFERROR(VLOOKUP($A20,subQ,MATCH(T$1,SUBQH,0),0),"")</f>
        <v/>
      </c>
      <c r="U20" s="18">
        <f>IFERROR(VLOOKUP($A20,subQ,MATCH(U$1,SUBQH,0),0),"")</f>
        <v/>
      </c>
      <c r="V20" s="18">
        <f>IFERROR(VLOOKUP($A20,subQ,MATCH(V$1,SUBQH,0),0),"")</f>
        <v/>
      </c>
      <c r="W20" s="45">
        <f>IFERROR(VLOOKUP($A20,subQ,MATCH(W$1,SUBQH,0),0),"")</f>
        <v/>
      </c>
      <c r="X20" s="20">
        <f>IFERROR(VLOOKUP($A20,subQ,MATCH(X$1,SUBQH,0),0),"")</f>
        <v/>
      </c>
      <c r="Y20" s="20">
        <f>IFERROR(VLOOKUP($A20,subQ,MATCH(Y$1,SUBQH,0),0),"")</f>
        <v/>
      </c>
      <c r="Z20" s="20">
        <f>IFERROR(VLOOKUP($A20,subQ,MATCH(Z$1,SUBQH,0),0),"")</f>
        <v/>
      </c>
      <c r="AA20" s="20">
        <f>IFERROR(VLOOKUP($A20,subQ,MATCH(AA$1,SUBQH,0),0),"")</f>
        <v/>
      </c>
      <c r="AB20" s="20">
        <f>IFERROR(VLOOKUP($A20,subQ,MATCH(AB$1,SUBQH,0),0),"")</f>
        <v/>
      </c>
      <c r="AC20" s="20">
        <f>IFERROR(VLOOKUP($A20,subQ,MATCH(AC$1,SUBQH,0),0),"")</f>
        <v/>
      </c>
      <c r="AD20" s="20">
        <f>IFERROR(VLOOKUP($A20,subQ,MATCH(AD$1,SUBQH,0),0),"")</f>
        <v/>
      </c>
      <c r="AE20" s="20">
        <f>IFERROR(VLOOKUP($A20,subQ,MATCH(AE$1,SUBQH,0),0),"")</f>
        <v/>
      </c>
      <c r="AF20" s="20">
        <f>IFERROR(VLOOKUP($A20,subQ,MATCH(AF$1,SUBQH,0),0),"")</f>
        <v/>
      </c>
      <c r="AG20" s="20">
        <f>IFERROR(VLOOKUP($A20,subQ,MATCH(AG$1,SUBQH,0),0),"")</f>
        <v/>
      </c>
    </row>
    <row r="21">
      <c r="A21" s="12" t="inlineStr">
        <is>
          <t>지배주주순이익</t>
        </is>
      </c>
      <c r="D21" t="inlineStr">
        <is>
          <t>지배주주순이익</t>
        </is>
      </c>
      <c r="E21" s="18">
        <f>IFERROR(VLOOKUP($A21,subQ,MATCH(E$1,SUBQH,0),0),"")</f>
        <v/>
      </c>
      <c r="F21" s="18">
        <f>IFERROR(VLOOKUP($A21,subQ,MATCH(F$1,SUBQH,0),0),"")</f>
        <v/>
      </c>
      <c r="G21" s="18">
        <f>IFERROR(VLOOKUP($A21,subQ,MATCH(G$1,SUBQH,0),0),"")</f>
        <v/>
      </c>
      <c r="H21" s="18">
        <f>IFERROR(VLOOKUP($A21,subQ,MATCH(H$1,SUBQH,0),0),"")</f>
        <v/>
      </c>
      <c r="I21" s="18">
        <f>IFERROR(VLOOKUP($A21,subQ,MATCH(I$1,SUBQH,0),0),"")</f>
        <v/>
      </c>
      <c r="J21" s="18">
        <f>IFERROR(VLOOKUP($A21,subQ,MATCH(J$1,SUBQH,0),0),"")</f>
        <v/>
      </c>
      <c r="K21" s="18">
        <f>IFERROR(VLOOKUP($A21,subQ,MATCH(K$1,SUBQH,0),0),"")</f>
        <v/>
      </c>
      <c r="L21" s="18">
        <f>IFERROR(VLOOKUP($A21,subQ,MATCH(L$1,SUBQH,0),0),"")</f>
        <v/>
      </c>
      <c r="M21" s="18">
        <f>IFERROR(VLOOKUP($A21,subQ,MATCH(M$1,SUBQH,0),0),"")</f>
        <v/>
      </c>
      <c r="N21" s="18">
        <f>IFERROR(VLOOKUP($A21,subQ,MATCH(N$1,SUBQH,0),0),"")</f>
        <v/>
      </c>
      <c r="O21" s="18">
        <f>IFERROR(VLOOKUP($A21,subQ,MATCH(O$1,SUBQH,0),0),"")</f>
        <v/>
      </c>
      <c r="P21" s="18">
        <f>IFERROR(VLOOKUP($A21,subQ,MATCH(P$1,SUBQH,0),0),"")</f>
        <v/>
      </c>
      <c r="Q21" s="18">
        <f>IFERROR(VLOOKUP($A21,subQ,MATCH(Q$1,SUBQH,0),0),"")</f>
        <v/>
      </c>
      <c r="R21" s="18">
        <f>IFERROR(VLOOKUP($A21,subQ,MATCH(R$1,SUBQH,0),0),"")</f>
        <v/>
      </c>
      <c r="S21" s="18">
        <f>IFERROR(VLOOKUP($A21,subQ,MATCH(S$1,SUBQH,0),0),"")</f>
        <v/>
      </c>
      <c r="T21" s="18">
        <f>IFERROR(VLOOKUP($A21,subQ,MATCH(T$1,SUBQH,0),0),"")</f>
        <v/>
      </c>
      <c r="U21" s="18">
        <f>IFERROR(VLOOKUP($A21,subQ,MATCH(U$1,SUBQH,0),0),"")</f>
        <v/>
      </c>
      <c r="V21" s="18">
        <f>IFERROR(VLOOKUP($A21,subQ,MATCH(V$1,SUBQH,0),0),"")</f>
        <v/>
      </c>
      <c r="W21" s="45">
        <f>IFERROR(VLOOKUP($A21,subQ,MATCH(W$1,SUBQH,0),0),"")</f>
        <v/>
      </c>
      <c r="X21" s="20">
        <f>IFERROR(VLOOKUP($A21,subQ,MATCH(X$1,SUBQH,0),0),"")</f>
        <v/>
      </c>
      <c r="Y21" s="20">
        <f>IFERROR(VLOOKUP($A21,subQ,MATCH(Y$1,SUBQH,0),0),"")</f>
        <v/>
      </c>
      <c r="Z21" s="20">
        <f>IFERROR(VLOOKUP($A21,subQ,MATCH(Z$1,SUBQH,0),0),"")</f>
        <v/>
      </c>
      <c r="AA21" s="20">
        <f>IFERROR(VLOOKUP($A21,subQ,MATCH(AA$1,SUBQH,0),0),"")</f>
        <v/>
      </c>
      <c r="AB21" s="20">
        <f>IFERROR(VLOOKUP($A21,subQ,MATCH(AB$1,SUBQH,0),0),"")</f>
        <v/>
      </c>
      <c r="AC21" s="20">
        <f>IFERROR(VLOOKUP($A21,subQ,MATCH(AC$1,SUBQH,0),0),"")</f>
        <v/>
      </c>
      <c r="AD21" s="20">
        <f>IFERROR(VLOOKUP($A21,subQ,MATCH(AD$1,SUBQH,0),0),"")</f>
        <v/>
      </c>
      <c r="AE21" s="20">
        <f>IFERROR(VLOOKUP($A21,subQ,MATCH(AE$1,SUBQH,0),0),"")</f>
        <v/>
      </c>
      <c r="AF21" s="20">
        <f>IFERROR(VLOOKUP($A21,subQ,MATCH(AF$1,SUBQH,0),0),"")</f>
        <v/>
      </c>
      <c r="AG21" s="20">
        <f>IFERROR(VLOOKUP($A21,subQ,MATCH(AG$1,SUBQH,0),0),"")</f>
        <v/>
      </c>
    </row>
    <row r="22">
      <c r="A22" s="12" t="inlineStr">
        <is>
          <t>자산총계</t>
        </is>
      </c>
      <c r="D22" t="inlineStr">
        <is>
          <t>자산총계</t>
        </is>
      </c>
      <c r="E22" s="18">
        <f>IFERROR(VLOOKUP($A22,subQ,MATCH(E$1,SUBQH,0),0),"")</f>
        <v/>
      </c>
      <c r="F22" s="18">
        <f>IFERROR(VLOOKUP($A22,subQ,MATCH(F$1,SUBQH,0),0),"")</f>
        <v/>
      </c>
      <c r="G22" s="18">
        <f>IFERROR(VLOOKUP($A22,subQ,MATCH(G$1,SUBQH,0),0),"")</f>
        <v/>
      </c>
      <c r="H22" s="18">
        <f>IFERROR(VLOOKUP($A22,subQ,MATCH(H$1,SUBQH,0),0),"")</f>
        <v/>
      </c>
      <c r="I22" s="18">
        <f>IFERROR(VLOOKUP($A22,subQ,MATCH(I$1,SUBQH,0),0),"")</f>
        <v/>
      </c>
      <c r="J22" s="18">
        <f>IFERROR(VLOOKUP($A22,subQ,MATCH(J$1,SUBQH,0),0),"")</f>
        <v/>
      </c>
      <c r="K22" s="18">
        <f>IFERROR(VLOOKUP($A22,subQ,MATCH(K$1,SUBQH,0),0),"")</f>
        <v/>
      </c>
      <c r="L22" s="18">
        <f>IFERROR(VLOOKUP($A22,subQ,MATCH(L$1,SUBQH,0),0),"")</f>
        <v/>
      </c>
      <c r="M22" s="18">
        <f>IFERROR(VLOOKUP($A22,subQ,MATCH(M$1,SUBQH,0),0),"")</f>
        <v/>
      </c>
      <c r="N22" s="18">
        <f>IFERROR(VLOOKUP($A22,subQ,MATCH(N$1,SUBQH,0),0),"")</f>
        <v/>
      </c>
      <c r="O22" s="18">
        <f>IFERROR(VLOOKUP($A22,subQ,MATCH(O$1,SUBQH,0),0),"")</f>
        <v/>
      </c>
      <c r="P22" s="18">
        <f>IFERROR(VLOOKUP($A22,subQ,MATCH(P$1,SUBQH,0),0),"")</f>
        <v/>
      </c>
      <c r="Q22" s="18">
        <f>IFERROR(VLOOKUP($A22,subQ,MATCH(Q$1,SUBQH,0),0),"")</f>
        <v/>
      </c>
      <c r="R22" s="18">
        <f>IFERROR(VLOOKUP($A22,subQ,MATCH(R$1,SUBQH,0),0),"")</f>
        <v/>
      </c>
      <c r="S22" s="18">
        <f>IFERROR(VLOOKUP($A22,subQ,MATCH(S$1,SUBQH,0),0),"")</f>
        <v/>
      </c>
      <c r="T22" s="18">
        <f>IFERROR(VLOOKUP($A22,subQ,MATCH(T$1,SUBQH,0),0),"")</f>
        <v/>
      </c>
      <c r="U22" s="18">
        <f>IFERROR(VLOOKUP($A22,subQ,MATCH(U$1,SUBQH,0),0),"")</f>
        <v/>
      </c>
      <c r="V22" s="18">
        <f>IFERROR(VLOOKUP($A22,subQ,MATCH(V$1,SUBQH,0),0),"")</f>
        <v/>
      </c>
      <c r="W22" s="45">
        <f>IFERROR(VLOOKUP($A22,subQ,MATCH(W$1,SUBQH,0),0),"")</f>
        <v/>
      </c>
      <c r="X22" s="20">
        <f>IFERROR(VLOOKUP($A22,subQ,MATCH(X$1,SUBQH,0),0),"")</f>
        <v/>
      </c>
      <c r="Y22" s="20">
        <f>IFERROR(VLOOKUP($A22,subQ,MATCH(Y$1,SUBQH,0),0),"")</f>
        <v/>
      </c>
      <c r="Z22" s="20">
        <f>IFERROR(VLOOKUP($A22,subQ,MATCH(Z$1,SUBQH,0),0),"")</f>
        <v/>
      </c>
      <c r="AA22" s="20">
        <f>IFERROR(VLOOKUP($A22,subQ,MATCH(AA$1,SUBQH,0),0),"")</f>
        <v/>
      </c>
      <c r="AB22" s="20">
        <f>IFERROR(VLOOKUP($A22,subQ,MATCH(AB$1,SUBQH,0),0),"")</f>
        <v/>
      </c>
      <c r="AC22" s="20">
        <f>IFERROR(VLOOKUP($A22,subQ,MATCH(AC$1,SUBQH,0),0),"")</f>
        <v/>
      </c>
      <c r="AD22" s="20">
        <f>IFERROR(VLOOKUP($A22,subQ,MATCH(AD$1,SUBQH,0),0),"")</f>
        <v/>
      </c>
      <c r="AE22" s="20">
        <f>IFERROR(VLOOKUP($A22,subQ,MATCH(AE$1,SUBQH,0),0),"")</f>
        <v/>
      </c>
      <c r="AF22" s="20">
        <f>IFERROR(VLOOKUP($A22,subQ,MATCH(AF$1,SUBQH,0),0),"")</f>
        <v/>
      </c>
      <c r="AG22" s="20">
        <f>IFERROR(VLOOKUP($A22,subQ,MATCH(AG$1,SUBQH,0),0),"")</f>
        <v/>
      </c>
    </row>
    <row r="23">
      <c r="A23" s="12" t="inlineStr">
        <is>
          <t>부채총계</t>
        </is>
      </c>
      <c r="D23" t="inlineStr">
        <is>
          <t>부채총계</t>
        </is>
      </c>
      <c r="E23" s="18">
        <f>IFERROR(VLOOKUP($A23,subQ,MATCH(E$1,SUBQH,0),0),"")</f>
        <v/>
      </c>
      <c r="F23" s="18">
        <f>IFERROR(VLOOKUP($A23,subQ,MATCH(F$1,SUBQH,0),0),"")</f>
        <v/>
      </c>
      <c r="G23" s="18">
        <f>IFERROR(VLOOKUP($A23,subQ,MATCH(G$1,SUBQH,0),0),"")</f>
        <v/>
      </c>
      <c r="H23" s="18">
        <f>IFERROR(VLOOKUP($A23,subQ,MATCH(H$1,SUBQH,0),0),"")</f>
        <v/>
      </c>
      <c r="I23" s="18">
        <f>IFERROR(VLOOKUP($A23,subQ,MATCH(I$1,SUBQH,0),0),"")</f>
        <v/>
      </c>
      <c r="J23" s="18">
        <f>IFERROR(VLOOKUP($A23,subQ,MATCH(J$1,SUBQH,0),0),"")</f>
        <v/>
      </c>
      <c r="K23" s="18">
        <f>IFERROR(VLOOKUP($A23,subQ,MATCH(K$1,SUBQH,0),0),"")</f>
        <v/>
      </c>
      <c r="L23" s="18">
        <f>IFERROR(VLOOKUP($A23,subQ,MATCH(L$1,SUBQH,0),0),"")</f>
        <v/>
      </c>
      <c r="M23" s="18">
        <f>IFERROR(VLOOKUP($A23,subQ,MATCH(M$1,SUBQH,0),0),"")</f>
        <v/>
      </c>
      <c r="N23" s="18">
        <f>IFERROR(VLOOKUP($A23,subQ,MATCH(N$1,SUBQH,0),0),"")</f>
        <v/>
      </c>
      <c r="O23" s="18">
        <f>IFERROR(VLOOKUP($A23,subQ,MATCH(O$1,SUBQH,0),0),"")</f>
        <v/>
      </c>
      <c r="P23" s="18">
        <f>IFERROR(VLOOKUP($A23,subQ,MATCH(P$1,SUBQH,0),0),"")</f>
        <v/>
      </c>
      <c r="Q23" s="18">
        <f>IFERROR(VLOOKUP($A23,subQ,MATCH(Q$1,SUBQH,0),0),"")</f>
        <v/>
      </c>
      <c r="R23" s="18">
        <f>IFERROR(VLOOKUP($A23,subQ,MATCH(R$1,SUBQH,0),0),"")</f>
        <v/>
      </c>
      <c r="S23" s="18">
        <f>IFERROR(VLOOKUP($A23,subQ,MATCH(S$1,SUBQH,0),0),"")</f>
        <v/>
      </c>
      <c r="T23" s="18">
        <f>IFERROR(VLOOKUP($A23,subQ,MATCH(T$1,SUBQH,0),0),"")</f>
        <v/>
      </c>
      <c r="U23" s="18">
        <f>IFERROR(VLOOKUP($A23,subQ,MATCH(U$1,SUBQH,0),0),"")</f>
        <v/>
      </c>
      <c r="V23" s="18">
        <f>IFERROR(VLOOKUP($A23,subQ,MATCH(V$1,SUBQH,0),0),"")</f>
        <v/>
      </c>
      <c r="W23" s="45">
        <f>IFERROR(VLOOKUP($A23,subQ,MATCH(W$1,SUBQH,0),0),"")</f>
        <v/>
      </c>
      <c r="X23" s="20">
        <f>IFERROR(VLOOKUP($A23,subQ,MATCH(X$1,SUBQH,0),0),"")</f>
        <v/>
      </c>
      <c r="Y23" s="20">
        <f>IFERROR(VLOOKUP($A23,subQ,MATCH(Y$1,SUBQH,0),0),"")</f>
        <v/>
      </c>
      <c r="Z23" s="20">
        <f>IFERROR(VLOOKUP($A23,subQ,MATCH(Z$1,SUBQH,0),0),"")</f>
        <v/>
      </c>
      <c r="AA23" s="20">
        <f>IFERROR(VLOOKUP($A23,subQ,MATCH(AA$1,SUBQH,0),0),"")</f>
        <v/>
      </c>
      <c r="AB23" s="20">
        <f>IFERROR(VLOOKUP($A23,subQ,MATCH(AB$1,SUBQH,0),0),"")</f>
        <v/>
      </c>
      <c r="AC23" s="20">
        <f>IFERROR(VLOOKUP($A23,subQ,MATCH(AC$1,SUBQH,0),0),"")</f>
        <v/>
      </c>
      <c r="AD23" s="20">
        <f>IFERROR(VLOOKUP($A23,subQ,MATCH(AD$1,SUBQH,0),0),"")</f>
        <v/>
      </c>
      <c r="AE23" s="20">
        <f>IFERROR(VLOOKUP($A23,subQ,MATCH(AE$1,SUBQH,0),0),"")</f>
        <v/>
      </c>
      <c r="AF23" s="20">
        <f>IFERROR(VLOOKUP($A23,subQ,MATCH(AF$1,SUBQH,0),0),"")</f>
        <v/>
      </c>
      <c r="AG23" s="20">
        <f>IFERROR(VLOOKUP($A23,subQ,MATCH(AG$1,SUBQH,0),0),"")</f>
        <v/>
      </c>
    </row>
    <row r="24">
      <c r="A24" s="12" t="inlineStr">
        <is>
          <t>자본총계</t>
        </is>
      </c>
      <c r="D24" t="inlineStr">
        <is>
          <t>자본총계</t>
        </is>
      </c>
      <c r="E24" s="18">
        <f>IFERROR(VLOOKUP($A24,subQ,MATCH(E$1,SUBQH,0),0),"")</f>
        <v/>
      </c>
      <c r="F24" s="18">
        <f>IFERROR(VLOOKUP($A24,subQ,MATCH(F$1,SUBQH,0),0),"")</f>
        <v/>
      </c>
      <c r="G24" s="18">
        <f>IFERROR(VLOOKUP($A24,subQ,MATCH(G$1,SUBQH,0),0),"")</f>
        <v/>
      </c>
      <c r="H24" s="18">
        <f>IFERROR(VLOOKUP($A24,subQ,MATCH(H$1,SUBQH,0),0),"")</f>
        <v/>
      </c>
      <c r="I24" s="18">
        <f>IFERROR(VLOOKUP($A24,subQ,MATCH(I$1,SUBQH,0),0),"")</f>
        <v/>
      </c>
      <c r="J24" s="18">
        <f>IFERROR(VLOOKUP($A24,subQ,MATCH(J$1,SUBQH,0),0),"")</f>
        <v/>
      </c>
      <c r="K24" s="18">
        <f>IFERROR(VLOOKUP($A24,subQ,MATCH(K$1,SUBQH,0),0),"")</f>
        <v/>
      </c>
      <c r="L24" s="18">
        <f>IFERROR(VLOOKUP($A24,subQ,MATCH(L$1,SUBQH,0),0),"")</f>
        <v/>
      </c>
      <c r="M24" s="18">
        <f>IFERROR(VLOOKUP($A24,subQ,MATCH(M$1,SUBQH,0),0),"")</f>
        <v/>
      </c>
      <c r="N24" s="18">
        <f>IFERROR(VLOOKUP($A24,subQ,MATCH(N$1,SUBQH,0),0),"")</f>
        <v/>
      </c>
      <c r="O24" s="18">
        <f>IFERROR(VLOOKUP($A24,subQ,MATCH(O$1,SUBQH,0),0),"")</f>
        <v/>
      </c>
      <c r="P24" s="18">
        <f>IFERROR(VLOOKUP($A24,subQ,MATCH(P$1,SUBQH,0),0),"")</f>
        <v/>
      </c>
      <c r="Q24" s="18">
        <f>IFERROR(VLOOKUP($A24,subQ,MATCH(Q$1,SUBQH,0),0),"")</f>
        <v/>
      </c>
      <c r="R24" s="18">
        <f>IFERROR(VLOOKUP($A24,subQ,MATCH(R$1,SUBQH,0),0),"")</f>
        <v/>
      </c>
      <c r="S24" s="18">
        <f>IFERROR(VLOOKUP($A24,subQ,MATCH(S$1,SUBQH,0),0),"")</f>
        <v/>
      </c>
      <c r="T24" s="18">
        <f>IFERROR(VLOOKUP($A24,subQ,MATCH(T$1,SUBQH,0),0),"")</f>
        <v/>
      </c>
      <c r="U24" s="18">
        <f>IFERROR(VLOOKUP($A24,subQ,MATCH(U$1,SUBQH,0),0),"")</f>
        <v/>
      </c>
      <c r="V24" s="18">
        <f>IFERROR(VLOOKUP($A24,subQ,MATCH(V$1,SUBQH,0),0),"")</f>
        <v/>
      </c>
      <c r="W24" s="45">
        <f>IFERROR(VLOOKUP($A24,subQ,MATCH(W$1,SUBQH,0),0),"")</f>
        <v/>
      </c>
      <c r="X24" s="20">
        <f>IFERROR(VLOOKUP($A24,subQ,MATCH(X$1,SUBQH,0),0),"")</f>
        <v/>
      </c>
      <c r="Y24" s="20">
        <f>IFERROR(VLOOKUP($A24,subQ,MATCH(Y$1,SUBQH,0),0),"")</f>
        <v/>
      </c>
      <c r="Z24" s="20">
        <f>IFERROR(VLOOKUP($A24,subQ,MATCH(Z$1,SUBQH,0),0),"")</f>
        <v/>
      </c>
      <c r="AA24" s="20">
        <f>IFERROR(VLOOKUP($A24,subQ,MATCH(AA$1,SUBQH,0),0),"")</f>
        <v/>
      </c>
      <c r="AB24" s="20">
        <f>IFERROR(VLOOKUP($A24,subQ,MATCH(AB$1,SUBQH,0),0),"")</f>
        <v/>
      </c>
      <c r="AC24" s="20">
        <f>IFERROR(VLOOKUP($A24,subQ,MATCH(AC$1,SUBQH,0),0),"")</f>
        <v/>
      </c>
      <c r="AD24" s="20">
        <f>IFERROR(VLOOKUP($A24,subQ,MATCH(AD$1,SUBQH,0),0),"")</f>
        <v/>
      </c>
      <c r="AE24" s="20">
        <f>IFERROR(VLOOKUP($A24,subQ,MATCH(AE$1,SUBQH,0),0),"")</f>
        <v/>
      </c>
      <c r="AF24" s="20">
        <f>IFERROR(VLOOKUP($A24,subQ,MATCH(AF$1,SUBQH,0),0),"")</f>
        <v/>
      </c>
      <c r="AG24" s="20">
        <f>IFERROR(VLOOKUP($A24,subQ,MATCH(AG$1,SUBQH,0),0),"")</f>
        <v/>
      </c>
    </row>
    <row r="25">
      <c r="A25" s="12" t="inlineStr">
        <is>
          <t>지배주주지분</t>
        </is>
      </c>
      <c r="D25" t="inlineStr">
        <is>
          <t>지배주주지분</t>
        </is>
      </c>
      <c r="E25" s="18">
        <f>IFERROR(VLOOKUP($A25,subQ,MATCH(E$1,SUBQH,0),0),"")</f>
        <v/>
      </c>
      <c r="F25" s="18">
        <f>IFERROR(VLOOKUP($A25,subQ,MATCH(F$1,SUBQH,0),0),"")</f>
        <v/>
      </c>
      <c r="G25" s="18">
        <f>IFERROR(VLOOKUP($A25,subQ,MATCH(G$1,SUBQH,0),0),"")</f>
        <v/>
      </c>
      <c r="H25" s="18">
        <f>IFERROR(VLOOKUP($A25,subQ,MATCH(H$1,SUBQH,0),0),"")</f>
        <v/>
      </c>
      <c r="I25" s="18">
        <f>IFERROR(VLOOKUP($A25,subQ,MATCH(I$1,SUBQH,0),0),"")</f>
        <v/>
      </c>
      <c r="J25" s="18">
        <f>IFERROR(VLOOKUP($A25,subQ,MATCH(J$1,SUBQH,0),0),"")</f>
        <v/>
      </c>
      <c r="K25" s="18">
        <f>IFERROR(VLOOKUP($A25,subQ,MATCH(K$1,SUBQH,0),0),"")</f>
        <v/>
      </c>
      <c r="L25" s="18">
        <f>IFERROR(VLOOKUP($A25,subQ,MATCH(L$1,SUBQH,0),0),"")</f>
        <v/>
      </c>
      <c r="M25" s="18">
        <f>IFERROR(VLOOKUP($A25,subQ,MATCH(M$1,SUBQH,0),0),"")</f>
        <v/>
      </c>
      <c r="N25" s="18">
        <f>IFERROR(VLOOKUP($A25,subQ,MATCH(N$1,SUBQH,0),0),"")</f>
        <v/>
      </c>
      <c r="O25" s="18">
        <f>IFERROR(VLOOKUP($A25,subQ,MATCH(O$1,SUBQH,0),0),"")</f>
        <v/>
      </c>
      <c r="P25" s="18">
        <f>IFERROR(VLOOKUP($A25,subQ,MATCH(P$1,SUBQH,0),0),"")</f>
        <v/>
      </c>
      <c r="Q25" s="18">
        <f>IFERROR(VLOOKUP($A25,subQ,MATCH(Q$1,SUBQH,0),0),"")</f>
        <v/>
      </c>
      <c r="R25" s="18">
        <f>IFERROR(VLOOKUP($A25,subQ,MATCH(R$1,SUBQH,0),0),"")</f>
        <v/>
      </c>
      <c r="S25" s="18">
        <f>IFERROR(VLOOKUP($A25,subQ,MATCH(S$1,SUBQH,0),0),"")</f>
        <v/>
      </c>
      <c r="T25" s="18">
        <f>IFERROR(VLOOKUP($A25,subQ,MATCH(T$1,SUBQH,0),0),"")</f>
        <v/>
      </c>
      <c r="U25" s="18">
        <f>IFERROR(VLOOKUP($A25,subQ,MATCH(U$1,SUBQH,0),0),"")</f>
        <v/>
      </c>
      <c r="V25" s="18">
        <f>IFERROR(VLOOKUP($A25,subQ,MATCH(V$1,SUBQH,0),0),"")</f>
        <v/>
      </c>
      <c r="W25" s="45">
        <f>IFERROR(VLOOKUP($A25,subQ,MATCH(W$1,SUBQH,0),0),"")</f>
        <v/>
      </c>
      <c r="X25" s="20">
        <f>IFERROR(VLOOKUP($A25,subQ,MATCH(X$1,SUBQH,0),0),"")</f>
        <v/>
      </c>
      <c r="Y25" s="20">
        <f>IFERROR(VLOOKUP($A25,subQ,MATCH(Y$1,SUBQH,0),0),"")</f>
        <v/>
      </c>
      <c r="Z25" s="20">
        <f>IFERROR(VLOOKUP($A25,subQ,MATCH(Z$1,SUBQH,0),0),"")</f>
        <v/>
      </c>
      <c r="AA25" s="20">
        <f>IFERROR(VLOOKUP($A25,subQ,MATCH(AA$1,SUBQH,0),0),"")</f>
        <v/>
      </c>
      <c r="AB25" s="20">
        <f>IFERROR(VLOOKUP($A25,subQ,MATCH(AB$1,SUBQH,0),0),"")</f>
        <v/>
      </c>
      <c r="AC25" s="20">
        <f>IFERROR(VLOOKUP($A25,subQ,MATCH(AC$1,SUBQH,0),0),"")</f>
        <v/>
      </c>
      <c r="AD25" s="20">
        <f>IFERROR(VLOOKUP($A25,subQ,MATCH(AD$1,SUBQH,0),0),"")</f>
        <v/>
      </c>
      <c r="AE25" s="20">
        <f>IFERROR(VLOOKUP($A25,subQ,MATCH(AE$1,SUBQH,0),0),"")</f>
        <v/>
      </c>
      <c r="AF25" s="20">
        <f>IFERROR(VLOOKUP($A25,subQ,MATCH(AF$1,SUBQH,0),0),"")</f>
        <v/>
      </c>
      <c r="AG25" s="20">
        <f>IFERROR(VLOOKUP($A25,subQ,MATCH(AG$1,SUBQH,0),0),"")</f>
        <v/>
      </c>
    </row>
    <row r="26">
      <c r="A26" s="12" t="inlineStr">
        <is>
          <t>총차입금</t>
        </is>
      </c>
      <c r="D26" t="inlineStr">
        <is>
          <t>총차입금</t>
        </is>
      </c>
      <c r="E26" s="18">
        <f>IFERROR(VLOOKUP($A26,subQ,MATCH(E$1,SUBQH,0),0),"")</f>
        <v/>
      </c>
      <c r="F26" s="18">
        <f>IFERROR(VLOOKUP($A26,subQ,MATCH(F$1,SUBQH,0),0),"")</f>
        <v/>
      </c>
      <c r="G26" s="18">
        <f>IFERROR(VLOOKUP($A26,subQ,MATCH(G$1,SUBQH,0),0),"")</f>
        <v/>
      </c>
      <c r="H26" s="18">
        <f>IFERROR(VLOOKUP($A26,subQ,MATCH(H$1,SUBQH,0),0),"")</f>
        <v/>
      </c>
      <c r="I26" s="18">
        <f>IFERROR(VLOOKUP($A26,subQ,MATCH(I$1,SUBQH,0),0),"")</f>
        <v/>
      </c>
      <c r="J26" s="18">
        <f>IFERROR(VLOOKUP($A26,subQ,MATCH(J$1,SUBQH,0),0),"")</f>
        <v/>
      </c>
      <c r="K26" s="18">
        <f>IFERROR(VLOOKUP($A26,subQ,MATCH(K$1,SUBQH,0),0),"")</f>
        <v/>
      </c>
      <c r="L26" s="18">
        <f>IFERROR(VLOOKUP($A26,subQ,MATCH(L$1,SUBQH,0),0),"")</f>
        <v/>
      </c>
      <c r="M26" s="18">
        <f>IFERROR(VLOOKUP($A26,subQ,MATCH(M$1,SUBQH,0),0),"")</f>
        <v/>
      </c>
      <c r="N26" s="18">
        <f>IFERROR(VLOOKUP($A26,subQ,MATCH(N$1,SUBQH,0),0),"")</f>
        <v/>
      </c>
      <c r="O26" s="18">
        <f>IFERROR(VLOOKUP($A26,subQ,MATCH(O$1,SUBQH,0),0),"")</f>
        <v/>
      </c>
      <c r="P26" s="18">
        <f>IFERROR(VLOOKUP($A26,subQ,MATCH(P$1,SUBQH,0),0),"")</f>
        <v/>
      </c>
      <c r="Q26" s="18">
        <f>IFERROR(VLOOKUP($A26,subQ,MATCH(Q$1,SUBQH,0),0),"")</f>
        <v/>
      </c>
      <c r="R26" s="18">
        <f>IFERROR(VLOOKUP($A26,subQ,MATCH(R$1,SUBQH,0),0),"")</f>
        <v/>
      </c>
      <c r="S26" s="18">
        <f>IFERROR(VLOOKUP($A26,subQ,MATCH(S$1,SUBQH,0),0),"")</f>
        <v/>
      </c>
      <c r="T26" s="18">
        <f>IFERROR(VLOOKUP($A26,subQ,MATCH(T$1,SUBQH,0),0),"")</f>
        <v/>
      </c>
      <c r="U26" s="18">
        <f>IFERROR(VLOOKUP($A26,subQ,MATCH(U$1,SUBQH,0),0),"")</f>
        <v/>
      </c>
      <c r="V26" s="18">
        <f>IFERROR(VLOOKUP($A26,subQ,MATCH(V$1,SUBQH,0),0),"")</f>
        <v/>
      </c>
      <c r="W26" s="45">
        <f>IFERROR(VLOOKUP($A26,subQ,MATCH(W$1,SUBQH,0),0),"")</f>
        <v/>
      </c>
      <c r="X26" s="20">
        <f>IFERROR(VLOOKUP($A26,subQ,MATCH(X$1,SUBQH,0),0),"")</f>
        <v/>
      </c>
      <c r="Y26" s="20">
        <f>IFERROR(VLOOKUP($A26,subQ,MATCH(Y$1,SUBQH,0),0),"")</f>
        <v/>
      </c>
      <c r="Z26" s="20">
        <f>IFERROR(VLOOKUP($A26,subQ,MATCH(Z$1,SUBQH,0),0),"")</f>
        <v/>
      </c>
      <c r="AA26" s="20">
        <f>IFERROR(VLOOKUP($A26,subQ,MATCH(AA$1,SUBQH,0),0),"")</f>
        <v/>
      </c>
      <c r="AB26" s="20">
        <f>IFERROR(VLOOKUP($A26,subQ,MATCH(AB$1,SUBQH,0),0),"")</f>
        <v/>
      </c>
      <c r="AC26" s="20">
        <f>IFERROR(VLOOKUP($A26,subQ,MATCH(AC$1,SUBQH,0),0),"")</f>
        <v/>
      </c>
      <c r="AD26" s="20">
        <f>IFERROR(VLOOKUP($A26,subQ,MATCH(AD$1,SUBQH,0),0),"")</f>
        <v/>
      </c>
      <c r="AE26" s="20">
        <f>IFERROR(VLOOKUP($A26,subQ,MATCH(AE$1,SUBQH,0),0),"")</f>
        <v/>
      </c>
      <c r="AF26" s="20">
        <f>IFERROR(VLOOKUP($A26,subQ,MATCH(AF$1,SUBQH,0),0),"")</f>
        <v/>
      </c>
      <c r="AG26" s="20">
        <f>IFERROR(VLOOKUP($A26,subQ,MATCH(AG$1,SUBQH,0),0),"")</f>
        <v/>
      </c>
    </row>
    <row r="27">
      <c r="A27" s="12" t="inlineStr">
        <is>
          <t>순차입금</t>
        </is>
      </c>
      <c r="D27" t="inlineStr">
        <is>
          <t>순차입금</t>
        </is>
      </c>
      <c r="E27" s="18">
        <f>IFERROR(VLOOKUP($A27,subQ,MATCH(E$1,SUBQH,0),0),"")</f>
        <v/>
      </c>
      <c r="F27" s="18">
        <f>IFERROR(VLOOKUP($A27,subQ,MATCH(F$1,SUBQH,0),0),"")</f>
        <v/>
      </c>
      <c r="G27" s="18">
        <f>IFERROR(VLOOKUP($A27,subQ,MATCH(G$1,SUBQH,0),0),"")</f>
        <v/>
      </c>
      <c r="H27" s="18">
        <f>IFERROR(VLOOKUP($A27,subQ,MATCH(H$1,SUBQH,0),0),"")</f>
        <v/>
      </c>
      <c r="I27" s="18">
        <f>IFERROR(VLOOKUP($A27,subQ,MATCH(I$1,SUBQH,0),0),"")</f>
        <v/>
      </c>
      <c r="J27" s="18">
        <f>IFERROR(VLOOKUP($A27,subQ,MATCH(J$1,SUBQH,0),0),"")</f>
        <v/>
      </c>
      <c r="K27" s="18">
        <f>IFERROR(VLOOKUP($A27,subQ,MATCH(K$1,SUBQH,0),0),"")</f>
        <v/>
      </c>
      <c r="L27" s="18">
        <f>IFERROR(VLOOKUP($A27,subQ,MATCH(L$1,SUBQH,0),0),"")</f>
        <v/>
      </c>
      <c r="M27" s="18">
        <f>IFERROR(VLOOKUP($A27,subQ,MATCH(M$1,SUBQH,0),0),"")</f>
        <v/>
      </c>
      <c r="N27" s="18">
        <f>IFERROR(VLOOKUP($A27,subQ,MATCH(N$1,SUBQH,0),0),"")</f>
        <v/>
      </c>
      <c r="O27" s="18">
        <f>IFERROR(VLOOKUP($A27,subQ,MATCH(O$1,SUBQH,0),0),"")</f>
        <v/>
      </c>
      <c r="P27" s="18">
        <f>IFERROR(VLOOKUP($A27,subQ,MATCH(P$1,SUBQH,0),0),"")</f>
        <v/>
      </c>
      <c r="Q27" s="18">
        <f>IFERROR(VLOOKUP($A27,subQ,MATCH(Q$1,SUBQH,0),0),"")</f>
        <v/>
      </c>
      <c r="R27" s="18">
        <f>IFERROR(VLOOKUP($A27,subQ,MATCH(R$1,SUBQH,0),0),"")</f>
        <v/>
      </c>
      <c r="S27" s="18">
        <f>IFERROR(VLOOKUP($A27,subQ,MATCH(S$1,SUBQH,0),0),"")</f>
        <v/>
      </c>
      <c r="T27" s="18">
        <f>IFERROR(VLOOKUP($A27,subQ,MATCH(T$1,SUBQH,0),0),"")</f>
        <v/>
      </c>
      <c r="U27" s="18">
        <f>IFERROR(VLOOKUP($A27,subQ,MATCH(U$1,SUBQH,0),0),"")</f>
        <v/>
      </c>
      <c r="V27" s="18">
        <f>IFERROR(VLOOKUP($A27,subQ,MATCH(V$1,SUBQH,0),0),"")</f>
        <v/>
      </c>
      <c r="W27" s="45">
        <f>IFERROR(VLOOKUP($A27,subQ,MATCH(W$1,SUBQH,0),0),"")</f>
        <v/>
      </c>
      <c r="X27" s="20">
        <f>IFERROR(VLOOKUP($A27,subQ,MATCH(X$1,SUBQH,0),0),"")</f>
        <v/>
      </c>
      <c r="Y27" s="20">
        <f>IFERROR(VLOOKUP($A27,subQ,MATCH(Y$1,SUBQH,0),0),"")</f>
        <v/>
      </c>
      <c r="Z27" s="20">
        <f>IFERROR(VLOOKUP($A27,subQ,MATCH(Z$1,SUBQH,0),0),"")</f>
        <v/>
      </c>
      <c r="AA27" s="20">
        <f>IFERROR(VLOOKUP($A27,subQ,MATCH(AA$1,SUBQH,0),0),"")</f>
        <v/>
      </c>
      <c r="AB27" s="20">
        <f>IFERROR(VLOOKUP($A27,subQ,MATCH(AB$1,SUBQH,0),0),"")</f>
        <v/>
      </c>
      <c r="AC27" s="20">
        <f>IFERROR(VLOOKUP($A27,subQ,MATCH(AC$1,SUBQH,0),0),"")</f>
        <v/>
      </c>
      <c r="AD27" s="20">
        <f>IFERROR(VLOOKUP($A27,subQ,MATCH(AD$1,SUBQH,0),0),"")</f>
        <v/>
      </c>
      <c r="AE27" s="20">
        <f>IFERROR(VLOOKUP($A27,subQ,MATCH(AE$1,SUBQH,0),0),"")</f>
        <v/>
      </c>
      <c r="AF27" s="20">
        <f>IFERROR(VLOOKUP($A27,subQ,MATCH(AF$1,SUBQH,0),0),"")</f>
        <v/>
      </c>
      <c r="AG27" s="20">
        <f>IFERROR(VLOOKUP($A27,subQ,MATCH(AG$1,SUBQH,0),0),"")</f>
        <v/>
      </c>
    </row>
    <row r="28">
      <c r="A28" s="12" t="inlineStr">
        <is>
          <t>이자발생자산</t>
        </is>
      </c>
      <c r="D28" t="inlineStr">
        <is>
          <t>이자발생자산</t>
        </is>
      </c>
      <c r="E28" s="18">
        <f>IFERROR(VLOOKUP($A28,subQ,MATCH(E$1,SUBQH,0),0),"")</f>
        <v/>
      </c>
      <c r="F28" s="18">
        <f>IFERROR(VLOOKUP($A28,subQ,MATCH(F$1,SUBQH,0),0),"")</f>
        <v/>
      </c>
      <c r="G28" s="18">
        <f>IFERROR(VLOOKUP($A28,subQ,MATCH(G$1,SUBQH,0),0),"")</f>
        <v/>
      </c>
      <c r="H28" s="18">
        <f>IFERROR(VLOOKUP($A28,subQ,MATCH(H$1,SUBQH,0),0),"")</f>
        <v/>
      </c>
      <c r="I28" s="18">
        <f>IFERROR(VLOOKUP($A28,subQ,MATCH(I$1,SUBQH,0),0),"")</f>
        <v/>
      </c>
      <c r="J28" s="18">
        <f>IFERROR(VLOOKUP($A28,subQ,MATCH(J$1,SUBQH,0),0),"")</f>
        <v/>
      </c>
      <c r="K28" s="18">
        <f>IFERROR(VLOOKUP($A28,subQ,MATCH(K$1,SUBQH,0),0),"")</f>
        <v/>
      </c>
      <c r="L28" s="18">
        <f>IFERROR(VLOOKUP($A28,subQ,MATCH(L$1,SUBQH,0),0),"")</f>
        <v/>
      </c>
      <c r="M28" s="18">
        <f>IFERROR(VLOOKUP($A28,subQ,MATCH(M$1,SUBQH,0),0),"")</f>
        <v/>
      </c>
      <c r="N28" s="18">
        <f>IFERROR(VLOOKUP($A28,subQ,MATCH(N$1,SUBQH,0),0),"")</f>
        <v/>
      </c>
      <c r="O28" s="18">
        <f>IFERROR(VLOOKUP($A28,subQ,MATCH(O$1,SUBQH,0),0),"")</f>
        <v/>
      </c>
      <c r="P28" s="18">
        <f>IFERROR(VLOOKUP($A28,subQ,MATCH(P$1,SUBQH,0),0),"")</f>
        <v/>
      </c>
      <c r="Q28" s="18">
        <f>IFERROR(VLOOKUP($A28,subQ,MATCH(Q$1,SUBQH,0),0),"")</f>
        <v/>
      </c>
      <c r="R28" s="18">
        <f>IFERROR(VLOOKUP($A28,subQ,MATCH(R$1,SUBQH,0),0),"")</f>
        <v/>
      </c>
      <c r="S28" s="18">
        <f>IFERROR(VLOOKUP($A28,subQ,MATCH(S$1,SUBQH,0),0),"")</f>
        <v/>
      </c>
      <c r="T28" s="18">
        <f>IFERROR(VLOOKUP($A28,subQ,MATCH(T$1,SUBQH,0),0),"")</f>
        <v/>
      </c>
      <c r="U28" s="18">
        <f>IFERROR(VLOOKUP($A28,subQ,MATCH(U$1,SUBQH,0),0),"")</f>
        <v/>
      </c>
      <c r="V28" s="18">
        <f>IFERROR(VLOOKUP($A28,subQ,MATCH(V$1,SUBQH,0),0),"")</f>
        <v/>
      </c>
      <c r="W28" s="45">
        <f>IFERROR(VLOOKUP($A28,subQ,MATCH(W$1,SUBQH,0),0),"")</f>
        <v/>
      </c>
      <c r="X28" s="20">
        <f>IFERROR(VLOOKUP($A28,subQ,MATCH(X$1,SUBQH,0),0),"")</f>
        <v/>
      </c>
      <c r="Y28" s="20">
        <f>IFERROR(VLOOKUP($A28,subQ,MATCH(Y$1,SUBQH,0),0),"")</f>
        <v/>
      </c>
      <c r="Z28" s="20">
        <f>IFERROR(VLOOKUP($A28,subQ,MATCH(Z$1,SUBQH,0),0),"")</f>
        <v/>
      </c>
      <c r="AA28" s="20">
        <f>IFERROR(VLOOKUP($A28,subQ,MATCH(AA$1,SUBQH,0),0),"")</f>
        <v/>
      </c>
      <c r="AB28" s="20">
        <f>IFERROR(VLOOKUP($A28,subQ,MATCH(AB$1,SUBQH,0),0),"")</f>
        <v/>
      </c>
      <c r="AC28" s="20">
        <f>IFERROR(VLOOKUP($A28,subQ,MATCH(AC$1,SUBQH,0),0),"")</f>
        <v/>
      </c>
      <c r="AD28" s="20">
        <f>IFERROR(VLOOKUP($A28,subQ,MATCH(AD$1,SUBQH,0),0),"")</f>
        <v/>
      </c>
      <c r="AE28" s="20">
        <f>IFERROR(VLOOKUP($A28,subQ,MATCH(AE$1,SUBQH,0),0),"")</f>
        <v/>
      </c>
      <c r="AF28" s="20">
        <f>IFERROR(VLOOKUP($A28,subQ,MATCH(AF$1,SUBQH,0),0),"")</f>
        <v/>
      </c>
      <c r="AG28" s="20">
        <f>IFERROR(VLOOKUP($A28,subQ,MATCH(AG$1,SUBQH,0),0),"")</f>
        <v/>
      </c>
    </row>
    <row r="29">
      <c r="A29" s="12" t="inlineStr">
        <is>
          <t>현금및현금성자산</t>
        </is>
      </c>
      <c r="D29" t="inlineStr">
        <is>
          <t>현금및현금성자산</t>
        </is>
      </c>
      <c r="E29" s="18">
        <f>IFERROR(VLOOKUP($A29,subQ,MATCH(E$1,SUBQH,0),0),"")</f>
        <v/>
      </c>
      <c r="F29" s="18">
        <f>IFERROR(VLOOKUP($A29,subQ,MATCH(F$1,SUBQH,0),0),"")</f>
        <v/>
      </c>
      <c r="G29" s="18">
        <f>IFERROR(VLOOKUP($A29,subQ,MATCH(G$1,SUBQH,0),0),"")</f>
        <v/>
      </c>
      <c r="H29" s="18">
        <f>IFERROR(VLOOKUP($A29,subQ,MATCH(H$1,SUBQH,0),0),"")</f>
        <v/>
      </c>
      <c r="I29" s="18">
        <f>IFERROR(VLOOKUP($A29,subQ,MATCH(I$1,SUBQH,0),0),"")</f>
        <v/>
      </c>
      <c r="J29" s="18">
        <f>IFERROR(VLOOKUP($A29,subQ,MATCH(J$1,SUBQH,0),0),"")</f>
        <v/>
      </c>
      <c r="K29" s="18">
        <f>IFERROR(VLOOKUP($A29,subQ,MATCH(K$1,SUBQH,0),0),"")</f>
        <v/>
      </c>
      <c r="L29" s="18">
        <f>IFERROR(VLOOKUP($A29,subQ,MATCH(L$1,SUBQH,0),0),"")</f>
        <v/>
      </c>
      <c r="M29" s="18">
        <f>IFERROR(VLOOKUP($A29,subQ,MATCH(M$1,SUBQH,0),0),"")</f>
        <v/>
      </c>
      <c r="N29" s="18">
        <f>IFERROR(VLOOKUP($A29,subQ,MATCH(N$1,SUBQH,0),0),"")</f>
        <v/>
      </c>
      <c r="O29" s="18">
        <f>IFERROR(VLOOKUP($A29,subQ,MATCH(O$1,SUBQH,0),0),"")</f>
        <v/>
      </c>
      <c r="P29" s="18">
        <f>IFERROR(VLOOKUP($A29,subQ,MATCH(P$1,SUBQH,0),0),"")</f>
        <v/>
      </c>
      <c r="Q29" s="18">
        <f>IFERROR(VLOOKUP($A29,subQ,MATCH(Q$1,SUBQH,0),0),"")</f>
        <v/>
      </c>
      <c r="R29" s="18">
        <f>IFERROR(VLOOKUP($A29,subQ,MATCH(R$1,SUBQH,0),0),"")</f>
        <v/>
      </c>
      <c r="S29" s="18">
        <f>IFERROR(VLOOKUP($A29,subQ,MATCH(S$1,SUBQH,0),0),"")</f>
        <v/>
      </c>
      <c r="T29" s="18">
        <f>IFERROR(VLOOKUP($A29,subQ,MATCH(T$1,SUBQH,0),0),"")</f>
        <v/>
      </c>
      <c r="U29" s="18">
        <f>IFERROR(VLOOKUP($A29,subQ,MATCH(U$1,SUBQH,0),0),"")</f>
        <v/>
      </c>
      <c r="V29" s="18">
        <f>IFERROR(VLOOKUP($A29,subQ,MATCH(V$1,SUBQH,0),0),"")</f>
        <v/>
      </c>
      <c r="W29" s="45">
        <f>IFERROR(VLOOKUP($A29,subQ,MATCH(W$1,SUBQH,0),0),"")</f>
        <v/>
      </c>
      <c r="X29" s="20">
        <f>IFERROR(VLOOKUP($A29,subQ,MATCH(X$1,SUBQH,0),0),"")</f>
        <v/>
      </c>
      <c r="Y29" s="20">
        <f>IFERROR(VLOOKUP($A29,subQ,MATCH(Y$1,SUBQH,0),0),"")</f>
        <v/>
      </c>
      <c r="Z29" s="20">
        <f>IFERROR(VLOOKUP($A29,subQ,MATCH(Z$1,SUBQH,0),0),"")</f>
        <v/>
      </c>
      <c r="AA29" s="20">
        <f>IFERROR(VLOOKUP($A29,subQ,MATCH(AA$1,SUBQH,0),0),"")</f>
        <v/>
      </c>
      <c r="AB29" s="20">
        <f>IFERROR(VLOOKUP($A29,subQ,MATCH(AB$1,SUBQH,0),0),"")</f>
        <v/>
      </c>
      <c r="AC29" s="20">
        <f>IFERROR(VLOOKUP($A29,subQ,MATCH(AC$1,SUBQH,0),0),"")</f>
        <v/>
      </c>
      <c r="AD29" s="20">
        <f>IFERROR(VLOOKUP($A29,subQ,MATCH(AD$1,SUBQH,0),0),"")</f>
        <v/>
      </c>
      <c r="AE29" s="20">
        <f>IFERROR(VLOOKUP($A29,subQ,MATCH(AE$1,SUBQH,0),0),"")</f>
        <v/>
      </c>
      <c r="AF29" s="20">
        <f>IFERROR(VLOOKUP($A29,subQ,MATCH(AF$1,SUBQH,0),0),"")</f>
        <v/>
      </c>
      <c r="AG29" s="20">
        <f>IFERROR(VLOOKUP($A29,subQ,MATCH(AG$1,SUBQH,0),0),"")</f>
        <v/>
      </c>
    </row>
    <row r="30">
      <c r="A30" s="12" t="inlineStr">
        <is>
          <t>CAPEX</t>
        </is>
      </c>
      <c r="D30" t="inlineStr">
        <is>
          <t>CAPEX</t>
        </is>
      </c>
      <c r="E30" s="18">
        <f>IFERROR(VLOOKUP($A30,subQ,MATCH(E$1,SUBQH,0),0),"")</f>
        <v/>
      </c>
      <c r="F30" s="18">
        <f>IFERROR(VLOOKUP($A30,subQ,MATCH(F$1,SUBQH,0),0),"")</f>
        <v/>
      </c>
      <c r="G30" s="18">
        <f>IFERROR(VLOOKUP($A30,subQ,MATCH(G$1,SUBQH,0),0),"")</f>
        <v/>
      </c>
      <c r="H30" s="18">
        <f>IFERROR(VLOOKUP($A30,subQ,MATCH(H$1,SUBQH,0),0),"")</f>
        <v/>
      </c>
      <c r="I30" s="18">
        <f>IFERROR(VLOOKUP($A30,subQ,MATCH(I$1,SUBQH,0),0),"")</f>
        <v/>
      </c>
      <c r="J30" s="18">
        <f>IFERROR(VLOOKUP($A30,subQ,MATCH(J$1,SUBQH,0),0),"")</f>
        <v/>
      </c>
      <c r="K30" s="18">
        <f>IFERROR(VLOOKUP($A30,subQ,MATCH(K$1,SUBQH,0),0),"")</f>
        <v/>
      </c>
      <c r="L30" s="18">
        <f>IFERROR(VLOOKUP($A30,subQ,MATCH(L$1,SUBQH,0),0),"")</f>
        <v/>
      </c>
      <c r="M30" s="18">
        <f>IFERROR(VLOOKUP($A30,subQ,MATCH(M$1,SUBQH,0),0),"")</f>
        <v/>
      </c>
      <c r="N30" s="18">
        <f>IFERROR(VLOOKUP($A30,subQ,MATCH(N$1,SUBQH,0),0),"")</f>
        <v/>
      </c>
      <c r="O30" s="18">
        <f>IFERROR(VLOOKUP($A30,subQ,MATCH(O$1,SUBQH,0),0),"")</f>
        <v/>
      </c>
      <c r="P30" s="18">
        <f>IFERROR(VLOOKUP($A30,subQ,MATCH(P$1,SUBQH,0),0),"")</f>
        <v/>
      </c>
      <c r="Q30" s="18">
        <f>IFERROR(VLOOKUP($A30,subQ,MATCH(Q$1,SUBQH,0),0),"")</f>
        <v/>
      </c>
      <c r="R30" s="18">
        <f>IFERROR(VLOOKUP($A30,subQ,MATCH(R$1,SUBQH,0),0),"")</f>
        <v/>
      </c>
      <c r="S30" s="18">
        <f>IFERROR(VLOOKUP($A30,subQ,MATCH(S$1,SUBQH,0),0),"")</f>
        <v/>
      </c>
      <c r="T30" s="18">
        <f>IFERROR(VLOOKUP($A30,subQ,MATCH(T$1,SUBQH,0),0),"")</f>
        <v/>
      </c>
      <c r="U30" s="18">
        <f>IFERROR(VLOOKUP($A30,subQ,MATCH(U$1,SUBQH,0),0),"")</f>
        <v/>
      </c>
      <c r="V30" s="18">
        <f>IFERROR(VLOOKUP($A30,subQ,MATCH(V$1,SUBQH,0),0),"")</f>
        <v/>
      </c>
      <c r="W30" s="45">
        <f>IFERROR(VLOOKUP($A30,subQ,MATCH(W$1,SUBQH,0),0),"")</f>
        <v/>
      </c>
      <c r="X30" s="20">
        <f>IFERROR(VLOOKUP($A30,subQ,MATCH(X$1,SUBQH,0),0),"")</f>
        <v/>
      </c>
      <c r="Y30" s="20">
        <f>IFERROR(VLOOKUP($A30,subQ,MATCH(Y$1,SUBQH,0),0),"")</f>
        <v/>
      </c>
      <c r="Z30" s="20">
        <f>IFERROR(VLOOKUP($A30,subQ,MATCH(Z$1,SUBQH,0),0),"")</f>
        <v/>
      </c>
      <c r="AA30" s="20">
        <f>IFERROR(VLOOKUP($A30,subQ,MATCH(AA$1,SUBQH,0),0),"")</f>
        <v/>
      </c>
      <c r="AB30" s="20">
        <f>IFERROR(VLOOKUP($A30,subQ,MATCH(AB$1,SUBQH,0),0),"")</f>
        <v/>
      </c>
      <c r="AC30" s="20">
        <f>IFERROR(VLOOKUP($A30,subQ,MATCH(AC$1,SUBQH,0),0),"")</f>
        <v/>
      </c>
      <c r="AD30" s="20">
        <f>IFERROR(VLOOKUP($A30,subQ,MATCH(AD$1,SUBQH,0),0),"")</f>
        <v/>
      </c>
      <c r="AE30" s="20">
        <f>IFERROR(VLOOKUP($A30,subQ,MATCH(AE$1,SUBQH,0),0),"")</f>
        <v/>
      </c>
      <c r="AF30" s="20">
        <f>IFERROR(VLOOKUP($A30,subQ,MATCH(AF$1,SUBQH,0),0),"")</f>
        <v/>
      </c>
      <c r="AG30" s="20">
        <f>IFERROR(VLOOKUP($A30,subQ,MATCH(AG$1,SUBQH,0),0),"")</f>
        <v/>
      </c>
    </row>
    <row r="31">
      <c r="A31" s="12" t="inlineStr">
        <is>
          <t>영업활동현금흐름</t>
        </is>
      </c>
      <c r="D31" t="inlineStr">
        <is>
          <t>영업활동현금흐름</t>
        </is>
      </c>
      <c r="E31" s="18">
        <f>IFERROR(VLOOKUP($A31,subQ,MATCH(E$1,SUBQH,0),0),"")</f>
        <v/>
      </c>
      <c r="F31" s="18">
        <f>IFERROR(VLOOKUP($A31,subQ,MATCH(F$1,SUBQH,0),0),"")</f>
        <v/>
      </c>
      <c r="G31" s="18">
        <f>IFERROR(VLOOKUP($A31,subQ,MATCH(G$1,SUBQH,0),0),"")</f>
        <v/>
      </c>
      <c r="H31" s="18">
        <f>IFERROR(VLOOKUP($A31,subQ,MATCH(H$1,SUBQH,0),0),"")</f>
        <v/>
      </c>
      <c r="I31" s="18">
        <f>IFERROR(VLOOKUP($A31,subQ,MATCH(I$1,SUBQH,0),0),"")</f>
        <v/>
      </c>
      <c r="J31" s="18">
        <f>IFERROR(VLOOKUP($A31,subQ,MATCH(J$1,SUBQH,0),0),"")</f>
        <v/>
      </c>
      <c r="K31" s="18">
        <f>IFERROR(VLOOKUP($A31,subQ,MATCH(K$1,SUBQH,0),0),"")</f>
        <v/>
      </c>
      <c r="L31" s="18">
        <f>IFERROR(VLOOKUP($A31,subQ,MATCH(L$1,SUBQH,0),0),"")</f>
        <v/>
      </c>
      <c r="M31" s="18">
        <f>IFERROR(VLOOKUP($A31,subQ,MATCH(M$1,SUBQH,0),0),"")</f>
        <v/>
      </c>
      <c r="N31" s="18">
        <f>IFERROR(VLOOKUP($A31,subQ,MATCH(N$1,SUBQH,0),0),"")</f>
        <v/>
      </c>
      <c r="O31" s="18">
        <f>IFERROR(VLOOKUP($A31,subQ,MATCH(O$1,SUBQH,0),0),"")</f>
        <v/>
      </c>
      <c r="P31" s="18">
        <f>IFERROR(VLOOKUP($A31,subQ,MATCH(P$1,SUBQH,0),0),"")</f>
        <v/>
      </c>
      <c r="Q31" s="18">
        <f>IFERROR(VLOOKUP($A31,subQ,MATCH(Q$1,SUBQH,0),0),"")</f>
        <v/>
      </c>
      <c r="R31" s="18">
        <f>IFERROR(VLOOKUP($A31,subQ,MATCH(R$1,SUBQH,0),0),"")</f>
        <v/>
      </c>
      <c r="S31" s="18">
        <f>IFERROR(VLOOKUP($A31,subQ,MATCH(S$1,SUBQH,0),0),"")</f>
        <v/>
      </c>
      <c r="T31" s="18">
        <f>IFERROR(VLOOKUP($A31,subQ,MATCH(T$1,SUBQH,0),0),"")</f>
        <v/>
      </c>
      <c r="U31" s="18">
        <f>IFERROR(VLOOKUP($A31,subQ,MATCH(U$1,SUBQH,0),0),"")</f>
        <v/>
      </c>
      <c r="V31" s="18">
        <f>IFERROR(VLOOKUP($A31,subQ,MATCH(V$1,SUBQH,0),0),"")</f>
        <v/>
      </c>
      <c r="W31" s="45">
        <f>IFERROR(VLOOKUP($A31,subQ,MATCH(W$1,SUBQH,0),0),"")</f>
        <v/>
      </c>
      <c r="X31" s="20">
        <f>IFERROR(VLOOKUP($A31,subQ,MATCH(X$1,SUBQH,0),0),"")</f>
        <v/>
      </c>
      <c r="Y31" s="20">
        <f>IFERROR(VLOOKUP($A31,subQ,MATCH(Y$1,SUBQH,0),0),"")</f>
        <v/>
      </c>
      <c r="Z31" s="20">
        <f>IFERROR(VLOOKUP($A31,subQ,MATCH(Z$1,SUBQH,0),0),"")</f>
        <v/>
      </c>
      <c r="AA31" s="20">
        <f>IFERROR(VLOOKUP($A31,subQ,MATCH(AA$1,SUBQH,0),0),"")</f>
        <v/>
      </c>
      <c r="AB31" s="20">
        <f>IFERROR(VLOOKUP($A31,subQ,MATCH(AB$1,SUBQH,0),0),"")</f>
        <v/>
      </c>
      <c r="AC31" s="20">
        <f>IFERROR(VLOOKUP($A31,subQ,MATCH(AC$1,SUBQH,0),0),"")</f>
        <v/>
      </c>
      <c r="AD31" s="20">
        <f>IFERROR(VLOOKUP($A31,subQ,MATCH(AD$1,SUBQH,0),0),"")</f>
        <v/>
      </c>
      <c r="AE31" s="20">
        <f>IFERROR(VLOOKUP($A31,subQ,MATCH(AE$1,SUBQH,0),0),"")</f>
        <v/>
      </c>
      <c r="AF31" s="20">
        <f>IFERROR(VLOOKUP($A31,subQ,MATCH(AF$1,SUBQH,0),0),"")</f>
        <v/>
      </c>
      <c r="AG31" s="20">
        <f>IFERROR(VLOOKUP($A31,subQ,MATCH(AG$1,SUBQH,0),0),"")</f>
        <v/>
      </c>
    </row>
    <row r="32">
      <c r="A32" s="12" t="inlineStr">
        <is>
          <t>주식수</t>
        </is>
      </c>
      <c r="D32" t="inlineStr">
        <is>
          <t>유통주식수</t>
        </is>
      </c>
      <c r="E32" s="27">
        <f>IFERROR(VLOOKUP($A32,subQ,MATCH(E$1,SUBQH,0),0),"")</f>
        <v/>
      </c>
      <c r="F32" s="27">
        <f>IFERROR(VLOOKUP($A32,subQ,MATCH(F$1,SUBQH,0),0),"")</f>
        <v/>
      </c>
      <c r="G32" s="27">
        <f>IFERROR(VLOOKUP($A32,subQ,MATCH(G$1,SUBQH,0),0),"")</f>
        <v/>
      </c>
      <c r="H32" s="27">
        <f>IFERROR(VLOOKUP($A32,subQ,MATCH(H$1,SUBQH,0),0),"")</f>
        <v/>
      </c>
      <c r="I32" s="27">
        <f>IFERROR(VLOOKUP($A32,subQ,MATCH(I$1,SUBQH,0),0),"")</f>
        <v/>
      </c>
      <c r="J32" s="27">
        <f>IFERROR(VLOOKUP($A32,subQ,MATCH(J$1,SUBQH,0),0),"")</f>
        <v/>
      </c>
      <c r="K32" s="27">
        <f>IFERROR(VLOOKUP($A32,subQ,MATCH(K$1,SUBQH,0),0),"")</f>
        <v/>
      </c>
      <c r="L32" s="27">
        <f>IFERROR(VLOOKUP($A32,subQ,MATCH(L$1,SUBQH,0),0),"")</f>
        <v/>
      </c>
      <c r="M32" s="27">
        <f>IFERROR(VLOOKUP($A32,subQ,MATCH(M$1,SUBQH,0),0),"")</f>
        <v/>
      </c>
      <c r="N32" s="27">
        <f>IFERROR(VLOOKUP($A32,subQ,MATCH(N$1,SUBQH,0),0),"")</f>
        <v/>
      </c>
      <c r="O32" s="27">
        <f>IFERROR(VLOOKUP($A32,subQ,MATCH(O$1,SUBQH,0),0),"")</f>
        <v/>
      </c>
      <c r="P32" s="27">
        <f>IFERROR(VLOOKUP($A32,subQ,MATCH(P$1,SUBQH,0),0),"")</f>
        <v/>
      </c>
      <c r="Q32" s="27">
        <f>IFERROR(VLOOKUP($A32,subQ,MATCH(Q$1,SUBQH,0),0),"")</f>
        <v/>
      </c>
      <c r="R32" s="27">
        <f>IFERROR(VLOOKUP($A32,subQ,MATCH(R$1,SUBQH,0),0),"")</f>
        <v/>
      </c>
      <c r="S32" s="27">
        <f>IFERROR(VLOOKUP($A32,subQ,MATCH(S$1,SUBQH,0),0),"")</f>
        <v/>
      </c>
      <c r="T32" s="27">
        <f>IFERROR(VLOOKUP($A32,subQ,MATCH(T$1,SUBQH,0),0),"")</f>
        <v/>
      </c>
      <c r="U32" s="27">
        <f>IFERROR(VLOOKUP($A32,subQ,MATCH(U$1,SUBQH,0),0),"")</f>
        <v/>
      </c>
      <c r="V32" s="27">
        <f>IFERROR(VLOOKUP($A32,subQ,MATCH(V$1,SUBQH,0),0),"")</f>
        <v/>
      </c>
      <c r="W32" s="47">
        <f>IFERROR(VLOOKUP($A32,subQ,MATCH(W$1,SUBQH,0),0),"")</f>
        <v/>
      </c>
      <c r="X32" s="33">
        <f>IFERROR(VLOOKUP($A32,subQ,MATCH(X$1,SUBQH,0),0),"")</f>
        <v/>
      </c>
      <c r="Y32" s="33">
        <f>IFERROR(VLOOKUP($A32,subQ,MATCH(Y$1,SUBQH,0),0),"")</f>
        <v/>
      </c>
      <c r="Z32" s="33">
        <f>IFERROR(VLOOKUP($A32,subQ,MATCH(Z$1,SUBQH,0),0),"")</f>
        <v/>
      </c>
      <c r="AA32" s="33">
        <f>IFERROR(VLOOKUP($A32,subQ,MATCH(AA$1,SUBQH,0),0),"")</f>
        <v/>
      </c>
      <c r="AB32" s="33">
        <f>IFERROR(VLOOKUP($A32,subQ,MATCH(AB$1,SUBQH,0),0),"")</f>
        <v/>
      </c>
      <c r="AC32" s="33">
        <f>IFERROR(VLOOKUP($A32,subQ,MATCH(AC$1,SUBQH,0),0),"")</f>
        <v/>
      </c>
      <c r="AD32" s="33">
        <f>IFERROR(VLOOKUP($A32,subQ,MATCH(AD$1,SUBQH,0),0),"")</f>
        <v/>
      </c>
      <c r="AE32" s="33">
        <f>IFERROR(VLOOKUP($A32,subQ,MATCH(AE$1,SUBQH,0),0),"")</f>
        <v/>
      </c>
      <c r="AF32" s="33">
        <f>IFERROR(VLOOKUP($A32,subQ,MATCH(AF$1,SUBQH,0),0),"")</f>
        <v/>
      </c>
      <c r="AG32" s="33">
        <f>IFERROR(VLOOKUP($A32,subQ,MATCH(AG$1,SUBQH,0),0),"")</f>
        <v/>
      </c>
    </row>
    <row r="33">
      <c r="A33" s="12" t="inlineStr">
        <is>
          <t>EPS</t>
        </is>
      </c>
      <c r="D33" t="inlineStr">
        <is>
          <t>EPS</t>
        </is>
      </c>
      <c r="E33" s="18">
        <f>IFERROR(VLOOKUP($A33,subQ,MATCH(E$1,SUBQH,0),0),"")</f>
        <v/>
      </c>
      <c r="F33" s="18">
        <f>IFERROR(VLOOKUP($A33,subQ,MATCH(F$1,SUBQH,0),0),"")</f>
        <v/>
      </c>
      <c r="G33" s="18">
        <f>IFERROR(VLOOKUP($A33,subQ,MATCH(G$1,SUBQH,0),0),"")</f>
        <v/>
      </c>
      <c r="H33" s="18">
        <f>IFERROR(VLOOKUP($A33,subQ,MATCH(H$1,SUBQH,0),0),"")</f>
        <v/>
      </c>
      <c r="I33" s="18">
        <f>IFERROR(VLOOKUP($A33,subQ,MATCH(I$1,SUBQH,0),0),"")</f>
        <v/>
      </c>
      <c r="J33" s="18">
        <f>IFERROR(VLOOKUP($A33,subQ,MATCH(J$1,SUBQH,0),0),"")</f>
        <v/>
      </c>
      <c r="K33" s="18">
        <f>IFERROR(VLOOKUP($A33,subQ,MATCH(K$1,SUBQH,0),0),"")</f>
        <v/>
      </c>
      <c r="L33" s="18">
        <f>IFERROR(VLOOKUP($A33,subQ,MATCH(L$1,SUBQH,0),0),"")</f>
        <v/>
      </c>
      <c r="M33" s="18">
        <f>IFERROR(VLOOKUP($A33,subQ,MATCH(M$1,SUBQH,0),0),"")</f>
        <v/>
      </c>
      <c r="N33" s="18">
        <f>IFERROR(VLOOKUP($A33,subQ,MATCH(N$1,SUBQH,0),0),"")</f>
        <v/>
      </c>
      <c r="O33" s="18">
        <f>IFERROR(VLOOKUP($A33,subQ,MATCH(O$1,SUBQH,0),0),"")</f>
        <v/>
      </c>
      <c r="P33" s="18">
        <f>IFERROR(VLOOKUP($A33,subQ,MATCH(P$1,SUBQH,0),0),"")</f>
        <v/>
      </c>
      <c r="Q33" s="18">
        <f>IFERROR(VLOOKUP($A33,subQ,MATCH(Q$1,SUBQH,0),0),"")</f>
        <v/>
      </c>
      <c r="R33" s="18">
        <f>IFERROR(VLOOKUP($A33,subQ,MATCH(R$1,SUBQH,0),0),"")</f>
        <v/>
      </c>
      <c r="S33" s="18">
        <f>IFERROR(VLOOKUP($A33,subQ,MATCH(S$1,SUBQH,0),0),"")</f>
        <v/>
      </c>
      <c r="T33" s="18">
        <f>IFERROR(VLOOKUP($A33,subQ,MATCH(T$1,SUBQH,0),0),"")</f>
        <v/>
      </c>
      <c r="U33" s="18">
        <f>IFERROR(VLOOKUP($A33,subQ,MATCH(U$1,SUBQH,0),0),"")</f>
        <v/>
      </c>
      <c r="V33" s="18">
        <f>IFERROR(VLOOKUP($A33,subQ,MATCH(V$1,SUBQH,0),0),"")</f>
        <v/>
      </c>
      <c r="W33" s="45">
        <f>IFERROR(VLOOKUP($A33,subQ,MATCH(W$1,SUBQH,0),0),"")</f>
        <v/>
      </c>
      <c r="X33" s="20">
        <f>IFERROR(VLOOKUP($A33,subQ,MATCH(X$1,SUBQH,0),0),"")</f>
        <v/>
      </c>
      <c r="Y33" s="20">
        <f>IFERROR(VLOOKUP($A33,subQ,MATCH(Y$1,SUBQH,0),0),"")</f>
        <v/>
      </c>
      <c r="Z33" s="20">
        <f>IFERROR(VLOOKUP($A33,subQ,MATCH(Z$1,SUBQH,0),0),"")</f>
        <v/>
      </c>
      <c r="AA33" s="20">
        <f>IFERROR(VLOOKUP($A33,subQ,MATCH(AA$1,SUBQH,0),0),"")</f>
        <v/>
      </c>
      <c r="AB33" s="20">
        <f>IFERROR(VLOOKUP($A33,subQ,MATCH(AB$1,SUBQH,0),0),"")</f>
        <v/>
      </c>
      <c r="AC33" s="20">
        <f>IFERROR(VLOOKUP($A33,subQ,MATCH(AC$1,SUBQH,0),0),"")</f>
        <v/>
      </c>
      <c r="AD33" s="20">
        <f>IFERROR(VLOOKUP($A33,subQ,MATCH(AD$1,SUBQH,0),0),"")</f>
        <v/>
      </c>
      <c r="AE33" s="20">
        <f>IFERROR(VLOOKUP($A33,subQ,MATCH(AE$1,SUBQH,0),0),"")</f>
        <v/>
      </c>
      <c r="AF33" s="20">
        <f>IFERROR(VLOOKUP($A33,subQ,MATCH(AF$1,SUBQH,0),0),"")</f>
        <v/>
      </c>
      <c r="AG33" s="20">
        <f>IFERROR(VLOOKUP($A33,subQ,MATCH(AG$1,SUBQH,0),0),"")</f>
        <v/>
      </c>
    </row>
    <row r="34">
      <c r="A34" s="12" t="inlineStr">
        <is>
          <t>BPS</t>
        </is>
      </c>
      <c r="D34" t="inlineStr">
        <is>
          <t>BPS</t>
        </is>
      </c>
      <c r="E34" s="18">
        <f>IFERROR(VLOOKUP($A34,subQ,MATCH(E$1,SUBQH,0),0),"")</f>
        <v/>
      </c>
      <c r="F34" s="18">
        <f>IFERROR(VLOOKUP($A34,subQ,MATCH(F$1,SUBQH,0),0),"")</f>
        <v/>
      </c>
      <c r="G34" s="18">
        <f>IFERROR(VLOOKUP($A34,subQ,MATCH(G$1,SUBQH,0),0),"")</f>
        <v/>
      </c>
      <c r="H34" s="18">
        <f>IFERROR(VLOOKUP($A34,subQ,MATCH(H$1,SUBQH,0),0),"")</f>
        <v/>
      </c>
      <c r="I34" s="18">
        <f>IFERROR(VLOOKUP($A34,subQ,MATCH(I$1,SUBQH,0),0),"")</f>
        <v/>
      </c>
      <c r="J34" s="18">
        <f>IFERROR(VLOOKUP($A34,subQ,MATCH(J$1,SUBQH,0),0),"")</f>
        <v/>
      </c>
      <c r="K34" s="18">
        <f>IFERROR(VLOOKUP($A34,subQ,MATCH(K$1,SUBQH,0),0),"")</f>
        <v/>
      </c>
      <c r="L34" s="18">
        <f>IFERROR(VLOOKUP($A34,subQ,MATCH(L$1,SUBQH,0),0),"")</f>
        <v/>
      </c>
      <c r="M34" s="18">
        <f>IFERROR(VLOOKUP($A34,subQ,MATCH(M$1,SUBQH,0),0),"")</f>
        <v/>
      </c>
      <c r="N34" s="18">
        <f>IFERROR(VLOOKUP($A34,subQ,MATCH(N$1,SUBQH,0),0),"")</f>
        <v/>
      </c>
      <c r="O34" s="18">
        <f>IFERROR(VLOOKUP($A34,subQ,MATCH(O$1,SUBQH,0),0),"")</f>
        <v/>
      </c>
      <c r="P34" s="18">
        <f>IFERROR(VLOOKUP($A34,subQ,MATCH(P$1,SUBQH,0),0),"")</f>
        <v/>
      </c>
      <c r="Q34" s="18">
        <f>IFERROR(VLOOKUP($A34,subQ,MATCH(Q$1,SUBQH,0),0),"")</f>
        <v/>
      </c>
      <c r="R34" s="18">
        <f>IFERROR(VLOOKUP($A34,subQ,MATCH(R$1,SUBQH,0),0),"")</f>
        <v/>
      </c>
      <c r="S34" s="18">
        <f>IFERROR(VLOOKUP($A34,subQ,MATCH(S$1,SUBQH,0),0),"")</f>
        <v/>
      </c>
      <c r="T34" s="18">
        <f>IFERROR(VLOOKUP($A34,subQ,MATCH(T$1,SUBQH,0),0),"")</f>
        <v/>
      </c>
      <c r="U34" s="18">
        <f>IFERROR(VLOOKUP($A34,subQ,MATCH(U$1,SUBQH,0),0),"")</f>
        <v/>
      </c>
      <c r="V34" s="18">
        <f>IFERROR(VLOOKUP($A34,subQ,MATCH(V$1,SUBQH,0),0),"")</f>
        <v/>
      </c>
      <c r="W34" s="45">
        <f>IFERROR(VLOOKUP($A34,subQ,MATCH(W$1,SUBQH,0),0),"")</f>
        <v/>
      </c>
      <c r="X34" s="20">
        <f>IFERROR(VLOOKUP($A34,subQ,MATCH(X$1,SUBQH,0),0),"")</f>
        <v/>
      </c>
      <c r="Y34" s="20">
        <f>IFERROR(VLOOKUP($A34,subQ,MATCH(Y$1,SUBQH,0),0),"")</f>
        <v/>
      </c>
      <c r="Z34" s="20">
        <f>IFERROR(VLOOKUP($A34,subQ,MATCH(Z$1,SUBQH,0),0),"")</f>
        <v/>
      </c>
      <c r="AA34" s="20">
        <f>IFERROR(VLOOKUP($A34,subQ,MATCH(AA$1,SUBQH,0),0),"")</f>
        <v/>
      </c>
      <c r="AB34" s="20">
        <f>IFERROR(VLOOKUP($A34,subQ,MATCH(AB$1,SUBQH,0),0),"")</f>
        <v/>
      </c>
      <c r="AC34" s="20">
        <f>IFERROR(VLOOKUP($A34,subQ,MATCH(AC$1,SUBQH,0),0),"")</f>
        <v/>
      </c>
      <c r="AD34" s="20">
        <f>IFERROR(VLOOKUP($A34,subQ,MATCH(AD$1,SUBQH,0),0),"")</f>
        <v/>
      </c>
      <c r="AE34" s="20">
        <f>IFERROR(VLOOKUP($A34,subQ,MATCH(AE$1,SUBQH,0),0),"")</f>
        <v/>
      </c>
      <c r="AF34" s="20">
        <f>IFERROR(VLOOKUP($A34,subQ,MATCH(AF$1,SUBQH,0),0),"")</f>
        <v/>
      </c>
      <c r="AG34" s="20">
        <f>IFERROR(VLOOKUP($A34,subQ,MATCH(AG$1,SUBQH,0),0),"")</f>
        <v/>
      </c>
    </row>
    <row r="35">
      <c r="A35" s="12" t="inlineStr">
        <is>
          <t>DPS</t>
        </is>
      </c>
      <c r="D35" t="inlineStr">
        <is>
          <t>DPS(보통주)</t>
        </is>
      </c>
      <c r="E35" s="18">
        <f>IFERROR(VLOOKUP($A35,subQ,MATCH(E$1,SUBQH,0),0),"")</f>
        <v/>
      </c>
      <c r="F35" s="18">
        <f>IFERROR(VLOOKUP($A35,subQ,MATCH(F$1,SUBQH,0),0),"")</f>
        <v/>
      </c>
      <c r="G35" s="18">
        <f>IFERROR(VLOOKUP($A35,subQ,MATCH(G$1,SUBQH,0),0),"")</f>
        <v/>
      </c>
      <c r="H35" s="18">
        <f>IFERROR(VLOOKUP($A35,subQ,MATCH(H$1,SUBQH,0),0),"")</f>
        <v/>
      </c>
      <c r="I35" s="18">
        <f>IFERROR(VLOOKUP($A35,subQ,MATCH(I$1,SUBQH,0),0),"")</f>
        <v/>
      </c>
      <c r="J35" s="18">
        <f>IFERROR(VLOOKUP($A35,subQ,MATCH(J$1,SUBQH,0),0),"")</f>
        <v/>
      </c>
      <c r="K35" s="18">
        <f>IFERROR(VLOOKUP($A35,subQ,MATCH(K$1,SUBQH,0),0),"")</f>
        <v/>
      </c>
      <c r="L35" s="18">
        <f>IFERROR(VLOOKUP($A35,subQ,MATCH(L$1,SUBQH,0),0),"")</f>
        <v/>
      </c>
      <c r="M35" s="18">
        <f>IFERROR(VLOOKUP($A35,subQ,MATCH(M$1,SUBQH,0),0),"")</f>
        <v/>
      </c>
      <c r="N35" s="18">
        <f>IFERROR(VLOOKUP($A35,subQ,MATCH(N$1,SUBQH,0),0),"")</f>
        <v/>
      </c>
      <c r="O35" s="18">
        <f>IFERROR(VLOOKUP($A35,subQ,MATCH(O$1,SUBQH,0),0),"")</f>
        <v/>
      </c>
      <c r="P35" s="18">
        <f>IFERROR(VLOOKUP($A35,subQ,MATCH(P$1,SUBQH,0),0),"")</f>
        <v/>
      </c>
      <c r="Q35" s="18">
        <f>IFERROR(VLOOKUP($A35,subQ,MATCH(Q$1,SUBQH,0),0),"")</f>
        <v/>
      </c>
      <c r="R35" s="18">
        <f>IFERROR(VLOOKUP($A35,subQ,MATCH(R$1,SUBQH,0),0),"")</f>
        <v/>
      </c>
      <c r="S35" s="18">
        <f>IFERROR(VLOOKUP($A35,subQ,MATCH(S$1,SUBQH,0),0),"")</f>
        <v/>
      </c>
      <c r="T35" s="18">
        <f>IFERROR(VLOOKUP($A35,subQ,MATCH(T$1,SUBQH,0),0),"")</f>
        <v/>
      </c>
      <c r="U35" s="18">
        <f>IFERROR(VLOOKUP($A35,subQ,MATCH(U$1,SUBQH,0),0),"")</f>
        <v/>
      </c>
      <c r="V35" s="18">
        <f>IFERROR(VLOOKUP($A35,subQ,MATCH(V$1,SUBQH,0),0),"")</f>
        <v/>
      </c>
      <c r="W35" s="45">
        <f>IFERROR(VLOOKUP($A35,subQ,MATCH(W$1,SUBQH,0),0),"")</f>
        <v/>
      </c>
      <c r="X35" s="20">
        <f>IFERROR(VLOOKUP($A35,subQ,MATCH(X$1,SUBQH,0),0),"")</f>
        <v/>
      </c>
      <c r="Y35" s="20">
        <f>IFERROR(VLOOKUP($A35,subQ,MATCH(Y$1,SUBQH,0),0),"")</f>
        <v/>
      </c>
      <c r="Z35" s="20">
        <f>IFERROR(VLOOKUP($A35,subQ,MATCH(Z$1,SUBQH,0),0),"")</f>
        <v/>
      </c>
      <c r="AA35" s="20">
        <f>IFERROR(VLOOKUP($A35,subQ,MATCH(AA$1,SUBQH,0),0),"")</f>
        <v/>
      </c>
      <c r="AB35" s="20">
        <f>IFERROR(VLOOKUP($A35,subQ,MATCH(AB$1,SUBQH,0),0),"")</f>
        <v/>
      </c>
      <c r="AC35" s="20">
        <f>IFERROR(VLOOKUP($A35,subQ,MATCH(AC$1,SUBQH,0),0),"")</f>
        <v/>
      </c>
      <c r="AD35" s="20">
        <f>IFERROR(VLOOKUP($A35,subQ,MATCH(AD$1,SUBQH,0),0),"")</f>
        <v/>
      </c>
      <c r="AE35" s="20">
        <f>IFERROR(VLOOKUP($A35,subQ,MATCH(AE$1,SUBQH,0),0),"")</f>
        <v/>
      </c>
      <c r="AF35" s="20">
        <f>IFERROR(VLOOKUP($A35,subQ,MATCH(AF$1,SUBQH,0),0),"")</f>
        <v/>
      </c>
      <c r="AG35" s="20">
        <f>IFERROR(VLOOKUP($A35,subQ,MATCH(AG$1,SUBQH,0),0),"")</f>
        <v/>
      </c>
    </row>
    <row r="36">
      <c r="A36" s="12" t="inlineStr">
        <is>
          <t>PER</t>
        </is>
      </c>
      <c r="D36" t="inlineStr">
        <is>
          <t>PER</t>
        </is>
      </c>
      <c r="E36" s="13">
        <f>IFERROR(VLOOKUP($A36,subQ,MATCH(E$1,SUBQH,0),0),"")</f>
        <v/>
      </c>
      <c r="F36" s="13">
        <f>IFERROR(VLOOKUP($A36,subQ,MATCH(F$1,SUBQH,0),0),"")</f>
        <v/>
      </c>
      <c r="G36" s="13">
        <f>IFERROR(VLOOKUP($A36,subQ,MATCH(G$1,SUBQH,0),0),"")</f>
        <v/>
      </c>
      <c r="H36" s="13">
        <f>IFERROR(VLOOKUP($A36,subQ,MATCH(H$1,SUBQH,0),0),"")</f>
        <v/>
      </c>
      <c r="I36" s="13">
        <f>IFERROR(VLOOKUP($A36,subQ,MATCH(I$1,SUBQH,0),0),"")</f>
        <v/>
      </c>
      <c r="J36" s="13">
        <f>IFERROR(VLOOKUP($A36,subQ,MATCH(J$1,SUBQH,0),0),"")</f>
        <v/>
      </c>
      <c r="K36" s="13">
        <f>IFERROR(VLOOKUP($A36,subQ,MATCH(K$1,SUBQH,0),0),"")</f>
        <v/>
      </c>
      <c r="L36" s="13">
        <f>IFERROR(VLOOKUP($A36,subQ,MATCH(L$1,SUBQH,0),0),"")</f>
        <v/>
      </c>
      <c r="M36" s="13">
        <f>IFERROR(VLOOKUP($A36,subQ,MATCH(M$1,SUBQH,0),0),"")</f>
        <v/>
      </c>
      <c r="N36" s="13">
        <f>IFERROR(VLOOKUP($A36,subQ,MATCH(N$1,SUBQH,0),0),"")</f>
        <v/>
      </c>
      <c r="O36" s="13">
        <f>IFERROR(VLOOKUP($A36,subQ,MATCH(O$1,SUBQH,0),0),"")</f>
        <v/>
      </c>
      <c r="P36" s="13">
        <f>IFERROR(VLOOKUP($A36,subQ,MATCH(P$1,SUBQH,0),0),"")</f>
        <v/>
      </c>
      <c r="Q36" s="13">
        <f>IFERROR(VLOOKUP($A36,subQ,MATCH(Q$1,SUBQH,0),0),"")</f>
        <v/>
      </c>
      <c r="R36" s="13">
        <f>IFERROR(VLOOKUP($A36,subQ,MATCH(R$1,SUBQH,0),0),"")</f>
        <v/>
      </c>
      <c r="S36" s="13">
        <f>IFERROR(VLOOKUP($A36,subQ,MATCH(S$1,SUBQH,0),0),"")</f>
        <v/>
      </c>
      <c r="T36" s="13">
        <f>IFERROR(VLOOKUP($A36,subQ,MATCH(T$1,SUBQH,0),0),"")</f>
        <v/>
      </c>
      <c r="U36" s="13">
        <f>IFERROR(VLOOKUP($A36,subQ,MATCH(U$1,SUBQH,0),0),"")</f>
        <v/>
      </c>
      <c r="V36" s="13">
        <f>IFERROR(VLOOKUP($A36,subQ,MATCH(V$1,SUBQH,0),0),"")</f>
        <v/>
      </c>
      <c r="W36" s="48">
        <f>IFERROR(VLOOKUP($A36,subQ,MATCH(W$1,SUBQH,0),0),"")</f>
        <v/>
      </c>
      <c r="X36" s="39">
        <f>IFERROR(VLOOKUP($A36,subQ,MATCH(X$1,SUBQH,0),0),"")</f>
        <v/>
      </c>
      <c r="Y36" s="39">
        <f>IFERROR(VLOOKUP($A36,subQ,MATCH(Y$1,SUBQH,0),0),"")</f>
        <v/>
      </c>
      <c r="Z36" s="39">
        <f>IFERROR(VLOOKUP($A36,subQ,MATCH(Z$1,SUBQH,0),0),"")</f>
        <v/>
      </c>
      <c r="AA36" s="39">
        <f>IFERROR(VLOOKUP($A36,subQ,MATCH(AA$1,SUBQH,0),0),"")</f>
        <v/>
      </c>
      <c r="AB36" s="39">
        <f>IFERROR(VLOOKUP($A36,subQ,MATCH(AB$1,SUBQH,0),0),"")</f>
        <v/>
      </c>
      <c r="AC36" s="39">
        <f>IFERROR(VLOOKUP($A36,subQ,MATCH(AC$1,SUBQH,0),0),"")</f>
        <v/>
      </c>
      <c r="AD36" s="39">
        <f>IFERROR(VLOOKUP($A36,subQ,MATCH(AD$1,SUBQH,0),0),"")</f>
        <v/>
      </c>
      <c r="AE36" s="39">
        <f>IFERROR(VLOOKUP($A36,subQ,MATCH(AE$1,SUBQH,0),0),"")</f>
        <v/>
      </c>
      <c r="AF36" s="39">
        <f>IFERROR(VLOOKUP($A36,subQ,MATCH(AF$1,SUBQH,0),0),"")</f>
        <v/>
      </c>
      <c r="AG36" s="39">
        <f>IFERROR(VLOOKUP($A36,subQ,MATCH(AG$1,SUBQH,0),0),"")</f>
        <v/>
      </c>
    </row>
    <row r="37">
      <c r="A37" s="12" t="inlineStr">
        <is>
          <t>PBR</t>
        </is>
      </c>
      <c r="D37" t="inlineStr">
        <is>
          <t>PBR</t>
        </is>
      </c>
      <c r="E37" s="13">
        <f>IFERROR(VLOOKUP($A37,subQ,MATCH(E$1,SUBQH,0),0),"")</f>
        <v/>
      </c>
      <c r="F37" s="13">
        <f>IFERROR(VLOOKUP($A37,subQ,MATCH(F$1,SUBQH,0),0),"")</f>
        <v/>
      </c>
      <c r="G37" s="13">
        <f>IFERROR(VLOOKUP($A37,subQ,MATCH(G$1,SUBQH,0),0),"")</f>
        <v/>
      </c>
      <c r="H37" s="13">
        <f>IFERROR(VLOOKUP($A37,subQ,MATCH(H$1,SUBQH,0),0),"")</f>
        <v/>
      </c>
      <c r="I37" s="13">
        <f>IFERROR(VLOOKUP($A37,subQ,MATCH(I$1,SUBQH,0),0),"")</f>
        <v/>
      </c>
      <c r="J37" s="13">
        <f>IFERROR(VLOOKUP($A37,subQ,MATCH(J$1,SUBQH,0),0),"")</f>
        <v/>
      </c>
      <c r="K37" s="13">
        <f>IFERROR(VLOOKUP($A37,subQ,MATCH(K$1,SUBQH,0),0),"")</f>
        <v/>
      </c>
      <c r="L37" s="13">
        <f>IFERROR(VLOOKUP($A37,subQ,MATCH(L$1,SUBQH,0),0),"")</f>
        <v/>
      </c>
      <c r="M37" s="13">
        <f>IFERROR(VLOOKUP($A37,subQ,MATCH(M$1,SUBQH,0),0),"")</f>
        <v/>
      </c>
      <c r="N37" s="13">
        <f>IFERROR(VLOOKUP($A37,subQ,MATCH(N$1,SUBQH,0),0),"")</f>
        <v/>
      </c>
      <c r="O37" s="13">
        <f>IFERROR(VLOOKUP($A37,subQ,MATCH(O$1,SUBQH,0),0),"")</f>
        <v/>
      </c>
      <c r="P37" s="13">
        <f>IFERROR(VLOOKUP($A37,subQ,MATCH(P$1,SUBQH,0),0),"")</f>
        <v/>
      </c>
      <c r="Q37" s="13">
        <f>IFERROR(VLOOKUP($A37,subQ,MATCH(Q$1,SUBQH,0),0),"")</f>
        <v/>
      </c>
      <c r="R37" s="13">
        <f>IFERROR(VLOOKUP($A37,subQ,MATCH(R$1,SUBQH,0),0),"")</f>
        <v/>
      </c>
      <c r="S37" s="13">
        <f>IFERROR(VLOOKUP($A37,subQ,MATCH(S$1,SUBQH,0),0),"")</f>
        <v/>
      </c>
      <c r="T37" s="13">
        <f>IFERROR(VLOOKUP($A37,subQ,MATCH(T$1,SUBQH,0),0),"")</f>
        <v/>
      </c>
      <c r="U37" s="13">
        <f>IFERROR(VLOOKUP($A37,subQ,MATCH(U$1,SUBQH,0),0),"")</f>
        <v/>
      </c>
      <c r="V37" s="13">
        <f>IFERROR(VLOOKUP($A37,subQ,MATCH(V$1,SUBQH,0),0),"")</f>
        <v/>
      </c>
      <c r="W37" s="48">
        <f>IFERROR(VLOOKUP($A37,subQ,MATCH(W$1,SUBQH,0),0),"")</f>
        <v/>
      </c>
      <c r="X37" s="39">
        <f>IFERROR(VLOOKUP($A37,subQ,MATCH(X$1,SUBQH,0),0),"")</f>
        <v/>
      </c>
      <c r="Y37" s="39">
        <f>IFERROR(VLOOKUP($A37,subQ,MATCH(Y$1,SUBQH,0),0),"")</f>
        <v/>
      </c>
      <c r="Z37" s="39">
        <f>IFERROR(VLOOKUP($A37,subQ,MATCH(Z$1,SUBQH,0),0),"")</f>
        <v/>
      </c>
      <c r="AA37" s="39">
        <f>IFERROR(VLOOKUP($A37,subQ,MATCH(AA$1,SUBQH,0),0),"")</f>
        <v/>
      </c>
      <c r="AB37" s="39">
        <f>IFERROR(VLOOKUP($A37,subQ,MATCH(AB$1,SUBQH,0),0),"")</f>
        <v/>
      </c>
      <c r="AC37" s="39">
        <f>IFERROR(VLOOKUP($A37,subQ,MATCH(AC$1,SUBQH,0),0),"")</f>
        <v/>
      </c>
      <c r="AD37" s="39">
        <f>IFERROR(VLOOKUP($A37,subQ,MATCH(AD$1,SUBQH,0),0),"")</f>
        <v/>
      </c>
      <c r="AE37" s="39">
        <f>IFERROR(VLOOKUP($A37,subQ,MATCH(AE$1,SUBQH,0),0),"")</f>
        <v/>
      </c>
      <c r="AF37" s="39">
        <f>IFERROR(VLOOKUP($A37,subQ,MATCH(AF$1,SUBQH,0),0),"")</f>
        <v/>
      </c>
      <c r="AG37" s="39">
        <f>IFERROR(VLOOKUP($A37,subQ,MATCH(AG$1,SUBQH,0),0),"")</f>
        <v/>
      </c>
    </row>
    <row r="38">
      <c r="A38" s="12" t="inlineStr">
        <is>
          <t>매출전사</t>
        </is>
      </c>
      <c r="D38" t="inlineStr">
        <is>
          <t>매출 전사(부문 미분리)</t>
        </is>
      </c>
      <c r="E38" s="18">
        <f>IFERROR(VLOOKUP($A38,subQ,MATCH(E$1,SUBQH,0),0),"")</f>
        <v/>
      </c>
      <c r="F38" s="18">
        <f>IFERROR(VLOOKUP($A38,subQ,MATCH(F$1,SUBQH,0),0),"")</f>
        <v/>
      </c>
      <c r="G38" s="18">
        <f>IFERROR(VLOOKUP($A38,subQ,MATCH(G$1,SUBQH,0),0),"")</f>
        <v/>
      </c>
      <c r="H38" s="18">
        <f>IFERROR(VLOOKUP($A38,subQ,MATCH(H$1,SUBQH,0),0),"")</f>
        <v/>
      </c>
      <c r="I38" s="18">
        <f>IFERROR(VLOOKUP($A38,subQ,MATCH(I$1,SUBQH,0),0),"")</f>
        <v/>
      </c>
      <c r="J38" s="18">
        <f>IFERROR(VLOOKUP($A38,subQ,MATCH(J$1,SUBQH,0),0),"")</f>
        <v/>
      </c>
      <c r="K38" s="18">
        <f>IFERROR(VLOOKUP($A38,subQ,MATCH(K$1,SUBQH,0),0),"")</f>
        <v/>
      </c>
      <c r="L38" s="18">
        <f>IFERROR(VLOOKUP($A38,subQ,MATCH(L$1,SUBQH,0),0),"")</f>
        <v/>
      </c>
      <c r="M38" s="18">
        <f>IFERROR(VLOOKUP($A38,subQ,MATCH(M$1,SUBQH,0),0),"")</f>
        <v/>
      </c>
      <c r="N38" s="18">
        <f>IFERROR(VLOOKUP($A38,subQ,MATCH(N$1,SUBQH,0),0),"")</f>
        <v/>
      </c>
      <c r="O38" s="18">
        <f>IFERROR(VLOOKUP($A38,subQ,MATCH(O$1,SUBQH,0),0),"")</f>
        <v/>
      </c>
      <c r="P38" s="18">
        <f>IFERROR(VLOOKUP($A38,subQ,MATCH(P$1,SUBQH,0),0),"")</f>
        <v/>
      </c>
      <c r="Q38" s="18">
        <f>IFERROR(VLOOKUP($A38,subQ,MATCH(Q$1,SUBQH,0),0),"")</f>
        <v/>
      </c>
      <c r="R38" s="18">
        <f>IFERROR(VLOOKUP($A38,subQ,MATCH(R$1,SUBQH,0),0),"")</f>
        <v/>
      </c>
      <c r="S38" s="18">
        <f>IFERROR(VLOOKUP($A38,subQ,MATCH(S$1,SUBQH,0),0),"")</f>
        <v/>
      </c>
      <c r="T38" s="18">
        <f>IFERROR(VLOOKUP($A38,subQ,MATCH(T$1,SUBQH,0),0),"")</f>
        <v/>
      </c>
      <c r="U38" s="18">
        <f>IFERROR(VLOOKUP($A38,subQ,MATCH(U$1,SUBQH,0),0),"")</f>
        <v/>
      </c>
      <c r="V38" s="18">
        <f>IFERROR(VLOOKUP($A38,subQ,MATCH(V$1,SUBQH,0),0),"")</f>
        <v/>
      </c>
      <c r="W38" s="45">
        <f>IFERROR(VLOOKUP($A38,subQ,MATCH(W$1,SUBQH,0),0),"")</f>
        <v/>
      </c>
      <c r="X38" s="20">
        <f>IFERROR(VLOOKUP($A38,subQ,MATCH(X$1,SUBQH,0),0),"")</f>
        <v/>
      </c>
      <c r="Y38" s="20">
        <f>IFERROR(VLOOKUP($A38,subQ,MATCH(Y$1,SUBQH,0),0),"")</f>
        <v/>
      </c>
      <c r="Z38" s="20">
        <f>IFERROR(VLOOKUP($A38,subQ,MATCH(Z$1,SUBQH,0),0),"")</f>
        <v/>
      </c>
      <c r="AA38" s="20">
        <f>IFERROR(VLOOKUP($A38,subQ,MATCH(AA$1,SUBQH,0),0),"")</f>
        <v/>
      </c>
      <c r="AB38" s="20">
        <f>IFERROR(VLOOKUP($A38,subQ,MATCH(AB$1,SUBQH,0),0),"")</f>
        <v/>
      </c>
      <c r="AC38" s="20">
        <f>IFERROR(VLOOKUP($A38,subQ,MATCH(AC$1,SUBQH,0),0),"")</f>
        <v/>
      </c>
      <c r="AD38" s="20">
        <f>IFERROR(VLOOKUP($A38,subQ,MATCH(AD$1,SUBQH,0),0),"")</f>
        <v/>
      </c>
      <c r="AE38" s="20">
        <f>IFERROR(VLOOKUP($A38,subQ,MATCH(AE$1,SUBQH,0),0),"")</f>
        <v/>
      </c>
      <c r="AF38" s="20">
        <f>IFERROR(VLOOKUP($A38,subQ,MATCH(AF$1,SUBQH,0),0),"")</f>
        <v/>
      </c>
      <c r="AG38" s="20">
        <f>IFERROR(VLOOKUP($A38,subQ,MATCH(AG$1,SUBQH,0),0),"")</f>
        <v/>
      </c>
    </row>
    <row r="39">
      <c r="A39" s="12" t="inlineStr">
        <is>
          <t>OP전사</t>
        </is>
      </c>
      <c r="D39" t="inlineStr">
        <is>
          <t>OP 전사(부문 미분리)</t>
        </is>
      </c>
      <c r="E39" s="18">
        <f>IFERROR(VLOOKUP($A39,subQ,MATCH(E$1,SUBQH,0),0),"")</f>
        <v/>
      </c>
      <c r="F39" s="18">
        <f>IFERROR(VLOOKUP($A39,subQ,MATCH(F$1,SUBQH,0),0),"")</f>
        <v/>
      </c>
      <c r="G39" s="18">
        <f>IFERROR(VLOOKUP($A39,subQ,MATCH(G$1,SUBQH,0),0),"")</f>
        <v/>
      </c>
      <c r="H39" s="18">
        <f>IFERROR(VLOOKUP($A39,subQ,MATCH(H$1,SUBQH,0),0),"")</f>
        <v/>
      </c>
      <c r="I39" s="18">
        <f>IFERROR(VLOOKUP($A39,subQ,MATCH(I$1,SUBQH,0),0),"")</f>
        <v/>
      </c>
      <c r="J39" s="18">
        <f>IFERROR(VLOOKUP($A39,subQ,MATCH(J$1,SUBQH,0),0),"")</f>
        <v/>
      </c>
      <c r="K39" s="18">
        <f>IFERROR(VLOOKUP($A39,subQ,MATCH(K$1,SUBQH,0),0),"")</f>
        <v/>
      </c>
      <c r="L39" s="18">
        <f>IFERROR(VLOOKUP($A39,subQ,MATCH(L$1,SUBQH,0),0),"")</f>
        <v/>
      </c>
      <c r="M39" s="18">
        <f>IFERROR(VLOOKUP($A39,subQ,MATCH(M$1,SUBQH,0),0),"")</f>
        <v/>
      </c>
      <c r="N39" s="18">
        <f>IFERROR(VLOOKUP($A39,subQ,MATCH(N$1,SUBQH,0),0),"")</f>
        <v/>
      </c>
      <c r="O39" s="18">
        <f>IFERROR(VLOOKUP($A39,subQ,MATCH(O$1,SUBQH,0),0),"")</f>
        <v/>
      </c>
      <c r="P39" s="18">
        <f>IFERROR(VLOOKUP($A39,subQ,MATCH(P$1,SUBQH,0),0),"")</f>
        <v/>
      </c>
      <c r="Q39" s="18">
        <f>IFERROR(VLOOKUP($A39,subQ,MATCH(Q$1,SUBQH,0),0),"")</f>
        <v/>
      </c>
      <c r="R39" s="18">
        <f>IFERROR(VLOOKUP($A39,subQ,MATCH(R$1,SUBQH,0),0),"")</f>
        <v/>
      </c>
      <c r="S39" s="18">
        <f>IFERROR(VLOOKUP($A39,subQ,MATCH(S$1,SUBQH,0),0),"")</f>
        <v/>
      </c>
      <c r="T39" s="18">
        <f>IFERROR(VLOOKUP($A39,subQ,MATCH(T$1,SUBQH,0),0),"")</f>
        <v/>
      </c>
      <c r="U39" s="18">
        <f>IFERROR(VLOOKUP($A39,subQ,MATCH(U$1,SUBQH,0),0),"")</f>
        <v/>
      </c>
      <c r="V39" s="18">
        <f>IFERROR(VLOOKUP($A39,subQ,MATCH(V$1,SUBQH,0),0),"")</f>
        <v/>
      </c>
      <c r="W39" s="45">
        <f>IFERROR(VLOOKUP($A39,subQ,MATCH(W$1,SUBQH,0),0),"")</f>
        <v/>
      </c>
      <c r="X39" s="20">
        <f>IFERROR(VLOOKUP($A39,subQ,MATCH(X$1,SUBQH,0),0),"")</f>
        <v/>
      </c>
      <c r="Y39" s="20">
        <f>IFERROR(VLOOKUP($A39,subQ,MATCH(Y$1,SUBQH,0),0),"")</f>
        <v/>
      </c>
      <c r="Z39" s="20">
        <f>IFERROR(VLOOKUP($A39,subQ,MATCH(Z$1,SUBQH,0),0),"")</f>
        <v/>
      </c>
      <c r="AA39" s="20">
        <f>IFERROR(VLOOKUP($A39,subQ,MATCH(AA$1,SUBQH,0),0),"")</f>
        <v/>
      </c>
      <c r="AB39" s="20">
        <f>IFERROR(VLOOKUP($A39,subQ,MATCH(AB$1,SUBQH,0),0),"")</f>
        <v/>
      </c>
      <c r="AC39" s="20">
        <f>IFERROR(VLOOKUP($A39,subQ,MATCH(AC$1,SUBQH,0),0),"")</f>
        <v/>
      </c>
      <c r="AD39" s="20">
        <f>IFERROR(VLOOKUP($A39,subQ,MATCH(AD$1,SUBQH,0),0),"")</f>
        <v/>
      </c>
      <c r="AE39" s="20">
        <f>IFERROR(VLOOKUP($A39,subQ,MATCH(AE$1,SUBQH,0),0),"")</f>
        <v/>
      </c>
      <c r="AF39" s="20">
        <f>IFERROR(VLOOKUP($A39,subQ,MATCH(AF$1,SUBQH,0),0),"")</f>
        <v/>
      </c>
      <c r="AG39" s="20">
        <f>IFERROR(VLOOKUP($A39,subQ,MATCH(AG$1,SUBQH,0),0),"")</f>
        <v/>
      </c>
    </row>
    <row r="40">
      <c r="A40" s="12" t="inlineStr">
        <is>
          <t>NPM</t>
        </is>
      </c>
      <c r="D40" t="inlineStr">
        <is>
          <t>NPM</t>
        </is>
      </c>
      <c r="E40" s="21">
        <f>IFERROR(VLOOKUP($A40,subQ,MATCH(E$1,SUBQH,0),0),"")</f>
        <v/>
      </c>
      <c r="F40" s="21">
        <f>IFERROR(VLOOKUP($A40,subQ,MATCH(F$1,SUBQH,0),0),"")</f>
        <v/>
      </c>
      <c r="G40" s="21">
        <f>IFERROR(VLOOKUP($A40,subQ,MATCH(G$1,SUBQH,0),0),"")</f>
        <v/>
      </c>
      <c r="H40" s="21">
        <f>IFERROR(VLOOKUP($A40,subQ,MATCH(H$1,SUBQH,0),0),"")</f>
        <v/>
      </c>
      <c r="I40" s="21">
        <f>IFERROR(VLOOKUP($A40,subQ,MATCH(I$1,SUBQH,0),0),"")</f>
        <v/>
      </c>
      <c r="J40" s="21">
        <f>IFERROR(VLOOKUP($A40,subQ,MATCH(J$1,SUBQH,0),0),"")</f>
        <v/>
      </c>
      <c r="K40" s="21">
        <f>IFERROR(VLOOKUP($A40,subQ,MATCH(K$1,SUBQH,0),0),"")</f>
        <v/>
      </c>
      <c r="L40" s="21">
        <f>IFERROR(VLOOKUP($A40,subQ,MATCH(L$1,SUBQH,0),0),"")</f>
        <v/>
      </c>
      <c r="M40" s="21">
        <f>IFERROR(VLOOKUP($A40,subQ,MATCH(M$1,SUBQH,0),0),"")</f>
        <v/>
      </c>
      <c r="N40" s="21">
        <f>IFERROR(VLOOKUP($A40,subQ,MATCH(N$1,SUBQH,0),0),"")</f>
        <v/>
      </c>
      <c r="O40" s="21">
        <f>IFERROR(VLOOKUP($A40,subQ,MATCH(O$1,SUBQH,0),0),"")</f>
        <v/>
      </c>
      <c r="P40" s="21">
        <f>IFERROR(VLOOKUP($A40,subQ,MATCH(P$1,SUBQH,0),0),"")</f>
        <v/>
      </c>
      <c r="Q40" s="21">
        <f>IFERROR(VLOOKUP($A40,subQ,MATCH(Q$1,SUBQH,0),0),"")</f>
        <v/>
      </c>
      <c r="R40" s="21">
        <f>IFERROR(VLOOKUP($A40,subQ,MATCH(R$1,SUBQH,0),0),"")</f>
        <v/>
      </c>
      <c r="S40" s="21">
        <f>IFERROR(VLOOKUP($A40,subQ,MATCH(S$1,SUBQH,0),0),"")</f>
        <v/>
      </c>
      <c r="T40" s="21">
        <f>IFERROR(VLOOKUP($A40,subQ,MATCH(T$1,SUBQH,0),0),"")</f>
        <v/>
      </c>
      <c r="U40" s="21">
        <f>IFERROR(VLOOKUP($A40,subQ,MATCH(U$1,SUBQH,0),0),"")</f>
        <v/>
      </c>
      <c r="V40" s="21">
        <f>IFERROR(VLOOKUP($A40,subQ,MATCH(V$1,SUBQH,0),0),"")</f>
        <v/>
      </c>
      <c r="W40" s="46">
        <f>IFERROR(VLOOKUP($A40,subQ,MATCH(W$1,SUBQH,0),0),"")</f>
        <v/>
      </c>
      <c r="X40" s="32">
        <f>IFERROR(VLOOKUP($A40,subQ,MATCH(X$1,SUBQH,0),0),"")</f>
        <v/>
      </c>
      <c r="Y40" s="32">
        <f>IFERROR(VLOOKUP($A40,subQ,MATCH(Y$1,SUBQH,0),0),"")</f>
        <v/>
      </c>
      <c r="Z40" s="32">
        <f>IFERROR(VLOOKUP($A40,subQ,MATCH(Z$1,SUBQH,0),0),"")</f>
        <v/>
      </c>
      <c r="AA40" s="32">
        <f>IFERROR(VLOOKUP($A40,subQ,MATCH(AA$1,SUBQH,0),0),"")</f>
        <v/>
      </c>
      <c r="AB40" s="32">
        <f>IFERROR(VLOOKUP($A40,subQ,MATCH(AB$1,SUBQH,0),0),"")</f>
        <v/>
      </c>
      <c r="AC40" s="32">
        <f>IFERROR(VLOOKUP($A40,subQ,MATCH(AC$1,SUBQH,0),0),"")</f>
        <v/>
      </c>
      <c r="AD40" s="32">
        <f>IFERROR(VLOOKUP($A40,subQ,MATCH(AD$1,SUBQH,0),0),"")</f>
        <v/>
      </c>
      <c r="AE40" s="32">
        <f>IFERROR(VLOOKUP($A40,subQ,MATCH(AE$1,SUBQH,0),0),"")</f>
        <v/>
      </c>
      <c r="AF40" s="32">
        <f>IFERROR(VLOOKUP($A40,subQ,MATCH(AF$1,SUBQH,0),0),"")</f>
        <v/>
      </c>
      <c r="AG40" s="32">
        <f>IFERROR(VLOOKUP($A40,subQ,MATCH(AG$1,SUBQH,0),0),"")</f>
        <v/>
      </c>
    </row>
    <row r="41">
      <c r="A41" s="12" t="inlineStr">
        <is>
          <t>매출액 YoY</t>
        </is>
      </c>
      <c r="D41" t="inlineStr">
        <is>
          <t>매출액 YoY</t>
        </is>
      </c>
      <c r="I41" s="21">
        <f>IFERROR(I5/E5-1,"")</f>
        <v/>
      </c>
      <c r="J41" s="21">
        <f>IFERROR(J5/F5-1,"")</f>
        <v/>
      </c>
      <c r="K41" s="21">
        <f>IFERROR(K5/G5-1,"")</f>
        <v/>
      </c>
      <c r="L41" s="21">
        <f>IFERROR(L5/H5-1,"")</f>
        <v/>
      </c>
      <c r="M41" s="21">
        <f>IFERROR(M5/I5-1,"")</f>
        <v/>
      </c>
      <c r="N41" s="21">
        <f>IFERROR(N5/J5-1,"")</f>
        <v/>
      </c>
      <c r="O41" s="21">
        <f>IFERROR(O5/K5-1,"")</f>
        <v/>
      </c>
      <c r="P41" s="21">
        <f>IFERROR(P5/L5-1,"")</f>
        <v/>
      </c>
      <c r="Q41" s="21">
        <f>IFERROR(Q5/M5-1,"")</f>
        <v/>
      </c>
      <c r="R41" s="21">
        <f>IFERROR(R5/N5-1,"")</f>
        <v/>
      </c>
      <c r="S41" s="21">
        <f>IFERROR(S5/O5-1,"")</f>
        <v/>
      </c>
      <c r="T41" s="21">
        <f>IFERROR(T5/P5-1,"")</f>
        <v/>
      </c>
      <c r="U41" s="21">
        <f>IFERROR(U5/Q5-1,"")</f>
        <v/>
      </c>
      <c r="V41" s="21">
        <f>IFERROR(V5/R5-1,"")</f>
        <v/>
      </c>
      <c r="W41" s="46">
        <f>IFERROR(W5/S5-1,"")</f>
        <v/>
      </c>
      <c r="X41" s="32">
        <f>IFERROR(X5/T5-1,"")</f>
        <v/>
      </c>
      <c r="Y41" s="32">
        <f>IFERROR(Y5/U5-1,"")</f>
        <v/>
      </c>
      <c r="Z41" s="32">
        <f>IFERROR(Z5/V5-1,"")</f>
        <v/>
      </c>
      <c r="AA41" s="32">
        <f>IFERROR(AA5/W5-1,"")</f>
        <v/>
      </c>
      <c r="AB41" s="32">
        <f>IFERROR(AB5/X5-1,"")</f>
        <v/>
      </c>
      <c r="AC41" s="32">
        <f>IFERROR(AC5/Y5-1,"")</f>
        <v/>
      </c>
      <c r="AD41" s="32">
        <f>IFERROR(AD5/Z5-1,"")</f>
        <v/>
      </c>
      <c r="AE41" s="32">
        <f>IFERROR(AE5/AA5-1,"")</f>
        <v/>
      </c>
      <c r="AF41" s="32">
        <f>IFERROR(AF5/AB5-1,"")</f>
        <v/>
      </c>
      <c r="AG41" s="32">
        <f>IFERROR(AG5/AC5-1,"")</f>
        <v/>
      </c>
    </row>
    <row r="42">
      <c r="A42" s="12" t="inlineStr">
        <is>
          <t>영업이익 YoY</t>
        </is>
      </c>
      <c r="D42" t="inlineStr">
        <is>
          <t>영업이익 YoY</t>
        </is>
      </c>
      <c r="I42" s="21">
        <f>IFERROR(I9/E9-1,"")</f>
        <v/>
      </c>
      <c r="J42" s="21">
        <f>IFERROR(J9/F9-1,"")</f>
        <v/>
      </c>
      <c r="K42" s="21">
        <f>IFERROR(K9/G9-1,"")</f>
        <v/>
      </c>
      <c r="L42" s="21">
        <f>IFERROR(L9/H9-1,"")</f>
        <v/>
      </c>
      <c r="M42" s="21">
        <f>IFERROR(M9/I9-1,"")</f>
        <v/>
      </c>
      <c r="N42" s="21">
        <f>IFERROR(N9/J9-1,"")</f>
        <v/>
      </c>
      <c r="O42" s="21">
        <f>IFERROR(O9/K9-1,"")</f>
        <v/>
      </c>
      <c r="P42" s="21">
        <f>IFERROR(P9/L9-1,"")</f>
        <v/>
      </c>
      <c r="Q42" s="21">
        <f>IFERROR(Q9/M9-1,"")</f>
        <v/>
      </c>
      <c r="R42" s="21">
        <f>IFERROR(R9/N9-1,"")</f>
        <v/>
      </c>
      <c r="S42" s="21">
        <f>IFERROR(S9/O9-1,"")</f>
        <v/>
      </c>
      <c r="T42" s="21">
        <f>IFERROR(T9/P9-1,"")</f>
        <v/>
      </c>
      <c r="U42" s="21">
        <f>IFERROR(U9/Q9-1,"")</f>
        <v/>
      </c>
      <c r="V42" s="21">
        <f>IFERROR(V9/R9-1,"")</f>
        <v/>
      </c>
      <c r="W42" s="46">
        <f>IFERROR(W9/S9-1,"")</f>
        <v/>
      </c>
      <c r="X42" s="32">
        <f>IFERROR(X9/T9-1,"")</f>
        <v/>
      </c>
      <c r="Y42" s="32">
        <f>IFERROR(Y9/U9-1,"")</f>
        <v/>
      </c>
      <c r="Z42" s="32">
        <f>IFERROR(Z9/V9-1,"")</f>
        <v/>
      </c>
      <c r="AA42" s="32">
        <f>IFERROR(AA9/W9-1,"")</f>
        <v/>
      </c>
      <c r="AB42" s="32">
        <f>IFERROR(AB9/X9-1,"")</f>
        <v/>
      </c>
      <c r="AC42" s="32">
        <f>IFERROR(AC9/Y9-1,"")</f>
        <v/>
      </c>
      <c r="AD42" s="32">
        <f>IFERROR(AD9/Z9-1,"")</f>
        <v/>
      </c>
      <c r="AE42" s="32">
        <f>IFERROR(AE9/AA9-1,"")</f>
        <v/>
      </c>
      <c r="AF42" s="32">
        <f>IFERROR(AF9/AB9-1,"")</f>
        <v/>
      </c>
      <c r="AG42" s="32">
        <f>IFERROR(AG9/AC9-1,"")</f>
        <v/>
      </c>
    </row>
    <row r="43">
      <c r="A43" s="12" t="inlineStr">
        <is>
          <t>지배주주순이익 YoY</t>
        </is>
      </c>
      <c r="D43" t="inlineStr">
        <is>
          <t>지배주주순이익 YoY</t>
        </is>
      </c>
      <c r="I43" s="21">
        <f>IFERROR(I21/E21-1,"")</f>
        <v/>
      </c>
      <c r="J43" s="21">
        <f>IFERROR(J21/F21-1,"")</f>
        <v/>
      </c>
      <c r="K43" s="21">
        <f>IFERROR(K21/G21-1,"")</f>
        <v/>
      </c>
      <c r="L43" s="21">
        <f>IFERROR(L21/H21-1,"")</f>
        <v/>
      </c>
      <c r="M43" s="21">
        <f>IFERROR(M21/I21-1,"")</f>
        <v/>
      </c>
      <c r="N43" s="21">
        <f>IFERROR(N21/J21-1,"")</f>
        <v/>
      </c>
      <c r="O43" s="21">
        <f>IFERROR(O21/K21-1,"")</f>
        <v/>
      </c>
      <c r="P43" s="21">
        <f>IFERROR(P21/L21-1,"")</f>
        <v/>
      </c>
      <c r="Q43" s="21">
        <f>IFERROR(Q21/M21-1,"")</f>
        <v/>
      </c>
      <c r="R43" s="21">
        <f>IFERROR(R21/N21-1,"")</f>
        <v/>
      </c>
      <c r="S43" s="21">
        <f>IFERROR(S21/O21-1,"")</f>
        <v/>
      </c>
      <c r="T43" s="21">
        <f>IFERROR(T21/P21-1,"")</f>
        <v/>
      </c>
      <c r="U43" s="21">
        <f>IFERROR(U21/Q21-1,"")</f>
        <v/>
      </c>
      <c r="V43" s="21">
        <f>IFERROR(V21/R21-1,"")</f>
        <v/>
      </c>
      <c r="W43" s="46">
        <f>IFERROR(W21/S21-1,"")</f>
        <v/>
      </c>
      <c r="X43" s="32">
        <f>IFERROR(X21/T21-1,"")</f>
        <v/>
      </c>
      <c r="Y43" s="32">
        <f>IFERROR(Y21/U21-1,"")</f>
        <v/>
      </c>
      <c r="Z43" s="32">
        <f>IFERROR(Z21/V21-1,"")</f>
        <v/>
      </c>
      <c r="AA43" s="32">
        <f>IFERROR(AA21/W21-1,"")</f>
        <v/>
      </c>
      <c r="AB43" s="32">
        <f>IFERROR(AB21/X21-1,"")</f>
        <v/>
      </c>
      <c r="AC43" s="32">
        <f>IFERROR(AC21/Y21-1,"")</f>
        <v/>
      </c>
      <c r="AD43" s="32">
        <f>IFERROR(AD21/Z21-1,"")</f>
        <v/>
      </c>
      <c r="AE43" s="32">
        <f>IFERROR(AE21/AA21-1,"")</f>
        <v/>
      </c>
      <c r="AF43" s="32">
        <f>IFERROR(AF21/AB21-1,"")</f>
        <v/>
      </c>
      <c r="AG43" s="32">
        <f>IFERROR(AG21/AC21-1,"")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9" customWidth="1" min="2" max="2"/>
    <col width="26" customWidth="1" min="3" max="3"/>
    <col width="30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>
      <c r="C1" s="2" t="inlineStr">
        <is>
          <t>이름: 연간예상H — subQ 를 이름으로 VLOOKUP(억원)</t>
        </is>
      </c>
      <c r="E1" s="3" t="n">
        <v>2021</v>
      </c>
      <c r="F1" s="3" t="n">
        <v>2022</v>
      </c>
      <c r="G1" s="3" t="n">
        <v>2023</v>
      </c>
      <c r="H1" s="3" t="n">
        <v>2024</v>
      </c>
      <c r="I1" s="41" t="n">
        <v>2025</v>
      </c>
      <c r="J1" s="3" t="n">
        <v>2026</v>
      </c>
      <c r="K1" s="3" t="n">
        <v>2027</v>
      </c>
      <c r="L1" s="3" t="n">
        <v>2028</v>
      </c>
    </row>
    <row r="2">
      <c r="C2" t="inlineStr">
        <is>
          <t>종가:</t>
        </is>
      </c>
      <c r="D2" s="18">
        <f>변수!D44</f>
        <v/>
      </c>
      <c r="I2" s="42" t="n"/>
    </row>
    <row r="3">
      <c r="C3" t="inlineStr">
        <is>
          <t>기준일:</t>
        </is>
      </c>
      <c r="D3" t="inlineStr">
        <is>
          <t>20261014</t>
        </is>
      </c>
      <c r="E3" s="2" t="n">
        <v>1</v>
      </c>
      <c r="F3" s="2" t="n">
        <v>2</v>
      </c>
      <c r="G3" s="2" t="n">
        <v>3</v>
      </c>
      <c r="H3" s="2" t="n">
        <v>4</v>
      </c>
      <c r="I3" s="43" t="n">
        <v>5</v>
      </c>
      <c r="J3" s="2" t="n">
        <v>6</v>
      </c>
      <c r="K3" s="2" t="n">
        <v>7</v>
      </c>
      <c r="L3" s="2" t="n">
        <v>8</v>
      </c>
    </row>
    <row r="4">
      <c r="E4" s="7" t="inlineStr">
        <is>
          <t>2021.12A</t>
        </is>
      </c>
      <c r="F4" s="7" t="inlineStr">
        <is>
          <t>2022.12A</t>
        </is>
      </c>
      <c r="G4" s="7" t="inlineStr">
        <is>
          <t>2023.12A</t>
        </is>
      </c>
      <c r="H4" s="7" t="inlineStr">
        <is>
          <t>2024.12A</t>
        </is>
      </c>
      <c r="I4" s="44" t="inlineStr">
        <is>
          <t>2025.12A</t>
        </is>
      </c>
      <c r="J4" s="7" t="inlineStr">
        <is>
          <t>2026.12A</t>
        </is>
      </c>
      <c r="K4" s="7" t="inlineStr">
        <is>
          <t>2027.12A</t>
        </is>
      </c>
      <c r="L4" s="7" t="inlineStr">
        <is>
          <t>2028.12A</t>
        </is>
      </c>
    </row>
    <row r="5">
      <c r="A5" s="12" t="inlineStr">
        <is>
          <t>매출액</t>
        </is>
      </c>
      <c r="D5" t="inlineStr">
        <is>
          <t>매출액</t>
        </is>
      </c>
      <c r="E5" s="18">
        <f>IFERROR(VLOOKUP($A5,subQ,MATCH(E$1,SUBQH,0),0),"")</f>
        <v/>
      </c>
      <c r="F5" s="18">
        <f>IFERROR(VLOOKUP($A5,subQ,MATCH(F$1,SUBQH,0),0),"")</f>
        <v/>
      </c>
      <c r="G5" s="18">
        <f>IFERROR(VLOOKUP($A5,subQ,MATCH(G$1,SUBQH,0),0),"")</f>
        <v/>
      </c>
      <c r="H5" s="18">
        <f>IFERROR(VLOOKUP($A5,subQ,MATCH(H$1,SUBQH,0),0),"")</f>
        <v/>
      </c>
      <c r="I5" s="45">
        <f>IFERROR(VLOOKUP($A5,subQ,MATCH(I$1,SUBQH,0),0),"")</f>
        <v/>
      </c>
      <c r="J5" s="20">
        <f>IFERROR(VLOOKUP($A5,subQ,MATCH(J$1,SUBQH,0),0),"")</f>
        <v/>
      </c>
      <c r="K5" s="20">
        <f>IFERROR(VLOOKUP($A5,subQ,MATCH(K$1,SUBQH,0),0),"")</f>
        <v/>
      </c>
      <c r="L5" s="20">
        <f>IFERROR(VLOOKUP($A5,subQ,MATCH(L$1,SUBQH,0),0),"")</f>
        <v/>
      </c>
    </row>
    <row r="6">
      <c r="A6" s="12" t="inlineStr">
        <is>
          <t>매출원가</t>
        </is>
      </c>
      <c r="D6" t="inlineStr">
        <is>
          <t>매출원가</t>
        </is>
      </c>
      <c r="E6" s="18">
        <f>IFERROR(VLOOKUP($A6,subQ,MATCH(E$1,SUBQH,0),0),"")</f>
        <v/>
      </c>
      <c r="F6" s="18">
        <f>IFERROR(VLOOKUP($A6,subQ,MATCH(F$1,SUBQH,0),0),"")</f>
        <v/>
      </c>
      <c r="G6" s="18">
        <f>IFERROR(VLOOKUP($A6,subQ,MATCH(G$1,SUBQH,0),0),"")</f>
        <v/>
      </c>
      <c r="H6" s="18">
        <f>IFERROR(VLOOKUP($A6,subQ,MATCH(H$1,SUBQH,0),0),"")</f>
        <v/>
      </c>
      <c r="I6" s="45">
        <f>IFERROR(VLOOKUP($A6,subQ,MATCH(I$1,SUBQH,0),0),"")</f>
        <v/>
      </c>
      <c r="J6" s="20">
        <f>IFERROR(VLOOKUP($A6,subQ,MATCH(J$1,SUBQH,0),0),"")</f>
        <v/>
      </c>
      <c r="K6" s="20">
        <f>IFERROR(VLOOKUP($A6,subQ,MATCH(K$1,SUBQH,0),0),"")</f>
        <v/>
      </c>
      <c r="L6" s="20">
        <f>IFERROR(VLOOKUP($A6,subQ,MATCH(L$1,SUBQH,0),0),"")</f>
        <v/>
      </c>
    </row>
    <row r="7">
      <c r="A7" s="12" t="inlineStr">
        <is>
          <t>매출총이익</t>
        </is>
      </c>
      <c r="D7" t="inlineStr">
        <is>
          <t>매출총이익</t>
        </is>
      </c>
      <c r="E7" s="18">
        <f>IFERROR(VLOOKUP($A7,subQ,MATCH(E$1,SUBQH,0),0),"")</f>
        <v/>
      </c>
      <c r="F7" s="18">
        <f>IFERROR(VLOOKUP($A7,subQ,MATCH(F$1,SUBQH,0),0),"")</f>
        <v/>
      </c>
      <c r="G7" s="18">
        <f>IFERROR(VLOOKUP($A7,subQ,MATCH(G$1,SUBQH,0),0),"")</f>
        <v/>
      </c>
      <c r="H7" s="18">
        <f>IFERROR(VLOOKUP($A7,subQ,MATCH(H$1,SUBQH,0),0),"")</f>
        <v/>
      </c>
      <c r="I7" s="45">
        <f>IFERROR(VLOOKUP($A7,subQ,MATCH(I$1,SUBQH,0),0),"")</f>
        <v/>
      </c>
      <c r="J7" s="20">
        <f>IFERROR(VLOOKUP($A7,subQ,MATCH(J$1,SUBQH,0),0),"")</f>
        <v/>
      </c>
      <c r="K7" s="20">
        <f>IFERROR(VLOOKUP($A7,subQ,MATCH(K$1,SUBQH,0),0),"")</f>
        <v/>
      </c>
      <c r="L7" s="20">
        <f>IFERROR(VLOOKUP($A7,subQ,MATCH(L$1,SUBQH,0),0),"")</f>
        <v/>
      </c>
    </row>
    <row r="8">
      <c r="A8" s="12" t="inlineStr">
        <is>
          <t>판관비</t>
        </is>
      </c>
      <c r="D8" t="inlineStr">
        <is>
          <t>판매비와관리비</t>
        </is>
      </c>
      <c r="E8" s="18">
        <f>IFERROR(VLOOKUP($A8,subQ,MATCH(E$1,SUBQH,0),0),"")</f>
        <v/>
      </c>
      <c r="F8" s="18">
        <f>IFERROR(VLOOKUP($A8,subQ,MATCH(F$1,SUBQH,0),0),"")</f>
        <v/>
      </c>
      <c r="G8" s="18">
        <f>IFERROR(VLOOKUP($A8,subQ,MATCH(G$1,SUBQH,0),0),"")</f>
        <v/>
      </c>
      <c r="H8" s="18">
        <f>IFERROR(VLOOKUP($A8,subQ,MATCH(H$1,SUBQH,0),0),"")</f>
        <v/>
      </c>
      <c r="I8" s="45">
        <f>IFERROR(VLOOKUP($A8,subQ,MATCH(I$1,SUBQH,0),0),"")</f>
        <v/>
      </c>
      <c r="J8" s="20">
        <f>IFERROR(VLOOKUP($A8,subQ,MATCH(J$1,SUBQH,0),0),"")</f>
        <v/>
      </c>
      <c r="K8" s="20">
        <f>IFERROR(VLOOKUP($A8,subQ,MATCH(K$1,SUBQH,0),0),"")</f>
        <v/>
      </c>
      <c r="L8" s="20">
        <f>IFERROR(VLOOKUP($A8,subQ,MATCH(L$1,SUBQH,0),0),"")</f>
        <v/>
      </c>
    </row>
    <row r="9">
      <c r="A9" s="12" t="inlineStr">
        <is>
          <t>영업이익</t>
        </is>
      </c>
      <c r="D9" t="inlineStr">
        <is>
          <t>영업이익</t>
        </is>
      </c>
      <c r="E9" s="18">
        <f>IFERROR(VLOOKUP($A9,subQ,MATCH(E$1,SUBQH,0),0),"")</f>
        <v/>
      </c>
      <c r="F9" s="18">
        <f>IFERROR(VLOOKUP($A9,subQ,MATCH(F$1,SUBQH,0),0),"")</f>
        <v/>
      </c>
      <c r="G9" s="18">
        <f>IFERROR(VLOOKUP($A9,subQ,MATCH(G$1,SUBQH,0),0),"")</f>
        <v/>
      </c>
      <c r="H9" s="18">
        <f>IFERROR(VLOOKUP($A9,subQ,MATCH(H$1,SUBQH,0),0),"")</f>
        <v/>
      </c>
      <c r="I9" s="45">
        <f>IFERROR(VLOOKUP($A9,subQ,MATCH(I$1,SUBQH,0),0),"")</f>
        <v/>
      </c>
      <c r="J9" s="20">
        <f>IFERROR(VLOOKUP($A9,subQ,MATCH(J$1,SUBQH,0),0),"")</f>
        <v/>
      </c>
      <c r="K9" s="20">
        <f>IFERROR(VLOOKUP($A9,subQ,MATCH(K$1,SUBQH,0),0),"")</f>
        <v/>
      </c>
      <c r="L9" s="20">
        <f>IFERROR(VLOOKUP($A9,subQ,MATCH(L$1,SUBQH,0),0),"")</f>
        <v/>
      </c>
    </row>
    <row r="10">
      <c r="A10" s="12" t="inlineStr">
        <is>
          <t>OPM</t>
        </is>
      </c>
      <c r="D10" t="inlineStr">
        <is>
          <t>영업이익률</t>
        </is>
      </c>
      <c r="E10" s="21">
        <f>IFERROR(VLOOKUP($A10,subQ,MATCH(E$1,SUBQH,0),0),"")</f>
        <v/>
      </c>
      <c r="F10" s="21">
        <f>IFERROR(VLOOKUP($A10,subQ,MATCH(F$1,SUBQH,0),0),"")</f>
        <v/>
      </c>
      <c r="G10" s="21">
        <f>IFERROR(VLOOKUP($A10,subQ,MATCH(G$1,SUBQH,0),0),"")</f>
        <v/>
      </c>
      <c r="H10" s="21">
        <f>IFERROR(VLOOKUP($A10,subQ,MATCH(H$1,SUBQH,0),0),"")</f>
        <v/>
      </c>
      <c r="I10" s="46">
        <f>IFERROR(VLOOKUP($A10,subQ,MATCH(I$1,SUBQH,0),0),"")</f>
        <v/>
      </c>
      <c r="J10" s="32">
        <f>IFERROR(VLOOKUP($A10,subQ,MATCH(J$1,SUBQH,0),0),"")</f>
        <v/>
      </c>
      <c r="K10" s="32">
        <f>IFERROR(VLOOKUP($A10,subQ,MATCH(K$1,SUBQH,0),0),"")</f>
        <v/>
      </c>
      <c r="L10" s="32">
        <f>IFERROR(VLOOKUP($A10,subQ,MATCH(L$1,SUBQH,0),0),"")</f>
        <v/>
      </c>
    </row>
    <row r="11">
      <c r="A11" s="12" t="inlineStr">
        <is>
          <t>금융손익</t>
        </is>
      </c>
      <c r="D11" t="inlineStr">
        <is>
          <t>금융손익(이자·환 포함)</t>
        </is>
      </c>
      <c r="E11" s="18">
        <f>IFERROR(VLOOKUP($A11,subQ,MATCH(E$1,SUBQH,0),0),"")</f>
        <v/>
      </c>
      <c r="F11" s="18">
        <f>IFERROR(VLOOKUP($A11,subQ,MATCH(F$1,SUBQH,0),0),"")</f>
        <v/>
      </c>
      <c r="G11" s="18">
        <f>IFERROR(VLOOKUP($A11,subQ,MATCH(G$1,SUBQH,0),0),"")</f>
        <v/>
      </c>
      <c r="H11" s="18">
        <f>IFERROR(VLOOKUP($A11,subQ,MATCH(H$1,SUBQH,0),0),"")</f>
        <v/>
      </c>
      <c r="I11" s="45">
        <f>IFERROR(VLOOKUP($A11,subQ,MATCH(I$1,SUBQH,0),0),"")</f>
        <v/>
      </c>
      <c r="J11" s="20">
        <f>IFERROR(VLOOKUP($A11,subQ,MATCH(J$1,SUBQH,0),0),"")</f>
        <v/>
      </c>
      <c r="K11" s="20">
        <f>IFERROR(VLOOKUP($A11,subQ,MATCH(K$1,SUBQH,0),0),"")</f>
        <v/>
      </c>
      <c r="L11" s="20">
        <f>IFERROR(VLOOKUP($A11,subQ,MATCH(L$1,SUBQH,0),0),"")</f>
        <v/>
      </c>
    </row>
    <row r="12">
      <c r="A12" s="12" t="inlineStr">
        <is>
          <t>이자손익</t>
        </is>
      </c>
      <c r="D12" t="inlineStr">
        <is>
          <t>이자손익(이자수익 − 이자비용)</t>
        </is>
      </c>
      <c r="E12" s="18">
        <f>IFERROR(VLOOKUP($A12,subQ,MATCH(E$1,SUBQH,0),0),"")</f>
        <v/>
      </c>
      <c r="F12" s="18">
        <f>IFERROR(VLOOKUP($A12,subQ,MATCH(F$1,SUBQH,0),0),"")</f>
        <v/>
      </c>
      <c r="G12" s="18">
        <f>IFERROR(VLOOKUP($A12,subQ,MATCH(G$1,SUBQH,0),0),"")</f>
        <v/>
      </c>
      <c r="H12" s="18">
        <f>IFERROR(VLOOKUP($A12,subQ,MATCH(H$1,SUBQH,0),0),"")</f>
        <v/>
      </c>
      <c r="I12" s="45">
        <f>IFERROR(VLOOKUP($A12,subQ,MATCH(I$1,SUBQH,0),0),"")</f>
        <v/>
      </c>
      <c r="J12" s="20">
        <f>IFERROR(VLOOKUP($A12,subQ,MATCH(J$1,SUBQH,0),0),"")</f>
        <v/>
      </c>
      <c r="K12" s="20">
        <f>IFERROR(VLOOKUP($A12,subQ,MATCH(K$1,SUBQH,0),0),"")</f>
        <v/>
      </c>
      <c r="L12" s="20">
        <f>IFERROR(VLOOKUP($A12,subQ,MATCH(L$1,SUBQH,0),0),"")</f>
        <v/>
      </c>
    </row>
    <row r="13">
      <c r="A13" s="12" t="inlineStr">
        <is>
          <t>외환손익</t>
        </is>
      </c>
      <c r="D13" t="inlineStr">
        <is>
          <t>외환손익(실적만; 추정 환효과는 환관련손익)</t>
        </is>
      </c>
      <c r="E13" s="18">
        <f>IFERROR(VLOOKUP($A13,subQ,MATCH(E$1,SUBQH,0),0),"")</f>
        <v/>
      </c>
      <c r="F13" s="18">
        <f>IFERROR(VLOOKUP($A13,subQ,MATCH(F$1,SUBQH,0),0),"")</f>
        <v/>
      </c>
      <c r="G13" s="18">
        <f>IFERROR(VLOOKUP($A13,subQ,MATCH(G$1,SUBQH,0),0),"")</f>
        <v/>
      </c>
      <c r="H13" s="18">
        <f>IFERROR(VLOOKUP($A13,subQ,MATCH(H$1,SUBQH,0),0),"")</f>
        <v/>
      </c>
      <c r="I13" s="45">
        <f>IFERROR(VLOOKUP($A13,subQ,MATCH(I$1,SUBQH,0),0),"")</f>
        <v/>
      </c>
      <c r="J13" s="20">
        <f>IFERROR(VLOOKUP($A13,subQ,MATCH(J$1,SUBQH,0),0),"")</f>
        <v/>
      </c>
      <c r="K13" s="20">
        <f>IFERROR(VLOOKUP($A13,subQ,MATCH(K$1,SUBQH,0),0),"")</f>
        <v/>
      </c>
      <c r="L13" s="20">
        <f>IFERROR(VLOOKUP($A13,subQ,MATCH(L$1,SUBQH,0),0),"")</f>
        <v/>
      </c>
    </row>
    <row r="14">
      <c r="A14" s="12" t="inlineStr">
        <is>
          <t>파생상품손익</t>
        </is>
      </c>
      <c r="D14" t="inlineStr">
        <is>
          <t>파생상품손익</t>
        </is>
      </c>
      <c r="E14" s="18">
        <f>IFERROR(VLOOKUP($A14,subQ,MATCH(E$1,SUBQH,0),0),"")</f>
        <v/>
      </c>
      <c r="F14" s="18">
        <f>IFERROR(VLOOKUP($A14,subQ,MATCH(F$1,SUBQH,0),0),"")</f>
        <v/>
      </c>
      <c r="G14" s="18">
        <f>IFERROR(VLOOKUP($A14,subQ,MATCH(G$1,SUBQH,0),0),"")</f>
        <v/>
      </c>
      <c r="H14" s="18">
        <f>IFERROR(VLOOKUP($A14,subQ,MATCH(H$1,SUBQH,0),0),"")</f>
        <v/>
      </c>
      <c r="I14" s="45">
        <f>IFERROR(VLOOKUP($A14,subQ,MATCH(I$1,SUBQH,0),0),"")</f>
        <v/>
      </c>
      <c r="J14" s="20">
        <f>IFERROR(VLOOKUP($A14,subQ,MATCH(J$1,SUBQH,0),0),"")</f>
        <v/>
      </c>
      <c r="K14" s="20">
        <f>IFERROR(VLOOKUP($A14,subQ,MATCH(K$1,SUBQH,0),0),"")</f>
        <v/>
      </c>
      <c r="L14" s="20">
        <f>IFERROR(VLOOKUP($A14,subQ,MATCH(L$1,SUBQH,0),0),"")</f>
        <v/>
      </c>
    </row>
    <row r="15">
      <c r="A15" s="12" t="inlineStr">
        <is>
          <t>기타금융손익</t>
        </is>
      </c>
      <c r="D15" t="inlineStr">
        <is>
          <t>기타금융손익(금융손익 잔차)</t>
        </is>
      </c>
      <c r="E15" s="18">
        <f>IFERROR(VLOOKUP($A15,subQ,MATCH(E$1,SUBQH,0),0),"")</f>
        <v/>
      </c>
      <c r="F15" s="18">
        <f>IFERROR(VLOOKUP($A15,subQ,MATCH(F$1,SUBQH,0),0),"")</f>
        <v/>
      </c>
      <c r="G15" s="18">
        <f>IFERROR(VLOOKUP($A15,subQ,MATCH(G$1,SUBQH,0),0),"")</f>
        <v/>
      </c>
      <c r="H15" s="18">
        <f>IFERROR(VLOOKUP($A15,subQ,MATCH(H$1,SUBQH,0),0),"")</f>
        <v/>
      </c>
      <c r="I15" s="45">
        <f>IFERROR(VLOOKUP($A15,subQ,MATCH(I$1,SUBQH,0),0),"")</f>
        <v/>
      </c>
      <c r="J15" s="20">
        <f>IFERROR(VLOOKUP($A15,subQ,MATCH(J$1,SUBQH,0),0),"")</f>
        <v/>
      </c>
      <c r="K15" s="20">
        <f>IFERROR(VLOOKUP($A15,subQ,MATCH(K$1,SUBQH,0),0),"")</f>
        <v/>
      </c>
      <c r="L15" s="20">
        <f>IFERROR(VLOOKUP($A15,subQ,MATCH(L$1,SUBQH,0),0),"")</f>
        <v/>
      </c>
    </row>
    <row r="16">
      <c r="A16" s="12" t="inlineStr">
        <is>
          <t>기타영업외손익</t>
        </is>
      </c>
      <c r="D16" t="inlineStr">
        <is>
          <t>기타영업외손익</t>
        </is>
      </c>
      <c r="E16" s="18">
        <f>IFERROR(VLOOKUP($A16,subQ,MATCH(E$1,SUBQH,0),0),"")</f>
        <v/>
      </c>
      <c r="F16" s="18">
        <f>IFERROR(VLOOKUP($A16,subQ,MATCH(F$1,SUBQH,0),0),"")</f>
        <v/>
      </c>
      <c r="G16" s="18">
        <f>IFERROR(VLOOKUP($A16,subQ,MATCH(G$1,SUBQH,0),0),"")</f>
        <v/>
      </c>
      <c r="H16" s="18">
        <f>IFERROR(VLOOKUP($A16,subQ,MATCH(H$1,SUBQH,0),0),"")</f>
        <v/>
      </c>
      <c r="I16" s="45">
        <f>IFERROR(VLOOKUP($A16,subQ,MATCH(I$1,SUBQH,0),0),"")</f>
        <v/>
      </c>
      <c r="J16" s="20">
        <f>IFERROR(VLOOKUP($A16,subQ,MATCH(J$1,SUBQH,0),0),"")</f>
        <v/>
      </c>
      <c r="K16" s="20">
        <f>IFERROR(VLOOKUP($A16,subQ,MATCH(K$1,SUBQH,0),0),"")</f>
        <v/>
      </c>
      <c r="L16" s="20">
        <f>IFERROR(VLOOKUP($A16,subQ,MATCH(L$1,SUBQH,0),0),"")</f>
        <v/>
      </c>
    </row>
    <row r="17">
      <c r="A17" s="12" t="inlineStr">
        <is>
          <t>지분법손익</t>
        </is>
      </c>
      <c r="D17" t="inlineStr">
        <is>
          <t>지분법손익</t>
        </is>
      </c>
      <c r="E17" s="18">
        <f>IFERROR(VLOOKUP($A17,subQ,MATCH(E$1,SUBQH,0),0),"")</f>
        <v/>
      </c>
      <c r="F17" s="18">
        <f>IFERROR(VLOOKUP($A17,subQ,MATCH(F$1,SUBQH,0),0),"")</f>
        <v/>
      </c>
      <c r="G17" s="18">
        <f>IFERROR(VLOOKUP($A17,subQ,MATCH(G$1,SUBQH,0),0),"")</f>
        <v/>
      </c>
      <c r="H17" s="18">
        <f>IFERROR(VLOOKUP($A17,subQ,MATCH(H$1,SUBQH,0),0),"")</f>
        <v/>
      </c>
      <c r="I17" s="45">
        <f>IFERROR(VLOOKUP($A17,subQ,MATCH(I$1,SUBQH,0),0),"")</f>
        <v/>
      </c>
      <c r="J17" s="20">
        <f>IFERROR(VLOOKUP($A17,subQ,MATCH(J$1,SUBQH,0),0),"")</f>
        <v/>
      </c>
      <c r="K17" s="20">
        <f>IFERROR(VLOOKUP($A17,subQ,MATCH(K$1,SUBQH,0),0),"")</f>
        <v/>
      </c>
      <c r="L17" s="20">
        <f>IFERROR(VLOOKUP($A17,subQ,MATCH(L$1,SUBQH,0),0),"")</f>
        <v/>
      </c>
    </row>
    <row r="18">
      <c r="A18" s="12" t="inlineStr">
        <is>
          <t>세전이익</t>
        </is>
      </c>
      <c r="D18" t="inlineStr">
        <is>
          <t>법인세비용차감전이익</t>
        </is>
      </c>
      <c r="E18" s="18">
        <f>IFERROR(VLOOKUP($A18,subQ,MATCH(E$1,SUBQH,0),0),"")</f>
        <v/>
      </c>
      <c r="F18" s="18">
        <f>IFERROR(VLOOKUP($A18,subQ,MATCH(F$1,SUBQH,0),0),"")</f>
        <v/>
      </c>
      <c r="G18" s="18">
        <f>IFERROR(VLOOKUP($A18,subQ,MATCH(G$1,SUBQH,0),0),"")</f>
        <v/>
      </c>
      <c r="H18" s="18">
        <f>IFERROR(VLOOKUP($A18,subQ,MATCH(H$1,SUBQH,0),0),"")</f>
        <v/>
      </c>
      <c r="I18" s="45">
        <f>IFERROR(VLOOKUP($A18,subQ,MATCH(I$1,SUBQH,0),0),"")</f>
        <v/>
      </c>
      <c r="J18" s="20">
        <f>IFERROR(VLOOKUP($A18,subQ,MATCH(J$1,SUBQH,0),0),"")</f>
        <v/>
      </c>
      <c r="K18" s="20">
        <f>IFERROR(VLOOKUP($A18,subQ,MATCH(K$1,SUBQH,0),0),"")</f>
        <v/>
      </c>
      <c r="L18" s="20">
        <f>IFERROR(VLOOKUP($A18,subQ,MATCH(L$1,SUBQH,0),0),"")</f>
        <v/>
      </c>
    </row>
    <row r="19">
      <c r="A19" s="12" t="inlineStr">
        <is>
          <t>법인세비용</t>
        </is>
      </c>
      <c r="D19" t="inlineStr">
        <is>
          <t>법인세비용</t>
        </is>
      </c>
      <c r="E19" s="18">
        <f>IFERROR(VLOOKUP($A19,subQ,MATCH(E$1,SUBQH,0),0),"")</f>
        <v/>
      </c>
      <c r="F19" s="18">
        <f>IFERROR(VLOOKUP($A19,subQ,MATCH(F$1,SUBQH,0),0),"")</f>
        <v/>
      </c>
      <c r="G19" s="18">
        <f>IFERROR(VLOOKUP($A19,subQ,MATCH(G$1,SUBQH,0),0),"")</f>
        <v/>
      </c>
      <c r="H19" s="18">
        <f>IFERROR(VLOOKUP($A19,subQ,MATCH(H$1,SUBQH,0),0),"")</f>
        <v/>
      </c>
      <c r="I19" s="45">
        <f>IFERROR(VLOOKUP($A19,subQ,MATCH(I$1,SUBQH,0),0),"")</f>
        <v/>
      </c>
      <c r="J19" s="20">
        <f>IFERROR(VLOOKUP($A19,subQ,MATCH(J$1,SUBQH,0),0),"")</f>
        <v/>
      </c>
      <c r="K19" s="20">
        <f>IFERROR(VLOOKUP($A19,subQ,MATCH(K$1,SUBQH,0),0),"")</f>
        <v/>
      </c>
      <c r="L19" s="20">
        <f>IFERROR(VLOOKUP($A19,subQ,MATCH(L$1,SUBQH,0),0),"")</f>
        <v/>
      </c>
    </row>
    <row r="20">
      <c r="A20" s="12" t="inlineStr">
        <is>
          <t>당기순이익</t>
        </is>
      </c>
      <c r="D20" t="inlineStr">
        <is>
          <t>당기순이익</t>
        </is>
      </c>
      <c r="E20" s="18">
        <f>IFERROR(VLOOKUP($A20,subQ,MATCH(E$1,SUBQH,0),0),"")</f>
        <v/>
      </c>
      <c r="F20" s="18">
        <f>IFERROR(VLOOKUP($A20,subQ,MATCH(F$1,SUBQH,0),0),"")</f>
        <v/>
      </c>
      <c r="G20" s="18">
        <f>IFERROR(VLOOKUP($A20,subQ,MATCH(G$1,SUBQH,0),0),"")</f>
        <v/>
      </c>
      <c r="H20" s="18">
        <f>IFERROR(VLOOKUP($A20,subQ,MATCH(H$1,SUBQH,0),0),"")</f>
        <v/>
      </c>
      <c r="I20" s="45">
        <f>IFERROR(VLOOKUP($A20,subQ,MATCH(I$1,SUBQH,0),0),"")</f>
        <v/>
      </c>
      <c r="J20" s="20">
        <f>IFERROR(VLOOKUP($A20,subQ,MATCH(J$1,SUBQH,0),0),"")</f>
        <v/>
      </c>
      <c r="K20" s="20">
        <f>IFERROR(VLOOKUP($A20,subQ,MATCH(K$1,SUBQH,0),0),"")</f>
        <v/>
      </c>
      <c r="L20" s="20">
        <f>IFERROR(VLOOKUP($A20,subQ,MATCH(L$1,SUBQH,0),0),"")</f>
        <v/>
      </c>
    </row>
    <row r="21">
      <c r="A21" s="12" t="inlineStr">
        <is>
          <t>지배주주순이익</t>
        </is>
      </c>
      <c r="D21" t="inlineStr">
        <is>
          <t>지배주주순이익</t>
        </is>
      </c>
      <c r="E21" s="18">
        <f>IFERROR(VLOOKUP($A21,subQ,MATCH(E$1,SUBQH,0),0),"")</f>
        <v/>
      </c>
      <c r="F21" s="18">
        <f>IFERROR(VLOOKUP($A21,subQ,MATCH(F$1,SUBQH,0),0),"")</f>
        <v/>
      </c>
      <c r="G21" s="18">
        <f>IFERROR(VLOOKUP($A21,subQ,MATCH(G$1,SUBQH,0),0),"")</f>
        <v/>
      </c>
      <c r="H21" s="18">
        <f>IFERROR(VLOOKUP($A21,subQ,MATCH(H$1,SUBQH,0),0),"")</f>
        <v/>
      </c>
      <c r="I21" s="45">
        <f>IFERROR(VLOOKUP($A21,subQ,MATCH(I$1,SUBQH,0),0),"")</f>
        <v/>
      </c>
      <c r="J21" s="20">
        <f>IFERROR(VLOOKUP($A21,subQ,MATCH(J$1,SUBQH,0),0),"")</f>
        <v/>
      </c>
      <c r="K21" s="20">
        <f>IFERROR(VLOOKUP($A21,subQ,MATCH(K$1,SUBQH,0),0),"")</f>
        <v/>
      </c>
      <c r="L21" s="20">
        <f>IFERROR(VLOOKUP($A21,subQ,MATCH(L$1,SUBQH,0),0),"")</f>
        <v/>
      </c>
    </row>
    <row r="22">
      <c r="A22" s="12" t="inlineStr">
        <is>
          <t>자산총계</t>
        </is>
      </c>
      <c r="D22" t="inlineStr">
        <is>
          <t>자산총계</t>
        </is>
      </c>
      <c r="E22" s="18">
        <f>IFERROR(VLOOKUP($A22,subQ,MATCH(E$1,SUBQH,0),0),"")</f>
        <v/>
      </c>
      <c r="F22" s="18">
        <f>IFERROR(VLOOKUP($A22,subQ,MATCH(F$1,SUBQH,0),0),"")</f>
        <v/>
      </c>
      <c r="G22" s="18">
        <f>IFERROR(VLOOKUP($A22,subQ,MATCH(G$1,SUBQH,0),0),"")</f>
        <v/>
      </c>
      <c r="H22" s="18">
        <f>IFERROR(VLOOKUP($A22,subQ,MATCH(H$1,SUBQH,0),0),"")</f>
        <v/>
      </c>
      <c r="I22" s="45">
        <f>IFERROR(VLOOKUP($A22,subQ,MATCH(I$1,SUBQH,0),0),"")</f>
        <v/>
      </c>
      <c r="J22" s="20">
        <f>IFERROR(VLOOKUP($A22,subQ,MATCH(J$1,SUBQH,0),0),"")</f>
        <v/>
      </c>
      <c r="K22" s="20">
        <f>IFERROR(VLOOKUP($A22,subQ,MATCH(K$1,SUBQH,0),0),"")</f>
        <v/>
      </c>
      <c r="L22" s="20">
        <f>IFERROR(VLOOKUP($A22,subQ,MATCH(L$1,SUBQH,0),0),"")</f>
        <v/>
      </c>
    </row>
    <row r="23">
      <c r="A23" s="12" t="inlineStr">
        <is>
          <t>부채총계</t>
        </is>
      </c>
      <c r="D23" t="inlineStr">
        <is>
          <t>부채총계</t>
        </is>
      </c>
      <c r="E23" s="18">
        <f>IFERROR(VLOOKUP($A23,subQ,MATCH(E$1,SUBQH,0),0),"")</f>
        <v/>
      </c>
      <c r="F23" s="18">
        <f>IFERROR(VLOOKUP($A23,subQ,MATCH(F$1,SUBQH,0),0),"")</f>
        <v/>
      </c>
      <c r="G23" s="18">
        <f>IFERROR(VLOOKUP($A23,subQ,MATCH(G$1,SUBQH,0),0),"")</f>
        <v/>
      </c>
      <c r="H23" s="18">
        <f>IFERROR(VLOOKUP($A23,subQ,MATCH(H$1,SUBQH,0),0),"")</f>
        <v/>
      </c>
      <c r="I23" s="45">
        <f>IFERROR(VLOOKUP($A23,subQ,MATCH(I$1,SUBQH,0),0),"")</f>
        <v/>
      </c>
      <c r="J23" s="20">
        <f>IFERROR(VLOOKUP($A23,subQ,MATCH(J$1,SUBQH,0),0),"")</f>
        <v/>
      </c>
      <c r="K23" s="20">
        <f>IFERROR(VLOOKUP($A23,subQ,MATCH(K$1,SUBQH,0),0),"")</f>
        <v/>
      </c>
      <c r="L23" s="20">
        <f>IFERROR(VLOOKUP($A23,subQ,MATCH(L$1,SUBQH,0),0),"")</f>
        <v/>
      </c>
    </row>
    <row r="24">
      <c r="A24" s="12" t="inlineStr">
        <is>
          <t>자본총계</t>
        </is>
      </c>
      <c r="D24" t="inlineStr">
        <is>
          <t>자본총계</t>
        </is>
      </c>
      <c r="E24" s="18">
        <f>IFERROR(VLOOKUP($A24,subQ,MATCH(E$1,SUBQH,0),0),"")</f>
        <v/>
      </c>
      <c r="F24" s="18">
        <f>IFERROR(VLOOKUP($A24,subQ,MATCH(F$1,SUBQH,0),0),"")</f>
        <v/>
      </c>
      <c r="G24" s="18">
        <f>IFERROR(VLOOKUP($A24,subQ,MATCH(G$1,SUBQH,0),0),"")</f>
        <v/>
      </c>
      <c r="H24" s="18">
        <f>IFERROR(VLOOKUP($A24,subQ,MATCH(H$1,SUBQH,0),0),"")</f>
        <v/>
      </c>
      <c r="I24" s="45">
        <f>IFERROR(VLOOKUP($A24,subQ,MATCH(I$1,SUBQH,0),0),"")</f>
        <v/>
      </c>
      <c r="J24" s="20">
        <f>IFERROR(VLOOKUP($A24,subQ,MATCH(J$1,SUBQH,0),0),"")</f>
        <v/>
      </c>
      <c r="K24" s="20">
        <f>IFERROR(VLOOKUP($A24,subQ,MATCH(K$1,SUBQH,0),0),"")</f>
        <v/>
      </c>
      <c r="L24" s="20">
        <f>IFERROR(VLOOKUP($A24,subQ,MATCH(L$1,SUBQH,0),0),"")</f>
        <v/>
      </c>
    </row>
    <row r="25">
      <c r="A25" s="12" t="inlineStr">
        <is>
          <t>지배주주지분</t>
        </is>
      </c>
      <c r="D25" t="inlineStr">
        <is>
          <t>지배주주지분</t>
        </is>
      </c>
      <c r="E25" s="18">
        <f>IFERROR(VLOOKUP($A25,subQ,MATCH(E$1,SUBQH,0),0),"")</f>
        <v/>
      </c>
      <c r="F25" s="18">
        <f>IFERROR(VLOOKUP($A25,subQ,MATCH(F$1,SUBQH,0),0),"")</f>
        <v/>
      </c>
      <c r="G25" s="18">
        <f>IFERROR(VLOOKUP($A25,subQ,MATCH(G$1,SUBQH,0),0),"")</f>
        <v/>
      </c>
      <c r="H25" s="18">
        <f>IFERROR(VLOOKUP($A25,subQ,MATCH(H$1,SUBQH,0),0),"")</f>
        <v/>
      </c>
      <c r="I25" s="45">
        <f>IFERROR(VLOOKUP($A25,subQ,MATCH(I$1,SUBQH,0),0),"")</f>
        <v/>
      </c>
      <c r="J25" s="20">
        <f>IFERROR(VLOOKUP($A25,subQ,MATCH(J$1,SUBQH,0),0),"")</f>
        <v/>
      </c>
      <c r="K25" s="20">
        <f>IFERROR(VLOOKUP($A25,subQ,MATCH(K$1,SUBQH,0),0),"")</f>
        <v/>
      </c>
      <c r="L25" s="20">
        <f>IFERROR(VLOOKUP($A25,subQ,MATCH(L$1,SUBQH,0),0),"")</f>
        <v/>
      </c>
    </row>
    <row r="26">
      <c r="A26" s="12" t="inlineStr">
        <is>
          <t>총차입금</t>
        </is>
      </c>
      <c r="D26" t="inlineStr">
        <is>
          <t>총차입금</t>
        </is>
      </c>
      <c r="E26" s="18">
        <f>IFERROR(VLOOKUP($A26,subQ,MATCH(E$1,SUBQH,0),0),"")</f>
        <v/>
      </c>
      <c r="F26" s="18">
        <f>IFERROR(VLOOKUP($A26,subQ,MATCH(F$1,SUBQH,0),0),"")</f>
        <v/>
      </c>
      <c r="G26" s="18">
        <f>IFERROR(VLOOKUP($A26,subQ,MATCH(G$1,SUBQH,0),0),"")</f>
        <v/>
      </c>
      <c r="H26" s="18">
        <f>IFERROR(VLOOKUP($A26,subQ,MATCH(H$1,SUBQH,0),0),"")</f>
        <v/>
      </c>
      <c r="I26" s="45">
        <f>IFERROR(VLOOKUP($A26,subQ,MATCH(I$1,SUBQH,0),0),"")</f>
        <v/>
      </c>
      <c r="J26" s="20">
        <f>IFERROR(VLOOKUP($A26,subQ,MATCH(J$1,SUBQH,0),0),"")</f>
        <v/>
      </c>
      <c r="K26" s="20">
        <f>IFERROR(VLOOKUP($A26,subQ,MATCH(K$1,SUBQH,0),0),"")</f>
        <v/>
      </c>
      <c r="L26" s="20">
        <f>IFERROR(VLOOKUP($A26,subQ,MATCH(L$1,SUBQH,0),0),"")</f>
        <v/>
      </c>
    </row>
    <row r="27">
      <c r="A27" s="12" t="inlineStr">
        <is>
          <t>순차입금</t>
        </is>
      </c>
      <c r="D27" t="inlineStr">
        <is>
          <t>순차입금</t>
        </is>
      </c>
      <c r="E27" s="18">
        <f>IFERROR(VLOOKUP($A27,subQ,MATCH(E$1,SUBQH,0),0),"")</f>
        <v/>
      </c>
      <c r="F27" s="18">
        <f>IFERROR(VLOOKUP($A27,subQ,MATCH(F$1,SUBQH,0),0),"")</f>
        <v/>
      </c>
      <c r="G27" s="18">
        <f>IFERROR(VLOOKUP($A27,subQ,MATCH(G$1,SUBQH,0),0),"")</f>
        <v/>
      </c>
      <c r="H27" s="18">
        <f>IFERROR(VLOOKUP($A27,subQ,MATCH(H$1,SUBQH,0),0),"")</f>
        <v/>
      </c>
      <c r="I27" s="45">
        <f>IFERROR(VLOOKUP($A27,subQ,MATCH(I$1,SUBQH,0),0),"")</f>
        <v/>
      </c>
      <c r="J27" s="20">
        <f>IFERROR(VLOOKUP($A27,subQ,MATCH(J$1,SUBQH,0),0),"")</f>
        <v/>
      </c>
      <c r="K27" s="20">
        <f>IFERROR(VLOOKUP($A27,subQ,MATCH(K$1,SUBQH,0),0),"")</f>
        <v/>
      </c>
      <c r="L27" s="20">
        <f>IFERROR(VLOOKUP($A27,subQ,MATCH(L$1,SUBQH,0),0),"")</f>
        <v/>
      </c>
    </row>
    <row r="28">
      <c r="A28" s="12" t="inlineStr">
        <is>
          <t>이자발생자산</t>
        </is>
      </c>
      <c r="D28" t="inlineStr">
        <is>
          <t>이자발생자산</t>
        </is>
      </c>
      <c r="E28" s="18">
        <f>IFERROR(VLOOKUP($A28,subQ,MATCH(E$1,SUBQH,0),0),"")</f>
        <v/>
      </c>
      <c r="F28" s="18">
        <f>IFERROR(VLOOKUP($A28,subQ,MATCH(F$1,SUBQH,0),0),"")</f>
        <v/>
      </c>
      <c r="G28" s="18">
        <f>IFERROR(VLOOKUP($A28,subQ,MATCH(G$1,SUBQH,0),0),"")</f>
        <v/>
      </c>
      <c r="H28" s="18">
        <f>IFERROR(VLOOKUP($A28,subQ,MATCH(H$1,SUBQH,0),0),"")</f>
        <v/>
      </c>
      <c r="I28" s="45">
        <f>IFERROR(VLOOKUP($A28,subQ,MATCH(I$1,SUBQH,0),0),"")</f>
        <v/>
      </c>
      <c r="J28" s="20">
        <f>IFERROR(VLOOKUP($A28,subQ,MATCH(J$1,SUBQH,0),0),"")</f>
        <v/>
      </c>
      <c r="K28" s="20">
        <f>IFERROR(VLOOKUP($A28,subQ,MATCH(K$1,SUBQH,0),0),"")</f>
        <v/>
      </c>
      <c r="L28" s="20">
        <f>IFERROR(VLOOKUP($A28,subQ,MATCH(L$1,SUBQH,0),0),"")</f>
        <v/>
      </c>
    </row>
    <row r="29">
      <c r="A29" s="12" t="inlineStr">
        <is>
          <t>현금및현금성자산</t>
        </is>
      </c>
      <c r="D29" t="inlineStr">
        <is>
          <t>현금및현금성자산</t>
        </is>
      </c>
      <c r="E29" s="18">
        <f>IFERROR(VLOOKUP($A29,subQ,MATCH(E$1,SUBQH,0),0),"")</f>
        <v/>
      </c>
      <c r="F29" s="18">
        <f>IFERROR(VLOOKUP($A29,subQ,MATCH(F$1,SUBQH,0),0),"")</f>
        <v/>
      </c>
      <c r="G29" s="18">
        <f>IFERROR(VLOOKUP($A29,subQ,MATCH(G$1,SUBQH,0),0),"")</f>
        <v/>
      </c>
      <c r="H29" s="18">
        <f>IFERROR(VLOOKUP($A29,subQ,MATCH(H$1,SUBQH,0),0),"")</f>
        <v/>
      </c>
      <c r="I29" s="45">
        <f>IFERROR(VLOOKUP($A29,subQ,MATCH(I$1,SUBQH,0),0),"")</f>
        <v/>
      </c>
      <c r="J29" s="20">
        <f>IFERROR(VLOOKUP($A29,subQ,MATCH(J$1,SUBQH,0),0),"")</f>
        <v/>
      </c>
      <c r="K29" s="20">
        <f>IFERROR(VLOOKUP($A29,subQ,MATCH(K$1,SUBQH,0),0),"")</f>
        <v/>
      </c>
      <c r="L29" s="20">
        <f>IFERROR(VLOOKUP($A29,subQ,MATCH(L$1,SUBQH,0),0),"")</f>
        <v/>
      </c>
    </row>
    <row r="30">
      <c r="A30" s="12" t="inlineStr">
        <is>
          <t>CAPEX</t>
        </is>
      </c>
      <c r="D30" t="inlineStr">
        <is>
          <t>CAPEX</t>
        </is>
      </c>
      <c r="E30" s="18">
        <f>IFERROR(VLOOKUP($A30,subQ,MATCH(E$1,SUBQH,0),0),"")</f>
        <v/>
      </c>
      <c r="F30" s="18">
        <f>IFERROR(VLOOKUP($A30,subQ,MATCH(F$1,SUBQH,0),0),"")</f>
        <v/>
      </c>
      <c r="G30" s="18">
        <f>IFERROR(VLOOKUP($A30,subQ,MATCH(G$1,SUBQH,0),0),"")</f>
        <v/>
      </c>
      <c r="H30" s="18">
        <f>IFERROR(VLOOKUP($A30,subQ,MATCH(H$1,SUBQH,0),0),"")</f>
        <v/>
      </c>
      <c r="I30" s="45">
        <f>IFERROR(VLOOKUP($A30,subQ,MATCH(I$1,SUBQH,0),0),"")</f>
        <v/>
      </c>
      <c r="J30" s="20">
        <f>IFERROR(VLOOKUP($A30,subQ,MATCH(J$1,SUBQH,0),0),"")</f>
        <v/>
      </c>
      <c r="K30" s="20">
        <f>IFERROR(VLOOKUP($A30,subQ,MATCH(K$1,SUBQH,0),0),"")</f>
        <v/>
      </c>
      <c r="L30" s="20">
        <f>IFERROR(VLOOKUP($A30,subQ,MATCH(L$1,SUBQH,0),0),"")</f>
        <v/>
      </c>
    </row>
    <row r="31">
      <c r="A31" s="12" t="inlineStr">
        <is>
          <t>영업활동현금흐름</t>
        </is>
      </c>
      <c r="D31" t="inlineStr">
        <is>
          <t>영업활동현금흐름</t>
        </is>
      </c>
      <c r="E31" s="18">
        <f>IFERROR(VLOOKUP($A31,subQ,MATCH(E$1,SUBQH,0),0),"")</f>
        <v/>
      </c>
      <c r="F31" s="18">
        <f>IFERROR(VLOOKUP($A31,subQ,MATCH(F$1,SUBQH,0),0),"")</f>
        <v/>
      </c>
      <c r="G31" s="18">
        <f>IFERROR(VLOOKUP($A31,subQ,MATCH(G$1,SUBQH,0),0),"")</f>
        <v/>
      </c>
      <c r="H31" s="18">
        <f>IFERROR(VLOOKUP($A31,subQ,MATCH(H$1,SUBQH,0),0),"")</f>
        <v/>
      </c>
      <c r="I31" s="45">
        <f>IFERROR(VLOOKUP($A31,subQ,MATCH(I$1,SUBQH,0),0),"")</f>
        <v/>
      </c>
      <c r="J31" s="20">
        <f>IFERROR(VLOOKUP($A31,subQ,MATCH(J$1,SUBQH,0),0),"")</f>
        <v/>
      </c>
      <c r="K31" s="20">
        <f>IFERROR(VLOOKUP($A31,subQ,MATCH(K$1,SUBQH,0),0),"")</f>
        <v/>
      </c>
      <c r="L31" s="20">
        <f>IFERROR(VLOOKUP($A31,subQ,MATCH(L$1,SUBQH,0),0),"")</f>
        <v/>
      </c>
    </row>
    <row r="32">
      <c r="A32" s="12" t="inlineStr">
        <is>
          <t>주식수</t>
        </is>
      </c>
      <c r="D32" t="inlineStr">
        <is>
          <t>유통주식수</t>
        </is>
      </c>
      <c r="E32" s="27">
        <f>IFERROR(VLOOKUP($A32,subQ,MATCH(E$1,SUBQH,0),0),"")</f>
        <v/>
      </c>
      <c r="F32" s="27">
        <f>IFERROR(VLOOKUP($A32,subQ,MATCH(F$1,SUBQH,0),0),"")</f>
        <v/>
      </c>
      <c r="G32" s="27">
        <f>IFERROR(VLOOKUP($A32,subQ,MATCH(G$1,SUBQH,0),0),"")</f>
        <v/>
      </c>
      <c r="H32" s="27">
        <f>IFERROR(VLOOKUP($A32,subQ,MATCH(H$1,SUBQH,0),0),"")</f>
        <v/>
      </c>
      <c r="I32" s="47">
        <f>IFERROR(VLOOKUP($A32,subQ,MATCH(I$1,SUBQH,0),0),"")</f>
        <v/>
      </c>
      <c r="J32" s="33">
        <f>IFERROR(VLOOKUP($A32,subQ,MATCH(J$1,SUBQH,0),0),"")</f>
        <v/>
      </c>
      <c r="K32" s="33">
        <f>IFERROR(VLOOKUP($A32,subQ,MATCH(K$1,SUBQH,0),0),"")</f>
        <v/>
      </c>
      <c r="L32" s="33">
        <f>IFERROR(VLOOKUP($A32,subQ,MATCH(L$1,SUBQH,0),0),"")</f>
        <v/>
      </c>
    </row>
    <row r="33">
      <c r="A33" s="12" t="inlineStr">
        <is>
          <t>EPS</t>
        </is>
      </c>
      <c r="D33" t="inlineStr">
        <is>
          <t>EPS</t>
        </is>
      </c>
      <c r="E33" s="18">
        <f>IFERROR(VLOOKUP($A33,subQ,MATCH(E$1,SUBQH,0),0),"")</f>
        <v/>
      </c>
      <c r="F33" s="18">
        <f>IFERROR(VLOOKUP($A33,subQ,MATCH(F$1,SUBQH,0),0),"")</f>
        <v/>
      </c>
      <c r="G33" s="18">
        <f>IFERROR(VLOOKUP($A33,subQ,MATCH(G$1,SUBQH,0),0),"")</f>
        <v/>
      </c>
      <c r="H33" s="18">
        <f>IFERROR(VLOOKUP($A33,subQ,MATCH(H$1,SUBQH,0),0),"")</f>
        <v/>
      </c>
      <c r="I33" s="45">
        <f>IFERROR(VLOOKUP($A33,subQ,MATCH(I$1,SUBQH,0),0),"")</f>
        <v/>
      </c>
      <c r="J33" s="20">
        <f>IFERROR(VLOOKUP($A33,subQ,MATCH(J$1,SUBQH,0),0),"")</f>
        <v/>
      </c>
      <c r="K33" s="20">
        <f>IFERROR(VLOOKUP($A33,subQ,MATCH(K$1,SUBQH,0),0),"")</f>
        <v/>
      </c>
      <c r="L33" s="20">
        <f>IFERROR(VLOOKUP($A33,subQ,MATCH(L$1,SUBQH,0),0),"")</f>
        <v/>
      </c>
    </row>
    <row r="34">
      <c r="A34" s="12" t="inlineStr">
        <is>
          <t>BPS</t>
        </is>
      </c>
      <c r="D34" t="inlineStr">
        <is>
          <t>BPS</t>
        </is>
      </c>
      <c r="E34" s="18">
        <f>IFERROR(VLOOKUP($A34,subQ,MATCH(E$1,SUBQH,0),0),"")</f>
        <v/>
      </c>
      <c r="F34" s="18">
        <f>IFERROR(VLOOKUP($A34,subQ,MATCH(F$1,SUBQH,0),0),"")</f>
        <v/>
      </c>
      <c r="G34" s="18">
        <f>IFERROR(VLOOKUP($A34,subQ,MATCH(G$1,SUBQH,0),0),"")</f>
        <v/>
      </c>
      <c r="H34" s="18">
        <f>IFERROR(VLOOKUP($A34,subQ,MATCH(H$1,SUBQH,0),0),"")</f>
        <v/>
      </c>
      <c r="I34" s="45">
        <f>IFERROR(VLOOKUP($A34,subQ,MATCH(I$1,SUBQH,0),0),"")</f>
        <v/>
      </c>
      <c r="J34" s="20">
        <f>IFERROR(VLOOKUP($A34,subQ,MATCH(J$1,SUBQH,0),0),"")</f>
        <v/>
      </c>
      <c r="K34" s="20">
        <f>IFERROR(VLOOKUP($A34,subQ,MATCH(K$1,SUBQH,0),0),"")</f>
        <v/>
      </c>
      <c r="L34" s="20">
        <f>IFERROR(VLOOKUP($A34,subQ,MATCH(L$1,SUBQH,0),0),"")</f>
        <v/>
      </c>
    </row>
    <row r="35">
      <c r="A35" s="12" t="inlineStr">
        <is>
          <t>DPS</t>
        </is>
      </c>
      <c r="D35" t="inlineStr">
        <is>
          <t>DPS(보통주)</t>
        </is>
      </c>
      <c r="E35" s="18">
        <f>IFERROR(VLOOKUP($A35,subQ,MATCH(E$1,SUBQH,0),0),"")</f>
        <v/>
      </c>
      <c r="F35" s="18">
        <f>IFERROR(VLOOKUP($A35,subQ,MATCH(F$1,SUBQH,0),0),"")</f>
        <v/>
      </c>
      <c r="G35" s="18">
        <f>IFERROR(VLOOKUP($A35,subQ,MATCH(G$1,SUBQH,0),0),"")</f>
        <v/>
      </c>
      <c r="H35" s="18">
        <f>IFERROR(VLOOKUP($A35,subQ,MATCH(H$1,SUBQH,0),0),"")</f>
        <v/>
      </c>
      <c r="I35" s="45">
        <f>IFERROR(VLOOKUP($A35,subQ,MATCH(I$1,SUBQH,0),0),"")</f>
        <v/>
      </c>
      <c r="J35" s="20">
        <f>IFERROR(VLOOKUP($A35,subQ,MATCH(J$1,SUBQH,0),0),"")</f>
        <v/>
      </c>
      <c r="K35" s="20">
        <f>IFERROR(VLOOKUP($A35,subQ,MATCH(K$1,SUBQH,0),0),"")</f>
        <v/>
      </c>
      <c r="L35" s="20">
        <f>IFERROR(VLOOKUP($A35,subQ,MATCH(L$1,SUBQH,0),0),"")</f>
        <v/>
      </c>
    </row>
    <row r="36">
      <c r="A36" s="12" t="inlineStr">
        <is>
          <t>PER</t>
        </is>
      </c>
      <c r="D36" t="inlineStr">
        <is>
          <t>PER</t>
        </is>
      </c>
      <c r="E36" s="13">
        <f>IFERROR(VLOOKUP($A36,subQ,MATCH(E$1,SUBQH,0),0),"")</f>
        <v/>
      </c>
      <c r="F36" s="13">
        <f>IFERROR(VLOOKUP($A36,subQ,MATCH(F$1,SUBQH,0),0),"")</f>
        <v/>
      </c>
      <c r="G36" s="13">
        <f>IFERROR(VLOOKUP($A36,subQ,MATCH(G$1,SUBQH,0),0),"")</f>
        <v/>
      </c>
      <c r="H36" s="13">
        <f>IFERROR(VLOOKUP($A36,subQ,MATCH(H$1,SUBQH,0),0),"")</f>
        <v/>
      </c>
      <c r="I36" s="48">
        <f>IFERROR(VLOOKUP($A36,subQ,MATCH(I$1,SUBQH,0),0),"")</f>
        <v/>
      </c>
      <c r="J36" s="39">
        <f>IFERROR(VLOOKUP($A36,subQ,MATCH(J$1,SUBQH,0),0),"")</f>
        <v/>
      </c>
      <c r="K36" s="39">
        <f>IFERROR(VLOOKUP($A36,subQ,MATCH(K$1,SUBQH,0),0),"")</f>
        <v/>
      </c>
      <c r="L36" s="39">
        <f>IFERROR(VLOOKUP($A36,subQ,MATCH(L$1,SUBQH,0),0),"")</f>
        <v/>
      </c>
    </row>
    <row r="37">
      <c r="A37" s="12" t="inlineStr">
        <is>
          <t>PBR</t>
        </is>
      </c>
      <c r="D37" t="inlineStr">
        <is>
          <t>PBR</t>
        </is>
      </c>
      <c r="E37" s="13">
        <f>IFERROR(VLOOKUP($A37,subQ,MATCH(E$1,SUBQH,0),0),"")</f>
        <v/>
      </c>
      <c r="F37" s="13">
        <f>IFERROR(VLOOKUP($A37,subQ,MATCH(F$1,SUBQH,0),0),"")</f>
        <v/>
      </c>
      <c r="G37" s="13">
        <f>IFERROR(VLOOKUP($A37,subQ,MATCH(G$1,SUBQH,0),0),"")</f>
        <v/>
      </c>
      <c r="H37" s="13">
        <f>IFERROR(VLOOKUP($A37,subQ,MATCH(H$1,SUBQH,0),0),"")</f>
        <v/>
      </c>
      <c r="I37" s="48">
        <f>IFERROR(VLOOKUP($A37,subQ,MATCH(I$1,SUBQH,0),0),"")</f>
        <v/>
      </c>
      <c r="J37" s="39">
        <f>IFERROR(VLOOKUP($A37,subQ,MATCH(J$1,SUBQH,0),0),"")</f>
        <v/>
      </c>
      <c r="K37" s="39">
        <f>IFERROR(VLOOKUP($A37,subQ,MATCH(K$1,SUBQH,0),0),"")</f>
        <v/>
      </c>
      <c r="L37" s="39">
        <f>IFERROR(VLOOKUP($A37,subQ,MATCH(L$1,SUBQH,0),0),"")</f>
        <v/>
      </c>
    </row>
    <row r="38">
      <c r="A38" s="12" t="inlineStr">
        <is>
          <t>매출전사</t>
        </is>
      </c>
      <c r="D38" t="inlineStr">
        <is>
          <t>매출 전사(부문 미분리)</t>
        </is>
      </c>
      <c r="E38" s="18">
        <f>IFERROR(VLOOKUP($A38,subQ,MATCH(E$1,SUBQH,0),0),"")</f>
        <v/>
      </c>
      <c r="F38" s="18">
        <f>IFERROR(VLOOKUP($A38,subQ,MATCH(F$1,SUBQH,0),0),"")</f>
        <v/>
      </c>
      <c r="G38" s="18">
        <f>IFERROR(VLOOKUP($A38,subQ,MATCH(G$1,SUBQH,0),0),"")</f>
        <v/>
      </c>
      <c r="H38" s="18">
        <f>IFERROR(VLOOKUP($A38,subQ,MATCH(H$1,SUBQH,0),0),"")</f>
        <v/>
      </c>
      <c r="I38" s="45">
        <f>IFERROR(VLOOKUP($A38,subQ,MATCH(I$1,SUBQH,0),0),"")</f>
        <v/>
      </c>
      <c r="J38" s="20">
        <f>IFERROR(VLOOKUP($A38,subQ,MATCH(J$1,SUBQH,0),0),"")</f>
        <v/>
      </c>
      <c r="K38" s="20">
        <f>IFERROR(VLOOKUP($A38,subQ,MATCH(K$1,SUBQH,0),0),"")</f>
        <v/>
      </c>
      <c r="L38" s="20">
        <f>IFERROR(VLOOKUP($A38,subQ,MATCH(L$1,SUBQH,0),0),"")</f>
        <v/>
      </c>
    </row>
    <row r="39">
      <c r="A39" s="12" t="inlineStr">
        <is>
          <t>OP전사</t>
        </is>
      </c>
      <c r="D39" t="inlineStr">
        <is>
          <t>OP 전사(부문 미분리)</t>
        </is>
      </c>
      <c r="E39" s="18">
        <f>IFERROR(VLOOKUP($A39,subQ,MATCH(E$1,SUBQH,0),0),"")</f>
        <v/>
      </c>
      <c r="F39" s="18">
        <f>IFERROR(VLOOKUP($A39,subQ,MATCH(F$1,SUBQH,0),0),"")</f>
        <v/>
      </c>
      <c r="G39" s="18">
        <f>IFERROR(VLOOKUP($A39,subQ,MATCH(G$1,SUBQH,0),0),"")</f>
        <v/>
      </c>
      <c r="H39" s="18">
        <f>IFERROR(VLOOKUP($A39,subQ,MATCH(H$1,SUBQH,0),0),"")</f>
        <v/>
      </c>
      <c r="I39" s="45">
        <f>IFERROR(VLOOKUP($A39,subQ,MATCH(I$1,SUBQH,0),0),"")</f>
        <v/>
      </c>
      <c r="J39" s="20">
        <f>IFERROR(VLOOKUP($A39,subQ,MATCH(J$1,SUBQH,0),0),"")</f>
        <v/>
      </c>
      <c r="K39" s="20">
        <f>IFERROR(VLOOKUP($A39,subQ,MATCH(K$1,SUBQH,0),0),"")</f>
        <v/>
      </c>
      <c r="L39" s="20">
        <f>IFERROR(VLOOKUP($A39,subQ,MATCH(L$1,SUBQH,0),0),"")</f>
        <v/>
      </c>
    </row>
    <row r="40">
      <c r="A40" s="12" t="inlineStr">
        <is>
          <t>NPM</t>
        </is>
      </c>
      <c r="D40" t="inlineStr">
        <is>
          <t>NPM</t>
        </is>
      </c>
      <c r="E40" s="21">
        <f>IFERROR(VLOOKUP($A40,subQ,MATCH(E$1,SUBQH,0),0),"")</f>
        <v/>
      </c>
      <c r="F40" s="21">
        <f>IFERROR(VLOOKUP($A40,subQ,MATCH(F$1,SUBQH,0),0),"")</f>
        <v/>
      </c>
      <c r="G40" s="21">
        <f>IFERROR(VLOOKUP($A40,subQ,MATCH(G$1,SUBQH,0),0),"")</f>
        <v/>
      </c>
      <c r="H40" s="21">
        <f>IFERROR(VLOOKUP($A40,subQ,MATCH(H$1,SUBQH,0),0),"")</f>
        <v/>
      </c>
      <c r="I40" s="46">
        <f>IFERROR(VLOOKUP($A40,subQ,MATCH(I$1,SUBQH,0),0),"")</f>
        <v/>
      </c>
      <c r="J40" s="32">
        <f>IFERROR(VLOOKUP($A40,subQ,MATCH(J$1,SUBQH,0),0),"")</f>
        <v/>
      </c>
      <c r="K40" s="32">
        <f>IFERROR(VLOOKUP($A40,subQ,MATCH(K$1,SUBQH,0),0),"")</f>
        <v/>
      </c>
      <c r="L40" s="32">
        <f>IFERROR(VLOOKUP($A40,subQ,MATCH(L$1,SUBQH,0),0),"")</f>
        <v/>
      </c>
    </row>
    <row r="41">
      <c r="A41" s="12" t="inlineStr">
        <is>
          <t>매출액 YoY</t>
        </is>
      </c>
      <c r="D41" t="inlineStr">
        <is>
          <t>매출액 YoY</t>
        </is>
      </c>
      <c r="F41" s="21">
        <f>IFERROR(F5/E5-1,"")</f>
        <v/>
      </c>
      <c r="G41" s="21">
        <f>IFERROR(G5/F5-1,"")</f>
        <v/>
      </c>
      <c r="H41" s="21">
        <f>IFERROR(H5/G5-1,"")</f>
        <v/>
      </c>
      <c r="I41" s="46">
        <f>IFERROR(I5/H5-1,"")</f>
        <v/>
      </c>
      <c r="J41" s="32">
        <f>IFERROR(J5/I5-1,"")</f>
        <v/>
      </c>
      <c r="K41" s="32">
        <f>IFERROR(K5/J5-1,"")</f>
        <v/>
      </c>
      <c r="L41" s="32">
        <f>IFERROR(L5/K5-1,"")</f>
        <v/>
      </c>
    </row>
    <row r="42">
      <c r="A42" s="12" t="inlineStr">
        <is>
          <t>영업이익 YoY</t>
        </is>
      </c>
      <c r="D42" t="inlineStr">
        <is>
          <t>영업이익 YoY</t>
        </is>
      </c>
      <c r="F42" s="21">
        <f>IFERROR(F9/E9-1,"")</f>
        <v/>
      </c>
      <c r="G42" s="21">
        <f>IFERROR(G9/F9-1,"")</f>
        <v/>
      </c>
      <c r="H42" s="21">
        <f>IFERROR(H9/G9-1,"")</f>
        <v/>
      </c>
      <c r="I42" s="46">
        <f>IFERROR(I9/H9-1,"")</f>
        <v/>
      </c>
      <c r="J42" s="32">
        <f>IFERROR(J9/I9-1,"")</f>
        <v/>
      </c>
      <c r="K42" s="32">
        <f>IFERROR(K9/J9-1,"")</f>
        <v/>
      </c>
      <c r="L42" s="32">
        <f>IFERROR(L9/K9-1,"")</f>
        <v/>
      </c>
    </row>
    <row r="43">
      <c r="A43" s="12" t="inlineStr">
        <is>
          <t>지배주주순이익 YoY</t>
        </is>
      </c>
      <c r="D43" t="inlineStr">
        <is>
          <t>지배주주순이익 YoY</t>
        </is>
      </c>
      <c r="F43" s="21">
        <f>IFERROR(F21/E21-1,"")</f>
        <v/>
      </c>
      <c r="G43" s="21">
        <f>IFERROR(G21/F21-1,"")</f>
        <v/>
      </c>
      <c r="H43" s="21">
        <f>IFERROR(H21/G21-1,"")</f>
        <v/>
      </c>
      <c r="I43" s="46">
        <f>IFERROR(I21/H21-1,"")</f>
        <v/>
      </c>
      <c r="J43" s="32">
        <f>IFERROR(J21/I21-1,"")</f>
        <v/>
      </c>
      <c r="K43" s="32">
        <f>IFERROR(K21/J21-1,"")</f>
        <v/>
      </c>
      <c r="L43" s="32">
        <f>IFERROR(L21/K21-1,"")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1:G37"/>
  <sheetViews>
    <sheetView workbookViewId="0">
      <selection activeCell="A1" sqref="A1"/>
    </sheetView>
  </sheetViews>
  <sheetFormatPr baseColWidth="8" defaultRowHeight="15"/>
  <cols>
    <col width="34" customWidth="1" min="3" max="3"/>
  </cols>
  <sheetData>
    <row r="1">
      <c r="B1" s="1" t="inlineStr">
        <is>
          <t>종가</t>
        </is>
      </c>
      <c r="C1" s="18">
        <f>변수!D44</f>
        <v/>
      </c>
    </row>
    <row r="2">
      <c r="B2" s="1" t="inlineStr">
        <is>
          <t>기준일</t>
        </is>
      </c>
      <c r="C2">
        <f>변수!D45</f>
        <v/>
      </c>
    </row>
    <row r="3">
      <c r="B3" s="2" t="inlineStr">
        <is>
          <t>모델 산출값 — 목표주가·추천 아님. 밴드·COE 는 변수 시트 3절의 가정</t>
        </is>
      </c>
    </row>
    <row r="5">
      <c r="C5" s="1" t="inlineStr">
        <is>
          <t>FY</t>
        </is>
      </c>
      <c r="D5" s="49" t="n">
        <v>2025</v>
      </c>
      <c r="E5" s="49" t="n">
        <v>2026</v>
      </c>
      <c r="F5" s="49" t="n">
        <v>2027</v>
      </c>
      <c r="G5" s="49" t="n">
        <v>2028</v>
      </c>
    </row>
    <row r="6">
      <c r="D6" s="2" t="inlineStr">
        <is>
          <t>A</t>
        </is>
      </c>
      <c r="E6" s="2" t="inlineStr">
        <is>
          <t>E</t>
        </is>
      </c>
      <c r="F6" s="2" t="inlineStr">
        <is>
          <t>E</t>
        </is>
      </c>
      <c r="G6" s="2" t="inlineStr">
        <is>
          <t>E</t>
        </is>
      </c>
    </row>
    <row r="7">
      <c r="C7" t="inlineStr">
        <is>
          <t>EPS(원)</t>
        </is>
      </c>
      <c r="D7" s="18">
        <f>IFERROR(VLOOKUP("EPS",subQ,MATCH(D$5,SUBQH,0),0),"")</f>
        <v/>
      </c>
      <c r="E7" s="18">
        <f>IFERROR(VLOOKUP("EPS",subQ,MATCH(E$5,SUBQH,0),0),"")</f>
        <v/>
      </c>
      <c r="F7" s="18">
        <f>IFERROR(VLOOKUP("EPS",subQ,MATCH(F$5,SUBQH,0),0),"")</f>
        <v/>
      </c>
      <c r="G7" s="18">
        <f>IFERROR(VLOOKUP("EPS",subQ,MATCH(G$5,SUBQH,0),0),"")</f>
        <v/>
      </c>
    </row>
    <row r="8">
      <c r="C8" t="inlineStr">
        <is>
          <t>BPS(원)</t>
        </is>
      </c>
      <c r="D8" s="18">
        <f>IFERROR(VLOOKUP("BPS",subQ,MATCH(D$5,SUBQH,0),0),"")</f>
        <v/>
      </c>
      <c r="E8" s="18">
        <f>IFERROR(VLOOKUP("BPS",subQ,MATCH(E$5,SUBQH,0),0),"")</f>
        <v/>
      </c>
      <c r="F8" s="18">
        <f>IFERROR(VLOOKUP("BPS",subQ,MATCH(F$5,SUBQH,0),0),"")</f>
        <v/>
      </c>
      <c r="G8" s="18">
        <f>IFERROR(VLOOKUP("BPS",subQ,MATCH(G$5,SUBQH,0),0),"")</f>
        <v/>
      </c>
    </row>
    <row r="9">
      <c r="C9" t="inlineStr">
        <is>
          <t>지배주주순이익(억원)</t>
        </is>
      </c>
      <c r="D9" s="18">
        <f>IFERROR(VLOOKUP("지배주주순이익",subQ,MATCH(D$5,SUBQH,0),0),"")</f>
        <v/>
      </c>
      <c r="E9" s="18">
        <f>IFERROR(VLOOKUP("지배주주순이익",subQ,MATCH(E$5,SUBQH,0),0),"")</f>
        <v/>
      </c>
      <c r="F9" s="18">
        <f>IFERROR(VLOOKUP("지배주주순이익",subQ,MATCH(F$5,SUBQH,0),0),"")</f>
        <v/>
      </c>
      <c r="G9" s="18">
        <f>IFERROR(VLOOKUP("지배주주순이익",subQ,MATCH(G$5,SUBQH,0),0),"")</f>
        <v/>
      </c>
    </row>
    <row r="10">
      <c r="C10" t="inlineStr">
        <is>
          <t>영업이익(억원)</t>
        </is>
      </c>
      <c r="D10" s="18">
        <f>IFERROR(VLOOKUP("영업이익",subQ,MATCH(D$5,SUBQH,0),0),"")</f>
        <v/>
      </c>
      <c r="E10" s="18">
        <f>IFERROR(VLOOKUP("영업이익",subQ,MATCH(E$5,SUBQH,0),0),"")</f>
        <v/>
      </c>
      <c r="F10" s="18">
        <f>IFERROR(VLOOKUP("영업이익",subQ,MATCH(F$5,SUBQH,0),0),"")</f>
        <v/>
      </c>
      <c r="G10" s="18">
        <f>IFERROR(VLOOKUP("영업이익",subQ,MATCH(G$5,SUBQH,0),0),"")</f>
        <v/>
      </c>
    </row>
    <row r="11">
      <c r="C11" t="inlineStr">
        <is>
          <t>ROE(EPS/기초BPS)</t>
        </is>
      </c>
      <c r="E11" s="21">
        <f>IFERROR(E7/D8,"")</f>
        <v/>
      </c>
      <c r="F11" s="21">
        <f>IFERROR(F7/E8,"")</f>
        <v/>
      </c>
      <c r="G11" s="21">
        <f>IFERROR(G7/F8,"")</f>
        <v/>
      </c>
    </row>
    <row r="13">
      <c r="B13" s="1" t="inlineStr">
        <is>
          <t>PER</t>
        </is>
      </c>
    </row>
    <row r="14">
      <c r="C14" t="inlineStr">
        <is>
          <t>12M fwd EPS</t>
        </is>
      </c>
      <c r="D14" s="18">
        <f>IFERROR(E7*변수!D50+F7*(1-변수!D50),"")</f>
        <v/>
      </c>
    </row>
    <row r="15">
      <c r="C15" t="inlineStr">
        <is>
          <t>적정가치 @PER_lo</t>
        </is>
      </c>
      <c r="D15" s="27">
        <f>변수!D47</f>
        <v/>
      </c>
      <c r="E15" s="18">
        <f>IFERROR(ROUND($D$14*D15,-2),"")</f>
        <v/>
      </c>
      <c r="F15" s="21">
        <f>IFERROR(E15/$C$1-1,"")</f>
        <v/>
      </c>
      <c r="G15" s="2" t="inlineStr">
        <is>
          <t>배 · 원 · 종가 대비</t>
        </is>
      </c>
    </row>
    <row r="16">
      <c r="C16" t="inlineStr">
        <is>
          <t>적정가치 @PER_mid</t>
        </is>
      </c>
      <c r="D16" s="27">
        <f>변수!D48</f>
        <v/>
      </c>
      <c r="E16" s="18">
        <f>IFERROR(ROUND($D$14*D16,-2),"")</f>
        <v/>
      </c>
      <c r="F16" s="21">
        <f>IFERROR(E16/$C$1-1,"")</f>
        <v/>
      </c>
      <c r="G16" s="2" t="inlineStr">
        <is>
          <t>배 · 원 · 종가 대비</t>
        </is>
      </c>
    </row>
    <row r="17">
      <c r="C17" t="inlineStr">
        <is>
          <t>적정가치 @PER_hi</t>
        </is>
      </c>
      <c r="D17" s="27">
        <f>변수!D49</f>
        <v/>
      </c>
      <c r="E17" s="18">
        <f>IFERROR(ROUND($D$14*D17,-2),"")</f>
        <v/>
      </c>
      <c r="F17" s="21">
        <f>IFERROR(E17/$C$1-1,"")</f>
        <v/>
      </c>
      <c r="G17" s="2" t="inlineStr">
        <is>
          <t>배 · 원 · 종가 대비</t>
        </is>
      </c>
    </row>
    <row r="18">
      <c r="C18" t="inlineStr">
        <is>
          <t>현재 PER(종가/12M fwd EPS)</t>
        </is>
      </c>
      <c r="D18" s="27">
        <f>IFERROR($C$1/$D$14,"")</f>
        <v/>
      </c>
    </row>
    <row r="20">
      <c r="B20" s="1" t="inlineStr">
        <is>
          <t>PBR</t>
        </is>
      </c>
    </row>
    <row r="21">
      <c r="C21" t="inlineStr">
        <is>
          <t>최근 BPS(마지막 실적 분기)</t>
        </is>
      </c>
      <c r="D21" s="18">
        <f>IFERROR(VLOOKUP("BPS",subQ,MATCH("2Q26",SUBQH,0),0),"")</f>
        <v/>
      </c>
    </row>
    <row r="22">
      <c r="C22" t="inlineStr">
        <is>
          <t>ROE fwd(12M fwd EPS / BPS)</t>
        </is>
      </c>
      <c r="D22" s="21">
        <f>IFERROR($D$14/$D$21,"")</f>
        <v/>
      </c>
    </row>
    <row r="23">
      <c r="C23" t="inlineStr">
        <is>
          <t>COE</t>
        </is>
      </c>
      <c r="D23" s="21">
        <f>변수!D46</f>
        <v/>
      </c>
    </row>
    <row r="24">
      <c r="C24" t="inlineStr">
        <is>
          <t>적정 PBR = ROE/COE</t>
        </is>
      </c>
      <c r="D24" s="13">
        <f>IFERROR(D22/D23,"")</f>
        <v/>
      </c>
    </row>
    <row r="25">
      <c r="C25" t="inlineStr">
        <is>
          <t>적정가치(PBR) = BPS × 적정PBR</t>
        </is>
      </c>
      <c r="D25" s="18">
        <f>IFERROR(ROUND(D21*D24,-2),"")</f>
        <v/>
      </c>
      <c r="E25" s="21">
        <f>IFERROR(D25/$C$1-1,"")</f>
        <v/>
      </c>
    </row>
    <row r="26">
      <c r="C26" t="inlineStr">
        <is>
          <t>현재 PBR(종가/BPS)</t>
        </is>
      </c>
      <c r="D26" s="13">
        <f>IFERROR($C$1/D21,"")</f>
        <v/>
      </c>
    </row>
    <row r="28">
      <c r="B28" s="2" t="inlineStr">
        <is>
          <t>모델 json valuation(참고)</t>
        </is>
      </c>
    </row>
    <row r="29">
      <c r="C29" s="2" t="inlineStr">
        <is>
          <t>eps_fwd12m</t>
        </is>
      </c>
      <c r="D29" t="n">
        <v>889.5</v>
      </c>
    </row>
    <row r="30">
      <c r="C30" s="2" t="inlineStr">
        <is>
          <t>bps_latest</t>
        </is>
      </c>
      <c r="D30" t="n">
        <v>16532.3</v>
      </c>
    </row>
    <row r="31">
      <c r="C31" s="2" t="inlineStr">
        <is>
          <t>per_now</t>
        </is>
      </c>
      <c r="D31" t="n">
        <v>4.72</v>
      </c>
    </row>
    <row r="32">
      <c r="C32" s="2" t="inlineStr">
        <is>
          <t>pbr_now</t>
        </is>
      </c>
      <c r="D32" t="n">
        <v>0.25</v>
      </c>
    </row>
    <row r="33">
      <c r="C33" s="2" t="inlineStr">
        <is>
          <t>roe_fwd</t>
        </is>
      </c>
      <c r="D33" t="n">
        <v>0.0538</v>
      </c>
    </row>
    <row r="34">
      <c r="C34" s="2" t="inlineStr">
        <is>
          <t>fair_pbr</t>
        </is>
      </c>
      <c r="D34" t="n">
        <v>0.6</v>
      </c>
    </row>
    <row r="35">
      <c r="C35" s="2" t="inlineStr">
        <is>
          <t>fair_value_pbr</t>
        </is>
      </c>
      <c r="D35" t="n">
        <v>9900</v>
      </c>
    </row>
    <row r="36">
      <c r="C36" s="2" t="inlineStr">
        <is>
          <t>ev_ebitda</t>
        </is>
      </c>
    </row>
    <row r="37">
      <c r="C37" s="2" t="inlineStr">
        <is>
          <t>note</t>
        </is>
      </c>
      <c r="D37" t="inlineStr">
        <is>
          <t>모델 산출값 — 목표주가·추천 아님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G19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9" customWidth="1" min="2" max="2"/>
    <col width="26" customWidth="1" min="3" max="3"/>
    <col width="30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</cols>
  <sheetData>
    <row r="1">
      <c r="C1" s="2" t="inlineStr">
        <is>
          <t>이름: 외화QH — 환율 QoQ · 외화 순노출 × Δ기말환율</t>
        </is>
      </c>
      <c r="E1" s="3" t="inlineStr">
        <is>
          <t>4Q21</t>
        </is>
      </c>
      <c r="F1" s="3" t="inlineStr">
        <is>
          <t>1Q22</t>
        </is>
      </c>
      <c r="G1" s="3" t="inlineStr">
        <is>
          <t>2Q22</t>
        </is>
      </c>
      <c r="H1" s="3" t="inlineStr">
        <is>
          <t>3Q22</t>
        </is>
      </c>
      <c r="I1" s="3" t="inlineStr">
        <is>
          <t>4Q22</t>
        </is>
      </c>
      <c r="J1" s="3" t="inlineStr">
        <is>
          <t>1Q23</t>
        </is>
      </c>
      <c r="K1" s="3" t="inlineStr">
        <is>
          <t>2Q23</t>
        </is>
      </c>
      <c r="L1" s="3" t="inlineStr">
        <is>
          <t>3Q23</t>
        </is>
      </c>
      <c r="M1" s="3" t="inlineStr">
        <is>
          <t>4Q23</t>
        </is>
      </c>
      <c r="N1" s="3" t="inlineStr">
        <is>
          <t>1Q24</t>
        </is>
      </c>
      <c r="O1" s="3" t="inlineStr">
        <is>
          <t>2Q24</t>
        </is>
      </c>
      <c r="P1" s="3" t="inlineStr">
        <is>
          <t>3Q24</t>
        </is>
      </c>
      <c r="Q1" s="3" t="inlineStr">
        <is>
          <t>4Q24</t>
        </is>
      </c>
      <c r="R1" s="3" t="inlineStr">
        <is>
          <t>1Q25</t>
        </is>
      </c>
      <c r="S1" s="3" t="inlineStr">
        <is>
          <t>2Q25</t>
        </is>
      </c>
      <c r="T1" s="3" t="inlineStr">
        <is>
          <t>3Q25</t>
        </is>
      </c>
      <c r="U1" s="3" t="inlineStr">
        <is>
          <t>4Q25</t>
        </is>
      </c>
      <c r="V1" s="3" t="inlineStr">
        <is>
          <t>1Q26</t>
        </is>
      </c>
      <c r="W1" s="3" t="inlineStr">
        <is>
          <t>2Q26</t>
        </is>
      </c>
      <c r="X1" s="3" t="inlineStr">
        <is>
          <t>3Q26</t>
        </is>
      </c>
      <c r="Y1" s="3" t="inlineStr">
        <is>
          <t>4Q26</t>
        </is>
      </c>
      <c r="Z1" s="3" t="inlineStr">
        <is>
          <t>1Q27</t>
        </is>
      </c>
      <c r="AA1" s="3" t="inlineStr">
        <is>
          <t>2Q27</t>
        </is>
      </c>
      <c r="AB1" s="3" t="inlineStr">
        <is>
          <t>3Q27</t>
        </is>
      </c>
      <c r="AC1" s="3" t="inlineStr">
        <is>
          <t>4Q27</t>
        </is>
      </c>
      <c r="AD1" s="3" t="inlineStr">
        <is>
          <t>1Q28</t>
        </is>
      </c>
      <c r="AE1" s="3" t="inlineStr">
        <is>
          <t>2Q28</t>
        </is>
      </c>
      <c r="AF1" s="3" t="inlineStr">
        <is>
          <t>3Q28</t>
        </is>
      </c>
      <c r="AG1" s="3" t="inlineStr">
        <is>
          <t>4Q28</t>
        </is>
      </c>
    </row>
    <row r="3">
      <c r="E3" s="2" t="n">
        <v>1</v>
      </c>
      <c r="F3" s="2" t="n">
        <v>2</v>
      </c>
      <c r="G3" s="2" t="n">
        <v>3</v>
      </c>
      <c r="H3" s="2" t="n">
        <v>4</v>
      </c>
      <c r="I3" s="2" t="n">
        <v>5</v>
      </c>
      <c r="J3" s="2" t="n">
        <v>6</v>
      </c>
      <c r="K3" s="2" t="n">
        <v>7</v>
      </c>
      <c r="L3" s="2" t="n">
        <v>8</v>
      </c>
      <c r="M3" s="2" t="n">
        <v>9</v>
      </c>
      <c r="N3" s="2" t="n">
        <v>10</v>
      </c>
      <c r="O3" s="2" t="n">
        <v>11</v>
      </c>
      <c r="P3" s="2" t="n">
        <v>12</v>
      </c>
      <c r="Q3" s="2" t="n">
        <v>13</v>
      </c>
      <c r="R3" s="2" t="n">
        <v>14</v>
      </c>
      <c r="S3" s="2" t="n">
        <v>15</v>
      </c>
      <c r="T3" s="2" t="n">
        <v>16</v>
      </c>
      <c r="U3" s="2" t="n">
        <v>17</v>
      </c>
      <c r="V3" s="2" t="n">
        <v>18</v>
      </c>
      <c r="W3" s="2" t="n">
        <v>19</v>
      </c>
      <c r="X3" s="2" t="n">
        <v>20</v>
      </c>
      <c r="Y3" s="2" t="n">
        <v>21</v>
      </c>
      <c r="Z3" s="2" t="n">
        <v>22</v>
      </c>
      <c r="AA3" s="2" t="n">
        <v>23</v>
      </c>
      <c r="AB3" s="2" t="n">
        <v>24</v>
      </c>
      <c r="AC3" s="2" t="n">
        <v>25</v>
      </c>
      <c r="AD3" s="2" t="n">
        <v>26</v>
      </c>
      <c r="AE3" s="2" t="n">
        <v>27</v>
      </c>
      <c r="AF3" s="2" t="n">
        <v>28</v>
      </c>
      <c r="AG3" s="2" t="n">
        <v>29</v>
      </c>
    </row>
    <row r="4">
      <c r="E4" s="7" t="inlineStr">
        <is>
          <t>2021.12</t>
        </is>
      </c>
      <c r="F4" s="7" t="inlineStr">
        <is>
          <t>2022.03</t>
        </is>
      </c>
      <c r="G4" s="7" t="inlineStr">
        <is>
          <t>2022.06</t>
        </is>
      </c>
      <c r="H4" s="7" t="inlineStr">
        <is>
          <t>2022.09</t>
        </is>
      </c>
      <c r="I4" s="7" t="inlineStr">
        <is>
          <t>2022.12</t>
        </is>
      </c>
      <c r="J4" s="7" t="inlineStr">
        <is>
          <t>2023.03</t>
        </is>
      </c>
      <c r="K4" s="7" t="inlineStr">
        <is>
          <t>2023.06</t>
        </is>
      </c>
      <c r="L4" s="7" t="inlineStr">
        <is>
          <t>2023.09</t>
        </is>
      </c>
      <c r="M4" s="7" t="inlineStr">
        <is>
          <t>2023.12</t>
        </is>
      </c>
      <c r="N4" s="7" t="inlineStr">
        <is>
          <t>2024.03</t>
        </is>
      </c>
      <c r="O4" s="7" t="inlineStr">
        <is>
          <t>2024.06</t>
        </is>
      </c>
      <c r="P4" s="7" t="inlineStr">
        <is>
          <t>2024.09</t>
        </is>
      </c>
      <c r="Q4" s="7" t="inlineStr">
        <is>
          <t>2024.12</t>
        </is>
      </c>
      <c r="R4" s="7" t="inlineStr">
        <is>
          <t>2025.03</t>
        </is>
      </c>
      <c r="S4" s="7" t="inlineStr">
        <is>
          <t>2025.06</t>
        </is>
      </c>
      <c r="T4" s="7" t="inlineStr">
        <is>
          <t>2025.09</t>
        </is>
      </c>
      <c r="U4" s="7" t="inlineStr">
        <is>
          <t>2025.12</t>
        </is>
      </c>
      <c r="V4" s="7" t="inlineStr">
        <is>
          <t>2026.03</t>
        </is>
      </c>
      <c r="W4" s="7" t="inlineStr">
        <is>
          <t>2026.06</t>
        </is>
      </c>
      <c r="X4" s="7" t="inlineStr">
        <is>
          <t>2026.09</t>
        </is>
      </c>
      <c r="Y4" s="7" t="inlineStr">
        <is>
          <t>2026.12</t>
        </is>
      </c>
      <c r="Z4" s="7" t="inlineStr">
        <is>
          <t>2027.03</t>
        </is>
      </c>
      <c r="AA4" s="7" t="inlineStr">
        <is>
          <t>2027.06</t>
        </is>
      </c>
      <c r="AB4" s="7" t="inlineStr">
        <is>
          <t>2027.09</t>
        </is>
      </c>
      <c r="AC4" s="7" t="inlineStr">
        <is>
          <t>2027.12</t>
        </is>
      </c>
      <c r="AD4" s="7" t="inlineStr">
        <is>
          <t>2028.03</t>
        </is>
      </c>
      <c r="AE4" s="7" t="inlineStr">
        <is>
          <t>2028.06</t>
        </is>
      </c>
      <c r="AF4" s="7" t="inlineStr">
        <is>
          <t>2028.09</t>
        </is>
      </c>
      <c r="AG4" s="7" t="inlineStr">
        <is>
          <t>2028.12</t>
        </is>
      </c>
    </row>
    <row r="5">
      <c r="D5" t="inlineStr">
        <is>
          <t xml:space="preserve"> 원/달러(평균)</t>
        </is>
      </c>
      <c r="E5" s="13">
        <f>IFERROR(VLOOKUP($D5,환율,MATCH(E$1,변수H,0),0),"")</f>
        <v/>
      </c>
      <c r="F5" s="13">
        <f>IFERROR(VLOOKUP($D5,환율,MATCH(F$1,변수H,0),0),"")</f>
        <v/>
      </c>
      <c r="G5" s="13">
        <f>IFERROR(VLOOKUP($D5,환율,MATCH(G$1,변수H,0),0),"")</f>
        <v/>
      </c>
      <c r="H5" s="13">
        <f>IFERROR(VLOOKUP($D5,환율,MATCH(H$1,변수H,0),0),"")</f>
        <v/>
      </c>
      <c r="I5" s="13">
        <f>IFERROR(VLOOKUP($D5,환율,MATCH(I$1,변수H,0),0),"")</f>
        <v/>
      </c>
      <c r="J5" s="13">
        <f>IFERROR(VLOOKUP($D5,환율,MATCH(J$1,변수H,0),0),"")</f>
        <v/>
      </c>
      <c r="K5" s="13">
        <f>IFERROR(VLOOKUP($D5,환율,MATCH(K$1,변수H,0),0),"")</f>
        <v/>
      </c>
      <c r="L5" s="13">
        <f>IFERROR(VLOOKUP($D5,환율,MATCH(L$1,변수H,0),0),"")</f>
        <v/>
      </c>
      <c r="M5" s="13">
        <f>IFERROR(VLOOKUP($D5,환율,MATCH(M$1,변수H,0),0),"")</f>
        <v/>
      </c>
      <c r="N5" s="13">
        <f>IFERROR(VLOOKUP($D5,환율,MATCH(N$1,변수H,0),0),"")</f>
        <v/>
      </c>
      <c r="O5" s="13">
        <f>IFERROR(VLOOKUP($D5,환율,MATCH(O$1,변수H,0),0),"")</f>
        <v/>
      </c>
      <c r="P5" s="13">
        <f>IFERROR(VLOOKUP($D5,환율,MATCH(P$1,변수H,0),0),"")</f>
        <v/>
      </c>
      <c r="Q5" s="13">
        <f>IFERROR(VLOOKUP($D5,환율,MATCH(Q$1,변수H,0),0),"")</f>
        <v/>
      </c>
      <c r="R5" s="13">
        <f>IFERROR(VLOOKUP($D5,환율,MATCH(R$1,변수H,0),0),"")</f>
        <v/>
      </c>
      <c r="S5" s="13">
        <f>IFERROR(VLOOKUP($D5,환율,MATCH(S$1,변수H,0),0),"")</f>
        <v/>
      </c>
      <c r="T5" s="13">
        <f>IFERROR(VLOOKUP($D5,환율,MATCH(T$1,변수H,0),0),"")</f>
        <v/>
      </c>
      <c r="U5" s="13">
        <f>IFERROR(VLOOKUP($D5,환율,MATCH(U$1,변수H,0),0),"")</f>
        <v/>
      </c>
      <c r="V5" s="13">
        <f>IFERROR(VLOOKUP($D5,환율,MATCH(V$1,변수H,0),0),"")</f>
        <v/>
      </c>
      <c r="W5" s="13">
        <f>IFERROR(VLOOKUP($D5,환율,MATCH(W$1,변수H,0),0),"")</f>
        <v/>
      </c>
      <c r="X5" s="39">
        <f>IFERROR(VLOOKUP($D5,환율,MATCH(X$1,변수H,0),0),"")</f>
        <v/>
      </c>
      <c r="Y5" s="39">
        <f>IFERROR(VLOOKUP($D5,환율,MATCH(Y$1,변수H,0),0),"")</f>
        <v/>
      </c>
      <c r="Z5" s="39">
        <f>IFERROR(VLOOKUP($D5,환율,MATCH(Z$1,변수H,0),0),"")</f>
        <v/>
      </c>
      <c r="AA5" s="39">
        <f>IFERROR(VLOOKUP($D5,환율,MATCH(AA$1,변수H,0),0),"")</f>
        <v/>
      </c>
      <c r="AB5" s="39">
        <f>IFERROR(VLOOKUP($D5,환율,MATCH(AB$1,변수H,0),0),"")</f>
        <v/>
      </c>
      <c r="AC5" s="39">
        <f>IFERROR(VLOOKUP($D5,환율,MATCH(AC$1,변수H,0),0),"")</f>
        <v/>
      </c>
      <c r="AD5" s="39">
        <f>IFERROR(VLOOKUP($D5,환율,MATCH(AD$1,변수H,0),0),"")</f>
        <v/>
      </c>
      <c r="AE5" s="39">
        <f>IFERROR(VLOOKUP($D5,환율,MATCH(AE$1,변수H,0),0),"")</f>
        <v/>
      </c>
      <c r="AF5" s="39">
        <f>IFERROR(VLOOKUP($D5,환율,MATCH(AF$1,변수H,0),0),"")</f>
        <v/>
      </c>
      <c r="AG5" s="39">
        <f>IFERROR(VLOOKUP($D5,환율,MATCH(AG$1,변수H,0),0),"")</f>
        <v/>
      </c>
    </row>
    <row r="6">
      <c r="A6" s="12" t="inlineStr">
        <is>
          <t>원/달러(평균) QoQ</t>
        </is>
      </c>
      <c r="F6" s="21">
        <f>IFERROR(F5/E5-1,"")</f>
        <v/>
      </c>
      <c r="G6" s="21">
        <f>IFERROR(G5/F5-1,"")</f>
        <v/>
      </c>
      <c r="H6" s="21">
        <f>IFERROR(H5/G5-1,"")</f>
        <v/>
      </c>
      <c r="I6" s="21">
        <f>IFERROR(I5/H5-1,"")</f>
        <v/>
      </c>
      <c r="J6" s="21">
        <f>IFERROR(J5/I5-1,"")</f>
        <v/>
      </c>
      <c r="K6" s="21">
        <f>IFERROR(K5/J5-1,"")</f>
        <v/>
      </c>
      <c r="L6" s="21">
        <f>IFERROR(L5/K5-1,"")</f>
        <v/>
      </c>
      <c r="M6" s="21">
        <f>IFERROR(M5/L5-1,"")</f>
        <v/>
      </c>
      <c r="N6" s="21">
        <f>IFERROR(N5/M5-1,"")</f>
        <v/>
      </c>
      <c r="O6" s="21">
        <f>IFERROR(O5/N5-1,"")</f>
        <v/>
      </c>
      <c r="P6" s="21">
        <f>IFERROR(P5/O5-1,"")</f>
        <v/>
      </c>
      <c r="Q6" s="21">
        <f>IFERROR(Q5/P5-1,"")</f>
        <v/>
      </c>
      <c r="R6" s="21">
        <f>IFERROR(R5/Q5-1,"")</f>
        <v/>
      </c>
      <c r="S6" s="21">
        <f>IFERROR(S5/R5-1,"")</f>
        <v/>
      </c>
      <c r="T6" s="21">
        <f>IFERROR(T5/S5-1,"")</f>
        <v/>
      </c>
      <c r="U6" s="21">
        <f>IFERROR(U5/T5-1,"")</f>
        <v/>
      </c>
      <c r="V6" s="21">
        <f>IFERROR(V5/U5-1,"")</f>
        <v/>
      </c>
      <c r="W6" s="21">
        <f>IFERROR(W5/V5-1,"")</f>
        <v/>
      </c>
      <c r="X6" s="32">
        <f>IFERROR(X5/W5-1,"")</f>
        <v/>
      </c>
      <c r="Y6" s="32">
        <f>IFERROR(Y5/X5-1,"")</f>
        <v/>
      </c>
      <c r="Z6" s="32">
        <f>IFERROR(Z5/Y5-1,"")</f>
        <v/>
      </c>
      <c r="AA6" s="32">
        <f>IFERROR(AA5/Z5-1,"")</f>
        <v/>
      </c>
      <c r="AB6" s="32">
        <f>IFERROR(AB5/AA5-1,"")</f>
        <v/>
      </c>
      <c r="AC6" s="32">
        <f>IFERROR(AC5/AB5-1,"")</f>
        <v/>
      </c>
      <c r="AD6" s="32">
        <f>IFERROR(AD5/AC5-1,"")</f>
        <v/>
      </c>
      <c r="AE6" s="32">
        <f>IFERROR(AE5/AD5-1,"")</f>
        <v/>
      </c>
      <c r="AF6" s="32">
        <f>IFERROR(AF5/AE5-1,"")</f>
        <v/>
      </c>
      <c r="AG6" s="32">
        <f>IFERROR(AG5/AF5-1,"")</f>
        <v/>
      </c>
    </row>
    <row r="7">
      <c r="D7" t="inlineStr">
        <is>
          <t xml:space="preserve"> 원/달러(기말)</t>
        </is>
      </c>
      <c r="E7" s="13">
        <f>IFERROR(VLOOKUP($D7,환율,MATCH(E$1,변수H,0),0),"")</f>
        <v/>
      </c>
      <c r="F7" s="13">
        <f>IFERROR(VLOOKUP($D7,환율,MATCH(F$1,변수H,0),0),"")</f>
        <v/>
      </c>
      <c r="G7" s="13">
        <f>IFERROR(VLOOKUP($D7,환율,MATCH(G$1,변수H,0),0),"")</f>
        <v/>
      </c>
      <c r="H7" s="13">
        <f>IFERROR(VLOOKUP($D7,환율,MATCH(H$1,변수H,0),0),"")</f>
        <v/>
      </c>
      <c r="I7" s="13">
        <f>IFERROR(VLOOKUP($D7,환율,MATCH(I$1,변수H,0),0),"")</f>
        <v/>
      </c>
      <c r="J7" s="13">
        <f>IFERROR(VLOOKUP($D7,환율,MATCH(J$1,변수H,0),0),"")</f>
        <v/>
      </c>
      <c r="K7" s="13">
        <f>IFERROR(VLOOKUP($D7,환율,MATCH(K$1,변수H,0),0),"")</f>
        <v/>
      </c>
      <c r="L7" s="13">
        <f>IFERROR(VLOOKUP($D7,환율,MATCH(L$1,변수H,0),0),"")</f>
        <v/>
      </c>
      <c r="M7" s="13">
        <f>IFERROR(VLOOKUP($D7,환율,MATCH(M$1,변수H,0),0),"")</f>
        <v/>
      </c>
      <c r="N7" s="13">
        <f>IFERROR(VLOOKUP($D7,환율,MATCH(N$1,변수H,0),0),"")</f>
        <v/>
      </c>
      <c r="O7" s="13">
        <f>IFERROR(VLOOKUP($D7,환율,MATCH(O$1,변수H,0),0),"")</f>
        <v/>
      </c>
      <c r="P7" s="13">
        <f>IFERROR(VLOOKUP($D7,환율,MATCH(P$1,변수H,0),0),"")</f>
        <v/>
      </c>
      <c r="Q7" s="13">
        <f>IFERROR(VLOOKUP($D7,환율,MATCH(Q$1,변수H,0),0),"")</f>
        <v/>
      </c>
      <c r="R7" s="13">
        <f>IFERROR(VLOOKUP($D7,환율,MATCH(R$1,변수H,0),0),"")</f>
        <v/>
      </c>
      <c r="S7" s="13">
        <f>IFERROR(VLOOKUP($D7,환율,MATCH(S$1,변수H,0),0),"")</f>
        <v/>
      </c>
      <c r="T7" s="13">
        <f>IFERROR(VLOOKUP($D7,환율,MATCH(T$1,변수H,0),0),"")</f>
        <v/>
      </c>
      <c r="U7" s="13">
        <f>IFERROR(VLOOKUP($D7,환율,MATCH(U$1,변수H,0),0),"")</f>
        <v/>
      </c>
      <c r="V7" s="13">
        <f>IFERROR(VLOOKUP($D7,환율,MATCH(V$1,변수H,0),0),"")</f>
        <v/>
      </c>
      <c r="W7" s="13">
        <f>IFERROR(VLOOKUP($D7,환율,MATCH(W$1,변수H,0),0),"")</f>
        <v/>
      </c>
      <c r="X7" s="39">
        <f>IFERROR(VLOOKUP($D7,환율,MATCH(X$1,변수H,0),0),"")</f>
        <v/>
      </c>
      <c r="Y7" s="39">
        <f>IFERROR(VLOOKUP($D7,환율,MATCH(Y$1,변수H,0),0),"")</f>
        <v/>
      </c>
      <c r="Z7" s="39">
        <f>IFERROR(VLOOKUP($D7,환율,MATCH(Z$1,변수H,0),0),"")</f>
        <v/>
      </c>
      <c r="AA7" s="39">
        <f>IFERROR(VLOOKUP($D7,환율,MATCH(AA$1,변수H,0),0),"")</f>
        <v/>
      </c>
      <c r="AB7" s="39">
        <f>IFERROR(VLOOKUP($D7,환율,MATCH(AB$1,변수H,0),0),"")</f>
        <v/>
      </c>
      <c r="AC7" s="39">
        <f>IFERROR(VLOOKUP($D7,환율,MATCH(AC$1,변수H,0),0),"")</f>
        <v/>
      </c>
      <c r="AD7" s="39">
        <f>IFERROR(VLOOKUP($D7,환율,MATCH(AD$1,변수H,0),0),"")</f>
        <v/>
      </c>
      <c r="AE7" s="39">
        <f>IFERROR(VLOOKUP($D7,환율,MATCH(AE$1,변수H,0),0),"")</f>
        <v/>
      </c>
      <c r="AF7" s="39">
        <f>IFERROR(VLOOKUP($D7,환율,MATCH(AF$1,변수H,0),0),"")</f>
        <v/>
      </c>
      <c r="AG7" s="39">
        <f>IFERROR(VLOOKUP($D7,환율,MATCH(AG$1,변수H,0),0),"")</f>
        <v/>
      </c>
    </row>
    <row r="8">
      <c r="A8" s="12" t="inlineStr">
        <is>
          <t>원/달러(기말) QoQ</t>
        </is>
      </c>
      <c r="F8" s="21">
        <f>IFERROR(F7/E7-1,"")</f>
        <v/>
      </c>
      <c r="G8" s="21">
        <f>IFERROR(G7/F7-1,"")</f>
        <v/>
      </c>
      <c r="H8" s="21">
        <f>IFERROR(H7/G7-1,"")</f>
        <v/>
      </c>
      <c r="I8" s="21">
        <f>IFERROR(I7/H7-1,"")</f>
        <v/>
      </c>
      <c r="J8" s="21">
        <f>IFERROR(J7/I7-1,"")</f>
        <v/>
      </c>
      <c r="K8" s="21">
        <f>IFERROR(K7/J7-1,"")</f>
        <v/>
      </c>
      <c r="L8" s="21">
        <f>IFERROR(L7/K7-1,"")</f>
        <v/>
      </c>
      <c r="M8" s="21">
        <f>IFERROR(M7/L7-1,"")</f>
        <v/>
      </c>
      <c r="N8" s="21">
        <f>IFERROR(N7/M7-1,"")</f>
        <v/>
      </c>
      <c r="O8" s="21">
        <f>IFERROR(O7/N7-1,"")</f>
        <v/>
      </c>
      <c r="P8" s="21">
        <f>IFERROR(P7/O7-1,"")</f>
        <v/>
      </c>
      <c r="Q8" s="21">
        <f>IFERROR(Q7/P7-1,"")</f>
        <v/>
      </c>
      <c r="R8" s="21">
        <f>IFERROR(R7/Q7-1,"")</f>
        <v/>
      </c>
      <c r="S8" s="21">
        <f>IFERROR(S7/R7-1,"")</f>
        <v/>
      </c>
      <c r="T8" s="21">
        <f>IFERROR(T7/S7-1,"")</f>
        <v/>
      </c>
      <c r="U8" s="21">
        <f>IFERROR(U7/T7-1,"")</f>
        <v/>
      </c>
      <c r="V8" s="21">
        <f>IFERROR(V7/U7-1,"")</f>
        <v/>
      </c>
      <c r="W8" s="21">
        <f>IFERROR(W7/V7-1,"")</f>
        <v/>
      </c>
      <c r="X8" s="32">
        <f>IFERROR(X7/W7-1,"")</f>
        <v/>
      </c>
      <c r="Y8" s="32">
        <f>IFERROR(Y7/X7-1,"")</f>
        <v/>
      </c>
      <c r="Z8" s="32">
        <f>IFERROR(Z7/Y7-1,"")</f>
        <v/>
      </c>
      <c r="AA8" s="32">
        <f>IFERROR(AA7/Z7-1,"")</f>
        <v/>
      </c>
      <c r="AB8" s="32">
        <f>IFERROR(AB7/AA7-1,"")</f>
        <v/>
      </c>
      <c r="AC8" s="32">
        <f>IFERROR(AC7/AB7-1,"")</f>
        <v/>
      </c>
      <c r="AD8" s="32">
        <f>IFERROR(AD7/AC7-1,"")</f>
        <v/>
      </c>
      <c r="AE8" s="32">
        <f>IFERROR(AE7/AD7-1,"")</f>
        <v/>
      </c>
      <c r="AF8" s="32">
        <f>IFERROR(AF7/AE7-1,"")</f>
        <v/>
      </c>
      <c r="AG8" s="32">
        <f>IFERROR(AG7/AF7-1,"")</f>
        <v/>
      </c>
    </row>
    <row r="9">
      <c r="D9" t="inlineStr">
        <is>
          <t xml:space="preserve"> W/Euro(평균)</t>
        </is>
      </c>
      <c r="E9" s="13">
        <f>IFERROR(VLOOKUP($D9,환율,MATCH(E$1,변수H,0),0),"")</f>
        <v/>
      </c>
      <c r="F9" s="13">
        <f>IFERROR(VLOOKUP($D9,환율,MATCH(F$1,변수H,0),0),"")</f>
        <v/>
      </c>
      <c r="G9" s="13">
        <f>IFERROR(VLOOKUP($D9,환율,MATCH(G$1,변수H,0),0),"")</f>
        <v/>
      </c>
      <c r="H9" s="13">
        <f>IFERROR(VLOOKUP($D9,환율,MATCH(H$1,변수H,0),0),"")</f>
        <v/>
      </c>
      <c r="I9" s="13">
        <f>IFERROR(VLOOKUP($D9,환율,MATCH(I$1,변수H,0),0),"")</f>
        <v/>
      </c>
      <c r="J9" s="13">
        <f>IFERROR(VLOOKUP($D9,환율,MATCH(J$1,변수H,0),0),"")</f>
        <v/>
      </c>
      <c r="K9" s="13">
        <f>IFERROR(VLOOKUP($D9,환율,MATCH(K$1,변수H,0),0),"")</f>
        <v/>
      </c>
      <c r="L9" s="13">
        <f>IFERROR(VLOOKUP($D9,환율,MATCH(L$1,변수H,0),0),"")</f>
        <v/>
      </c>
      <c r="M9" s="13">
        <f>IFERROR(VLOOKUP($D9,환율,MATCH(M$1,변수H,0),0),"")</f>
        <v/>
      </c>
      <c r="N9" s="13">
        <f>IFERROR(VLOOKUP($D9,환율,MATCH(N$1,변수H,0),0),"")</f>
        <v/>
      </c>
      <c r="O9" s="13">
        <f>IFERROR(VLOOKUP($D9,환율,MATCH(O$1,변수H,0),0),"")</f>
        <v/>
      </c>
      <c r="P9" s="13">
        <f>IFERROR(VLOOKUP($D9,환율,MATCH(P$1,변수H,0),0),"")</f>
        <v/>
      </c>
      <c r="Q9" s="13">
        <f>IFERROR(VLOOKUP($D9,환율,MATCH(Q$1,변수H,0),0),"")</f>
        <v/>
      </c>
      <c r="R9" s="13">
        <f>IFERROR(VLOOKUP($D9,환율,MATCH(R$1,변수H,0),0),"")</f>
        <v/>
      </c>
      <c r="S9" s="13">
        <f>IFERROR(VLOOKUP($D9,환율,MATCH(S$1,변수H,0),0),"")</f>
        <v/>
      </c>
      <c r="T9" s="13">
        <f>IFERROR(VLOOKUP($D9,환율,MATCH(T$1,변수H,0),0),"")</f>
        <v/>
      </c>
      <c r="U9" s="13">
        <f>IFERROR(VLOOKUP($D9,환율,MATCH(U$1,변수H,0),0),"")</f>
        <v/>
      </c>
      <c r="V9" s="13">
        <f>IFERROR(VLOOKUP($D9,환율,MATCH(V$1,변수H,0),0),"")</f>
        <v/>
      </c>
      <c r="W9" s="13">
        <f>IFERROR(VLOOKUP($D9,환율,MATCH(W$1,변수H,0),0),"")</f>
        <v/>
      </c>
      <c r="X9" s="39">
        <f>IFERROR(VLOOKUP($D9,환율,MATCH(X$1,변수H,0),0),"")</f>
        <v/>
      </c>
      <c r="Y9" s="39">
        <f>IFERROR(VLOOKUP($D9,환율,MATCH(Y$1,변수H,0),0),"")</f>
        <v/>
      </c>
      <c r="Z9" s="39">
        <f>IFERROR(VLOOKUP($D9,환율,MATCH(Z$1,변수H,0),0),"")</f>
        <v/>
      </c>
      <c r="AA9" s="39">
        <f>IFERROR(VLOOKUP($D9,환율,MATCH(AA$1,변수H,0),0),"")</f>
        <v/>
      </c>
      <c r="AB9" s="39">
        <f>IFERROR(VLOOKUP($D9,환율,MATCH(AB$1,변수H,0),0),"")</f>
        <v/>
      </c>
      <c r="AC9" s="39">
        <f>IFERROR(VLOOKUP($D9,환율,MATCH(AC$1,변수H,0),0),"")</f>
        <v/>
      </c>
      <c r="AD9" s="39">
        <f>IFERROR(VLOOKUP($D9,환율,MATCH(AD$1,변수H,0),0),"")</f>
        <v/>
      </c>
      <c r="AE9" s="39">
        <f>IFERROR(VLOOKUP($D9,환율,MATCH(AE$1,변수H,0),0),"")</f>
        <v/>
      </c>
      <c r="AF9" s="39">
        <f>IFERROR(VLOOKUP($D9,환율,MATCH(AF$1,변수H,0),0),"")</f>
        <v/>
      </c>
      <c r="AG9" s="39">
        <f>IFERROR(VLOOKUP($D9,환율,MATCH(AG$1,변수H,0),0),"")</f>
        <v/>
      </c>
    </row>
    <row r="10">
      <c r="A10" s="12" t="inlineStr">
        <is>
          <t>W/Euro(평균) QoQ</t>
        </is>
      </c>
      <c r="F10" s="21">
        <f>IFERROR(F9/E9-1,"")</f>
        <v/>
      </c>
      <c r="G10" s="21">
        <f>IFERROR(G9/F9-1,"")</f>
        <v/>
      </c>
      <c r="H10" s="21">
        <f>IFERROR(H9/G9-1,"")</f>
        <v/>
      </c>
      <c r="I10" s="21">
        <f>IFERROR(I9/H9-1,"")</f>
        <v/>
      </c>
      <c r="J10" s="21">
        <f>IFERROR(J9/I9-1,"")</f>
        <v/>
      </c>
      <c r="K10" s="21">
        <f>IFERROR(K9/J9-1,"")</f>
        <v/>
      </c>
      <c r="L10" s="21">
        <f>IFERROR(L9/K9-1,"")</f>
        <v/>
      </c>
      <c r="M10" s="21">
        <f>IFERROR(M9/L9-1,"")</f>
        <v/>
      </c>
      <c r="N10" s="21">
        <f>IFERROR(N9/M9-1,"")</f>
        <v/>
      </c>
      <c r="O10" s="21">
        <f>IFERROR(O9/N9-1,"")</f>
        <v/>
      </c>
      <c r="P10" s="21">
        <f>IFERROR(P9/O9-1,"")</f>
        <v/>
      </c>
      <c r="Q10" s="21">
        <f>IFERROR(Q9/P9-1,"")</f>
        <v/>
      </c>
      <c r="R10" s="21">
        <f>IFERROR(R9/Q9-1,"")</f>
        <v/>
      </c>
      <c r="S10" s="21">
        <f>IFERROR(S9/R9-1,"")</f>
        <v/>
      </c>
      <c r="T10" s="21">
        <f>IFERROR(T9/S9-1,"")</f>
        <v/>
      </c>
      <c r="U10" s="21">
        <f>IFERROR(U9/T9-1,"")</f>
        <v/>
      </c>
      <c r="V10" s="21">
        <f>IFERROR(V9/U9-1,"")</f>
        <v/>
      </c>
      <c r="W10" s="21">
        <f>IFERROR(W9/V9-1,"")</f>
        <v/>
      </c>
      <c r="X10" s="32">
        <f>IFERROR(X9/W9-1,"")</f>
        <v/>
      </c>
      <c r="Y10" s="32">
        <f>IFERROR(Y9/X9-1,"")</f>
        <v/>
      </c>
      <c r="Z10" s="32">
        <f>IFERROR(Z9/Y9-1,"")</f>
        <v/>
      </c>
      <c r="AA10" s="32">
        <f>IFERROR(AA9/Z9-1,"")</f>
        <v/>
      </c>
      <c r="AB10" s="32">
        <f>IFERROR(AB9/AA9-1,"")</f>
        <v/>
      </c>
      <c r="AC10" s="32">
        <f>IFERROR(AC9/AB9-1,"")</f>
        <v/>
      </c>
      <c r="AD10" s="32">
        <f>IFERROR(AD9/AC9-1,"")</f>
        <v/>
      </c>
      <c r="AE10" s="32">
        <f>IFERROR(AE9/AD9-1,"")</f>
        <v/>
      </c>
      <c r="AF10" s="32">
        <f>IFERROR(AF9/AE9-1,"")</f>
        <v/>
      </c>
      <c r="AG10" s="32">
        <f>IFERROR(AG9/AF9-1,"")</f>
        <v/>
      </c>
    </row>
    <row r="11">
      <c r="D11" t="inlineStr">
        <is>
          <t xml:space="preserve"> W/Euro(기말)</t>
        </is>
      </c>
      <c r="E11" s="13">
        <f>IFERROR(VLOOKUP($D11,환율,MATCH(E$1,변수H,0),0),"")</f>
        <v/>
      </c>
      <c r="F11" s="13">
        <f>IFERROR(VLOOKUP($D11,환율,MATCH(F$1,변수H,0),0),"")</f>
        <v/>
      </c>
      <c r="G11" s="13">
        <f>IFERROR(VLOOKUP($D11,환율,MATCH(G$1,변수H,0),0),"")</f>
        <v/>
      </c>
      <c r="H11" s="13">
        <f>IFERROR(VLOOKUP($D11,환율,MATCH(H$1,변수H,0),0),"")</f>
        <v/>
      </c>
      <c r="I11" s="13">
        <f>IFERROR(VLOOKUP($D11,환율,MATCH(I$1,변수H,0),0),"")</f>
        <v/>
      </c>
      <c r="J11" s="13">
        <f>IFERROR(VLOOKUP($D11,환율,MATCH(J$1,변수H,0),0),"")</f>
        <v/>
      </c>
      <c r="K11" s="13">
        <f>IFERROR(VLOOKUP($D11,환율,MATCH(K$1,변수H,0),0),"")</f>
        <v/>
      </c>
      <c r="L11" s="13">
        <f>IFERROR(VLOOKUP($D11,환율,MATCH(L$1,변수H,0),0),"")</f>
        <v/>
      </c>
      <c r="M11" s="13">
        <f>IFERROR(VLOOKUP($D11,환율,MATCH(M$1,변수H,0),0),"")</f>
        <v/>
      </c>
      <c r="N11" s="13">
        <f>IFERROR(VLOOKUP($D11,환율,MATCH(N$1,변수H,0),0),"")</f>
        <v/>
      </c>
      <c r="O11" s="13">
        <f>IFERROR(VLOOKUP($D11,환율,MATCH(O$1,변수H,0),0),"")</f>
        <v/>
      </c>
      <c r="P11" s="13">
        <f>IFERROR(VLOOKUP($D11,환율,MATCH(P$1,변수H,0),0),"")</f>
        <v/>
      </c>
      <c r="Q11" s="13">
        <f>IFERROR(VLOOKUP($D11,환율,MATCH(Q$1,변수H,0),0),"")</f>
        <v/>
      </c>
      <c r="R11" s="13">
        <f>IFERROR(VLOOKUP($D11,환율,MATCH(R$1,변수H,0),0),"")</f>
        <v/>
      </c>
      <c r="S11" s="13">
        <f>IFERROR(VLOOKUP($D11,환율,MATCH(S$1,변수H,0),0),"")</f>
        <v/>
      </c>
      <c r="T11" s="13">
        <f>IFERROR(VLOOKUP($D11,환율,MATCH(T$1,변수H,0),0),"")</f>
        <v/>
      </c>
      <c r="U11" s="13">
        <f>IFERROR(VLOOKUP($D11,환율,MATCH(U$1,변수H,0),0),"")</f>
        <v/>
      </c>
      <c r="V11" s="13">
        <f>IFERROR(VLOOKUP($D11,환율,MATCH(V$1,변수H,0),0),"")</f>
        <v/>
      </c>
      <c r="W11" s="13">
        <f>IFERROR(VLOOKUP($D11,환율,MATCH(W$1,변수H,0),0),"")</f>
        <v/>
      </c>
      <c r="X11" s="39">
        <f>IFERROR(VLOOKUP($D11,환율,MATCH(X$1,변수H,0),0),"")</f>
        <v/>
      </c>
      <c r="Y11" s="39">
        <f>IFERROR(VLOOKUP($D11,환율,MATCH(Y$1,변수H,0),0),"")</f>
        <v/>
      </c>
      <c r="Z11" s="39">
        <f>IFERROR(VLOOKUP($D11,환율,MATCH(Z$1,변수H,0),0),"")</f>
        <v/>
      </c>
      <c r="AA11" s="39">
        <f>IFERROR(VLOOKUP($D11,환율,MATCH(AA$1,변수H,0),0),"")</f>
        <v/>
      </c>
      <c r="AB11" s="39">
        <f>IFERROR(VLOOKUP($D11,환율,MATCH(AB$1,변수H,0),0),"")</f>
        <v/>
      </c>
      <c r="AC11" s="39">
        <f>IFERROR(VLOOKUP($D11,환율,MATCH(AC$1,변수H,0),0),"")</f>
        <v/>
      </c>
      <c r="AD11" s="39">
        <f>IFERROR(VLOOKUP($D11,환율,MATCH(AD$1,변수H,0),0),"")</f>
        <v/>
      </c>
      <c r="AE11" s="39">
        <f>IFERROR(VLOOKUP($D11,환율,MATCH(AE$1,변수H,0),0),"")</f>
        <v/>
      </c>
      <c r="AF11" s="39">
        <f>IFERROR(VLOOKUP($D11,환율,MATCH(AF$1,변수H,0),0),"")</f>
        <v/>
      </c>
      <c r="AG11" s="39">
        <f>IFERROR(VLOOKUP($D11,환율,MATCH(AG$1,변수H,0),0),"")</f>
        <v/>
      </c>
    </row>
    <row r="12">
      <c r="A12" s="12" t="inlineStr">
        <is>
          <t>W/Euro(기말) QoQ</t>
        </is>
      </c>
      <c r="F12" s="21">
        <f>IFERROR(F11/E11-1,"")</f>
        <v/>
      </c>
      <c r="G12" s="21">
        <f>IFERROR(G11/F11-1,"")</f>
        <v/>
      </c>
      <c r="H12" s="21">
        <f>IFERROR(H11/G11-1,"")</f>
        <v/>
      </c>
      <c r="I12" s="21">
        <f>IFERROR(I11/H11-1,"")</f>
        <v/>
      </c>
      <c r="J12" s="21">
        <f>IFERROR(J11/I11-1,"")</f>
        <v/>
      </c>
      <c r="K12" s="21">
        <f>IFERROR(K11/J11-1,"")</f>
        <v/>
      </c>
      <c r="L12" s="21">
        <f>IFERROR(L11/K11-1,"")</f>
        <v/>
      </c>
      <c r="M12" s="21">
        <f>IFERROR(M11/L11-1,"")</f>
        <v/>
      </c>
      <c r="N12" s="21">
        <f>IFERROR(N11/M11-1,"")</f>
        <v/>
      </c>
      <c r="O12" s="21">
        <f>IFERROR(O11/N11-1,"")</f>
        <v/>
      </c>
      <c r="P12" s="21">
        <f>IFERROR(P11/O11-1,"")</f>
        <v/>
      </c>
      <c r="Q12" s="21">
        <f>IFERROR(Q11/P11-1,"")</f>
        <v/>
      </c>
      <c r="R12" s="21">
        <f>IFERROR(R11/Q11-1,"")</f>
        <v/>
      </c>
      <c r="S12" s="21">
        <f>IFERROR(S11/R11-1,"")</f>
        <v/>
      </c>
      <c r="T12" s="21">
        <f>IFERROR(T11/S11-1,"")</f>
        <v/>
      </c>
      <c r="U12" s="21">
        <f>IFERROR(U11/T11-1,"")</f>
        <v/>
      </c>
      <c r="V12" s="21">
        <f>IFERROR(V11/U11-1,"")</f>
        <v/>
      </c>
      <c r="W12" s="21">
        <f>IFERROR(W11/V11-1,"")</f>
        <v/>
      </c>
      <c r="X12" s="32">
        <f>IFERROR(X11/W11-1,"")</f>
        <v/>
      </c>
      <c r="Y12" s="32">
        <f>IFERROR(Y11/X11-1,"")</f>
        <v/>
      </c>
      <c r="Z12" s="32">
        <f>IFERROR(Z11/Y11-1,"")</f>
        <v/>
      </c>
      <c r="AA12" s="32">
        <f>IFERROR(AA11/Z11-1,"")</f>
        <v/>
      </c>
      <c r="AB12" s="32">
        <f>IFERROR(AB11/AA11-1,"")</f>
        <v/>
      </c>
      <c r="AC12" s="32">
        <f>IFERROR(AC11/AB11-1,"")</f>
        <v/>
      </c>
      <c r="AD12" s="32">
        <f>IFERROR(AD11/AC11-1,"")</f>
        <v/>
      </c>
      <c r="AE12" s="32">
        <f>IFERROR(AE11/AD11-1,"")</f>
        <v/>
      </c>
      <c r="AF12" s="32">
        <f>IFERROR(AF11/AE11-1,"")</f>
        <v/>
      </c>
      <c r="AG12" s="32">
        <f>IFERROR(AG11/AF11-1,"")</f>
        <v/>
      </c>
    </row>
    <row r="13">
      <c r="D13" t="inlineStr">
        <is>
          <t xml:space="preserve"> 원/100Y(기말)</t>
        </is>
      </c>
      <c r="E13" s="13">
        <f>IFERROR(VLOOKUP($D13,환율,MATCH(E$1,변수H,0),0),"")</f>
        <v/>
      </c>
      <c r="F13" s="13">
        <f>IFERROR(VLOOKUP($D13,환율,MATCH(F$1,변수H,0),0),"")</f>
        <v/>
      </c>
      <c r="G13" s="13">
        <f>IFERROR(VLOOKUP($D13,환율,MATCH(G$1,변수H,0),0),"")</f>
        <v/>
      </c>
      <c r="H13" s="13">
        <f>IFERROR(VLOOKUP($D13,환율,MATCH(H$1,변수H,0),0),"")</f>
        <v/>
      </c>
      <c r="I13" s="13">
        <f>IFERROR(VLOOKUP($D13,환율,MATCH(I$1,변수H,0),0),"")</f>
        <v/>
      </c>
      <c r="J13" s="13">
        <f>IFERROR(VLOOKUP($D13,환율,MATCH(J$1,변수H,0),0),"")</f>
        <v/>
      </c>
      <c r="K13" s="13">
        <f>IFERROR(VLOOKUP($D13,환율,MATCH(K$1,변수H,0),0),"")</f>
        <v/>
      </c>
      <c r="L13" s="13">
        <f>IFERROR(VLOOKUP($D13,환율,MATCH(L$1,변수H,0),0),"")</f>
        <v/>
      </c>
      <c r="M13" s="13">
        <f>IFERROR(VLOOKUP($D13,환율,MATCH(M$1,변수H,0),0),"")</f>
        <v/>
      </c>
      <c r="N13" s="13">
        <f>IFERROR(VLOOKUP($D13,환율,MATCH(N$1,변수H,0),0),"")</f>
        <v/>
      </c>
      <c r="O13" s="13">
        <f>IFERROR(VLOOKUP($D13,환율,MATCH(O$1,변수H,0),0),"")</f>
        <v/>
      </c>
      <c r="P13" s="13">
        <f>IFERROR(VLOOKUP($D13,환율,MATCH(P$1,변수H,0),0),"")</f>
        <v/>
      </c>
      <c r="Q13" s="13">
        <f>IFERROR(VLOOKUP($D13,환율,MATCH(Q$1,변수H,0),0),"")</f>
        <v/>
      </c>
      <c r="R13" s="13">
        <f>IFERROR(VLOOKUP($D13,환율,MATCH(R$1,변수H,0),0),"")</f>
        <v/>
      </c>
      <c r="S13" s="13">
        <f>IFERROR(VLOOKUP($D13,환율,MATCH(S$1,변수H,0),0),"")</f>
        <v/>
      </c>
      <c r="T13" s="13">
        <f>IFERROR(VLOOKUP($D13,환율,MATCH(T$1,변수H,0),0),"")</f>
        <v/>
      </c>
      <c r="U13" s="13">
        <f>IFERROR(VLOOKUP($D13,환율,MATCH(U$1,변수H,0),0),"")</f>
        <v/>
      </c>
      <c r="V13" s="13">
        <f>IFERROR(VLOOKUP($D13,환율,MATCH(V$1,변수H,0),0),"")</f>
        <v/>
      </c>
      <c r="W13" s="13">
        <f>IFERROR(VLOOKUP($D13,환율,MATCH(W$1,변수H,0),0),"")</f>
        <v/>
      </c>
      <c r="X13" s="39">
        <f>IFERROR(VLOOKUP($D13,환율,MATCH(X$1,변수H,0),0),"")</f>
        <v/>
      </c>
      <c r="Y13" s="39">
        <f>IFERROR(VLOOKUP($D13,환율,MATCH(Y$1,변수H,0),0),"")</f>
        <v/>
      </c>
      <c r="Z13" s="39">
        <f>IFERROR(VLOOKUP($D13,환율,MATCH(Z$1,변수H,0),0),"")</f>
        <v/>
      </c>
      <c r="AA13" s="39">
        <f>IFERROR(VLOOKUP($D13,환율,MATCH(AA$1,변수H,0),0),"")</f>
        <v/>
      </c>
      <c r="AB13" s="39">
        <f>IFERROR(VLOOKUP($D13,환율,MATCH(AB$1,변수H,0),0),"")</f>
        <v/>
      </c>
      <c r="AC13" s="39">
        <f>IFERROR(VLOOKUP($D13,환율,MATCH(AC$1,변수H,0),0),"")</f>
        <v/>
      </c>
      <c r="AD13" s="39">
        <f>IFERROR(VLOOKUP($D13,환율,MATCH(AD$1,변수H,0),0),"")</f>
        <v/>
      </c>
      <c r="AE13" s="39">
        <f>IFERROR(VLOOKUP($D13,환율,MATCH(AE$1,변수H,0),0),"")</f>
        <v/>
      </c>
      <c r="AF13" s="39">
        <f>IFERROR(VLOOKUP($D13,환율,MATCH(AF$1,변수H,0),0),"")</f>
        <v/>
      </c>
      <c r="AG13" s="39">
        <f>IFERROR(VLOOKUP($D13,환율,MATCH(AG$1,변수H,0),0),"")</f>
        <v/>
      </c>
    </row>
    <row r="14">
      <c r="A14" s="12" t="inlineStr">
        <is>
          <t>원/100Y(기말) QoQ</t>
        </is>
      </c>
      <c r="F14" s="21">
        <f>IFERROR(F13/E13-1,"")</f>
        <v/>
      </c>
      <c r="G14" s="21">
        <f>IFERROR(G13/F13-1,"")</f>
        <v/>
      </c>
      <c r="H14" s="21">
        <f>IFERROR(H13/G13-1,"")</f>
        <v/>
      </c>
      <c r="I14" s="21">
        <f>IFERROR(I13/H13-1,"")</f>
        <v/>
      </c>
      <c r="J14" s="21">
        <f>IFERROR(J13/I13-1,"")</f>
        <v/>
      </c>
      <c r="K14" s="21">
        <f>IFERROR(K13/J13-1,"")</f>
        <v/>
      </c>
      <c r="L14" s="21">
        <f>IFERROR(L13/K13-1,"")</f>
        <v/>
      </c>
      <c r="M14" s="21">
        <f>IFERROR(M13/L13-1,"")</f>
        <v/>
      </c>
      <c r="N14" s="21">
        <f>IFERROR(N13/M13-1,"")</f>
        <v/>
      </c>
      <c r="O14" s="21">
        <f>IFERROR(O13/N13-1,"")</f>
        <v/>
      </c>
      <c r="P14" s="21">
        <f>IFERROR(P13/O13-1,"")</f>
        <v/>
      </c>
      <c r="Q14" s="21">
        <f>IFERROR(Q13/P13-1,"")</f>
        <v/>
      </c>
      <c r="R14" s="21">
        <f>IFERROR(R13/Q13-1,"")</f>
        <v/>
      </c>
      <c r="S14" s="21">
        <f>IFERROR(S13/R13-1,"")</f>
        <v/>
      </c>
      <c r="T14" s="21">
        <f>IFERROR(T13/S13-1,"")</f>
        <v/>
      </c>
      <c r="U14" s="21">
        <f>IFERROR(U13/T13-1,"")</f>
        <v/>
      </c>
      <c r="V14" s="21">
        <f>IFERROR(V13/U13-1,"")</f>
        <v/>
      </c>
      <c r="W14" s="21">
        <f>IFERROR(W13/V13-1,"")</f>
        <v/>
      </c>
      <c r="X14" s="32">
        <f>IFERROR(X13/W13-1,"")</f>
        <v/>
      </c>
      <c r="Y14" s="32">
        <f>IFERROR(Y13/X13-1,"")</f>
        <v/>
      </c>
      <c r="Z14" s="32">
        <f>IFERROR(Z13/Y13-1,"")</f>
        <v/>
      </c>
      <c r="AA14" s="32">
        <f>IFERROR(AA13/Z13-1,"")</f>
        <v/>
      </c>
      <c r="AB14" s="32">
        <f>IFERROR(AB13/AA13-1,"")</f>
        <v/>
      </c>
      <c r="AC14" s="32">
        <f>IFERROR(AC13/AB13-1,"")</f>
        <v/>
      </c>
      <c r="AD14" s="32">
        <f>IFERROR(AD13/AC13-1,"")</f>
        <v/>
      </c>
      <c r="AE14" s="32">
        <f>IFERROR(AE13/AD13-1,"")</f>
        <v/>
      </c>
      <c r="AF14" s="32">
        <f>IFERROR(AF13/AE13-1,"")</f>
        <v/>
      </c>
      <c r="AG14" s="32">
        <f>IFERROR(AG13/AF13-1,"")</f>
        <v/>
      </c>
    </row>
    <row r="15">
      <c r="X15" s="10" t="n"/>
      <c r="Y15" s="10" t="n"/>
      <c r="Z15" s="10" t="n"/>
      <c r="AA15" s="10" t="n"/>
      <c r="AB15" s="10" t="n"/>
      <c r="AC15" s="10" t="n"/>
      <c r="AD15" s="10" t="n"/>
      <c r="AE15" s="10" t="n"/>
      <c r="AF15" s="10" t="n"/>
      <c r="AG15" s="10" t="n"/>
    </row>
    <row r="16">
      <c r="A16" s="12" t="inlineStr">
        <is>
          <t>외화순노출</t>
        </is>
      </c>
      <c r="C16" t="inlineStr">
        <is>
          <t>외화 순노출(백만$)</t>
        </is>
      </c>
      <c r="D16" s="27">
        <f>변수!D57</f>
        <v/>
      </c>
      <c r="E16" s="2" t="inlineStr">
        <is>
          <t>외화 순노출 × Δ기말환율 (외화 시트 방식)</t>
        </is>
      </c>
      <c r="X16" s="10" t="n"/>
      <c r="Y16" s="10" t="n"/>
      <c r="Z16" s="10" t="n"/>
      <c r="AA16" s="10" t="n"/>
      <c r="AB16" s="10" t="n"/>
      <c r="AC16" s="10" t="n"/>
      <c r="AD16" s="10" t="n"/>
      <c r="AE16" s="10" t="n"/>
      <c r="AF16" s="10" t="n"/>
      <c r="AG16" s="10" t="n"/>
    </row>
    <row r="17">
      <c r="A17" s="12" t="inlineStr">
        <is>
          <t>환관련손익추정</t>
        </is>
      </c>
      <c r="C17" t="inlineStr">
        <is>
          <t>환관련손익 추정(억원) = 순노출 × Δ원/달러(기말) / 100</t>
        </is>
      </c>
      <c r="F17" s="18">
        <f>IFERROR($D$16*(F7-E7)/100,"")</f>
        <v/>
      </c>
      <c r="G17" s="18">
        <f>IFERROR($D$16*(G7-F7)/100,"")</f>
        <v/>
      </c>
      <c r="H17" s="18">
        <f>IFERROR($D$16*(H7-G7)/100,"")</f>
        <v/>
      </c>
      <c r="I17" s="18">
        <f>IFERROR($D$16*(I7-H7)/100,"")</f>
        <v/>
      </c>
      <c r="J17" s="18">
        <f>IFERROR($D$16*(J7-I7)/100,"")</f>
        <v/>
      </c>
      <c r="K17" s="18">
        <f>IFERROR($D$16*(K7-J7)/100,"")</f>
        <v/>
      </c>
      <c r="L17" s="18">
        <f>IFERROR($D$16*(L7-K7)/100,"")</f>
        <v/>
      </c>
      <c r="M17" s="18">
        <f>IFERROR($D$16*(M7-L7)/100,"")</f>
        <v/>
      </c>
      <c r="N17" s="18">
        <f>IFERROR($D$16*(N7-M7)/100,"")</f>
        <v/>
      </c>
      <c r="O17" s="18">
        <f>IFERROR($D$16*(O7-N7)/100,"")</f>
        <v/>
      </c>
      <c r="P17" s="18">
        <f>IFERROR($D$16*(P7-O7)/100,"")</f>
        <v/>
      </c>
      <c r="Q17" s="18">
        <f>IFERROR($D$16*(Q7-P7)/100,"")</f>
        <v/>
      </c>
      <c r="R17" s="18">
        <f>IFERROR($D$16*(R7-Q7)/100,"")</f>
        <v/>
      </c>
      <c r="S17" s="18">
        <f>IFERROR($D$16*(S7-R7)/100,"")</f>
        <v/>
      </c>
      <c r="T17" s="18">
        <f>IFERROR($D$16*(T7-S7)/100,"")</f>
        <v/>
      </c>
      <c r="U17" s="18">
        <f>IFERROR($D$16*(U7-T7)/100,"")</f>
        <v/>
      </c>
      <c r="V17" s="18">
        <f>IFERROR($D$16*(V7-U7)/100,"")</f>
        <v/>
      </c>
      <c r="W17" s="18">
        <f>IFERROR($D$16*(W7-V7)/100,"")</f>
        <v/>
      </c>
      <c r="X17" s="20">
        <f>IFERROR($D$16*(X7-W7)/100,"")</f>
        <v/>
      </c>
      <c r="Y17" s="20">
        <f>IFERROR($D$16*(Y7-X7)/100,"")</f>
        <v/>
      </c>
      <c r="Z17" s="20">
        <f>IFERROR($D$16*(Z7-Y7)/100,"")</f>
        <v/>
      </c>
      <c r="AA17" s="20">
        <f>IFERROR($D$16*(AA7-Z7)/100,"")</f>
        <v/>
      </c>
      <c r="AB17" s="20">
        <f>IFERROR($D$16*(AB7-AA7)/100,"")</f>
        <v/>
      </c>
      <c r="AC17" s="20">
        <f>IFERROR($D$16*(AC7-AB7)/100,"")</f>
        <v/>
      </c>
      <c r="AD17" s="20">
        <f>IFERROR($D$16*(AD7-AC7)/100,"")</f>
        <v/>
      </c>
      <c r="AE17" s="20">
        <f>IFERROR($D$16*(AE7-AD7)/100,"")</f>
        <v/>
      </c>
      <c r="AF17" s="20">
        <f>IFERROR($D$16*(AF7-AE7)/100,"")</f>
        <v/>
      </c>
      <c r="AG17" s="20">
        <f>IFERROR($D$16*(AG7-AF7)/100,"")</f>
        <v/>
      </c>
    </row>
    <row r="18">
      <c r="A18" s="12" t="inlineStr">
        <is>
          <t>fx_pnl.by_q</t>
        </is>
      </c>
      <c r="C18" t="inlineStr">
        <is>
          <t>모델 fx_pnl.by_q(억원, 참고)</t>
        </is>
      </c>
      <c r="X18" s="10" t="n"/>
      <c r="Y18" s="10" t="n"/>
      <c r="Z18" s="10" t="n"/>
      <c r="AA18" s="10" t="n"/>
      <c r="AB18" s="10" t="n"/>
      <c r="AC18" s="10" t="n"/>
      <c r="AD18" s="10" t="n"/>
      <c r="AE18" s="10" t="n"/>
      <c r="AF18" s="10" t="n"/>
      <c r="AG18" s="10" t="n"/>
    </row>
    <row r="19">
      <c r="C19" s="2" t="inlineStr">
        <is>
          <t>외화 순노출 미공시(face) → 0 + 표기</t>
        </is>
      </c>
      <c r="X19" s="10" t="n"/>
      <c r="Y19" s="10" t="n"/>
      <c r="Z19" s="10" t="n"/>
      <c r="AA19" s="10" t="n"/>
      <c r="AB19" s="10" t="n"/>
      <c r="AC19" s="10" t="n"/>
      <c r="AD19" s="10" t="n"/>
      <c r="AE19" s="10" t="n"/>
      <c r="AF19" s="10" t="n"/>
      <c r="AG19" s="10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kship_model_xlsx</dc:creator>
  <dcterms:created xsi:type="dcterms:W3CDTF">2026-10-14T00:00:00Z</dcterms:created>
  <dcterms:modified xsi:type="dcterms:W3CDTF">2026-10-14T00:00:00Z</dcterms:modified>
</cp:coreProperties>
</file>