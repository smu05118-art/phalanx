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0.3421 × 계절비중 Q3 0.234(계절비중 — 최근 3개 연도(2026, 2025, 2024)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127835억 × 비례계수 0.3421 × 계절비중 Q4 0.344(계절비중 — 최근 3개 연도(2026, 2025, 2024) 분기/연간 비중 평균; 격자 lag0~4×창8/12/19×수준·YoY·4Q합 중 최대 r=0.98, n=8, 창 8)</t>
      </text>
    </comment>
    <comment ref="AF21" authorId="0" shapeId="0">
      <text>
        <t>모델값 역산(implied): v / 전년동기 − 1
고객지수 4분기 이동합(t−4) 128504억 × 비례계수 0.3421 × 계절비중 Q1 0.187(계절비중 — 최근 3개 연도(2026, 2025, 2024) 분기/연간 비중 평균; 격자 lag0~4×창8/12/19×수준·YoY·4Q합 중 최대 r=0.98, n=8, 창 8)</t>
      </text>
    </comment>
    <comment ref="AG21" authorId="0" shapeId="0">
      <text>
        <t>모델값 역산(implied): v / 전년동기 − 1
고객지수 4분기 이동합(t−4) 149994억 × 비례계수 0.3421 × 계절비중 Q2 0.235(계절비중 — 최근 3개 연도(2026, 2025, 2024) 분기/연간 비중 평균; 격자 lag0~4×창8/12/19×수준·YoY·4Q합 중 최대 r=0.98, n=8, 창 8)</t>
      </text>
    </comment>
    <comment ref="AH21" authorId="0" shapeId="0">
      <text>
        <t>모델값 역산(implied): v / 전년동기 − 1
고객지수 4분기 이동합(t−4) 161069억 × 비례계수 0.3421 × 계절비중 Q3 0.234(계절비중 — 최근 3개 연도(2026, 2025, 2024) 분기/연간 비중 평균; 격자 lag0~4×창8/12/19×수준·YoY·4Q합 중 최대 r=0.98, n=8, 창 8)</t>
      </text>
    </comment>
    <comment ref="AI21" authorId="0" shapeId="0">
      <text>
        <t>모델값 역산(implied): v / 전년동기 − 1
고객지수 4분기 이동합(t−4) 169959억 × 비례계수 0.3421 × 계절비중 Q4 0.344(계절비중 — 최근 3개 연도(2026, 2025, 2024) 분기/연간 비중 평균; 격자 lag0~4×창8/12/19×수준·YoY·4Q합 중 최대 r=0.98, n=8, 창 8)</t>
      </text>
    </comment>
    <comment ref="AK21" authorId="0" shapeId="0">
      <text>
        <t>모델값 역산(implied): v / 전년동기 − 1
고객지수 4분기 이동합(t−4) 178831억 × 비례계수 0.3421 × 계절비중 Q1 0.187(계절비중 — 최근 3개 연도(2026, 2025, 2024) 분기/연간 비중 평균; 격자 lag0~4×창8/12/19×수준·YoY·4Q합 중 최대 r=0.98, n=8, 창 8)</t>
      </text>
    </comment>
    <comment ref="AL21" authorId="0" shapeId="0">
      <text>
        <t>모델값 역산(implied): v / 전년동기 − 1
고객지수 4분기 이동합(t−4) 165091억 × 비례계수 0.3421 × 계절비중 Q2 0.235(계절비중 — 최근 3개 연도(2026, 2025, 2024) 분기/연간 비중 평균; 격자 lag0~4×창8/12/19×수준·YoY·4Q합 중 최대 r=0.98, n=8, 창 8)</t>
      </text>
    </comment>
    <comment ref="AM21" authorId="0" shapeId="0">
      <text>
        <t>모델값 역산(implied): v / 전년동기 − 1
고객지수 4분기 이동합(t−4) 164564억 × 비례계수 0.3421 × 계절비중 Q3 0.234(계절비중 — 최근 3개 연도(2026, 2025, 2024) 분기/연간 비중 평균; 격자 lag0~4×창8/12/19×수준·YoY·4Q합 중 최대 r=0.98, n=8, 창 8)</t>
      </text>
    </comment>
    <comment ref="AN21" authorId="0" shapeId="0">
      <text>
        <t>모델값 역산(implied): v / 전년동기 − 1
고객지수 4분기 이동합(t−4) 163090억 × 비례계수 0.3421 × 계절비중 Q4 0.344(계절비중 — 최근 3개 연도(2026, 2025, 2024) 분기/연간 비중 평균; 격자 lag0~4×창8/12/19×수준·YoY·4Q합 중 최대 r=0.98, n=8, 창 8)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유지)</t>
      </text>
    </comment>
    <comment ref="AD23" authorId="0" shapeId="0">
      <text>
        <t>모델값 역산(implied): v / 매출액
매출액 × OPM(최근 8분기 OPM 중위 4.5% 유지)</t>
      </text>
    </comment>
    <comment ref="AF23" authorId="0" shapeId="0">
      <text>
        <t>모델값 역산(implied): v / 매출액
매출액 × OPM(최근 8분기 OPM 중위 4.5% 유지)</t>
      </text>
    </comment>
    <comment ref="AG23" authorId="0" shapeId="0">
      <text>
        <t>모델값 역산(implied): v / 매출액
매출액 × OPM(최근 8분기 OPM 중위 4.5% 유지)</t>
      </text>
    </comment>
    <comment ref="AH23" authorId="0" shapeId="0">
      <text>
        <t>모델값 역산(implied): v / 매출액
매출액 × OPM(최근 8분기 OPM 중위 4.5% 유지)</t>
      </text>
    </comment>
    <comment ref="AI23" authorId="0" shapeId="0">
      <text>
        <t>모델값 역산(implied): v / 매출액
매출액 × OPM(최근 8분기 OPM 중위 4.5% 유지)</t>
      </text>
    </comment>
    <comment ref="AK23" authorId="0" shapeId="0">
      <text>
        <t>모델값 역산(implied): v / 매출액
매출액 × OPM(최근 8분기 OPM 중위 4.5% 유지)</t>
      </text>
    </comment>
    <comment ref="AL23" authorId="0" shapeId="0">
      <text>
        <t>모델값 역산(implied): v / 매출액
매출액 × OPM(최근 8분기 OPM 중위 4.5% 유지)</t>
      </text>
    </comment>
    <comment ref="AM23" authorId="0" shapeId="0">
      <text>
        <t>모델값 역산(implied): v / 매출액
매출액 × OPM(최근 8분기 OPM 중위 4.5% 유지)</t>
      </text>
    </comment>
    <comment ref="AN23" authorId="0" shapeId="0">
      <text>
        <t>모델값 역산(implied): v / 매출액
매출액 × OPM(최근 8분기 OPM 중위 4.5%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500원 유지</t>
      </text>
    </comment>
    <comment ref="AI40" authorId="0" shapeId="0">
      <text>
        <t>모델값 역산(implied): 모델 v 그대로
직전 결산 DPS 500원 유지</t>
      </text>
    </comment>
    <comment ref="AN40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0.3421 × 계절비중 Q3 0.234(계절비중 — 최근 3개 연도(2026, 2025, 2024) 분기/연간 비중 평균; 격자 lag0~4×창8/12/19×수준·YoY·4Q합 중 최대 r=0.98, n=8, 창 8)
[yoy]</t>
      </text>
    </comment>
    <comment ref="AD5" authorId="0" shapeId="0">
      <text>
        <t>추정: 고객지수 4분기 이동합(t−4) 127835억 × 비례계수 0.3421 × 계절비중 Q4 0.344(계절비중 — 최근 3개 연도(2026, 2025, 2024) 분기/연간 비중 평균; 격자 lag0~4×창8/12/19×수준·YoY·4Q합 중 최대 r=0.98, n=8, 창 8)
[yoy]</t>
      </text>
    </comment>
    <comment ref="AF5" authorId="0" shapeId="0">
      <text>
        <t>추정: 고객지수 4분기 이동합(t−4) 128504억 × 비례계수 0.3421 × 계절비중 Q1 0.187(계절비중 — 최근 3개 연도(2026, 2025, 2024) 분기/연간 비중 평균; 격자 lag0~4×창8/12/19×수준·YoY·4Q합 중 최대 r=0.98, n=8, 창 8)
[yoy]</t>
      </text>
    </comment>
    <comment ref="AG5" authorId="0" shapeId="0">
      <text>
        <t>추정: 고객지수 4분기 이동합(t−4) 149994억 × 비례계수 0.3421 × 계절비중 Q2 0.235(계절비중 — 최근 3개 연도(2026, 2025, 2024) 분기/연간 비중 평균; 격자 lag0~4×창8/12/19×수준·YoY·4Q합 중 최대 r=0.98, n=8, 창 8)
[yoy]</t>
      </text>
    </comment>
    <comment ref="AH5" authorId="0" shapeId="0">
      <text>
        <t>추정: 고객지수 4분기 이동합(t−4) 161069억 × 비례계수 0.3421 × 계절비중 Q3 0.234(계절비중 — 최근 3개 연도(2026, 2025, 2024) 분기/연간 비중 평균; 격자 lag0~4×창8/12/19×수준·YoY·4Q합 중 최대 r=0.98, n=8, 창 8)
[yoy]</t>
      </text>
    </comment>
    <comment ref="AI5" authorId="0" shapeId="0">
      <text>
        <t>추정: 고객지수 4분기 이동합(t−4) 169959억 × 비례계수 0.3421 × 계절비중 Q4 0.344(계절비중 — 최근 3개 연도(2026, 2025, 2024) 분기/연간 비중 평균; 격자 lag0~4×창8/12/19×수준·YoY·4Q합 중 최대 r=0.98, n=8, 창 8)
[yoy]</t>
      </text>
    </comment>
    <comment ref="AK5" authorId="0" shapeId="0">
      <text>
        <t>추정: 고객지수 4분기 이동합(t−4) 178831억 × 비례계수 0.3421 × 계절비중 Q1 0.187(계절비중 — 최근 3개 연도(2026, 2025, 2024) 분기/연간 비중 평균; 격자 lag0~4×창8/12/19×수준·YoY·4Q합 중 최대 r=0.98, n=8, 창 8)
[yoy]</t>
      </text>
    </comment>
    <comment ref="AL5" authorId="0" shapeId="0">
      <text>
        <t>추정: 고객지수 4분기 이동합(t−4) 165091억 × 비례계수 0.3421 × 계절비중 Q2 0.235(계절비중 — 최근 3개 연도(2026, 2025, 2024) 분기/연간 비중 평균; 격자 lag0~4×창8/12/19×수준·YoY·4Q합 중 최대 r=0.98, n=8, 창 8)
[yoy]</t>
      </text>
    </comment>
    <comment ref="AM5" authorId="0" shapeId="0">
      <text>
        <t>추정: 고객지수 4분기 이동합(t−4) 164564억 × 비례계수 0.3421 × 계절비중 Q3 0.234(계절비중 — 최근 3개 연도(2026, 2025, 2024) 분기/연간 비중 평균; 격자 lag0~4×창8/12/19×수준·YoY·4Q합 중 최대 r=0.98, n=8, 창 8)
[yoy]</t>
      </text>
    </comment>
    <comment ref="AN5" authorId="0" shapeId="0">
      <text>
        <t>추정: 고객지수 4분기 이동합(t−4) 163090억 × 비례계수 0.3421 × 계절비중 Q4 0.344(계절비중 — 최근 3개 연도(2026, 2025, 2024) 분기/연간 비중 평균; 격자 lag0~4×창8/12/19×수준·YoY·4Q합 중 최대 r=0.98,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유지)
[ratio]</t>
      </text>
    </comment>
    <comment ref="AD9" authorId="0" shapeId="0">
      <text>
        <t>추정: 매출액 × OPM(최근 8분기 OPM 중위 4.5% 유지)
[ratio]</t>
      </text>
    </comment>
    <comment ref="AF9" authorId="0" shapeId="0">
      <text>
        <t>추정: 매출액 × OPM(최근 8분기 OPM 중위 4.5% 유지)
[ratio]</t>
      </text>
    </comment>
    <comment ref="AG9" authorId="0" shapeId="0">
      <text>
        <t>추정: 매출액 × OPM(최근 8분기 OPM 중위 4.5% 유지)
[ratio]</t>
      </text>
    </comment>
    <comment ref="AH9" authorId="0" shapeId="0">
      <text>
        <t>추정: 매출액 × OPM(최근 8분기 OPM 중위 4.5% 유지)
[ratio]</t>
      </text>
    </comment>
    <comment ref="AI9" authorId="0" shapeId="0">
      <text>
        <t>추정: 매출액 × OPM(최근 8분기 OPM 중위 4.5% 유지)
[ratio]</t>
      </text>
    </comment>
    <comment ref="AK9" authorId="0" shapeId="0">
      <text>
        <t>추정: 매출액 × OPM(최근 8분기 OPM 중위 4.5% 유지)
[ratio]</t>
      </text>
    </comment>
    <comment ref="AL9" authorId="0" shapeId="0">
      <text>
        <t>추정: 매출액 × OPM(최근 8분기 OPM 중위 4.5% 유지)
[ratio]</t>
      </text>
    </comment>
    <comment ref="AM9" authorId="0" shapeId="0">
      <text>
        <t>추정: 매출액 × OPM(최근 8분기 OPM 중위 4.5% 유지)
[ratio]</t>
      </text>
    </comment>
    <comment ref="AN9" authorId="0" shapeId="0">
      <text>
        <t>추정: 매출액 × OPM(최근 8분기 OPM 중위 4.5% 유지)
[ratio]</t>
      </text>
    </comment>
    <comment ref="AC10" authorId="0" shapeId="0">
      <text>
        <t>추정: 최근 8분기 OPM 중위 4.5% 유지
[divide]</t>
      </text>
    </comment>
    <comment ref="AD10" authorId="0" shapeId="0">
      <text>
        <t>추정: 최근 8분기 OPM 중위 4.5% 유지
[divide]</t>
      </text>
    </comment>
    <comment ref="AF10" authorId="0" shapeId="0">
      <text>
        <t>추정: 최근 8분기 OPM 중위 4.5% 유지
[divide]</t>
      </text>
    </comment>
    <comment ref="AG10" authorId="0" shapeId="0">
      <text>
        <t>추정: 최근 8분기 OPM 중위 4.5% 유지
[divide]</t>
      </text>
    </comment>
    <comment ref="AH10" authorId="0" shapeId="0">
      <text>
        <t>추정: 최근 8분기 OPM 중위 4.5% 유지
[divide]</t>
      </text>
    </comment>
    <comment ref="AI10" authorId="0" shapeId="0">
      <text>
        <t>추정: 최근 8분기 OPM 중위 4.5% 유지
[divide]</t>
      </text>
    </comment>
    <comment ref="AK10" authorId="0" shapeId="0">
      <text>
        <t>추정: 최근 8분기 OPM 중위 4.5% 유지
[divide]</t>
      </text>
    </comment>
    <comment ref="AL10" authorId="0" shapeId="0">
      <text>
        <t>추정: 최근 8분기 OPM 중위 4.5% 유지
[divide]</t>
      </text>
    </comment>
    <comment ref="AM10" authorId="0" shapeId="0">
      <text>
        <t>추정: 최근 8분기 OPM 중위 4.5% 유지
[divide]</t>
      </text>
    </comment>
    <comment ref="AN10" authorId="0" shapeId="0">
      <text>
        <t>추정: 최근 8분기 OPM 중위 4.5%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21836억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22198억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22311억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21629억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21911억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22455억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22688억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22053억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22346억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21836억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22198억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22311억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21629억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21911억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22455억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22688억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22053억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22346억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4분기(2025Q2~2026Q1) CAPEX 중위 유지 — 순차입금 롤에 미반영(감가상각비 없음 → CAPEX≈감가 가정)
[yoy]</t>
      </text>
    </comment>
    <comment ref="AD29" authorId="0" shapeId="0">
      <text>
        <t>추정: 최근 4분기(2025Q2~2026Q1) CAPEX 중위 유지 — 순차입금 롤에 미반영(감가상각비 없음 → CAPEX≈감가 가정)
[yoy]</t>
      </text>
    </comment>
    <comment ref="AF29" authorId="0" shapeId="0">
      <text>
        <t>추정: 최근 4분기(2025Q2~2026Q1) CAPEX 중위 유지 — 순차입금 롤에 미반영(감가상각비 없음 → CAPEX≈감가 가정)
[yoy]</t>
      </text>
    </comment>
    <comment ref="AG29" authorId="0" shapeId="0">
      <text>
        <t>추정: 최근 4분기(2025Q2~2026Q1) CAPEX 중위 유지 — 순차입금 롤에 미반영(감가상각비 없음 → CAPEX≈감가 가정)
[yoy]</t>
      </text>
    </comment>
    <comment ref="AH29" authorId="0" shapeId="0">
      <text>
        <t>추정: 최근 4분기(2025Q2~2026Q1) CAPEX 중위 유지 — 순차입금 롤에 미반영(감가상각비 없음 → CAPEX≈감가 가정)
[yoy]</t>
      </text>
    </comment>
    <comment ref="AI29" authorId="0" shapeId="0">
      <text>
        <t>추정: 최근 4분기(2025Q2~2026Q1) CAPEX 중위 유지 — 순차입금 롤에 미반영(감가상각비 없음 → CAPEX≈감가 가정)
[yoy]</t>
      </text>
    </comment>
    <comment ref="AK29" authorId="0" shapeId="0">
      <text>
        <t>추정: 최근 4분기(2025Q2~2026Q1) CAPEX 중위 유지 — 순차입금 롤에 미반영(감가상각비 없음 → CAPEX≈감가 가정)
[yoy]</t>
      </text>
    </comment>
    <comment ref="AL29" authorId="0" shapeId="0">
      <text>
        <t>추정: 최근 4분기(2025Q2~2026Q1) CAPEX 중위 유지 — 순차입금 롤에 미반영(감가상각비 없음 → CAPEX≈감가 가정)
[yoy]</t>
      </text>
    </comment>
    <comment ref="AM29" authorId="0" shapeId="0">
      <text>
        <t>추정: 최근 4분기(2025Q2~2026Q1) CAPEX 중위 유지 — 순차입금 롤에 미반영(감가상각비 없음 → CAPEX≈감가 가정)
[yoy]</t>
      </text>
    </comment>
    <comment ref="AN29" authorId="0" shapeId="0">
      <text>
        <t>추정: 최근 4분기(2025Q2~2026Q1)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500원 유지
[abs]</t>
      </text>
    </comment>
    <comment ref="AI34" authorId="0" shapeId="0">
      <text>
        <t>추정: 직전 결산 DPS 500원 유지
[abs]</t>
      </text>
    </comment>
    <comment ref="AN34" authorId="0" shapeId="0">
      <text>
        <t>추정: 직전 결산 DPS 500원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+235/+6/+109/-169(중위 +58억) → 추정 2026Q3 -223억(차 -281억, -487%)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{"freeze": "2024Q2", "n": 4, "wape_link": 15.9, "wape_trend": 6.4,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82000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83000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80350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0.259103556</v>
      </c>
      <c r="AD21" s="24" t="n">
        <v>0.077150073</v>
      </c>
      <c r="AE21" s="25" t="n"/>
      <c r="AF21" s="24" t="n">
        <v>0.019764374</v>
      </c>
      <c r="AG21" s="24" t="n">
        <v>0.077089358</v>
      </c>
      <c r="AH21" s="24" t="n">
        <v>0.26688849</v>
      </c>
      <c r="AI21" s="24" t="n">
        <v>0.32951657</v>
      </c>
      <c r="AJ21" s="25" t="n"/>
      <c r="AK21" s="24" t="n">
        <v>0.391639157</v>
      </c>
      <c r="AL21" s="24" t="n">
        <v>0.100651074</v>
      </c>
      <c r="AM21" s="24" t="n">
        <v>0.021701944</v>
      </c>
      <c r="AN21" s="24" t="n">
        <v>-0.040417313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0.044952725</v>
      </c>
      <c r="AD23" s="24" t="n">
        <v>0.044952549</v>
      </c>
      <c r="AE23" s="25">
        <f>IFERROR(subQ!AE9/subQ!AE5,"")</f>
        <v/>
      </c>
      <c r="AF23" s="24" t="n">
        <v>0.044952257</v>
      </c>
      <c r="AG23" s="24" t="n">
        <v>0.044952119</v>
      </c>
      <c r="AH23" s="24" t="n">
        <v>0.044952253</v>
      </c>
      <c r="AI23" s="24" t="n">
        <v>0.044952243</v>
      </c>
      <c r="AJ23" s="25">
        <f>IFERROR(subQ!AJ9/subQ!AJ5,"")</f>
        <v/>
      </c>
      <c r="AK23" s="24" t="n">
        <v>0.044952374</v>
      </c>
      <c r="AL23" s="24" t="n">
        <v>0.044952021</v>
      </c>
      <c r="AM23" s="24" t="n">
        <v>0.044952287</v>
      </c>
      <c r="AN23" s="24" t="n">
        <v>0.044952119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-12.11</v>
      </c>
      <c r="AD26" s="30" t="n">
        <v>-12.11</v>
      </c>
      <c r="AE26" s="31">
        <f>subQ!AE15</f>
        <v/>
      </c>
      <c r="AF26" s="30" t="n">
        <v>-12.11</v>
      </c>
      <c r="AG26" s="30" t="n">
        <v>-12.11</v>
      </c>
      <c r="AH26" s="30" t="n">
        <v>-12.11</v>
      </c>
      <c r="AI26" s="30" t="n">
        <v>-12.11</v>
      </c>
      <c r="AJ26" s="31">
        <f>subQ!AJ15</f>
        <v/>
      </c>
      <c r="AK26" s="30" t="n">
        <v>-12.11</v>
      </c>
      <c r="AL26" s="30" t="n">
        <v>-12.11</v>
      </c>
      <c r="AM26" s="30" t="n">
        <v>-12.11</v>
      </c>
      <c r="AN26" s="30" t="n">
        <v>-12.11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-2.3e-08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0.009521796000000001</v>
      </c>
      <c r="AD31" s="30" t="n">
        <v>0.001767136</v>
      </c>
      <c r="AE31" s="31" t="n"/>
      <c r="AF31" s="30" t="n">
        <v>0.006666156</v>
      </c>
      <c r="AG31" s="30" t="n">
        <v>934.962741254</v>
      </c>
      <c r="AH31" s="30" t="n">
        <v>0.003395051</v>
      </c>
      <c r="AI31" s="30" t="n">
        <v>-0.0018489</v>
      </c>
      <c r="AJ31" s="31" t="n"/>
      <c r="AK31" s="30" t="n">
        <v>0.01158005</v>
      </c>
      <c r="AL31" s="30" t="n">
        <v>934.959049005</v>
      </c>
      <c r="AM31" s="30" t="n">
        <v>0.008346219</v>
      </c>
      <c r="AN31" s="30" t="n">
        <v>0.00020001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0.009621796</v>
      </c>
      <c r="AD32" s="30" t="n">
        <v>0.001767136</v>
      </c>
      <c r="AE32" s="31" t="n"/>
      <c r="AF32" s="30" t="n">
        <v>0.006666156</v>
      </c>
      <c r="AG32" s="30" t="n">
        <v>934.962741254</v>
      </c>
      <c r="AH32" s="30" t="n">
        <v>0.003395051</v>
      </c>
      <c r="AI32" s="30" t="n">
        <v>-0.0018489</v>
      </c>
      <c r="AJ32" s="31" t="n"/>
      <c r="AK32" s="30" t="n">
        <v>0.01158005</v>
      </c>
      <c r="AL32" s="30" t="n">
        <v>934.959049005</v>
      </c>
      <c r="AM32" s="30" t="n">
        <v>0.008346219</v>
      </c>
      <c r="AN32" s="30" t="n">
        <v>0.00020001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1.07e-07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-0.010878609</v>
      </c>
      <c r="AD34" s="24" t="n">
        <v>-0.021930441</v>
      </c>
      <c r="AE34" s="25" t="n"/>
      <c r="AF34" s="24" t="n">
        <v>-0.006990907</v>
      </c>
      <c r="AG34" s="24" t="n">
        <v>0.042501997</v>
      </c>
      <c r="AH34" s="24" t="n">
        <v>-0.016820258</v>
      </c>
      <c r="AI34" s="24" t="n">
        <v>-0.033142947</v>
      </c>
      <c r="AJ34" s="25" t="n"/>
      <c r="AK34" s="24" t="n">
        <v>-0.01463287</v>
      </c>
      <c r="AL34" s="24" t="n">
        <v>0.040569309</v>
      </c>
      <c r="AM34" s="24" t="n">
        <v>-0.01801066</v>
      </c>
      <c r="AN34" s="24" t="n">
        <v>-0.032315917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0.008387087999999999</v>
      </c>
      <c r="AD35" s="24" t="n">
        <v>0.016584532</v>
      </c>
      <c r="AE35" s="25" t="n"/>
      <c r="AF35" s="24" t="n">
        <v>0.00508646</v>
      </c>
      <c r="AG35" s="24" t="n">
        <v>-0.03055256</v>
      </c>
      <c r="AH35" s="24" t="n">
        <v>0.013002672</v>
      </c>
      <c r="AI35" s="24" t="n">
        <v>0.024865545</v>
      </c>
      <c r="AJ35" s="25" t="n"/>
      <c r="AK35" s="24" t="n">
        <v>0.010356947</v>
      </c>
      <c r="AL35" s="24" t="n">
        <v>-0.028004194</v>
      </c>
      <c r="AM35" s="24" t="n">
        <v>0.013309499</v>
      </c>
      <c r="AN35" s="24" t="n">
        <v>0.023142658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0.053712178</v>
      </c>
      <c r="AD37" s="24" t="n">
        <v>-0.205865156</v>
      </c>
      <c r="AE37" s="25" t="n"/>
      <c r="AF37" s="24" t="n">
        <v>-0.03220323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2" t="n"/>
      <c r="AD40" s="30" t="n">
        <v>500</v>
      </c>
      <c r="AE40" s="31">
        <f>subQ!AE34</f>
        <v/>
      </c>
      <c r="AF40" s="32" t="n"/>
      <c r="AG40" s="32" t="n"/>
      <c r="AH40" s="32" t="n"/>
      <c r="AI40" s="30" t="n">
        <v>500</v>
      </c>
      <c r="AJ40" s="31">
        <f>subQ!AJ34</f>
        <v/>
      </c>
      <c r="AK40" s="32" t="n"/>
      <c r="AL40" s="32" t="n"/>
      <c r="AM40" s="32" t="n"/>
      <c r="AN40" s="30" t="n">
        <v>500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82000</v>
      </c>
      <c r="E43" s="2" t="inlineStr">
        <is>
          <t>원 — 네이버 정규장 종가(aik 확정종가 대조 · aik 78,900원)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12.2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26.6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0.1826167986110005</v>
      </c>
      <c r="E50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0.07578078765413036</v>
      </c>
      <c r="E51" s="2" t="inlineStr">
        <is>
          <t>연결 — 판관비 = 매출액 × 판관비율(역산, 재현 오차 ≤ 0.05억 · 모델 assumptions 0.0758)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0.02312830803283635</v>
      </c>
      <c r="E53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0.04269861740915402</v>
      </c>
      <c r="E54" s="2" t="inlineStr">
        <is>
          <t>연결 — 같은 수식의 부채 쪽(총차입금 행이 없으면 0)(역산, 재현 오차 ≤ 0.05억 · 모델 assumptions 0.0427)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0.386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 t="n"/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186.993</v>
      </c>
      <c r="F31" s="28">
        <f>E31</f>
        <v/>
      </c>
      <c r="G31" s="27" t="n">
        <v>186.993</v>
      </c>
      <c r="H31" s="27" t="n">
        <v>186.993</v>
      </c>
      <c r="I31" s="27" t="n">
        <v>186.993</v>
      </c>
      <c r="J31" s="27" t="n">
        <v>186.993</v>
      </c>
      <c r="K31" s="28">
        <f>J31</f>
        <v/>
      </c>
      <c r="L31" s="27" t="n">
        <v>186.993</v>
      </c>
      <c r="M31" s="27" t="n">
        <v>186.993</v>
      </c>
      <c r="N31" s="27" t="n">
        <v>186.993</v>
      </c>
      <c r="O31" s="27" t="n">
        <v>186.993</v>
      </c>
      <c r="P31" s="28">
        <f>O31</f>
        <v/>
      </c>
      <c r="Q31" s="27" t="n">
        <v>186.993</v>
      </c>
      <c r="R31" s="27" t="n">
        <v>186.993</v>
      </c>
      <c r="S31" s="27" t="n">
        <v>186.993</v>
      </c>
      <c r="T31" s="27" t="n">
        <v>186.993</v>
      </c>
      <c r="U31" s="28">
        <f>T31</f>
        <v/>
      </c>
      <c r="V31" s="27" t="n">
        <v>186.993</v>
      </c>
      <c r="W31" s="27" t="n">
        <v>186.993</v>
      </c>
      <c r="X31" s="27" t="n">
        <v>186.993</v>
      </c>
      <c r="Y31" s="27" t="n">
        <v>186.993</v>
      </c>
      <c r="Z31" s="28">
        <f>Y31</f>
        <v/>
      </c>
      <c r="AA31" s="27" t="n">
        <v>186.993</v>
      </c>
      <c r="AB31" s="29" t="n">
        <v>186.993</v>
      </c>
      <c r="AC31" s="32">
        <f>IFERROR(AB31*(1+변수!AC39),"")</f>
        <v/>
      </c>
      <c r="AD31" s="32">
        <f>IFERROR(AC31*(1+변수!AD39),"")</f>
        <v/>
      </c>
      <c r="AE31" s="31">
        <f>AD31</f>
        <v/>
      </c>
      <c r="AF31" s="32">
        <f>IFERROR(AD31*(1+변수!AF39),"")</f>
        <v/>
      </c>
      <c r="AG31" s="32">
        <f>IFERROR(AF31*(1+변수!AG39),"")</f>
        <v/>
      </c>
      <c r="AH31" s="32">
        <f>IFERROR(AG31*(1+변수!AH39),"")</f>
        <v/>
      </c>
      <c r="AI31" s="32">
        <f>IFERROR(AH31*(1+변수!AI39),"")</f>
        <v/>
      </c>
      <c r="AJ31" s="31">
        <f>AI31</f>
        <v/>
      </c>
      <c r="AK31" s="32">
        <f>IFERROR(AI31*(1+변수!AK39),"")</f>
        <v/>
      </c>
      <c r="AL31" s="32">
        <f>IFERROR(AK31*(1+변수!AL39),"")</f>
        <v/>
      </c>
      <c r="AM31" s="32">
        <f>IFERROR(AL31*(1+변수!AM39),"")</f>
        <v/>
      </c>
      <c r="AN31" s="32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160</v>
      </c>
      <c r="F34" s="37" t="n">
        <v>160</v>
      </c>
      <c r="G34" s="18" t="n"/>
      <c r="H34" s="18" t="n"/>
      <c r="I34" s="18" t="n"/>
      <c r="J34" s="18" t="n">
        <v>250</v>
      </c>
      <c r="K34" s="37">
        <f>SUM(G34:J34)</f>
        <v/>
      </c>
      <c r="L34" s="18" t="n"/>
      <c r="M34" s="18" t="n"/>
      <c r="N34" s="18" t="n"/>
      <c r="O34" s="18" t="n">
        <v>280</v>
      </c>
      <c r="P34" s="37">
        <f>SUM(L34:O34)</f>
        <v/>
      </c>
      <c r="Q34" s="18" t="n"/>
      <c r="R34" s="18" t="n"/>
      <c r="S34" s="18" t="n"/>
      <c r="T34" s="18" t="n">
        <v>350</v>
      </c>
      <c r="U34" s="37">
        <f>SUM(Q34:T34)</f>
        <v/>
      </c>
      <c r="V34" s="18" t="n"/>
      <c r="W34" s="18" t="n"/>
      <c r="X34" s="18" t="n"/>
      <c r="Y34" s="18" t="n">
        <v>500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6795.25</v>
      </c>
      <c r="F37" s="37" t="n"/>
      <c r="G37" s="18" t="n">
        <v>4295.64</v>
      </c>
      <c r="H37" s="18" t="n">
        <v>5104.94</v>
      </c>
      <c r="I37" s="18" t="n">
        <v>4594</v>
      </c>
      <c r="J37" s="18" t="n">
        <v>7885.44</v>
      </c>
      <c r="K37" s="37">
        <f>SUM(G37:J37)</f>
        <v/>
      </c>
      <c r="L37" s="18" t="n">
        <v>4395.16</v>
      </c>
      <c r="M37" s="18" t="n">
        <v>6106.77</v>
      </c>
      <c r="N37" s="18" t="n">
        <v>6208.23</v>
      </c>
      <c r="O37" s="18" t="n">
        <v>7820.63</v>
      </c>
      <c r="P37" s="37">
        <f>SUM(L37:O37)</f>
        <v/>
      </c>
      <c r="Q37" s="18" t="n">
        <v>5443.64</v>
      </c>
      <c r="R37" s="18" t="n">
        <v>6873.19</v>
      </c>
      <c r="S37" s="18" t="n">
        <v>6391.72</v>
      </c>
      <c r="T37" s="18" t="n">
        <v>9328.32</v>
      </c>
      <c r="U37" s="37">
        <f>SUM(Q37:T37)</f>
        <v/>
      </c>
      <c r="V37" s="18" t="n">
        <v>6901.01</v>
      </c>
      <c r="W37" s="18" t="n">
        <v>7681.91</v>
      </c>
      <c r="X37" s="18" t="n">
        <v>8077.37</v>
      </c>
      <c r="Y37" s="18" t="n">
        <v>13981.23</v>
      </c>
      <c r="Z37" s="37">
        <f>SUM(V37:Y37)</f>
        <v/>
      </c>
      <c r="AA37" s="18" t="n">
        <v>8070.99</v>
      </c>
      <c r="AB37" s="19" t="n">
        <v>11175.52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73.48</v>
      </c>
      <c r="F38" s="37" t="n"/>
      <c r="G38" s="18" t="n">
        <v>151.62</v>
      </c>
      <c r="H38" s="18" t="n">
        <v>164.27</v>
      </c>
      <c r="I38" s="18" t="n">
        <v>5.41</v>
      </c>
      <c r="J38" s="18" t="n">
        <v>-81.08</v>
      </c>
      <c r="K38" s="37">
        <f>SUM(G38:J38)</f>
        <v/>
      </c>
      <c r="L38" s="18" t="n">
        <v>83.86</v>
      </c>
      <c r="M38" s="18" t="n">
        <v>259.32</v>
      </c>
      <c r="N38" s="18" t="n">
        <v>373.33</v>
      </c>
      <c r="O38" s="18" t="n">
        <v>212.2</v>
      </c>
      <c r="P38" s="37">
        <f>SUM(L38:O38)</f>
        <v/>
      </c>
      <c r="Q38" s="18" t="n">
        <v>392.64</v>
      </c>
      <c r="R38" s="18" t="n">
        <v>798.37</v>
      </c>
      <c r="S38" s="18" t="n">
        <v>569.99</v>
      </c>
      <c r="T38" s="18" t="n">
        <v>432.45</v>
      </c>
      <c r="U38" s="37">
        <f>SUM(Q38:T38)</f>
        <v/>
      </c>
      <c r="V38" s="18" t="n">
        <v>581.64</v>
      </c>
      <c r="W38" s="18" t="n">
        <v>334.51</v>
      </c>
      <c r="X38" s="18" t="n">
        <v>225.21</v>
      </c>
      <c r="Y38" s="18" t="n">
        <v>57.62</v>
      </c>
      <c r="Z38" s="37">
        <f>SUM(V38:Y38)</f>
        <v/>
      </c>
      <c r="AA38" s="18" t="n">
        <v>342.84</v>
      </c>
      <c r="AB38" s="19" t="n">
        <v>1036.52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3">
        <f>IFERROR(AC19/AC5,"")</f>
        <v/>
      </c>
      <c r="AD40" s="33">
        <f>IFERROR(AD19/AD5,"")</f>
        <v/>
      </c>
      <c r="AE40" s="25">
        <f>IFERROR(AE19/AE5,"")</f>
        <v/>
      </c>
      <c r="AF40" s="33">
        <f>IFERROR(AF19/AF5,"")</f>
        <v/>
      </c>
      <c r="AG40" s="33">
        <f>IFERROR(AG19/AG5,"")</f>
        <v/>
      </c>
      <c r="AH40" s="33">
        <f>IFERROR(AH19/AH5,"")</f>
        <v/>
      </c>
      <c r="AI40" s="33">
        <f>IFERROR(AI19/AI5,"")</f>
        <v/>
      </c>
      <c r="AJ40" s="25">
        <f>IFERROR(AJ19/AJ5,"")</f>
        <v/>
      </c>
      <c r="AK40" s="33">
        <f>IFERROR(AK19/AK5,"")</f>
        <v/>
      </c>
      <c r="AL40" s="33">
        <f>IFERROR(AL19/AL5,"")</f>
        <v/>
      </c>
      <c r="AM40" s="33">
        <f>IFERROR(AM19/AM5,"")</f>
        <v/>
      </c>
      <c r="AN40" s="33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3">
        <f>IFERROR(AC6/AC5,"")</f>
        <v/>
      </c>
      <c r="AD41" s="33">
        <f>IFERROR(AD6/AD5,"")</f>
        <v/>
      </c>
      <c r="AE41" s="25">
        <f>IFERROR(AE6/AE5,"")</f>
        <v/>
      </c>
      <c r="AF41" s="33">
        <f>IFERROR(AF6/AF5,"")</f>
        <v/>
      </c>
      <c r="AG41" s="33">
        <f>IFERROR(AG6/AG5,"")</f>
        <v/>
      </c>
      <c r="AH41" s="33">
        <f>IFERROR(AH6/AH5,"")</f>
        <v/>
      </c>
      <c r="AI41" s="33">
        <f>IFERROR(AI6/AI5,"")</f>
        <v/>
      </c>
      <c r="AJ41" s="25">
        <f>IFERROR(AJ6/AJ5,"")</f>
        <v/>
      </c>
      <c r="AK41" s="33">
        <f>IFERROR(AK6/AK5,"")</f>
        <v/>
      </c>
      <c r="AL41" s="33">
        <f>IFERROR(AL6/AL5,"")</f>
        <v/>
      </c>
      <c r="AM41" s="33">
        <f>IFERROR(AM6/AM5,"")</f>
        <v/>
      </c>
      <c r="AN41" s="33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3">
        <f>IFERROR(AC8/AC5,"")</f>
        <v/>
      </c>
      <c r="AD42" s="33">
        <f>IFERROR(AD8/AD5,"")</f>
        <v/>
      </c>
      <c r="AE42" s="25">
        <f>IFERROR(AE8/AE5,"")</f>
        <v/>
      </c>
      <c r="AF42" s="33">
        <f>IFERROR(AF8/AF5,"")</f>
        <v/>
      </c>
      <c r="AG42" s="33">
        <f>IFERROR(AG8/AG5,"")</f>
        <v/>
      </c>
      <c r="AH42" s="33">
        <f>IFERROR(AH8/AH5,"")</f>
        <v/>
      </c>
      <c r="AI42" s="33">
        <f>IFERROR(AI8/AI5,"")</f>
        <v/>
      </c>
      <c r="AJ42" s="25">
        <f>IFERROR(AJ8/AJ5,"")</f>
        <v/>
      </c>
      <c r="AK42" s="33">
        <f>IFERROR(AK8/AK5,"")</f>
        <v/>
      </c>
      <c r="AL42" s="33">
        <f>IFERROR(AL8/AL5,"")</f>
        <v/>
      </c>
      <c r="AM42" s="33">
        <f>IFERROR(AM8/AM5,"")</f>
        <v/>
      </c>
      <c r="AN42" s="33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2">
        <f>IFERROR(VLOOKUP($A31,subQ,MATCH(X$1,SUBQH,0),0),"")</f>
        <v/>
      </c>
      <c r="Y31" s="32">
        <f>IFERROR(VLOOKUP($A31,subQ,MATCH(Y$1,SUBQH,0),0),"")</f>
        <v/>
      </c>
      <c r="Z31" s="32">
        <f>IFERROR(VLOOKUP($A31,subQ,MATCH(Z$1,SUBQH,0),0),"")</f>
        <v/>
      </c>
      <c r="AA31" s="32">
        <f>IFERROR(VLOOKUP($A31,subQ,MATCH(AA$1,SUBQH,0),0),"")</f>
        <v/>
      </c>
      <c r="AB31" s="32">
        <f>IFERROR(VLOOKUP($A31,subQ,MATCH(AB$1,SUBQH,0),0),"")</f>
        <v/>
      </c>
      <c r="AC31" s="32">
        <f>IFERROR(VLOOKUP($A31,subQ,MATCH(AC$1,SUBQH,0),0),"")</f>
        <v/>
      </c>
      <c r="AD31" s="32">
        <f>IFERROR(VLOOKUP($A31,subQ,MATCH(AD$1,SUBQH,0),0),"")</f>
        <v/>
      </c>
      <c r="AE31" s="32">
        <f>IFERROR(VLOOKUP($A31,subQ,MATCH(AE$1,SUBQH,0),0),"")</f>
        <v/>
      </c>
      <c r="AF31" s="32">
        <f>IFERROR(VLOOKUP($A31,subQ,MATCH(AF$1,SUBQH,0),0),"")</f>
        <v/>
      </c>
      <c r="AG31" s="32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3">
        <f>IFERROR(VLOOKUP($A39,subQ,MATCH(X$1,SUBQH,0),0),"")</f>
        <v/>
      </c>
      <c r="Y39" s="33">
        <f>IFERROR(VLOOKUP($A39,subQ,MATCH(Y$1,SUBQH,0),0),"")</f>
        <v/>
      </c>
      <c r="Z39" s="33">
        <f>IFERROR(VLOOKUP($A39,subQ,MATCH(Z$1,SUBQH,0),0),"")</f>
        <v/>
      </c>
      <c r="AA39" s="33">
        <f>IFERROR(VLOOKUP($A39,subQ,MATCH(AA$1,SUBQH,0),0),"")</f>
        <v/>
      </c>
      <c r="AB39" s="33">
        <f>IFERROR(VLOOKUP($A39,subQ,MATCH(AB$1,SUBQH,0),0),"")</f>
        <v/>
      </c>
      <c r="AC39" s="33">
        <f>IFERROR(VLOOKUP($A39,subQ,MATCH(AC$1,SUBQH,0),0),"")</f>
        <v/>
      </c>
      <c r="AD39" s="33">
        <f>IFERROR(VLOOKUP($A39,subQ,MATCH(AD$1,SUBQH,0),0),"")</f>
        <v/>
      </c>
      <c r="AE39" s="33">
        <f>IFERROR(VLOOKUP($A39,subQ,MATCH(AE$1,SUBQH,0),0),"")</f>
        <v/>
      </c>
      <c r="AF39" s="33">
        <f>IFERROR(VLOOKUP($A39,subQ,MATCH(AF$1,SUBQH,0),0),"")</f>
        <v/>
      </c>
      <c r="AG39" s="33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3">
        <f>IFERROR(X5/T5-1,"")</f>
        <v/>
      </c>
      <c r="Y40" s="33">
        <f>IFERROR(Y5/U5-1,"")</f>
        <v/>
      </c>
      <c r="Z40" s="33">
        <f>IFERROR(Z5/V5-1,"")</f>
        <v/>
      </c>
      <c r="AA40" s="33">
        <f>IFERROR(AA5/W5-1,"")</f>
        <v/>
      </c>
      <c r="AB40" s="33">
        <f>IFERROR(AB5/X5-1,"")</f>
        <v/>
      </c>
      <c r="AC40" s="33">
        <f>IFERROR(AC5/Y5-1,"")</f>
        <v/>
      </c>
      <c r="AD40" s="33">
        <f>IFERROR(AD5/Z5-1,"")</f>
        <v/>
      </c>
      <c r="AE40" s="33">
        <f>IFERROR(AE5/AA5-1,"")</f>
        <v/>
      </c>
      <c r="AF40" s="33">
        <f>IFERROR(AF5/AB5-1,"")</f>
        <v/>
      </c>
      <c r="AG40" s="33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3">
        <f>IFERROR(X9/T9-1,"")</f>
        <v/>
      </c>
      <c r="Y41" s="33">
        <f>IFERROR(Y9/U9-1,"")</f>
        <v/>
      </c>
      <c r="Z41" s="33">
        <f>IFERROR(Z9/V9-1,"")</f>
        <v/>
      </c>
      <c r="AA41" s="33">
        <f>IFERROR(AA9/W9-1,"")</f>
        <v/>
      </c>
      <c r="AB41" s="33">
        <f>IFERROR(AB9/X9-1,"")</f>
        <v/>
      </c>
      <c r="AC41" s="33">
        <f>IFERROR(AC9/Y9-1,"")</f>
        <v/>
      </c>
      <c r="AD41" s="33">
        <f>IFERROR(AD9/Z9-1,"")</f>
        <v/>
      </c>
      <c r="AE41" s="33">
        <f>IFERROR(AE9/AA9-1,"")</f>
        <v/>
      </c>
      <c r="AF41" s="33">
        <f>IFERROR(AF9/AB9-1,"")</f>
        <v/>
      </c>
      <c r="AG41" s="33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3">
        <f>IFERROR(X19/T19-1,"")</f>
        <v/>
      </c>
      <c r="Y42" s="33">
        <f>IFERROR(Y19/U19-1,"")</f>
        <v/>
      </c>
      <c r="Z42" s="33">
        <f>IFERROR(Z19/V19-1,"")</f>
        <v/>
      </c>
      <c r="AA42" s="33">
        <f>IFERROR(AA19/W19-1,"")</f>
        <v/>
      </c>
      <c r="AB42" s="33">
        <f>IFERROR(AB19/X19-1,"")</f>
        <v/>
      </c>
      <c r="AC42" s="33">
        <f>IFERROR(AC19/Y19-1,"")</f>
        <v/>
      </c>
      <c r="AD42" s="33">
        <f>IFERROR(AD19/Z19-1,"")</f>
        <v/>
      </c>
      <c r="AE42" s="33">
        <f>IFERROR(AE19/AA19-1,"")</f>
        <v/>
      </c>
      <c r="AF42" s="33">
        <f>IFERROR(AF19/AB19-1,"")</f>
        <v/>
      </c>
      <c r="AG42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2">
        <f>IFERROR(VLOOKUP($A31,subQ,MATCH(J$1,SUBQH,0),0),"")</f>
        <v/>
      </c>
      <c r="K31" s="32">
        <f>IFERROR(VLOOKUP($A31,subQ,MATCH(K$1,SUBQH,0),0),"")</f>
        <v/>
      </c>
      <c r="L31" s="32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3">
        <f>IFERROR(VLOOKUP($A39,subQ,MATCH(J$1,SUBQH,0),0),"")</f>
        <v/>
      </c>
      <c r="K39" s="33">
        <f>IFERROR(VLOOKUP($A39,subQ,MATCH(K$1,SUBQH,0),0),"")</f>
        <v/>
      </c>
      <c r="L39" s="33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3">
        <f>IFERROR(J5/I5-1,"")</f>
        <v/>
      </c>
      <c r="K40" s="33">
        <f>IFERROR(K5/J5-1,"")</f>
        <v/>
      </c>
      <c r="L40" s="33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3">
        <f>IFERROR(J9/I9-1,"")</f>
        <v/>
      </c>
      <c r="K41" s="33">
        <f>IFERROR(K9/J9-1,"")</f>
        <v/>
      </c>
      <c r="L41" s="33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3">
        <f>IFERROR(J19/I19-1,"")</f>
        <v/>
      </c>
      <c r="K42" s="33">
        <f>IFERROR(K19/J19-1,"")</f>
        <v/>
      </c>
      <c r="L42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486.7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168.48</v>
      </c>
    </row>
    <row r="32">
      <c r="C32" s="2" t="inlineStr">
        <is>
          <t>pbr_now</t>
        </is>
      </c>
      <c r="D32" t="n">
        <v>3.41</v>
      </c>
    </row>
    <row r="33">
      <c r="C33" s="2" t="inlineStr">
        <is>
          <t>roe_fwd</t>
        </is>
      </c>
      <c r="D33" t="n">
        <v>0.0203</v>
      </c>
    </row>
    <row r="34">
      <c r="C34" s="2" t="inlineStr">
        <is>
          <t>fair_pbr</t>
        </is>
      </c>
      <c r="D34" t="n">
        <v>0.23</v>
      </c>
    </row>
    <row r="35">
      <c r="C35" s="2" t="inlineStr">
        <is>
          <t>fair_value_pbr</t>
        </is>
      </c>
      <c r="D35" t="n">
        <v>5500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