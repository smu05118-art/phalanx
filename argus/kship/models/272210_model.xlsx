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최근 4분기(2025Q3~2026Q2) 잔차 중위</t>
      </text>
    </comment>
    <comment ref="AD25" authorId="0" shapeId="0">
      <text>
        <t>모델값 역산(implied): 모델 v 그대로
최근 4분기(2025Q3~2026Q2) 잔차 중위</t>
      </text>
    </comment>
    <comment ref="AF25" authorId="0" shapeId="0">
      <text>
        <t>모델값 역산(implied): 모델 v 그대로
최근 4분기(2025Q3~2026Q2) 잔차 중위</t>
      </text>
    </comment>
    <comment ref="AG25" authorId="0" shapeId="0">
      <text>
        <t>모델값 역산(implied): 모델 v 그대로
최근 4분기(2025Q3~2026Q2) 잔차 중위</t>
      </text>
    </comment>
    <comment ref="AH25" authorId="0" shapeId="0">
      <text>
        <t>모델값 역산(implied): 모델 v 그대로
최근 4분기(2025Q3~2026Q2) 잔차 중위</t>
      </text>
    </comment>
    <comment ref="AI25" authorId="0" shapeId="0">
      <text>
        <t>모델값 역산(implied): 모델 v 그대로
최근 4분기(2025Q3~2026Q2) 잔차 중위</t>
      </text>
    </comment>
    <comment ref="AK25" authorId="0" shapeId="0">
      <text>
        <t>모델값 역산(implied): 모델 v 그대로
최근 4분기(2025Q3~2026Q2) 잔차 중위</t>
      </text>
    </comment>
    <comment ref="AL25" authorId="0" shapeId="0">
      <text>
        <t>모델값 역산(implied): 모델 v 그대로
최근 4분기(2025Q3~2026Q2) 잔차 중위</t>
      </text>
    </comment>
    <comment ref="AM25" authorId="0" shapeId="0">
      <text>
        <t>모델값 역산(implied): 모델 v 그대로
최근 4분기(2025Q3~2026Q2) 잔차 중위</t>
      </text>
    </comment>
    <comment ref="AN25" authorId="0" shapeId="0">
      <text>
        <t>모델값 역산(implied): 모델 v 그대로
최근 4분기(2025Q3~2026Q2)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500원 유지</t>
      </text>
    </comment>
    <comment ref="AI41" authorId="0" shapeId="0">
      <text>
        <t>모델값 역산(implied): 모델 v 그대로
직전 결산 DPS 500원 유지</t>
      </text>
    </comment>
    <comment ref="AN41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AC10" authorId="0" shapeId="0">
      <text>
        <t>추정: 최근 8분기 OPM 중위 4.5% 유지(클립 −20~40%)
[divide]</t>
      </text>
    </comment>
    <comment ref="AD10" authorId="0" shapeId="0">
      <text>
        <t>추정: 최근 8분기 OPM 중위 4.5% 유지(클립 −20~40%)
[divide]</t>
      </text>
    </comment>
    <comment ref="AF10" authorId="0" shapeId="0">
      <text>
        <t>추정: 최근 8분기 OPM 중위 4.5% 유지(클립 −20~40%)
[divide]</t>
      </text>
    </comment>
    <comment ref="AG10" authorId="0" shapeId="0">
      <text>
        <t>추정: 최근 8분기 OPM 중위 4.5% 유지(클립 −20~40%)
[divide]</t>
      </text>
    </comment>
    <comment ref="AH10" authorId="0" shapeId="0">
      <text>
        <t>추정: 최근 8분기 OPM 중위 4.5% 유지(클립 −20~40%)
[divide]</t>
      </text>
    </comment>
    <comment ref="AI10" authorId="0" shapeId="0">
      <text>
        <t>추정: 최근 8분기 OPM 중위 4.5% 유지(클립 −20~40%)
[divide]</t>
      </text>
    </comment>
    <comment ref="AK10" authorId="0" shapeId="0">
      <text>
        <t>추정: 최근 8분기 OPM 중위 4.5% 유지(클립 −20~40%)
[divide]</t>
      </text>
    </comment>
    <comment ref="AL10" authorId="0" shapeId="0">
      <text>
        <t>추정: 최근 8분기 OPM 중위 4.5% 유지(클립 −20~40%)
[divide]</t>
      </text>
    </comment>
    <comment ref="AM10" authorId="0" shapeId="0">
      <text>
        <t>추정: 최근 8분기 OPM 중위 4.5% 유지(클립 −20~40%)
[divide]</t>
      </text>
    </comment>
    <comment ref="AN10" authorId="0" shapeId="0">
      <text>
        <t>추정: 최근 8분기 OPM 중위 4.5% 유지(클립 −20~40%)
[divide]</t>
      </text>
    </comment>
    <comment ref="AC11" authorId="0" shapeId="0">
      <text>
        <t>추정: 이자손익 + 외환손익 0 + 파생상품손익 0 + 기타금융손익 +44.45억(최근 4분기(2025Q3~2026Q2) 잔차 중위)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+44.45억(최근 4분기(2025Q3~2026Q2) 잔차 중위) (항등식); 이자손익 = 이자발생자산 21903억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+44.45억(최근 4분기(2025Q3~2026Q2) 잔차 중위) (항등식); 이자손익 = 이자발생자산 22449억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+44.45억(최근 4분기(2025Q3~2026Q2) 잔차 중위) (항등식); 이자손익 = 이자발생자산 22701억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+44.45억(최근 4분기(2025Q3~2026Q2) 잔차 중위) (항등식); 이자손익 = 이자발생자산 22175억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+44.45억(최근 4분기(2025Q3~2026Q2) 잔차 중위) (항등식); 이자손익 = 이자발생자산 22500억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+44.45억(최근 4분기(2025Q3~2026Q2) 잔차 중위) (항등식); 이자손익 = 이자발생자산 23175억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+44.45억(최근 4분기(2025Q3~2026Q2) 잔차 중위) (항등식); 이자손익 = 이자발생자산 23504억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+44.45억(최근 4분기(2025Q3~2026Q2) 잔차 중위) (항등식); 이자손익 = 이자발생자산 23084억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+44.45억(최근 4분기(2025Q3~2026Q2) 잔차 중위) (항등식); 이자손익 = 이자발생자산 23456억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21903억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22449억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22701억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22175억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22500억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23175억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23504억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23084억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23456억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H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I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L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Q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A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C14" authorId="0" shapeId="0">
      <text>
        <t>추정: 최근 4분기(2025Q3~2026Q2) 잔차 중위
[abs]</t>
      </text>
    </comment>
    <comment ref="AD14" authorId="0" shapeId="0">
      <text>
        <t>추정: 최근 4분기(2025Q3~2026Q2) 잔차 중위
[abs]</t>
      </text>
    </comment>
    <comment ref="AF14" authorId="0" shapeId="0">
      <text>
        <t>추정: 최근 4분기(2025Q3~2026Q2) 잔차 중위
[abs]</t>
      </text>
    </comment>
    <comment ref="AG14" authorId="0" shapeId="0">
      <text>
        <t>추정: 최근 4분기(2025Q3~2026Q2) 잔차 중위
[abs]</t>
      </text>
    </comment>
    <comment ref="AH14" authorId="0" shapeId="0">
      <text>
        <t>추정: 최근 4분기(2025Q3~2026Q2) 잔차 중위
[abs]</t>
      </text>
    </comment>
    <comment ref="AI14" authorId="0" shapeId="0">
      <text>
        <t>추정: 최근 4분기(2025Q3~2026Q2) 잔차 중위
[abs]</t>
      </text>
    </comment>
    <comment ref="AK14" authorId="0" shapeId="0">
      <text>
        <t>추정: 최근 4분기(2025Q3~2026Q2) 잔차 중위
[abs]</t>
      </text>
    </comment>
    <comment ref="AL14" authorId="0" shapeId="0">
      <text>
        <t>추정: 최근 4분기(2025Q3~2026Q2) 잔차 중위
[abs]</t>
      </text>
    </comment>
    <comment ref="AM14" authorId="0" shapeId="0">
      <text>
        <t>추정: 최근 4분기(2025Q3~2026Q2) 잔차 중위
[abs]</t>
      </text>
    </comment>
    <comment ref="AN14" authorId="0" shapeId="0">
      <text>
        <t>추정: 최근 4분기(2025Q3~2026Q2)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500원 유지
[abs]</t>
      </text>
    </comment>
    <comment ref="AI35" authorId="0" shapeId="0">
      <text>
        <t>추정: 직전 결산 DPS 500원 유지
[abs]</t>
      </text>
    </comment>
    <comment ref="AN35" authorId="0" shapeId="0">
      <text>
        <t>추정: 직전 결산 DPS 500원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자격 미달 — 고객 링크가 특수관계자 매출(related) 만이고 비중 합 0.03% &lt; 5.0% — 고객 연동 자격 미달): 전년동기 × (1+g) 추세 / 감가상각비가 face·CF 에 없음(주석 미파싱) → EBITDA·EV/EBITDA 미산출 / 금융손익 실적→추정 단절: 최근 4분기 실적 +235/+6/+109/-169(중위 +58억) → 추정 2026Q3 -178억(차 -236억, -409%)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{"wape_link": null, "wape_trend": null, "adopted": false, "decision": "rejected", "note": "자격 미달 → 격자·OOS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80800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71100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78712.5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0.363071857</v>
      </c>
      <c r="AD21" s="24" t="n">
        <v>0.363072039</v>
      </c>
      <c r="AE21" s="25" t="n"/>
      <c r="AF21" s="24" t="n">
        <v>0.363071619</v>
      </c>
      <c r="AG21" s="24" t="n">
        <v>0.363071663</v>
      </c>
      <c r="AH21" s="24" t="n">
        <v>0.18153629</v>
      </c>
      <c r="AI21" s="24" t="n">
        <v>0.181536116</v>
      </c>
      <c r="AJ21" s="25" t="n"/>
      <c r="AK21" s="24" t="n">
        <v>0.181536067</v>
      </c>
      <c r="AL21" s="24" t="n">
        <v>0.181536438</v>
      </c>
      <c r="AM21" s="24" t="n">
        <v>0.090768137</v>
      </c>
      <c r="AN21" s="24" t="n">
        <v>0.090767743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0.044952648</v>
      </c>
      <c r="AD23" s="24" t="n">
        <v>0.044952045</v>
      </c>
      <c r="AE23" s="25">
        <f>IFERROR(subQ!AE9/subQ!AE5,"")</f>
        <v/>
      </c>
      <c r="AF23" s="24" t="n">
        <v>0.044952706</v>
      </c>
      <c r="AG23" s="24" t="n">
        <v>0.044952317</v>
      </c>
      <c r="AH23" s="24" t="n">
        <v>0.044952052</v>
      </c>
      <c r="AI23" s="24" t="n">
        <v>0.044952198</v>
      </c>
      <c r="AJ23" s="25">
        <f>IFERROR(subQ!AJ9/subQ!AJ5,"")</f>
        <v/>
      </c>
      <c r="AK23" s="24" t="n">
        <v>0.044952179</v>
      </c>
      <c r="AL23" s="24" t="n">
        <v>0.044952379</v>
      </c>
      <c r="AM23" s="24" t="n">
        <v>0.044952158</v>
      </c>
      <c r="AN23" s="24" t="n">
        <v>0.044952434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44.45</v>
      </c>
      <c r="AD25" s="30" t="n">
        <v>44.45</v>
      </c>
      <c r="AE25" s="31">
        <f>subQ!AE14</f>
        <v/>
      </c>
      <c r="AF25" s="30" t="n">
        <v>44.45</v>
      </c>
      <c r="AG25" s="30" t="n">
        <v>44.45</v>
      </c>
      <c r="AH25" s="30" t="n">
        <v>44.45</v>
      </c>
      <c r="AI25" s="30" t="n">
        <v>44.45</v>
      </c>
      <c r="AJ25" s="31">
        <f>subQ!AJ14</f>
        <v/>
      </c>
      <c r="AK25" s="30" t="n">
        <v>44.45</v>
      </c>
      <c r="AL25" s="30" t="n">
        <v>44.45</v>
      </c>
      <c r="AM25" s="30" t="n">
        <v>44.45</v>
      </c>
      <c r="AN25" s="30" t="n">
        <v>44.45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-12.11</v>
      </c>
      <c r="AD27" s="30" t="n">
        <v>-12.11</v>
      </c>
      <c r="AE27" s="31">
        <f>subQ!AE16</f>
        <v/>
      </c>
      <c r="AF27" s="30" t="n">
        <v>-12.11</v>
      </c>
      <c r="AG27" s="30" t="n">
        <v>-12.11</v>
      </c>
      <c r="AH27" s="30" t="n">
        <v>-12.11</v>
      </c>
      <c r="AI27" s="30" t="n">
        <v>-12.11</v>
      </c>
      <c r="AJ27" s="31">
        <f>subQ!AJ16</f>
        <v/>
      </c>
      <c r="AK27" s="30" t="n">
        <v>-12.11</v>
      </c>
      <c r="AL27" s="30" t="n">
        <v>-12.11</v>
      </c>
      <c r="AM27" s="30" t="n">
        <v>-12.11</v>
      </c>
      <c r="AN27" s="30" t="n">
        <v>-12.11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-2.3e-08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0.006716294</v>
      </c>
      <c r="AD32" s="30" t="n">
        <v>-0.005551901</v>
      </c>
      <c r="AE32" s="31" t="n"/>
      <c r="AF32" s="30" t="n">
        <v>0.005733464</v>
      </c>
      <c r="AG32" s="30" t="n">
        <v>934.969713057</v>
      </c>
      <c r="AH32" s="30" t="n">
        <v>-0.006163254</v>
      </c>
      <c r="AI32" s="30" t="n">
        <v>0.002632521</v>
      </c>
      <c r="AJ32" s="31" t="n"/>
      <c r="AK32" s="30" t="n">
        <v>-0.00466542</v>
      </c>
      <c r="AL32" s="30" t="n">
        <v>934.974609677</v>
      </c>
      <c r="AM32" s="30" t="n">
        <v>-0.005038271</v>
      </c>
      <c r="AN32" s="30" t="n">
        <v>0.003419515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0.006816294</v>
      </c>
      <c r="AD33" s="30" t="n">
        <v>-0.005551901</v>
      </c>
      <c r="AE33" s="31" t="n"/>
      <c r="AF33" s="30" t="n">
        <v>0.005733464</v>
      </c>
      <c r="AG33" s="30" t="n">
        <v>934.969713057</v>
      </c>
      <c r="AH33" s="30" t="n">
        <v>-0.006163254</v>
      </c>
      <c r="AI33" s="30" t="n">
        <v>0.002632521</v>
      </c>
      <c r="AJ33" s="31" t="n"/>
      <c r="AK33" s="30" t="n">
        <v>-0.00466542</v>
      </c>
      <c r="AL33" s="30" t="n">
        <v>934.974609677</v>
      </c>
      <c r="AM33" s="30" t="n">
        <v>-0.005038271</v>
      </c>
      <c r="AN33" s="30" t="n">
        <v>0.003419515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1.07e-07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-0.014903231</v>
      </c>
      <c r="AD35" s="24" t="n">
        <v>-0.033179638</v>
      </c>
      <c r="AE35" s="25" t="n"/>
      <c r="AF35" s="24" t="n">
        <v>-0.015863892</v>
      </c>
      <c r="AG35" s="24" t="n">
        <v>0.033617672</v>
      </c>
      <c r="AH35" s="24" t="n">
        <v>-0.020075961</v>
      </c>
      <c r="AI35" s="24" t="n">
        <v>-0.042626327</v>
      </c>
      <c r="AJ35" s="25" t="n"/>
      <c r="AK35" s="24" t="n">
        <v>-0.021686121</v>
      </c>
      <c r="AL35" s="24" t="n">
        <v>0.028336713</v>
      </c>
      <c r="AM35" s="24" t="n">
        <v>-0.024394462</v>
      </c>
      <c r="AN35" s="24" t="n">
        <v>-0.050709194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0.011489923</v>
      </c>
      <c r="AD36" s="24" t="n">
        <v>0.024912798</v>
      </c>
      <c r="AE36" s="25" t="n"/>
      <c r="AF36" s="24" t="n">
        <v>0.0112362</v>
      </c>
      <c r="AG36" s="24" t="n">
        <v>-0.023172876</v>
      </c>
      <c r="AH36" s="24" t="n">
        <v>0.014642576</v>
      </c>
      <c r="AI36" s="24" t="n">
        <v>0.030027431</v>
      </c>
      <c r="AJ36" s="25" t="n"/>
      <c r="AK36" s="24" t="n">
        <v>0.014198263</v>
      </c>
      <c r="AL36" s="24" t="n">
        <v>-0.017896208</v>
      </c>
      <c r="AM36" s="24" t="n">
        <v>0.016131673</v>
      </c>
      <c r="AN36" s="24" t="n">
        <v>0.032197086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0.053712178</v>
      </c>
      <c r="AD38" s="24" t="n">
        <v>-0.205865156</v>
      </c>
      <c r="AE38" s="25" t="n"/>
      <c r="AF38" s="24" t="n">
        <v>-0.03220323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2" t="n"/>
      <c r="AD41" s="30" t="n">
        <v>500</v>
      </c>
      <c r="AE41" s="31">
        <f>subQ!AE35</f>
        <v/>
      </c>
      <c r="AF41" s="32" t="n"/>
      <c r="AG41" s="32" t="n"/>
      <c r="AH41" s="32" t="n"/>
      <c r="AI41" s="30" t="n">
        <v>500</v>
      </c>
      <c r="AJ41" s="31">
        <f>subQ!AJ35</f>
        <v/>
      </c>
      <c r="AK41" s="32" t="n"/>
      <c r="AL41" s="32" t="n"/>
      <c r="AM41" s="32" t="n"/>
      <c r="AN41" s="30" t="n">
        <v>500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80800</v>
      </c>
      <c r="E44" s="2" t="inlineStr">
        <is>
          <t>원 — 네이버 정규장 종가(aik 확정종가 대조 · aik 75,100원)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20261014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12.2</v>
      </c>
      <c r="E47" s="2" t="inlineStr">
        <is>
          <t>PER 밴드 하단(배) — hist_quarterly(분기 평균가 ÷ TTM EPS, 14분기,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26.6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0.182620689145824</v>
      </c>
      <c r="E51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0.07578073417866296</v>
      </c>
      <c r="E52" s="2" t="inlineStr">
        <is>
          <t>연결 — 판관비 = 매출액 × 판관비율(역산, 재현 오차 ≤ 0.05억 · 모델 assumptions 0.0758)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0.02312773562518853</v>
      </c>
      <c r="E54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0.04269831551303982</v>
      </c>
      <c r="E55" s="2" t="inlineStr">
        <is>
          <t>연결 — 같은 수식의 부채 쪽(총차입금 행이 없으면 0)(역산, 재현 오차 ≤ 0.05억 · 모델 assumptions 0.0427)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0.386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>
        <v>0</v>
      </c>
      <c r="H14" s="18" t="n">
        <v>0.08</v>
      </c>
      <c r="I14" s="18" t="n">
        <v>0</v>
      </c>
      <c r="J14" s="18" t="n">
        <v>0</v>
      </c>
      <c r="K14" s="37">
        <f>SUM(G14:J14)</f>
        <v/>
      </c>
      <c r="L14" s="18" t="n">
        <v>0</v>
      </c>
      <c r="M14" s="18" t="n">
        <v>0.05</v>
      </c>
      <c r="N14" s="18" t="n">
        <v>-0</v>
      </c>
      <c r="O14" s="18" t="n">
        <v>0</v>
      </c>
      <c r="P14" s="37">
        <f>SUM(L14:O14)</f>
        <v/>
      </c>
      <c r="Q14" s="18" t="n">
        <v>0</v>
      </c>
      <c r="R14" s="18" t="n">
        <v>0.04</v>
      </c>
      <c r="S14" s="18" t="n">
        <v>-0.01</v>
      </c>
      <c r="T14" s="18" t="n">
        <v>-0</v>
      </c>
      <c r="U14" s="37">
        <f>SUM(Q14:T14)</f>
        <v/>
      </c>
      <c r="V14" s="18" t="n">
        <v>97.76000000000001</v>
      </c>
      <c r="W14" s="18" t="n">
        <v>2.94</v>
      </c>
      <c r="X14" s="18" t="n">
        <v>186.98</v>
      </c>
      <c r="Y14" s="18" t="n">
        <v>1.78</v>
      </c>
      <c r="Z14" s="37">
        <f>SUM(V14:Y14)</f>
        <v/>
      </c>
      <c r="AA14" s="18" t="n">
        <v>78.38</v>
      </c>
      <c r="AB14" s="19" t="n">
        <v>10.52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 t="n"/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186.993</v>
      </c>
      <c r="F32" s="28">
        <f>E32</f>
        <v/>
      </c>
      <c r="G32" s="27" t="n">
        <v>186.993</v>
      </c>
      <c r="H32" s="27" t="n">
        <v>186.993</v>
      </c>
      <c r="I32" s="27" t="n">
        <v>186.993</v>
      </c>
      <c r="J32" s="27" t="n">
        <v>186.993</v>
      </c>
      <c r="K32" s="28">
        <f>J32</f>
        <v/>
      </c>
      <c r="L32" s="27" t="n">
        <v>186.993</v>
      </c>
      <c r="M32" s="27" t="n">
        <v>186.993</v>
      </c>
      <c r="N32" s="27" t="n">
        <v>186.993</v>
      </c>
      <c r="O32" s="27" t="n">
        <v>186.993</v>
      </c>
      <c r="P32" s="28">
        <f>O32</f>
        <v/>
      </c>
      <c r="Q32" s="27" t="n">
        <v>186.993</v>
      </c>
      <c r="R32" s="27" t="n">
        <v>186.993</v>
      </c>
      <c r="S32" s="27" t="n">
        <v>186.993</v>
      </c>
      <c r="T32" s="27" t="n">
        <v>186.993</v>
      </c>
      <c r="U32" s="28">
        <f>T32</f>
        <v/>
      </c>
      <c r="V32" s="27" t="n">
        <v>186.993</v>
      </c>
      <c r="W32" s="27" t="n">
        <v>186.993</v>
      </c>
      <c r="X32" s="27" t="n">
        <v>186.993</v>
      </c>
      <c r="Y32" s="27" t="n">
        <v>186.993</v>
      </c>
      <c r="Z32" s="28">
        <f>Y32</f>
        <v/>
      </c>
      <c r="AA32" s="27" t="n">
        <v>186.993</v>
      </c>
      <c r="AB32" s="29" t="n">
        <v>186.993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160</v>
      </c>
      <c r="F35" s="37" t="n">
        <v>160</v>
      </c>
      <c r="G35" s="18" t="n"/>
      <c r="H35" s="18" t="n"/>
      <c r="I35" s="18" t="n"/>
      <c r="J35" s="18" t="n">
        <v>250</v>
      </c>
      <c r="K35" s="37">
        <f>SUM(G35:J35)</f>
        <v/>
      </c>
      <c r="L35" s="18" t="n"/>
      <c r="M35" s="18" t="n"/>
      <c r="N35" s="18" t="n"/>
      <c r="O35" s="18" t="n">
        <v>280</v>
      </c>
      <c r="P35" s="37">
        <f>SUM(L35:O35)</f>
        <v/>
      </c>
      <c r="Q35" s="18" t="n"/>
      <c r="R35" s="18" t="n"/>
      <c r="S35" s="18" t="n"/>
      <c r="T35" s="18" t="n">
        <v>350</v>
      </c>
      <c r="U35" s="37">
        <f>SUM(Q35:T35)</f>
        <v/>
      </c>
      <c r="V35" s="18" t="n"/>
      <c r="W35" s="18" t="n"/>
      <c r="X35" s="18" t="n"/>
      <c r="Y35" s="18" t="n">
        <v>500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6795.25</v>
      </c>
      <c r="F38" s="37" t="n"/>
      <c r="G38" s="18" t="n">
        <v>4295.64</v>
      </c>
      <c r="H38" s="18" t="n">
        <v>5104.94</v>
      </c>
      <c r="I38" s="18" t="n">
        <v>4594</v>
      </c>
      <c r="J38" s="18" t="n">
        <v>7885.44</v>
      </c>
      <c r="K38" s="37">
        <f>SUM(G38:J38)</f>
        <v/>
      </c>
      <c r="L38" s="18" t="n">
        <v>4395.16</v>
      </c>
      <c r="M38" s="18" t="n">
        <v>6106.77</v>
      </c>
      <c r="N38" s="18" t="n">
        <v>6208.23</v>
      </c>
      <c r="O38" s="18" t="n">
        <v>7820.63</v>
      </c>
      <c r="P38" s="37">
        <f>SUM(L38:O38)</f>
        <v/>
      </c>
      <c r="Q38" s="18" t="n">
        <v>5443.64</v>
      </c>
      <c r="R38" s="18" t="n">
        <v>6873.19</v>
      </c>
      <c r="S38" s="18" t="n">
        <v>6391.72</v>
      </c>
      <c r="T38" s="18" t="n">
        <v>9328.32</v>
      </c>
      <c r="U38" s="37">
        <f>SUM(Q38:T38)</f>
        <v/>
      </c>
      <c r="V38" s="18" t="n">
        <v>6901.01</v>
      </c>
      <c r="W38" s="18" t="n">
        <v>7681.91</v>
      </c>
      <c r="X38" s="18" t="n">
        <v>8077.37</v>
      </c>
      <c r="Y38" s="18" t="n">
        <v>13981.23</v>
      </c>
      <c r="Z38" s="37">
        <f>SUM(V38:Y38)</f>
        <v/>
      </c>
      <c r="AA38" s="18" t="n">
        <v>8070.99</v>
      </c>
      <c r="AB38" s="19" t="n">
        <v>11175.52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73.48</v>
      </c>
      <c r="F39" s="37" t="n"/>
      <c r="G39" s="18" t="n">
        <v>151.62</v>
      </c>
      <c r="H39" s="18" t="n">
        <v>164.27</v>
      </c>
      <c r="I39" s="18" t="n">
        <v>5.41</v>
      </c>
      <c r="J39" s="18" t="n">
        <v>-81.08</v>
      </c>
      <c r="K39" s="37">
        <f>SUM(G39:J39)</f>
        <v/>
      </c>
      <c r="L39" s="18" t="n">
        <v>83.86</v>
      </c>
      <c r="M39" s="18" t="n">
        <v>259.32</v>
      </c>
      <c r="N39" s="18" t="n">
        <v>373.33</v>
      </c>
      <c r="O39" s="18" t="n">
        <v>212.2</v>
      </c>
      <c r="P39" s="37">
        <f>SUM(L39:O39)</f>
        <v/>
      </c>
      <c r="Q39" s="18" t="n">
        <v>392.64</v>
      </c>
      <c r="R39" s="18" t="n">
        <v>798.37</v>
      </c>
      <c r="S39" s="18" t="n">
        <v>569.99</v>
      </c>
      <c r="T39" s="18" t="n">
        <v>432.45</v>
      </c>
      <c r="U39" s="37">
        <f>SUM(Q39:T39)</f>
        <v/>
      </c>
      <c r="V39" s="18" t="n">
        <v>581.64</v>
      </c>
      <c r="W39" s="18" t="n">
        <v>334.51</v>
      </c>
      <c r="X39" s="18" t="n">
        <v>225.21</v>
      </c>
      <c r="Y39" s="18" t="n">
        <v>57.62</v>
      </c>
      <c r="Z39" s="37">
        <f>SUM(V39:Y39)</f>
        <v/>
      </c>
      <c r="AA39" s="18" t="n">
        <v>342.84</v>
      </c>
      <c r="AB39" s="19" t="n">
        <v>1036.52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3">
        <f>IFERROR(AC20/AC5,"")</f>
        <v/>
      </c>
      <c r="AD41" s="33">
        <f>IFERROR(AD20/AD5,"")</f>
        <v/>
      </c>
      <c r="AE41" s="25">
        <f>IFERROR(AE20/AE5,"")</f>
        <v/>
      </c>
      <c r="AF41" s="33">
        <f>IFERROR(AF20/AF5,"")</f>
        <v/>
      </c>
      <c r="AG41" s="33">
        <f>IFERROR(AG20/AG5,"")</f>
        <v/>
      </c>
      <c r="AH41" s="33">
        <f>IFERROR(AH20/AH5,"")</f>
        <v/>
      </c>
      <c r="AI41" s="33">
        <f>IFERROR(AI20/AI5,"")</f>
        <v/>
      </c>
      <c r="AJ41" s="25">
        <f>IFERROR(AJ20/AJ5,"")</f>
        <v/>
      </c>
      <c r="AK41" s="33">
        <f>IFERROR(AK20/AK5,"")</f>
        <v/>
      </c>
      <c r="AL41" s="33">
        <f>IFERROR(AL20/AL5,"")</f>
        <v/>
      </c>
      <c r="AM41" s="33">
        <f>IFERROR(AM20/AM5,"")</f>
        <v/>
      </c>
      <c r="AN41" s="33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6">
        <f>IFERROR(W20/S20-1,"")</f>
        <v/>
      </c>
      <c r="X43" s="33">
        <f>IFERROR(X20/T20-1,"")</f>
        <v/>
      </c>
      <c r="Y43" s="33">
        <f>IFERROR(Y20/U20-1,"")</f>
        <v/>
      </c>
      <c r="Z43" s="33">
        <f>IFERROR(Z20/V20-1,"")</f>
        <v/>
      </c>
      <c r="AA43" s="33">
        <f>IFERROR(AA20/W20-1,"")</f>
        <v/>
      </c>
      <c r="AB43" s="33">
        <f>IFERROR(AB20/X20-1,"")</f>
        <v/>
      </c>
      <c r="AC43" s="33">
        <f>IFERROR(AC20/Y20-1,"")</f>
        <v/>
      </c>
      <c r="AD43" s="33">
        <f>IFERROR(AD20/Z20-1,"")</f>
        <v/>
      </c>
      <c r="AE43" s="33">
        <f>IFERROR(AE20/AA20-1,"")</f>
        <v/>
      </c>
      <c r="AF43" s="33">
        <f>IFERROR(AF20/AB20-1,"")</f>
        <v/>
      </c>
      <c r="AG43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6">
        <f>IFERROR(I20/H20-1,"")</f>
        <v/>
      </c>
      <c r="J43" s="33">
        <f>IFERROR(J20/I20-1,"")</f>
        <v/>
      </c>
      <c r="K43" s="33">
        <f>IFERROR(K20/J20-1,"")</f>
        <v/>
      </c>
      <c r="L43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778.5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103.79</v>
      </c>
    </row>
    <row r="32">
      <c r="C32" s="2" t="inlineStr">
        <is>
          <t>pbr_now</t>
        </is>
      </c>
      <c r="D32" t="n">
        <v>3.36</v>
      </c>
    </row>
    <row r="33">
      <c r="C33" s="2" t="inlineStr">
        <is>
          <t>roe_fwd</t>
        </is>
      </c>
      <c r="D33" t="n">
        <v>0.0324</v>
      </c>
    </row>
    <row r="34">
      <c r="C34" s="2" t="inlineStr">
        <is>
          <t>fair_pbr</t>
        </is>
      </c>
      <c r="D34" t="n">
        <v>0.36</v>
      </c>
    </row>
    <row r="35">
      <c r="C35" s="2" t="inlineStr">
        <is>
          <t>fair_value_pbr</t>
        </is>
      </c>
      <c r="D35" t="n">
        <v>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