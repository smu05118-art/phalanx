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BS연결!$C$5:$AO$108</definedName>
    <definedName name="BS별도H">BS별도!$C$1:$AO$1</definedName>
    <definedName name="BS별도">BS별도!$C$5:$AO$91</definedName>
    <definedName name="SUBQH">subQ!$A$1:$AO$1</definedName>
    <definedName name="subQ">subQ!$A$5:$AO$43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(1+36.3%) — g=최근 4분기 합 YoY 36.3% 클립(−30~+50%), 연차별 절반 감쇠(가정)</t>
      </text>
    </comment>
    <comment ref="AD21" authorId="0" shapeId="0">
      <text>
        <t>모델값 역산(implied): v / 전년동기 − 1
전년동기 × (1+36.3%) — g=최근 4분기 합 YoY 36.3% 클립(−30~+50%), 연차별 절반 감쇠(가정)</t>
      </text>
    </comment>
    <comment ref="AF21" authorId="0" shapeId="0">
      <text>
        <t>모델값 역산(implied): v / 전년동기 − 1
전년동기 × (1+36.3%) — g=최근 4분기 합 YoY 36.3% 클립(−30~+50%), 연차별 절반 감쇠(가정)</t>
      </text>
    </comment>
    <comment ref="AG21" authorId="0" shapeId="0">
      <text>
        <t>모델값 역산(implied): v / 전년동기 − 1
전년동기 × (1+36.3%) — g=최근 4분기 합 YoY 36.3% 클립(−30~+50%), 연차별 절반 감쇠(가정)</t>
      </text>
    </comment>
    <comment ref="AH21" authorId="0" shapeId="0">
      <text>
        <t>모델값 역산(implied): v / 전년동기 − 1
전년동기 × (1+18.2%) — g=최근 4분기 합 YoY 36.3% 클립(−30~+50%), 연차별 절반 감쇠(가정)</t>
      </text>
    </comment>
    <comment ref="AI21" authorId="0" shapeId="0">
      <text>
        <t>모델값 역산(implied): v / 전년동기 − 1
전년동기 × (1+18.2%) — g=최근 4분기 합 YoY 36.3% 클립(−30~+50%), 연차별 절반 감쇠(가정)</t>
      </text>
    </comment>
    <comment ref="AK21" authorId="0" shapeId="0">
      <text>
        <t>모델값 역산(implied): v / 전년동기 − 1
전년동기 × (1+18.2%) — g=최근 4분기 합 YoY 36.3% 클립(−30~+50%), 연차별 절반 감쇠(가정)</t>
      </text>
    </comment>
    <comment ref="AL21" authorId="0" shapeId="0">
      <text>
        <t>모델값 역산(implied): v / 전년동기 − 1
전년동기 × (1+18.2%) — g=최근 4분기 합 YoY 36.3% 클립(−30~+50%), 연차별 절반 감쇠(가정)</t>
      </text>
    </comment>
    <comment ref="AM21" authorId="0" shapeId="0">
      <text>
        <t>모델값 역산(implied): v / 전년동기 − 1
전년동기 × (1+9.1%) — g=최근 4분기 합 YoY 36.3% 클립(−30~+50%), 연차별 절반 감쇠(가정)</t>
      </text>
    </comment>
    <comment ref="AN21" authorId="0" shapeId="0">
      <text>
        <t>모델값 역산(implied): v / 전년동기 − 1
전년동기 × (1+9.1%) — g=최근 4분기 합 YoY 36.3% 클립(−30~+50%), 연차별 절반 감쇠(가정)</t>
      </text>
    </comment>
    <comment ref="AC22" authorId="0" shapeId="0">
      <text>
        <t>3절 스칼라 '판관비율' 참조 — 숫자로 덮어쓰면 이 분기만 바뀐다
매출액 × 판관비율 7.58%(최근 4분기 중위)</t>
      </text>
    </comment>
    <comment ref="AD22" authorId="0" shapeId="0">
      <text>
        <t>3절 스칼라 '판관비율' 참조 — 숫자로 덮어쓰면 이 분기만 바뀐다
매출액 × 판관비율 7.58%(최근 4분기 중위)</t>
      </text>
    </comment>
    <comment ref="AF22" authorId="0" shapeId="0">
      <text>
        <t>3절 스칼라 '판관비율' 참조 — 숫자로 덮어쓰면 이 분기만 바뀐다
매출액 × 판관비율 7.58%(최근 4분기 중위)</t>
      </text>
    </comment>
    <comment ref="AG22" authorId="0" shapeId="0">
      <text>
        <t>3절 스칼라 '판관비율' 참조 — 숫자로 덮어쓰면 이 분기만 바뀐다
매출액 × 판관비율 7.58%(최근 4분기 중위)</t>
      </text>
    </comment>
    <comment ref="AH22" authorId="0" shapeId="0">
      <text>
        <t>3절 스칼라 '판관비율' 참조 — 숫자로 덮어쓰면 이 분기만 바뀐다
매출액 × 판관비율 7.58%(최근 4분기 중위)</t>
      </text>
    </comment>
    <comment ref="AI22" authorId="0" shapeId="0">
      <text>
        <t>3절 스칼라 '판관비율' 참조 — 숫자로 덮어쓰면 이 분기만 바뀐다
매출액 × 판관비율 7.58%(최근 4분기 중위)</t>
      </text>
    </comment>
    <comment ref="AK22" authorId="0" shapeId="0">
      <text>
        <t>3절 스칼라 '판관비율' 참조 — 숫자로 덮어쓰면 이 분기만 바뀐다
매출액 × 판관비율 7.58%(최근 4분기 중위)</t>
      </text>
    </comment>
    <comment ref="AL22" authorId="0" shapeId="0">
      <text>
        <t>3절 스칼라 '판관비율' 참조 — 숫자로 덮어쓰면 이 분기만 바뀐다
매출액 × 판관비율 7.58%(최근 4분기 중위)</t>
      </text>
    </comment>
    <comment ref="AM22" authorId="0" shapeId="0">
      <text>
        <t>3절 스칼라 '판관비율' 참조 — 숫자로 덮어쓰면 이 분기만 바뀐다
매출액 × 판관비율 7.58%(최근 4분기 중위)</t>
      </text>
    </comment>
    <comment ref="AN22" authorId="0" shapeId="0">
      <text>
        <t>3절 스칼라 '판관비율' 참조 — 숫자로 덮어쓰면 이 분기만 바뀐다
매출액 × 판관비율 7.58%(최근 4분기 중위)</t>
      </text>
    </comment>
    <comment ref="AC23" authorId="0" shapeId="0">
      <text>
        <t>모델값 역산(implied): v / 매출액
매출액 × OPM(최근 8분기 OPM 중위 4.5% 유지(클립 −20~40%))</t>
      </text>
    </comment>
    <comment ref="AD23" authorId="0" shapeId="0">
      <text>
        <t>모델값 역산(implied): v / 매출액
매출액 × OPM(최근 8분기 OPM 중위 4.5% 유지(클립 −20~40%))</t>
      </text>
    </comment>
    <comment ref="AF23" authorId="0" shapeId="0">
      <text>
        <t>모델값 역산(implied): v / 매출액
매출액 × OPM(최근 8분기 OPM 중위 4.5% 유지(클립 −20~40%))</t>
      </text>
    </comment>
    <comment ref="AG23" authorId="0" shapeId="0">
      <text>
        <t>모델값 역산(implied): v / 매출액
매출액 × OPM(최근 8분기 OPM 중위 4.5% 유지(클립 −20~40%))</t>
      </text>
    </comment>
    <comment ref="AH23" authorId="0" shapeId="0">
      <text>
        <t>모델값 역산(implied): v / 매출액
매출액 × OPM(최근 8분기 OPM 중위 4.5% 유지(클립 −20~40%))</t>
      </text>
    </comment>
    <comment ref="AI23" authorId="0" shapeId="0">
      <text>
        <t>모델값 역산(implied): v / 매출액
매출액 × OPM(최근 8분기 OPM 중위 4.5% 유지(클립 −20~40%))</t>
      </text>
    </comment>
    <comment ref="AK23" authorId="0" shapeId="0">
      <text>
        <t>모델값 역산(implied): v / 매출액
매출액 × OPM(최근 8분기 OPM 중위 4.5% 유지(클립 −20~40%))</t>
      </text>
    </comment>
    <comment ref="AL23" authorId="0" shapeId="0">
      <text>
        <t>모델값 역산(implied): v / 매출액
매출액 × OPM(최근 8분기 OPM 중위 4.5% 유지(클립 −20~40%))</t>
      </text>
    </comment>
    <comment ref="AM23" authorId="0" shapeId="0">
      <text>
        <t>모델값 역산(implied): v / 매출액
매출액 × OPM(최근 8분기 OPM 중위 4.5% 유지(클립 −20~40%))</t>
      </text>
    </comment>
    <comment ref="AN23" authorId="0" shapeId="0">
      <text>
        <t>모델값 역산(implied): v / 매출액
매출액 × OPM(최근 8분기 OPM 중위 4.5%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최근 4분기(2025Q3~2026Q2) 잔차 중위</t>
      </text>
    </comment>
    <comment ref="AD25" authorId="0" shapeId="0">
      <text>
        <t>모델값 역산(implied): 모델 v 그대로
최근 4분기(2025Q3~2026Q2) 잔차 중위</t>
      </text>
    </comment>
    <comment ref="AF25" authorId="0" shapeId="0">
      <text>
        <t>모델값 역산(implied): 모델 v 그대로
최근 4분기(2025Q3~2026Q2) 잔차 중위</t>
      </text>
    </comment>
    <comment ref="AG25" authorId="0" shapeId="0">
      <text>
        <t>모델값 역산(implied): 모델 v 그대로
최근 4분기(2025Q3~2026Q2) 잔차 중위</t>
      </text>
    </comment>
    <comment ref="AH25" authorId="0" shapeId="0">
      <text>
        <t>모델값 역산(implied): 모델 v 그대로
최근 4분기(2025Q3~2026Q2) 잔차 중위</t>
      </text>
    </comment>
    <comment ref="AI25" authorId="0" shapeId="0">
      <text>
        <t>모델값 역산(implied): 모델 v 그대로
최근 4분기(2025Q3~2026Q2) 잔차 중위</t>
      </text>
    </comment>
    <comment ref="AK25" authorId="0" shapeId="0">
      <text>
        <t>모델값 역산(implied): 모델 v 그대로
최근 4분기(2025Q3~2026Q2) 잔차 중위</t>
      </text>
    </comment>
    <comment ref="AL25" authorId="0" shapeId="0">
      <text>
        <t>모델값 역산(implied): 모델 v 그대로
최근 4분기(2025Q3~2026Q2) 잔차 중위</t>
      </text>
    </comment>
    <comment ref="AM25" authorId="0" shapeId="0">
      <text>
        <t>모델값 역산(implied): 모델 v 그대로
최근 4분기(2025Q3~2026Q2) 잔차 중위</t>
      </text>
    </comment>
    <comment ref="AN25" authorId="0" shapeId="0">
      <text>
        <t>모델값 역산(implied): 모델 v 그대로
최근 4분기(2025Q3~2026Q2) 잔차 중위</t>
      </text>
    </comment>
    <comment ref="AC26" authorId="0" shapeId="0">
      <text>
        <t>모델값 역산(implied): 모델 v 그대로
일회성 미가정 → 0</t>
      </text>
    </comment>
    <comment ref="AD26" authorId="0" shapeId="0">
      <text>
        <t>모델값 역산(implied): 모델 v 그대로
일회성 미가정 → 0</t>
      </text>
    </comment>
    <comment ref="AF26" authorId="0" shapeId="0">
      <text>
        <t>모델값 역산(implied): 모델 v 그대로
일회성 미가정 → 0</t>
      </text>
    </comment>
    <comment ref="AG26" authorId="0" shapeId="0">
      <text>
        <t>모델값 역산(implied): 모델 v 그대로
일회성 미가정 → 0</t>
      </text>
    </comment>
    <comment ref="AH26" authorId="0" shapeId="0">
      <text>
        <t>모델값 역산(implied): 모델 v 그대로
일회성 미가정 → 0</t>
      </text>
    </comment>
    <comment ref="AI26" authorId="0" shapeId="0">
      <text>
        <t>모델값 역산(implied): 모델 v 그대로
일회성 미가정 → 0</t>
      </text>
    </comment>
    <comment ref="AK26" authorId="0" shapeId="0">
      <text>
        <t>모델값 역산(implied): 모델 v 그대로
일회성 미가정 → 0</t>
      </text>
    </comment>
    <comment ref="AL26" authorId="0" shapeId="0">
      <text>
        <t>모델값 역산(implied): 모델 v 그대로
일회성 미가정 → 0</t>
      </text>
    </comment>
    <comment ref="AM26" authorId="0" shapeId="0">
      <text>
        <t>모델값 역산(implied): 모델 v 그대로
일회성 미가정 → 0</t>
      </text>
    </comment>
    <comment ref="AN26" authorId="0" shapeId="0">
      <text>
        <t>모델값 역산(implied): 모델 v 그대로
일회성 미가정 → 0</t>
      </text>
    </comment>
    <comment ref="AC27" authorId="0" shapeId="0">
      <text>
        <t>모델값 역산(implied): 모델 v 그대로
최근 4분기 중위</t>
      </text>
    </comment>
    <comment ref="AD27" authorId="0" shapeId="0">
      <text>
        <t>모델값 역산(implied): 모델 v 그대로
최근 4분기 중위</t>
      </text>
    </comment>
    <comment ref="AF27" authorId="0" shapeId="0">
      <text>
        <t>모델값 역산(implied): 모델 v 그대로
최근 4분기 중위</t>
      </text>
    </comment>
    <comment ref="AG27" authorId="0" shapeId="0">
      <text>
        <t>모델값 역산(implied): 모델 v 그대로
최근 4분기 중위</t>
      </text>
    </comment>
    <comment ref="AH27" authorId="0" shapeId="0">
      <text>
        <t>모델값 역산(implied): 모델 v 그대로
최근 4분기 중위</t>
      </text>
    </comment>
    <comment ref="AI27" authorId="0" shapeId="0">
      <text>
        <t>모델값 역산(implied): 모델 v 그대로
최근 4분기 중위</t>
      </text>
    </comment>
    <comment ref="AK27" authorId="0" shapeId="0">
      <text>
        <t>모델값 역산(implied): 모델 v 그대로
최근 4분기 중위</t>
      </text>
    </comment>
    <comment ref="AL27" authorId="0" shapeId="0">
      <text>
        <t>모델값 역산(implied): 모델 v 그대로
최근 4분기 중위</t>
      </text>
    </comment>
    <comment ref="AM27" authorId="0" shapeId="0">
      <text>
        <t>모델값 역산(implied): 모델 v 그대로
최근 4분기 중위</t>
      </text>
    </comment>
    <comment ref="AN27" authorId="0" shapeId="0">
      <text>
        <t>모델값 역산(implied): 모델 v 그대로
최근 4분기 중위</t>
      </text>
    </comment>
    <comment ref="AC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D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F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G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H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I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K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L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M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N28" authorId="0" shapeId="0">
      <text>
        <t>3절 스칼라 '세율' 참조 — 숫자로 덮어쓰면 이 분기만 바뀐다
max(세전, 0) × 세율 18.3%(최근 12분기 유효세율 -3.1% 가 5~27% 밖 → 클립 대신 최근 8분기 중 세전 &gt; 0 인 6분기(2024Q3~2026Q2)의 법인세/세전 중위 18.3%)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775억은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G38" authorId="0" shapeId="0">
      <text>
        <t>모델값 역산(implied): v / 전분기 − 1 (전년동기 없음 → 전분기 대비)
최근 4분기(2025Q2~2026Q1)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4분기(2025Q2~2026Q1)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500원 유지</t>
      </text>
    </comment>
    <comment ref="AI41" authorId="0" shapeId="0">
      <text>
        <t>모델값 역산(implied): 모델 v 그대로
직전 결산 DPS 500원 유지</t>
      </text>
    </comment>
    <comment ref="AN41" authorId="0" shapeId="0">
      <text>
        <t>모델값 역산(implied): 모델 v 그대로
직전 결산 DPS 500원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(1+36.3%) — g=최근 4분기 합 YoY 36.3% 클립(−30~+50%), 연차별 절반 감쇠(가정)
[yoy]</t>
      </text>
    </comment>
    <comment ref="AD5" authorId="0" shapeId="0">
      <text>
        <t>추정: 전년동기 × (1+36.3%) — g=최근 4분기 합 YoY 36.3% 클립(−30~+50%), 연차별 절반 감쇠(가정)
[yoy]</t>
      </text>
    </comment>
    <comment ref="AF5" authorId="0" shapeId="0">
      <text>
        <t>추정: 전년동기 × (1+36.3%) — g=최근 4분기 합 YoY 36.3% 클립(−30~+50%), 연차별 절반 감쇠(가정)
[yoy]</t>
      </text>
    </comment>
    <comment ref="AG5" authorId="0" shapeId="0">
      <text>
        <t>추정: 전년동기 × (1+36.3%) — g=최근 4분기 합 YoY 36.3% 클립(−30~+50%), 연차별 절반 감쇠(가정)
[yoy]</t>
      </text>
    </comment>
    <comment ref="AH5" authorId="0" shapeId="0">
      <text>
        <t>추정: 전년동기 × (1+18.2%) — g=최근 4분기 합 YoY 36.3% 클립(−30~+50%), 연차별 절반 감쇠(가정)
[yoy]</t>
      </text>
    </comment>
    <comment ref="AI5" authorId="0" shapeId="0">
      <text>
        <t>추정: 전년동기 × (1+18.2%) — g=최근 4분기 합 YoY 36.3% 클립(−30~+50%), 연차별 절반 감쇠(가정)
[yoy]</t>
      </text>
    </comment>
    <comment ref="AK5" authorId="0" shapeId="0">
      <text>
        <t>추정: 전년동기 × (1+18.2%) — g=최근 4분기 합 YoY 36.3% 클립(−30~+50%), 연차별 절반 감쇠(가정)
[yoy]</t>
      </text>
    </comment>
    <comment ref="AL5" authorId="0" shapeId="0">
      <text>
        <t>추정: 전년동기 × (1+18.2%) — g=최근 4분기 합 YoY 36.3% 클립(−30~+50%), 연차별 절반 감쇠(가정)
[yoy]</t>
      </text>
    </comment>
    <comment ref="AM5" authorId="0" shapeId="0">
      <text>
        <t>추정: 전년동기 × (1+9.1%) — g=최근 4분기 합 YoY 36.3% 클립(−30~+50%), 연차별 절반 감쇠(가정)
[yoy]</t>
      </text>
    </comment>
    <comment ref="AN5" authorId="0" shapeId="0">
      <text>
        <t>추정: 전년동기 × (1+9.1%) — g=최근 4분기 합 YoY 36.3%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7.58%(최근 4분기 중위)
[ratio]</t>
      </text>
    </comment>
    <comment ref="AD8" authorId="0" shapeId="0">
      <text>
        <t>추정: 매출액 × 판관비율 7.58%(최근 4분기 중위)
[ratio]</t>
      </text>
    </comment>
    <comment ref="AF8" authorId="0" shapeId="0">
      <text>
        <t>추정: 매출액 × 판관비율 7.58%(최근 4분기 중위)
[ratio]</t>
      </text>
    </comment>
    <comment ref="AG8" authorId="0" shapeId="0">
      <text>
        <t>추정: 매출액 × 판관비율 7.58%(최근 4분기 중위)
[ratio]</t>
      </text>
    </comment>
    <comment ref="AH8" authorId="0" shapeId="0">
      <text>
        <t>추정: 매출액 × 판관비율 7.58%(최근 4분기 중위)
[ratio]</t>
      </text>
    </comment>
    <comment ref="AI8" authorId="0" shapeId="0">
      <text>
        <t>추정: 매출액 × 판관비율 7.58%(최근 4분기 중위)
[ratio]</t>
      </text>
    </comment>
    <comment ref="AK8" authorId="0" shapeId="0">
      <text>
        <t>추정: 매출액 × 판관비율 7.58%(최근 4분기 중위)
[ratio]</t>
      </text>
    </comment>
    <comment ref="AL8" authorId="0" shapeId="0">
      <text>
        <t>추정: 매출액 × 판관비율 7.58%(최근 4분기 중위)
[ratio]</t>
      </text>
    </comment>
    <comment ref="AM8" authorId="0" shapeId="0">
      <text>
        <t>추정: 매출액 × 판관비율 7.58%(최근 4분기 중위)
[ratio]</t>
      </text>
    </comment>
    <comment ref="AN8" authorId="0" shapeId="0">
      <text>
        <t>추정: 매출액 × 판관비율 7.58%(최근 4분기 중위)
[ratio]</t>
      </text>
    </comment>
    <comment ref="AC9" authorId="0" shapeId="0">
      <text>
        <t>추정: 매출액 × OPM(최근 8분기 OPM 중위 4.5% 유지(클립 −20~40%))
[ratio]</t>
      </text>
    </comment>
    <comment ref="AD9" authorId="0" shapeId="0">
      <text>
        <t>추정: 매출액 × OPM(최근 8분기 OPM 중위 4.5% 유지(클립 −20~40%))
[ratio]</t>
      </text>
    </comment>
    <comment ref="AF9" authorId="0" shapeId="0">
      <text>
        <t>추정: 매출액 × OPM(최근 8분기 OPM 중위 4.5% 유지(클립 −20~40%))
[ratio]</t>
      </text>
    </comment>
    <comment ref="AG9" authorId="0" shapeId="0">
      <text>
        <t>추정: 매출액 × OPM(최근 8분기 OPM 중위 4.5% 유지(클립 −20~40%))
[ratio]</t>
      </text>
    </comment>
    <comment ref="AH9" authorId="0" shapeId="0">
      <text>
        <t>추정: 매출액 × OPM(최근 8분기 OPM 중위 4.5% 유지(클립 −20~40%))
[ratio]</t>
      </text>
    </comment>
    <comment ref="AI9" authorId="0" shapeId="0">
      <text>
        <t>추정: 매출액 × OPM(최근 8분기 OPM 중위 4.5% 유지(클립 −20~40%))
[ratio]</t>
      </text>
    </comment>
    <comment ref="AK9" authorId="0" shapeId="0">
      <text>
        <t>추정: 매출액 × OPM(최근 8분기 OPM 중위 4.5% 유지(클립 −20~40%))
[ratio]</t>
      </text>
    </comment>
    <comment ref="AL9" authorId="0" shapeId="0">
      <text>
        <t>추정: 매출액 × OPM(최근 8분기 OPM 중위 4.5% 유지(클립 −20~40%))
[ratio]</t>
      </text>
    </comment>
    <comment ref="AM9" authorId="0" shapeId="0">
      <text>
        <t>추정: 매출액 × OPM(최근 8분기 OPM 중위 4.5% 유지(클립 −20~40%))
[ratio]</t>
      </text>
    </comment>
    <comment ref="AN9" authorId="0" shapeId="0">
      <text>
        <t>추정: 매출액 × OPM(최근 8분기 OPM 중위 4.5% 유지(클립 −20~40%))
[ratio]</t>
      </text>
    </comment>
    <comment ref="AC10" authorId="0" shapeId="0">
      <text>
        <t>추정: 최근 8분기 OPM 중위 4.5% 유지(클립 −20~40%)
[divide]</t>
      </text>
    </comment>
    <comment ref="AD10" authorId="0" shapeId="0">
      <text>
        <t>추정: 최근 8분기 OPM 중위 4.5% 유지(클립 −20~40%)
[divide]</t>
      </text>
    </comment>
    <comment ref="AF10" authorId="0" shapeId="0">
      <text>
        <t>추정: 최근 8분기 OPM 중위 4.5% 유지(클립 −20~40%)
[divide]</t>
      </text>
    </comment>
    <comment ref="AG10" authorId="0" shapeId="0">
      <text>
        <t>추정: 최근 8분기 OPM 중위 4.5% 유지(클립 −20~40%)
[divide]</t>
      </text>
    </comment>
    <comment ref="AH10" authorId="0" shapeId="0">
      <text>
        <t>추정: 최근 8분기 OPM 중위 4.5% 유지(클립 −20~40%)
[divide]</t>
      </text>
    </comment>
    <comment ref="AI10" authorId="0" shapeId="0">
      <text>
        <t>추정: 최근 8분기 OPM 중위 4.5% 유지(클립 −20~40%)
[divide]</t>
      </text>
    </comment>
    <comment ref="AK10" authorId="0" shapeId="0">
      <text>
        <t>추정: 최근 8분기 OPM 중위 4.5% 유지(클립 −20~40%)
[divide]</t>
      </text>
    </comment>
    <comment ref="AL10" authorId="0" shapeId="0">
      <text>
        <t>추정: 최근 8분기 OPM 중위 4.5% 유지(클립 −20~40%)
[divide]</t>
      </text>
    </comment>
    <comment ref="AM10" authorId="0" shapeId="0">
      <text>
        <t>추정: 최근 8분기 OPM 중위 4.5% 유지(클립 −20~40%)
[divide]</t>
      </text>
    </comment>
    <comment ref="AN10" authorId="0" shapeId="0">
      <text>
        <t>추정: 최근 8분기 OPM 중위 4.5% 유지(클립 −20~40%)
[divide]</t>
      </text>
    </comment>
    <comment ref="AC11" authorId="0" shapeId="0">
      <text>
        <t>추정: 이자손익 + 외환손익 0 + 파생상품손익 0 + 기타금융손익 +44.45억(최근 4분기(2025Q3~2026Q2) 잔차 중위) (항등식); 이자손익 = 이자발생자산 21654억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+44.45억(최근 4분기(2025Q3~2026Q2) 잔차 중위) (항등식); 이자손익 = 이자발생자산 21903억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+44.45억(최근 4분기(2025Q3~2026Q2) 잔차 중위) (항등식); 이자손익 = 이자발생자산 22449억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+44.45억(최근 4분기(2025Q3~2026Q2) 잔차 중위) (항등식); 이자손익 = 이자발생자산 22701억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+44.45억(최근 4분기(2025Q3~2026Q2) 잔차 중위) (항등식); 이자손익 = 이자발생자산 22175억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+44.45억(최근 4분기(2025Q3~2026Q2) 잔차 중위) (항등식); 이자손익 = 이자발생자산 22500억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+44.45억(최근 4분기(2025Q3~2026Q2) 잔차 중위) (항등식); 이자손익 = 이자발생자산 23175억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+44.45억(최근 4분기(2025Q3~2026Q2) 잔차 중위) (항등식); 이자손익 = 이자발생자산 23504억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+44.45억(최근 4분기(2025Q3~2026Q2) 잔차 중위) (항등식); 이자손익 = 이자발생자산 23084억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+44.45억(최근 4분기(2025Q3~2026Q2) 잔차 중위) (항등식); 이자손익 = 이자발생자산 23456억 × 2.31%(주석 이자수익 ÷ 평균 이자발생자산(2025Q3~2026Q2)) − 총차입금 32608억 × 4.27%(주석 이자비용 ÷ 평균 총차입금(2025Q3~2026Q2)) (연율) ÷ 4; 환율 효과는 환관련손익 행 별도
[identity]</t>
      </text>
    </comment>
    <comment ref="AC12" authorId="0" shapeId="0">
      <text>
        <t>추정: 이자발생자산 21654억 × 2.31%(주석 이자수익 ÷ 평균 이자발생자산(2025Q3~2026Q2)) − 총차입금 32608억 × 4.27%(주석 이자비용 ÷ 평균 총차입금(2025Q3~2026Q2)) (연율) ÷ 4
[interest]</t>
      </text>
    </comment>
    <comment ref="AD12" authorId="0" shapeId="0">
      <text>
        <t>추정: 이자발생자산 21903억 × 2.31%(주석 이자수익 ÷ 평균 이자발생자산(2025Q3~2026Q2)) − 총차입금 32608억 × 4.27%(주석 이자비용 ÷ 평균 총차입금(2025Q3~2026Q2)) (연율) ÷ 4
[interest]</t>
      </text>
    </comment>
    <comment ref="AF12" authorId="0" shapeId="0">
      <text>
        <t>추정: 이자발생자산 22449억 × 2.31%(주석 이자수익 ÷ 평균 이자발생자산(2025Q3~2026Q2)) − 총차입금 32608억 × 4.27%(주석 이자비용 ÷ 평균 총차입금(2025Q3~2026Q2)) (연율) ÷ 4
[interest]</t>
      </text>
    </comment>
    <comment ref="AG12" authorId="0" shapeId="0">
      <text>
        <t>추정: 이자발생자산 22701억 × 2.31%(주석 이자수익 ÷ 평균 이자발생자산(2025Q3~2026Q2)) − 총차입금 32608억 × 4.27%(주석 이자비용 ÷ 평균 총차입금(2025Q3~2026Q2)) (연율) ÷ 4
[interest]</t>
      </text>
    </comment>
    <comment ref="AH12" authorId="0" shapeId="0">
      <text>
        <t>추정: 이자발생자산 22175억 × 2.31%(주석 이자수익 ÷ 평균 이자발생자산(2025Q3~2026Q2)) − 총차입금 32608억 × 4.27%(주석 이자비용 ÷ 평균 총차입금(2025Q3~2026Q2)) (연율) ÷ 4
[interest]</t>
      </text>
    </comment>
    <comment ref="AI12" authorId="0" shapeId="0">
      <text>
        <t>추정: 이자발생자산 22500억 × 2.31%(주석 이자수익 ÷ 평균 이자발생자산(2025Q3~2026Q2)) − 총차입금 32608억 × 4.27%(주석 이자비용 ÷ 평균 총차입금(2025Q3~2026Q2)) (연율) ÷ 4
[interest]</t>
      </text>
    </comment>
    <comment ref="AK12" authorId="0" shapeId="0">
      <text>
        <t>추정: 이자발생자산 23175억 × 2.31%(주석 이자수익 ÷ 평균 이자발생자산(2025Q3~2026Q2)) − 총차입금 32608억 × 4.27%(주석 이자비용 ÷ 평균 총차입금(2025Q3~2026Q2)) (연율) ÷ 4
[interest]</t>
      </text>
    </comment>
    <comment ref="AL12" authorId="0" shapeId="0">
      <text>
        <t>추정: 이자발생자산 23504억 × 2.31%(주석 이자수익 ÷ 평균 이자발생자산(2025Q3~2026Q2)) − 총차입금 32608억 × 4.27%(주석 이자비용 ÷ 평균 총차입금(2025Q3~2026Q2)) (연율) ÷ 4
[interest]</t>
      </text>
    </comment>
    <comment ref="AM12" authorId="0" shapeId="0">
      <text>
        <t>추정: 이자발생자산 23084억 × 2.31%(주석 이자수익 ÷ 평균 이자발생자산(2025Q3~2026Q2)) − 총차입금 32608억 × 4.27%(주석 이자비용 ÷ 평균 총차입금(2025Q3~2026Q2)) (연율) ÷ 4
[interest]</t>
      </text>
    </comment>
    <comment ref="AN12" authorId="0" shapeId="0">
      <text>
        <t>추정: 이자발생자산 23456억 × 2.31%(주석 이자수익 ÷ 평균 이자발생자산(2025Q3~2026Q2)) − 총차입금 32608억 × 4.27%(주석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H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I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J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L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M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N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O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Q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R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S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T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V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W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X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Y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AA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AB14" authorId="0" shapeId="0">
      <text>
        <t>실측(계정 매핑 없음(파생·부문·시세 행) — 모델값 직접) — fin.cons.is.금융손익 − 이자손익 − 외환손익(잔차) — 파생상품손익은 기타영업외 주석 → 금융 잔차에서 제외</t>
      </text>
    </comment>
    <comment ref="AC14" authorId="0" shapeId="0">
      <text>
        <t>추정: 최근 4분기(2025Q3~2026Q2) 잔차 중위
[abs]</t>
      </text>
    </comment>
    <comment ref="AD14" authorId="0" shapeId="0">
      <text>
        <t>추정: 최근 4분기(2025Q3~2026Q2) 잔차 중위
[abs]</t>
      </text>
    </comment>
    <comment ref="AF14" authorId="0" shapeId="0">
      <text>
        <t>추정: 최근 4분기(2025Q3~2026Q2) 잔차 중위
[abs]</t>
      </text>
    </comment>
    <comment ref="AG14" authorId="0" shapeId="0">
      <text>
        <t>추정: 최근 4분기(2025Q3~2026Q2) 잔차 중위
[abs]</t>
      </text>
    </comment>
    <comment ref="AH14" authorId="0" shapeId="0">
      <text>
        <t>추정: 최근 4분기(2025Q3~2026Q2) 잔차 중위
[abs]</t>
      </text>
    </comment>
    <comment ref="AI14" authorId="0" shapeId="0">
      <text>
        <t>추정: 최근 4분기(2025Q3~2026Q2) 잔차 중위
[abs]</t>
      </text>
    </comment>
    <comment ref="AK14" authorId="0" shapeId="0">
      <text>
        <t>추정: 최근 4분기(2025Q3~2026Q2) 잔차 중위
[abs]</t>
      </text>
    </comment>
    <comment ref="AL14" authorId="0" shapeId="0">
      <text>
        <t>추정: 최근 4분기(2025Q3~2026Q2) 잔차 중위
[abs]</t>
      </text>
    </comment>
    <comment ref="AM14" authorId="0" shapeId="0">
      <text>
        <t>추정: 최근 4분기(2025Q3~2026Q2) 잔차 중위
[abs]</t>
      </text>
    </comment>
    <comment ref="AN14" authorId="0" shapeId="0">
      <text>
        <t>추정: 최근 4분기(2025Q3~2026Q2) 잔차 중위
[abs]</t>
      </text>
    </comment>
    <comment ref="AC15" authorId="0" shapeId="0">
      <text>
        <t>추정: 일회성 미가정 → 0
[abs]</t>
      </text>
    </comment>
    <comment ref="AD15" authorId="0" shapeId="0">
      <text>
        <t>추정: 일회성 미가정 → 0
[abs]</t>
      </text>
    </comment>
    <comment ref="AF15" authorId="0" shapeId="0">
      <text>
        <t>추정: 일회성 미가정 → 0
[abs]</t>
      </text>
    </comment>
    <comment ref="AG15" authorId="0" shapeId="0">
      <text>
        <t>추정: 일회성 미가정 → 0
[abs]</t>
      </text>
    </comment>
    <comment ref="AH15" authorId="0" shapeId="0">
      <text>
        <t>추정: 일회성 미가정 → 0
[abs]</t>
      </text>
    </comment>
    <comment ref="AI15" authorId="0" shapeId="0">
      <text>
        <t>추정: 일회성 미가정 → 0
[abs]</t>
      </text>
    </comment>
    <comment ref="AK15" authorId="0" shapeId="0">
      <text>
        <t>추정: 일회성 미가정 → 0
[abs]</t>
      </text>
    </comment>
    <comment ref="AL15" authorId="0" shapeId="0">
      <text>
        <t>추정: 일회성 미가정 → 0
[abs]</t>
      </text>
    </comment>
    <comment ref="AM15" authorId="0" shapeId="0">
      <text>
        <t>추정: 일회성 미가정 → 0
[abs]</t>
      </text>
    </comment>
    <comment ref="AN15" authorId="0" shapeId="0">
      <text>
        <t>추정: 일회성 미가정 → 0
[abs]</t>
      </text>
    </comment>
    <comment ref="AC16" authorId="0" shapeId="0">
      <text>
        <t>추정: 최근 4분기 중위
[abs]</t>
      </text>
    </comment>
    <comment ref="AD16" authorId="0" shapeId="0">
      <text>
        <t>추정: 최근 4분기 중위
[abs]</t>
      </text>
    </comment>
    <comment ref="AF16" authorId="0" shapeId="0">
      <text>
        <t>추정: 최근 4분기 중위
[abs]</t>
      </text>
    </comment>
    <comment ref="AG16" authorId="0" shapeId="0">
      <text>
        <t>추정: 최근 4분기 중위
[abs]</t>
      </text>
    </comment>
    <comment ref="AH16" authorId="0" shapeId="0">
      <text>
        <t>추정: 최근 4분기 중위
[abs]</t>
      </text>
    </comment>
    <comment ref="AI16" authorId="0" shapeId="0">
      <text>
        <t>추정: 최근 4분기 중위
[abs]</t>
      </text>
    </comment>
    <comment ref="AK16" authorId="0" shapeId="0">
      <text>
        <t>추정: 최근 4분기 중위
[abs]</t>
      </text>
    </comment>
    <comment ref="AL16" authorId="0" shapeId="0">
      <text>
        <t>추정: 최근 4분기 중위
[abs]</t>
      </text>
    </comment>
    <comment ref="AM16" authorId="0" shapeId="0">
      <text>
        <t>추정: 최근 4분기 중위
[abs]</t>
      </text>
    </comment>
    <comment ref="AN16" authorId="0" shapeId="0">
      <text>
        <t>추정: 최근 4분기 중위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D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F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G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H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I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K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L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M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N18" authorId="0" shapeId="0">
      <text>
        <t>추정: max(세전, 0) × 세율 18.3%(최근 12분기 유효세율 -3.1% 가 5~27% 밖 → 클립 대신 최근 8분기 중 세전 &gt; 0 인 6분기(2024Q3~2026Q2)의 법인세/세전 중위 18.3%)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775억은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4분기(2025Q2~2026Q1) CAPEX 중위 유지 — 순차입금 롤에 미반영(감가상각비 없음 → CAPEX≈감가 가정)
[yoy]</t>
      </text>
    </comment>
    <comment ref="AD30" authorId="0" shapeId="0">
      <text>
        <t>추정: 최근 4분기(2025Q2~2026Q1) CAPEX 중위 유지 — 순차입금 롤에 미반영(감가상각비 없음 → CAPEX≈감가 가정)
[yoy]</t>
      </text>
    </comment>
    <comment ref="AF30" authorId="0" shapeId="0">
      <text>
        <t>추정: 최근 4분기(2025Q2~2026Q1) CAPEX 중위 유지 — 순차입금 롤에 미반영(감가상각비 없음 → CAPEX≈감가 가정)
[yoy]</t>
      </text>
    </comment>
    <comment ref="AG30" authorId="0" shapeId="0">
      <text>
        <t>추정: 최근 4분기(2025Q2~2026Q1) CAPEX 중위 유지 — 순차입금 롤에 미반영(감가상각비 없음 → CAPEX≈감가 가정)
[yoy]</t>
      </text>
    </comment>
    <comment ref="AH30" authorId="0" shapeId="0">
      <text>
        <t>추정: 최근 4분기(2025Q2~2026Q1) CAPEX 중위 유지 — 순차입금 롤에 미반영(감가상각비 없음 → CAPEX≈감가 가정)
[yoy]</t>
      </text>
    </comment>
    <comment ref="AI30" authorId="0" shapeId="0">
      <text>
        <t>추정: 최근 4분기(2025Q2~2026Q1) CAPEX 중위 유지 — 순차입금 롤에 미반영(감가상각비 없음 → CAPEX≈감가 가정)
[yoy]</t>
      </text>
    </comment>
    <comment ref="AK30" authorId="0" shapeId="0">
      <text>
        <t>추정: 최근 4분기(2025Q2~2026Q1) CAPEX 중위 유지 — 순차입금 롤에 미반영(감가상각비 없음 → CAPEX≈감가 가정)
[yoy]</t>
      </text>
    </comment>
    <comment ref="AL30" authorId="0" shapeId="0">
      <text>
        <t>추정: 최근 4분기(2025Q2~2026Q1) CAPEX 중위 유지 — 순차입금 롤에 미반영(감가상각비 없음 → CAPEX≈감가 가정)
[yoy]</t>
      </text>
    </comment>
    <comment ref="AM30" authorId="0" shapeId="0">
      <text>
        <t>추정: 최근 4분기(2025Q2~2026Q1) CAPEX 중위 유지 — 순차입금 롤에 미반영(감가상각비 없음 → CAPEX≈감가 가정)
[yoy]</t>
      </text>
    </comment>
    <comment ref="AN30" authorId="0" shapeId="0">
      <text>
        <t>추정: 최근 4분기(2025Q2~2026Q1)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500원 유지
[abs]</t>
      </text>
    </comment>
    <comment ref="AI35" authorId="0" shapeId="0">
      <text>
        <t>추정: 직전 결산 DPS 500원 유지
[abs]</t>
      </text>
    </comment>
    <comment ref="AN35" authorId="0" shapeId="0">
      <text>
        <t>추정: 직전 결산 DPS 500원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M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Q38" authorId="0" shapeId="0">
      <text>
        <t>실측(계정 매핑 없음(파생·부문·시세 행) — 모델값 직접) — = 매출액(부문 미분리)</t>
      </text>
    </comment>
    <comment ref="R38" authorId="0" shapeId="0">
      <text>
        <t>실측(계정 매핑 없음(파생·부문·시세 행) — 모델값 직접) — = 매출액(부문 미분리)</t>
      </text>
    </comment>
    <comment ref="S38" authorId="0" shapeId="0">
      <text>
        <t>실측(계정 매핑 없음(파생·부문·시세 행) — 모델값 직접) — = 매출액(부문 미분리)</t>
      </text>
    </comment>
    <comment ref="T38" authorId="0" shapeId="0">
      <text>
        <t>실측(계정 매핑 없음(파생·부문·시세 행) — 모델값 직접) — = 매출액(부문 미분리)</t>
      </text>
    </comment>
    <comment ref="V38" authorId="0" shapeId="0">
      <text>
        <t>실측(계정 매핑 없음(파생·부문·시세 행) — 모델값 직접) — = 매출액(부문 미분리)</t>
      </text>
    </comment>
    <comment ref="W38" authorId="0" shapeId="0">
      <text>
        <t>실측(계정 매핑 없음(파생·부문·시세 행) — 모델값 직접) — = 매출액(부문 미분리)</t>
      </text>
    </comment>
    <comment ref="X38" authorId="0" shapeId="0">
      <text>
        <t>실측(계정 매핑 없음(파생·부문·시세 행) — 모델값 직접) — = 매출액(부문 미분리)</t>
      </text>
    </comment>
    <comment ref="Y38" authorId="0" shapeId="0">
      <text>
        <t>실측(계정 매핑 없음(파생·부문·시세 행) — 모델값 직접) — = 매출액(부문 미분리)</t>
      </text>
    </comment>
    <comment ref="AA38" authorId="0" shapeId="0">
      <text>
        <t>실측(계정 매핑 없음(파생·부문·시세 행) — 모델값 직접) — = 매출액(부문 미분리)</t>
      </text>
    </comment>
    <comment ref="AB38" authorId="0" shapeId="0">
      <text>
        <t>실측(계정 매핑 없음(파생·부문·시세 행) — 모델값 직접) — = 매출액(부문 미분리)</t>
      </text>
    </comment>
    <comment ref="AC38" authorId="0" shapeId="0">
      <text>
        <t>추정: = 매출액 추정(부문 미분리)
[identity]</t>
      </text>
    </comment>
    <comment ref="AD38" authorId="0" shapeId="0">
      <text>
        <t>추정: = 매출액 추정(부문 미분리)
[identity]</t>
      </text>
    </comment>
    <comment ref="AF38" authorId="0" shapeId="0">
      <text>
        <t>추정: = 매출액 추정(부문 미분리)
[identity]</t>
      </text>
    </comment>
    <comment ref="AG38" authorId="0" shapeId="0">
      <text>
        <t>추정: = 매출액 추정(부문 미분리)
[identity]</t>
      </text>
    </comment>
    <comment ref="AH38" authorId="0" shapeId="0">
      <text>
        <t>추정: = 매출액 추정(부문 미분리)
[identity]</t>
      </text>
    </comment>
    <comment ref="AI38" authorId="0" shapeId="0">
      <text>
        <t>추정: = 매출액 추정(부문 미분리)
[identity]</t>
      </text>
    </comment>
    <comment ref="AK38" authorId="0" shapeId="0">
      <text>
        <t>추정: = 매출액 추정(부문 미분리)
[identity]</t>
      </text>
    </comment>
    <comment ref="AL38" authorId="0" shapeId="0">
      <text>
        <t>추정: = 매출액 추정(부문 미분리)
[identity]</t>
      </text>
    </comment>
    <comment ref="AM38" authorId="0" shapeId="0">
      <text>
        <t>추정: = 매출액 추정(부문 미분리)
[identity]</t>
      </text>
    </comment>
    <comment ref="AN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M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Q39" authorId="0" shapeId="0">
      <text>
        <t>실측(계정 매핑 없음(파생·부문·시세 행) — 모델값 직접) — = 영업이익(부문 미분리)</t>
      </text>
    </comment>
    <comment ref="R39" authorId="0" shapeId="0">
      <text>
        <t>실측(계정 매핑 없음(파생·부문·시세 행) — 모델값 직접) — = 영업이익(부문 미분리)</t>
      </text>
    </comment>
    <comment ref="S39" authorId="0" shapeId="0">
      <text>
        <t>실측(계정 매핑 없음(파생·부문·시세 행) — 모델값 직접) — = 영업이익(부문 미분리)</t>
      </text>
    </comment>
    <comment ref="T39" authorId="0" shapeId="0">
      <text>
        <t>실측(계정 매핑 없음(파생·부문·시세 행) — 모델값 직접) — = 영업이익(부문 미분리)</t>
      </text>
    </comment>
    <comment ref="V39" authorId="0" shapeId="0">
      <text>
        <t>실측(계정 매핑 없음(파생·부문·시세 행) — 모델값 직접) — = 영업이익(부문 미분리)</t>
      </text>
    </comment>
    <comment ref="W39" authorId="0" shapeId="0">
      <text>
        <t>실측(계정 매핑 없음(파생·부문·시세 행) — 모델값 직접) — = 영업이익(부문 미분리)</t>
      </text>
    </comment>
    <comment ref="X39" authorId="0" shapeId="0">
      <text>
        <t>실측(계정 매핑 없음(파생·부문·시세 행) — 모델값 직접) — = 영업이익(부문 미분리)</t>
      </text>
    </comment>
    <comment ref="Y39" authorId="0" shapeId="0">
      <text>
        <t>실측(계정 매핑 없음(파생·부문·시세 행) — 모델값 직접) — = 영업이익(부문 미분리)</t>
      </text>
    </comment>
    <comment ref="AA39" authorId="0" shapeId="0">
      <text>
        <t>실측(계정 매핑 없음(파생·부문·시세 행) — 모델값 직접) — = 영업이익(부문 미분리)</t>
      </text>
    </comment>
    <comment ref="AB39" authorId="0" shapeId="0">
      <text>
        <t>실측(계정 매핑 없음(파생·부문·시세 행) — 모델값 직접) — = 영업이익(부문 미분리)</t>
      </text>
    </comment>
    <comment ref="AC39" authorId="0" shapeId="0">
      <text>
        <t>추정: = 매출액 × OPM(부문 미분리)
[identity]</t>
      </text>
    </comment>
    <comment ref="AD39" authorId="0" shapeId="0">
      <text>
        <t>추정: = 매출액 × OPM(부문 미분리)
[identity]</t>
      </text>
    </comment>
    <comment ref="AF39" authorId="0" shapeId="0">
      <text>
        <t>추정: = 매출액 × OPM(부문 미분리)
[identity]</t>
      </text>
    </comment>
    <comment ref="AG39" authorId="0" shapeId="0">
      <text>
        <t>추정: = 매출액 × OPM(부문 미분리)
[identity]</t>
      </text>
    </comment>
    <comment ref="AH39" authorId="0" shapeId="0">
      <text>
        <t>추정: = 매출액 × OPM(부문 미분리)
[identity]</t>
      </text>
    </comment>
    <comment ref="AI39" authorId="0" shapeId="0">
      <text>
        <t>추정: = 매출액 × OPM(부문 미분리)
[identity]</t>
      </text>
    </comment>
    <comment ref="AK39" authorId="0" shapeId="0">
      <text>
        <t>추정: = 매출액 × OPM(부문 미분리)
[identity]</t>
      </text>
    </comment>
    <comment ref="AL39" authorId="0" shapeId="0">
      <text>
        <t>추정: = 매출액 × OPM(부문 미분리)
[identity]</t>
      </text>
    </comment>
    <comment ref="AM39" authorId="0" shapeId="0">
      <text>
        <t>추정: = 매출액 × OPM(부문 미분리)
[identity]</t>
      </text>
    </comment>
    <comment ref="AN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한화시스템(272210)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18.26% — 법인세 = MAX(세전,0) × 세율, 추정 전 분기 연결(Σ법인세/Σmax(세전,0) 역산, 재현 오차 ≤ 0.05억). 모델 가정 18.26% · 근거: 최근 12분기 유효세율 -3.1% 가 5~27% 밖 → 클립 대신 최근 8분기 중 세전 &gt; 0 인 6분기(2024Q3~2026Q2)의 법인세/세전 중위 18.3%</t>
        </is>
      </c>
    </row>
    <row r="23">
      <c r="A23" t="inlineStr">
        <is>
          <t>· 판관비율 7.58%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2.31% / 부채 4.27% — 이자손익 = (전분기 이자발생자산 × 자산이자율 − 전분기 총차입금 × 부채이자율)/4, 최소자승 역산(모델 assumptions [0.0231, 0.0427]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12.2/18.1/26.6배(hist_quarterly(분기 평균가 ÷ TTM EPS, 14분기,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assets/models/272210.json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자격 미달 — 고객 링크가 특수관계자 매출(related) 만이고 비중 합 0.03% &lt; 5.0% — 고객 연동 자격 미달): 전년동기 × (1+g) 추세 / 감가상각비가 face·CF 에 없음(주석 미파싱) → EBITDA·EV/EBITDA 미산출 / 금융손익 실적→추정 단절: 최근 4분기 실적 +235/+6/+109/-169(중위 +58억) → 추정 2026Q3 -178억(차 -236억, -409%)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15.6, "op_wape_pct": 93.1, "n": 4, "note": "단일 회사 4분기 — 통계 아님", "driver_at_freeze": "trend_seasonal", "selection_oos_at_freeze": {"wape_link": null, "wape_trend": null, "adopted": false, "decision": "rejected", "note": "자격 미달 → 격자·OOS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7351.79, "rev_act": 8077.37, "op_pred": 486.18, "op_act": 225.21}, {"q": "2025Q4", "rev_pred": 10729.48, "rev_act": 13981.23, "op_pred": 709.56, "op_act": 57.62}, {"q": "2026Q1", "rev_pred": 7937.57, "rev_act": 8070.99, "op_pred": 524.92, "op_act": 342.84}, {"q": "2026Q2", "rev_pred": 8835.77, "rev_act": 11175.52, "op_pred": 584.32, "op_act": 1036.52}]}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16000</v>
      </c>
      <c r="F15" s="9" t="n"/>
      <c r="G15" s="18" t="n">
        <v>16400</v>
      </c>
      <c r="H15" s="18" t="n">
        <v>13950</v>
      </c>
      <c r="I15" s="18" t="n">
        <v>11050</v>
      </c>
      <c r="J15" s="18" t="n">
        <v>10550</v>
      </c>
      <c r="K15" s="9" t="n"/>
      <c r="L15" s="18" t="n">
        <v>13860</v>
      </c>
      <c r="M15" s="18" t="n">
        <v>14600</v>
      </c>
      <c r="N15" s="18" t="n">
        <v>12270</v>
      </c>
      <c r="O15" s="18" t="n">
        <v>17360</v>
      </c>
      <c r="P15" s="9" t="n"/>
      <c r="Q15" s="18" t="n">
        <v>17170</v>
      </c>
      <c r="R15" s="18" t="n">
        <v>18860</v>
      </c>
      <c r="S15" s="18" t="n">
        <v>17880</v>
      </c>
      <c r="T15" s="18" t="n">
        <v>22600</v>
      </c>
      <c r="U15" s="9" t="n"/>
      <c r="V15" s="18" t="n">
        <v>32100</v>
      </c>
      <c r="W15" s="18" t="n">
        <v>58000</v>
      </c>
      <c r="X15" s="18" t="n">
        <v>59500</v>
      </c>
      <c r="Y15" s="18" t="n">
        <v>54400</v>
      </c>
      <c r="Z15" s="9" t="n"/>
      <c r="AA15" s="18" t="n">
        <v>114100</v>
      </c>
      <c r="AB15" s="19" t="n">
        <v>73000</v>
      </c>
      <c r="AC15" s="20" t="n">
        <v>75200</v>
      </c>
      <c r="AD15" s="20" t="n">
        <v>76700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18100</v>
      </c>
      <c r="F16" s="9" t="n"/>
      <c r="G16" s="18" t="n">
        <v>18400</v>
      </c>
      <c r="H16" s="18" t="n">
        <v>17100</v>
      </c>
      <c r="I16" s="18" t="n">
        <v>16200</v>
      </c>
      <c r="J16" s="18" t="n">
        <v>12600</v>
      </c>
      <c r="K16" s="9" t="n"/>
      <c r="L16" s="18" t="n">
        <v>14240</v>
      </c>
      <c r="M16" s="18" t="n">
        <v>15700</v>
      </c>
      <c r="N16" s="18" t="n">
        <v>17720</v>
      </c>
      <c r="O16" s="18" t="n">
        <v>17500</v>
      </c>
      <c r="P16" s="9" t="n"/>
      <c r="Q16" s="18" t="n">
        <v>19910</v>
      </c>
      <c r="R16" s="18" t="n">
        <v>22450</v>
      </c>
      <c r="S16" s="18" t="n">
        <v>23400</v>
      </c>
      <c r="T16" s="18" t="n">
        <v>30200</v>
      </c>
      <c r="U16" s="9" t="n"/>
      <c r="V16" s="18" t="n">
        <v>43400</v>
      </c>
      <c r="W16" s="18" t="n">
        <v>70200</v>
      </c>
      <c r="X16" s="18" t="n">
        <v>62000</v>
      </c>
      <c r="Y16" s="18" t="n">
        <v>65900</v>
      </c>
      <c r="Z16" s="9" t="n"/>
      <c r="AA16" s="18" t="n">
        <v>184000</v>
      </c>
      <c r="AB16" s="19" t="n">
        <v>138900</v>
      </c>
      <c r="AC16" s="20" t="n">
        <v>87900</v>
      </c>
      <c r="AD16" s="20" t="n">
        <v>89600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13850</v>
      </c>
      <c r="F17" s="9" t="n"/>
      <c r="G17" s="18" t="n">
        <v>14000</v>
      </c>
      <c r="H17" s="18" t="n">
        <v>12750</v>
      </c>
      <c r="I17" s="18" t="n">
        <v>10650</v>
      </c>
      <c r="J17" s="18" t="n">
        <v>10150</v>
      </c>
      <c r="K17" s="9" t="n"/>
      <c r="L17" s="18" t="n">
        <v>10200</v>
      </c>
      <c r="M17" s="18" t="n">
        <v>13610</v>
      </c>
      <c r="N17" s="18" t="n">
        <v>12050</v>
      </c>
      <c r="O17" s="18" t="n">
        <v>11530</v>
      </c>
      <c r="P17" s="9" t="n"/>
      <c r="Q17" s="18" t="n">
        <v>14950</v>
      </c>
      <c r="R17" s="18" t="n">
        <v>16170</v>
      </c>
      <c r="S17" s="18" t="n">
        <v>16530</v>
      </c>
      <c r="T17" s="18" t="n">
        <v>17460</v>
      </c>
      <c r="U17" s="9" t="n"/>
      <c r="V17" s="18" t="n">
        <v>22550</v>
      </c>
      <c r="W17" s="18" t="n">
        <v>30100</v>
      </c>
      <c r="X17" s="18" t="n">
        <v>47550</v>
      </c>
      <c r="Y17" s="18" t="n">
        <v>44750</v>
      </c>
      <c r="Z17" s="9" t="n"/>
      <c r="AA17" s="18" t="n">
        <v>54400</v>
      </c>
      <c r="AB17" s="19" t="n">
        <v>70700</v>
      </c>
      <c r="AC17" s="20" t="n">
        <v>50700</v>
      </c>
      <c r="AD17" s="20" t="n">
        <v>72500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15928.6</v>
      </c>
      <c r="F18" s="9" t="n"/>
      <c r="G18" s="18" t="n">
        <v>15916.1</v>
      </c>
      <c r="H18" s="18" t="n">
        <v>15483.9</v>
      </c>
      <c r="I18" s="18" t="n">
        <v>14063.5</v>
      </c>
      <c r="J18" s="18" t="n">
        <v>11266.1</v>
      </c>
      <c r="K18" s="9" t="n"/>
      <c r="L18" s="18" t="n">
        <v>12469.4</v>
      </c>
      <c r="M18" s="18" t="n">
        <v>14381.1</v>
      </c>
      <c r="N18" s="18" t="n">
        <v>14105.6</v>
      </c>
      <c r="O18" s="18" t="n">
        <v>14439.7</v>
      </c>
      <c r="P18" s="9" t="n"/>
      <c r="Q18" s="18" t="n">
        <v>17156.6</v>
      </c>
      <c r="R18" s="18" t="n">
        <v>18262.5</v>
      </c>
      <c r="S18" s="18" t="n">
        <v>18915</v>
      </c>
      <c r="T18" s="18" t="n">
        <v>21548.7</v>
      </c>
      <c r="U18" s="9" t="n"/>
      <c r="V18" s="18" t="n">
        <v>30619</v>
      </c>
      <c r="W18" s="18" t="n">
        <v>45727.5</v>
      </c>
      <c r="X18" s="18" t="n">
        <v>55034.6</v>
      </c>
      <c r="Y18" s="18" t="n">
        <v>52632.2</v>
      </c>
      <c r="Z18" s="9" t="n"/>
      <c r="AA18" s="18" t="n">
        <v>109610.2</v>
      </c>
      <c r="AB18" s="19" t="n">
        <v>110444.3</v>
      </c>
      <c r="AC18" s="20" t="n">
        <v>70688.7</v>
      </c>
      <c r="AD18" s="20" t="n">
        <v>79380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0.363071857</v>
      </c>
      <c r="AD21" s="24" t="n">
        <v>0.363072039</v>
      </c>
      <c r="AE21" s="25" t="n"/>
      <c r="AF21" s="24" t="n">
        <v>0.363071619</v>
      </c>
      <c r="AG21" s="24" t="n">
        <v>0.363071663</v>
      </c>
      <c r="AH21" s="24" t="n">
        <v>0.18153629</v>
      </c>
      <c r="AI21" s="24" t="n">
        <v>0.181536116</v>
      </c>
      <c r="AJ21" s="25" t="n"/>
      <c r="AK21" s="24" t="n">
        <v>0.181536067</v>
      </c>
      <c r="AL21" s="24" t="n">
        <v>0.181536438</v>
      </c>
      <c r="AM21" s="24" t="n">
        <v>0.090768137</v>
      </c>
      <c r="AN21" s="24" t="n">
        <v>0.090767743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0.044952648</v>
      </c>
      <c r="AD23" s="24" t="n">
        <v>0.044952045</v>
      </c>
      <c r="AE23" s="25">
        <f>IFERROR(subQ!AE9/subQ!AE5,"")</f>
        <v/>
      </c>
      <c r="AF23" s="24" t="n">
        <v>0.044952706</v>
      </c>
      <c r="AG23" s="24" t="n">
        <v>0.044952317</v>
      </c>
      <c r="AH23" s="24" t="n">
        <v>0.044952052</v>
      </c>
      <c r="AI23" s="24" t="n">
        <v>0.044952198</v>
      </c>
      <c r="AJ23" s="25">
        <f>IFERROR(subQ!AJ9/subQ!AJ5,"")</f>
        <v/>
      </c>
      <c r="AK23" s="24" t="n">
        <v>0.044952179</v>
      </c>
      <c r="AL23" s="24" t="n">
        <v>0.044952379</v>
      </c>
      <c r="AM23" s="24" t="n">
        <v>0.044952158</v>
      </c>
      <c r="AN23" s="24" t="n">
        <v>0.044952434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drv:기타금융손익</t>
        </is>
      </c>
      <c r="B25" s="2" t="inlineStr">
        <is>
          <t>abs</t>
        </is>
      </c>
      <c r="C25" t="inlineStr">
        <is>
          <t>기타금융손익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44.45</v>
      </c>
      <c r="AD25" s="30" t="n">
        <v>44.45</v>
      </c>
      <c r="AE25" s="31">
        <f>subQ!AE14</f>
        <v/>
      </c>
      <c r="AF25" s="30" t="n">
        <v>44.45</v>
      </c>
      <c r="AG25" s="30" t="n">
        <v>44.45</v>
      </c>
      <c r="AH25" s="30" t="n">
        <v>44.45</v>
      </c>
      <c r="AI25" s="30" t="n">
        <v>44.45</v>
      </c>
      <c r="AJ25" s="31">
        <f>subQ!AJ14</f>
        <v/>
      </c>
      <c r="AK25" s="30" t="n">
        <v>44.45</v>
      </c>
      <c r="AL25" s="30" t="n">
        <v>44.45</v>
      </c>
      <c r="AM25" s="30" t="n">
        <v>44.45</v>
      </c>
      <c r="AN25" s="30" t="n">
        <v>44.45</v>
      </c>
      <c r="AO25" s="31">
        <f>subQ!AO14</f>
        <v/>
      </c>
    </row>
    <row r="26">
      <c r="A26" s="12" t="inlineStr">
        <is>
          <t>drv:기타영업외손익</t>
        </is>
      </c>
      <c r="B26" s="2" t="inlineStr">
        <is>
          <t>abs</t>
        </is>
      </c>
      <c r="C26" t="inlineStr">
        <is>
          <t>기타영업외손익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drv:지분법손익</t>
        </is>
      </c>
      <c r="B27" s="2" t="inlineStr">
        <is>
          <t>abs</t>
        </is>
      </c>
      <c r="C27" t="inlineStr">
        <is>
          <t>지분법손익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-12.11</v>
      </c>
      <c r="AD27" s="30" t="n">
        <v>-12.11</v>
      </c>
      <c r="AE27" s="31">
        <f>subQ!AE16</f>
        <v/>
      </c>
      <c r="AF27" s="30" t="n">
        <v>-12.11</v>
      </c>
      <c r="AG27" s="30" t="n">
        <v>-12.11</v>
      </c>
      <c r="AH27" s="30" t="n">
        <v>-12.11</v>
      </c>
      <c r="AI27" s="30" t="n">
        <v>-12.11</v>
      </c>
      <c r="AJ27" s="31">
        <f>subQ!AJ16</f>
        <v/>
      </c>
      <c r="AK27" s="30" t="n">
        <v>-12.11</v>
      </c>
      <c r="AL27" s="30" t="n">
        <v>-12.11</v>
      </c>
      <c r="AM27" s="30" t="n">
        <v>-12.11</v>
      </c>
      <c r="AN27" s="30" t="n">
        <v>-12.11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$D$51</f>
        <v/>
      </c>
      <c r="AD28" s="26">
        <f>$D$51</f>
        <v/>
      </c>
      <c r="AE28" s="25">
        <f>IFERROR(subQ!AE18/subQ!AE17,"")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IFERROR(subQ!AJ18/subQ!AJ17,"")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$D$53</f>
        <v/>
      </c>
      <c r="AD29" s="26">
        <f>$D$53</f>
        <v/>
      </c>
      <c r="AE29" s="25">
        <f>IFERROR(subQ!AE20/subQ!AE19,"")</f>
        <v/>
      </c>
      <c r="AF29" s="26">
        <f>$D$53</f>
        <v/>
      </c>
      <c r="AG29" s="26">
        <f>$D$53</f>
        <v/>
      </c>
      <c r="AH29" s="26">
        <f>$D$53</f>
        <v/>
      </c>
      <c r="AI29" s="26">
        <f>$D$53</f>
        <v/>
      </c>
      <c r="AJ29" s="25">
        <f>IFERROR(subQ!AJ20/subQ!AJ19,"")</f>
        <v/>
      </c>
      <c r="AK29" s="26">
        <f>$D$53</f>
        <v/>
      </c>
      <c r="AL29" s="26">
        <f>$D$53</f>
        <v/>
      </c>
      <c r="AM29" s="26">
        <f>$D$53</f>
        <v/>
      </c>
      <c r="AN29" s="26">
        <f>$D$53</f>
        <v/>
      </c>
      <c r="AO29" s="25">
        <f>IFERROR(subQ!AO20/subQ!AO19,"")</f>
        <v/>
      </c>
    </row>
    <row r="30">
      <c r="A30" s="12" t="inlineStr">
        <is>
          <t>drv:중단사업이익</t>
        </is>
      </c>
      <c r="B30" s="2" t="inlineStr">
        <is>
          <t>abs</t>
        </is>
      </c>
      <c r="C30" t="inlineStr">
        <is>
          <t>중단사업이익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7">
        <f>subQ!R21</f>
        <v/>
      </c>
      <c r="S30" s="27">
        <f>subQ!S21</f>
        <v/>
      </c>
      <c r="T30" s="27">
        <f>subQ!T21</f>
        <v/>
      </c>
      <c r="U30" s="28">
        <f>subQ!U21</f>
        <v/>
      </c>
      <c r="V30" s="27">
        <f>subQ!V21</f>
        <v/>
      </c>
      <c r="W30" s="27">
        <f>subQ!W21</f>
        <v/>
      </c>
      <c r="X30" s="27">
        <f>subQ!X21</f>
        <v/>
      </c>
      <c r="Y30" s="27">
        <f>subQ!Y21</f>
        <v/>
      </c>
      <c r="Z30" s="28">
        <f>subQ!Z21</f>
        <v/>
      </c>
      <c r="AA30" s="27">
        <f>subQ!AA21</f>
        <v/>
      </c>
      <c r="AB30" s="29">
        <f>subQ!AB21</f>
        <v/>
      </c>
      <c r="AC30" s="32" t="n"/>
      <c r="AD30" s="32" t="n"/>
      <c r="AE30" s="31">
        <f>subQ!AE21</f>
        <v/>
      </c>
      <c r="AF30" s="32" t="n"/>
      <c r="AG30" s="32" t="n"/>
      <c r="AH30" s="32" t="n"/>
      <c r="AI30" s="32" t="n"/>
      <c r="AJ30" s="31">
        <f>subQ!AJ21</f>
        <v/>
      </c>
      <c r="AK30" s="32" t="n"/>
      <c r="AL30" s="32" t="n"/>
      <c r="AM30" s="32" t="n"/>
      <c r="AN30" s="32" t="n"/>
      <c r="AO30" s="31">
        <f>subQ!AO21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-2.3e-08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IFERROR(subQ!E24+subQ!G19-subQ!G24,"")</f>
        <v/>
      </c>
      <c r="H32" s="27">
        <f>IFERROR(subQ!G24+subQ!H19-subQ!H24,"")</f>
        <v/>
      </c>
      <c r="I32" s="27">
        <f>IFERROR(subQ!H24+subQ!I19-subQ!I24,"")</f>
        <v/>
      </c>
      <c r="J32" s="27">
        <f>IFERROR(subQ!I24+subQ!J19-subQ!J24,"")</f>
        <v/>
      </c>
      <c r="K32" s="28" t="n"/>
      <c r="L32" s="27">
        <f>IFERROR(subQ!J24+subQ!L19-subQ!L24,"")</f>
        <v/>
      </c>
      <c r="M32" s="27">
        <f>IFERROR(subQ!L24+subQ!M19-subQ!M24,"")</f>
        <v/>
      </c>
      <c r="N32" s="27">
        <f>IFERROR(subQ!M24+subQ!N19-subQ!N24,"")</f>
        <v/>
      </c>
      <c r="O32" s="27">
        <f>IFERROR(subQ!N24+subQ!O19-subQ!O24,"")</f>
        <v/>
      </c>
      <c r="P32" s="28" t="n"/>
      <c r="Q32" s="27">
        <f>IFERROR(subQ!O24+subQ!Q19-subQ!Q24,"")</f>
        <v/>
      </c>
      <c r="R32" s="27">
        <f>IFERROR(subQ!Q24+subQ!R19-subQ!R24,"")</f>
        <v/>
      </c>
      <c r="S32" s="27">
        <f>IFERROR(subQ!R24+subQ!S19-subQ!S24,"")</f>
        <v/>
      </c>
      <c r="T32" s="27">
        <f>IFERROR(subQ!S24+subQ!T19-subQ!T24,"")</f>
        <v/>
      </c>
      <c r="U32" s="28" t="n"/>
      <c r="V32" s="27">
        <f>IFERROR(subQ!T24+subQ!V19-subQ!V24,"")</f>
        <v/>
      </c>
      <c r="W32" s="27">
        <f>IFERROR(subQ!V24+subQ!W19-subQ!W24,"")</f>
        <v/>
      </c>
      <c r="X32" s="27">
        <f>IFERROR(subQ!W24+subQ!X19-subQ!X24,"")</f>
        <v/>
      </c>
      <c r="Y32" s="27">
        <f>IFERROR(subQ!X24+subQ!Y19-subQ!Y24,"")</f>
        <v/>
      </c>
      <c r="Z32" s="28" t="n"/>
      <c r="AA32" s="27">
        <f>IFERROR(subQ!Y24+subQ!AA19-subQ!AA24,"")</f>
        <v/>
      </c>
      <c r="AB32" s="29">
        <f>IFERROR(subQ!AA24+subQ!AB19-subQ!AB24,"")</f>
        <v/>
      </c>
      <c r="AC32" s="30" t="n">
        <v>0.006716294</v>
      </c>
      <c r="AD32" s="30" t="n">
        <v>-0.005551901</v>
      </c>
      <c r="AE32" s="31" t="n"/>
      <c r="AF32" s="30" t="n">
        <v>0.005733464</v>
      </c>
      <c r="AG32" s="30" t="n">
        <v>934.969713057</v>
      </c>
      <c r="AH32" s="30" t="n">
        <v>-0.006163254</v>
      </c>
      <c r="AI32" s="30" t="n">
        <v>0.002632521</v>
      </c>
      <c r="AJ32" s="31" t="n"/>
      <c r="AK32" s="30" t="n">
        <v>-0.00466542</v>
      </c>
      <c r="AL32" s="30" t="n">
        <v>934.974609677</v>
      </c>
      <c r="AM32" s="30" t="n">
        <v>-0.005038271</v>
      </c>
      <c r="AN32" s="30" t="n">
        <v>0.003419515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0.006816294</v>
      </c>
      <c r="AD33" s="30" t="n">
        <v>-0.005551901</v>
      </c>
      <c r="AE33" s="31" t="n"/>
      <c r="AF33" s="30" t="n">
        <v>0.005733464</v>
      </c>
      <c r="AG33" s="30" t="n">
        <v>934.969713057</v>
      </c>
      <c r="AH33" s="30" t="n">
        <v>-0.006163254</v>
      </c>
      <c r="AI33" s="30" t="n">
        <v>0.002632521</v>
      </c>
      <c r="AJ33" s="31" t="n"/>
      <c r="AK33" s="30" t="n">
        <v>-0.00466542</v>
      </c>
      <c r="AL33" s="30" t="n">
        <v>934.974609677</v>
      </c>
      <c r="AM33" s="30" t="n">
        <v>-0.005038271</v>
      </c>
      <c r="AN33" s="30" t="n">
        <v>0.003419515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1.07e-07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-0.014903231</v>
      </c>
      <c r="AD35" s="24" t="n">
        <v>-0.033179638</v>
      </c>
      <c r="AE35" s="25" t="n"/>
      <c r="AF35" s="24" t="n">
        <v>-0.015863892</v>
      </c>
      <c r="AG35" s="24" t="n">
        <v>0.033617672</v>
      </c>
      <c r="AH35" s="24" t="n">
        <v>-0.020075961</v>
      </c>
      <c r="AI35" s="24" t="n">
        <v>-0.042626327</v>
      </c>
      <c r="AJ35" s="25" t="n"/>
      <c r="AK35" s="24" t="n">
        <v>-0.021686121</v>
      </c>
      <c r="AL35" s="24" t="n">
        <v>0.028336713</v>
      </c>
      <c r="AM35" s="24" t="n">
        <v>-0.024394462</v>
      </c>
      <c r="AN35" s="24" t="n">
        <v>-0.050709194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0.011489923</v>
      </c>
      <c r="AD36" s="24" t="n">
        <v>0.024912798</v>
      </c>
      <c r="AE36" s="25" t="n"/>
      <c r="AF36" s="24" t="n">
        <v>0.0112362</v>
      </c>
      <c r="AG36" s="24" t="n">
        <v>-0.023172876</v>
      </c>
      <c r="AH36" s="24" t="n">
        <v>0.014642576</v>
      </c>
      <c r="AI36" s="24" t="n">
        <v>0.030027431</v>
      </c>
      <c r="AJ36" s="25" t="n"/>
      <c r="AK36" s="24" t="n">
        <v>0.014198263</v>
      </c>
      <c r="AL36" s="24" t="n">
        <v>-0.017896208</v>
      </c>
      <c r="AM36" s="24" t="n">
        <v>0.016131673</v>
      </c>
      <c r="AN36" s="24" t="n">
        <v>0.032197086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3" t="n"/>
      <c r="AD37" s="33" t="n"/>
      <c r="AE37" s="25" t="n"/>
      <c r="AF37" s="33" t="n"/>
      <c r="AG37" s="33" t="n"/>
      <c r="AH37" s="33" t="n"/>
      <c r="AI37" s="33" t="n"/>
      <c r="AJ37" s="25" t="n"/>
      <c r="AK37" s="33" t="n"/>
      <c r="AL37" s="33" t="n"/>
      <c r="AM37" s="33" t="n"/>
      <c r="AN37" s="33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0.053712178</v>
      </c>
      <c r="AD38" s="24" t="n">
        <v>-0.205865156</v>
      </c>
      <c r="AE38" s="25" t="n"/>
      <c r="AF38" s="24" t="n">
        <v>-0.03220323</v>
      </c>
      <c r="AG38" s="24" t="n">
        <v>0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3" t="n"/>
      <c r="AD39" s="33" t="n"/>
      <c r="AE39" s="25" t="n"/>
      <c r="AF39" s="33" t="n"/>
      <c r="AG39" s="33" t="n"/>
      <c r="AH39" s="33" t="n"/>
      <c r="AI39" s="33" t="n"/>
      <c r="AJ39" s="25" t="n"/>
      <c r="AK39" s="33" t="n"/>
      <c r="AL39" s="33" t="n"/>
      <c r="AM39" s="33" t="n"/>
      <c r="AN39" s="33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8">
        <f>subQ!F35</f>
        <v/>
      </c>
      <c r="G41" s="27">
        <f>subQ!G35</f>
        <v/>
      </c>
      <c r="H41" s="27">
        <f>subQ!H35</f>
        <v/>
      </c>
      <c r="I41" s="27">
        <f>subQ!I35</f>
        <v/>
      </c>
      <c r="J41" s="27">
        <f>subQ!J35</f>
        <v/>
      </c>
      <c r="K41" s="28">
        <f>subQ!K35</f>
        <v/>
      </c>
      <c r="L41" s="27">
        <f>subQ!L35</f>
        <v/>
      </c>
      <c r="M41" s="27">
        <f>subQ!M35</f>
        <v/>
      </c>
      <c r="N41" s="27">
        <f>subQ!N35</f>
        <v/>
      </c>
      <c r="O41" s="27">
        <f>subQ!O35</f>
        <v/>
      </c>
      <c r="P41" s="28">
        <f>subQ!P35</f>
        <v/>
      </c>
      <c r="Q41" s="27">
        <f>subQ!Q35</f>
        <v/>
      </c>
      <c r="R41" s="27">
        <f>subQ!R35</f>
        <v/>
      </c>
      <c r="S41" s="27">
        <f>subQ!S35</f>
        <v/>
      </c>
      <c r="T41" s="27">
        <f>subQ!T35</f>
        <v/>
      </c>
      <c r="U41" s="28">
        <f>subQ!U35</f>
        <v/>
      </c>
      <c r="V41" s="27">
        <f>subQ!V35</f>
        <v/>
      </c>
      <c r="W41" s="27">
        <f>subQ!W35</f>
        <v/>
      </c>
      <c r="X41" s="27">
        <f>subQ!X35</f>
        <v/>
      </c>
      <c r="Y41" s="27">
        <f>subQ!Y35</f>
        <v/>
      </c>
      <c r="Z41" s="28">
        <f>subQ!Z35</f>
        <v/>
      </c>
      <c r="AA41" s="27">
        <f>subQ!AA35</f>
        <v/>
      </c>
      <c r="AB41" s="29">
        <f>subQ!AB35</f>
        <v/>
      </c>
      <c r="AC41" s="32" t="n"/>
      <c r="AD41" s="30" t="n">
        <v>500</v>
      </c>
      <c r="AE41" s="31">
        <f>subQ!AE35</f>
        <v/>
      </c>
      <c r="AF41" s="32" t="n"/>
      <c r="AG41" s="32" t="n"/>
      <c r="AH41" s="32" t="n"/>
      <c r="AI41" s="30" t="n">
        <v>500</v>
      </c>
      <c r="AJ41" s="31">
        <f>subQ!AJ35</f>
        <v/>
      </c>
      <c r="AK41" s="32" t="n"/>
      <c r="AL41" s="32" t="n"/>
      <c r="AM41" s="32" t="n"/>
      <c r="AN41" s="30" t="n">
        <v>500</v>
      </c>
      <c r="AO41" s="31">
        <f>subQ!AO35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76700</v>
      </c>
      <c r="E44" s="2" t="inlineStr">
        <is>
          <t>원 — 네이버 정규장 종가(aik 확정종가 대조 · aik 77,600원)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20261008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12.2</v>
      </c>
      <c r="E47" s="2" t="inlineStr">
        <is>
          <t>PER 밴드 하단(배) — hist_quarterly(분기 평균가 ÷ TTM EPS, 14분기, 25/50/75 백분위)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18.1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26.6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0.182620689145824</v>
      </c>
      <c r="E51" s="2" t="inlineStr">
        <is>
          <t>연결 — 법인세 = MAX(세전,0) × 세율(역산, 재현 오차 ≤ 0.05억 · 모델 assumptions 0.1826) · 최근 12분기 유효세율 -3.1% 가 5~27% 밖 → 클립 대신 최근 8분기 중 세전 &gt; 0 인 6분기(2024Q3~2026Q2)의 법인세/세전 중위 18.3%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0.07578073417866296</v>
      </c>
      <c r="E52" s="2" t="inlineStr">
        <is>
          <t>연결 — 판관비 = 매출액 × 판관비율(역산, 재현 오차 ≤ 0.05억 · 모델 assumptions 0.0758)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0.02312773562518853</v>
      </c>
      <c r="E54" s="2" t="inlineStr">
        <is>
          <t>연결 — 이자손익 = (전분기 이자발생자산 × 자산이자율 − 전분기 총차입금 × 부채이자율)/4(역산, 재현 오차 ≤ 0.05억 · 모델 assumptions 0.0231)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0.04269831551303982</v>
      </c>
      <c r="E55" s="2" t="inlineStr">
        <is>
          <t>연결 — 같은 수식의 부채 쪽(총차입금 행이 없으면 0)(역산, 재현 오차 ≤ 0.05억 · 모델 assumptions 0.0427)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0.386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한화시스템(연)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2676109.37</v>
      </c>
      <c r="F5" s="37" t="n">
        <v>2676109.37</v>
      </c>
      <c r="G5" s="18" t="n">
        <v>2071230.79</v>
      </c>
      <c r="H5" s="18" t="n">
        <v>2213495.53</v>
      </c>
      <c r="I5" s="18" t="n">
        <v>2182018.29</v>
      </c>
      <c r="J5" s="18" t="n">
        <v>2326839.78</v>
      </c>
      <c r="K5" s="37" t="n">
        <v>2326839.78</v>
      </c>
      <c r="L5" s="18" t="n">
        <v>2369967.63</v>
      </c>
      <c r="M5" s="18" t="n">
        <v>1786841.54</v>
      </c>
      <c r="N5" s="18" t="n">
        <v>1934736.2</v>
      </c>
      <c r="O5" s="18" t="n">
        <v>1890139.66</v>
      </c>
      <c r="P5" s="37" t="n">
        <v>1890139.66</v>
      </c>
      <c r="Q5" s="18" t="n">
        <v>2063469.47</v>
      </c>
      <c r="R5" s="18" t="n">
        <v>2325690.88</v>
      </c>
      <c r="S5" s="18" t="n">
        <v>2337727.29</v>
      </c>
      <c r="T5" s="18" t="n">
        <v>2286147.32</v>
      </c>
      <c r="U5" s="37" t="n">
        <v>2286147.32</v>
      </c>
      <c r="V5" s="18" t="n">
        <v>2418286.85</v>
      </c>
      <c r="W5" s="18" t="n">
        <v>2699940.21</v>
      </c>
      <c r="X5" s="18" t="n">
        <v>2855518.93</v>
      </c>
      <c r="Y5" s="18" t="n">
        <v>2928529.63</v>
      </c>
      <c r="Z5" s="37" t="n">
        <v>2928529.63</v>
      </c>
      <c r="AA5" s="18" t="n">
        <v>3157609.5</v>
      </c>
      <c r="AB5" s="19" t="n">
        <v>4666192.3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1636831.21</v>
      </c>
      <c r="F6" s="37" t="n">
        <v>1636831.21</v>
      </c>
      <c r="G6" s="18" t="n">
        <v>958490.4</v>
      </c>
      <c r="H6" s="18" t="n">
        <v>1186796.21</v>
      </c>
      <c r="I6" s="18" t="n">
        <v>1008736.03</v>
      </c>
      <c r="J6" s="18" t="n">
        <v>1228217.66</v>
      </c>
      <c r="K6" s="37" t="n">
        <v>1228217.66</v>
      </c>
      <c r="L6" s="18" t="n">
        <v>991661.98</v>
      </c>
      <c r="M6" s="18" t="n">
        <v>514881.17</v>
      </c>
      <c r="N6" s="18" t="n">
        <v>541058.3199999999</v>
      </c>
      <c r="O6" s="18" t="n">
        <v>476088.82</v>
      </c>
      <c r="P6" s="37" t="n">
        <v>476088.82</v>
      </c>
      <c r="Q6" s="18" t="n">
        <v>454384.22</v>
      </c>
      <c r="R6" s="18" t="n">
        <v>413662.48</v>
      </c>
      <c r="S6" s="18" t="n">
        <v>246643.66</v>
      </c>
      <c r="T6" s="18" t="n">
        <v>199842.74</v>
      </c>
      <c r="U6" s="37" t="n">
        <v>199842.74</v>
      </c>
      <c r="V6" s="18" t="n">
        <v>240375.74</v>
      </c>
      <c r="W6" s="18" t="n">
        <v>360013.44</v>
      </c>
      <c r="X6" s="18" t="n">
        <v>243848.2</v>
      </c>
      <c r="Y6" s="18" t="n">
        <v>325483.66</v>
      </c>
      <c r="Z6" s="37" t="n">
        <v>325483.66</v>
      </c>
      <c r="AA6" s="18" t="n">
        <v>492567.83</v>
      </c>
      <c r="AB6" s="19" t="n">
        <v>1591309.1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181114.56</v>
      </c>
      <c r="F7" s="37" t="n">
        <v>181114.56</v>
      </c>
      <c r="G7" s="18" t="n">
        <v>140859.54</v>
      </c>
      <c r="H7" s="18" t="n">
        <v>111942.26</v>
      </c>
      <c r="I7" s="18" t="n">
        <v>128296.83</v>
      </c>
      <c r="J7" s="18" t="n">
        <v>208560.92</v>
      </c>
      <c r="K7" s="37" t="n">
        <v>208560.92</v>
      </c>
      <c r="L7" s="18" t="n">
        <v>161337.5</v>
      </c>
      <c r="M7" s="18" t="n">
        <v>147970.28</v>
      </c>
      <c r="N7" s="18" t="n">
        <v>169227.01</v>
      </c>
      <c r="O7" s="18" t="n">
        <v>202103.1</v>
      </c>
      <c r="P7" s="37" t="n">
        <v>202103.1</v>
      </c>
      <c r="Q7" s="18" t="n">
        <v>251777.12</v>
      </c>
      <c r="R7" s="18" t="n">
        <v>290811.4</v>
      </c>
      <c r="S7" s="18" t="n">
        <v>264814.67</v>
      </c>
      <c r="T7" s="18" t="n">
        <v>309758.81</v>
      </c>
      <c r="U7" s="37" t="n">
        <v>309758.81</v>
      </c>
      <c r="V7" s="18" t="n">
        <v>251595.8</v>
      </c>
      <c r="W7" s="18" t="n">
        <v>238594.18</v>
      </c>
      <c r="X7" s="18" t="n">
        <v>313499.68</v>
      </c>
      <c r="Y7" s="18" t="n">
        <v>450887.46</v>
      </c>
      <c r="Z7" s="37" t="n">
        <v>450887.46</v>
      </c>
      <c r="AA7" s="18" t="n">
        <v>358037.84</v>
      </c>
      <c r="AB7" s="19" t="n">
        <v>449803.66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기타유동금융자산</t>
        </is>
      </c>
      <c r="E8" s="18" t="n">
        <v>27567.45</v>
      </c>
      <c r="F8" s="37" t="n">
        <v>27567.45</v>
      </c>
      <c r="G8" s="18" t="n">
        <v>25167.73</v>
      </c>
      <c r="H8" s="18" t="n">
        <v>19884.51</v>
      </c>
      <c r="I8" s="18" t="n">
        <v>26502.26</v>
      </c>
      <c r="J8" s="18" t="n">
        <v>25669.19</v>
      </c>
      <c r="K8" s="37" t="n">
        <v>25669.19</v>
      </c>
      <c r="L8" s="18" t="n">
        <v>161613.27</v>
      </c>
      <c r="M8" s="18" t="n">
        <v>19521.76</v>
      </c>
      <c r="N8" s="18" t="n">
        <v>37196.87</v>
      </c>
      <c r="O8" s="18" t="n">
        <v>34748.2</v>
      </c>
      <c r="P8" s="37" t="n">
        <v>34748.2</v>
      </c>
      <c r="Q8" s="18" t="n">
        <v>24160.51</v>
      </c>
      <c r="R8" s="18" t="n">
        <v>137314.71</v>
      </c>
      <c r="S8" s="18" t="n">
        <v>117048.93</v>
      </c>
      <c r="T8" s="18" t="n">
        <v>124138.31</v>
      </c>
      <c r="U8" s="37" t="n">
        <v>124138.31</v>
      </c>
      <c r="V8" s="18" t="n">
        <v>107170.97</v>
      </c>
      <c r="W8" s="18" t="n">
        <v>41973.47</v>
      </c>
      <c r="X8" s="18" t="n">
        <v>40074.41</v>
      </c>
      <c r="Y8" s="18" t="n">
        <v>164123.08</v>
      </c>
      <c r="Z8" s="37" t="n">
        <v>164123.08</v>
      </c>
      <c r="AA8" s="18" t="n">
        <v>162606.91</v>
      </c>
      <c r="AB8" s="19" t="n">
        <v>275220.18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424551.09</v>
      </c>
      <c r="F9" s="37" t="n">
        <v>424551.09</v>
      </c>
      <c r="G9" s="18" t="n">
        <v>501934.23</v>
      </c>
      <c r="H9" s="18" t="n">
        <v>497584.55</v>
      </c>
      <c r="I9" s="18" t="n">
        <v>561594.48</v>
      </c>
      <c r="J9" s="18" t="n">
        <v>469952.75</v>
      </c>
      <c r="K9" s="37" t="n">
        <v>469952.75</v>
      </c>
      <c r="L9" s="18" t="n">
        <v>559831.21</v>
      </c>
      <c r="M9" s="18" t="n">
        <v>631304.16</v>
      </c>
      <c r="N9" s="18" t="n">
        <v>698945.67</v>
      </c>
      <c r="O9" s="18" t="n">
        <v>676114.3</v>
      </c>
      <c r="P9" s="37" t="n">
        <v>676114.3</v>
      </c>
      <c r="Q9" s="18" t="n">
        <v>763842.2</v>
      </c>
      <c r="R9" s="18" t="n">
        <v>851096.58</v>
      </c>
      <c r="S9" s="18" t="n">
        <v>1036019.91</v>
      </c>
      <c r="T9" s="18" t="n">
        <v>1025685.1</v>
      </c>
      <c r="U9" s="37" t="n">
        <v>1025685.1</v>
      </c>
      <c r="V9" s="18" t="n">
        <v>1113491.16</v>
      </c>
      <c r="W9" s="18" t="n">
        <v>1226913.52</v>
      </c>
      <c r="X9" s="18" t="n">
        <v>1314803.46</v>
      </c>
      <c r="Y9" s="18" t="n">
        <v>1177292.41</v>
      </c>
      <c r="Z9" s="37" t="n">
        <v>1177292.41</v>
      </c>
      <c r="AA9" s="18" t="n">
        <v>1222536.76</v>
      </c>
      <c r="AB9" s="19" t="n">
        <v>1358830.32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406045.06</v>
      </c>
      <c r="F10" s="37" t="n">
        <v>406045.06</v>
      </c>
      <c r="G10" s="18" t="n">
        <v>444778.89</v>
      </c>
      <c r="H10" s="18" t="n">
        <v>397288.01</v>
      </c>
      <c r="I10" s="18" t="n">
        <v>456888.7</v>
      </c>
      <c r="J10" s="18" t="n">
        <v>372962.72</v>
      </c>
      <c r="K10" s="37" t="n">
        <v>372962.72</v>
      </c>
      <c r="L10" s="18" t="n">
        <v>495523.67</v>
      </c>
      <c r="M10" s="18" t="n">
        <v>473164.17</v>
      </c>
      <c r="N10" s="18" t="n">
        <v>488308.33</v>
      </c>
      <c r="O10" s="18" t="n">
        <v>501085.25</v>
      </c>
      <c r="P10" s="37" t="n">
        <v>501085.25</v>
      </c>
      <c r="Q10" s="18" t="n">
        <v>569305.42</v>
      </c>
      <c r="R10" s="18" t="n">
        <v>632788.84</v>
      </c>
      <c r="S10" s="18" t="n">
        <v>673183.26</v>
      </c>
      <c r="T10" s="18" t="n">
        <v>610096.27</v>
      </c>
      <c r="U10" s="37" t="n">
        <v>610096.27</v>
      </c>
      <c r="V10" s="18" t="n">
        <v>705653.1899999999</v>
      </c>
      <c r="W10" s="18" t="n">
        <v>832445.59</v>
      </c>
      <c r="X10" s="18" t="n">
        <v>943293.2</v>
      </c>
      <c r="Y10" s="18" t="n">
        <v>810743.03</v>
      </c>
      <c r="Z10" s="37" t="n">
        <v>810743.03</v>
      </c>
      <c r="AA10" s="18" t="n">
        <v>921860.15</v>
      </c>
      <c r="AB10" s="19" t="n">
        <v>953529.03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1218193.28</v>
      </c>
      <c r="F11" s="37" t="n">
        <v>1218193.28</v>
      </c>
      <c r="G11" s="18" t="n">
        <v>1663560.79</v>
      </c>
      <c r="H11" s="18" t="n">
        <v>1713150.19</v>
      </c>
      <c r="I11" s="18" t="n">
        <v>1777753.13</v>
      </c>
      <c r="J11" s="18" t="n">
        <v>1618787.92</v>
      </c>
      <c r="K11" s="37" t="n">
        <v>1618787.92</v>
      </c>
      <c r="L11" s="18" t="n">
        <v>1674767.62</v>
      </c>
      <c r="M11" s="18" t="n">
        <v>2380954.87</v>
      </c>
      <c r="N11" s="18" t="n">
        <v>2460087.81</v>
      </c>
      <c r="O11" s="18" t="n">
        <v>2593071.16</v>
      </c>
      <c r="P11" s="37" t="n">
        <v>2593071.16</v>
      </c>
      <c r="Q11" s="18" t="n">
        <v>2667756.29</v>
      </c>
      <c r="R11" s="18" t="n">
        <v>2685541.7</v>
      </c>
      <c r="S11" s="18" t="n">
        <v>2722679.59</v>
      </c>
      <c r="T11" s="18" t="n">
        <v>3437862.8</v>
      </c>
      <c r="U11" s="37" t="n">
        <v>3437862.8</v>
      </c>
      <c r="V11" s="18" t="n">
        <v>4794325.95</v>
      </c>
      <c r="W11" s="18" t="n">
        <v>5342920.44</v>
      </c>
      <c r="X11" s="18" t="n">
        <v>6716552.05</v>
      </c>
      <c r="Y11" s="18" t="n">
        <v>7398735.92</v>
      </c>
      <c r="Z11" s="37" t="n">
        <v>7398735.92</v>
      </c>
      <c r="AA11" s="18" t="n">
        <v>7663054.08</v>
      </c>
      <c r="AB11" s="19" t="n">
        <v>7181132.57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167383.88</v>
      </c>
      <c r="F12" s="37" t="n">
        <v>167383.88</v>
      </c>
      <c r="G12" s="18" t="n">
        <v>633442.66</v>
      </c>
      <c r="H12" s="18" t="n">
        <v>665642.73</v>
      </c>
      <c r="I12" s="18" t="n">
        <v>721417.59</v>
      </c>
      <c r="J12" s="18" t="n">
        <v>553749.04</v>
      </c>
      <c r="K12" s="37" t="n">
        <v>553749.04</v>
      </c>
      <c r="L12" s="18" t="n">
        <v>549872.02</v>
      </c>
      <c r="M12" s="18" t="n">
        <v>559925.0600000001</v>
      </c>
      <c r="N12" s="18" t="n">
        <v>548021.6800000001</v>
      </c>
      <c r="O12" s="18" t="n">
        <v>313244.37</v>
      </c>
      <c r="P12" s="37" t="n">
        <v>313244.37</v>
      </c>
      <c r="Q12" s="18" t="n">
        <v>370111.27</v>
      </c>
      <c r="R12" s="18" t="n">
        <v>324802.47</v>
      </c>
      <c r="S12" s="18" t="n">
        <v>324788.49</v>
      </c>
      <c r="T12" s="18" t="n">
        <v>440588.06</v>
      </c>
      <c r="U12" s="37" t="n">
        <v>440588.06</v>
      </c>
      <c r="V12" s="18" t="n">
        <v>470194.7</v>
      </c>
      <c r="W12" s="18" t="n">
        <v>632598.3</v>
      </c>
      <c r="X12" s="18" t="n">
        <v>719196.83</v>
      </c>
      <c r="Y12" s="18" t="n">
        <v>659129.16</v>
      </c>
      <c r="Z12" s="37" t="n">
        <v>659129.16</v>
      </c>
      <c r="AA12" s="18" t="n">
        <v>602052.88</v>
      </c>
      <c r="AB12" s="19" t="n">
        <v>574130.17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195934.2</v>
      </c>
      <c r="F13" s="37" t="n">
        <v>195934.2</v>
      </c>
      <c r="G13" s="18" t="n">
        <v>657228.77</v>
      </c>
      <c r="H13" s="18" t="n">
        <v>682547.1</v>
      </c>
      <c r="I13" s="18" t="n">
        <v>739718.05</v>
      </c>
      <c r="J13" s="18" t="n">
        <v>570182.24</v>
      </c>
      <c r="K13" s="37" t="n">
        <v>570182.24</v>
      </c>
      <c r="L13" s="18" t="n">
        <v>639147.1800000001</v>
      </c>
      <c r="M13" s="18" t="n">
        <v>1369478.38</v>
      </c>
      <c r="N13" s="18" t="n">
        <v>1398313.73</v>
      </c>
      <c r="O13" s="18" t="n">
        <v>1305753.19</v>
      </c>
      <c r="P13" s="37" t="n">
        <v>1305753.19</v>
      </c>
      <c r="Q13" s="18" t="n">
        <v>1363596.4</v>
      </c>
      <c r="R13" s="18" t="n">
        <v>1316986.49</v>
      </c>
      <c r="S13" s="18" t="n">
        <v>1289467.72</v>
      </c>
      <c r="T13" s="18" t="n">
        <v>465139.59</v>
      </c>
      <c r="U13" s="37" t="n">
        <v>465139.59</v>
      </c>
      <c r="V13" s="18" t="n">
        <v>489496.04</v>
      </c>
      <c r="W13" s="18" t="n">
        <v>650260.85</v>
      </c>
      <c r="X13" s="18" t="n">
        <v>829324.17</v>
      </c>
      <c r="Y13" s="18" t="n">
        <v>1207613.22</v>
      </c>
      <c r="Z13" s="37" t="n">
        <v>1207613.22</v>
      </c>
      <c r="AA13" s="18" t="n">
        <v>1220336.29</v>
      </c>
      <c r="AB13" s="19" t="n">
        <v>574130.17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종속기업및관계기업투자</t>
        </is>
      </c>
      <c r="E14" s="18" t="n">
        <v>28550.32</v>
      </c>
      <c r="F14" s="37" t="n">
        <v>28550.32</v>
      </c>
      <c r="G14" s="18" t="n">
        <v>23786.11</v>
      </c>
      <c r="H14" s="18" t="n">
        <v>16904.37</v>
      </c>
      <c r="I14" s="18" t="n">
        <v>18300.46</v>
      </c>
      <c r="J14" s="18" t="n">
        <v>16433.2</v>
      </c>
      <c r="K14" s="37" t="n">
        <v>16433.2</v>
      </c>
      <c r="L14" s="18" t="n">
        <v>89275.16</v>
      </c>
      <c r="M14" s="18" t="n">
        <v>809553.3199999999</v>
      </c>
      <c r="N14" s="18" t="n">
        <v>850292.05</v>
      </c>
      <c r="O14" s="18" t="n">
        <v>992508.8199999999</v>
      </c>
      <c r="P14" s="37" t="n">
        <v>992508.8199999999</v>
      </c>
      <c r="Q14" s="18" t="n">
        <v>993485.13</v>
      </c>
      <c r="R14" s="18" t="n">
        <v>992184.02</v>
      </c>
      <c r="S14" s="18" t="n">
        <v>964679.23</v>
      </c>
      <c r="T14" s="18" t="n">
        <v>24551.53</v>
      </c>
      <c r="U14" s="37" t="n">
        <v>24551.53</v>
      </c>
      <c r="V14" s="18" t="n">
        <v>19301.34</v>
      </c>
      <c r="W14" s="18" t="n">
        <v>17662.55</v>
      </c>
      <c r="X14" s="18" t="n">
        <v>110127.34</v>
      </c>
      <c r="Y14" s="18" t="n">
        <v>548484.0600000001</v>
      </c>
      <c r="Z14" s="37" t="n">
        <v>548484.0600000001</v>
      </c>
      <c r="AA14" s="18" t="n">
        <v>618283.41</v>
      </c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유형자산</t>
        </is>
      </c>
      <c r="E15" s="18" t="n">
        <v>256905.96</v>
      </c>
      <c r="F15" s="37" t="n">
        <v>256905.96</v>
      </c>
      <c r="G15" s="18" t="n">
        <v>252637.54</v>
      </c>
      <c r="H15" s="18" t="n">
        <v>274600.35</v>
      </c>
      <c r="I15" s="18" t="n">
        <v>273265.61</v>
      </c>
      <c r="J15" s="18" t="n">
        <v>274368.03</v>
      </c>
      <c r="K15" s="37" t="n">
        <v>274368.03</v>
      </c>
      <c r="L15" s="18" t="n">
        <v>302997.24</v>
      </c>
      <c r="M15" s="18" t="n">
        <v>307580.98</v>
      </c>
      <c r="N15" s="18" t="n">
        <v>335100.92</v>
      </c>
      <c r="O15" s="18" t="n">
        <v>347646.33</v>
      </c>
      <c r="P15" s="37" t="n">
        <v>347646.33</v>
      </c>
      <c r="Q15" s="18" t="n">
        <v>372628.71</v>
      </c>
      <c r="R15" s="18" t="n">
        <v>410190.35</v>
      </c>
      <c r="S15" s="18" t="n">
        <v>434393.19</v>
      </c>
      <c r="T15" s="18" t="n">
        <v>569952.77</v>
      </c>
      <c r="U15" s="37" t="n">
        <v>569952.77</v>
      </c>
      <c r="V15" s="18" t="n">
        <v>607018.91</v>
      </c>
      <c r="W15" s="18" t="n">
        <v>673066.16</v>
      </c>
      <c r="X15" s="18" t="n">
        <v>715329.96</v>
      </c>
      <c r="Y15" s="18" t="n">
        <v>822739.4399999999</v>
      </c>
      <c r="Z15" s="37" t="n">
        <v>822739.4399999999</v>
      </c>
      <c r="AA15" s="18" t="n">
        <v>869841.2</v>
      </c>
      <c r="AB15" s="19" t="n">
        <v>923316.25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사용권자산</t>
        </is>
      </c>
      <c r="E16" s="18" t="n">
        <v>101068.99</v>
      </c>
      <c r="F16" s="37" t="n">
        <v>101068.99</v>
      </c>
      <c r="G16" s="18" t="n">
        <v>95800.75</v>
      </c>
      <c r="H16" s="18" t="n">
        <v>93039.60000000001</v>
      </c>
      <c r="I16" s="18" t="n">
        <v>97212.17</v>
      </c>
      <c r="J16" s="18" t="n">
        <v>100640.33</v>
      </c>
      <c r="K16" s="37" t="n">
        <v>100640.33</v>
      </c>
      <c r="L16" s="18" t="n">
        <v>94602.64</v>
      </c>
      <c r="M16" s="18" t="n">
        <v>88817.05</v>
      </c>
      <c r="N16" s="18" t="n">
        <v>109253.11</v>
      </c>
      <c r="O16" s="18" t="n">
        <v>117782.08</v>
      </c>
      <c r="P16" s="37" t="n">
        <v>117782.08</v>
      </c>
      <c r="Q16" s="18" t="n">
        <v>117358.17</v>
      </c>
      <c r="R16" s="18" t="n">
        <v>110732.6</v>
      </c>
      <c r="S16" s="18" t="n">
        <v>142958.81</v>
      </c>
      <c r="T16" s="18" t="n">
        <v>154215.14</v>
      </c>
      <c r="U16" s="37" t="n">
        <v>154215.14</v>
      </c>
      <c r="V16" s="18" t="n">
        <v>146705.81</v>
      </c>
      <c r="W16" s="18" t="n">
        <v>139745.56</v>
      </c>
      <c r="X16" s="18" t="n">
        <v>132572.46</v>
      </c>
      <c r="Y16" s="18" t="n">
        <v>191329.22</v>
      </c>
      <c r="Z16" s="37" t="n">
        <v>191329.22</v>
      </c>
      <c r="AA16" s="18" t="n">
        <v>189788.54</v>
      </c>
      <c r="AB16" s="19" t="n">
        <v>188868.87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기타비유동자산</t>
        </is>
      </c>
      <c r="E17" s="18" t="n">
        <v>103654.8</v>
      </c>
      <c r="F17" s="37" t="n">
        <v>103654.8</v>
      </c>
      <c r="G17" s="18" t="n">
        <v>99249.37</v>
      </c>
      <c r="H17" s="18" t="n">
        <v>96700.21000000001</v>
      </c>
      <c r="I17" s="18" t="n">
        <v>100855.85</v>
      </c>
      <c r="J17" s="18" t="n">
        <v>105049.47</v>
      </c>
      <c r="K17" s="37" t="n">
        <v>105049.47</v>
      </c>
      <c r="L17" s="18" t="n">
        <v>98539.17999999999</v>
      </c>
      <c r="M17" s="18" t="n">
        <v>92971.72</v>
      </c>
      <c r="N17" s="18" t="n">
        <v>112842.2</v>
      </c>
      <c r="O17" s="18" t="n">
        <v>122398.3</v>
      </c>
      <c r="P17" s="37" t="n">
        <v>122398.3</v>
      </c>
      <c r="Q17" s="18" t="n">
        <v>121612.03</v>
      </c>
      <c r="R17" s="18" t="n">
        <v>114708.65</v>
      </c>
      <c r="S17" s="18" t="n">
        <v>147714.95</v>
      </c>
      <c r="T17" s="18" t="n">
        <v>160954.83</v>
      </c>
      <c r="U17" s="37" t="n">
        <v>160954.83</v>
      </c>
      <c r="V17" s="18" t="n">
        <v>153914.07</v>
      </c>
      <c r="W17" s="18" t="n">
        <v>146606.4</v>
      </c>
      <c r="X17" s="18" t="n">
        <v>152432.73</v>
      </c>
      <c r="Y17" s="18" t="n">
        <v>210721.84</v>
      </c>
      <c r="Z17" s="37" t="n">
        <v>210721.84</v>
      </c>
      <c r="AA17" s="18" t="n">
        <v>211037.73</v>
      </c>
      <c r="AB17" s="19" t="n">
        <v>209466.19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무형자산</t>
        </is>
      </c>
      <c r="E18" s="18" t="n">
        <v>562162.92</v>
      </c>
      <c r="F18" s="37" t="n">
        <v>562162.92</v>
      </c>
      <c r="G18" s="18" t="n">
        <v>559190.23</v>
      </c>
      <c r="H18" s="18" t="n">
        <v>560853.63</v>
      </c>
      <c r="I18" s="18" t="n">
        <v>562774.46</v>
      </c>
      <c r="J18" s="18" t="n">
        <v>557833.98</v>
      </c>
      <c r="K18" s="37" t="n">
        <v>557833.98</v>
      </c>
      <c r="L18" s="18" t="n">
        <v>556422.16</v>
      </c>
      <c r="M18" s="18" t="n">
        <v>555153.48</v>
      </c>
      <c r="N18" s="18" t="n">
        <v>555337.34</v>
      </c>
      <c r="O18" s="18" t="n">
        <v>558922.41</v>
      </c>
      <c r="P18" s="37" t="n">
        <v>558922.41</v>
      </c>
      <c r="Q18" s="18" t="n">
        <v>553061.67</v>
      </c>
      <c r="R18" s="18" t="n">
        <v>562261.41</v>
      </c>
      <c r="S18" s="18" t="n">
        <v>565382.8100000001</v>
      </c>
      <c r="T18" s="18" t="n">
        <v>762189.51</v>
      </c>
      <c r="U18" s="37" t="n">
        <v>762189.51</v>
      </c>
      <c r="V18" s="18" t="n">
        <v>759170.73</v>
      </c>
      <c r="W18" s="18" t="n">
        <v>756130.12</v>
      </c>
      <c r="X18" s="18" t="n">
        <v>750473.6899999999</v>
      </c>
      <c r="Y18" s="18" t="n">
        <v>709755.42</v>
      </c>
      <c r="Z18" s="37" t="n">
        <v>709755.42</v>
      </c>
      <c r="AA18" s="18" t="n">
        <v>709358.13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이연법인세자산</t>
        </is>
      </c>
      <c r="E19" s="18" t="n">
        <v>81719.78</v>
      </c>
      <c r="F19" s="37" t="n">
        <v>81719.78</v>
      </c>
      <c r="G19" s="18" t="n">
        <v>77212.85000000001</v>
      </c>
      <c r="H19" s="18" t="n">
        <v>76372.27</v>
      </c>
      <c r="I19" s="18" t="n">
        <v>77904.25</v>
      </c>
      <c r="J19" s="18" t="n">
        <v>87386.88</v>
      </c>
      <c r="K19" s="37" t="n">
        <v>87386.88</v>
      </c>
      <c r="L19" s="18" t="n">
        <v>54281.9</v>
      </c>
      <c r="M19" s="18" t="n">
        <v>30913.03</v>
      </c>
      <c r="N19" s="18" t="n">
        <v>30695.95</v>
      </c>
      <c r="O19" s="18" t="n">
        <v>77888.32000000001</v>
      </c>
      <c r="P19" s="37" t="n">
        <v>77888.32000000001</v>
      </c>
      <c r="Q19" s="18" t="n">
        <v>80676.72</v>
      </c>
      <c r="R19" s="18" t="n">
        <v>112159.34</v>
      </c>
      <c r="S19" s="18" t="n">
        <v>109599.88</v>
      </c>
      <c r="T19" s="18" t="n">
        <v>41589.41</v>
      </c>
      <c r="U19" s="37" t="n">
        <v>41589.41</v>
      </c>
      <c r="V19" s="18" t="n">
        <v>14077.56</v>
      </c>
      <c r="W19" s="18" t="n">
        <v>8681.790000000001</v>
      </c>
      <c r="X19" s="18" t="n">
        <v>8328.51</v>
      </c>
      <c r="Y19" s="18" t="n">
        <v>16578.71</v>
      </c>
      <c r="Z19" s="37" t="n">
        <v>16578.71</v>
      </c>
      <c r="AA19" s="18" t="n">
        <v>20513.61</v>
      </c>
      <c r="AB19" s="19" t="n">
        <v>27063.24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자산총계</t>
        </is>
      </c>
      <c r="E20" s="18" t="n">
        <v>3894302.65</v>
      </c>
      <c r="F20" s="37" t="n">
        <v>3894302.65</v>
      </c>
      <c r="G20" s="18" t="n">
        <v>3734791.57</v>
      </c>
      <c r="H20" s="18" t="n">
        <v>3926645.72</v>
      </c>
      <c r="I20" s="18" t="n">
        <v>3959771.42</v>
      </c>
      <c r="J20" s="18" t="n">
        <v>3945627.7</v>
      </c>
      <c r="K20" s="37" t="n">
        <v>3945627.7</v>
      </c>
      <c r="L20" s="18" t="n">
        <v>4044735.25</v>
      </c>
      <c r="M20" s="18" t="n">
        <v>4167796.41</v>
      </c>
      <c r="N20" s="18" t="n">
        <v>4394824.01</v>
      </c>
      <c r="O20" s="18" t="n">
        <v>4483210.82</v>
      </c>
      <c r="P20" s="37" t="n">
        <v>4483210.82</v>
      </c>
      <c r="Q20" s="18" t="n">
        <v>4731225.77</v>
      </c>
      <c r="R20" s="18" t="n">
        <v>5011232.58</v>
      </c>
      <c r="S20" s="18" t="n">
        <v>5060406.89</v>
      </c>
      <c r="T20" s="18" t="n">
        <v>5724010.12</v>
      </c>
      <c r="U20" s="37" t="n">
        <v>5724010.12</v>
      </c>
      <c r="V20" s="18" t="n">
        <v>7212612.8</v>
      </c>
      <c r="W20" s="18" t="n">
        <v>8042860.65</v>
      </c>
      <c r="X20" s="18" t="n">
        <v>9572070.98</v>
      </c>
      <c r="Y20" s="18" t="n">
        <v>10327265.55</v>
      </c>
      <c r="Z20" s="37" t="n">
        <v>10327265.55</v>
      </c>
      <c r="AA20" s="18" t="n">
        <v>10820663.58</v>
      </c>
      <c r="AB20" s="19" t="n">
        <v>11847324.87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유동부채</t>
        </is>
      </c>
      <c r="E21" s="18" t="n">
        <v>1363163.3</v>
      </c>
      <c r="F21" s="37" t="n">
        <v>1363163.3</v>
      </c>
      <c r="G21" s="18" t="n">
        <v>1225479.3</v>
      </c>
      <c r="H21" s="18" t="n">
        <v>1452996.43</v>
      </c>
      <c r="I21" s="18" t="n">
        <v>1436892.73</v>
      </c>
      <c r="J21" s="18" t="n">
        <v>1618535.59</v>
      </c>
      <c r="K21" s="37" t="n">
        <v>1618535.59</v>
      </c>
      <c r="L21" s="18" t="n">
        <v>1587063.31</v>
      </c>
      <c r="M21" s="18" t="n">
        <v>1640871.95</v>
      </c>
      <c r="N21" s="18" t="n">
        <v>1781226.54</v>
      </c>
      <c r="O21" s="18" t="n">
        <v>1951414.76</v>
      </c>
      <c r="P21" s="37" t="n">
        <v>1951414.76</v>
      </c>
      <c r="Q21" s="18" t="n">
        <v>2170441.13</v>
      </c>
      <c r="R21" s="18" t="n">
        <v>2167709.43</v>
      </c>
      <c r="S21" s="18" t="n">
        <v>2271473.46</v>
      </c>
      <c r="T21" s="18" t="n">
        <v>2677051.48</v>
      </c>
      <c r="U21" s="37" t="n">
        <v>2677051.48</v>
      </c>
      <c r="V21" s="18" t="n">
        <v>2897194.7</v>
      </c>
      <c r="W21" s="18" t="n">
        <v>2992558.75</v>
      </c>
      <c r="X21" s="18" t="n">
        <v>3192807.52</v>
      </c>
      <c r="Y21" s="18" t="n">
        <v>3334859.79</v>
      </c>
      <c r="Z21" s="37" t="n">
        <v>3334859.79</v>
      </c>
      <c r="AA21" s="18" t="n">
        <v>3514271.35</v>
      </c>
      <c r="AB21" s="19" t="n">
        <v>5354369.27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매입채무및기타채무</t>
        </is>
      </c>
      <c r="E22" s="18" t="n">
        <v>125173.01</v>
      </c>
      <c r="F22" s="37" t="n">
        <v>125173.01</v>
      </c>
      <c r="G22" s="18" t="n">
        <v>125284.93</v>
      </c>
      <c r="H22" s="18" t="n">
        <v>112848.63</v>
      </c>
      <c r="I22" s="18" t="n">
        <v>107061.22</v>
      </c>
      <c r="J22" s="18" t="n">
        <v>160863.44</v>
      </c>
      <c r="K22" s="37" t="n">
        <v>160863.44</v>
      </c>
      <c r="L22" s="18" t="n">
        <v>210002.7</v>
      </c>
      <c r="M22" s="18" t="n">
        <v>116868.83</v>
      </c>
      <c r="N22" s="18" t="n">
        <v>107073.7</v>
      </c>
      <c r="O22" s="18" t="n">
        <v>213095.62</v>
      </c>
      <c r="P22" s="37" t="n">
        <v>213095.62</v>
      </c>
      <c r="Q22" s="18" t="n">
        <v>234773.41</v>
      </c>
      <c r="R22" s="18" t="n">
        <v>215163.82</v>
      </c>
      <c r="S22" s="18" t="n">
        <v>166186.57</v>
      </c>
      <c r="T22" s="18" t="n">
        <v>250001.34</v>
      </c>
      <c r="U22" s="37" t="n">
        <v>250001.34</v>
      </c>
      <c r="V22" s="18" t="n">
        <v>345784.37</v>
      </c>
      <c r="W22" s="18" t="n">
        <v>267463.73</v>
      </c>
      <c r="X22" s="18" t="n">
        <v>365541.88</v>
      </c>
      <c r="Y22" s="18" t="n">
        <v>480878.76</v>
      </c>
      <c r="Z22" s="37" t="n">
        <v>480878.76</v>
      </c>
      <c r="AA22" s="18" t="n">
        <v>536933.02</v>
      </c>
      <c r="AB22" s="19" t="n">
        <v>379114.46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단기차입금</t>
        </is>
      </c>
      <c r="E23" s="18" t="n">
        <v>29986.12</v>
      </c>
      <c r="F23" s="37" t="n">
        <v>29986.12</v>
      </c>
      <c r="G23" s="18" t="n">
        <v>29992.82</v>
      </c>
      <c r="H23" s="18" t="n">
        <v>0</v>
      </c>
      <c r="I23" s="18" t="n">
        <v>50000</v>
      </c>
      <c r="J23" s="18" t="n">
        <v>80000</v>
      </c>
      <c r="K23" s="37" t="n">
        <v>80000</v>
      </c>
      <c r="L23" s="18" t="n">
        <v>80000</v>
      </c>
      <c r="M23" s="18" t="n">
        <v>80000</v>
      </c>
      <c r="N23" s="18" t="n">
        <v>289988.04</v>
      </c>
      <c r="O23" s="18" t="n">
        <v>162334.77</v>
      </c>
      <c r="P23" s="37" t="n">
        <v>162334.77</v>
      </c>
      <c r="Q23" s="18" t="n">
        <v>319996.02</v>
      </c>
      <c r="R23" s="18" t="n">
        <v>209999.79</v>
      </c>
      <c r="S23" s="18" t="n">
        <v>130056.02</v>
      </c>
      <c r="T23" s="18" t="n">
        <v>79955.19</v>
      </c>
      <c r="U23" s="37" t="n">
        <v>79955.19</v>
      </c>
      <c r="V23" s="18" t="n">
        <v>244634.77</v>
      </c>
      <c r="W23" s="18" t="n">
        <v>203864.65</v>
      </c>
      <c r="X23" s="18" t="n">
        <v>389958.29</v>
      </c>
      <c r="Y23" s="18" t="n">
        <v>401210.4</v>
      </c>
      <c r="Z23" s="37" t="n">
        <v>401210.4</v>
      </c>
      <c r="AA23" s="18" t="n">
        <v>546707.92</v>
      </c>
      <c r="AB23" s="19" t="n">
        <v>2163871.51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단기금융부채(face)</t>
        </is>
      </c>
      <c r="E24" s="18" t="n">
        <v>29986.12</v>
      </c>
      <c r="F24" s="37" t="n">
        <v>29986.12</v>
      </c>
      <c r="G24" s="18" t="n">
        <v>29992.82</v>
      </c>
      <c r="H24" s="18" t="n">
        <v>0</v>
      </c>
      <c r="I24" s="18" t="n">
        <v>50000</v>
      </c>
      <c r="K24" s="9" t="n"/>
      <c r="L24" s="18" t="n">
        <v>80000</v>
      </c>
      <c r="M24" s="18" t="n">
        <v>80000</v>
      </c>
      <c r="N24" s="18" t="n">
        <v>289988.04</v>
      </c>
      <c r="O24" s="18" t="n">
        <v>162334.77</v>
      </c>
      <c r="P24" s="37" t="n">
        <v>162334.77</v>
      </c>
      <c r="Q24" s="18" t="n">
        <v>319996.02</v>
      </c>
      <c r="R24" s="18" t="n">
        <v>209999.79</v>
      </c>
      <c r="S24" s="18" t="n">
        <v>130056.02</v>
      </c>
      <c r="T24" s="18" t="n">
        <v>79955.19</v>
      </c>
      <c r="U24" s="37" t="n">
        <v>79955.19</v>
      </c>
      <c r="V24" s="18" t="n">
        <v>244634.77</v>
      </c>
      <c r="W24" s="18" t="n">
        <v>203864.65</v>
      </c>
      <c r="X24" s="18" t="n">
        <v>389958.29</v>
      </c>
      <c r="Y24" s="18" t="n">
        <v>401210.4</v>
      </c>
      <c r="Z24" s="37" t="n">
        <v>401210.4</v>
      </c>
      <c r="AA24" s="18" t="n">
        <v>546707.92</v>
      </c>
      <c r="AB24" s="19" t="n">
        <v>2163871.51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기타유동금융부채</t>
        </is>
      </c>
      <c r="E25" s="18" t="n">
        <v>70856.03</v>
      </c>
      <c r="F25" s="37" t="n">
        <v>70856.03</v>
      </c>
      <c r="G25" s="18" t="n">
        <v>50838.48</v>
      </c>
      <c r="H25" s="18" t="n">
        <v>51656.58</v>
      </c>
      <c r="I25" s="18" t="n">
        <v>58168.37</v>
      </c>
      <c r="J25" s="18" t="n">
        <v>79617.42</v>
      </c>
      <c r="K25" s="37" t="n">
        <v>79617.42</v>
      </c>
      <c r="L25" s="18" t="n">
        <v>60084.97</v>
      </c>
      <c r="M25" s="18" t="n">
        <v>69779.67999999999</v>
      </c>
      <c r="N25" s="18" t="n">
        <v>69432.28999999999</v>
      </c>
      <c r="O25" s="18" t="n">
        <v>93424.94</v>
      </c>
      <c r="P25" s="37" t="n">
        <v>93424.94</v>
      </c>
      <c r="Q25" s="18" t="n">
        <v>67996.06</v>
      </c>
      <c r="R25" s="18" t="n">
        <v>71334.47</v>
      </c>
      <c r="S25" s="18" t="n">
        <v>83849.03999999999</v>
      </c>
      <c r="T25" s="18" t="n">
        <v>195531.57</v>
      </c>
      <c r="U25" s="37" t="n">
        <v>195531.57</v>
      </c>
      <c r="V25" s="18" t="n">
        <v>124861.04</v>
      </c>
      <c r="W25" s="18" t="n">
        <v>149038.6</v>
      </c>
      <c r="X25" s="18" t="n">
        <v>174229.82</v>
      </c>
      <c r="Y25" s="18" t="n">
        <v>247603.2</v>
      </c>
      <c r="Z25" s="37" t="n">
        <v>247603.2</v>
      </c>
      <c r="AA25" s="18" t="n">
        <v>215824.56</v>
      </c>
      <c r="AB25" s="19" t="n">
        <v>233308.71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70856.03</v>
      </c>
      <c r="F26" s="37" t="n">
        <v>70856.03</v>
      </c>
      <c r="G26" s="18" t="n">
        <v>50838.48</v>
      </c>
      <c r="H26" s="18" t="n">
        <v>51656.58</v>
      </c>
      <c r="I26" s="18" t="n">
        <v>58168.37</v>
      </c>
      <c r="J26" s="18" t="n">
        <v>79617.42</v>
      </c>
      <c r="K26" s="37" t="n">
        <v>79617.42</v>
      </c>
      <c r="L26" s="18" t="n">
        <v>60084.97</v>
      </c>
      <c r="M26" s="18" t="n">
        <v>69779.67999999999</v>
      </c>
      <c r="N26" s="18" t="n">
        <v>69432.28999999999</v>
      </c>
      <c r="O26" s="18" t="n">
        <v>93424.94</v>
      </c>
      <c r="P26" s="37" t="n">
        <v>93424.94</v>
      </c>
      <c r="Q26" s="18" t="n">
        <v>67996.06</v>
      </c>
      <c r="R26" s="18" t="n">
        <v>71334.47</v>
      </c>
      <c r="S26" s="18" t="n">
        <v>83849.03999999999</v>
      </c>
      <c r="T26" s="18" t="n">
        <v>195531.57</v>
      </c>
      <c r="U26" s="37" t="n">
        <v>195531.57</v>
      </c>
      <c r="V26" s="18" t="n">
        <v>124861.04</v>
      </c>
      <c r="W26" s="18" t="n">
        <v>149038.6</v>
      </c>
      <c r="X26" s="18" t="n">
        <v>174229.82</v>
      </c>
      <c r="Y26" s="18" t="n">
        <v>247603.2</v>
      </c>
      <c r="Z26" s="37" t="n">
        <v>247603.2</v>
      </c>
      <c r="AA26" s="18" t="n">
        <v>215824.56</v>
      </c>
      <c r="AB26" s="19" t="n">
        <v>233308.71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기타유동부채</t>
        </is>
      </c>
      <c r="E27" s="18" t="n">
        <v>1111361.12</v>
      </c>
      <c r="F27" s="37" t="n">
        <v>1111361.12</v>
      </c>
      <c r="G27" s="18" t="n">
        <v>997671.88</v>
      </c>
      <c r="H27" s="18" t="n">
        <v>1270618.72</v>
      </c>
      <c r="I27" s="18" t="n">
        <v>1197271.11</v>
      </c>
      <c r="J27" s="18" t="n">
        <v>1252876.25</v>
      </c>
      <c r="K27" s="37" t="n">
        <v>1252876.25</v>
      </c>
      <c r="L27" s="18" t="n">
        <v>1203201.05</v>
      </c>
      <c r="M27" s="18" t="n">
        <v>1334719.11</v>
      </c>
      <c r="N27" s="18" t="n">
        <v>1271834.35</v>
      </c>
      <c r="O27" s="18" t="n">
        <v>1432347.26</v>
      </c>
      <c r="P27" s="37" t="n">
        <v>1432347.26</v>
      </c>
      <c r="Q27" s="18" t="n">
        <v>1494639.62</v>
      </c>
      <c r="R27" s="18" t="n">
        <v>1628194.45</v>
      </c>
      <c r="S27" s="18" t="n">
        <v>1849992.28</v>
      </c>
      <c r="T27" s="18" t="n">
        <v>2027772.11</v>
      </c>
      <c r="U27" s="37" t="n">
        <v>2027772.11</v>
      </c>
      <c r="V27" s="18" t="n">
        <v>2090673.76</v>
      </c>
      <c r="W27" s="18" t="n">
        <v>2300085.79</v>
      </c>
      <c r="X27" s="18" t="n">
        <v>2184475.8</v>
      </c>
      <c r="Y27" s="18" t="n">
        <v>2106457.93</v>
      </c>
      <c r="Z27" s="37" t="n">
        <v>2106457.93</v>
      </c>
      <c r="AA27" s="18" t="n">
        <v>2138505.87</v>
      </c>
      <c r="AB27" s="19" t="n">
        <v>2508841.64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단기충당부채</t>
        </is>
      </c>
      <c r="E28" s="18" t="n">
        <v>10475.01</v>
      </c>
      <c r="F28" s="37" t="n">
        <v>10475.01</v>
      </c>
      <c r="G28" s="18" t="n">
        <v>10782.41</v>
      </c>
      <c r="H28" s="18" t="n">
        <v>9174.43</v>
      </c>
      <c r="I28" s="18" t="n">
        <v>15589.43</v>
      </c>
      <c r="J28" s="18" t="n">
        <v>22953.73</v>
      </c>
      <c r="K28" s="37" t="n">
        <v>22953.73</v>
      </c>
      <c r="L28" s="18" t="n">
        <v>19267.13</v>
      </c>
      <c r="M28" s="18" t="n">
        <v>24497.65</v>
      </c>
      <c r="N28" s="18" t="n">
        <v>22914.93</v>
      </c>
      <c r="O28" s="18" t="n">
        <v>31754.6</v>
      </c>
      <c r="P28" s="37" t="n">
        <v>31754.6</v>
      </c>
      <c r="Q28" s="18" t="n">
        <v>28816.23</v>
      </c>
      <c r="R28" s="18" t="n">
        <v>22772.1</v>
      </c>
      <c r="S28" s="18" t="n">
        <v>26263.65</v>
      </c>
      <c r="T28" s="18" t="n">
        <v>83709.53999999999</v>
      </c>
      <c r="U28" s="37" t="n">
        <v>83709.53999999999</v>
      </c>
      <c r="V28" s="18" t="n">
        <v>69394.05</v>
      </c>
      <c r="W28" s="18" t="n">
        <v>61258.61</v>
      </c>
      <c r="X28" s="18" t="n">
        <v>58915.2</v>
      </c>
      <c r="Y28" s="18" t="n">
        <v>63950.21</v>
      </c>
      <c r="Z28" s="37" t="n">
        <v>63950.21</v>
      </c>
      <c r="AA28" s="18" t="n">
        <v>52769.85</v>
      </c>
      <c r="AB28" s="19" t="n">
        <v>39973.75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당기법인세부채(미지급법인세)</t>
        </is>
      </c>
      <c r="E29" s="18" t="n">
        <v>15312.02</v>
      </c>
      <c r="F29" s="37" t="n">
        <v>15312.02</v>
      </c>
      <c r="G29" s="18" t="n">
        <v>10908.78</v>
      </c>
      <c r="H29" s="18" t="n">
        <v>8698.08</v>
      </c>
      <c r="I29" s="18" t="n">
        <v>8802.610000000001</v>
      </c>
      <c r="J29" s="18" t="n">
        <v>14839.62</v>
      </c>
      <c r="K29" s="37" t="n">
        <v>14839.62</v>
      </c>
      <c r="L29" s="18" t="n">
        <v>14507.47</v>
      </c>
      <c r="M29" s="18" t="n">
        <v>15006.68</v>
      </c>
      <c r="N29" s="18" t="n">
        <v>19983.24</v>
      </c>
      <c r="O29" s="18" t="n">
        <v>18457.56</v>
      </c>
      <c r="P29" s="37" t="n">
        <v>18457.56</v>
      </c>
      <c r="Q29" s="18" t="n">
        <v>24219.79</v>
      </c>
      <c r="R29" s="18" t="n">
        <v>20244.8</v>
      </c>
      <c r="S29" s="18" t="n">
        <v>15125.9</v>
      </c>
      <c r="T29" s="18" t="n">
        <v>37318.84</v>
      </c>
      <c r="U29" s="37" t="n">
        <v>37318.84</v>
      </c>
      <c r="V29" s="18" t="n">
        <v>21846.7</v>
      </c>
      <c r="W29" s="18" t="n">
        <v>10847.38</v>
      </c>
      <c r="X29" s="18" t="n">
        <v>19686.55</v>
      </c>
      <c r="Y29" s="18" t="n">
        <v>34759.3</v>
      </c>
      <c r="Z29" s="37" t="n">
        <v>34759.3</v>
      </c>
      <c r="AA29" s="18" t="n">
        <v>23530.12</v>
      </c>
      <c r="AB29" s="19" t="n">
        <v>29259.2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291377.86</v>
      </c>
      <c r="F30" s="37" t="n">
        <v>291377.86</v>
      </c>
      <c r="G30" s="18" t="n">
        <v>290775.72</v>
      </c>
      <c r="H30" s="18" t="n">
        <v>293510.47</v>
      </c>
      <c r="I30" s="18" t="n">
        <v>303533.63</v>
      </c>
      <c r="J30" s="18" t="n">
        <v>308140.1</v>
      </c>
      <c r="K30" s="37" t="n">
        <v>308140.1</v>
      </c>
      <c r="L30" s="18" t="n">
        <v>309593.68</v>
      </c>
      <c r="M30" s="18" t="n">
        <v>310469.31</v>
      </c>
      <c r="N30" s="18" t="n">
        <v>353578.76</v>
      </c>
      <c r="O30" s="18" t="n">
        <v>377669.9</v>
      </c>
      <c r="P30" s="37" t="n">
        <v>377669.9</v>
      </c>
      <c r="Q30" s="18" t="n">
        <v>392965.39</v>
      </c>
      <c r="R30" s="18" t="n">
        <v>645297.99</v>
      </c>
      <c r="S30" s="18" t="n">
        <v>593090.16</v>
      </c>
      <c r="T30" s="18" t="n">
        <v>630541.75</v>
      </c>
      <c r="U30" s="37" t="n">
        <v>630541.75</v>
      </c>
      <c r="V30" s="18" t="n">
        <v>902350.01</v>
      </c>
      <c r="W30" s="18" t="n">
        <v>1244531.98</v>
      </c>
      <c r="X30" s="18" t="n">
        <v>1519496.8</v>
      </c>
      <c r="Y30" s="18" t="n">
        <v>1991406.66</v>
      </c>
      <c r="Z30" s="37" t="n">
        <v>1991406.66</v>
      </c>
      <c r="AA30" s="18" t="n">
        <v>2263602.27</v>
      </c>
      <c r="AB30" s="19" t="n">
        <v>1921296.9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0</v>
      </c>
      <c r="F31" s="37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37" t="n">
        <v>0</v>
      </c>
      <c r="L31" s="18" t="n">
        <v>0</v>
      </c>
      <c r="M31" s="18" t="n">
        <v>0</v>
      </c>
      <c r="N31" s="18" t="n">
        <v>0</v>
      </c>
      <c r="O31" s="18" t="n">
        <v>49899.32</v>
      </c>
      <c r="P31" s="37" t="n">
        <v>49899.32</v>
      </c>
      <c r="Q31" s="18" t="n">
        <v>140</v>
      </c>
      <c r="R31" s="18" t="n">
        <v>140</v>
      </c>
      <c r="S31" s="18" t="n">
        <v>249185.35</v>
      </c>
      <c r="T31" s="18" t="n">
        <v>249276.74</v>
      </c>
      <c r="U31" s="37" t="n">
        <v>249276.74</v>
      </c>
      <c r="V31" s="18" t="n">
        <v>290667.02</v>
      </c>
      <c r="W31" s="18" t="n">
        <v>489861.28</v>
      </c>
      <c r="X31" s="18" t="n">
        <v>558310.01</v>
      </c>
      <c r="Y31" s="18" t="n">
        <v>1073225.85</v>
      </c>
      <c r="Z31" s="37" t="n">
        <v>1073225.85</v>
      </c>
      <c r="AA31" s="18" t="n">
        <v>1306257.32</v>
      </c>
      <c r="AB31" s="19" t="n">
        <v>1096911.14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기타비유동금융부채</t>
        </is>
      </c>
      <c r="E32" s="18" t="n">
        <v>80085.85000000001</v>
      </c>
      <c r="F32" s="37" t="n">
        <v>80085.85000000001</v>
      </c>
      <c r="G32" s="18" t="n">
        <v>75456.36</v>
      </c>
      <c r="H32" s="18" t="n">
        <v>72227.28999999999</v>
      </c>
      <c r="I32" s="18" t="n">
        <v>75484.13</v>
      </c>
      <c r="J32" s="18" t="n">
        <v>77868.38</v>
      </c>
      <c r="K32" s="37" t="n">
        <v>77868.38</v>
      </c>
      <c r="L32" s="18" t="n">
        <v>75418.64</v>
      </c>
      <c r="M32" s="18" t="n">
        <v>72037.07000000001</v>
      </c>
      <c r="N32" s="18" t="n">
        <v>89211.63</v>
      </c>
      <c r="O32" s="18" t="n">
        <v>99017.34</v>
      </c>
      <c r="P32" s="37" t="n">
        <v>99017.34</v>
      </c>
      <c r="Q32" s="18" t="n">
        <v>100830.43</v>
      </c>
      <c r="R32" s="18" t="n">
        <v>97406.52</v>
      </c>
      <c r="S32" s="18" t="n">
        <v>131057.96</v>
      </c>
      <c r="T32" s="18" t="n">
        <v>132646.05</v>
      </c>
      <c r="U32" s="37" t="n">
        <v>132646.05</v>
      </c>
      <c r="V32" s="18" t="n">
        <v>136787.94</v>
      </c>
      <c r="W32" s="18" t="n">
        <v>131031.93</v>
      </c>
      <c r="X32" s="18" t="n">
        <v>129607.65</v>
      </c>
      <c r="Y32" s="18" t="n">
        <v>140849.54</v>
      </c>
      <c r="Z32" s="37" t="n">
        <v>140849.54</v>
      </c>
      <c r="AA32" s="18" t="n">
        <v>155383.58</v>
      </c>
      <c r="AB32" s="19" t="n">
        <v>140138.64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80085.85000000001</v>
      </c>
      <c r="F33" s="37" t="n">
        <v>80085.85000000001</v>
      </c>
      <c r="G33" s="18" t="n">
        <v>75456.36</v>
      </c>
      <c r="H33" s="18" t="n">
        <v>72227.28999999999</v>
      </c>
      <c r="I33" s="18" t="n">
        <v>75484.13</v>
      </c>
      <c r="J33" s="18" t="n">
        <v>77868.38</v>
      </c>
      <c r="K33" s="37" t="n">
        <v>77868.38</v>
      </c>
      <c r="L33" s="18" t="n">
        <v>75418.64</v>
      </c>
      <c r="M33" s="18" t="n">
        <v>72037.07000000001</v>
      </c>
      <c r="N33" s="18" t="n">
        <v>89211.63</v>
      </c>
      <c r="O33" s="18" t="n">
        <v>99017.34</v>
      </c>
      <c r="P33" s="37" t="n">
        <v>99017.34</v>
      </c>
      <c r="Q33" s="18" t="n">
        <v>100830.43</v>
      </c>
      <c r="R33" s="18" t="n">
        <v>97406.52</v>
      </c>
      <c r="S33" s="18" t="n">
        <v>131057.96</v>
      </c>
      <c r="T33" s="18" t="n">
        <v>132646.05</v>
      </c>
      <c r="U33" s="37" t="n">
        <v>132646.05</v>
      </c>
      <c r="V33" s="18" t="n">
        <v>136787.94</v>
      </c>
      <c r="W33" s="18" t="n">
        <v>131031.93</v>
      </c>
      <c r="X33" s="18" t="n">
        <v>129607.65</v>
      </c>
      <c r="Y33" s="18" t="n">
        <v>140849.54</v>
      </c>
      <c r="Z33" s="37" t="n">
        <v>140849.54</v>
      </c>
      <c r="AA33" s="18" t="n">
        <v>155383.58</v>
      </c>
      <c r="AB33" s="19" t="n">
        <v>140138.64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160419.16</v>
      </c>
      <c r="F34" s="37" t="n">
        <v>160419.16</v>
      </c>
      <c r="G34" s="18" t="n">
        <v>164325.31</v>
      </c>
      <c r="H34" s="18" t="n">
        <v>169696.52</v>
      </c>
      <c r="I34" s="18" t="n">
        <v>174978.65</v>
      </c>
      <c r="J34" s="18" t="n">
        <v>180295.29</v>
      </c>
      <c r="K34" s="37" t="n">
        <v>180295.29</v>
      </c>
      <c r="L34" s="18" t="n">
        <v>183662.8</v>
      </c>
      <c r="M34" s="18" t="n">
        <v>187353.93</v>
      </c>
      <c r="N34" s="18" t="n">
        <v>192526.89</v>
      </c>
      <c r="O34" s="18" t="n">
        <v>206769.51</v>
      </c>
      <c r="P34" s="37" t="n">
        <v>206769.51</v>
      </c>
      <c r="Q34" s="18" t="n">
        <v>215215.89</v>
      </c>
      <c r="R34" s="18" t="n">
        <v>222771.94</v>
      </c>
      <c r="S34" s="18" t="n">
        <v>185986.69</v>
      </c>
      <c r="T34" s="18" t="n">
        <v>207330.08</v>
      </c>
      <c r="U34" s="37" t="n">
        <v>207330.08</v>
      </c>
      <c r="V34" s="18" t="n">
        <v>214432</v>
      </c>
      <c r="W34" s="18" t="n">
        <v>226999.46</v>
      </c>
      <c r="X34" s="18" t="n">
        <v>232970.91</v>
      </c>
      <c r="Y34" s="18" t="n">
        <v>151006.05</v>
      </c>
      <c r="Z34" s="37" t="n">
        <v>151006.05</v>
      </c>
      <c r="AA34" s="18" t="n">
        <v>150019.27</v>
      </c>
      <c r="AB34" s="19" t="n">
        <v>156314.24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장기충당부채</t>
        </is>
      </c>
      <c r="E35" s="18" t="n">
        <v>20444.74</v>
      </c>
      <c r="F35" s="37" t="n">
        <v>20444.74</v>
      </c>
      <c r="G35" s="18" t="n">
        <v>21030.68</v>
      </c>
      <c r="H35" s="18" t="n">
        <v>21619.24</v>
      </c>
      <c r="I35" s="18" t="n">
        <v>23099.33</v>
      </c>
      <c r="J35" s="18" t="n">
        <v>19866.57</v>
      </c>
      <c r="K35" s="37" t="n">
        <v>19866.57</v>
      </c>
      <c r="L35" s="18" t="n">
        <v>20398.65</v>
      </c>
      <c r="M35" s="18" t="n">
        <v>20967.31</v>
      </c>
      <c r="N35" s="18" t="n">
        <v>21828.9</v>
      </c>
      <c r="O35" s="18" t="n">
        <v>21983.73</v>
      </c>
      <c r="P35" s="37" t="n">
        <v>21983.73</v>
      </c>
      <c r="Q35" s="18" t="n">
        <v>22365.43</v>
      </c>
      <c r="R35" s="18" t="n">
        <v>23047.55</v>
      </c>
      <c r="S35" s="18" t="n">
        <v>23765.49</v>
      </c>
      <c r="T35" s="18" t="n">
        <v>30505.07</v>
      </c>
      <c r="U35" s="37" t="n">
        <v>30505.07</v>
      </c>
      <c r="V35" s="18" t="n">
        <v>31211.51</v>
      </c>
      <c r="W35" s="18" t="n">
        <v>32308.55</v>
      </c>
      <c r="X35" s="18" t="n">
        <v>33195.88</v>
      </c>
      <c r="Y35" s="18" t="n">
        <v>47254.28</v>
      </c>
      <c r="Z35" s="37" t="n">
        <v>47254.28</v>
      </c>
      <c r="AA35" s="18" t="n">
        <v>48528.7</v>
      </c>
      <c r="AB35" s="19" t="n">
        <v>49835.25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이연법인세부채</t>
        </is>
      </c>
      <c r="E36" s="18" t="n">
        <v>0</v>
      </c>
      <c r="F36" s="37" t="n">
        <v>0</v>
      </c>
      <c r="J36" s="18" t="n">
        <v>7.04</v>
      </c>
      <c r="K36" s="37" t="n">
        <v>7.04</v>
      </c>
      <c r="L36" s="18" t="n">
        <v>6.71</v>
      </c>
      <c r="M36" s="18" t="n">
        <v>0</v>
      </c>
      <c r="N36" s="18" t="n">
        <v>0</v>
      </c>
      <c r="O36" s="18" t="n">
        <v>0</v>
      </c>
      <c r="P36" s="37" t="n">
        <v>0</v>
      </c>
      <c r="Q36" s="18" t="n">
        <v>4500.3</v>
      </c>
      <c r="R36" s="18" t="n">
        <v>2910.09</v>
      </c>
      <c r="S36" s="18" t="n">
        <v>3094.67</v>
      </c>
      <c r="T36" s="18" t="n">
        <v>10783.8</v>
      </c>
      <c r="U36" s="37" t="n">
        <v>10783.8</v>
      </c>
      <c r="V36" s="18" t="n">
        <v>229251.55</v>
      </c>
      <c r="W36" s="18" t="n">
        <v>364330.76</v>
      </c>
      <c r="X36" s="18" t="n">
        <v>565412.35</v>
      </c>
      <c r="Y36" s="18" t="n">
        <v>579070.95</v>
      </c>
      <c r="Z36" s="37" t="n">
        <v>579070.95</v>
      </c>
      <c r="AA36" s="18" t="n">
        <v>603413.39</v>
      </c>
      <c r="AB36" s="19" t="n">
        <v>478097.63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1654541.16</v>
      </c>
      <c r="F37" s="37" t="n">
        <v>1654541.16</v>
      </c>
      <c r="G37" s="18" t="n">
        <v>1516255.01</v>
      </c>
      <c r="H37" s="18" t="n">
        <v>1746506.9</v>
      </c>
      <c r="I37" s="18" t="n">
        <v>1740426.36</v>
      </c>
      <c r="J37" s="18" t="n">
        <v>1926675.69</v>
      </c>
      <c r="K37" s="37" t="n">
        <v>1926675.69</v>
      </c>
      <c r="L37" s="18" t="n">
        <v>1896657</v>
      </c>
      <c r="M37" s="18" t="n">
        <v>1951341.27</v>
      </c>
      <c r="N37" s="18" t="n">
        <v>2134805.31</v>
      </c>
      <c r="O37" s="18" t="n">
        <v>2329084.66</v>
      </c>
      <c r="P37" s="37" t="n">
        <v>2329084.66</v>
      </c>
      <c r="Q37" s="18" t="n">
        <v>2563406.53</v>
      </c>
      <c r="R37" s="18" t="n">
        <v>2813007.41</v>
      </c>
      <c r="S37" s="18" t="n">
        <v>2864563.63</v>
      </c>
      <c r="T37" s="18" t="n">
        <v>3307593.22</v>
      </c>
      <c r="U37" s="37" t="n">
        <v>3307593.22</v>
      </c>
      <c r="V37" s="18" t="n">
        <v>3799544.71</v>
      </c>
      <c r="W37" s="18" t="n">
        <v>4237090.73</v>
      </c>
      <c r="X37" s="18" t="n">
        <v>4712304.32</v>
      </c>
      <c r="Y37" s="18" t="n">
        <v>5326266.45</v>
      </c>
      <c r="Z37" s="37" t="n">
        <v>5326266.45</v>
      </c>
      <c r="AA37" s="18" t="n">
        <v>5777873.61</v>
      </c>
      <c r="AB37" s="19" t="n">
        <v>7275666.17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지배주주지분</t>
        </is>
      </c>
      <c r="E38" s="18" t="n">
        <v>2222498.07</v>
      </c>
      <c r="F38" s="37" t="n">
        <v>2222498.07</v>
      </c>
      <c r="G38" s="18" t="n">
        <v>2202290.38</v>
      </c>
      <c r="H38" s="18" t="n">
        <v>2164764.08</v>
      </c>
      <c r="I38" s="18" t="n">
        <v>2200040.21</v>
      </c>
      <c r="J38" s="18" t="n">
        <v>2000338.96</v>
      </c>
      <c r="K38" s="37" t="n">
        <v>2000338.96</v>
      </c>
      <c r="L38" s="18" t="n">
        <v>2130862.41</v>
      </c>
      <c r="M38" s="18" t="n">
        <v>2200004.07</v>
      </c>
      <c r="N38" s="18" t="n">
        <v>2243378.05</v>
      </c>
      <c r="O38" s="18" t="n">
        <v>2139817.93</v>
      </c>
      <c r="P38" s="37" t="n">
        <v>2139817.93</v>
      </c>
      <c r="Q38" s="18" t="n">
        <v>2151948.18</v>
      </c>
      <c r="R38" s="18" t="n">
        <v>2183606.23</v>
      </c>
      <c r="S38" s="18" t="n">
        <v>2182511.94</v>
      </c>
      <c r="T38" s="18" t="n">
        <v>2490054.97</v>
      </c>
      <c r="U38" s="37" t="n">
        <v>2490054.97</v>
      </c>
      <c r="V38" s="18" t="n">
        <v>3357851.75</v>
      </c>
      <c r="W38" s="18" t="n">
        <v>3721430.33</v>
      </c>
      <c r="X38" s="18" t="n">
        <v>4755342.23</v>
      </c>
      <c r="Y38" s="18" t="n">
        <v>4849228.71</v>
      </c>
      <c r="Z38" s="37" t="n">
        <v>4849228.71</v>
      </c>
      <c r="AA38" s="18" t="n">
        <v>4943895.62</v>
      </c>
      <c r="AB38" s="19" t="n">
        <v>4492709.7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자본금</t>
        </is>
      </c>
      <c r="E39" s="18" t="n">
        <v>944596.9399999999</v>
      </c>
      <c r="F39" s="37" t="n">
        <v>944596.9399999999</v>
      </c>
      <c r="G39" s="18" t="n">
        <v>944596.9399999999</v>
      </c>
      <c r="H39" s="18" t="n">
        <v>944596.9399999999</v>
      </c>
      <c r="I39" s="18" t="n">
        <v>944596.9399999999</v>
      </c>
      <c r="J39" s="18" t="n">
        <v>944596.9399999999</v>
      </c>
      <c r="K39" s="37" t="n">
        <v>944596.9399999999</v>
      </c>
      <c r="L39" s="18" t="n">
        <v>944596.9399999999</v>
      </c>
      <c r="M39" s="18" t="n">
        <v>944596.9399999999</v>
      </c>
      <c r="N39" s="18" t="n">
        <v>944596.9399999999</v>
      </c>
      <c r="O39" s="18" t="n">
        <v>944596.9399999999</v>
      </c>
      <c r="P39" s="37" t="n">
        <v>944596.9399999999</v>
      </c>
      <c r="Q39" s="18" t="n">
        <v>944596.9399999999</v>
      </c>
      <c r="R39" s="18" t="n">
        <v>944596.9399999999</v>
      </c>
      <c r="S39" s="18" t="n">
        <v>944596.9399999999</v>
      </c>
      <c r="T39" s="18" t="n">
        <v>944596.9399999999</v>
      </c>
      <c r="U39" s="37" t="n">
        <v>944596.9399999999</v>
      </c>
      <c r="V39" s="18" t="n">
        <v>944596.9399999999</v>
      </c>
      <c r="W39" s="18" t="n">
        <v>944596.9399999999</v>
      </c>
      <c r="X39" s="18" t="n">
        <v>944596.9399999999</v>
      </c>
      <c r="Y39" s="18" t="n">
        <v>944596.9399999999</v>
      </c>
      <c r="Z39" s="37" t="n">
        <v>944596.9399999999</v>
      </c>
      <c r="AA39" s="18" t="n">
        <v>944596.9399999999</v>
      </c>
      <c r="AB39" s="19" t="n">
        <v>944596.9399999999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자본잉여금</t>
        </is>
      </c>
      <c r="E40" s="18" t="n">
        <v>1084938.88</v>
      </c>
      <c r="F40" s="37" t="n">
        <v>1084938.88</v>
      </c>
      <c r="G40" s="18" t="n">
        <v>1085079.85</v>
      </c>
      <c r="H40" s="18" t="n">
        <v>1085529.25</v>
      </c>
      <c r="I40" s="18" t="n">
        <v>1086219.98</v>
      </c>
      <c r="J40" s="18" t="n">
        <v>1085520.47</v>
      </c>
      <c r="K40" s="37" t="n">
        <v>1085520.47</v>
      </c>
      <c r="L40" s="18" t="n">
        <v>1086702.81</v>
      </c>
      <c r="M40" s="18" t="n">
        <v>1088049.51</v>
      </c>
      <c r="N40" s="18" t="n">
        <v>1100125.86</v>
      </c>
      <c r="O40" s="18" t="n">
        <v>1100087.11</v>
      </c>
      <c r="P40" s="37" t="n">
        <v>1100087.11</v>
      </c>
      <c r="Q40" s="18" t="n">
        <v>844765.5699999999</v>
      </c>
      <c r="R40" s="18" t="n">
        <v>845562.96</v>
      </c>
      <c r="S40" s="18" t="n">
        <v>846253.9300000001</v>
      </c>
      <c r="T40" s="18" t="n">
        <v>1092001.14</v>
      </c>
      <c r="U40" s="37" t="n">
        <v>1092001.14</v>
      </c>
      <c r="V40" s="18" t="n">
        <v>1092202.31</v>
      </c>
      <c r="W40" s="18" t="n">
        <v>1114239.01</v>
      </c>
      <c r="X40" s="18" t="n">
        <v>1116579.88</v>
      </c>
      <c r="Y40" s="18" t="n">
        <v>1122977.3</v>
      </c>
      <c r="Z40" s="37" t="n">
        <v>1122977.3</v>
      </c>
      <c r="AA40" s="18" t="n">
        <v>1124166.67</v>
      </c>
      <c r="AB40" s="19" t="n">
        <v>1126777.33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기타자본</t>
        </is>
      </c>
      <c r="E41" s="18" t="n">
        <v>-34121.41</v>
      </c>
      <c r="F41" s="37" t="n">
        <v>-34121.41</v>
      </c>
      <c r="G41" s="18" t="n">
        <v>-34121.41</v>
      </c>
      <c r="H41" s="18" t="n">
        <v>-34121.41</v>
      </c>
      <c r="I41" s="18" t="n">
        <v>-34121.41</v>
      </c>
      <c r="J41" s="18" t="n">
        <v>-34121.41</v>
      </c>
      <c r="K41" s="37" t="n">
        <v>-34121.41</v>
      </c>
      <c r="L41" s="18" t="n">
        <v>-34121.41</v>
      </c>
      <c r="M41" s="18" t="n">
        <v>-34121.41</v>
      </c>
      <c r="N41" s="18" t="n">
        <v>-34121.41</v>
      </c>
      <c r="O41" s="18" t="n">
        <v>-34121.41</v>
      </c>
      <c r="P41" s="37" t="n">
        <v>-34121.41</v>
      </c>
      <c r="Q41" s="18" t="n">
        <v>-34121.41</v>
      </c>
      <c r="R41" s="18" t="n">
        <v>-34121.41</v>
      </c>
      <c r="S41" s="18" t="n">
        <v>-34121.41</v>
      </c>
      <c r="T41" s="18" t="n">
        <v>-34121.41</v>
      </c>
      <c r="U41" s="37" t="n">
        <v>-34121.41</v>
      </c>
      <c r="V41" s="18" t="n">
        <v>-34121.41</v>
      </c>
      <c r="W41" s="18" t="n">
        <v>-34121.41</v>
      </c>
      <c r="X41" s="18" t="n">
        <v>-34121.41</v>
      </c>
      <c r="Y41" s="18" t="n">
        <v>-34121.41</v>
      </c>
      <c r="Z41" s="37" t="n">
        <v>-34121.41</v>
      </c>
      <c r="AA41" s="18" t="n">
        <v>-34121.41</v>
      </c>
      <c r="AB41" s="19" t="n">
        <v>-34121.41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기타포괄이익누계액</t>
        </is>
      </c>
      <c r="E42" s="18" t="n">
        <v>2353.6</v>
      </c>
      <c r="F42" s="37" t="n">
        <v>2353.6</v>
      </c>
      <c r="G42" s="18" t="n">
        <v>309.8</v>
      </c>
      <c r="H42" s="18" t="n">
        <v>7857.64</v>
      </c>
      <c r="I42" s="18" t="n">
        <v>38873.17</v>
      </c>
      <c r="J42" s="18" t="n">
        <v>-112582.46</v>
      </c>
      <c r="K42" s="37" t="n">
        <v>-112582.46</v>
      </c>
      <c r="L42" s="18" t="n">
        <v>-122820.77</v>
      </c>
      <c r="M42" s="18" t="n">
        <v>-131350.79</v>
      </c>
      <c r="N42" s="18" t="n">
        <v>21828.54</v>
      </c>
      <c r="O42" s="18" t="n">
        <v>-83216.98</v>
      </c>
      <c r="P42" s="37" t="n">
        <v>-83216.98</v>
      </c>
      <c r="Q42" s="18" t="n">
        <v>-69848.95</v>
      </c>
      <c r="R42" s="18" t="n">
        <v>-66719.75999999999</v>
      </c>
      <c r="S42" s="18" t="n">
        <v>-77341.52</v>
      </c>
      <c r="T42" s="18" t="n">
        <v>-101713.58</v>
      </c>
      <c r="U42" s="37" t="n">
        <v>-101713.58</v>
      </c>
      <c r="V42" s="18" t="n">
        <v>793494.78</v>
      </c>
      <c r="W42" s="18" t="n">
        <v>1170967.19</v>
      </c>
      <c r="X42" s="18" t="n">
        <v>2050860.91</v>
      </c>
      <c r="Y42" s="18" t="n">
        <v>2107066.94</v>
      </c>
      <c r="Z42" s="37" t="n">
        <v>2107066.94</v>
      </c>
      <c r="AA42" s="18" t="n">
        <v>2349041.35</v>
      </c>
      <c r="AB42" s="19" t="n">
        <v>1825336.03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224730.05</v>
      </c>
      <c r="F43" s="37" t="n">
        <v>224730.05</v>
      </c>
      <c r="G43" s="18" t="n">
        <v>206425.2</v>
      </c>
      <c r="H43" s="18" t="n">
        <v>160901.66</v>
      </c>
      <c r="I43" s="18" t="n">
        <v>164471.53</v>
      </c>
      <c r="J43" s="18" t="n">
        <v>116925.41</v>
      </c>
      <c r="K43" s="37" t="n">
        <v>116925.41</v>
      </c>
      <c r="L43" s="18" t="n">
        <v>256504.84</v>
      </c>
      <c r="M43" s="18" t="n">
        <v>332829.81</v>
      </c>
      <c r="N43" s="18" t="n">
        <v>210948.11</v>
      </c>
      <c r="O43" s="18" t="n">
        <v>212472.26</v>
      </c>
      <c r="P43" s="37" t="n">
        <v>212472.26</v>
      </c>
      <c r="Q43" s="18" t="n">
        <v>466556.03</v>
      </c>
      <c r="R43" s="18" t="n">
        <v>494287.49</v>
      </c>
      <c r="S43" s="18" t="n">
        <v>503124</v>
      </c>
      <c r="T43" s="18" t="n">
        <v>589291.87</v>
      </c>
      <c r="U43" s="37" t="n">
        <v>589291.87</v>
      </c>
      <c r="V43" s="18" t="n">
        <v>561679.13</v>
      </c>
      <c r="W43" s="18" t="n">
        <v>525748.6</v>
      </c>
      <c r="X43" s="18" t="n">
        <v>677425.91</v>
      </c>
      <c r="Y43" s="18" t="n">
        <v>708708.9300000001</v>
      </c>
      <c r="Z43" s="37" t="n">
        <v>708708.9300000001</v>
      </c>
      <c r="AA43" s="18" t="n">
        <v>560212.0699999999</v>
      </c>
      <c r="AB43" s="19" t="n">
        <v>630120.8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비지배주주지분</t>
        </is>
      </c>
      <c r="E44" s="18" t="n">
        <v>17263.42</v>
      </c>
      <c r="F44" s="37" t="n">
        <v>17263.42</v>
      </c>
      <c r="G44" s="18" t="n">
        <v>16246.18</v>
      </c>
      <c r="H44" s="18" t="n">
        <v>15374.74</v>
      </c>
      <c r="I44" s="18" t="n">
        <v>19304.85</v>
      </c>
      <c r="J44" s="18" t="n">
        <v>18613.06</v>
      </c>
      <c r="K44" s="37" t="n">
        <v>18613.06</v>
      </c>
      <c r="L44" s="18" t="n">
        <v>17215.85</v>
      </c>
      <c r="M44" s="18" t="n">
        <v>16451.07</v>
      </c>
      <c r="N44" s="18" t="n">
        <v>16640.65</v>
      </c>
      <c r="O44" s="18" t="n">
        <v>14308.24</v>
      </c>
      <c r="P44" s="37" t="n">
        <v>14308.24</v>
      </c>
      <c r="Q44" s="18" t="n">
        <v>15871.06</v>
      </c>
      <c r="R44" s="18" t="n">
        <v>14618.93</v>
      </c>
      <c r="S44" s="18" t="n">
        <v>13331.32</v>
      </c>
      <c r="T44" s="18" t="n">
        <v>-73638.07000000001</v>
      </c>
      <c r="U44" s="37" t="n">
        <v>-73638.07000000001</v>
      </c>
      <c r="V44" s="18" t="n">
        <v>55216.35</v>
      </c>
      <c r="W44" s="18" t="n">
        <v>84339.59</v>
      </c>
      <c r="X44" s="18" t="n">
        <v>104424.43</v>
      </c>
      <c r="Y44" s="18" t="n">
        <v>151770.39</v>
      </c>
      <c r="Z44" s="37" t="n">
        <v>151770.39</v>
      </c>
      <c r="AA44" s="18" t="n">
        <v>98894.34</v>
      </c>
      <c r="AB44" s="19" t="n">
        <v>78948.99000000001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자본총계</t>
        </is>
      </c>
      <c r="E45" s="18" t="n">
        <v>2239761.49</v>
      </c>
      <c r="F45" s="37" t="n">
        <v>2239761.49</v>
      </c>
      <c r="G45" s="18" t="n">
        <v>2218536.56</v>
      </c>
      <c r="H45" s="18" t="n">
        <v>2180138.82</v>
      </c>
      <c r="I45" s="18" t="n">
        <v>2219345.06</v>
      </c>
      <c r="J45" s="18" t="n">
        <v>2018952.01</v>
      </c>
      <c r="K45" s="37" t="n">
        <v>2018952.01</v>
      </c>
      <c r="L45" s="18" t="n">
        <v>2148078.26</v>
      </c>
      <c r="M45" s="18" t="n">
        <v>2216455.14</v>
      </c>
      <c r="N45" s="18" t="n">
        <v>2260018.7</v>
      </c>
      <c r="O45" s="18" t="n">
        <v>2154126.16</v>
      </c>
      <c r="P45" s="37" t="n">
        <v>2154126.16</v>
      </c>
      <c r="Q45" s="18" t="n">
        <v>2167819.24</v>
      </c>
      <c r="R45" s="18" t="n">
        <v>2198225.17</v>
      </c>
      <c r="S45" s="18" t="n">
        <v>2195843.26</v>
      </c>
      <c r="T45" s="18" t="n">
        <v>2416416.9</v>
      </c>
      <c r="U45" s="37" t="n">
        <v>2416416.9</v>
      </c>
      <c r="V45" s="18" t="n">
        <v>3413068.1</v>
      </c>
      <c r="W45" s="18" t="n">
        <v>3805769.92</v>
      </c>
      <c r="X45" s="18" t="n">
        <v>4859766.66</v>
      </c>
      <c r="Y45" s="18" t="n">
        <v>5000999.1</v>
      </c>
      <c r="Z45" s="37" t="n">
        <v>5000999.1</v>
      </c>
      <c r="AA45" s="18" t="n">
        <v>5042789.97</v>
      </c>
      <c r="AB45" s="19" t="n">
        <v>4571658.69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부채와자본총계</t>
        </is>
      </c>
      <c r="E46" s="18" t="n">
        <v>3894302.65</v>
      </c>
      <c r="F46" s="37" t="n">
        <v>3894302.65</v>
      </c>
      <c r="G46" s="18" t="n">
        <v>3734791.57</v>
      </c>
      <c r="H46" s="18" t="n">
        <v>3926645.72</v>
      </c>
      <c r="I46" s="18" t="n">
        <v>3959771.42</v>
      </c>
      <c r="J46" s="18" t="n">
        <v>3945627.7</v>
      </c>
      <c r="K46" s="37" t="n">
        <v>3945627.7</v>
      </c>
      <c r="L46" s="18" t="n">
        <v>4044735.25</v>
      </c>
      <c r="M46" s="18" t="n">
        <v>4167796.41</v>
      </c>
      <c r="N46" s="18" t="n">
        <v>4394824.01</v>
      </c>
      <c r="O46" s="18" t="n">
        <v>4483210.82</v>
      </c>
      <c r="P46" s="37" t="n">
        <v>4483210.82</v>
      </c>
      <c r="Q46" s="18" t="n">
        <v>4731225.77</v>
      </c>
      <c r="R46" s="18" t="n">
        <v>5011232.58</v>
      </c>
      <c r="S46" s="18" t="n">
        <v>5060406.89</v>
      </c>
      <c r="T46" s="18" t="n">
        <v>5724010.12</v>
      </c>
      <c r="U46" s="37" t="n">
        <v>5724010.12</v>
      </c>
      <c r="V46" s="18" t="n">
        <v>7212612.8</v>
      </c>
      <c r="W46" s="18" t="n">
        <v>8042860.65</v>
      </c>
      <c r="X46" s="18" t="n">
        <v>9572070.98</v>
      </c>
      <c r="Y46" s="18" t="n">
        <v>10327265.55</v>
      </c>
      <c r="Z46" s="37" t="n">
        <v>10327265.55</v>
      </c>
      <c r="AA46" s="18" t="n">
        <v>10820663.58</v>
      </c>
      <c r="AB46" s="19" t="n">
        <v>11847324.87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총차입금</t>
        </is>
      </c>
      <c r="E47" s="18" t="n">
        <v>59945.52</v>
      </c>
      <c r="F47" s="37" t="n">
        <v>59945.52</v>
      </c>
      <c r="G47" s="18" t="n">
        <v>59956.19</v>
      </c>
      <c r="H47" s="18" t="n">
        <v>29967.41</v>
      </c>
      <c r="I47" s="18" t="n">
        <v>79971.52</v>
      </c>
      <c r="J47" s="18" t="n">
        <v>109975.65</v>
      </c>
      <c r="K47" s="37" t="n">
        <v>109975.65</v>
      </c>
      <c r="L47" s="18" t="n">
        <v>109979.71</v>
      </c>
      <c r="M47" s="18" t="n">
        <v>109983.84</v>
      </c>
      <c r="N47" s="18" t="n">
        <v>339872.22</v>
      </c>
      <c r="O47" s="18" t="n">
        <v>212234.09</v>
      </c>
      <c r="P47" s="37" t="n">
        <v>212234.09</v>
      </c>
      <c r="Q47" s="18" t="n">
        <v>370049.37</v>
      </c>
      <c r="R47" s="18" t="n">
        <v>509161.67</v>
      </c>
      <c r="S47" s="18" t="n">
        <v>379241.37</v>
      </c>
      <c r="T47" s="18" t="n">
        <v>329231.93</v>
      </c>
      <c r="U47" s="37" t="n">
        <v>329231.93</v>
      </c>
      <c r="V47" s="18" t="n">
        <v>535301.79</v>
      </c>
      <c r="W47" s="18" t="n">
        <v>693725.9300000001</v>
      </c>
      <c r="X47" s="18" t="n">
        <v>948268.3</v>
      </c>
      <c r="Y47" s="18" t="n">
        <v>1474436.25</v>
      </c>
      <c r="Z47" s="37" t="n">
        <v>1474436.25</v>
      </c>
      <c r="AA47" s="18" t="n">
        <v>1852965.24</v>
      </c>
      <c r="AB47" s="19" t="n">
        <v>3260782.65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순차입금</t>
        </is>
      </c>
      <c r="E48" s="18" t="n">
        <v>-1576885.69</v>
      </c>
      <c r="F48" s="37" t="n">
        <v>-1576885.69</v>
      </c>
      <c r="G48" s="18" t="n">
        <v>-898534.21</v>
      </c>
      <c r="H48" s="18" t="n">
        <v>-1156828.8</v>
      </c>
      <c r="I48" s="18" t="n">
        <v>-928764.51</v>
      </c>
      <c r="J48" s="18" t="n">
        <v>-1118242.01</v>
      </c>
      <c r="K48" s="37" t="n">
        <v>-1118242.01</v>
      </c>
      <c r="L48" s="18" t="n">
        <v>-881682.27</v>
      </c>
      <c r="M48" s="18" t="n">
        <v>-404897.33</v>
      </c>
      <c r="N48" s="18" t="n">
        <v>-201186.1</v>
      </c>
      <c r="O48" s="18" t="n">
        <v>-263854.73</v>
      </c>
      <c r="P48" s="37" t="n">
        <v>-263854.73</v>
      </c>
      <c r="Q48" s="18" t="n">
        <v>-84334.85000000001</v>
      </c>
      <c r="R48" s="18" t="n">
        <v>95499.19</v>
      </c>
      <c r="S48" s="18" t="n">
        <v>132597.71</v>
      </c>
      <c r="T48" s="18" t="n">
        <v>129389.19</v>
      </c>
      <c r="U48" s="37" t="n">
        <v>129389.19</v>
      </c>
      <c r="V48" s="18" t="n">
        <v>294926.05</v>
      </c>
      <c r="W48" s="18" t="n">
        <v>333712.49</v>
      </c>
      <c r="X48" s="18" t="n">
        <v>704420.1</v>
      </c>
      <c r="Y48" s="18" t="n">
        <v>1148952.59</v>
      </c>
      <c r="Z48" s="37" t="n">
        <v>1148952.59</v>
      </c>
      <c r="AA48" s="18" t="n">
        <v>1360397.41</v>
      </c>
      <c r="AB48" s="19" t="n">
        <v>1669473.55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이자발생자산</t>
        </is>
      </c>
      <c r="E49" s="18" t="n">
        <v>1804215.09</v>
      </c>
      <c r="F49" s="37" t="n">
        <v>1804215.09</v>
      </c>
      <c r="G49" s="18" t="n">
        <v>1591933.06</v>
      </c>
      <c r="H49" s="18" t="n">
        <v>1852438.94</v>
      </c>
      <c r="I49" s="18" t="n">
        <v>1730153.62</v>
      </c>
      <c r="J49" s="18" t="n">
        <v>1781966.7</v>
      </c>
      <c r="K49" s="37" t="n">
        <v>1781966.7</v>
      </c>
      <c r="L49" s="18" t="n">
        <v>1541534</v>
      </c>
      <c r="M49" s="18" t="n">
        <v>1074806.23</v>
      </c>
      <c r="N49" s="18" t="n">
        <v>1089080</v>
      </c>
      <c r="O49" s="18" t="n">
        <v>789333.1899999999</v>
      </c>
      <c r="P49" s="37" t="n">
        <v>789333.1899999999</v>
      </c>
      <c r="Q49" s="18" t="n">
        <v>824495.49</v>
      </c>
      <c r="R49" s="18" t="n">
        <v>738464.95</v>
      </c>
      <c r="S49" s="18" t="n">
        <v>571432.15</v>
      </c>
      <c r="T49" s="18" t="n">
        <v>640430.8</v>
      </c>
      <c r="U49" s="37" t="n">
        <v>640430.8</v>
      </c>
      <c r="V49" s="18" t="n">
        <v>710570.4399999999</v>
      </c>
      <c r="W49" s="18" t="n">
        <v>992611.74</v>
      </c>
      <c r="X49" s="18" t="n">
        <v>963045.03</v>
      </c>
      <c r="Y49" s="18" t="n">
        <v>984612.8199999999</v>
      </c>
      <c r="Z49" s="37" t="n">
        <v>984612.8199999999</v>
      </c>
      <c r="AA49" s="18" t="n">
        <v>1094620.71</v>
      </c>
      <c r="AB49" s="19" t="n">
        <v>2165439.27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사채</t>
        </is>
      </c>
      <c r="E50" s="18" t="n">
        <v>29959.4</v>
      </c>
      <c r="F50" s="37" t="n">
        <v>29959.4</v>
      </c>
      <c r="G50" s="18" t="n">
        <v>29963.37</v>
      </c>
      <c r="H50" s="18" t="n">
        <v>29967.41</v>
      </c>
      <c r="I50" s="18" t="n">
        <v>29971.52</v>
      </c>
      <c r="J50" s="18" t="n">
        <v>29975.65</v>
      </c>
      <c r="K50" s="37" t="n">
        <v>29975.65</v>
      </c>
      <c r="L50" s="18" t="n">
        <v>29979.71</v>
      </c>
      <c r="M50" s="18" t="n">
        <v>29983.84</v>
      </c>
      <c r="N50" s="18" t="n">
        <v>49884.18</v>
      </c>
      <c r="P50" s="9" t="n"/>
      <c r="Q50" s="18" t="n">
        <v>49913.35</v>
      </c>
      <c r="R50" s="18" t="n">
        <v>299021.88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매각예정비유동자산및처분자산</t>
        </is>
      </c>
      <c r="F51" s="9" t="n"/>
      <c r="J51" s="18" t="n">
        <v>21476.55</v>
      </c>
      <c r="K51" s="37" t="n">
        <v>21476.55</v>
      </c>
      <c r="L51" s="18" t="n">
        <v>0</v>
      </c>
      <c r="M51" s="18" t="n">
        <v>0</v>
      </c>
      <c r="N51" s="18" t="n">
        <v>0</v>
      </c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장기매입채무및기타채무</t>
        </is>
      </c>
      <c r="F52" s="9" t="n"/>
      <c r="K52" s="9" t="n"/>
      <c r="L52" s="18" t="n">
        <v>127.17</v>
      </c>
      <c r="M52" s="18" t="n">
        <v>127.17</v>
      </c>
      <c r="N52" s="18" t="n">
        <v>127.17</v>
      </c>
      <c r="O52" s="18" t="n">
        <v>0</v>
      </c>
      <c r="P52" s="37" t="n">
        <v>0</v>
      </c>
      <c r="T52" s="18" t="n">
        <v>0</v>
      </c>
      <c r="U52" s="37" t="n">
        <v>0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장기매출채권및기타채권</t>
        </is>
      </c>
      <c r="F53" s="9" t="n"/>
      <c r="K53" s="9" t="n"/>
      <c r="O53" s="18" t="n">
        <v>0</v>
      </c>
      <c r="P53" s="37" t="n">
        <v>0</v>
      </c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매각예정부채</t>
        </is>
      </c>
      <c r="F54" s="9" t="n"/>
      <c r="K54" s="9" t="n"/>
      <c r="O54" s="18" t="n">
        <v>0</v>
      </c>
      <c r="P54" s="37" t="n">
        <v>0</v>
      </c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장기금융부채(face)</t>
        </is>
      </c>
      <c r="F55" s="9" t="n"/>
      <c r="K55" s="9" t="n"/>
      <c r="O55" s="18" t="n">
        <v>49899.32</v>
      </c>
      <c r="P55" s="37" t="n">
        <v>49899.32</v>
      </c>
      <c r="U55" s="9" t="n"/>
      <c r="Z55" s="9" t="n"/>
      <c r="AB55" s="19" t="n">
        <v>1096911.14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단기투자자산(공정가치)</t>
        </is>
      </c>
      <c r="F56" s="9" t="n"/>
      <c r="K56" s="9" t="n"/>
      <c r="P56" s="9" t="n"/>
      <c r="U56" s="9" t="n"/>
      <c r="Z56" s="9" t="n"/>
      <c r="AB56" s="19" t="n">
        <v>37500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매출액(수익)</t>
        </is>
      </c>
      <c r="E57" s="18" t="n">
        <v>679524.8</v>
      </c>
      <c r="F57" s="9" t="n"/>
      <c r="G57" s="18" t="n">
        <v>429564.43</v>
      </c>
      <c r="H57" s="18" t="n">
        <v>510494.18</v>
      </c>
      <c r="I57" s="18" t="n">
        <v>459399.84</v>
      </c>
      <c r="J57" s="18" t="n">
        <v>788543.91</v>
      </c>
      <c r="K57" s="37" t="n">
        <v>2188002.36</v>
      </c>
      <c r="L57" s="18" t="n">
        <v>439516.49</v>
      </c>
      <c r="M57" s="18" t="n">
        <v>610676.67</v>
      </c>
      <c r="N57" s="18" t="n">
        <v>620823.05</v>
      </c>
      <c r="O57" s="18" t="n">
        <v>782063.33</v>
      </c>
      <c r="P57" s="37" t="n">
        <v>2453079.54</v>
      </c>
      <c r="Q57" s="18" t="n">
        <v>544363.76</v>
      </c>
      <c r="R57" s="18" t="n">
        <v>687318.65</v>
      </c>
      <c r="S57" s="18" t="n">
        <v>639172.02</v>
      </c>
      <c r="T57" s="18" t="n">
        <v>932831.63</v>
      </c>
      <c r="U57" s="37" t="n">
        <v>2803686.06</v>
      </c>
      <c r="V57" s="18" t="n">
        <v>690100.71</v>
      </c>
      <c r="W57" s="18" t="n">
        <v>768190.55</v>
      </c>
      <c r="X57" s="18" t="n">
        <v>807736.58</v>
      </c>
      <c r="Y57" s="18" t="n">
        <v>1398122.73</v>
      </c>
      <c r="Z57" s="37" t="n">
        <v>3664150.57</v>
      </c>
      <c r="AA57" s="18" t="n">
        <v>807099.1899999999</v>
      </c>
      <c r="AB57" s="19" t="n">
        <v>1117551.66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매출원가</t>
        </is>
      </c>
      <c r="E58" s="18" t="n">
        <v>614496.3199999999</v>
      </c>
      <c r="F58" s="9" t="n"/>
      <c r="G58" s="18" t="n">
        <v>365999.66</v>
      </c>
      <c r="H58" s="18" t="n">
        <v>438747.17</v>
      </c>
      <c r="I58" s="18" t="n">
        <v>402722.09</v>
      </c>
      <c r="J58" s="18" t="n">
        <v>727219.99</v>
      </c>
      <c r="K58" s="37" t="n">
        <v>1934688.91</v>
      </c>
      <c r="L58" s="18" t="n">
        <v>374825.19</v>
      </c>
      <c r="M58" s="18" t="n">
        <v>526282.88</v>
      </c>
      <c r="N58" s="18" t="n">
        <v>533282.67</v>
      </c>
      <c r="O58" s="18" t="n">
        <v>714379.65</v>
      </c>
      <c r="P58" s="37" t="n">
        <v>2148770.39</v>
      </c>
      <c r="Q58" s="18" t="n">
        <v>458056.49</v>
      </c>
      <c r="R58" s="18" t="n">
        <v>559965.96</v>
      </c>
      <c r="S58" s="18" t="n">
        <v>533232.86</v>
      </c>
      <c r="T58" s="18" t="n">
        <v>836638.23</v>
      </c>
      <c r="U58" s="37" t="n">
        <v>2387893.54</v>
      </c>
      <c r="V58" s="18" t="n">
        <v>578635.67</v>
      </c>
      <c r="W58" s="18" t="n">
        <v>674777.55</v>
      </c>
      <c r="X58" s="18" t="n">
        <v>721119.63</v>
      </c>
      <c r="Y58" s="18" t="n">
        <v>1297885.43</v>
      </c>
      <c r="Z58" s="37" t="n">
        <v>3272418.28</v>
      </c>
      <c r="AA58" s="18" t="n">
        <v>698573.34</v>
      </c>
      <c r="AB58" s="19" t="n">
        <v>933202.5600000001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매출총이익</t>
        </is>
      </c>
      <c r="E59" s="18" t="n">
        <v>65028.49</v>
      </c>
      <c r="F59" s="9" t="n"/>
      <c r="G59" s="18" t="n">
        <v>63564.76</v>
      </c>
      <c r="H59" s="18" t="n">
        <v>71747</v>
      </c>
      <c r="I59" s="18" t="n">
        <v>56677.75</v>
      </c>
      <c r="J59" s="18" t="n">
        <v>61323.92</v>
      </c>
      <c r="K59" s="37" t="n">
        <v>253313.43</v>
      </c>
      <c r="L59" s="18" t="n">
        <v>64691.3</v>
      </c>
      <c r="M59" s="18" t="n">
        <v>84393.78</v>
      </c>
      <c r="N59" s="18" t="n">
        <v>87540.38</v>
      </c>
      <c r="O59" s="18" t="n">
        <v>67683.67999999999</v>
      </c>
      <c r="P59" s="37" t="n">
        <v>304309.14</v>
      </c>
      <c r="Q59" s="18" t="n">
        <v>86307.27</v>
      </c>
      <c r="R59" s="18" t="n">
        <v>127352.69</v>
      </c>
      <c r="S59" s="18" t="n">
        <v>105939.17</v>
      </c>
      <c r="T59" s="18" t="n">
        <v>96193.39999999999</v>
      </c>
      <c r="U59" s="37" t="n">
        <v>415792.53</v>
      </c>
      <c r="V59" s="18" t="n">
        <v>111465.04</v>
      </c>
      <c r="W59" s="18" t="n">
        <v>93413</v>
      </c>
      <c r="X59" s="18" t="n">
        <v>86616.96000000001</v>
      </c>
      <c r="Y59" s="18" t="n">
        <v>100237.3</v>
      </c>
      <c r="Z59" s="37" t="n">
        <v>391732.3</v>
      </c>
      <c r="AA59" s="18" t="n">
        <v>108525.85</v>
      </c>
      <c r="AB59" s="19" t="n">
        <v>184349.1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판관비</t>
        </is>
      </c>
      <c r="E60" s="18" t="n">
        <v>57680.09</v>
      </c>
      <c r="F60" s="9" t="n"/>
      <c r="G60" s="18" t="n">
        <v>48402.79</v>
      </c>
      <c r="H60" s="18" t="n">
        <v>55320.07</v>
      </c>
      <c r="I60" s="18" t="n">
        <v>56136.4</v>
      </c>
      <c r="J60" s="18" t="n">
        <v>69431.97</v>
      </c>
      <c r="K60" s="37" t="n">
        <v>229291.23</v>
      </c>
      <c r="L60" s="18" t="n">
        <v>56305.61</v>
      </c>
      <c r="M60" s="18" t="n">
        <v>58461.6</v>
      </c>
      <c r="N60" s="18" t="n">
        <v>50207.83</v>
      </c>
      <c r="O60" s="18" t="n">
        <v>46463.38</v>
      </c>
      <c r="P60" s="37" t="n">
        <v>211438.42</v>
      </c>
      <c r="Q60" s="18" t="n">
        <v>47042.89</v>
      </c>
      <c r="R60" s="18" t="n">
        <v>47515.4</v>
      </c>
      <c r="S60" s="18" t="n">
        <v>48940.46</v>
      </c>
      <c r="T60" s="18" t="n">
        <v>52948.47</v>
      </c>
      <c r="U60" s="37" t="n">
        <v>196447.22</v>
      </c>
      <c r="V60" s="18" t="n">
        <v>53300.69</v>
      </c>
      <c r="W60" s="18" t="n">
        <v>59961.53</v>
      </c>
      <c r="X60" s="18" t="n">
        <v>64095.96</v>
      </c>
      <c r="Y60" s="18" t="n">
        <v>94475.39</v>
      </c>
      <c r="Z60" s="37" t="n">
        <v>271833.57</v>
      </c>
      <c r="AA60" s="18" t="n">
        <v>74241.36</v>
      </c>
      <c r="AB60" s="19" t="n">
        <v>80697.21000000001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영업이익</t>
        </is>
      </c>
      <c r="E61" s="18" t="n">
        <v>7348.38</v>
      </c>
      <c r="F61" s="9" t="n"/>
      <c r="G61" s="18" t="n">
        <v>15161.97</v>
      </c>
      <c r="H61" s="18" t="n">
        <v>16426.93</v>
      </c>
      <c r="I61" s="18" t="n">
        <v>541.35</v>
      </c>
      <c r="J61" s="18" t="n">
        <v>-8108.05</v>
      </c>
      <c r="K61" s="37" t="n">
        <v>24022.2</v>
      </c>
      <c r="L61" s="18" t="n">
        <v>8385.690000000001</v>
      </c>
      <c r="M61" s="18" t="n">
        <v>25932.19</v>
      </c>
      <c r="N61" s="18" t="n">
        <v>37332.55</v>
      </c>
      <c r="O61" s="18" t="n">
        <v>21220.3</v>
      </c>
      <c r="P61" s="37" t="n">
        <v>92870.73</v>
      </c>
      <c r="Q61" s="18" t="n">
        <v>39264.37</v>
      </c>
      <c r="R61" s="18" t="n">
        <v>79837.28999999999</v>
      </c>
      <c r="S61" s="18" t="n">
        <v>56998.7</v>
      </c>
      <c r="T61" s="18" t="n">
        <v>43244.94</v>
      </c>
      <c r="U61" s="37" t="n">
        <v>219345.3</v>
      </c>
      <c r="V61" s="18" t="n">
        <v>58164.35</v>
      </c>
      <c r="W61" s="18" t="n">
        <v>33451.47</v>
      </c>
      <c r="X61" s="18" t="n">
        <v>22520.99</v>
      </c>
      <c r="Y61" s="18" t="n">
        <v>5761.91</v>
      </c>
      <c r="Z61" s="37" t="n">
        <v>119898.72</v>
      </c>
      <c r="AA61" s="18" t="n">
        <v>34284.49</v>
      </c>
      <c r="AB61" s="19" t="n">
        <v>103651.89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기타영업외수익</t>
        </is>
      </c>
      <c r="E62" s="18" t="n">
        <v>26302.88</v>
      </c>
      <c r="F62" s="9" t="n"/>
      <c r="G62" s="18" t="n">
        <v>892.7</v>
      </c>
      <c r="H62" s="18" t="n">
        <v>167.1</v>
      </c>
      <c r="I62" s="18" t="n">
        <v>291.49</v>
      </c>
      <c r="J62" s="18" t="n">
        <v>6727.42</v>
      </c>
      <c r="K62" s="37" t="n">
        <v>8078.71</v>
      </c>
      <c r="L62" s="18" t="n">
        <v>214767.76</v>
      </c>
      <c r="M62" s="18" t="n">
        <v>119784.94</v>
      </c>
      <c r="N62" s="18" t="n">
        <v>-3436.2</v>
      </c>
      <c r="O62" s="18" t="n">
        <v>51555.05</v>
      </c>
      <c r="P62" s="37" t="n">
        <v>382671.55</v>
      </c>
      <c r="Q62" s="18" t="n">
        <v>43964</v>
      </c>
      <c r="R62" s="18" t="n">
        <v>-4703.06</v>
      </c>
      <c r="S62" s="18" t="n">
        <v>5775.49</v>
      </c>
      <c r="T62" s="18" t="n">
        <v>426152.72</v>
      </c>
      <c r="U62" s="37" t="n">
        <v>471189.15</v>
      </c>
      <c r="V62" s="18" t="n">
        <v>39556.43</v>
      </c>
      <c r="W62" s="18" t="n">
        <v>85352.00999999999</v>
      </c>
      <c r="X62" s="18" t="n">
        <v>52533.21</v>
      </c>
      <c r="Y62" s="18" t="n">
        <v>-31095.65</v>
      </c>
      <c r="Z62" s="37" t="n">
        <v>146346</v>
      </c>
      <c r="AA62" s="18" t="n">
        <v>8075.17</v>
      </c>
      <c r="AB62" s="19" t="n">
        <v>3518.91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기타영업외비용</t>
        </is>
      </c>
      <c r="E63" s="18" t="n">
        <v>7105.5</v>
      </c>
      <c r="F63" s="9" t="n"/>
      <c r="G63" s="18" t="n">
        <v>1643.53</v>
      </c>
      <c r="H63" s="18" t="n">
        <v>54041.65</v>
      </c>
      <c r="I63" s="18" t="n">
        <v>3849.57</v>
      </c>
      <c r="J63" s="18" t="n">
        <v>26084.71</v>
      </c>
      <c r="K63" s="37" t="n">
        <v>85619.46000000001</v>
      </c>
      <c r="L63" s="18" t="n">
        <v>2331.2</v>
      </c>
      <c r="M63" s="18" t="n">
        <v>3127.75</v>
      </c>
      <c r="N63" s="18" t="n">
        <v>3159.15</v>
      </c>
      <c r="O63" s="18" t="n">
        <v>37621.12</v>
      </c>
      <c r="P63" s="37" t="n">
        <v>46239.22</v>
      </c>
      <c r="Q63" s="18" t="n">
        <v>1815.71</v>
      </c>
      <c r="R63" s="18" t="n">
        <v>50429.7</v>
      </c>
      <c r="S63" s="18" t="n">
        <v>4311.36</v>
      </c>
      <c r="T63" s="18" t="n">
        <v>48624.74</v>
      </c>
      <c r="U63" s="37" t="n">
        <v>105181.51</v>
      </c>
      <c r="V63" s="18" t="n">
        <v>62821.42</v>
      </c>
      <c r="W63" s="18" t="n">
        <v>15729.01</v>
      </c>
      <c r="X63" s="18" t="n">
        <v>467.73</v>
      </c>
      <c r="Y63" s="18" t="n">
        <v>73804.64999999999</v>
      </c>
      <c r="Z63" s="37" t="n">
        <v>152822.81</v>
      </c>
      <c r="AA63" s="18" t="n">
        <v>161942.07</v>
      </c>
      <c r="AB63" s="19" t="n">
        <v>30107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금융수익</t>
        </is>
      </c>
      <c r="E64" s="18" t="n">
        <v>3286.11</v>
      </c>
      <c r="F64" s="9" t="n"/>
      <c r="G64" s="18" t="n">
        <v>9508.629999999999</v>
      </c>
      <c r="H64" s="18" t="n">
        <v>7999.56</v>
      </c>
      <c r="I64" s="18" t="n">
        <v>22206.52</v>
      </c>
      <c r="J64" s="18" t="n">
        <v>-3892.62</v>
      </c>
      <c r="K64" s="37" t="n">
        <v>35822.09</v>
      </c>
      <c r="L64" s="18" t="n">
        <v>14675.94</v>
      </c>
      <c r="M64" s="18" t="n">
        <v>8329.209999999999</v>
      </c>
      <c r="N64" s="18" t="n">
        <v>10329.05</v>
      </c>
      <c r="O64" s="18" t="n">
        <v>-1611.54</v>
      </c>
      <c r="P64" s="37" t="n">
        <v>31722.66</v>
      </c>
      <c r="Q64" s="18" t="n">
        <v>8653.790000000001</v>
      </c>
      <c r="R64" s="18" t="n">
        <v>8352.42</v>
      </c>
      <c r="S64" s="18" t="n">
        <v>2103.12</v>
      </c>
      <c r="T64" s="18" t="n">
        <v>28954.28</v>
      </c>
      <c r="U64" s="37" t="n">
        <v>48063.61</v>
      </c>
      <c r="V64" s="18" t="n">
        <v>16395.09</v>
      </c>
      <c r="W64" s="18" t="n">
        <v>12005.64</v>
      </c>
      <c r="X64" s="18" t="n">
        <v>21018.27</v>
      </c>
      <c r="Y64" s="18" t="n">
        <v>3907.33</v>
      </c>
      <c r="Z64" s="37" t="n">
        <v>53326.33</v>
      </c>
      <c r="AA64" s="18" t="n">
        <v>36184.39</v>
      </c>
      <c r="AB64" s="19" t="n">
        <v>26151.87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금융비용</t>
        </is>
      </c>
      <c r="E65" s="18" t="n">
        <v>255.56</v>
      </c>
      <c r="F65" s="9" t="n"/>
      <c r="G65" s="18" t="n">
        <v>2039.75</v>
      </c>
      <c r="H65" s="18" t="n">
        <v>1229.43</v>
      </c>
      <c r="I65" s="18" t="n">
        <v>2707.21</v>
      </c>
      <c r="J65" s="18" t="n">
        <v>6638.27</v>
      </c>
      <c r="K65" s="37" t="n">
        <v>12614.66</v>
      </c>
      <c r="L65" s="18" t="n">
        <v>3254.83</v>
      </c>
      <c r="M65" s="18" t="n">
        <v>3200.66</v>
      </c>
      <c r="N65" s="18" t="n">
        <v>4400.08</v>
      </c>
      <c r="O65" s="18" t="n">
        <v>6929.32</v>
      </c>
      <c r="P65" s="37" t="n">
        <v>17784.89</v>
      </c>
      <c r="Q65" s="18" t="n">
        <v>5229.79</v>
      </c>
      <c r="R65" s="18" t="n">
        <v>6397.55</v>
      </c>
      <c r="S65" s="18" t="n">
        <v>24490.67</v>
      </c>
      <c r="T65" s="18" t="n">
        <v>3289.25</v>
      </c>
      <c r="U65" s="37" t="n">
        <v>39407.26</v>
      </c>
      <c r="V65" s="18" t="n">
        <v>10108.29</v>
      </c>
      <c r="W65" s="18" t="n">
        <v>35539.5</v>
      </c>
      <c r="X65" s="18" t="n">
        <v>-2472.48</v>
      </c>
      <c r="Y65" s="18" t="n">
        <v>3276.25</v>
      </c>
      <c r="Z65" s="37" t="n">
        <v>46451.56</v>
      </c>
      <c r="AA65" s="18" t="n">
        <v>25285.27</v>
      </c>
      <c r="AB65" s="19" t="n">
        <v>43068.36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종속기업,공동지배기업및관계기업관련손익</t>
        </is>
      </c>
      <c r="E66" s="18" t="n">
        <v>-4036.03</v>
      </c>
      <c r="F66" s="9" t="n"/>
      <c r="G66" s="18" t="n">
        <v>-4649</v>
      </c>
      <c r="H66" s="18" t="n">
        <v>-7363.58</v>
      </c>
      <c r="I66" s="18" t="n">
        <v>-7269.39</v>
      </c>
      <c r="J66" s="18" t="n">
        <v>-7426.34</v>
      </c>
      <c r="K66" s="37" t="n">
        <v>-26708.31</v>
      </c>
      <c r="L66" s="18" t="n">
        <v>-7617.2</v>
      </c>
      <c r="M66" s="18" t="n">
        <v>-38771.44</v>
      </c>
      <c r="N66" s="18" t="n">
        <v>14887.31</v>
      </c>
      <c r="O66" s="18" t="n">
        <v>1706.5</v>
      </c>
      <c r="P66" s="37" t="n">
        <v>-29794.83</v>
      </c>
      <c r="Q66" s="18" t="n">
        <v>-23995.83</v>
      </c>
      <c r="R66" s="18" t="n">
        <v>-18091.53</v>
      </c>
      <c r="S66" s="18" t="n">
        <v>-21619.62</v>
      </c>
      <c r="T66" s="18" t="n">
        <v>51110.63</v>
      </c>
      <c r="U66" s="37" t="n">
        <v>-12596.35</v>
      </c>
      <c r="V66" s="18" t="n">
        <v>-1914.58</v>
      </c>
      <c r="W66" s="18" t="n">
        <v>-1150.11</v>
      </c>
      <c r="X66" s="18" t="n">
        <v>-977.15</v>
      </c>
      <c r="Y66" s="18" t="n">
        <v>-1272.54</v>
      </c>
      <c r="Z66" s="37" t="n">
        <v>-5314.38</v>
      </c>
      <c r="AA66" s="18" t="n">
        <v>-7018.32</v>
      </c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지분법관련손익</t>
        </is>
      </c>
      <c r="E67" s="18" t="n">
        <v>-4036.03</v>
      </c>
      <c r="F67" s="9" t="n"/>
      <c r="G67" s="18" t="n">
        <v>-4649</v>
      </c>
      <c r="H67" s="18" t="n">
        <v>-7363.58</v>
      </c>
      <c r="I67" s="18" t="n">
        <v>-7269.39</v>
      </c>
      <c r="J67" s="18" t="n">
        <v>-7426.34</v>
      </c>
      <c r="K67" s="37" t="n">
        <v>-26708.31</v>
      </c>
      <c r="L67" s="18" t="n">
        <v>-7617.2</v>
      </c>
      <c r="M67" s="18" t="n">
        <v>-38771.44</v>
      </c>
      <c r="N67" s="18" t="n">
        <v>14887.31</v>
      </c>
      <c r="O67" s="18" t="n">
        <v>1706.5</v>
      </c>
      <c r="P67" s="37" t="n">
        <v>-29794.83</v>
      </c>
      <c r="Q67" s="18" t="n">
        <v>-23995.83</v>
      </c>
      <c r="R67" s="18" t="n">
        <v>-18091.53</v>
      </c>
      <c r="S67" s="18" t="n">
        <v>-21619.62</v>
      </c>
      <c r="T67" s="18" t="n">
        <v>51110.63</v>
      </c>
      <c r="U67" s="37" t="n">
        <v>-12596.35</v>
      </c>
      <c r="V67" s="18" t="n">
        <v>-1914.58</v>
      </c>
      <c r="W67" s="18" t="n">
        <v>-1150.11</v>
      </c>
      <c r="X67" s="18" t="n">
        <v>-977.15</v>
      </c>
      <c r="Y67" s="18" t="n">
        <v>-1272.54</v>
      </c>
      <c r="Z67" s="37" t="n">
        <v>-5314.38</v>
      </c>
      <c r="AA67" s="18" t="n">
        <v>-7018.32</v>
      </c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법인세비용차감전계속사업이익</t>
        </is>
      </c>
      <c r="E68" s="18" t="n">
        <v>25540.28</v>
      </c>
      <c r="F68" s="9" t="n"/>
      <c r="G68" s="18" t="n">
        <v>17231.01</v>
      </c>
      <c r="H68" s="18" t="n">
        <v>-38041.06</v>
      </c>
      <c r="I68" s="18" t="n">
        <v>9213.190000000001</v>
      </c>
      <c r="J68" s="18" t="n">
        <v>-45422.58</v>
      </c>
      <c r="K68" s="37" t="n">
        <v>-57019.44</v>
      </c>
      <c r="L68" s="18" t="n">
        <v>224626.17</v>
      </c>
      <c r="M68" s="18" t="n">
        <v>108946.49</v>
      </c>
      <c r="N68" s="18" t="n">
        <v>51553.49</v>
      </c>
      <c r="O68" s="18" t="n">
        <v>28319.87</v>
      </c>
      <c r="P68" s="37" t="n">
        <v>413446.02</v>
      </c>
      <c r="Q68" s="18" t="n">
        <v>60840.83</v>
      </c>
      <c r="R68" s="18" t="n">
        <v>8567.879999999999</v>
      </c>
      <c r="S68" s="18" t="n">
        <v>14455.67</v>
      </c>
      <c r="T68" s="18" t="n">
        <v>497548.55</v>
      </c>
      <c r="U68" s="37" t="n">
        <v>581412.9300000001</v>
      </c>
      <c r="V68" s="18" t="n">
        <v>39271.58</v>
      </c>
      <c r="W68" s="18" t="n">
        <v>78390.5</v>
      </c>
      <c r="X68" s="18" t="n">
        <v>97100.08</v>
      </c>
      <c r="Y68" s="18" t="n">
        <v>-99779.85000000001</v>
      </c>
      <c r="Z68" s="37" t="n">
        <v>114982.31</v>
      </c>
      <c r="AA68" s="18" t="n">
        <v>-115701.62</v>
      </c>
      <c r="AB68" s="19" t="n">
        <v>54367.43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</t>
        </is>
      </c>
      <c r="E69" s="18" t="n">
        <v>4681.22</v>
      </c>
      <c r="F69" s="9" t="n"/>
      <c r="G69" s="18" t="n">
        <v>6634.18</v>
      </c>
      <c r="H69" s="18" t="n">
        <v>8353.92</v>
      </c>
      <c r="I69" s="18" t="n">
        <v>6633.46</v>
      </c>
      <c r="J69" s="18" t="n">
        <v>2119.19</v>
      </c>
      <c r="K69" s="37" t="n">
        <v>23740.75</v>
      </c>
      <c r="L69" s="18" t="n">
        <v>39687.26</v>
      </c>
      <c r="M69" s="18" t="n">
        <v>34205.2</v>
      </c>
      <c r="N69" s="18" t="n">
        <v>10396.65</v>
      </c>
      <c r="O69" s="18" t="n">
        <v>-26894.19</v>
      </c>
      <c r="P69" s="37" t="n">
        <v>57394.92</v>
      </c>
      <c r="Q69" s="18" t="n">
        <v>9132.08</v>
      </c>
      <c r="R69" s="18" t="n">
        <v>-18463.74</v>
      </c>
      <c r="S69" s="18" t="n">
        <v>5839.31</v>
      </c>
      <c r="T69" s="18" t="n">
        <v>107750.9</v>
      </c>
      <c r="U69" s="37" t="n">
        <v>104258.55</v>
      </c>
      <c r="V69" s="18" t="n">
        <v>5838.64</v>
      </c>
      <c r="W69" s="18" t="n">
        <v>30941.67</v>
      </c>
      <c r="X69" s="18" t="n">
        <v>-54834.78</v>
      </c>
      <c r="Y69" s="18" t="n">
        <v>-67683.28999999999</v>
      </c>
      <c r="Z69" s="37" t="n">
        <v>-85737.75999999999</v>
      </c>
      <c r="AA69" s="18" t="n">
        <v>-26663</v>
      </c>
      <c r="AB69" s="19" t="n">
        <v>2683.28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계속사업이익</t>
        </is>
      </c>
      <c r="E70" s="18" t="n">
        <v>20859.06</v>
      </c>
      <c r="F70" s="9" t="n"/>
      <c r="G70" s="18" t="n">
        <v>10596.83</v>
      </c>
      <c r="H70" s="18" t="n">
        <v>-46394.98</v>
      </c>
      <c r="I70" s="18" t="n">
        <v>2579.72</v>
      </c>
      <c r="J70" s="18" t="n">
        <v>-47541.76</v>
      </c>
      <c r="K70" s="37" t="n">
        <v>-80760.19</v>
      </c>
      <c r="L70" s="18" t="n">
        <v>184938.9</v>
      </c>
      <c r="M70" s="18" t="n">
        <v>74741.28999999999</v>
      </c>
      <c r="N70" s="18" t="n">
        <v>41156.85</v>
      </c>
      <c r="O70" s="18" t="n">
        <v>55214.05</v>
      </c>
      <c r="P70" s="37" t="n">
        <v>356051.09</v>
      </c>
      <c r="Q70" s="18" t="n">
        <v>51708.75</v>
      </c>
      <c r="R70" s="18" t="n">
        <v>27031.61</v>
      </c>
      <c r="S70" s="18" t="n">
        <v>8616.360000000001</v>
      </c>
      <c r="T70" s="18" t="n">
        <v>389797.66</v>
      </c>
      <c r="U70" s="37" t="n">
        <v>477154.38</v>
      </c>
      <c r="V70" s="18" t="n">
        <v>33432.94</v>
      </c>
      <c r="W70" s="18" t="n">
        <v>47448.83</v>
      </c>
      <c r="X70" s="18" t="n">
        <v>151934.85</v>
      </c>
      <c r="Y70" s="18" t="n">
        <v>-32096.56</v>
      </c>
      <c r="Z70" s="37" t="n">
        <v>200720.06</v>
      </c>
      <c r="AA70" s="18" t="n">
        <v>-89038.63</v>
      </c>
      <c r="AB70" s="19" t="n">
        <v>51684.15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20859.06</v>
      </c>
      <c r="F71" s="9" t="n"/>
      <c r="G71" s="18" t="n">
        <v>10596.83</v>
      </c>
      <c r="H71" s="18" t="n">
        <v>-46394.98</v>
      </c>
      <c r="I71" s="18" t="n">
        <v>2579.72</v>
      </c>
      <c r="J71" s="18" t="n">
        <v>-47541.76</v>
      </c>
      <c r="K71" s="37" t="n">
        <v>-80760.19</v>
      </c>
      <c r="L71" s="18" t="n">
        <v>184938.9</v>
      </c>
      <c r="M71" s="18" t="n">
        <v>74741.28999999999</v>
      </c>
      <c r="N71" s="18" t="n">
        <v>41156.85</v>
      </c>
      <c r="O71" s="18" t="n">
        <v>42246.25</v>
      </c>
      <c r="P71" s="37" t="n">
        <v>343083.29</v>
      </c>
      <c r="Q71" s="18" t="n">
        <v>50323.26</v>
      </c>
      <c r="R71" s="18" t="n">
        <v>27036.13</v>
      </c>
      <c r="S71" s="18" t="n">
        <v>8144.57</v>
      </c>
      <c r="T71" s="18" t="n">
        <v>359874.87</v>
      </c>
      <c r="U71" s="37" t="n">
        <v>445378.83</v>
      </c>
      <c r="V71" s="18" t="n">
        <v>40969.85</v>
      </c>
      <c r="W71" s="18" t="n">
        <v>47009.43</v>
      </c>
      <c r="X71" s="18" t="n">
        <v>151796.4</v>
      </c>
      <c r="Y71" s="18" t="n">
        <v>-30630.39</v>
      </c>
      <c r="Z71" s="37" t="n">
        <v>209145.29</v>
      </c>
      <c r="AA71" s="18" t="n">
        <v>-95751.91</v>
      </c>
      <c r="AB71" s="19" t="n">
        <v>52742.89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(지배주주지분)당기순이익</t>
        </is>
      </c>
      <c r="E72" s="18" t="n">
        <v>21295.64</v>
      </c>
      <c r="F72" s="9" t="n"/>
      <c r="G72" s="18" t="n">
        <v>11614.07</v>
      </c>
      <c r="H72" s="18" t="n">
        <v>-45523.54</v>
      </c>
      <c r="I72" s="18" t="n">
        <v>3569.87</v>
      </c>
      <c r="J72" s="18" t="n">
        <v>-46216.2</v>
      </c>
      <c r="K72" s="37" t="n">
        <v>-76555.8</v>
      </c>
      <c r="L72" s="18" t="n">
        <v>186368.28</v>
      </c>
      <c r="M72" s="18" t="n">
        <v>76324.97</v>
      </c>
      <c r="N72" s="18" t="n">
        <v>42828.56</v>
      </c>
      <c r="O72" s="18" t="n">
        <v>43699.48</v>
      </c>
      <c r="P72" s="37" t="n">
        <v>349221.29</v>
      </c>
      <c r="Q72" s="18" t="n">
        <v>51805.06</v>
      </c>
      <c r="R72" s="18" t="n">
        <v>28297.24</v>
      </c>
      <c r="S72" s="18" t="n">
        <v>9402.190000000001</v>
      </c>
      <c r="T72" s="18" t="n">
        <v>364795.58</v>
      </c>
      <c r="U72" s="37" t="n">
        <v>454300.07</v>
      </c>
      <c r="V72" s="18" t="n">
        <v>37834.9</v>
      </c>
      <c r="W72" s="18" t="n">
        <v>40905.5</v>
      </c>
      <c r="X72" s="18" t="n">
        <v>151677.31</v>
      </c>
      <c r="Y72" s="18" t="n">
        <v>11814.06</v>
      </c>
      <c r="Z72" s="37" t="n">
        <v>242231.77</v>
      </c>
      <c r="AA72" s="18" t="n">
        <v>-54978.69</v>
      </c>
      <c r="AB72" s="19" t="n">
        <v>67081.56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18786.23</v>
      </c>
      <c r="F73" s="9" t="n"/>
      <c r="G73" s="18" t="n">
        <v>8553.030000000001</v>
      </c>
      <c r="H73" s="18" t="n">
        <v>-38847.14</v>
      </c>
      <c r="I73" s="18" t="n">
        <v>33595.26</v>
      </c>
      <c r="J73" s="18" t="n">
        <v>-200393.05</v>
      </c>
      <c r="K73" s="37" t="n">
        <v>-197091.9</v>
      </c>
      <c r="L73" s="18" t="n">
        <v>174677.15</v>
      </c>
      <c r="M73" s="18" t="n">
        <v>66221.27</v>
      </c>
      <c r="N73" s="18" t="n">
        <v>30276.65</v>
      </c>
      <c r="O73" s="18" t="n">
        <v>-104492.34</v>
      </c>
      <c r="P73" s="37" t="n">
        <v>166682.73</v>
      </c>
      <c r="Q73" s="18" t="n">
        <v>63720.92</v>
      </c>
      <c r="R73" s="18" t="n">
        <v>30174.31</v>
      </c>
      <c r="S73" s="18" t="n">
        <v>-2507.19</v>
      </c>
      <c r="T73" s="18" t="n">
        <v>319417.28</v>
      </c>
      <c r="U73" s="37" t="n">
        <v>410805.32</v>
      </c>
      <c r="V73" s="18" t="n">
        <v>933551.25</v>
      </c>
      <c r="W73" s="18" t="n">
        <v>370631.17</v>
      </c>
      <c r="X73" s="18" t="n">
        <v>1051655.88</v>
      </c>
      <c r="Y73" s="18" t="n">
        <v>41169.54</v>
      </c>
      <c r="Z73" s="37" t="n">
        <v>2397007.84</v>
      </c>
      <c r="AA73" s="18" t="n">
        <v>134119.67</v>
      </c>
      <c r="AB73" s="19" t="n">
        <v>-473761.3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3030.55</v>
      </c>
      <c r="F74" s="9" t="n"/>
      <c r="G74" s="18" t="n">
        <v>7468.88</v>
      </c>
      <c r="H74" s="18" t="n">
        <v>6770.13</v>
      </c>
      <c r="I74" s="18" t="n">
        <v>19499.31</v>
      </c>
      <c r="J74" s="18" t="n">
        <v>-10530.89</v>
      </c>
      <c r="K74" s="37" t="n">
        <v>23207.43</v>
      </c>
      <c r="L74" s="18" t="n">
        <v>11421.11</v>
      </c>
      <c r="M74" s="18" t="n">
        <v>5128.55</v>
      </c>
      <c r="N74" s="18" t="n">
        <v>5928.97</v>
      </c>
      <c r="O74" s="18" t="n">
        <v>-8540.860000000001</v>
      </c>
      <c r="P74" s="37" t="n">
        <v>13937.77</v>
      </c>
      <c r="Q74" s="18" t="n">
        <v>3424</v>
      </c>
      <c r="R74" s="18" t="n">
        <v>1954.87</v>
      </c>
      <c r="S74" s="18" t="n">
        <v>-22387.55</v>
      </c>
      <c r="T74" s="18" t="n">
        <v>25665.03</v>
      </c>
      <c r="U74" s="37" t="n">
        <v>8656.35</v>
      </c>
      <c r="V74" s="18" t="n">
        <v>6286.8</v>
      </c>
      <c r="W74" s="18" t="n">
        <v>-23533.86</v>
      </c>
      <c r="X74" s="18" t="n">
        <v>23490.75</v>
      </c>
      <c r="Y74" s="18" t="n">
        <v>631.08</v>
      </c>
      <c r="Z74" s="37" t="n">
        <v>6874.77</v>
      </c>
      <c r="AA74" s="18" t="n">
        <v>10899.12</v>
      </c>
      <c r="AB74" s="19" t="n">
        <v>-16916.49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19197.38</v>
      </c>
      <c r="F75" s="9" t="n"/>
      <c r="G75" s="18" t="n">
        <v>-750.83</v>
      </c>
      <c r="H75" s="18" t="n">
        <v>-53874.55</v>
      </c>
      <c r="I75" s="18" t="n">
        <v>-3558.08</v>
      </c>
      <c r="J75" s="18" t="n">
        <v>-19357.29</v>
      </c>
      <c r="K75" s="37" t="n">
        <v>-77540.75</v>
      </c>
      <c r="L75" s="18" t="n">
        <v>212436.56</v>
      </c>
      <c r="M75" s="18" t="n">
        <v>116657.19</v>
      </c>
      <c r="N75" s="18" t="n">
        <v>-6595.35</v>
      </c>
      <c r="O75" s="18" t="n">
        <v>13933.93</v>
      </c>
      <c r="P75" s="37" t="n">
        <v>336432.33</v>
      </c>
      <c r="Q75" s="18" t="n">
        <v>42148.29</v>
      </c>
      <c r="R75" s="18" t="n">
        <v>-55132.76</v>
      </c>
      <c r="S75" s="18" t="n">
        <v>1464.13</v>
      </c>
      <c r="T75" s="18" t="n">
        <v>377527.98</v>
      </c>
      <c r="U75" s="37" t="n">
        <v>366007.64</v>
      </c>
      <c r="V75" s="18" t="n">
        <v>-23264.99</v>
      </c>
      <c r="W75" s="18" t="n">
        <v>69623</v>
      </c>
      <c r="X75" s="18" t="n">
        <v>52065.48</v>
      </c>
      <c r="Y75" s="18" t="n">
        <v>-104900.3</v>
      </c>
      <c r="Z75" s="37" t="n">
        <v>-6476.81</v>
      </c>
      <c r="AA75" s="18" t="n">
        <v>-153866.9</v>
      </c>
      <c r="AB75" s="19" t="n">
        <v>-26588.09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(비지배주주지분)당기순이익</t>
        </is>
      </c>
      <c r="F76" s="9" t="n"/>
      <c r="G76" s="18" t="n">
        <v>-1017.24</v>
      </c>
      <c r="H76" s="18" t="n">
        <v>-871.4400000000001</v>
      </c>
      <c r="I76" s="18" t="n">
        <v>-990.15</v>
      </c>
      <c r="J76" s="18" t="n">
        <v>-1325.57</v>
      </c>
      <c r="K76" s="37" t="n">
        <v>-4204.4</v>
      </c>
      <c r="L76" s="18" t="n">
        <v>-1429.37</v>
      </c>
      <c r="M76" s="18" t="n">
        <v>-1583.68</v>
      </c>
      <c r="N76" s="18" t="n">
        <v>-1671.72</v>
      </c>
      <c r="O76" s="18" t="n">
        <v>-1453.22</v>
      </c>
      <c r="P76" s="37" t="n">
        <v>-6137.99</v>
      </c>
      <c r="Q76" s="18" t="n">
        <v>-1481.8</v>
      </c>
      <c r="R76" s="18" t="n">
        <v>-1261.1</v>
      </c>
      <c r="S76" s="18" t="n">
        <v>-1257.62</v>
      </c>
      <c r="T76" s="18" t="n">
        <v>-4920.7</v>
      </c>
      <c r="U76" s="37" t="n">
        <v>-8921.219999999999</v>
      </c>
      <c r="V76" s="18" t="n">
        <v>3134.95</v>
      </c>
      <c r="W76" s="18" t="n">
        <v>6103.92</v>
      </c>
      <c r="X76" s="18" t="n">
        <v>119.1</v>
      </c>
      <c r="Y76" s="18" t="n">
        <v>-42444.46</v>
      </c>
      <c r="Z76" s="37" t="n">
        <v>-33086.49</v>
      </c>
      <c r="AA76" s="18" t="n">
        <v>-40773.23</v>
      </c>
      <c r="AB76" s="19" t="n">
        <v>-14338.67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이자수익</t>
        </is>
      </c>
      <c r="F77" s="9" t="n"/>
      <c r="G77" s="18" t="n">
        <v>4426.86</v>
      </c>
      <c r="H77" s="18" t="n">
        <v>3991.65</v>
      </c>
      <c r="I77" s="18" t="n">
        <v>7082.29</v>
      </c>
      <c r="J77" s="18" t="n">
        <v>9459.07</v>
      </c>
      <c r="K77" s="37" t="n">
        <v>24959.87</v>
      </c>
      <c r="L77" s="18" t="n">
        <v>9697.219999999999</v>
      </c>
      <c r="M77" s="18" t="n">
        <v>6872.36</v>
      </c>
      <c r="N77" s="18" t="n">
        <v>5873.68</v>
      </c>
      <c r="O77" s="18" t="n">
        <v>4335.33</v>
      </c>
      <c r="P77" s="37" t="n">
        <v>26778.59</v>
      </c>
      <c r="Q77" s="18" t="n">
        <v>4009.49</v>
      </c>
      <c r="R77" s="18" t="n">
        <v>2955.41</v>
      </c>
      <c r="S77" s="18" t="n">
        <v>5207.84</v>
      </c>
      <c r="T77" s="18" t="n">
        <v>2457.15</v>
      </c>
      <c r="U77" s="37" t="n">
        <v>14629.89</v>
      </c>
      <c r="V77" s="18" t="n">
        <v>2407.41</v>
      </c>
      <c r="W77" s="18" t="n">
        <v>2147.96</v>
      </c>
      <c r="X77" s="18" t="n">
        <v>4530.32</v>
      </c>
      <c r="Y77" s="18" t="n">
        <v>3845.29</v>
      </c>
      <c r="Z77" s="37" t="n">
        <v>12930.98</v>
      </c>
      <c r="AA77" s="18" t="n">
        <v>4855.52</v>
      </c>
      <c r="AB77" s="19" t="n">
        <v>16873.66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이자비용</t>
        </is>
      </c>
      <c r="F78" s="9" t="n"/>
      <c r="G78" s="18" t="n">
        <v>1112.67</v>
      </c>
      <c r="H78" s="18" t="n">
        <v>1021.54</v>
      </c>
      <c r="I78" s="18" t="n">
        <v>1122.26</v>
      </c>
      <c r="J78" s="18" t="n">
        <v>2591.12</v>
      </c>
      <c r="K78" s="37" t="n">
        <v>5847.59</v>
      </c>
      <c r="L78" s="18" t="n">
        <v>2475.9</v>
      </c>
      <c r="M78" s="18" t="n">
        <v>2574.98</v>
      </c>
      <c r="N78" s="18" t="n">
        <v>4018.74</v>
      </c>
      <c r="O78" s="18" t="n">
        <v>5280.04</v>
      </c>
      <c r="P78" s="37" t="n">
        <v>14349.66</v>
      </c>
      <c r="Q78" s="18" t="n">
        <v>4459.84</v>
      </c>
      <c r="R78" s="18" t="n">
        <v>5449.28</v>
      </c>
      <c r="S78" s="18" t="n">
        <v>6789.22</v>
      </c>
      <c r="T78" s="18" t="n">
        <v>5640.29</v>
      </c>
      <c r="U78" s="37" t="n">
        <v>22338.63</v>
      </c>
      <c r="V78" s="18" t="n">
        <v>6626.72</v>
      </c>
      <c r="W78" s="18" t="n">
        <v>8576.059999999999</v>
      </c>
      <c r="X78" s="18" t="n">
        <v>9933.9</v>
      </c>
      <c r="Y78" s="18" t="n">
        <v>12884.89</v>
      </c>
      <c r="Z78" s="37" t="n">
        <v>38021.57</v>
      </c>
      <c r="AA78" s="18" t="n">
        <v>17469.22</v>
      </c>
      <c r="AB78" s="19" t="n">
        <v>40154.43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외환차익</t>
        </is>
      </c>
      <c r="F79" s="9" t="n"/>
      <c r="G79" s="18" t="n">
        <v>4258.23</v>
      </c>
      <c r="H79" s="18" t="n">
        <v>954.6900000000001</v>
      </c>
      <c r="I79" s="18" t="n">
        <v>1779.43</v>
      </c>
      <c r="J79" s="18" t="n">
        <v>905.04</v>
      </c>
      <c r="K79" s="37" t="n">
        <v>7897.39</v>
      </c>
      <c r="L79" s="18" t="n">
        <v>680.1</v>
      </c>
      <c r="M79" s="18" t="n">
        <v>785.16</v>
      </c>
      <c r="N79" s="18" t="n">
        <v>758.74</v>
      </c>
      <c r="O79" s="18" t="n">
        <v>1694.17</v>
      </c>
      <c r="P79" s="37" t="n">
        <v>3918.17</v>
      </c>
      <c r="Q79" s="18" t="n">
        <v>1520.18</v>
      </c>
      <c r="R79" s="18" t="n">
        <v>1596.84</v>
      </c>
      <c r="S79" s="18" t="n">
        <v>487.9</v>
      </c>
      <c r="T79" s="18" t="n">
        <v>7554.26</v>
      </c>
      <c r="U79" s="37" t="n">
        <v>11159.18</v>
      </c>
      <c r="V79" s="18" t="n">
        <v>1687.75</v>
      </c>
      <c r="W79" s="18" t="n">
        <v>1049.66</v>
      </c>
      <c r="X79" s="18" t="n">
        <v>675.46</v>
      </c>
      <c r="Y79" s="18" t="n">
        <v>4830.01</v>
      </c>
      <c r="Z79" s="37" t="n">
        <v>8242.879999999999</v>
      </c>
      <c r="AA79" s="18" t="n">
        <v>7508.36</v>
      </c>
      <c r="AB79" s="19" t="n">
        <v>772.8200000000001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외환차손</t>
        </is>
      </c>
      <c r="F80" s="9" t="n"/>
      <c r="G80" s="18" t="n">
        <v>913.79</v>
      </c>
      <c r="H80" s="18" t="n">
        <v>189.08</v>
      </c>
      <c r="I80" s="18" t="n">
        <v>1568.48</v>
      </c>
      <c r="J80" s="18" t="n">
        <v>1605.46</v>
      </c>
      <c r="K80" s="37" t="n">
        <v>4276.81</v>
      </c>
      <c r="L80" s="18" t="n">
        <v>664.49</v>
      </c>
      <c r="M80" s="18" t="n">
        <v>411.13</v>
      </c>
      <c r="N80" s="18" t="n">
        <v>613.1</v>
      </c>
      <c r="O80" s="18" t="n">
        <v>1230.79</v>
      </c>
      <c r="P80" s="37" t="n">
        <v>2919.51</v>
      </c>
      <c r="Q80" s="18" t="n">
        <v>417.4</v>
      </c>
      <c r="R80" s="18" t="n">
        <v>404.19</v>
      </c>
      <c r="S80" s="18" t="n">
        <v>11058.91</v>
      </c>
      <c r="T80" s="18" t="n">
        <v>4666.78</v>
      </c>
      <c r="U80" s="37" t="n">
        <v>16547.28</v>
      </c>
      <c r="V80" s="18" t="n">
        <v>775.89</v>
      </c>
      <c r="W80" s="18" t="n">
        <v>1400.42</v>
      </c>
      <c r="X80" s="18" t="n">
        <v>695.75</v>
      </c>
      <c r="Y80" s="18" t="n">
        <v>430.68</v>
      </c>
      <c r="Z80" s="37" t="n">
        <v>3302.74</v>
      </c>
      <c r="AA80" s="18" t="n">
        <v>2089.77</v>
      </c>
      <c r="AB80" s="19" t="n">
        <v>8031.72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외화환산이익</t>
        </is>
      </c>
      <c r="F81" s="9" t="n"/>
      <c r="G81" s="18" t="n">
        <v>823.53</v>
      </c>
      <c r="H81" s="18" t="n">
        <v>3044.72</v>
      </c>
      <c r="I81" s="18" t="n">
        <v>13344.8</v>
      </c>
      <c r="J81" s="18" t="n">
        <v>-14256.74</v>
      </c>
      <c r="K81" s="37" t="n">
        <v>2956.31</v>
      </c>
      <c r="L81" s="18" t="n">
        <v>4298.63</v>
      </c>
      <c r="M81" s="18" t="n">
        <v>667.41</v>
      </c>
      <c r="N81" s="18" t="n">
        <v>3696.64</v>
      </c>
      <c r="O81" s="18" t="n">
        <v>-7641.04</v>
      </c>
      <c r="P81" s="37" t="n">
        <v>1021.64</v>
      </c>
      <c r="Q81" s="18" t="n">
        <v>3124.12</v>
      </c>
      <c r="R81" s="18" t="n">
        <v>3796.24</v>
      </c>
      <c r="S81" s="18" t="n">
        <v>-3592.62</v>
      </c>
      <c r="T81" s="18" t="n">
        <v>18942.86</v>
      </c>
      <c r="U81" s="37" t="n">
        <v>22270.6</v>
      </c>
      <c r="V81" s="18" t="n">
        <v>2523.53</v>
      </c>
      <c r="W81" s="18" t="n">
        <v>8513.469999999999</v>
      </c>
      <c r="X81" s="18" t="n">
        <v>-2885.27</v>
      </c>
      <c r="Y81" s="18" t="n">
        <v>-4945.3</v>
      </c>
      <c r="Z81" s="37" t="n">
        <v>3206.43</v>
      </c>
      <c r="AA81" s="18" t="n">
        <v>15982.36</v>
      </c>
      <c r="AB81" s="19" t="n">
        <v>7454.21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외화환산손실</t>
        </is>
      </c>
      <c r="F82" s="9" t="n"/>
      <c r="G82" s="18" t="n">
        <v>13.28</v>
      </c>
      <c r="H82" s="18" t="n">
        <v>18.81</v>
      </c>
      <c r="I82" s="18" t="n">
        <v>16.48</v>
      </c>
      <c r="J82" s="18" t="n">
        <v>2441.69</v>
      </c>
      <c r="K82" s="37" t="n">
        <v>2490.26</v>
      </c>
      <c r="L82" s="18" t="n">
        <v>114.44</v>
      </c>
      <c r="M82" s="18" t="n">
        <v>214.55</v>
      </c>
      <c r="N82" s="18" t="n">
        <v>-231.76</v>
      </c>
      <c r="O82" s="18" t="n">
        <v>418.49</v>
      </c>
      <c r="P82" s="37" t="n">
        <v>515.72</v>
      </c>
      <c r="Q82" s="18" t="n">
        <v>352.55</v>
      </c>
      <c r="R82" s="18" t="n">
        <v>544.08</v>
      </c>
      <c r="S82" s="18" t="n">
        <v>6642.53</v>
      </c>
      <c r="T82" s="18" t="n">
        <v>-7017.82</v>
      </c>
      <c r="U82" s="37" t="n">
        <v>521.34</v>
      </c>
      <c r="V82" s="18" t="n">
        <v>2705.68</v>
      </c>
      <c r="W82" s="18" t="n">
        <v>25563.02</v>
      </c>
      <c r="X82" s="18" t="n">
        <v>-13102.12</v>
      </c>
      <c r="Y82" s="18" t="n">
        <v>-10039.31</v>
      </c>
      <c r="Z82" s="37" t="n">
        <v>5127.27</v>
      </c>
      <c r="AA82" s="18" t="n">
        <v>5726.28</v>
      </c>
      <c r="AB82" s="19" t="n">
        <v>-5117.79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이자손익</t>
        </is>
      </c>
      <c r="F83" s="9" t="n"/>
      <c r="G83" s="18" t="n">
        <v>3314.19</v>
      </c>
      <c r="H83" s="18" t="n">
        <v>2970.11</v>
      </c>
      <c r="I83" s="18" t="n">
        <v>5960.03</v>
      </c>
      <c r="J83" s="18" t="n">
        <v>6867.95</v>
      </c>
      <c r="K83" s="37" t="n">
        <v>19112.28</v>
      </c>
      <c r="L83" s="18" t="n">
        <v>7221.32</v>
      </c>
      <c r="M83" s="18" t="n">
        <v>4297.38</v>
      </c>
      <c r="N83" s="18" t="n">
        <v>1854.94</v>
      </c>
      <c r="O83" s="18" t="n">
        <v>-944.71</v>
      </c>
      <c r="P83" s="37" t="n">
        <v>12428.93</v>
      </c>
      <c r="Q83" s="18" t="n">
        <v>-450.35</v>
      </c>
      <c r="R83" s="18" t="n">
        <v>-2493.87</v>
      </c>
      <c r="S83" s="18" t="n">
        <v>-1581.38</v>
      </c>
      <c r="T83" s="18" t="n">
        <v>-3183.14</v>
      </c>
      <c r="U83" s="37" t="n">
        <v>-7708.74</v>
      </c>
      <c r="V83" s="18" t="n">
        <v>-4219.31</v>
      </c>
      <c r="W83" s="18" t="n">
        <v>-6428.1</v>
      </c>
      <c r="X83" s="18" t="n">
        <v>-5403.58</v>
      </c>
      <c r="Y83" s="18" t="n">
        <v>-9039.6</v>
      </c>
      <c r="Z83" s="37" t="n">
        <v>-25090.59</v>
      </c>
      <c r="AA83" s="18" t="n">
        <v>-12613.7</v>
      </c>
      <c r="AB83" s="19" t="n">
        <v>-23280.77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배당금수익</t>
        </is>
      </c>
      <c r="F84" s="9" t="n"/>
      <c r="H84" s="18" t="n">
        <v>8.5</v>
      </c>
      <c r="I84" s="18" t="n">
        <v>0</v>
      </c>
      <c r="J84" s="18" t="n">
        <v>0</v>
      </c>
      <c r="K84" s="9" t="n"/>
      <c r="M84" s="18" t="n">
        <v>4.28</v>
      </c>
      <c r="N84" s="18" t="n">
        <v>0</v>
      </c>
      <c r="O84" s="18" t="n">
        <v>0</v>
      </c>
      <c r="P84" s="9" t="n"/>
      <c r="U84" s="9" t="n"/>
      <c r="Z84" s="9" t="n"/>
      <c r="AB84" s="19" t="n">
        <v>1051.18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중단사업이익</t>
        </is>
      </c>
      <c r="F85" s="9" t="n"/>
      <c r="K85" s="9" t="n"/>
      <c r="O85" s="18" t="n">
        <v>-12967.81</v>
      </c>
      <c r="P85" s="9" t="n"/>
      <c r="Q85" s="18" t="n">
        <v>-1385.49</v>
      </c>
      <c r="R85" s="18" t="n">
        <v>4.52</v>
      </c>
      <c r="S85" s="18" t="n">
        <v>-471.79</v>
      </c>
      <c r="T85" s="18" t="n">
        <v>-29922.79</v>
      </c>
      <c r="U85" s="37" t="n">
        <v>-31775.55</v>
      </c>
      <c r="V85" s="18" t="n">
        <v>7536.91</v>
      </c>
      <c r="W85" s="18" t="n">
        <v>-439.4</v>
      </c>
      <c r="X85" s="18" t="n">
        <v>-138.45</v>
      </c>
      <c r="Y85" s="18" t="n">
        <v>1466.16</v>
      </c>
      <c r="Z85" s="37" t="n">
        <v>8425.219999999999</v>
      </c>
      <c r="AA85" s="18" t="n">
        <v>-6713.29</v>
      </c>
      <c r="AB85" s="19" t="n">
        <v>1058.74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영업활동으로인한현금흐름</t>
        </is>
      </c>
      <c r="E86" s="18" t="n">
        <v>287877.58</v>
      </c>
      <c r="F86" s="9" t="n"/>
      <c r="G86" s="18" t="n">
        <v>-187915.4</v>
      </c>
      <c r="H86" s="18" t="n">
        <v>385340.21</v>
      </c>
      <c r="I86" s="18" t="n">
        <v>-177460.38</v>
      </c>
      <c r="J86" s="18" t="n">
        <v>248620.66</v>
      </c>
      <c r="K86" s="37" t="n">
        <v>268585.09</v>
      </c>
      <c r="L86" s="18" t="n">
        <v>-182891.08</v>
      </c>
      <c r="M86" s="18" t="n">
        <v>116284.68</v>
      </c>
      <c r="N86" s="18" t="n">
        <v>-114754.24</v>
      </c>
      <c r="O86" s="18" t="n">
        <v>264723.88</v>
      </c>
      <c r="P86" s="37" t="n">
        <v>83363.24000000001</v>
      </c>
      <c r="Q86" s="18" t="n">
        <v>-103169.89</v>
      </c>
      <c r="R86" s="18" t="n">
        <v>55403.05</v>
      </c>
      <c r="S86" s="18" t="n">
        <v>26043.62</v>
      </c>
      <c r="T86" s="18" t="n">
        <v>154346.91</v>
      </c>
      <c r="U86" s="37" t="n">
        <v>132623.69</v>
      </c>
      <c r="V86" s="18" t="n">
        <v>-15776.09</v>
      </c>
      <c r="W86" s="18" t="n">
        <v>41368.9</v>
      </c>
      <c r="X86" s="18" t="n">
        <v>-212740.28</v>
      </c>
      <c r="Y86" s="18" t="n">
        <v>265884.29</v>
      </c>
      <c r="Z86" s="37" t="n">
        <v>78736.82000000001</v>
      </c>
      <c r="AA86" s="18" t="n">
        <v>-61097.37</v>
      </c>
      <c r="AB86" s="19" t="n">
        <v>152316.42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투자활동으로인한현금흐름</t>
        </is>
      </c>
      <c r="E87" s="18" t="n">
        <v>-67692.63</v>
      </c>
      <c r="F87" s="9" t="n"/>
      <c r="G87" s="18" t="n">
        <v>-486330.15</v>
      </c>
      <c r="H87" s="18" t="n">
        <v>-95837.89</v>
      </c>
      <c r="I87" s="18" t="n">
        <v>-59796.68</v>
      </c>
      <c r="J87" s="18" t="n">
        <v>-37444.39</v>
      </c>
      <c r="K87" s="37" t="n">
        <v>-679409.11</v>
      </c>
      <c r="L87" s="18" t="n">
        <v>-48540.42</v>
      </c>
      <c r="M87" s="18" t="n">
        <v>-539257.3100000001</v>
      </c>
      <c r="N87" s="18" t="n">
        <v>-82993.06</v>
      </c>
      <c r="O87" s="18" t="n">
        <v>-192894.85</v>
      </c>
      <c r="P87" s="37" t="n">
        <v>-863685.64</v>
      </c>
      <c r="Q87" s="18" t="n">
        <v>-71508.23</v>
      </c>
      <c r="R87" s="18" t="n">
        <v>-175123.82</v>
      </c>
      <c r="S87" s="18" t="n">
        <v>-47021.7</v>
      </c>
      <c r="T87" s="18" t="n">
        <v>-148361.89</v>
      </c>
      <c r="U87" s="37" t="n">
        <v>-442015.64</v>
      </c>
      <c r="V87" s="18" t="n">
        <v>-272320.63</v>
      </c>
      <c r="W87" s="18" t="n">
        <v>-1354.49</v>
      </c>
      <c r="X87" s="18" t="n">
        <v>-154589.7</v>
      </c>
      <c r="Y87" s="18" t="n">
        <v>-742179.63</v>
      </c>
      <c r="Z87" s="37" t="n">
        <v>-1170444.45</v>
      </c>
      <c r="AA87" s="18" t="n">
        <v>-146426.03</v>
      </c>
      <c r="AB87" s="19" t="n">
        <v>-361334.12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유형자산의증가</t>
        </is>
      </c>
      <c r="E88" s="18" t="n">
        <v>39507.97</v>
      </c>
      <c r="F88" s="9" t="n"/>
      <c r="G88" s="18" t="n">
        <v>11544.71</v>
      </c>
      <c r="H88" s="18" t="n">
        <v>8127.75</v>
      </c>
      <c r="I88" s="18" t="n">
        <v>11963.45</v>
      </c>
      <c r="J88" s="18" t="n">
        <v>16661.43</v>
      </c>
      <c r="K88" s="37" t="n">
        <v>48297.34</v>
      </c>
      <c r="L88" s="18" t="n">
        <v>41861.42</v>
      </c>
      <c r="M88" s="18" t="n">
        <v>15832</v>
      </c>
      <c r="N88" s="18" t="n">
        <v>43168.89</v>
      </c>
      <c r="O88" s="18" t="n">
        <v>31454.02</v>
      </c>
      <c r="P88" s="37" t="n">
        <v>132316.33</v>
      </c>
      <c r="Q88" s="18" t="n">
        <v>49893.05</v>
      </c>
      <c r="R88" s="18" t="n">
        <v>41360.13</v>
      </c>
      <c r="S88" s="18" t="n">
        <v>53673.47</v>
      </c>
      <c r="T88" s="18" t="n">
        <v>94879</v>
      </c>
      <c r="U88" s="37" t="n">
        <v>239805.65</v>
      </c>
      <c r="V88" s="18" t="n">
        <v>67182.21000000001</v>
      </c>
      <c r="W88" s="18" t="n">
        <v>71067.97</v>
      </c>
      <c r="X88" s="18" t="n">
        <v>70871.82000000001</v>
      </c>
      <c r="Y88" s="18" t="n">
        <v>89825</v>
      </c>
      <c r="Z88" s="37" t="n">
        <v>298947</v>
      </c>
      <c r="AA88" s="18" t="n">
        <v>75765.8</v>
      </c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CAPEX</t>
        </is>
      </c>
      <c r="E89" s="18" t="n">
        <v>60754.95</v>
      </c>
      <c r="F89" s="9" t="n"/>
      <c r="G89" s="18" t="n">
        <v>18766.99</v>
      </c>
      <c r="H89" s="18" t="n">
        <v>17697.48</v>
      </c>
      <c r="I89" s="18" t="n">
        <v>21192.94</v>
      </c>
      <c r="J89" s="18" t="n">
        <v>23095.05</v>
      </c>
      <c r="K89" s="37" t="n">
        <v>80752.46000000001</v>
      </c>
      <c r="L89" s="18" t="n">
        <v>50447.32</v>
      </c>
      <c r="M89" s="18" t="n">
        <v>21644.63</v>
      </c>
      <c r="N89" s="18" t="n">
        <v>48778.16</v>
      </c>
      <c r="O89" s="18" t="n">
        <v>38428.44</v>
      </c>
      <c r="P89" s="37" t="n">
        <v>159298.55</v>
      </c>
      <c r="Q89" s="18" t="n">
        <v>56572.07</v>
      </c>
      <c r="R89" s="18" t="n">
        <v>57115.73</v>
      </c>
      <c r="S89" s="18" t="n">
        <v>58820.75</v>
      </c>
      <c r="T89" s="18" t="n">
        <v>100404.13</v>
      </c>
      <c r="U89" s="37" t="n">
        <v>272912.68</v>
      </c>
      <c r="V89" s="18" t="n">
        <v>72297.07000000001</v>
      </c>
      <c r="W89" s="18" t="n">
        <v>74907.52</v>
      </c>
      <c r="X89" s="18" t="n">
        <v>73536.21000000001</v>
      </c>
      <c r="Y89" s="18" t="n">
        <v>97572.85000000001</v>
      </c>
      <c r="Z89" s="37" t="n">
        <v>318313.65</v>
      </c>
      <c r="AA89" s="18" t="n">
        <v>80064.33</v>
      </c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무형자산의감소</t>
        </is>
      </c>
      <c r="E90" s="18" t="n">
        <v>1600</v>
      </c>
      <c r="F90" s="9" t="n"/>
      <c r="J90" s="18" t="n">
        <v>0</v>
      </c>
      <c r="K90" s="9" t="n"/>
      <c r="P90" s="9" t="n"/>
      <c r="Q90" s="18" t="n">
        <v>85.81999999999999</v>
      </c>
      <c r="R90" s="18" t="n">
        <v>7420.53</v>
      </c>
      <c r="S90" s="18" t="n">
        <v>150.22</v>
      </c>
      <c r="T90" s="18" t="n">
        <v>28.58</v>
      </c>
      <c r="U90" s="37" t="n">
        <v>7685.15</v>
      </c>
      <c r="V90" s="18" t="n">
        <v>0</v>
      </c>
      <c r="W90" s="18" t="n">
        <v>70</v>
      </c>
      <c r="X90" s="18" t="n">
        <v>30</v>
      </c>
      <c r="Y90" s="18" t="n">
        <v>0</v>
      </c>
      <c r="Z90" s="37" t="n">
        <v>100</v>
      </c>
      <c r="AA90" s="18" t="n">
        <v>48.22</v>
      </c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21246.98</v>
      </c>
      <c r="F91" s="9" t="n"/>
      <c r="G91" s="18" t="n">
        <v>7222.28</v>
      </c>
      <c r="H91" s="18" t="n">
        <v>9569.73</v>
      </c>
      <c r="I91" s="18" t="n">
        <v>9229.49</v>
      </c>
      <c r="J91" s="18" t="n">
        <v>6433.62</v>
      </c>
      <c r="K91" s="37" t="n">
        <v>32455.12</v>
      </c>
      <c r="L91" s="18" t="n">
        <v>8585.9</v>
      </c>
      <c r="M91" s="18" t="n">
        <v>5812.63</v>
      </c>
      <c r="N91" s="18" t="n">
        <v>5609.27</v>
      </c>
      <c r="O91" s="18" t="n">
        <v>6974.42</v>
      </c>
      <c r="P91" s="37" t="n">
        <v>26982.22</v>
      </c>
      <c r="Q91" s="18" t="n">
        <v>6679.02</v>
      </c>
      <c r="R91" s="18" t="n">
        <v>15755.6</v>
      </c>
      <c r="S91" s="18" t="n">
        <v>5147.28</v>
      </c>
      <c r="T91" s="18" t="n">
        <v>5525.13</v>
      </c>
      <c r="U91" s="37" t="n">
        <v>33107.03</v>
      </c>
      <c r="V91" s="18" t="n">
        <v>5114.86</v>
      </c>
      <c r="W91" s="18" t="n">
        <v>3839.55</v>
      </c>
      <c r="X91" s="18" t="n">
        <v>2664.39</v>
      </c>
      <c r="Y91" s="18" t="n">
        <v>7747.85</v>
      </c>
      <c r="Z91" s="37" t="n">
        <v>19366.65</v>
      </c>
      <c r="AA91" s="18" t="n">
        <v>4298.53</v>
      </c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배당금수취(CF)</t>
        </is>
      </c>
      <c r="E92" s="18" t="n">
        <v>0</v>
      </c>
      <c r="F92" s="9" t="n"/>
      <c r="I92" s="18" t="n">
        <v>0</v>
      </c>
      <c r="J92" s="18" t="n">
        <v>0</v>
      </c>
      <c r="K92" s="9" t="n"/>
      <c r="N92" s="18" t="n">
        <v>0</v>
      </c>
      <c r="O92" s="18" t="n">
        <v>0</v>
      </c>
      <c r="P92" s="9" t="n"/>
      <c r="S92" s="18" t="n">
        <v>0</v>
      </c>
      <c r="T92" s="18" t="n">
        <v>0</v>
      </c>
      <c r="U92" s="9" t="n"/>
      <c r="V92" s="18" t="n">
        <v>9776.4</v>
      </c>
      <c r="W92" s="18" t="n">
        <v>294.55</v>
      </c>
      <c r="X92" s="18" t="n">
        <v>18697.77</v>
      </c>
      <c r="Y92" s="18" t="n">
        <v>177.32</v>
      </c>
      <c r="Z92" s="37" t="n">
        <v>28946.04</v>
      </c>
      <c r="AA92" s="18" t="n">
        <v>7838.15</v>
      </c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재무활동으로인한현금흐름</t>
        </is>
      </c>
      <c r="E93" s="18" t="n">
        <v>-18658.86</v>
      </c>
      <c r="F93" s="9" t="n"/>
      <c r="G93" s="18" t="n">
        <v>-6460.11</v>
      </c>
      <c r="H93" s="18" t="n">
        <v>-66715.12</v>
      </c>
      <c r="I93" s="18" t="n">
        <v>47947.99</v>
      </c>
      <c r="J93" s="18" t="n">
        <v>22569.64</v>
      </c>
      <c r="K93" s="37" t="n">
        <v>-2657.6</v>
      </c>
      <c r="L93" s="18" t="n">
        <v>-7183.1</v>
      </c>
      <c r="M93" s="18" t="n">
        <v>-54152.43</v>
      </c>
      <c r="N93" s="18" t="n">
        <v>223558.47</v>
      </c>
      <c r="O93" s="18" t="n">
        <v>-135569.62</v>
      </c>
      <c r="P93" s="37" t="n">
        <v>26653.32</v>
      </c>
      <c r="Q93" s="18" t="n">
        <v>151984.58</v>
      </c>
      <c r="R93" s="18" t="n">
        <v>78211.92999999999</v>
      </c>
      <c r="S93" s="18" t="n">
        <v>-138467.09</v>
      </c>
      <c r="T93" s="18" t="n">
        <v>-56665.87</v>
      </c>
      <c r="U93" s="37" t="n">
        <v>35063.55</v>
      </c>
      <c r="V93" s="18" t="n">
        <v>331000.46</v>
      </c>
      <c r="W93" s="18" t="n">
        <v>86478.14</v>
      </c>
      <c r="X93" s="18" t="n">
        <v>242513.95</v>
      </c>
      <c r="Y93" s="18" t="n">
        <v>577314.02</v>
      </c>
      <c r="Z93" s="37" t="n">
        <v>1237306.57</v>
      </c>
      <c r="AA93" s="18" t="n">
        <v>359716.66</v>
      </c>
      <c r="AB93" s="19" t="n">
        <v>1304090.75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단기차입금의증가</t>
        </is>
      </c>
      <c r="E94" s="18" t="n">
        <v>48000</v>
      </c>
      <c r="F94" s="9" t="n"/>
      <c r="G94" s="18" t="n">
        <v>3000</v>
      </c>
      <c r="H94" s="18" t="n">
        <v>10007.11</v>
      </c>
      <c r="I94" s="18" t="n">
        <v>100355.77</v>
      </c>
      <c r="J94" s="18" t="n">
        <v>165000</v>
      </c>
      <c r="K94" s="37" t="n">
        <v>278362.88</v>
      </c>
      <c r="L94" s="18" t="n">
        <v>1361.55</v>
      </c>
      <c r="M94" s="18" t="n">
        <v>170000</v>
      </c>
      <c r="N94" s="18" t="n">
        <v>369000</v>
      </c>
      <c r="O94" s="18" t="n">
        <v>254203.42</v>
      </c>
      <c r="P94" s="37" t="n">
        <v>794564.97</v>
      </c>
      <c r="Q94" s="18" t="n">
        <v>285000</v>
      </c>
      <c r="R94" s="18" t="n">
        <v>310000</v>
      </c>
      <c r="S94" s="18" t="n">
        <v>540115</v>
      </c>
      <c r="T94" s="18" t="n">
        <v>372627.6</v>
      </c>
      <c r="U94" s="37" t="n">
        <v>1507742.6</v>
      </c>
      <c r="V94" s="18" t="n">
        <v>677153.42</v>
      </c>
      <c r="W94" s="18" t="n">
        <v>306015.96</v>
      </c>
      <c r="X94" s="18" t="n">
        <v>795672.42</v>
      </c>
      <c r="Y94" s="18" t="n">
        <v>663912.8199999999</v>
      </c>
      <c r="Z94" s="37" t="n">
        <v>2442754.62</v>
      </c>
      <c r="AA94" s="18" t="n">
        <v>524100</v>
      </c>
      <c r="AB94" s="19" t="n">
        <v>1947813.94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단기차입금의감소</t>
        </is>
      </c>
      <c r="E95" s="18" t="n">
        <v>48000</v>
      </c>
      <c r="F95" s="9" t="n"/>
      <c r="G95" s="18" t="n">
        <v>3000</v>
      </c>
      <c r="H95" s="18" t="n">
        <v>10007.11</v>
      </c>
      <c r="I95" s="18" t="n">
        <v>51428.27</v>
      </c>
      <c r="J95" s="18" t="n">
        <v>135000</v>
      </c>
      <c r="K95" s="37" t="n">
        <v>199435.38</v>
      </c>
      <c r="L95" s="18" t="n">
        <v>1361.55</v>
      </c>
      <c r="M95" s="18" t="n">
        <v>170000</v>
      </c>
      <c r="N95" s="18" t="n">
        <v>189000</v>
      </c>
      <c r="O95" s="18" t="n">
        <v>381860.91</v>
      </c>
      <c r="P95" s="37" t="n">
        <v>742222.46</v>
      </c>
      <c r="Q95" s="18" t="n">
        <v>127342.51</v>
      </c>
      <c r="R95" s="18" t="n">
        <v>420000</v>
      </c>
      <c r="S95" s="18" t="n">
        <v>640000</v>
      </c>
      <c r="T95" s="18" t="n">
        <v>421000</v>
      </c>
      <c r="U95" s="37" t="n">
        <v>1608342.51</v>
      </c>
      <c r="V95" s="18" t="n">
        <v>512641.45</v>
      </c>
      <c r="W95" s="18" t="n">
        <v>443642.95</v>
      </c>
      <c r="X95" s="18" t="n">
        <v>562031.8</v>
      </c>
      <c r="Y95" s="18" t="n">
        <v>654187.6</v>
      </c>
      <c r="Z95" s="37" t="n">
        <v>2172503.8</v>
      </c>
      <c r="AA95" s="18" t="n">
        <v>573744.09</v>
      </c>
      <c r="AB95" s="19" t="n">
        <v>338934.2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유동성장기부채의감소</t>
        </is>
      </c>
      <c r="E96" s="18" t="n">
        <v>30000</v>
      </c>
      <c r="F96" s="9" t="n"/>
      <c r="K96" s="9" t="n"/>
      <c r="P96" s="9" t="n"/>
      <c r="U96" s="9" t="n"/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장기차입금의증가</t>
        </is>
      </c>
      <c r="E97" s="18" t="n">
        <v>0</v>
      </c>
      <c r="F97" s="9" t="n"/>
      <c r="K97" s="9" t="n"/>
      <c r="P97" s="9" t="n"/>
      <c r="Q97" s="18" t="n">
        <v>140</v>
      </c>
      <c r="R97" s="18" t="n">
        <v>0</v>
      </c>
      <c r="S97" s="18" t="n">
        <v>0</v>
      </c>
      <c r="T97" s="18" t="n">
        <v>0</v>
      </c>
      <c r="U97" s="37" t="n">
        <v>140</v>
      </c>
      <c r="V97" s="18" t="n">
        <v>41300</v>
      </c>
      <c r="W97" s="18" t="n">
        <v>0</v>
      </c>
      <c r="X97" s="18" t="n">
        <v>68300</v>
      </c>
      <c r="Y97" s="18" t="n">
        <v>119046</v>
      </c>
      <c r="Z97" s="37" t="n">
        <v>228646</v>
      </c>
      <c r="AA97" s="18" t="n">
        <v>18700</v>
      </c>
      <c r="AB97" s="5" t="n"/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사채의감소</t>
        </is>
      </c>
      <c r="E98" s="18" t="n">
        <v>0</v>
      </c>
      <c r="F98" s="9" t="n"/>
      <c r="G98" s="18" t="n">
        <v>0</v>
      </c>
      <c r="H98" s="18" t="n">
        <v>30000</v>
      </c>
      <c r="I98" s="18" t="n">
        <v>0</v>
      </c>
      <c r="J98" s="18" t="n">
        <v>0</v>
      </c>
      <c r="K98" s="37" t="n">
        <v>30000</v>
      </c>
      <c r="N98" s="18" t="n">
        <v>0</v>
      </c>
      <c r="O98" s="18" t="n">
        <v>0</v>
      </c>
      <c r="P98" s="9" t="n"/>
      <c r="T98" s="18" t="n">
        <v>0</v>
      </c>
      <c r="U98" s="9" t="n"/>
      <c r="Y98" s="18" t="n">
        <v>50000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리스부채의상환</t>
        </is>
      </c>
      <c r="E99" s="18" t="n">
        <v>6358.85</v>
      </c>
      <c r="F99" s="9" t="n"/>
      <c r="G99" s="18" t="n">
        <v>6460.11</v>
      </c>
      <c r="H99" s="18" t="n">
        <v>6822.71</v>
      </c>
      <c r="I99" s="18" t="n">
        <v>6590.48</v>
      </c>
      <c r="J99" s="18" t="n">
        <v>7430.37</v>
      </c>
      <c r="K99" s="37" t="n">
        <v>27303.67</v>
      </c>
      <c r="L99" s="18" t="n">
        <v>7183.1</v>
      </c>
      <c r="M99" s="18" t="n">
        <v>7404.12</v>
      </c>
      <c r="N99" s="18" t="n">
        <v>7503</v>
      </c>
      <c r="P99" s="9" t="n"/>
      <c r="U99" s="9" t="n"/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자기주식의취득</t>
        </is>
      </c>
      <c r="E100" s="18" t="n">
        <v>0</v>
      </c>
      <c r="F100" s="9" t="n"/>
      <c r="G100" s="18" t="n">
        <v>0</v>
      </c>
      <c r="H100" s="18" t="n">
        <v>0</v>
      </c>
      <c r="I100" s="18" t="n">
        <v>0</v>
      </c>
      <c r="J100" s="18" t="n">
        <v>0</v>
      </c>
      <c r="K100" s="37" t="n">
        <v>0</v>
      </c>
      <c r="P100" s="9" t="n"/>
      <c r="U100" s="9" t="n"/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배당금지급</t>
        </is>
      </c>
      <c r="E101" s="18" t="n">
        <v>0</v>
      </c>
      <c r="F101" s="9" t="n"/>
      <c r="I101" s="18" t="n">
        <v>0</v>
      </c>
      <c r="J101" s="18" t="n">
        <v>0</v>
      </c>
      <c r="K101" s="9" t="n"/>
      <c r="N101" s="18" t="n">
        <v>0</v>
      </c>
      <c r="O101" s="18" t="n">
        <v>0</v>
      </c>
      <c r="P101" s="9" t="n"/>
      <c r="S101" s="18" t="n">
        <v>0</v>
      </c>
      <c r="T101" s="18" t="n">
        <v>0</v>
      </c>
      <c r="U101" s="9" t="n"/>
      <c r="Y101" s="18" t="n">
        <v>0</v>
      </c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현금및현금성자산의증감</t>
        </is>
      </c>
      <c r="E102" s="18" t="n">
        <v>201526.09</v>
      </c>
      <c r="F102" s="9" t="n"/>
      <c r="G102" s="18" t="n">
        <v>-680705.67</v>
      </c>
      <c r="H102" s="18" t="n">
        <v>222787.21</v>
      </c>
      <c r="I102" s="18" t="n">
        <v>-189309.06</v>
      </c>
      <c r="J102" s="18" t="n">
        <v>233745.9</v>
      </c>
      <c r="K102" s="37" t="n">
        <v>-413481.62</v>
      </c>
      <c r="L102" s="18" t="n">
        <v>-238614.6</v>
      </c>
      <c r="M102" s="18" t="n">
        <v>-477125.06</v>
      </c>
      <c r="N102" s="18" t="n">
        <v>25811.16</v>
      </c>
      <c r="O102" s="18" t="n">
        <v>-63740.59</v>
      </c>
      <c r="P102" s="37" t="n">
        <v>-753669.09</v>
      </c>
      <c r="Q102" s="18" t="n">
        <v>-22693.54</v>
      </c>
      <c r="R102" s="18" t="n">
        <v>-41508.84</v>
      </c>
      <c r="S102" s="18" t="n">
        <v>-159445.17</v>
      </c>
      <c r="T102" s="18" t="n">
        <v>-50680.85</v>
      </c>
      <c r="U102" s="37" t="n">
        <v>-274328.4</v>
      </c>
      <c r="V102" s="18" t="n">
        <v>42903.74</v>
      </c>
      <c r="W102" s="18" t="n">
        <v>126492.55</v>
      </c>
      <c r="X102" s="18" t="n">
        <v>-124816.03</v>
      </c>
      <c r="Y102" s="18" t="n">
        <v>101018.68</v>
      </c>
      <c r="Z102" s="37" t="n">
        <v>145598.94</v>
      </c>
      <c r="AA102" s="18" t="n">
        <v>152193.26</v>
      </c>
      <c r="AB102" s="19" t="n">
        <v>1095073.05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기말현금및현금성자산</t>
        </is>
      </c>
      <c r="E103" s="18" t="n">
        <v>201831.85</v>
      </c>
      <c r="F103" s="9" t="n"/>
      <c r="G103" s="18" t="n">
        <v>958490.4</v>
      </c>
      <c r="H103" s="18" t="n">
        <v>228305.81</v>
      </c>
      <c r="I103" s="18" t="n">
        <v>-178060.18</v>
      </c>
      <c r="J103" s="18" t="n">
        <v>219481.63</v>
      </c>
      <c r="K103" s="37" t="n">
        <v>1228217.66</v>
      </c>
      <c r="L103" s="18" t="n">
        <v>991661.98</v>
      </c>
      <c r="M103" s="18" t="n">
        <v>-476780.81</v>
      </c>
      <c r="N103" s="18" t="n">
        <v>26177.15</v>
      </c>
      <c r="O103" s="18" t="n">
        <v>-64969.5</v>
      </c>
      <c r="P103" s="37" t="n">
        <v>476088.82</v>
      </c>
      <c r="Q103" s="18" t="n">
        <v>454384.22</v>
      </c>
      <c r="R103" s="18" t="n">
        <v>-40721.74</v>
      </c>
      <c r="S103" s="18" t="n">
        <v>-167018.82</v>
      </c>
      <c r="T103" s="18" t="n">
        <v>-46800.92</v>
      </c>
      <c r="U103" s="37" t="n">
        <v>199842.74</v>
      </c>
      <c r="V103" s="18" t="n">
        <v>240375.74</v>
      </c>
      <c r="W103" s="18" t="n">
        <v>119637.7</v>
      </c>
      <c r="X103" s="18" t="n">
        <v>-116165.24</v>
      </c>
      <c r="Y103" s="18" t="n">
        <v>81635.46000000001</v>
      </c>
      <c r="Z103" s="37" t="n">
        <v>325483.66</v>
      </c>
      <c r="AA103" s="18" t="n">
        <v>492567.83</v>
      </c>
      <c r="AB103" s="19" t="n">
        <v>1098741.27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유형자산의감소</t>
        </is>
      </c>
      <c r="F104" s="9" t="n"/>
      <c r="G104" s="18" t="n">
        <v>16.02</v>
      </c>
      <c r="H104" s="18" t="n">
        <v>128.38</v>
      </c>
      <c r="I104" s="18" t="n">
        <v>3.02</v>
      </c>
      <c r="J104" s="18" t="n">
        <v>34.68</v>
      </c>
      <c r="K104" s="37" t="n">
        <v>182.1</v>
      </c>
      <c r="L104" s="18" t="n">
        <v>16</v>
      </c>
      <c r="M104" s="18" t="n">
        <v>8.33</v>
      </c>
      <c r="N104" s="18" t="n">
        <v>6.82</v>
      </c>
      <c r="O104" s="18" t="n">
        <v>115.34</v>
      </c>
      <c r="P104" s="37" t="n">
        <v>146.49</v>
      </c>
      <c r="Q104" s="18" t="n">
        <v>24.3</v>
      </c>
      <c r="R104" s="18" t="n">
        <v>102.08</v>
      </c>
      <c r="S104" s="18" t="n">
        <v>50.07</v>
      </c>
      <c r="U104" s="9" t="n"/>
      <c r="V104" s="18" t="n">
        <v>145.9</v>
      </c>
      <c r="W104" s="18" t="n">
        <v>10.48</v>
      </c>
      <c r="X104" s="18" t="n">
        <v>1397</v>
      </c>
      <c r="Y104" s="18" t="n">
        <v>45.17</v>
      </c>
      <c r="Z104" s="37" t="n">
        <v>1598.55</v>
      </c>
      <c r="AA104" s="18" t="n">
        <v>28.49</v>
      </c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사채의증가</t>
        </is>
      </c>
      <c r="F105" s="9" t="n"/>
      <c r="K105" s="9" t="n"/>
      <c r="O105" s="18" t="n">
        <v>0</v>
      </c>
      <c r="P105" s="9" t="n"/>
      <c r="S105" s="18" t="n">
        <v>0</v>
      </c>
      <c r="T105" s="18" t="n">
        <v>0</v>
      </c>
      <c r="U105" s="9" t="n"/>
      <c r="X105" s="18" t="n">
        <v>0</v>
      </c>
      <c r="Y105" s="18" t="n">
        <v>398622.05</v>
      </c>
      <c r="Z105" s="9" t="n"/>
      <c r="AA105" s="18" t="n">
        <v>398385.95</v>
      </c>
      <c r="AB105" s="19" t="n">
        <v>16.19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이자수취(CF)</t>
        </is>
      </c>
      <c r="F106" s="9" t="n"/>
      <c r="K106" s="9" t="n"/>
      <c r="P106" s="9" t="n"/>
      <c r="S106" s="18" t="n">
        <v>3683.32</v>
      </c>
      <c r="T106" s="18" t="n">
        <v>2669.53</v>
      </c>
      <c r="U106" s="9" t="n"/>
      <c r="V106" s="18" t="n">
        <v>2020.39</v>
      </c>
      <c r="W106" s="18" t="n">
        <v>4417.21</v>
      </c>
      <c r="X106" s="18" t="n">
        <v>5193.06</v>
      </c>
      <c r="Y106" s="18" t="n">
        <v>2891.98</v>
      </c>
      <c r="Z106" s="37" t="n">
        <v>14522.64</v>
      </c>
      <c r="AA106" s="18" t="n">
        <v>5356.66</v>
      </c>
      <c r="AB106" s="5" t="n"/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법인세납부(CF)</t>
        </is>
      </c>
      <c r="F107" s="9" t="n"/>
      <c r="K107" s="9" t="n"/>
      <c r="P107" s="9" t="n"/>
      <c r="S107" s="18" t="n">
        <v>-6497.1</v>
      </c>
      <c r="T107" s="18" t="n">
        <v>-6516.4</v>
      </c>
      <c r="U107" s="9" t="n"/>
      <c r="V107" s="18" t="n">
        <v>19.87</v>
      </c>
      <c r="W107" s="18" t="n">
        <v>-38280.52</v>
      </c>
      <c r="X107" s="18" t="n">
        <v>-3545.63</v>
      </c>
      <c r="Y107" s="18" t="n">
        <v>-6738.9</v>
      </c>
      <c r="Z107" s="37" t="n">
        <v>-48545.18</v>
      </c>
      <c r="AA107" s="18" t="n">
        <v>-393.7</v>
      </c>
      <c r="AB107" s="5" t="n"/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장기차입금의감소</t>
        </is>
      </c>
      <c r="F108" s="9" t="n"/>
      <c r="K108" s="9" t="n"/>
      <c r="P108" s="9" t="n"/>
      <c r="T108" s="18" t="n">
        <v>0</v>
      </c>
      <c r="U108" s="9" t="n"/>
      <c r="Y108" s="18" t="n">
        <v>0</v>
      </c>
      <c r="Z108" s="9" t="n"/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한화시스템(별)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2652386.99</v>
      </c>
      <c r="F5" s="37" t="n">
        <v>2652386.99</v>
      </c>
      <c r="G5" s="18" t="n">
        <v>1929577.42</v>
      </c>
      <c r="H5" s="18" t="n">
        <v>2089907.26</v>
      </c>
      <c r="I5" s="18" t="n">
        <v>2054762.07</v>
      </c>
      <c r="J5" s="18" t="n">
        <v>2208441.76</v>
      </c>
      <c r="K5" s="37" t="n">
        <v>2208441.76</v>
      </c>
      <c r="L5" s="18" t="n">
        <v>2277193.24</v>
      </c>
      <c r="M5" s="18" t="n">
        <v>1715570.33</v>
      </c>
      <c r="N5" s="18" t="n">
        <v>1883371.19</v>
      </c>
      <c r="O5" s="18" t="n">
        <v>1843097.01</v>
      </c>
      <c r="P5" s="37" t="n">
        <v>1843097.01</v>
      </c>
      <c r="Q5" s="18" t="n">
        <v>2040114.03</v>
      </c>
      <c r="R5" s="18" t="n">
        <v>2291067.9</v>
      </c>
      <c r="S5" s="18" t="n">
        <v>2320000.68</v>
      </c>
      <c r="T5" s="18" t="n">
        <v>2069939.56</v>
      </c>
      <c r="U5" s="37" t="n">
        <v>2069939.56</v>
      </c>
      <c r="V5" s="18" t="n">
        <v>2095025.87</v>
      </c>
      <c r="W5" s="18" t="n">
        <v>2367643.47</v>
      </c>
      <c r="X5" s="18" t="n">
        <v>2500441.73</v>
      </c>
      <c r="Y5" s="18" t="n">
        <v>2371127.17</v>
      </c>
      <c r="Z5" s="37" t="n">
        <v>2371127.17</v>
      </c>
      <c r="AA5" s="18" t="n">
        <v>2658703.19</v>
      </c>
      <c r="AB5" s="19" t="n">
        <v>3975405.61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1621392.83</v>
      </c>
      <c r="F6" s="37" t="n">
        <v>1621392.83</v>
      </c>
      <c r="G6" s="18" t="n">
        <v>822403.09</v>
      </c>
      <c r="H6" s="18" t="n">
        <v>1068259.61</v>
      </c>
      <c r="I6" s="18" t="n">
        <v>892697.8</v>
      </c>
      <c r="J6" s="18" t="n">
        <v>1143568.82</v>
      </c>
      <c r="K6" s="37" t="n">
        <v>1143568.82</v>
      </c>
      <c r="L6" s="18" t="n">
        <v>909441.85</v>
      </c>
      <c r="M6" s="18" t="n">
        <v>449184.23</v>
      </c>
      <c r="N6" s="18" t="n">
        <v>508467.31</v>
      </c>
      <c r="O6" s="18" t="n">
        <v>446939.27</v>
      </c>
      <c r="P6" s="37" t="n">
        <v>446939.27</v>
      </c>
      <c r="Q6" s="18" t="n">
        <v>428557.79</v>
      </c>
      <c r="R6" s="18" t="n">
        <v>387062.02</v>
      </c>
      <c r="S6" s="18" t="n">
        <v>229879.69</v>
      </c>
      <c r="T6" s="18" t="n">
        <v>132154.37</v>
      </c>
      <c r="U6" s="37" t="n">
        <v>132154.37</v>
      </c>
      <c r="V6" s="18" t="n">
        <v>74638.05</v>
      </c>
      <c r="W6" s="18" t="n">
        <v>174659.83</v>
      </c>
      <c r="X6" s="18" t="n">
        <v>36100.21</v>
      </c>
      <c r="Y6" s="18" t="n">
        <v>44175.33</v>
      </c>
      <c r="Z6" s="37" t="n">
        <v>44175.33</v>
      </c>
      <c r="AA6" s="18" t="n">
        <v>287220.28</v>
      </c>
      <c r="AB6" s="19" t="n">
        <v>1333982.71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176954.56</v>
      </c>
      <c r="F7" s="37" t="n">
        <v>176954.56</v>
      </c>
      <c r="G7" s="18" t="n">
        <v>138572.02</v>
      </c>
      <c r="H7" s="18" t="n">
        <v>110734.35</v>
      </c>
      <c r="I7" s="18" t="n">
        <v>126965.38</v>
      </c>
      <c r="J7" s="18" t="n">
        <v>207189.74</v>
      </c>
      <c r="K7" s="37" t="n">
        <v>207189.74</v>
      </c>
      <c r="L7" s="18" t="n">
        <v>161082.91</v>
      </c>
      <c r="M7" s="18" t="n">
        <v>146928.7</v>
      </c>
      <c r="N7" s="18" t="n">
        <v>168130.04</v>
      </c>
      <c r="O7" s="18" t="n">
        <v>199620.74</v>
      </c>
      <c r="P7" s="37" t="n">
        <v>199620.74</v>
      </c>
      <c r="Q7" s="18" t="n">
        <v>250610.62</v>
      </c>
      <c r="R7" s="18" t="n">
        <v>287233.18</v>
      </c>
      <c r="S7" s="18" t="n">
        <v>263379.58</v>
      </c>
      <c r="T7" s="18" t="n">
        <v>295774.11</v>
      </c>
      <c r="U7" s="37" t="n">
        <v>295774.11</v>
      </c>
      <c r="V7" s="18" t="n">
        <v>237182.76</v>
      </c>
      <c r="W7" s="18" t="n">
        <v>225171.76</v>
      </c>
      <c r="X7" s="18" t="n">
        <v>298959.56</v>
      </c>
      <c r="Y7" s="18" t="n">
        <v>436993.47</v>
      </c>
      <c r="Z7" s="37" t="n">
        <v>436993.47</v>
      </c>
      <c r="AA7" s="18" t="n">
        <v>346980.34</v>
      </c>
      <c r="AB7" s="19" t="n">
        <v>418524.17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기타유동금융자산</t>
        </is>
      </c>
      <c r="E8" s="18" t="n">
        <v>27413.21</v>
      </c>
      <c r="F8" s="37" t="n">
        <v>27413.21</v>
      </c>
      <c r="G8" s="18" t="n">
        <v>25012.98</v>
      </c>
      <c r="H8" s="18" t="n">
        <v>19575.18</v>
      </c>
      <c r="I8" s="18" t="n">
        <v>20173.55</v>
      </c>
      <c r="J8" s="18" t="n">
        <v>21502.88</v>
      </c>
      <c r="K8" s="37" t="n">
        <v>21502.88</v>
      </c>
      <c r="L8" s="18" t="n">
        <v>160255.79</v>
      </c>
      <c r="M8" s="18" t="n">
        <v>19410.2</v>
      </c>
      <c r="N8" s="18" t="n">
        <v>23111.95</v>
      </c>
      <c r="O8" s="18" t="n">
        <v>21331.2</v>
      </c>
      <c r="P8" s="37" t="n">
        <v>21331.2</v>
      </c>
      <c r="Q8" s="18" t="n">
        <v>21596.06</v>
      </c>
      <c r="R8" s="18" t="n">
        <v>134710.86</v>
      </c>
      <c r="S8" s="18" t="n">
        <v>105620.73</v>
      </c>
      <c r="T8" s="18" t="n">
        <v>104199.69</v>
      </c>
      <c r="U8" s="37" t="n">
        <v>104199.69</v>
      </c>
      <c r="V8" s="18" t="n">
        <v>76980.61</v>
      </c>
      <c r="W8" s="18" t="n">
        <v>22300.75</v>
      </c>
      <c r="X8" s="18" t="n">
        <v>19382.16</v>
      </c>
      <c r="Y8" s="18" t="n">
        <v>27123.43</v>
      </c>
      <c r="Z8" s="37" t="n">
        <v>27123.43</v>
      </c>
      <c r="AA8" s="18" t="n">
        <v>25282.3</v>
      </c>
      <c r="AB8" s="19" t="n">
        <v>27171.8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기타유동자산</t>
        </is>
      </c>
      <c r="E9" s="18" t="n">
        <v>420581.33</v>
      </c>
      <c r="F9" s="37" t="n">
        <v>420581.33</v>
      </c>
      <c r="G9" s="18" t="n">
        <v>498810.43</v>
      </c>
      <c r="H9" s="18" t="n">
        <v>494050.1</v>
      </c>
      <c r="I9" s="18" t="n">
        <v>558251.15</v>
      </c>
      <c r="J9" s="18" t="n">
        <v>463586.64</v>
      </c>
      <c r="K9" s="37" t="n">
        <v>463586.64</v>
      </c>
      <c r="L9" s="18" t="n">
        <v>551258.0600000001</v>
      </c>
      <c r="M9" s="18" t="n">
        <v>627177.26</v>
      </c>
      <c r="N9" s="18" t="n">
        <v>695612.75</v>
      </c>
      <c r="O9" s="18" t="n">
        <v>674308.26</v>
      </c>
      <c r="P9" s="37" t="n">
        <v>674308.26</v>
      </c>
      <c r="Q9" s="18" t="n">
        <v>770159.59</v>
      </c>
      <c r="R9" s="18" t="n">
        <v>849350.27</v>
      </c>
      <c r="S9" s="18" t="n">
        <v>1048014.68</v>
      </c>
      <c r="T9" s="18" t="n">
        <v>930145.01</v>
      </c>
      <c r="U9" s="37" t="n">
        <v>930145.01</v>
      </c>
      <c r="V9" s="18" t="n">
        <v>1002780.42</v>
      </c>
      <c r="W9" s="18" t="n">
        <v>1115694.65</v>
      </c>
      <c r="X9" s="18" t="n">
        <v>1205717.88</v>
      </c>
      <c r="Y9" s="18" t="n">
        <v>1069476.22</v>
      </c>
      <c r="Z9" s="37" t="n">
        <v>1069476.22</v>
      </c>
      <c r="AA9" s="18" t="n">
        <v>1082151.76</v>
      </c>
      <c r="AB9" s="19" t="n">
        <v>1211067.14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406045.06</v>
      </c>
      <c r="F10" s="37" t="n">
        <v>406045.06</v>
      </c>
      <c r="G10" s="18" t="n">
        <v>444778.89</v>
      </c>
      <c r="H10" s="18" t="n">
        <v>397288.01</v>
      </c>
      <c r="I10" s="18" t="n">
        <v>456674.18</v>
      </c>
      <c r="J10" s="18" t="n">
        <v>372593.68</v>
      </c>
      <c r="K10" s="37" t="n">
        <v>372593.68</v>
      </c>
      <c r="L10" s="18" t="n">
        <v>495154.64</v>
      </c>
      <c r="M10" s="18" t="n">
        <v>472869.93</v>
      </c>
      <c r="N10" s="18" t="n">
        <v>488049.14</v>
      </c>
      <c r="O10" s="18" t="n">
        <v>500897.54</v>
      </c>
      <c r="P10" s="37" t="n">
        <v>500897.54</v>
      </c>
      <c r="Q10" s="18" t="n">
        <v>569189.95</v>
      </c>
      <c r="R10" s="18" t="n">
        <v>632711.58</v>
      </c>
      <c r="S10" s="18" t="n">
        <v>673106</v>
      </c>
      <c r="T10" s="18" t="n">
        <v>607666.38</v>
      </c>
      <c r="U10" s="37" t="n">
        <v>607666.38</v>
      </c>
      <c r="V10" s="18" t="n">
        <v>703444.03</v>
      </c>
      <c r="W10" s="18" t="n">
        <v>829816.48</v>
      </c>
      <c r="X10" s="18" t="n">
        <v>940281.92</v>
      </c>
      <c r="Y10" s="18" t="n">
        <v>793358.72</v>
      </c>
      <c r="Z10" s="37" t="n">
        <v>793358.72</v>
      </c>
      <c r="AA10" s="18" t="n">
        <v>917068.5</v>
      </c>
      <c r="AB10" s="19" t="n">
        <v>947159.79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비유동자산</t>
        </is>
      </c>
      <c r="E11" s="18" t="n">
        <v>1262225.92</v>
      </c>
      <c r="F11" s="37" t="n">
        <v>1262225.92</v>
      </c>
      <c r="G11" s="18" t="n">
        <v>1841545.52</v>
      </c>
      <c r="H11" s="18" t="n">
        <v>1939437.23</v>
      </c>
      <c r="I11" s="18" t="n">
        <v>1992426.62</v>
      </c>
      <c r="J11" s="18" t="n">
        <v>1943658.31</v>
      </c>
      <c r="K11" s="37" t="n">
        <v>1943658.31</v>
      </c>
      <c r="L11" s="18" t="n">
        <v>1941812.82</v>
      </c>
      <c r="M11" s="18" t="n">
        <v>2682025.08</v>
      </c>
      <c r="N11" s="18" t="n">
        <v>2737965.02</v>
      </c>
      <c r="O11" s="18" t="n">
        <v>2712337.36</v>
      </c>
      <c r="P11" s="37" t="n">
        <v>2712337.36</v>
      </c>
      <c r="Q11" s="18" t="n">
        <v>2746738</v>
      </c>
      <c r="R11" s="18" t="n">
        <v>2702637.65</v>
      </c>
      <c r="S11" s="18" t="n">
        <v>2761772.77</v>
      </c>
      <c r="T11" s="18" t="n">
        <v>3149549.94</v>
      </c>
      <c r="U11" s="37" t="n">
        <v>3149549.94</v>
      </c>
      <c r="V11" s="18" t="n">
        <v>4423319.79</v>
      </c>
      <c r="W11" s="18" t="n">
        <v>4917521.1</v>
      </c>
      <c r="X11" s="18" t="n">
        <v>6125241.04</v>
      </c>
      <c r="Y11" s="18" t="n">
        <v>6972295.59</v>
      </c>
      <c r="Z11" s="37" t="n">
        <v>6972295.59</v>
      </c>
      <c r="AA11" s="18" t="n">
        <v>7297722.75</v>
      </c>
      <c r="AB11" s="19" t="n">
        <v>6792759.78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장기금융자산</t>
        </is>
      </c>
      <c r="E12" s="18" t="n">
        <v>144144.83</v>
      </c>
      <c r="F12" s="37" t="n">
        <v>144144.83</v>
      </c>
      <c r="G12" s="18" t="n">
        <v>158178.4</v>
      </c>
      <c r="H12" s="18" t="n">
        <v>225288.02</v>
      </c>
      <c r="I12" s="18" t="n">
        <v>236641</v>
      </c>
      <c r="J12" s="18" t="n">
        <v>205483.91</v>
      </c>
      <c r="K12" s="37" t="n">
        <v>205483.91</v>
      </c>
      <c r="L12" s="18" t="n">
        <v>208510.12</v>
      </c>
      <c r="M12" s="18" t="n">
        <v>216569.6</v>
      </c>
      <c r="N12" s="18" t="n">
        <v>220522.85</v>
      </c>
      <c r="O12" s="18" t="n">
        <v>194228.39</v>
      </c>
      <c r="P12" s="37" t="n">
        <v>194228.39</v>
      </c>
      <c r="Q12" s="18" t="n">
        <v>203715.87</v>
      </c>
      <c r="R12" s="18" t="n">
        <v>85205.38</v>
      </c>
      <c r="S12" s="18" t="n">
        <v>86486.39999999999</v>
      </c>
      <c r="T12" s="18" t="n">
        <v>76492.07000000001</v>
      </c>
      <c r="U12" s="37" t="n">
        <v>76492.07000000001</v>
      </c>
      <c r="V12" s="18" t="n">
        <v>76971.14999999999</v>
      </c>
      <c r="W12" s="18" t="n">
        <v>81371.11</v>
      </c>
      <c r="X12" s="18" t="n">
        <v>83457.28</v>
      </c>
      <c r="Y12" s="18" t="n">
        <v>86993.09</v>
      </c>
      <c r="Z12" s="37" t="n">
        <v>86993.09</v>
      </c>
      <c r="AA12" s="18" t="n">
        <v>98416.45</v>
      </c>
      <c r="AB12" s="19" t="n">
        <v>101605.4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투자자산</t>
        </is>
      </c>
      <c r="E13" s="18" t="n">
        <v>144144.83</v>
      </c>
      <c r="F13" s="37" t="n">
        <v>144144.83</v>
      </c>
      <c r="G13" s="18" t="n">
        <v>158178.4</v>
      </c>
      <c r="H13" s="18" t="n">
        <v>225288.02</v>
      </c>
      <c r="I13" s="18" t="n">
        <v>236641</v>
      </c>
      <c r="J13" s="18" t="n">
        <v>205483.91</v>
      </c>
      <c r="K13" s="37" t="n">
        <v>205483.91</v>
      </c>
      <c r="L13" s="18" t="n">
        <v>208510.12</v>
      </c>
      <c r="M13" s="18" t="n">
        <v>216569.6</v>
      </c>
      <c r="N13" s="18" t="n">
        <v>220522.85</v>
      </c>
      <c r="O13" s="18" t="n">
        <v>1627449.34</v>
      </c>
      <c r="P13" s="37" t="n">
        <v>1627449.34</v>
      </c>
      <c r="Q13" s="18" t="n">
        <v>1640136.82</v>
      </c>
      <c r="R13" s="18" t="n">
        <v>1524528.05</v>
      </c>
      <c r="S13" s="18" t="n">
        <v>1527407.35</v>
      </c>
      <c r="T13" s="18" t="n">
        <v>580535.58</v>
      </c>
      <c r="U13" s="37" t="n">
        <v>580535.58</v>
      </c>
      <c r="V13" s="18" t="n">
        <v>766368.87</v>
      </c>
      <c r="W13" s="18" t="n">
        <v>770768.83</v>
      </c>
      <c r="X13" s="18" t="n">
        <v>863386.5</v>
      </c>
      <c r="Y13" s="18" t="n">
        <v>1470917.3</v>
      </c>
      <c r="Z13" s="37" t="n">
        <v>1470917.3</v>
      </c>
      <c r="AA13" s="18" t="n">
        <v>1527747.75</v>
      </c>
      <c r="AB13" s="19" t="n">
        <v>101605.4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유형자산</t>
        </is>
      </c>
      <c r="E14" s="18" t="n">
        <v>237584.76</v>
      </c>
      <c r="F14" s="37" t="n">
        <v>237584.76</v>
      </c>
      <c r="G14" s="18" t="n">
        <v>231283.49</v>
      </c>
      <c r="H14" s="18" t="n">
        <v>253532.96</v>
      </c>
      <c r="I14" s="18" t="n">
        <v>252392.3</v>
      </c>
      <c r="J14" s="18" t="n">
        <v>256265.2</v>
      </c>
      <c r="K14" s="37" t="n">
        <v>256265.2</v>
      </c>
      <c r="L14" s="18" t="n">
        <v>285139.81</v>
      </c>
      <c r="M14" s="18" t="n">
        <v>289912.3</v>
      </c>
      <c r="N14" s="18" t="n">
        <v>316982.87</v>
      </c>
      <c r="O14" s="18" t="n">
        <v>329710.04</v>
      </c>
      <c r="P14" s="37" t="n">
        <v>329710.04</v>
      </c>
      <c r="Q14" s="18" t="n">
        <v>355809.56</v>
      </c>
      <c r="R14" s="18" t="n">
        <v>394447.15</v>
      </c>
      <c r="S14" s="18" t="n">
        <v>420470.99</v>
      </c>
      <c r="T14" s="18" t="n">
        <v>508914.03</v>
      </c>
      <c r="U14" s="37" t="n">
        <v>508914.03</v>
      </c>
      <c r="V14" s="18" t="n">
        <v>553254.63</v>
      </c>
      <c r="W14" s="18" t="n">
        <v>621229.48</v>
      </c>
      <c r="X14" s="18" t="n">
        <v>650360.35</v>
      </c>
      <c r="Y14" s="18" t="n">
        <v>710199.09</v>
      </c>
      <c r="Z14" s="37" t="n">
        <v>710199.09</v>
      </c>
      <c r="AA14" s="18" t="n">
        <v>728578.74</v>
      </c>
      <c r="AB14" s="19" t="n">
        <v>769401.9399999999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사용권자산</t>
        </is>
      </c>
      <c r="E15" s="18" t="n">
        <v>96093.13</v>
      </c>
      <c r="F15" s="37" t="n">
        <v>96093.13</v>
      </c>
      <c r="G15" s="18" t="n">
        <v>91105.05</v>
      </c>
      <c r="H15" s="18" t="n">
        <v>86142.84</v>
      </c>
      <c r="I15" s="18" t="n">
        <v>90456.2</v>
      </c>
      <c r="J15" s="18" t="n">
        <v>91379.37</v>
      </c>
      <c r="K15" s="37" t="n">
        <v>91379.37</v>
      </c>
      <c r="L15" s="18" t="n">
        <v>85809.5</v>
      </c>
      <c r="M15" s="18" t="n">
        <v>81788.12</v>
      </c>
      <c r="N15" s="18" t="n">
        <v>102891.4</v>
      </c>
      <c r="O15" s="18" t="n">
        <v>110224.89</v>
      </c>
      <c r="P15" s="37" t="n">
        <v>110224.89</v>
      </c>
      <c r="Q15" s="18" t="n">
        <v>116182.55</v>
      </c>
      <c r="R15" s="18" t="n">
        <v>109863.54</v>
      </c>
      <c r="S15" s="18" t="n">
        <v>142128.05</v>
      </c>
      <c r="T15" s="18" t="n">
        <v>130701.11</v>
      </c>
      <c r="U15" s="37" t="n">
        <v>130701.11</v>
      </c>
      <c r="V15" s="18" t="n">
        <v>123926.27</v>
      </c>
      <c r="W15" s="18" t="n">
        <v>118982.22</v>
      </c>
      <c r="X15" s="18" t="n">
        <v>111334.98</v>
      </c>
      <c r="Y15" s="18" t="n">
        <v>123318.87</v>
      </c>
      <c r="Z15" s="37" t="n">
        <v>123318.87</v>
      </c>
      <c r="AA15" s="18" t="n">
        <v>118914.75</v>
      </c>
      <c r="AB15" s="19" t="n">
        <v>112477.58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기타비유동자산</t>
        </is>
      </c>
      <c r="E16" s="18" t="n">
        <v>98456.28</v>
      </c>
      <c r="F16" s="37" t="n">
        <v>98456.28</v>
      </c>
      <c r="G16" s="18" t="n">
        <v>94323.69</v>
      </c>
      <c r="H16" s="18" t="n">
        <v>89397.7</v>
      </c>
      <c r="I16" s="18" t="n">
        <v>93518.21000000001</v>
      </c>
      <c r="J16" s="18" t="n">
        <v>95489.42999999999</v>
      </c>
      <c r="K16" s="37" t="n">
        <v>95489.42999999999</v>
      </c>
      <c r="L16" s="18" t="n">
        <v>89453.78999999999</v>
      </c>
      <c r="M16" s="18" t="n">
        <v>85683.17999999999</v>
      </c>
      <c r="N16" s="18" t="n">
        <v>106250</v>
      </c>
      <c r="O16" s="18" t="n">
        <v>114650.39</v>
      </c>
      <c r="P16" s="37" t="n">
        <v>114650.39</v>
      </c>
      <c r="Q16" s="18" t="n">
        <v>120311.5</v>
      </c>
      <c r="R16" s="18" t="n">
        <v>113745.64</v>
      </c>
      <c r="S16" s="18" t="n">
        <v>146836.64</v>
      </c>
      <c r="T16" s="18" t="n">
        <v>137319.36</v>
      </c>
      <c r="U16" s="37" t="n">
        <v>137319.36</v>
      </c>
      <c r="V16" s="18" t="n">
        <v>131013.53</v>
      </c>
      <c r="W16" s="18" t="n">
        <v>125731.3</v>
      </c>
      <c r="X16" s="18" t="n">
        <v>131079.87</v>
      </c>
      <c r="Y16" s="18" t="n">
        <v>142593.56</v>
      </c>
      <c r="Z16" s="37" t="n">
        <v>142593.56</v>
      </c>
      <c r="AA16" s="18" t="n">
        <v>140038.89</v>
      </c>
      <c r="AB16" s="19" t="n">
        <v>132947.69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무형자산</t>
        </is>
      </c>
      <c r="E17" s="18" t="n">
        <v>538727.83</v>
      </c>
      <c r="F17" s="37" t="n">
        <v>538727.83</v>
      </c>
      <c r="G17" s="18" t="n">
        <v>536074.61</v>
      </c>
      <c r="H17" s="18" t="n">
        <v>539148.2</v>
      </c>
      <c r="I17" s="18" t="n">
        <v>541358.5600000001</v>
      </c>
      <c r="J17" s="18" t="n">
        <v>544089.39</v>
      </c>
      <c r="K17" s="37" t="n">
        <v>544089.39</v>
      </c>
      <c r="L17" s="18" t="n">
        <v>542690.91</v>
      </c>
      <c r="M17" s="18" t="n">
        <v>541483.88</v>
      </c>
      <c r="N17" s="18" t="n">
        <v>541660.34</v>
      </c>
      <c r="O17" s="18" t="n">
        <v>547331.37</v>
      </c>
      <c r="P17" s="37" t="n">
        <v>547331.37</v>
      </c>
      <c r="Q17" s="18" t="n">
        <v>541950.4399999999</v>
      </c>
      <c r="R17" s="18" t="n">
        <v>551312.09</v>
      </c>
      <c r="S17" s="18" t="n">
        <v>554848.15</v>
      </c>
      <c r="T17" s="18" t="n">
        <v>553167.61</v>
      </c>
      <c r="U17" s="37" t="n">
        <v>553167.61</v>
      </c>
      <c r="V17" s="18" t="n">
        <v>550148.83</v>
      </c>
      <c r="W17" s="18" t="n">
        <v>547108.22</v>
      </c>
      <c r="X17" s="18" t="n">
        <v>541451.79</v>
      </c>
      <c r="Y17" s="18" t="n">
        <v>538159.37</v>
      </c>
      <c r="Z17" s="37" t="n">
        <v>538159.37</v>
      </c>
      <c r="AA17" s="18" t="n">
        <v>530984.52</v>
      </c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이연법인세자산</t>
        </is>
      </c>
      <c r="E18" s="18" t="n">
        <v>81719.2</v>
      </c>
      <c r="F18" s="37" t="n">
        <v>81719.2</v>
      </c>
      <c r="G18" s="18" t="n">
        <v>77207.53</v>
      </c>
      <c r="H18" s="18" t="n">
        <v>76362</v>
      </c>
      <c r="I18" s="18" t="n">
        <v>77885.59</v>
      </c>
      <c r="J18" s="18" t="n">
        <v>87386.88</v>
      </c>
      <c r="K18" s="37" t="n">
        <v>87386.88</v>
      </c>
      <c r="L18" s="18" t="n">
        <v>54281.9</v>
      </c>
      <c r="M18" s="18" t="n">
        <v>30891.55</v>
      </c>
      <c r="N18" s="18" t="n">
        <v>30671.17</v>
      </c>
      <c r="O18" s="18" t="n">
        <v>77866.84</v>
      </c>
      <c r="P18" s="37" t="n">
        <v>77866.84</v>
      </c>
      <c r="Q18" s="18" t="n">
        <v>73200.28</v>
      </c>
      <c r="R18" s="18" t="n">
        <v>103275.32</v>
      </c>
      <c r="S18" s="18" t="n">
        <v>96880.25</v>
      </c>
      <c r="T18" s="18" t="n">
        <v>29856.95</v>
      </c>
      <c r="U18" s="37" t="n">
        <v>29856.95</v>
      </c>
      <c r="V18" s="18" t="n">
        <v>0</v>
      </c>
      <c r="W18" s="18" t="n">
        <v>0</v>
      </c>
      <c r="X18" s="18" t="n">
        <v>0</v>
      </c>
      <c r="Y18" s="18" t="n">
        <v>0</v>
      </c>
      <c r="Z18" s="37" t="n">
        <v>0</v>
      </c>
      <c r="AB18" s="5" t="n"/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자산총계</t>
        </is>
      </c>
      <c r="E19" s="18" t="n">
        <v>3914612.9</v>
      </c>
      <c r="F19" s="37" t="n">
        <v>3914612.9</v>
      </c>
      <c r="G19" s="18" t="n">
        <v>3771122.94</v>
      </c>
      <c r="H19" s="18" t="n">
        <v>4029344.49</v>
      </c>
      <c r="I19" s="18" t="n">
        <v>4047188.69</v>
      </c>
      <c r="J19" s="18" t="n">
        <v>4152100.07</v>
      </c>
      <c r="K19" s="37" t="n">
        <v>4152100.07</v>
      </c>
      <c r="L19" s="18" t="n">
        <v>4219006.06</v>
      </c>
      <c r="M19" s="18" t="n">
        <v>4397595.41</v>
      </c>
      <c r="N19" s="18" t="n">
        <v>4621336.21</v>
      </c>
      <c r="O19" s="18" t="n">
        <v>4555434.38</v>
      </c>
      <c r="P19" s="37" t="n">
        <v>4555434.38</v>
      </c>
      <c r="Q19" s="18" t="n">
        <v>4786852.03</v>
      </c>
      <c r="R19" s="18" t="n">
        <v>4993705.55</v>
      </c>
      <c r="S19" s="18" t="n">
        <v>5081773.45</v>
      </c>
      <c r="T19" s="18" t="n">
        <v>5219489.5</v>
      </c>
      <c r="U19" s="37" t="n">
        <v>5219489.5</v>
      </c>
      <c r="V19" s="18" t="n">
        <v>6518345.67</v>
      </c>
      <c r="W19" s="18" t="n">
        <v>7285164.58</v>
      </c>
      <c r="X19" s="18" t="n">
        <v>8625682.779999999</v>
      </c>
      <c r="Y19" s="18" t="n">
        <v>9343422.76</v>
      </c>
      <c r="Z19" s="37" t="n">
        <v>9343422.76</v>
      </c>
      <c r="AA19" s="18" t="n">
        <v>9956425.93</v>
      </c>
      <c r="AB19" s="19" t="n">
        <v>10768165.39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유동부채</t>
        </is>
      </c>
      <c r="E20" s="18" t="n">
        <v>1358175.17</v>
      </c>
      <c r="F20" s="37" t="n">
        <v>1358175.17</v>
      </c>
      <c r="G20" s="18" t="n">
        <v>1219943.9</v>
      </c>
      <c r="H20" s="18" t="n">
        <v>1448190.58</v>
      </c>
      <c r="I20" s="18" t="n">
        <v>1431444.4</v>
      </c>
      <c r="J20" s="18" t="n">
        <v>1605605.04</v>
      </c>
      <c r="K20" s="37" t="n">
        <v>1605605.04</v>
      </c>
      <c r="L20" s="18" t="n">
        <v>1581264.52</v>
      </c>
      <c r="M20" s="18" t="n">
        <v>1635652.78</v>
      </c>
      <c r="N20" s="18" t="n">
        <v>1777251.48</v>
      </c>
      <c r="O20" s="18" t="n">
        <v>1941385.75</v>
      </c>
      <c r="P20" s="37" t="n">
        <v>1941385.75</v>
      </c>
      <c r="Q20" s="18" t="n">
        <v>2164973.56</v>
      </c>
      <c r="R20" s="18" t="n">
        <v>2160314.99</v>
      </c>
      <c r="S20" s="18" t="n">
        <v>2267270.28</v>
      </c>
      <c r="T20" s="18" t="n">
        <v>2176932.2</v>
      </c>
      <c r="U20" s="37" t="n">
        <v>2176932.2</v>
      </c>
      <c r="V20" s="18" t="n">
        <v>2402202.89</v>
      </c>
      <c r="W20" s="18" t="n">
        <v>2493731.64</v>
      </c>
      <c r="X20" s="18" t="n">
        <v>2631721.07</v>
      </c>
      <c r="Y20" s="18" t="n">
        <v>2639691.97</v>
      </c>
      <c r="Z20" s="37" t="n">
        <v>2639691.97</v>
      </c>
      <c r="AA20" s="18" t="n">
        <v>2784824.48</v>
      </c>
      <c r="AB20" s="19" t="n">
        <v>4438112.03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매입채무및기타채무</t>
        </is>
      </c>
      <c r="E21" s="18" t="n">
        <v>124422.77</v>
      </c>
      <c r="F21" s="37" t="n">
        <v>124422.77</v>
      </c>
      <c r="G21" s="18" t="n">
        <v>124106.12</v>
      </c>
      <c r="H21" s="18" t="n">
        <v>111331.13</v>
      </c>
      <c r="I21" s="18" t="n">
        <v>104013.97</v>
      </c>
      <c r="J21" s="18" t="n">
        <v>159257.46</v>
      </c>
      <c r="K21" s="37" t="n">
        <v>159257.46</v>
      </c>
      <c r="L21" s="18" t="n">
        <v>208830.23</v>
      </c>
      <c r="M21" s="18" t="n">
        <v>115098.57</v>
      </c>
      <c r="N21" s="18" t="n">
        <v>105886.55</v>
      </c>
      <c r="O21" s="18" t="n">
        <v>210278.32</v>
      </c>
      <c r="P21" s="37" t="n">
        <v>210278.32</v>
      </c>
      <c r="Q21" s="18" t="n">
        <v>231992.32</v>
      </c>
      <c r="R21" s="18" t="n">
        <v>209988.9</v>
      </c>
      <c r="S21" s="18" t="n">
        <v>164271.76</v>
      </c>
      <c r="T21" s="18" t="n">
        <v>211650.83</v>
      </c>
      <c r="U21" s="37" t="n">
        <v>211650.83</v>
      </c>
      <c r="V21" s="18" t="n">
        <v>311589.43</v>
      </c>
      <c r="W21" s="18" t="n">
        <v>223456.93</v>
      </c>
      <c r="X21" s="18" t="n">
        <v>278142.02</v>
      </c>
      <c r="Y21" s="18" t="n">
        <v>424062.6</v>
      </c>
      <c r="Z21" s="37" t="n">
        <v>424062.6</v>
      </c>
      <c r="AA21" s="18" t="n">
        <v>480886.77</v>
      </c>
      <c r="AB21" s="19" t="n">
        <v>330379.56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단기차입금</t>
        </is>
      </c>
      <c r="E22" s="18" t="n">
        <v>29986.12</v>
      </c>
      <c r="F22" s="37" t="n">
        <v>29986.12</v>
      </c>
      <c r="G22" s="18" t="n">
        <v>29992.82</v>
      </c>
      <c r="H22" s="18" t="n">
        <v>0</v>
      </c>
      <c r="I22" s="18" t="n">
        <v>50000</v>
      </c>
      <c r="J22" s="18" t="n">
        <v>80000</v>
      </c>
      <c r="K22" s="37" t="n">
        <v>80000</v>
      </c>
      <c r="L22" s="18" t="n">
        <v>80000</v>
      </c>
      <c r="M22" s="18" t="n">
        <v>80000</v>
      </c>
      <c r="N22" s="18" t="n">
        <v>289988.04</v>
      </c>
      <c r="O22" s="18" t="n">
        <v>159992.26</v>
      </c>
      <c r="P22" s="37" t="n">
        <v>159992.26</v>
      </c>
      <c r="Q22" s="18" t="n">
        <v>319996.02</v>
      </c>
      <c r="R22" s="18" t="n">
        <v>209999.79</v>
      </c>
      <c r="S22" s="18" t="n">
        <v>129941.02</v>
      </c>
      <c r="T22" s="18" t="n">
        <v>79955.19</v>
      </c>
      <c r="U22" s="37" t="n">
        <v>79955.19</v>
      </c>
      <c r="V22" s="18" t="n">
        <v>229969.77</v>
      </c>
      <c r="W22" s="18" t="n">
        <v>149808.42</v>
      </c>
      <c r="X22" s="18" t="n">
        <v>333870.29</v>
      </c>
      <c r="Y22" s="18" t="n">
        <v>286418.4</v>
      </c>
      <c r="Z22" s="37" t="n">
        <v>286418.4</v>
      </c>
      <c r="AA22" s="18" t="n">
        <v>455903.92</v>
      </c>
      <c r="AB22" s="19" t="n">
        <v>2009721.51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단기금융부채(face)</t>
        </is>
      </c>
      <c r="E23" s="18" t="n">
        <v>29986.12</v>
      </c>
      <c r="F23" s="37" t="n">
        <v>29986.12</v>
      </c>
      <c r="G23" s="18" t="n">
        <v>29992.82</v>
      </c>
      <c r="H23" s="18" t="n">
        <v>0</v>
      </c>
      <c r="I23" s="18" t="n">
        <v>50000</v>
      </c>
      <c r="J23" s="18" t="n">
        <v>80000</v>
      </c>
      <c r="K23" s="37" t="n">
        <v>80000</v>
      </c>
      <c r="L23" s="18" t="n">
        <v>80000</v>
      </c>
      <c r="M23" s="18" t="n">
        <v>80000</v>
      </c>
      <c r="N23" s="18" t="n">
        <v>289988.04</v>
      </c>
      <c r="O23" s="18" t="n">
        <v>159992.26</v>
      </c>
      <c r="P23" s="37" t="n">
        <v>159992.26</v>
      </c>
      <c r="Q23" s="18" t="n">
        <v>319996.02</v>
      </c>
      <c r="R23" s="18" t="n">
        <v>209999.79</v>
      </c>
      <c r="S23" s="18" t="n">
        <v>129941.02</v>
      </c>
      <c r="T23" s="18" t="n">
        <v>79955.19</v>
      </c>
      <c r="U23" s="37" t="n">
        <v>79955.19</v>
      </c>
      <c r="V23" s="18" t="n">
        <v>229969.77</v>
      </c>
      <c r="W23" s="18" t="n">
        <v>149808.42</v>
      </c>
      <c r="X23" s="18" t="n">
        <v>333870.29</v>
      </c>
      <c r="Y23" s="18" t="n">
        <v>286418.4</v>
      </c>
      <c r="Z23" s="37" t="n">
        <v>286418.4</v>
      </c>
      <c r="AA23" s="18" t="n">
        <v>455903.92</v>
      </c>
      <c r="AB23" s="19" t="n">
        <v>2009721.51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기타유동금융부채</t>
        </is>
      </c>
      <c r="E24" s="18" t="n">
        <v>67197.46000000001</v>
      </c>
      <c r="F24" s="37" t="n">
        <v>67197.46000000001</v>
      </c>
      <c r="G24" s="18" t="n">
        <v>47633.97</v>
      </c>
      <c r="H24" s="18" t="n">
        <v>49042.48</v>
      </c>
      <c r="I24" s="18" t="n">
        <v>56484.1</v>
      </c>
      <c r="J24" s="18" t="n">
        <v>76906.88</v>
      </c>
      <c r="K24" s="37" t="n">
        <v>76906.88</v>
      </c>
      <c r="L24" s="18" t="n">
        <v>56724.56</v>
      </c>
      <c r="M24" s="18" t="n">
        <v>66855.3</v>
      </c>
      <c r="N24" s="18" t="n">
        <v>67283.39</v>
      </c>
      <c r="O24" s="18" t="n">
        <v>89683.52</v>
      </c>
      <c r="P24" s="37" t="n">
        <v>89683.52</v>
      </c>
      <c r="Q24" s="18" t="n">
        <v>66971.52</v>
      </c>
      <c r="R24" s="18" t="n">
        <v>70600.75999999999</v>
      </c>
      <c r="S24" s="18" t="n">
        <v>83507.10000000001</v>
      </c>
      <c r="T24" s="18" t="n">
        <v>137422.36</v>
      </c>
      <c r="U24" s="37" t="n">
        <v>137422.36</v>
      </c>
      <c r="V24" s="18" t="n">
        <v>75349.2</v>
      </c>
      <c r="W24" s="18" t="n">
        <v>93409.19</v>
      </c>
      <c r="X24" s="18" t="n">
        <v>109650.46</v>
      </c>
      <c r="Y24" s="18" t="n">
        <v>168029.99</v>
      </c>
      <c r="Z24" s="37" t="n">
        <v>168029.99</v>
      </c>
      <c r="AA24" s="18" t="n">
        <v>120411.53</v>
      </c>
      <c r="AB24" s="19" t="n">
        <v>141558.12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단기금융부채</t>
        </is>
      </c>
      <c r="E25" s="18" t="n">
        <v>67197.46000000001</v>
      </c>
      <c r="F25" s="37" t="n">
        <v>67197.46000000001</v>
      </c>
      <c r="G25" s="18" t="n">
        <v>47633.97</v>
      </c>
      <c r="H25" s="18" t="n">
        <v>49042.48</v>
      </c>
      <c r="I25" s="18" t="n">
        <v>56484.1</v>
      </c>
      <c r="J25" s="18" t="n">
        <v>76906.88</v>
      </c>
      <c r="K25" s="37" t="n">
        <v>76906.88</v>
      </c>
      <c r="L25" s="18" t="n">
        <v>56724.56</v>
      </c>
      <c r="M25" s="18" t="n">
        <v>66855.3</v>
      </c>
      <c r="N25" s="18" t="n">
        <v>67283.39</v>
      </c>
      <c r="O25" s="18" t="n">
        <v>89683.52</v>
      </c>
      <c r="P25" s="37" t="n">
        <v>89683.52</v>
      </c>
      <c r="Q25" s="18" t="n">
        <v>66971.52</v>
      </c>
      <c r="R25" s="18" t="n">
        <v>70600.75999999999</v>
      </c>
      <c r="S25" s="18" t="n">
        <v>83507.10000000001</v>
      </c>
      <c r="T25" s="18" t="n">
        <v>137422.36</v>
      </c>
      <c r="U25" s="37" t="n">
        <v>137422.36</v>
      </c>
      <c r="V25" s="18" t="n">
        <v>75349.2</v>
      </c>
      <c r="W25" s="18" t="n">
        <v>93409.19</v>
      </c>
      <c r="X25" s="18" t="n">
        <v>109650.46</v>
      </c>
      <c r="Y25" s="18" t="n">
        <v>168029.99</v>
      </c>
      <c r="Z25" s="37" t="n">
        <v>168029.99</v>
      </c>
      <c r="AA25" s="18" t="n">
        <v>120411.53</v>
      </c>
      <c r="AB25" s="19" t="n">
        <v>141558.12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기타유동부채</t>
        </is>
      </c>
      <c r="E26" s="18" t="n">
        <v>1110781.8</v>
      </c>
      <c r="F26" s="37" t="n">
        <v>1110781.8</v>
      </c>
      <c r="G26" s="18" t="n">
        <v>996519.8100000001</v>
      </c>
      <c r="H26" s="18" t="n">
        <v>1269944.47</v>
      </c>
      <c r="I26" s="18" t="n">
        <v>1196554.3</v>
      </c>
      <c r="J26" s="18" t="n">
        <v>1252282.21</v>
      </c>
      <c r="K26" s="37" t="n">
        <v>1252282.21</v>
      </c>
      <c r="L26" s="18" t="n">
        <v>1202733.32</v>
      </c>
      <c r="M26" s="18" t="n">
        <v>1334313.4</v>
      </c>
      <c r="N26" s="18" t="n">
        <v>1271319.45</v>
      </c>
      <c r="O26" s="18" t="n">
        <v>1431341.49</v>
      </c>
      <c r="P26" s="37" t="n">
        <v>1431341.49</v>
      </c>
      <c r="Q26" s="18" t="n">
        <v>1493112.09</v>
      </c>
      <c r="R26" s="18" t="n">
        <v>1626924.24</v>
      </c>
      <c r="S26" s="18" t="n">
        <v>1848372.94</v>
      </c>
      <c r="T26" s="18" t="n">
        <v>1675436.66</v>
      </c>
      <c r="U26" s="37" t="n">
        <v>1675436.66</v>
      </c>
      <c r="V26" s="18" t="n">
        <v>1733985.18</v>
      </c>
      <c r="W26" s="18" t="n">
        <v>1988516.9</v>
      </c>
      <c r="X26" s="18" t="n">
        <v>1865028.2</v>
      </c>
      <c r="Y26" s="18" t="n">
        <v>1695969.26</v>
      </c>
      <c r="Z26" s="37" t="n">
        <v>1695969.26</v>
      </c>
      <c r="AA26" s="18" t="n">
        <v>1677887.74</v>
      </c>
      <c r="AB26" s="19" t="n">
        <v>1905412.44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단기충당부채</t>
        </is>
      </c>
      <c r="E27" s="18" t="n">
        <v>10475.01</v>
      </c>
      <c r="F27" s="37" t="n">
        <v>10475.01</v>
      </c>
      <c r="G27" s="18" t="n">
        <v>10782.41</v>
      </c>
      <c r="H27" s="18" t="n">
        <v>9174.43</v>
      </c>
      <c r="I27" s="18" t="n">
        <v>15589.43</v>
      </c>
      <c r="J27" s="18" t="n">
        <v>22888.11</v>
      </c>
      <c r="K27" s="37" t="n">
        <v>22888.11</v>
      </c>
      <c r="L27" s="18" t="n">
        <v>19182.69</v>
      </c>
      <c r="M27" s="18" t="n">
        <v>24378.83</v>
      </c>
      <c r="N27" s="18" t="n">
        <v>22790.81</v>
      </c>
      <c r="O27" s="18" t="n">
        <v>31632.6</v>
      </c>
      <c r="P27" s="37" t="n">
        <v>31632.6</v>
      </c>
      <c r="Q27" s="18" t="n">
        <v>28690.2</v>
      </c>
      <c r="R27" s="18" t="n">
        <v>22645.38</v>
      </c>
      <c r="S27" s="18" t="n">
        <v>26139.25</v>
      </c>
      <c r="T27" s="18" t="n">
        <v>35162.4</v>
      </c>
      <c r="U27" s="37" t="n">
        <v>35162.4</v>
      </c>
      <c r="V27" s="18" t="n">
        <v>29518.94</v>
      </c>
      <c r="W27" s="18" t="n">
        <v>27692.82</v>
      </c>
      <c r="X27" s="18" t="n">
        <v>25343.56</v>
      </c>
      <c r="Y27" s="18" t="n">
        <v>30452.43</v>
      </c>
      <c r="Z27" s="37" t="n">
        <v>30452.43</v>
      </c>
      <c r="AA27" s="18" t="n">
        <v>26204.4</v>
      </c>
      <c r="AB27" s="19" t="n">
        <v>23662.57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15312.02</v>
      </c>
      <c r="F28" s="37" t="n">
        <v>15312.02</v>
      </c>
      <c r="G28" s="18" t="n">
        <v>10908.78</v>
      </c>
      <c r="H28" s="18" t="n">
        <v>8698.08</v>
      </c>
      <c r="I28" s="18" t="n">
        <v>8802.610000000001</v>
      </c>
      <c r="J28" s="18" t="n">
        <v>14270.38</v>
      </c>
      <c r="K28" s="37" t="n">
        <v>14270.38</v>
      </c>
      <c r="L28" s="18" t="n">
        <v>13793.72</v>
      </c>
      <c r="M28" s="18" t="n">
        <v>15006.68</v>
      </c>
      <c r="N28" s="18" t="n">
        <v>19983.24</v>
      </c>
      <c r="O28" s="18" t="n">
        <v>18457.56</v>
      </c>
      <c r="P28" s="37" t="n">
        <v>18457.56</v>
      </c>
      <c r="Q28" s="18" t="n">
        <v>24211.41</v>
      </c>
      <c r="R28" s="18" t="n">
        <v>20155.91</v>
      </c>
      <c r="S28" s="18" t="n">
        <v>15038.21</v>
      </c>
      <c r="T28" s="18" t="n">
        <v>37304.77</v>
      </c>
      <c r="U28" s="37" t="n">
        <v>37304.77</v>
      </c>
      <c r="V28" s="18" t="n">
        <v>21790.37</v>
      </c>
      <c r="W28" s="18" t="n">
        <v>10847.38</v>
      </c>
      <c r="X28" s="18" t="n">
        <v>19686.55</v>
      </c>
      <c r="Y28" s="18" t="n">
        <v>34759.3</v>
      </c>
      <c r="Z28" s="37" t="n">
        <v>34759.3</v>
      </c>
      <c r="AA28" s="18" t="n">
        <v>23530.12</v>
      </c>
      <c r="AB28" s="19" t="n">
        <v>27377.82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E29" s="18" t="n">
        <v>286977.4</v>
      </c>
      <c r="F29" s="37" t="n">
        <v>286977.4</v>
      </c>
      <c r="G29" s="18" t="n">
        <v>286650.41</v>
      </c>
      <c r="H29" s="18" t="n">
        <v>287609.65</v>
      </c>
      <c r="I29" s="18" t="n">
        <v>297747.91</v>
      </c>
      <c r="J29" s="18" t="n">
        <v>299465.71</v>
      </c>
      <c r="K29" s="37" t="n">
        <v>299465.71</v>
      </c>
      <c r="L29" s="18" t="n">
        <v>301136.66</v>
      </c>
      <c r="M29" s="18" t="n">
        <v>303408.4</v>
      </c>
      <c r="N29" s="18" t="n">
        <v>346989.72</v>
      </c>
      <c r="O29" s="18" t="n">
        <v>370401.32</v>
      </c>
      <c r="P29" s="37" t="n">
        <v>370401.32</v>
      </c>
      <c r="Q29" s="18" t="n">
        <v>386344.11</v>
      </c>
      <c r="R29" s="18" t="n">
        <v>640242.5699999999</v>
      </c>
      <c r="S29" s="18" t="n">
        <v>589067.7</v>
      </c>
      <c r="T29" s="18" t="n">
        <v>611522.9399999999</v>
      </c>
      <c r="U29" s="37" t="n">
        <v>611522.9399999999</v>
      </c>
      <c r="V29" s="18" t="n">
        <v>889748.36</v>
      </c>
      <c r="W29" s="18" t="n">
        <v>1188891.45</v>
      </c>
      <c r="X29" s="18" t="n">
        <v>1421260.2</v>
      </c>
      <c r="Y29" s="18" t="n">
        <v>1887466.16</v>
      </c>
      <c r="Z29" s="37" t="n">
        <v>1887466.16</v>
      </c>
      <c r="AA29" s="18" t="n">
        <v>2203873.82</v>
      </c>
      <c r="AB29" s="19" t="n">
        <v>1874425.51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장기차입금</t>
        </is>
      </c>
      <c r="E30" s="18" t="n">
        <v>29959.4</v>
      </c>
      <c r="F30" s="37" t="n">
        <v>29959.4</v>
      </c>
      <c r="G30" s="18" t="n">
        <v>29963.37</v>
      </c>
      <c r="H30" s="18" t="n">
        <v>29967.41</v>
      </c>
      <c r="I30" s="18" t="n">
        <v>29971.52</v>
      </c>
      <c r="J30" s="18" t="n">
        <v>29975.65</v>
      </c>
      <c r="K30" s="37" t="n">
        <v>29975.65</v>
      </c>
      <c r="L30" s="18" t="n">
        <v>29979.71</v>
      </c>
      <c r="M30" s="18" t="n">
        <v>29983.84</v>
      </c>
      <c r="N30" s="18" t="n">
        <v>49884.18</v>
      </c>
      <c r="O30" s="18" t="n">
        <v>49899.32</v>
      </c>
      <c r="P30" s="37" t="n">
        <v>49899.32</v>
      </c>
      <c r="Q30" s="18" t="n">
        <v>49913.35</v>
      </c>
      <c r="R30" s="18" t="n">
        <v>299021.88</v>
      </c>
      <c r="S30" s="18" t="n">
        <v>249185.35</v>
      </c>
      <c r="T30" s="18" t="n">
        <v>249276.74</v>
      </c>
      <c r="U30" s="37" t="n">
        <v>249276.74</v>
      </c>
      <c r="V30" s="18" t="n">
        <v>290667.02</v>
      </c>
      <c r="W30" s="18" t="n">
        <v>489861.28</v>
      </c>
      <c r="X30" s="18" t="n">
        <v>558310.01</v>
      </c>
      <c r="Y30" s="18" t="n">
        <v>1073225.85</v>
      </c>
      <c r="Z30" s="37" t="n">
        <v>1073225.85</v>
      </c>
      <c r="AA30" s="18" t="n">
        <v>1306257.32</v>
      </c>
      <c r="AB30" s="19" t="n">
        <v>1096911.14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장기금융부채(face)</t>
        </is>
      </c>
      <c r="E31" s="18" t="n">
        <v>29959.4</v>
      </c>
      <c r="F31" s="37" t="n">
        <v>29959.4</v>
      </c>
      <c r="G31" s="18" t="n">
        <v>29963.37</v>
      </c>
      <c r="H31" s="18" t="n">
        <v>29967.41</v>
      </c>
      <c r="I31" s="18" t="n">
        <v>29971.52</v>
      </c>
      <c r="J31" s="18" t="n">
        <v>29975.65</v>
      </c>
      <c r="K31" s="37" t="n">
        <v>29975.65</v>
      </c>
      <c r="L31" s="18" t="n">
        <v>29979.71</v>
      </c>
      <c r="M31" s="18" t="n">
        <v>29983.84</v>
      </c>
      <c r="N31" s="18" t="n">
        <v>49884.18</v>
      </c>
      <c r="O31" s="18" t="n">
        <v>49899.32</v>
      </c>
      <c r="P31" s="37" t="n">
        <v>49899.32</v>
      </c>
      <c r="Q31" s="18" t="n">
        <v>49913.35</v>
      </c>
      <c r="R31" s="18" t="n">
        <v>299021.88</v>
      </c>
      <c r="S31" s="18" t="n">
        <v>249185.35</v>
      </c>
      <c r="T31" s="18" t="n">
        <v>249276.74</v>
      </c>
      <c r="U31" s="37" t="n">
        <v>249276.74</v>
      </c>
      <c r="V31" s="18" t="n">
        <v>290667.02</v>
      </c>
      <c r="W31" s="18" t="n">
        <v>489861.28</v>
      </c>
      <c r="X31" s="18" t="n">
        <v>558310.01</v>
      </c>
      <c r="Y31" s="18" t="n">
        <v>1073225.85</v>
      </c>
      <c r="Z31" s="37" t="n">
        <v>1073225.85</v>
      </c>
      <c r="AA31" s="18" t="n">
        <v>1306257.32</v>
      </c>
      <c r="AB31" s="19" t="n">
        <v>1096911.14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기타비유동금융부채</t>
        </is>
      </c>
      <c r="E32" s="18" t="n">
        <v>76304.7</v>
      </c>
      <c r="F32" s="37" t="n">
        <v>76304.7</v>
      </c>
      <c r="G32" s="18" t="n">
        <v>71979.96000000001</v>
      </c>
      <c r="H32" s="18" t="n">
        <v>67099.49000000001</v>
      </c>
      <c r="I32" s="18" t="n">
        <v>70606.11</v>
      </c>
      <c r="J32" s="18" t="n">
        <v>70679.28</v>
      </c>
      <c r="K32" s="37" t="n">
        <v>70679.28</v>
      </c>
      <c r="L32" s="18" t="n">
        <v>68644.7</v>
      </c>
      <c r="M32" s="18" t="n">
        <v>66805.35000000001</v>
      </c>
      <c r="N32" s="18" t="n">
        <v>84406.75999999999</v>
      </c>
      <c r="O32" s="18" t="n">
        <v>93360.83</v>
      </c>
      <c r="P32" s="37" t="n">
        <v>93360.83</v>
      </c>
      <c r="Q32" s="18" t="n">
        <v>100031.42</v>
      </c>
      <c r="R32" s="18" t="n">
        <v>96643.84</v>
      </c>
      <c r="S32" s="18" t="n">
        <v>130327.26</v>
      </c>
      <c r="T32" s="18" t="n">
        <v>124411.06</v>
      </c>
      <c r="U32" s="37" t="n">
        <v>124411.06</v>
      </c>
      <c r="V32" s="18" t="n">
        <v>128916.16</v>
      </c>
      <c r="W32" s="18" t="n">
        <v>124236.16</v>
      </c>
      <c r="X32" s="18" t="n">
        <v>121790.24</v>
      </c>
      <c r="Y32" s="18" t="n">
        <v>133154.47</v>
      </c>
      <c r="Z32" s="37" t="n">
        <v>133154.47</v>
      </c>
      <c r="AA32" s="18" t="n">
        <v>147596.53</v>
      </c>
      <c r="AB32" s="19" t="n">
        <v>128476.45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76304.7</v>
      </c>
      <c r="F33" s="37" t="n">
        <v>76304.7</v>
      </c>
      <c r="G33" s="18" t="n">
        <v>71979.96000000001</v>
      </c>
      <c r="H33" s="18" t="n">
        <v>67099.49000000001</v>
      </c>
      <c r="I33" s="18" t="n">
        <v>70606.11</v>
      </c>
      <c r="J33" s="18" t="n">
        <v>70679.28</v>
      </c>
      <c r="K33" s="37" t="n">
        <v>70679.28</v>
      </c>
      <c r="L33" s="18" t="n">
        <v>68644.7</v>
      </c>
      <c r="M33" s="18" t="n">
        <v>66805.35000000001</v>
      </c>
      <c r="N33" s="18" t="n">
        <v>84406.75999999999</v>
      </c>
      <c r="O33" s="18" t="n">
        <v>93360.83</v>
      </c>
      <c r="P33" s="37" t="n">
        <v>93360.83</v>
      </c>
      <c r="Q33" s="18" t="n">
        <v>100031.42</v>
      </c>
      <c r="R33" s="18" t="n">
        <v>96643.84</v>
      </c>
      <c r="S33" s="18" t="n">
        <v>130327.26</v>
      </c>
      <c r="T33" s="18" t="n">
        <v>124411.06</v>
      </c>
      <c r="U33" s="37" t="n">
        <v>124411.06</v>
      </c>
      <c r="V33" s="18" t="n">
        <v>128916.16</v>
      </c>
      <c r="W33" s="18" t="n">
        <v>124236.16</v>
      </c>
      <c r="X33" s="18" t="n">
        <v>121790.24</v>
      </c>
      <c r="Y33" s="18" t="n">
        <v>133154.47</v>
      </c>
      <c r="Z33" s="37" t="n">
        <v>133154.47</v>
      </c>
      <c r="AA33" s="18" t="n">
        <v>147596.53</v>
      </c>
      <c r="AB33" s="19" t="n">
        <v>128476.45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159807.62</v>
      </c>
      <c r="F34" s="37" t="n">
        <v>159807.62</v>
      </c>
      <c r="G34" s="18" t="n">
        <v>163684.27</v>
      </c>
      <c r="H34" s="18" t="n">
        <v>168931.42</v>
      </c>
      <c r="I34" s="18" t="n">
        <v>174079.18</v>
      </c>
      <c r="J34" s="18" t="n">
        <v>179180.24</v>
      </c>
      <c r="K34" s="37" t="n">
        <v>179180.24</v>
      </c>
      <c r="L34" s="18" t="n">
        <v>182356.2</v>
      </c>
      <c r="M34" s="18" t="n">
        <v>185901.13</v>
      </c>
      <c r="N34" s="18" t="n">
        <v>191125.77</v>
      </c>
      <c r="O34" s="18" t="n">
        <v>205449.26</v>
      </c>
      <c r="P34" s="37" t="n">
        <v>205449.26</v>
      </c>
      <c r="Q34" s="18" t="n">
        <v>214103.92</v>
      </c>
      <c r="R34" s="18" t="n">
        <v>221604.42</v>
      </c>
      <c r="S34" s="18" t="n">
        <v>185826.26</v>
      </c>
      <c r="T34" s="18" t="n">
        <v>207330.08</v>
      </c>
      <c r="U34" s="37" t="n">
        <v>207330.08</v>
      </c>
      <c r="V34" s="18" t="n">
        <v>214432</v>
      </c>
      <c r="W34" s="18" t="n">
        <v>226999.46</v>
      </c>
      <c r="X34" s="18" t="n">
        <v>232970.91</v>
      </c>
      <c r="Y34" s="18" t="n">
        <v>151006.05</v>
      </c>
      <c r="Z34" s="37" t="n">
        <v>151006.05</v>
      </c>
      <c r="AA34" s="18" t="n">
        <v>150019.27</v>
      </c>
      <c r="AB34" s="19" t="n">
        <v>156314.24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장기충당부채</t>
        </is>
      </c>
      <c r="E35" s="18" t="n">
        <v>20436.98</v>
      </c>
      <c r="F35" s="37" t="n">
        <v>20436.98</v>
      </c>
      <c r="G35" s="18" t="n">
        <v>21022.81</v>
      </c>
      <c r="H35" s="18" t="n">
        <v>21611.32</v>
      </c>
      <c r="I35" s="18" t="n">
        <v>23091.1</v>
      </c>
      <c r="J35" s="18" t="n">
        <v>19630.54</v>
      </c>
      <c r="K35" s="37" t="n">
        <v>19630.54</v>
      </c>
      <c r="L35" s="18" t="n">
        <v>20156.04</v>
      </c>
      <c r="M35" s="18" t="n">
        <v>20718.08</v>
      </c>
      <c r="N35" s="18" t="n">
        <v>21573</v>
      </c>
      <c r="O35" s="18" t="n">
        <v>21691.91</v>
      </c>
      <c r="P35" s="37" t="n">
        <v>21691.91</v>
      </c>
      <c r="Q35" s="18" t="n">
        <v>22295.42</v>
      </c>
      <c r="R35" s="18" t="n">
        <v>22972.42</v>
      </c>
      <c r="S35" s="18" t="n">
        <v>23728.85</v>
      </c>
      <c r="T35" s="18" t="n">
        <v>30505.07</v>
      </c>
      <c r="U35" s="37" t="n">
        <v>30505.07</v>
      </c>
      <c r="V35" s="18" t="n">
        <v>31211.51</v>
      </c>
      <c r="W35" s="18" t="n">
        <v>32308.55</v>
      </c>
      <c r="X35" s="18" t="n">
        <v>33195.88</v>
      </c>
      <c r="Y35" s="18" t="n">
        <v>47254.28</v>
      </c>
      <c r="Z35" s="37" t="n">
        <v>47254.28</v>
      </c>
      <c r="AA35" s="18" t="n">
        <v>48528.7</v>
      </c>
      <c r="AB35" s="19" t="n">
        <v>49835.25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부채총계</t>
        </is>
      </c>
      <c r="E36" s="18" t="n">
        <v>1645152.58</v>
      </c>
      <c r="F36" s="37" t="n">
        <v>1645152.58</v>
      </c>
      <c r="G36" s="18" t="n">
        <v>1506594.31</v>
      </c>
      <c r="H36" s="18" t="n">
        <v>1735800.23</v>
      </c>
      <c r="I36" s="18" t="n">
        <v>1729192.31</v>
      </c>
      <c r="J36" s="18" t="n">
        <v>1905070.75</v>
      </c>
      <c r="K36" s="37" t="n">
        <v>1905070.75</v>
      </c>
      <c r="L36" s="18" t="n">
        <v>1882401.18</v>
      </c>
      <c r="M36" s="18" t="n">
        <v>1939061.18</v>
      </c>
      <c r="N36" s="18" t="n">
        <v>2124241.2</v>
      </c>
      <c r="O36" s="18" t="n">
        <v>2311787.07</v>
      </c>
      <c r="P36" s="37" t="n">
        <v>2311787.07</v>
      </c>
      <c r="Q36" s="18" t="n">
        <v>2551317.67</v>
      </c>
      <c r="R36" s="18" t="n">
        <v>2800557.56</v>
      </c>
      <c r="S36" s="18" t="n">
        <v>2856337.98</v>
      </c>
      <c r="T36" s="18" t="n">
        <v>2788455.15</v>
      </c>
      <c r="U36" s="37" t="n">
        <v>2788455.15</v>
      </c>
      <c r="V36" s="18" t="n">
        <v>3291951.26</v>
      </c>
      <c r="W36" s="18" t="n">
        <v>3682623.09</v>
      </c>
      <c r="X36" s="18" t="n">
        <v>4052981.27</v>
      </c>
      <c r="Y36" s="18" t="n">
        <v>4527158.13</v>
      </c>
      <c r="Z36" s="37" t="n">
        <v>4527158.13</v>
      </c>
      <c r="AA36" s="18" t="n">
        <v>4988698.3</v>
      </c>
      <c r="AB36" s="19" t="n">
        <v>6312537.54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자본금</t>
        </is>
      </c>
      <c r="E37" s="18" t="n">
        <v>944596.9399999999</v>
      </c>
      <c r="F37" s="37" t="n">
        <v>944596.9399999999</v>
      </c>
      <c r="G37" s="18" t="n">
        <v>944596.9399999999</v>
      </c>
      <c r="H37" s="18" t="n">
        <v>944596.9399999999</v>
      </c>
      <c r="I37" s="18" t="n">
        <v>944596.9399999999</v>
      </c>
      <c r="J37" s="18" t="n">
        <v>944596.9399999999</v>
      </c>
      <c r="K37" s="37" t="n">
        <v>944596.9399999999</v>
      </c>
      <c r="L37" s="18" t="n">
        <v>944596.9399999999</v>
      </c>
      <c r="M37" s="18" t="n">
        <v>944596.9399999999</v>
      </c>
      <c r="N37" s="18" t="n">
        <v>944596.9399999999</v>
      </c>
      <c r="O37" s="18" t="n">
        <v>944596.9399999999</v>
      </c>
      <c r="P37" s="37" t="n">
        <v>944596.9399999999</v>
      </c>
      <c r="Q37" s="18" t="n">
        <v>944596.9399999999</v>
      </c>
      <c r="R37" s="18" t="n">
        <v>944596.9399999999</v>
      </c>
      <c r="S37" s="18" t="n">
        <v>944596.9399999999</v>
      </c>
      <c r="T37" s="18" t="n">
        <v>944596.9399999999</v>
      </c>
      <c r="U37" s="37" t="n">
        <v>944596.9399999999</v>
      </c>
      <c r="V37" s="18" t="n">
        <v>944596.9399999999</v>
      </c>
      <c r="W37" s="18" t="n">
        <v>944596.9399999999</v>
      </c>
      <c r="X37" s="18" t="n">
        <v>944596.9399999999</v>
      </c>
      <c r="Y37" s="18" t="n">
        <v>944596.9399999999</v>
      </c>
      <c r="Z37" s="37" t="n">
        <v>944596.9399999999</v>
      </c>
      <c r="AA37" s="18" t="n">
        <v>944596.9399999999</v>
      </c>
      <c r="AB37" s="19" t="n">
        <v>944596.9399999999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자본잉여금</t>
        </is>
      </c>
      <c r="E38" s="18" t="n">
        <v>1089765.28</v>
      </c>
      <c r="F38" s="37" t="n">
        <v>1089765.28</v>
      </c>
      <c r="G38" s="18" t="n">
        <v>1089906.25</v>
      </c>
      <c r="H38" s="18" t="n">
        <v>1090355.65</v>
      </c>
      <c r="I38" s="18" t="n">
        <v>1090355.65</v>
      </c>
      <c r="J38" s="18" t="n">
        <v>1090355.65</v>
      </c>
      <c r="K38" s="37" t="n">
        <v>1090355.65</v>
      </c>
      <c r="L38" s="18" t="n">
        <v>1091553.06</v>
      </c>
      <c r="M38" s="18" t="n">
        <v>1092899.76</v>
      </c>
      <c r="N38" s="18" t="n">
        <v>1092899.76</v>
      </c>
      <c r="O38" s="18" t="n">
        <v>1092899.76</v>
      </c>
      <c r="P38" s="37" t="n">
        <v>1092899.76</v>
      </c>
      <c r="Q38" s="18" t="n">
        <v>1094651.75</v>
      </c>
      <c r="R38" s="18" t="n">
        <v>1095449.14</v>
      </c>
      <c r="S38" s="18" t="n">
        <v>1096142.59</v>
      </c>
      <c r="T38" s="18" t="n">
        <v>1096623.3</v>
      </c>
      <c r="U38" s="37" t="n">
        <v>1096623.3</v>
      </c>
      <c r="V38" s="18" t="n">
        <v>1096824.47</v>
      </c>
      <c r="W38" s="18" t="n">
        <v>1118861.17</v>
      </c>
      <c r="X38" s="18" t="n">
        <v>1121202.04</v>
      </c>
      <c r="Y38" s="18" t="n">
        <v>1123887.96</v>
      </c>
      <c r="Z38" s="37" t="n">
        <v>1123887.96</v>
      </c>
      <c r="AA38" s="18" t="n">
        <v>1125062.09</v>
      </c>
      <c r="AB38" s="19" t="n">
        <v>1127672.75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기타자본</t>
        </is>
      </c>
      <c r="E39" s="18" t="n">
        <v>-34121.41</v>
      </c>
      <c r="F39" s="37" t="n">
        <v>-34121.41</v>
      </c>
      <c r="G39" s="18" t="n">
        <v>-34121.41</v>
      </c>
      <c r="H39" s="18" t="n">
        <v>-34121.41</v>
      </c>
      <c r="I39" s="18" t="n">
        <v>-34121.41</v>
      </c>
      <c r="J39" s="18" t="n">
        <v>-34121.41</v>
      </c>
      <c r="K39" s="37" t="n">
        <v>-34121.41</v>
      </c>
      <c r="L39" s="18" t="n">
        <v>-34121.41</v>
      </c>
      <c r="M39" s="18" t="n">
        <v>-34121.41</v>
      </c>
      <c r="N39" s="18" t="n">
        <v>-34121.41</v>
      </c>
      <c r="O39" s="18" t="n">
        <v>-34121.41</v>
      </c>
      <c r="P39" s="37" t="n">
        <v>-34121.41</v>
      </c>
      <c r="Q39" s="18" t="n">
        <v>-34121.41</v>
      </c>
      <c r="R39" s="18" t="n">
        <v>-34121.41</v>
      </c>
      <c r="S39" s="18" t="n">
        <v>-34121.41</v>
      </c>
      <c r="T39" s="18" t="n">
        <v>-34121.41</v>
      </c>
      <c r="U39" s="37" t="n">
        <v>-34121.41</v>
      </c>
      <c r="V39" s="18" t="n">
        <v>-34121.41</v>
      </c>
      <c r="W39" s="18" t="n">
        <v>-34121.41</v>
      </c>
      <c r="X39" s="18" t="n">
        <v>-34121.41</v>
      </c>
      <c r="Y39" s="18" t="n">
        <v>-34121.41</v>
      </c>
      <c r="Z39" s="37" t="n">
        <v>-34121.41</v>
      </c>
      <c r="AA39" s="18" t="n">
        <v>-34121.41</v>
      </c>
      <c r="AB39" s="19" t="n">
        <v>-34121.41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기타포괄이익누계액</t>
        </is>
      </c>
      <c r="E40" s="18" t="n">
        <v>1118.08</v>
      </c>
      <c r="F40" s="37" t="n">
        <v>1118.08</v>
      </c>
      <c r="G40" s="18" t="n">
        <v>1118.08</v>
      </c>
      <c r="H40" s="18" t="n">
        <v>1118.08</v>
      </c>
      <c r="I40" s="18" t="n">
        <v>1118.08</v>
      </c>
      <c r="J40" s="18" t="n">
        <v>-18989.13</v>
      </c>
      <c r="K40" s="37" t="n">
        <v>-18989.13</v>
      </c>
      <c r="L40" s="18" t="n">
        <v>-19013.85</v>
      </c>
      <c r="M40" s="18" t="n">
        <v>-19013.85</v>
      </c>
      <c r="N40" s="18" t="n">
        <v>-19013.85</v>
      </c>
      <c r="O40" s="18" t="n">
        <v>-32591.83</v>
      </c>
      <c r="P40" s="37" t="n">
        <v>-32591.83</v>
      </c>
      <c r="Q40" s="18" t="n">
        <v>-32591.83</v>
      </c>
      <c r="R40" s="18" t="n">
        <v>-32591.83</v>
      </c>
      <c r="S40" s="18" t="n">
        <v>-32591.83</v>
      </c>
      <c r="T40" s="18" t="n">
        <v>-43623.01</v>
      </c>
      <c r="U40" s="37" t="n">
        <v>-43623.01</v>
      </c>
      <c r="V40" s="18" t="n">
        <v>765858.54</v>
      </c>
      <c r="W40" s="18" t="n">
        <v>1096643.37</v>
      </c>
      <c r="X40" s="18" t="n">
        <v>1931992.13</v>
      </c>
      <c r="Y40" s="18" t="n">
        <v>1988455.5</v>
      </c>
      <c r="Z40" s="37" t="n">
        <v>1988455.5</v>
      </c>
      <c r="AA40" s="18" t="n">
        <v>2185992.86</v>
      </c>
      <c r="AB40" s="19" t="n">
        <v>1575214.36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이익잉여금</t>
        </is>
      </c>
      <c r="E41" s="18" t="n">
        <v>268101.44</v>
      </c>
      <c r="F41" s="37" t="n">
        <v>268101.44</v>
      </c>
      <c r="G41" s="18" t="n">
        <v>263028.77</v>
      </c>
      <c r="H41" s="18" t="n">
        <v>291594.99</v>
      </c>
      <c r="I41" s="18" t="n">
        <v>316047.12</v>
      </c>
      <c r="J41" s="18" t="n">
        <v>265187.27</v>
      </c>
      <c r="K41" s="37" t="n">
        <v>265187.27</v>
      </c>
      <c r="L41" s="18" t="n">
        <v>353590.14</v>
      </c>
      <c r="M41" s="18" t="n">
        <v>474172.79</v>
      </c>
      <c r="N41" s="18" t="n">
        <v>512733.57</v>
      </c>
      <c r="O41" s="18" t="n">
        <v>272863.84</v>
      </c>
      <c r="P41" s="37" t="n">
        <v>272863.84</v>
      </c>
      <c r="Q41" s="18" t="n">
        <v>262998.91</v>
      </c>
      <c r="R41" s="18" t="n">
        <v>219815.15</v>
      </c>
      <c r="S41" s="18" t="n">
        <v>251409.18</v>
      </c>
      <c r="T41" s="18" t="n">
        <v>467558.53</v>
      </c>
      <c r="U41" s="37" t="n">
        <v>467558.53</v>
      </c>
      <c r="V41" s="18" t="n">
        <v>453235.87</v>
      </c>
      <c r="W41" s="18" t="n">
        <v>476561.41</v>
      </c>
      <c r="X41" s="18" t="n">
        <v>609031.8100000001</v>
      </c>
      <c r="Y41" s="18" t="n">
        <v>793445.63</v>
      </c>
      <c r="Z41" s="37" t="n">
        <v>793445.63</v>
      </c>
      <c r="AA41" s="18" t="n">
        <v>746197.14</v>
      </c>
      <c r="AB41" s="19" t="n">
        <v>842265.21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자본총계</t>
        </is>
      </c>
      <c r="E42" s="18" t="n">
        <v>2269460.33</v>
      </c>
      <c r="F42" s="37" t="n">
        <v>2269460.33</v>
      </c>
      <c r="G42" s="18" t="n">
        <v>2264528.63</v>
      </c>
      <c r="H42" s="18" t="n">
        <v>2293544.25</v>
      </c>
      <c r="I42" s="18" t="n">
        <v>2317996.38</v>
      </c>
      <c r="J42" s="18" t="n">
        <v>2247029.32</v>
      </c>
      <c r="K42" s="37" t="n">
        <v>2247029.32</v>
      </c>
      <c r="L42" s="18" t="n">
        <v>2336604.88</v>
      </c>
      <c r="M42" s="18" t="n">
        <v>2458534.23</v>
      </c>
      <c r="N42" s="18" t="n">
        <v>2497095.02</v>
      </c>
      <c r="O42" s="18" t="n">
        <v>2243647.31</v>
      </c>
      <c r="P42" s="37" t="n">
        <v>2243647.31</v>
      </c>
      <c r="Q42" s="18" t="n">
        <v>2235534.36</v>
      </c>
      <c r="R42" s="18" t="n">
        <v>2193147.99</v>
      </c>
      <c r="S42" s="18" t="n">
        <v>2225435.47</v>
      </c>
      <c r="T42" s="18" t="n">
        <v>2431034.36</v>
      </c>
      <c r="U42" s="37" t="n">
        <v>2431034.36</v>
      </c>
      <c r="V42" s="18" t="n">
        <v>3226394.41</v>
      </c>
      <c r="W42" s="18" t="n">
        <v>3602541.49</v>
      </c>
      <c r="X42" s="18" t="n">
        <v>4572701.51</v>
      </c>
      <c r="Y42" s="18" t="n">
        <v>4816264.63</v>
      </c>
      <c r="Z42" s="37" t="n">
        <v>4816264.63</v>
      </c>
      <c r="AA42" s="18" t="n">
        <v>4967727.63</v>
      </c>
      <c r="AB42" s="19" t="n">
        <v>4455627.85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부채와자본총계</t>
        </is>
      </c>
      <c r="E43" s="18" t="n">
        <v>3914612.9</v>
      </c>
      <c r="F43" s="37" t="n">
        <v>3914612.9</v>
      </c>
      <c r="G43" s="18" t="n">
        <v>3771122.94</v>
      </c>
      <c r="H43" s="18" t="n">
        <v>4029344.49</v>
      </c>
      <c r="I43" s="18" t="n">
        <v>4047188.69</v>
      </c>
      <c r="J43" s="18" t="n">
        <v>4152100.07</v>
      </c>
      <c r="K43" s="37" t="n">
        <v>4152100.07</v>
      </c>
      <c r="L43" s="18" t="n">
        <v>4219006.06</v>
      </c>
      <c r="M43" s="18" t="n">
        <v>4397595.41</v>
      </c>
      <c r="N43" s="18" t="n">
        <v>4621336.21</v>
      </c>
      <c r="O43" s="18" t="n">
        <v>4555434.38</v>
      </c>
      <c r="P43" s="37" t="n">
        <v>4555434.38</v>
      </c>
      <c r="Q43" s="18" t="n">
        <v>4786852.03</v>
      </c>
      <c r="R43" s="18" t="n">
        <v>4993705.55</v>
      </c>
      <c r="S43" s="18" t="n">
        <v>5081773.45</v>
      </c>
      <c r="T43" s="18" t="n">
        <v>5219489.5</v>
      </c>
      <c r="U43" s="37" t="n">
        <v>5219489.5</v>
      </c>
      <c r="V43" s="18" t="n">
        <v>6518345.67</v>
      </c>
      <c r="W43" s="18" t="n">
        <v>7285164.58</v>
      </c>
      <c r="X43" s="18" t="n">
        <v>8625682.779999999</v>
      </c>
      <c r="Y43" s="18" t="n">
        <v>9343422.76</v>
      </c>
      <c r="Z43" s="37" t="n">
        <v>9343422.76</v>
      </c>
      <c r="AA43" s="18" t="n">
        <v>9956425.93</v>
      </c>
      <c r="AB43" s="19" t="n">
        <v>10768165.39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2269460.33</v>
      </c>
      <c r="F44" s="37" t="n">
        <v>2269460.33</v>
      </c>
      <c r="G44" s="18" t="n">
        <v>2264528.63</v>
      </c>
      <c r="H44" s="18" t="n">
        <v>2293544.25</v>
      </c>
      <c r="I44" s="18" t="n">
        <v>2317996.38</v>
      </c>
      <c r="J44" s="18" t="n">
        <v>2247029.32</v>
      </c>
      <c r="K44" s="37" t="n">
        <v>2247029.32</v>
      </c>
      <c r="L44" s="18" t="n">
        <v>2336604.88</v>
      </c>
      <c r="M44" s="18" t="n">
        <v>2458534.23</v>
      </c>
      <c r="N44" s="18" t="n">
        <v>2497095.02</v>
      </c>
      <c r="O44" s="18" t="n">
        <v>2243647.31</v>
      </c>
      <c r="P44" s="37" t="n">
        <v>2243647.31</v>
      </c>
      <c r="Q44" s="18" t="n">
        <v>2235534.36</v>
      </c>
      <c r="R44" s="18" t="n">
        <v>2193147.99</v>
      </c>
      <c r="S44" s="18" t="n">
        <v>2225435.47</v>
      </c>
      <c r="T44" s="18" t="n">
        <v>2431034.36</v>
      </c>
      <c r="U44" s="37" t="n">
        <v>2431034.36</v>
      </c>
      <c r="V44" s="18" t="n">
        <v>3226394.41</v>
      </c>
      <c r="W44" s="18" t="n">
        <v>3602541.49</v>
      </c>
      <c r="X44" s="18" t="n">
        <v>4572701.51</v>
      </c>
      <c r="Y44" s="18" t="n">
        <v>4816264.63</v>
      </c>
      <c r="Z44" s="37" t="n">
        <v>4816264.63</v>
      </c>
      <c r="AA44" s="18" t="n">
        <v>4967727.63</v>
      </c>
      <c r="AB44" s="19" t="n">
        <v>4455627.85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총차입금</t>
        </is>
      </c>
      <c r="E45" s="18" t="n">
        <v>59945.52</v>
      </c>
      <c r="F45" s="37" t="n">
        <v>59945.52</v>
      </c>
      <c r="G45" s="18" t="n">
        <v>59956.19</v>
      </c>
      <c r="H45" s="18" t="n">
        <v>29967.41</v>
      </c>
      <c r="I45" s="18" t="n">
        <v>79971.52</v>
      </c>
      <c r="J45" s="18" t="n">
        <v>109975.65</v>
      </c>
      <c r="K45" s="37" t="n">
        <v>109975.65</v>
      </c>
      <c r="L45" s="18" t="n">
        <v>109979.71</v>
      </c>
      <c r="M45" s="18" t="n">
        <v>109983.84</v>
      </c>
      <c r="N45" s="18" t="n">
        <v>339872.22</v>
      </c>
      <c r="O45" s="18" t="n">
        <v>209891.58</v>
      </c>
      <c r="P45" s="37" t="n">
        <v>209891.58</v>
      </c>
      <c r="Q45" s="18" t="n">
        <v>369909.37</v>
      </c>
      <c r="R45" s="18" t="n">
        <v>509021.67</v>
      </c>
      <c r="S45" s="18" t="n">
        <v>379126.37</v>
      </c>
      <c r="T45" s="18" t="n">
        <v>329231.93</v>
      </c>
      <c r="U45" s="37" t="n">
        <v>329231.93</v>
      </c>
      <c r="V45" s="18" t="n">
        <v>520636.79</v>
      </c>
      <c r="W45" s="18" t="n">
        <v>639669.7</v>
      </c>
      <c r="X45" s="18" t="n">
        <v>892180.3</v>
      </c>
      <c r="Y45" s="18" t="n">
        <v>1359644.25</v>
      </c>
      <c r="Z45" s="37" t="n">
        <v>1359644.25</v>
      </c>
      <c r="AA45" s="18" t="n">
        <v>1762161.24</v>
      </c>
      <c r="AB45" s="19" t="n">
        <v>3106632.65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순차입금</t>
        </is>
      </c>
      <c r="E46" s="18" t="n">
        <v>-1561447.31</v>
      </c>
      <c r="F46" s="37" t="n">
        <v>-1561447.31</v>
      </c>
      <c r="G46" s="18" t="n">
        <v>-762446.9</v>
      </c>
      <c r="H46" s="18" t="n">
        <v>-1038292.2</v>
      </c>
      <c r="I46" s="18" t="n">
        <v>-812726.28</v>
      </c>
      <c r="J46" s="18" t="n">
        <v>-1033593.17</v>
      </c>
      <c r="K46" s="37" t="n">
        <v>-1033593.17</v>
      </c>
      <c r="L46" s="18" t="n">
        <v>-799462.14</v>
      </c>
      <c r="M46" s="18" t="n">
        <v>-339200.39</v>
      </c>
      <c r="N46" s="18" t="n">
        <v>-168595.09</v>
      </c>
      <c r="O46" s="18" t="n">
        <v>-237047.69</v>
      </c>
      <c r="P46" s="37" t="n">
        <v>-237047.69</v>
      </c>
      <c r="Q46" s="18" t="n">
        <v>-58648.42</v>
      </c>
      <c r="R46" s="18" t="n">
        <v>121959.65</v>
      </c>
      <c r="S46" s="18" t="n">
        <v>149246.68</v>
      </c>
      <c r="T46" s="18" t="n">
        <v>197077.56</v>
      </c>
      <c r="U46" s="37" t="n">
        <v>197077.56</v>
      </c>
      <c r="V46" s="18" t="n">
        <v>445998.74</v>
      </c>
      <c r="W46" s="18" t="n">
        <v>465009.87</v>
      </c>
      <c r="X46" s="18" t="n">
        <v>856080.09</v>
      </c>
      <c r="Y46" s="18" t="n">
        <v>1315468.92</v>
      </c>
      <c r="Z46" s="37" t="n">
        <v>1315468.92</v>
      </c>
      <c r="AA46" s="18" t="n">
        <v>1474940.96</v>
      </c>
      <c r="AB46" s="19" t="n">
        <v>1772649.94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이자발생자산</t>
        </is>
      </c>
      <c r="E47" s="18" t="n">
        <v>1765537.66</v>
      </c>
      <c r="F47" s="37" t="n">
        <v>1765537.66</v>
      </c>
      <c r="G47" s="18" t="n">
        <v>980581.49</v>
      </c>
      <c r="H47" s="18" t="n">
        <v>1293547.63</v>
      </c>
      <c r="I47" s="18" t="n">
        <v>1129338.8</v>
      </c>
      <c r="J47" s="18" t="n">
        <v>1349052.73</v>
      </c>
      <c r="K47" s="37" t="n">
        <v>1349052.73</v>
      </c>
      <c r="L47" s="18" t="n">
        <v>1117951.97</v>
      </c>
      <c r="M47" s="18" t="n">
        <v>665753.83</v>
      </c>
      <c r="N47" s="18" t="n">
        <v>728990.16</v>
      </c>
      <c r="O47" s="18" t="n">
        <v>641167.66</v>
      </c>
      <c r="P47" s="37" t="n">
        <v>641167.66</v>
      </c>
      <c r="Q47" s="18" t="n">
        <v>632273.66</v>
      </c>
      <c r="R47" s="18" t="n">
        <v>472267.4</v>
      </c>
      <c r="S47" s="18" t="n">
        <v>316366.09</v>
      </c>
      <c r="T47" s="18" t="n">
        <v>208646.44</v>
      </c>
      <c r="U47" s="37" t="n">
        <v>208646.44</v>
      </c>
      <c r="V47" s="18" t="n">
        <v>151609.2</v>
      </c>
      <c r="W47" s="18" t="n">
        <v>256030.94</v>
      </c>
      <c r="X47" s="18" t="n">
        <v>119557.49</v>
      </c>
      <c r="Y47" s="18" t="n">
        <v>131168.42</v>
      </c>
      <c r="Z47" s="37" t="n">
        <v>131168.42</v>
      </c>
      <c r="AA47" s="18" t="n">
        <v>385636.73</v>
      </c>
      <c r="AB47" s="19" t="n">
        <v>1435588.11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장기매출채권및기타채권</t>
        </is>
      </c>
      <c r="F48" s="9" t="n"/>
      <c r="K48" s="9" t="n"/>
      <c r="O48" s="18" t="n">
        <v>0</v>
      </c>
      <c r="P48" s="37" t="n">
        <v>0</v>
      </c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종속기업및관계기업투자</t>
        </is>
      </c>
      <c r="F49" s="9" t="n"/>
      <c r="K49" s="9" t="n"/>
      <c r="O49" s="18" t="n">
        <v>1433220.95</v>
      </c>
      <c r="P49" s="37" t="n">
        <v>1433220.95</v>
      </c>
      <c r="Q49" s="18" t="n">
        <v>1436420.95</v>
      </c>
      <c r="R49" s="18" t="n">
        <v>1439322.67</v>
      </c>
      <c r="S49" s="18" t="n">
        <v>1440920.95</v>
      </c>
      <c r="T49" s="18" t="n">
        <v>504043.51</v>
      </c>
      <c r="U49" s="37" t="n">
        <v>504043.51</v>
      </c>
      <c r="V49" s="18" t="n">
        <v>689397.72</v>
      </c>
      <c r="W49" s="18" t="n">
        <v>689397.72</v>
      </c>
      <c r="X49" s="18" t="n">
        <v>779929.22</v>
      </c>
      <c r="Y49" s="18" t="n">
        <v>1383924.21</v>
      </c>
      <c r="Z49" s="37" t="n">
        <v>1383924.21</v>
      </c>
      <c r="AA49" s="18" t="n">
        <v>1429331.3</v>
      </c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장기매입채무및기타채무</t>
        </is>
      </c>
      <c r="F50" s="9" t="n"/>
      <c r="K50" s="9" t="n"/>
      <c r="O50" s="18" t="n">
        <v>0</v>
      </c>
      <c r="P50" s="37" t="n">
        <v>0</v>
      </c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이연법인세부채</t>
        </is>
      </c>
      <c r="F51" s="9" t="n"/>
      <c r="K51" s="9" t="n"/>
      <c r="P51" s="9" t="n"/>
      <c r="U51" s="9" t="n"/>
      <c r="V51" s="18" t="n">
        <v>224521.68</v>
      </c>
      <c r="W51" s="18" t="n">
        <v>315486</v>
      </c>
      <c r="X51" s="18" t="n">
        <v>474993.16</v>
      </c>
      <c r="Y51" s="18" t="n">
        <v>482825.52</v>
      </c>
      <c r="Z51" s="37" t="n">
        <v>482825.52</v>
      </c>
      <c r="AA51" s="18" t="n">
        <v>551472</v>
      </c>
      <c r="AB51" s="19" t="n">
        <v>442888.43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단기투자자산(공정가치)</t>
        </is>
      </c>
      <c r="F52" s="9" t="n"/>
      <c r="K52" s="9" t="n"/>
      <c r="P52" s="9" t="n"/>
      <c r="U52" s="9" t="n"/>
      <c r="Z52" s="9" t="n"/>
      <c r="AB52" s="19" t="n">
        <v>37500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매출액(수익)</t>
        </is>
      </c>
      <c r="E53" s="18" t="n">
        <v>679521.79</v>
      </c>
      <c r="F53" s="9" t="n"/>
      <c r="G53" s="18" t="n">
        <v>429467.46</v>
      </c>
      <c r="H53" s="18" t="n">
        <v>510321.04</v>
      </c>
      <c r="I53" s="18" t="n">
        <v>459131.01</v>
      </c>
      <c r="J53" s="18" t="n">
        <v>788486.16</v>
      </c>
      <c r="K53" s="37" t="n">
        <v>2187405.67</v>
      </c>
      <c r="L53" s="18" t="n">
        <v>439361.13</v>
      </c>
      <c r="M53" s="18" t="n">
        <v>610524.6</v>
      </c>
      <c r="N53" s="18" t="n">
        <v>620671.62</v>
      </c>
      <c r="O53" s="18" t="n">
        <v>780028.04</v>
      </c>
      <c r="P53" s="37" t="n">
        <v>2450585.39</v>
      </c>
      <c r="Q53" s="18" t="n">
        <v>542147.8</v>
      </c>
      <c r="R53" s="18" t="n">
        <v>683326.11</v>
      </c>
      <c r="S53" s="18" t="n">
        <v>637373.3</v>
      </c>
      <c r="T53" s="18" t="n">
        <v>930785.78</v>
      </c>
      <c r="U53" s="37" t="n">
        <v>2793632.99</v>
      </c>
      <c r="V53" s="18" t="n">
        <v>571805.15</v>
      </c>
      <c r="W53" s="18" t="n">
        <v>617249.03</v>
      </c>
      <c r="X53" s="18" t="n">
        <v>637073.9399999999</v>
      </c>
      <c r="Y53" s="18" t="n">
        <v>1265357.23</v>
      </c>
      <c r="Z53" s="37" t="n">
        <v>3091485.35</v>
      </c>
      <c r="AA53" s="18" t="n">
        <v>643555.8</v>
      </c>
      <c r="AB53" s="19" t="n">
        <v>887824.91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매출원가</t>
        </is>
      </c>
      <c r="E54" s="18" t="n">
        <v>614496.3199999999</v>
      </c>
      <c r="F54" s="9" t="n"/>
      <c r="G54" s="18" t="n">
        <v>365999.66</v>
      </c>
      <c r="H54" s="18" t="n">
        <v>438744.36</v>
      </c>
      <c r="I54" s="18" t="n">
        <v>401383.87</v>
      </c>
      <c r="J54" s="18" t="n">
        <v>725983.49</v>
      </c>
      <c r="K54" s="37" t="n">
        <v>1932111.38</v>
      </c>
      <c r="L54" s="18" t="n">
        <v>373861.56</v>
      </c>
      <c r="M54" s="18" t="n">
        <v>525640.22</v>
      </c>
      <c r="N54" s="18" t="n">
        <v>532473.79</v>
      </c>
      <c r="O54" s="18" t="n">
        <v>714661.97</v>
      </c>
      <c r="P54" s="37" t="n">
        <v>2146637.54</v>
      </c>
      <c r="Q54" s="18" t="n">
        <v>456412.06</v>
      </c>
      <c r="R54" s="18" t="n">
        <v>556956.49</v>
      </c>
      <c r="S54" s="18" t="n">
        <v>531967.4300000001</v>
      </c>
      <c r="T54" s="18" t="n">
        <v>834899.54</v>
      </c>
      <c r="U54" s="37" t="n">
        <v>2380235.52</v>
      </c>
      <c r="V54" s="18" t="n">
        <v>462881.37</v>
      </c>
      <c r="W54" s="18" t="n">
        <v>501951.6</v>
      </c>
      <c r="X54" s="18" t="n">
        <v>519999.67</v>
      </c>
      <c r="Y54" s="18" t="n">
        <v>1108883.81</v>
      </c>
      <c r="Z54" s="37" t="n">
        <v>2593716.45</v>
      </c>
      <c r="AA54" s="18" t="n">
        <v>506334.15</v>
      </c>
      <c r="AB54" s="19" t="n">
        <v>708008.58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매출총이익</t>
        </is>
      </c>
      <c r="E55" s="18" t="n">
        <v>65025.47</v>
      </c>
      <c r="F55" s="9" t="n"/>
      <c r="G55" s="18" t="n">
        <v>63467.8</v>
      </c>
      <c r="H55" s="18" t="n">
        <v>71576.67999999999</v>
      </c>
      <c r="I55" s="18" t="n">
        <v>57747.14</v>
      </c>
      <c r="J55" s="18" t="n">
        <v>62502.67</v>
      </c>
      <c r="K55" s="37" t="n">
        <v>255294.29</v>
      </c>
      <c r="L55" s="18" t="n">
        <v>65499.57</v>
      </c>
      <c r="M55" s="18" t="n">
        <v>84884.38</v>
      </c>
      <c r="N55" s="18" t="n">
        <v>88197.83</v>
      </c>
      <c r="O55" s="18" t="n">
        <v>65366.08</v>
      </c>
      <c r="P55" s="37" t="n">
        <v>303947.86</v>
      </c>
      <c r="Q55" s="18" t="n">
        <v>85735.74000000001</v>
      </c>
      <c r="R55" s="18" t="n">
        <v>126369.62</v>
      </c>
      <c r="S55" s="18" t="n">
        <v>105405.87</v>
      </c>
      <c r="T55" s="18" t="n">
        <v>95886.24000000001</v>
      </c>
      <c r="U55" s="37" t="n">
        <v>413397.47</v>
      </c>
      <c r="V55" s="18" t="n">
        <v>108923.78</v>
      </c>
      <c r="W55" s="18" t="n">
        <v>115297.43</v>
      </c>
      <c r="X55" s="18" t="n">
        <v>117074.27</v>
      </c>
      <c r="Y55" s="18" t="n">
        <v>156473.42</v>
      </c>
      <c r="Z55" s="37" t="n">
        <v>497768.9</v>
      </c>
      <c r="AA55" s="18" t="n">
        <v>137221.65</v>
      </c>
      <c r="AB55" s="19" t="n">
        <v>179816.32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판관비</t>
        </is>
      </c>
      <c r="E56" s="18" t="n">
        <v>47834.63</v>
      </c>
      <c r="F56" s="9" t="n"/>
      <c r="G56" s="18" t="n">
        <v>35599.47</v>
      </c>
      <c r="H56" s="18" t="n">
        <v>39630.22</v>
      </c>
      <c r="I56" s="18" t="n">
        <v>40652.66</v>
      </c>
      <c r="J56" s="18" t="n">
        <v>45732.05</v>
      </c>
      <c r="K56" s="37" t="n">
        <v>161614.4</v>
      </c>
      <c r="L56" s="18" t="n">
        <v>44613.04</v>
      </c>
      <c r="M56" s="18" t="n">
        <v>45630.44</v>
      </c>
      <c r="N56" s="18" t="n">
        <v>42193.89</v>
      </c>
      <c r="O56" s="18" t="n">
        <v>45945.31</v>
      </c>
      <c r="P56" s="37" t="n">
        <v>178382.68</v>
      </c>
      <c r="Q56" s="18" t="n">
        <v>39776.59</v>
      </c>
      <c r="R56" s="18" t="n">
        <v>42227.38</v>
      </c>
      <c r="S56" s="18" t="n">
        <v>44425.58</v>
      </c>
      <c r="T56" s="18" t="n">
        <v>61828.29</v>
      </c>
      <c r="U56" s="37" t="n">
        <v>188257.84</v>
      </c>
      <c r="V56" s="18" t="n">
        <v>47823.95</v>
      </c>
      <c r="W56" s="18" t="n">
        <v>52022.96</v>
      </c>
      <c r="X56" s="18" t="n">
        <v>55207.77</v>
      </c>
      <c r="Y56" s="18" t="n">
        <v>62736.69</v>
      </c>
      <c r="Z56" s="37" t="n">
        <v>217791.37</v>
      </c>
      <c r="AA56" s="18" t="n">
        <v>54870.31</v>
      </c>
      <c r="AB56" s="19" t="n">
        <v>55320.9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영업이익</t>
        </is>
      </c>
      <c r="E57" s="18" t="n">
        <v>17190.85</v>
      </c>
      <c r="F57" s="9" t="n"/>
      <c r="G57" s="18" t="n">
        <v>27868.33</v>
      </c>
      <c r="H57" s="18" t="n">
        <v>31946.46</v>
      </c>
      <c r="I57" s="18" t="n">
        <v>17094.48</v>
      </c>
      <c r="J57" s="18" t="n">
        <v>16770.63</v>
      </c>
      <c r="K57" s="37" t="n">
        <v>93679.89999999999</v>
      </c>
      <c r="L57" s="18" t="n">
        <v>20886.54</v>
      </c>
      <c r="M57" s="18" t="n">
        <v>39253.94</v>
      </c>
      <c r="N57" s="18" t="n">
        <v>46003.94</v>
      </c>
      <c r="O57" s="18" t="n">
        <v>19420.76</v>
      </c>
      <c r="P57" s="37" t="n">
        <v>125565.18</v>
      </c>
      <c r="Q57" s="18" t="n">
        <v>45959.15</v>
      </c>
      <c r="R57" s="18" t="n">
        <v>84142.24000000001</v>
      </c>
      <c r="S57" s="18" t="n">
        <v>60980.29</v>
      </c>
      <c r="T57" s="18" t="n">
        <v>34057.96</v>
      </c>
      <c r="U57" s="37" t="n">
        <v>225139.64</v>
      </c>
      <c r="V57" s="18" t="n">
        <v>61099.83</v>
      </c>
      <c r="W57" s="18" t="n">
        <v>63274.47</v>
      </c>
      <c r="X57" s="18" t="n">
        <v>61866.5</v>
      </c>
      <c r="Y57" s="18" t="n">
        <v>93736.74000000001</v>
      </c>
      <c r="Z57" s="37" t="n">
        <v>279977.54</v>
      </c>
      <c r="AA57" s="18" t="n">
        <v>82351.35000000001</v>
      </c>
      <c r="AB57" s="19" t="n">
        <v>124495.42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기타영업외수익</t>
        </is>
      </c>
      <c r="E58" s="18" t="n">
        <v>26341.2</v>
      </c>
      <c r="F58" s="9" t="n"/>
      <c r="G58" s="18" t="n">
        <v>908.9</v>
      </c>
      <c r="H58" s="18" t="n">
        <v>181.1</v>
      </c>
      <c r="I58" s="18" t="n">
        <v>279.72</v>
      </c>
      <c r="J58" s="18" t="n">
        <v>6711.39</v>
      </c>
      <c r="K58" s="37" t="n">
        <v>8081.11</v>
      </c>
      <c r="L58" s="18" t="n">
        <v>145225.46</v>
      </c>
      <c r="M58" s="18" t="n">
        <v>113954.25</v>
      </c>
      <c r="N58" s="18" t="n">
        <v>483.07</v>
      </c>
      <c r="O58" s="18" t="n">
        <v>46213.77</v>
      </c>
      <c r="P58" s="37" t="n">
        <v>305876.55</v>
      </c>
      <c r="Q58" s="18" t="n">
        <v>343.56</v>
      </c>
      <c r="R58" s="18" t="n">
        <v>68.28</v>
      </c>
      <c r="S58" s="18" t="n">
        <v>2668.8</v>
      </c>
      <c r="T58" s="18" t="n">
        <v>441126.54</v>
      </c>
      <c r="U58" s="37" t="n">
        <v>444207.18</v>
      </c>
      <c r="V58" s="18" t="n">
        <v>13506.95</v>
      </c>
      <c r="W58" s="18" t="n">
        <v>6693.47</v>
      </c>
      <c r="X58" s="18" t="n">
        <v>-2264.3</v>
      </c>
      <c r="Y58" s="18" t="n">
        <v>59676.38</v>
      </c>
      <c r="Z58" s="37" t="n">
        <v>77612.5</v>
      </c>
      <c r="AA58" s="18" t="n">
        <v>8391.360000000001</v>
      </c>
      <c r="AB58" s="19" t="n">
        <v>3984.57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기타영업외비용</t>
        </is>
      </c>
      <c r="E59" s="18" t="n">
        <v>6866.67</v>
      </c>
      <c r="F59" s="9" t="n"/>
      <c r="G59" s="18" t="n">
        <v>1059.18</v>
      </c>
      <c r="H59" s="18" t="n">
        <v>1857.29</v>
      </c>
      <c r="I59" s="18" t="n">
        <v>4845.71</v>
      </c>
      <c r="J59" s="18" t="n">
        <v>59807.03</v>
      </c>
      <c r="K59" s="37" t="n">
        <v>67569.21000000001</v>
      </c>
      <c r="L59" s="18" t="n">
        <v>2123.79</v>
      </c>
      <c r="M59" s="18" t="n">
        <v>2950.19</v>
      </c>
      <c r="N59" s="18" t="n">
        <v>2572.97</v>
      </c>
      <c r="O59" s="18" t="n">
        <v>284823.16</v>
      </c>
      <c r="P59" s="37" t="n">
        <v>292470.11</v>
      </c>
      <c r="Q59" s="18" t="n">
        <v>1094.16</v>
      </c>
      <c r="R59" s="18" t="n">
        <v>147916.69</v>
      </c>
      <c r="S59" s="18" t="n">
        <v>1899.31</v>
      </c>
      <c r="T59" s="18" t="n">
        <v>164414.08</v>
      </c>
      <c r="U59" s="37" t="n">
        <v>315324.24</v>
      </c>
      <c r="V59" s="18" t="n">
        <v>8218.309999999999</v>
      </c>
      <c r="W59" s="18" t="n">
        <v>18102.82</v>
      </c>
      <c r="X59" s="18" t="n">
        <v>5086.8</v>
      </c>
      <c r="Y59" s="18" t="n">
        <v>26466.12</v>
      </c>
      <c r="Z59" s="37" t="n">
        <v>57874.05</v>
      </c>
      <c r="AA59" s="18" t="n">
        <v>33591.33</v>
      </c>
      <c r="AB59" s="19" t="n">
        <v>-3525.49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금융수익</t>
        </is>
      </c>
      <c r="E60" s="18" t="n">
        <v>3279.13</v>
      </c>
      <c r="F60" s="9" t="n"/>
      <c r="G60" s="18" t="n">
        <v>5732.1</v>
      </c>
      <c r="H60" s="18" t="n">
        <v>7910.18</v>
      </c>
      <c r="I60" s="18" t="n">
        <v>21041.12</v>
      </c>
      <c r="J60" s="18" t="n">
        <v>-4502.24</v>
      </c>
      <c r="K60" s="37" t="n">
        <v>30181.16</v>
      </c>
      <c r="L60" s="18" t="n">
        <v>13697.39</v>
      </c>
      <c r="M60" s="18" t="n">
        <v>7554.75</v>
      </c>
      <c r="N60" s="18" t="n">
        <v>9441.200000000001</v>
      </c>
      <c r="O60" s="18" t="n">
        <v>795.89</v>
      </c>
      <c r="P60" s="37" t="n">
        <v>31489.23</v>
      </c>
      <c r="Q60" s="18" t="n">
        <v>13438.5</v>
      </c>
      <c r="R60" s="18" t="n">
        <v>11352.05</v>
      </c>
      <c r="S60" s="18" t="n">
        <v>7719.14</v>
      </c>
      <c r="T60" s="18" t="n">
        <v>29741.06</v>
      </c>
      <c r="U60" s="37" t="n">
        <v>62250.75</v>
      </c>
      <c r="V60" s="18" t="n">
        <v>5766.67</v>
      </c>
      <c r="W60" s="18" t="n">
        <v>8709.41</v>
      </c>
      <c r="X60" s="18" t="n">
        <v>-2871.17</v>
      </c>
      <c r="Y60" s="18" t="n">
        <v>570.61</v>
      </c>
      <c r="Z60" s="37" t="n">
        <v>12175.52</v>
      </c>
      <c r="AA60" s="18" t="n">
        <v>22094.91</v>
      </c>
      <c r="AB60" s="19" t="n">
        <v>20723.88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금융비용</t>
        </is>
      </c>
      <c r="E61" s="18" t="n">
        <v>204.45</v>
      </c>
      <c r="F61" s="9" t="n"/>
      <c r="G61" s="18" t="n">
        <v>1964.98</v>
      </c>
      <c r="H61" s="18" t="n">
        <v>1181.54</v>
      </c>
      <c r="I61" s="18" t="n">
        <v>2475.98</v>
      </c>
      <c r="J61" s="18" t="n">
        <v>5700.62</v>
      </c>
      <c r="K61" s="37" t="n">
        <v>11323.12</v>
      </c>
      <c r="L61" s="18" t="n">
        <v>2913.6</v>
      </c>
      <c r="M61" s="18" t="n">
        <v>3000.18</v>
      </c>
      <c r="N61" s="18" t="n">
        <v>4396</v>
      </c>
      <c r="O61" s="18" t="n">
        <v>6837.7</v>
      </c>
      <c r="P61" s="37" t="n">
        <v>17147.48</v>
      </c>
      <c r="Q61" s="18" t="n">
        <v>5106.32</v>
      </c>
      <c r="R61" s="18" t="n">
        <v>6378.46</v>
      </c>
      <c r="S61" s="18" t="n">
        <v>30109.27</v>
      </c>
      <c r="T61" s="18" t="n">
        <v>4479.11</v>
      </c>
      <c r="U61" s="37" t="n">
        <v>46073.16</v>
      </c>
      <c r="V61" s="18" t="n">
        <v>9518.110000000001</v>
      </c>
      <c r="W61" s="18" t="n">
        <v>34119.82</v>
      </c>
      <c r="X61" s="18" t="n">
        <v>-3031.25</v>
      </c>
      <c r="Y61" s="18" t="n">
        <v>213.03</v>
      </c>
      <c r="Z61" s="37" t="n">
        <v>40819.71</v>
      </c>
      <c r="AA61" s="18" t="n">
        <v>23684.67</v>
      </c>
      <c r="AB61" s="19" t="n">
        <v>40457.42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법인세비용차감전계속사업이익</t>
        </is>
      </c>
      <c r="E62" s="18" t="n">
        <v>39740.05</v>
      </c>
      <c r="F62" s="9" t="n"/>
      <c r="G62" s="18" t="n">
        <v>31485.17</v>
      </c>
      <c r="H62" s="18" t="n">
        <v>36998.9</v>
      </c>
      <c r="I62" s="18" t="n">
        <v>31093.63</v>
      </c>
      <c r="J62" s="18" t="n">
        <v>-46527.88</v>
      </c>
      <c r="K62" s="37" t="n">
        <v>53049.82</v>
      </c>
      <c r="L62" s="18" t="n">
        <v>174772</v>
      </c>
      <c r="M62" s="18" t="n">
        <v>154812.57</v>
      </c>
      <c r="N62" s="18" t="n">
        <v>48959.25</v>
      </c>
      <c r="O62" s="18" t="n">
        <v>-225230.44</v>
      </c>
      <c r="P62" s="37" t="n">
        <v>153313.38</v>
      </c>
      <c r="Q62" s="18" t="n">
        <v>53540.74</v>
      </c>
      <c r="R62" s="18" t="n">
        <v>-58732.58</v>
      </c>
      <c r="S62" s="18" t="n">
        <v>39359.64</v>
      </c>
      <c r="T62" s="18" t="n">
        <v>336032.35</v>
      </c>
      <c r="U62" s="37" t="n">
        <v>370200.15</v>
      </c>
      <c r="V62" s="18" t="n">
        <v>62637.02</v>
      </c>
      <c r="W62" s="18" t="n">
        <v>26454.7</v>
      </c>
      <c r="X62" s="18" t="n">
        <v>54675.47</v>
      </c>
      <c r="Y62" s="18" t="n">
        <v>127304.57</v>
      </c>
      <c r="Z62" s="37" t="n">
        <v>271071.76</v>
      </c>
      <c r="AA62" s="18" t="n">
        <v>55561.62</v>
      </c>
      <c r="AB62" s="19" t="n">
        <v>112271.93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법인세비용</t>
        </is>
      </c>
      <c r="E63" s="18" t="n">
        <v>5653.44</v>
      </c>
      <c r="F63" s="9" t="n"/>
      <c r="G63" s="18" t="n">
        <v>6638.92</v>
      </c>
      <c r="H63" s="18" t="n">
        <v>8432.68</v>
      </c>
      <c r="I63" s="18" t="n">
        <v>6641.5</v>
      </c>
      <c r="J63" s="18" t="n">
        <v>2790.75</v>
      </c>
      <c r="K63" s="37" t="n">
        <v>24503.85</v>
      </c>
      <c r="L63" s="18" t="n">
        <v>39580.28</v>
      </c>
      <c r="M63" s="18" t="n">
        <v>34229.92</v>
      </c>
      <c r="N63" s="18" t="n">
        <v>10398.46</v>
      </c>
      <c r="O63" s="18" t="n">
        <v>-26897.9</v>
      </c>
      <c r="P63" s="37" t="n">
        <v>57310.76</v>
      </c>
      <c r="Q63" s="18" t="n">
        <v>11047.56</v>
      </c>
      <c r="R63" s="18" t="n">
        <v>-15548.82</v>
      </c>
      <c r="S63" s="18" t="n">
        <v>7765.61</v>
      </c>
      <c r="T63" s="18" t="n">
        <v>103802.5</v>
      </c>
      <c r="U63" s="37" t="n">
        <v>107066.85</v>
      </c>
      <c r="V63" s="18" t="n">
        <v>11512.04</v>
      </c>
      <c r="W63" s="18" t="n">
        <v>3129.16</v>
      </c>
      <c r="X63" s="18" t="n">
        <v>-77794.92999999999</v>
      </c>
      <c r="Y63" s="18" t="n">
        <v>-32813.89</v>
      </c>
      <c r="Z63" s="37" t="n">
        <v>-95967.62</v>
      </c>
      <c r="AA63" s="18" t="n">
        <v>9313.48</v>
      </c>
      <c r="AB63" s="19" t="n">
        <v>19011.67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계속사업이익</t>
        </is>
      </c>
      <c r="E64" s="18" t="n">
        <v>34086.61</v>
      </c>
      <c r="F64" s="9" t="n"/>
      <c r="G64" s="18" t="n">
        <v>24846.25</v>
      </c>
      <c r="H64" s="18" t="n">
        <v>28566.22</v>
      </c>
      <c r="I64" s="18" t="n">
        <v>24452.13</v>
      </c>
      <c r="J64" s="18" t="n">
        <v>-49318.63</v>
      </c>
      <c r="K64" s="37" t="n">
        <v>28545.97</v>
      </c>
      <c r="L64" s="18" t="n">
        <v>135191.72</v>
      </c>
      <c r="M64" s="18" t="n">
        <v>120582.65</v>
      </c>
      <c r="N64" s="18" t="n">
        <v>38560.78</v>
      </c>
      <c r="O64" s="18" t="n">
        <v>-198332.54</v>
      </c>
      <c r="P64" s="37" t="n">
        <v>96002.61</v>
      </c>
      <c r="Q64" s="18" t="n">
        <v>42493.18</v>
      </c>
      <c r="R64" s="18" t="n">
        <v>-43183.76</v>
      </c>
      <c r="S64" s="18" t="n">
        <v>31594.03</v>
      </c>
      <c r="T64" s="18" t="n">
        <v>232229.85</v>
      </c>
      <c r="U64" s="37" t="n">
        <v>263133.3</v>
      </c>
      <c r="V64" s="18" t="n">
        <v>51124.98</v>
      </c>
      <c r="W64" s="18" t="n">
        <v>23325.54</v>
      </c>
      <c r="X64" s="18" t="n">
        <v>132470.4</v>
      </c>
      <c r="Y64" s="18" t="n">
        <v>160118.46</v>
      </c>
      <c r="Z64" s="37" t="n">
        <v>367039.38</v>
      </c>
      <c r="AA64" s="18" t="n">
        <v>46248.14</v>
      </c>
      <c r="AB64" s="19" t="n">
        <v>93260.25999999999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당기순이익</t>
        </is>
      </c>
      <c r="E65" s="18" t="n">
        <v>34086.61</v>
      </c>
      <c r="F65" s="9" t="n"/>
      <c r="G65" s="18" t="n">
        <v>24846.25</v>
      </c>
      <c r="H65" s="18" t="n">
        <v>28566.22</v>
      </c>
      <c r="I65" s="18" t="n">
        <v>24452.13</v>
      </c>
      <c r="J65" s="18" t="n">
        <v>-49318.63</v>
      </c>
      <c r="K65" s="37" t="n">
        <v>28545.97</v>
      </c>
      <c r="L65" s="18" t="n">
        <v>135191.72</v>
      </c>
      <c r="M65" s="18" t="n">
        <v>120582.65</v>
      </c>
      <c r="P65" s="9" t="n"/>
      <c r="Q65" s="18" t="n">
        <v>42493.18</v>
      </c>
      <c r="R65" s="18" t="n">
        <v>-43183.76</v>
      </c>
      <c r="S65" s="18" t="n">
        <v>31594.03</v>
      </c>
      <c r="T65" s="18" t="n">
        <v>232229.85</v>
      </c>
      <c r="U65" s="37" t="n">
        <v>263133.3</v>
      </c>
      <c r="V65" s="18" t="n">
        <v>51124.98</v>
      </c>
      <c r="W65" s="18" t="n">
        <v>23325.54</v>
      </c>
      <c r="X65" s="18" t="n">
        <v>132470.4</v>
      </c>
      <c r="Y65" s="18" t="n">
        <v>160118.46</v>
      </c>
      <c r="Z65" s="37" t="n">
        <v>367039.38</v>
      </c>
      <c r="AA65" s="18" t="n">
        <v>46248.14</v>
      </c>
      <c r="AB65" s="19" t="n">
        <v>93260.25999999999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총포괄손익</t>
        </is>
      </c>
      <c r="E66" s="18" t="n">
        <v>31660.16</v>
      </c>
      <c r="F66" s="9" t="n"/>
      <c r="G66" s="18" t="n">
        <v>24846.25</v>
      </c>
      <c r="H66" s="18" t="n">
        <v>28566.22</v>
      </c>
      <c r="I66" s="18" t="n">
        <v>24452.13</v>
      </c>
      <c r="J66" s="18" t="n">
        <v>-70967.06</v>
      </c>
      <c r="K66" s="37" t="n">
        <v>6897.54</v>
      </c>
      <c r="L66" s="18" t="n">
        <v>135126.46</v>
      </c>
      <c r="M66" s="18" t="n">
        <v>120582.65</v>
      </c>
      <c r="N66" s="18" t="n">
        <v>38560.78</v>
      </c>
      <c r="O66" s="18" t="n">
        <v>-253512.98</v>
      </c>
      <c r="P66" s="37" t="n">
        <v>40756.91</v>
      </c>
      <c r="Q66" s="18" t="n">
        <v>42493.18</v>
      </c>
      <c r="R66" s="18" t="n">
        <v>-43183.76</v>
      </c>
      <c r="S66" s="18" t="n">
        <v>31594.03</v>
      </c>
      <c r="T66" s="18" t="n">
        <v>205118.17</v>
      </c>
      <c r="U66" s="37" t="n">
        <v>236021.62</v>
      </c>
      <c r="V66" s="18" t="n">
        <v>860606.54</v>
      </c>
      <c r="W66" s="18" t="n">
        <v>354110.37</v>
      </c>
      <c r="X66" s="18" t="n">
        <v>967819.15</v>
      </c>
      <c r="Y66" s="18" t="n">
        <v>240877.2</v>
      </c>
      <c r="Z66" s="37" t="n">
        <v>2423413.26</v>
      </c>
      <c r="AA66" s="18" t="n">
        <v>243785.5</v>
      </c>
      <c r="AB66" s="19" t="n">
        <v>-514710.44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금융손익</t>
        </is>
      </c>
      <c r="E67" s="18" t="n">
        <v>3074.68</v>
      </c>
      <c r="F67" s="9" t="n"/>
      <c r="G67" s="18" t="n">
        <v>3767.12</v>
      </c>
      <c r="H67" s="18" t="n">
        <v>6728.64</v>
      </c>
      <c r="I67" s="18" t="n">
        <v>18565.14</v>
      </c>
      <c r="J67" s="18" t="n">
        <v>-10202.86</v>
      </c>
      <c r="K67" s="37" t="n">
        <v>18858.04</v>
      </c>
      <c r="L67" s="18" t="n">
        <v>10783.79</v>
      </c>
      <c r="M67" s="18" t="n">
        <v>4554.57</v>
      </c>
      <c r="N67" s="18" t="n">
        <v>5045.2</v>
      </c>
      <c r="O67" s="18" t="n">
        <v>-6041.81</v>
      </c>
      <c r="P67" s="37" t="n">
        <v>14341.75</v>
      </c>
      <c r="Q67" s="18" t="n">
        <v>8332.18</v>
      </c>
      <c r="R67" s="18" t="n">
        <v>4973.59</v>
      </c>
      <c r="S67" s="18" t="n">
        <v>-22390.13</v>
      </c>
      <c r="T67" s="18" t="n">
        <v>25261.95</v>
      </c>
      <c r="U67" s="37" t="n">
        <v>16177.59</v>
      </c>
      <c r="V67" s="18" t="n">
        <v>-3751.44</v>
      </c>
      <c r="W67" s="18" t="n">
        <v>-25410.41</v>
      </c>
      <c r="X67" s="18" t="n">
        <v>160.08</v>
      </c>
      <c r="Y67" s="18" t="n">
        <v>357.58</v>
      </c>
      <c r="Z67" s="37" t="n">
        <v>-28644.19</v>
      </c>
      <c r="AA67" s="18" t="n">
        <v>-1589.76</v>
      </c>
      <c r="AB67" s="19" t="n">
        <v>-19733.54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기타영업외손익</t>
        </is>
      </c>
      <c r="E68" s="18" t="n">
        <v>19474.53</v>
      </c>
      <c r="F68" s="9" t="n"/>
      <c r="G68" s="18" t="n">
        <v>-150.28</v>
      </c>
      <c r="H68" s="18" t="n">
        <v>-1676.19</v>
      </c>
      <c r="I68" s="18" t="n">
        <v>-4565.99</v>
      </c>
      <c r="J68" s="18" t="n">
        <v>-53095.64</v>
      </c>
      <c r="K68" s="37" t="n">
        <v>-59488.1</v>
      </c>
      <c r="L68" s="18" t="n">
        <v>143101.67</v>
      </c>
      <c r="M68" s="18" t="n">
        <v>111004.06</v>
      </c>
      <c r="N68" s="18" t="n">
        <v>-2089.9</v>
      </c>
      <c r="O68" s="18" t="n">
        <v>-238609.39</v>
      </c>
      <c r="P68" s="37" t="n">
        <v>13406.44</v>
      </c>
      <c r="Q68" s="18" t="n">
        <v>-750.6</v>
      </c>
      <c r="R68" s="18" t="n">
        <v>-147848.41</v>
      </c>
      <c r="S68" s="18" t="n">
        <v>769.49</v>
      </c>
      <c r="T68" s="18" t="n">
        <v>276712.46</v>
      </c>
      <c r="U68" s="37" t="n">
        <v>128882.94</v>
      </c>
      <c r="V68" s="18" t="n">
        <v>5288.64</v>
      </c>
      <c r="W68" s="18" t="n">
        <v>-11409.35</v>
      </c>
      <c r="X68" s="18" t="n">
        <v>-7351.1</v>
      </c>
      <c r="Y68" s="18" t="n">
        <v>33210.26</v>
      </c>
      <c r="Z68" s="37" t="n">
        <v>19738.45</v>
      </c>
      <c r="AA68" s="18" t="n">
        <v>-25199.97</v>
      </c>
      <c r="AB68" s="19" t="n">
        <v>7510.06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(지배주주지분)당기순이익</t>
        </is>
      </c>
      <c r="E69" s="18" t="n">
        <v>34086.61</v>
      </c>
      <c r="F69" s="9" t="n"/>
      <c r="G69" s="18" t="n">
        <v>24846.25</v>
      </c>
      <c r="H69" s="18" t="n">
        <v>28566.22</v>
      </c>
      <c r="I69" s="18" t="n">
        <v>24452.13</v>
      </c>
      <c r="J69" s="18" t="n">
        <v>-49318.63</v>
      </c>
      <c r="K69" s="37" t="n">
        <v>28545.97</v>
      </c>
      <c r="L69" s="18" t="n">
        <v>135191.72</v>
      </c>
      <c r="M69" s="18" t="n">
        <v>120582.65</v>
      </c>
      <c r="P69" s="9" t="n"/>
      <c r="Q69" s="18" t="n">
        <v>42493.18</v>
      </c>
      <c r="R69" s="18" t="n">
        <v>-43183.76</v>
      </c>
      <c r="S69" s="18" t="n">
        <v>31594.03</v>
      </c>
      <c r="T69" s="18" t="n">
        <v>232229.85</v>
      </c>
      <c r="U69" s="37" t="n">
        <v>263133.3</v>
      </c>
      <c r="V69" s="18" t="n">
        <v>51124.98</v>
      </c>
      <c r="W69" s="18" t="n">
        <v>23325.54</v>
      </c>
      <c r="X69" s="18" t="n">
        <v>132470.4</v>
      </c>
      <c r="Y69" s="18" t="n">
        <v>160118.46</v>
      </c>
      <c r="Z69" s="37" t="n">
        <v>367039.38</v>
      </c>
      <c r="AA69" s="18" t="n">
        <v>46248.14</v>
      </c>
      <c r="AB69" s="19" t="n">
        <v>93260.25999999999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영업활동으로인한현금흐름</t>
        </is>
      </c>
      <c r="E70" s="18" t="n">
        <v>298301.61</v>
      </c>
      <c r="F70" s="9" t="n"/>
      <c r="G70" s="18" t="n">
        <v>-182998.52</v>
      </c>
      <c r="H70" s="18" t="n">
        <v>399193.03</v>
      </c>
      <c r="I70" s="18" t="n">
        <v>-163751.89</v>
      </c>
      <c r="J70" s="18" t="n">
        <v>271912.55</v>
      </c>
      <c r="K70" s="37" t="n">
        <v>324355.17</v>
      </c>
      <c r="L70" s="18" t="n">
        <v>-172186.23</v>
      </c>
      <c r="M70" s="18" t="n">
        <v>122777.04</v>
      </c>
      <c r="N70" s="18" t="n">
        <v>-107649.96</v>
      </c>
      <c r="O70" s="18" t="n">
        <v>269927.93</v>
      </c>
      <c r="P70" s="37" t="n">
        <v>112868.78</v>
      </c>
      <c r="Q70" s="18" t="n">
        <v>-106570.84</v>
      </c>
      <c r="R70" s="18" t="n">
        <v>67200.75</v>
      </c>
      <c r="S70" s="18" t="n">
        <v>16805.73</v>
      </c>
      <c r="T70" s="18" t="n">
        <v>168859.4</v>
      </c>
      <c r="U70" s="37" t="n">
        <v>146295.04</v>
      </c>
      <c r="V70" s="18" t="n">
        <v>11725.87</v>
      </c>
      <c r="W70" s="18" t="n">
        <v>80057.67</v>
      </c>
      <c r="X70" s="18" t="n">
        <v>-230432.11</v>
      </c>
      <c r="Y70" s="18" t="n">
        <v>264277.56</v>
      </c>
      <c r="Z70" s="37" t="n">
        <v>125628.99</v>
      </c>
      <c r="AA70" s="18" t="n">
        <v>-40763.67</v>
      </c>
      <c r="AB70" s="19" t="n">
        <v>78248.52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투자활동으로인한현금흐름</t>
        </is>
      </c>
      <c r="E71" s="18" t="n">
        <v>-60623.7</v>
      </c>
      <c r="F71" s="9" t="n"/>
      <c r="G71" s="18" t="n">
        <v>-609885.91</v>
      </c>
      <c r="H71" s="18" t="n">
        <v>-87153.63</v>
      </c>
      <c r="I71" s="18" t="n">
        <v>-54758.75</v>
      </c>
      <c r="J71" s="18" t="n">
        <v>-44040.64</v>
      </c>
      <c r="K71" s="37" t="n">
        <v>-795838.9300000001</v>
      </c>
      <c r="L71" s="18" t="n">
        <v>-55360.09</v>
      </c>
      <c r="M71" s="18" t="n">
        <v>-529362.24</v>
      </c>
      <c r="N71" s="18" t="n">
        <v>-55896.64</v>
      </c>
      <c r="O71" s="18" t="n">
        <v>-193776.6</v>
      </c>
      <c r="P71" s="37" t="n">
        <v>-834395.5699999999</v>
      </c>
      <c r="Q71" s="18" t="n">
        <v>-63417.97</v>
      </c>
      <c r="R71" s="18" t="n">
        <v>-187078.3</v>
      </c>
      <c r="S71" s="18" t="n">
        <v>-29015.32</v>
      </c>
      <c r="T71" s="18" t="n">
        <v>-214810.23</v>
      </c>
      <c r="U71" s="37" t="n">
        <v>-494321.82</v>
      </c>
      <c r="V71" s="18" t="n">
        <v>-251562.38</v>
      </c>
      <c r="W71" s="18" t="n">
        <v>-24732.89</v>
      </c>
      <c r="X71" s="18" t="n">
        <v>-151667.79</v>
      </c>
      <c r="Y71" s="18" t="n">
        <v>-717841.83</v>
      </c>
      <c r="Z71" s="37" t="n">
        <v>-1145804.89</v>
      </c>
      <c r="AA71" s="18" t="n">
        <v>-105674.41</v>
      </c>
      <c r="AB71" s="19" t="n">
        <v>-277279.41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유형자산의증가</t>
        </is>
      </c>
      <c r="E72" s="18" t="n">
        <v>22446.13</v>
      </c>
      <c r="F72" s="9" t="n"/>
      <c r="G72" s="18" t="n">
        <v>9859.049999999999</v>
      </c>
      <c r="H72" s="18" t="n">
        <v>7319.47</v>
      </c>
      <c r="I72" s="18" t="n">
        <v>11060.71</v>
      </c>
      <c r="J72" s="18" t="n">
        <v>14917.33</v>
      </c>
      <c r="K72" s="37" t="n">
        <v>43156.56</v>
      </c>
      <c r="L72" s="18" t="n">
        <v>41035.92</v>
      </c>
      <c r="M72" s="18" t="n">
        <v>14994.1</v>
      </c>
      <c r="N72" s="18" t="n">
        <v>41538.29</v>
      </c>
      <c r="O72" s="18" t="n">
        <v>30277.61</v>
      </c>
      <c r="P72" s="37" t="n">
        <v>127845.92</v>
      </c>
      <c r="Q72" s="18" t="n">
        <v>49585.15</v>
      </c>
      <c r="R72" s="18" t="n">
        <v>41166.75</v>
      </c>
      <c r="S72" s="18" t="n">
        <v>53459.59</v>
      </c>
      <c r="T72" s="18" t="n">
        <v>94624.71000000001</v>
      </c>
      <c r="U72" s="37" t="n">
        <v>238836.2</v>
      </c>
      <c r="V72" s="18" t="n">
        <v>71427.31</v>
      </c>
      <c r="W72" s="18" t="n">
        <v>61553.86</v>
      </c>
      <c r="X72" s="18" t="n">
        <v>57036.75</v>
      </c>
      <c r="Y72" s="18" t="n">
        <v>80665.66</v>
      </c>
      <c r="Z72" s="37" t="n">
        <v>270683.58</v>
      </c>
      <c r="AA72" s="18" t="n">
        <v>48232.91</v>
      </c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CAPEX</t>
        </is>
      </c>
      <c r="E73" s="18" t="n">
        <v>29634.87</v>
      </c>
      <c r="F73" s="9" t="n"/>
      <c r="G73" s="18" t="n">
        <v>16270.18</v>
      </c>
      <c r="H73" s="18" t="n">
        <v>16756.41</v>
      </c>
      <c r="I73" s="18" t="n">
        <v>20156.99</v>
      </c>
      <c r="J73" s="18" t="n">
        <v>21841.63</v>
      </c>
      <c r="K73" s="37" t="n">
        <v>75025.21000000001</v>
      </c>
      <c r="L73" s="18" t="n">
        <v>49480.27</v>
      </c>
      <c r="M73" s="18" t="n">
        <v>20701.89</v>
      </c>
      <c r="N73" s="18" t="n">
        <v>46973.63</v>
      </c>
      <c r="O73" s="18" t="n">
        <v>37134.14</v>
      </c>
      <c r="P73" s="37" t="n">
        <v>154289.93</v>
      </c>
      <c r="Q73" s="18" t="n">
        <v>56237.41</v>
      </c>
      <c r="R73" s="18" t="n">
        <v>56904.99</v>
      </c>
      <c r="S73" s="18" t="n">
        <v>58606.87</v>
      </c>
      <c r="T73" s="18" t="n">
        <v>100149.84</v>
      </c>
      <c r="U73" s="37" t="n">
        <v>271899.11</v>
      </c>
      <c r="V73" s="18" t="n">
        <v>76542.17</v>
      </c>
      <c r="W73" s="18" t="n">
        <v>65393.41</v>
      </c>
      <c r="X73" s="18" t="n">
        <v>59701.14</v>
      </c>
      <c r="Y73" s="18" t="n">
        <v>88413.50999999999</v>
      </c>
      <c r="Z73" s="37" t="n">
        <v>290050.23</v>
      </c>
      <c r="AA73" s="18" t="n">
        <v>52531.44</v>
      </c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무형자산의감소</t>
        </is>
      </c>
      <c r="E74" s="18" t="n">
        <v>1600</v>
      </c>
      <c r="F74" s="9" t="n"/>
      <c r="J74" s="18" t="n">
        <v>0</v>
      </c>
      <c r="K74" s="9" t="n"/>
      <c r="P74" s="9" t="n"/>
      <c r="Q74" s="18" t="n">
        <v>0</v>
      </c>
      <c r="R74" s="18" t="n">
        <v>7320.53</v>
      </c>
      <c r="S74" s="18" t="n">
        <v>141.57</v>
      </c>
      <c r="T74" s="18" t="n">
        <v>28.57</v>
      </c>
      <c r="U74" s="37" t="n">
        <v>7490.67</v>
      </c>
      <c r="X74" s="18" t="n">
        <v>30</v>
      </c>
      <c r="Y74" s="18" t="n">
        <v>0</v>
      </c>
      <c r="Z74" s="9" t="n"/>
      <c r="AA74" s="18" t="n">
        <v>48.22</v>
      </c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무형자산의증가</t>
        </is>
      </c>
      <c r="E75" s="18" t="n">
        <v>7188.74</v>
      </c>
      <c r="F75" s="9" t="n"/>
      <c r="G75" s="18" t="n">
        <v>6411.13</v>
      </c>
      <c r="H75" s="18" t="n">
        <v>9436.940000000001</v>
      </c>
      <c r="I75" s="18" t="n">
        <v>9096.280000000001</v>
      </c>
      <c r="J75" s="18" t="n">
        <v>6924.3</v>
      </c>
      <c r="K75" s="37" t="n">
        <v>31868.65</v>
      </c>
      <c r="L75" s="18" t="n">
        <v>8444.35</v>
      </c>
      <c r="M75" s="18" t="n">
        <v>5707.79</v>
      </c>
      <c r="N75" s="18" t="n">
        <v>5435.34</v>
      </c>
      <c r="O75" s="18" t="n">
        <v>6856.53</v>
      </c>
      <c r="P75" s="37" t="n">
        <v>26444.01</v>
      </c>
      <c r="Q75" s="18" t="n">
        <v>6652.26</v>
      </c>
      <c r="R75" s="18" t="n">
        <v>15738.24</v>
      </c>
      <c r="S75" s="18" t="n">
        <v>5147.28</v>
      </c>
      <c r="T75" s="18" t="n">
        <v>5525.13</v>
      </c>
      <c r="U75" s="37" t="n">
        <v>33062.91</v>
      </c>
      <c r="V75" s="18" t="n">
        <v>5114.86</v>
      </c>
      <c r="W75" s="18" t="n">
        <v>3839.55</v>
      </c>
      <c r="X75" s="18" t="n">
        <v>2664.39</v>
      </c>
      <c r="Y75" s="18" t="n">
        <v>7747.85</v>
      </c>
      <c r="Z75" s="37" t="n">
        <v>19366.65</v>
      </c>
      <c r="AA75" s="18" t="n">
        <v>4298.53</v>
      </c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배당금수취(CF)</t>
        </is>
      </c>
      <c r="E76" s="18" t="n">
        <v>0</v>
      </c>
      <c r="F76" s="9" t="n"/>
      <c r="I76" s="18" t="n">
        <v>0</v>
      </c>
      <c r="J76" s="18" t="n">
        <v>0</v>
      </c>
      <c r="K76" s="9" t="n"/>
      <c r="N76" s="18" t="n">
        <v>0</v>
      </c>
      <c r="O76" s="18" t="n">
        <v>0</v>
      </c>
      <c r="P76" s="9" t="n"/>
      <c r="S76" s="18" t="n">
        <v>0</v>
      </c>
      <c r="T76" s="18" t="n">
        <v>0</v>
      </c>
      <c r="U76" s="9" t="n"/>
      <c r="V76" s="18" t="n">
        <v>101.16</v>
      </c>
      <c r="W76" s="18" t="n">
        <v>2.37</v>
      </c>
      <c r="X76" s="18" t="n">
        <v>0</v>
      </c>
      <c r="Y76" s="18" t="n">
        <v>0</v>
      </c>
      <c r="Z76" s="37" t="n">
        <v>103.53</v>
      </c>
      <c r="AA76" s="18" t="n">
        <v>236.92</v>
      </c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재무활동으로인한현금흐름</t>
        </is>
      </c>
      <c r="E77" s="18" t="n">
        <v>-36020.57</v>
      </c>
      <c r="F77" s="9" t="n"/>
      <c r="G77" s="18" t="n">
        <v>-6104.82</v>
      </c>
      <c r="H77" s="18" t="n">
        <v>-66183.58</v>
      </c>
      <c r="I77" s="18" t="n">
        <v>42904.39</v>
      </c>
      <c r="J77" s="18" t="n">
        <v>23254.12</v>
      </c>
      <c r="K77" s="37" t="n">
        <v>-6129.89</v>
      </c>
      <c r="L77" s="18" t="n">
        <v>-6663.95</v>
      </c>
      <c r="M77" s="18" t="n">
        <v>-53622.22</v>
      </c>
      <c r="N77" s="18" t="n">
        <v>222830.33</v>
      </c>
      <c r="O77" s="18" t="n">
        <v>-137519.84</v>
      </c>
      <c r="P77" s="37" t="n">
        <v>25024.32</v>
      </c>
      <c r="Q77" s="18" t="n">
        <v>151568.96</v>
      </c>
      <c r="R77" s="18" t="n">
        <v>78317.39999999999</v>
      </c>
      <c r="S77" s="18" t="n">
        <v>-138401.39</v>
      </c>
      <c r="T77" s="18" t="n">
        <v>-58252.29</v>
      </c>
      <c r="U77" s="37" t="n">
        <v>33232.68</v>
      </c>
      <c r="V77" s="18" t="n">
        <v>182323.64</v>
      </c>
      <c r="W77" s="18" t="n">
        <v>44720.73</v>
      </c>
      <c r="X77" s="18" t="n">
        <v>243522.25</v>
      </c>
      <c r="Y77" s="18" t="n">
        <v>461636.61</v>
      </c>
      <c r="Z77" s="37" t="n">
        <v>932203.23</v>
      </c>
      <c r="AA77" s="18" t="n">
        <v>389475.68</v>
      </c>
      <c r="AB77" s="19" t="n">
        <v>1245791.9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단기차입금의증가</t>
        </is>
      </c>
      <c r="E78" s="18" t="n">
        <v>39000</v>
      </c>
      <c r="F78" s="9" t="n"/>
      <c r="G78" s="18" t="n">
        <v>3000</v>
      </c>
      <c r="H78" s="18" t="n">
        <v>10000</v>
      </c>
      <c r="I78" s="18" t="n">
        <v>100353.5</v>
      </c>
      <c r="J78" s="18" t="n">
        <v>165000</v>
      </c>
      <c r="K78" s="37" t="n">
        <v>278353.5</v>
      </c>
      <c r="L78" s="18" t="n">
        <v>1000</v>
      </c>
      <c r="M78" s="18" t="n">
        <v>170000</v>
      </c>
      <c r="N78" s="18" t="n">
        <v>369000</v>
      </c>
      <c r="O78" s="18" t="n">
        <v>250000</v>
      </c>
      <c r="P78" s="37" t="n">
        <v>790000</v>
      </c>
      <c r="Q78" s="18" t="n">
        <v>285000</v>
      </c>
      <c r="R78" s="18" t="n">
        <v>310000</v>
      </c>
      <c r="S78" s="18" t="n">
        <v>540000</v>
      </c>
      <c r="T78" s="18" t="n">
        <v>371000</v>
      </c>
      <c r="U78" s="37" t="n">
        <v>1506000</v>
      </c>
      <c r="V78" s="18" t="n">
        <v>608000</v>
      </c>
      <c r="W78" s="18" t="n">
        <v>264000</v>
      </c>
      <c r="X78" s="18" t="n">
        <v>796000</v>
      </c>
      <c r="Y78" s="18" t="n">
        <v>606000</v>
      </c>
      <c r="Z78" s="37" t="n">
        <v>2274000</v>
      </c>
      <c r="AA78" s="18" t="n">
        <v>524100</v>
      </c>
      <c r="AB78" s="19" t="n">
        <v>1770000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단기차입금의감소</t>
        </is>
      </c>
      <c r="E79" s="18" t="n">
        <v>39000</v>
      </c>
      <c r="F79" s="9" t="n"/>
      <c r="G79" s="18" t="n">
        <v>3000</v>
      </c>
      <c r="H79" s="18" t="n">
        <v>10000</v>
      </c>
      <c r="I79" s="18" t="n">
        <v>51426</v>
      </c>
      <c r="J79" s="18" t="n">
        <v>135000</v>
      </c>
      <c r="K79" s="37" t="n">
        <v>199426</v>
      </c>
      <c r="L79" s="18" t="n">
        <v>1000</v>
      </c>
      <c r="M79" s="18" t="n">
        <v>170000</v>
      </c>
      <c r="N79" s="18" t="n">
        <v>189000</v>
      </c>
      <c r="O79" s="18" t="n">
        <v>380000</v>
      </c>
      <c r="P79" s="37" t="n">
        <v>740000</v>
      </c>
      <c r="Q79" s="18" t="n">
        <v>125000</v>
      </c>
      <c r="R79" s="18" t="n">
        <v>420000</v>
      </c>
      <c r="S79" s="18" t="n">
        <v>640000</v>
      </c>
      <c r="T79" s="18" t="n">
        <v>421000</v>
      </c>
      <c r="U79" s="37" t="n">
        <v>1606000</v>
      </c>
      <c r="V79" s="18" t="n">
        <v>458000</v>
      </c>
      <c r="W79" s="18" t="n">
        <v>444000</v>
      </c>
      <c r="X79" s="18" t="n">
        <v>562000</v>
      </c>
      <c r="Y79" s="18" t="n">
        <v>653500</v>
      </c>
      <c r="Z79" s="37" t="n">
        <v>2117500</v>
      </c>
      <c r="AA79" s="18" t="n">
        <v>544500</v>
      </c>
      <c r="AB79" s="19" t="n">
        <v>220000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유동성장기부채의감소</t>
        </is>
      </c>
      <c r="E80" s="18" t="n">
        <v>30000</v>
      </c>
      <c r="F80" s="9" t="n"/>
      <c r="K80" s="9" t="n"/>
      <c r="P80" s="9" t="n"/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장기차입금의증가</t>
        </is>
      </c>
      <c r="E81" s="18" t="n">
        <v>0</v>
      </c>
      <c r="F81" s="9" t="n"/>
      <c r="K81" s="9" t="n"/>
      <c r="P81" s="9" t="n"/>
      <c r="U81" s="9" t="n"/>
      <c r="V81" s="18" t="n">
        <v>41300</v>
      </c>
      <c r="W81" s="18" t="n">
        <v>0</v>
      </c>
      <c r="X81" s="18" t="n">
        <v>68300</v>
      </c>
      <c r="Y81" s="18" t="n">
        <v>119046</v>
      </c>
      <c r="Z81" s="37" t="n">
        <v>228646</v>
      </c>
      <c r="AA81" s="18" t="n">
        <v>18700</v>
      </c>
      <c r="AB81" s="19" t="n">
        <v>0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사채의감소</t>
        </is>
      </c>
      <c r="E82" s="18" t="n">
        <v>0</v>
      </c>
      <c r="F82" s="9" t="n"/>
      <c r="G82" s="18" t="n">
        <v>0</v>
      </c>
      <c r="H82" s="18" t="n">
        <v>30000</v>
      </c>
      <c r="I82" s="18" t="n">
        <v>0</v>
      </c>
      <c r="J82" s="18" t="n">
        <v>0</v>
      </c>
      <c r="K82" s="37" t="n">
        <v>30000</v>
      </c>
      <c r="N82" s="18" t="n">
        <v>0</v>
      </c>
      <c r="O82" s="18" t="n">
        <v>0</v>
      </c>
      <c r="P82" s="9" t="n"/>
      <c r="T82" s="18" t="n">
        <v>0</v>
      </c>
      <c r="U82" s="9" t="n"/>
      <c r="Y82" s="18" t="n">
        <v>50000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자기주식의취득</t>
        </is>
      </c>
      <c r="E83" s="18" t="n">
        <v>0</v>
      </c>
      <c r="F83" s="9" t="n"/>
      <c r="G83" s="18" t="n">
        <v>0</v>
      </c>
      <c r="J83" s="18" t="n">
        <v>0</v>
      </c>
      <c r="K83" s="9" t="n"/>
      <c r="P83" s="9" t="n"/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리스부채의상환</t>
        </is>
      </c>
      <c r="E84" s="18" t="n">
        <v>6020.57</v>
      </c>
      <c r="F84" s="9" t="n"/>
      <c r="G84" s="18" t="n">
        <v>6104.82</v>
      </c>
      <c r="H84" s="18" t="n">
        <v>6291.16</v>
      </c>
      <c r="I84" s="18" t="n">
        <v>6023.11</v>
      </c>
      <c r="J84" s="18" t="n">
        <v>6745.88</v>
      </c>
      <c r="K84" s="37" t="n">
        <v>25164.97</v>
      </c>
      <c r="L84" s="18" t="n">
        <v>6663.95</v>
      </c>
      <c r="M84" s="18" t="n">
        <v>6873.9</v>
      </c>
      <c r="N84" s="18" t="n">
        <v>7051.9</v>
      </c>
      <c r="P84" s="9" t="n"/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배당금지급</t>
        </is>
      </c>
      <c r="E85" s="18" t="n">
        <v>0</v>
      </c>
      <c r="F85" s="9" t="n"/>
      <c r="I85" s="18" t="n">
        <v>0</v>
      </c>
      <c r="J85" s="18" t="n">
        <v>0</v>
      </c>
      <c r="K85" s="9" t="n"/>
      <c r="N85" s="18" t="n">
        <v>0</v>
      </c>
      <c r="O85" s="18" t="n">
        <v>0</v>
      </c>
      <c r="P85" s="9" t="n"/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현금및현금성자산의증감</t>
        </is>
      </c>
      <c r="E86" s="18" t="n">
        <v>201657.33</v>
      </c>
      <c r="F86" s="9" t="n"/>
      <c r="G86" s="18" t="n">
        <v>-798989.25</v>
      </c>
      <c r="H86" s="18" t="n">
        <v>245855.83</v>
      </c>
      <c r="I86" s="18" t="n">
        <v>-175606.25</v>
      </c>
      <c r="J86" s="18" t="n">
        <v>251126.01</v>
      </c>
      <c r="K86" s="37" t="n">
        <v>-477613.66</v>
      </c>
      <c r="L86" s="18" t="n">
        <v>-234210.27</v>
      </c>
      <c r="M86" s="18" t="n">
        <v>-460207.42</v>
      </c>
      <c r="N86" s="18" t="n">
        <v>59283.72</v>
      </c>
      <c r="O86" s="18" t="n">
        <v>-61368.5</v>
      </c>
      <c r="P86" s="37" t="n">
        <v>-696502.47</v>
      </c>
      <c r="Q86" s="18" t="n">
        <v>-18419.85</v>
      </c>
      <c r="R86" s="18" t="n">
        <v>-41560.15</v>
      </c>
      <c r="S86" s="18" t="n">
        <v>-150610.98</v>
      </c>
      <c r="T86" s="18" t="n">
        <v>-104203.12</v>
      </c>
      <c r="U86" s="37" t="n">
        <v>-314794.1</v>
      </c>
      <c r="V86" s="18" t="n">
        <v>-57512.87</v>
      </c>
      <c r="W86" s="18" t="n">
        <v>100045.52</v>
      </c>
      <c r="X86" s="18" t="n">
        <v>-138577.66</v>
      </c>
      <c r="Y86" s="18" t="n">
        <v>8072.33</v>
      </c>
      <c r="Z86" s="37" t="n">
        <v>-87972.67999999999</v>
      </c>
      <c r="AA86" s="18" t="n">
        <v>243037.61</v>
      </c>
      <c r="AB86" s="19" t="n">
        <v>1046761.01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기말현금및현금성자산</t>
        </is>
      </c>
      <c r="E87" s="18" t="n">
        <v>201702.05</v>
      </c>
      <c r="F87" s="9" t="n"/>
      <c r="G87" s="18" t="n">
        <v>822403.09</v>
      </c>
      <c r="H87" s="18" t="n">
        <v>245856.52</v>
      </c>
      <c r="I87" s="18" t="n">
        <v>-175561.81</v>
      </c>
      <c r="J87" s="18" t="n">
        <v>250871.02</v>
      </c>
      <c r="K87" s="37" t="n">
        <v>1143568.82</v>
      </c>
      <c r="L87" s="18" t="n">
        <v>909441.85</v>
      </c>
      <c r="M87" s="18" t="n">
        <v>-460257.62</v>
      </c>
      <c r="N87" s="18" t="n">
        <v>59283.08</v>
      </c>
      <c r="O87" s="18" t="n">
        <v>-61528.04</v>
      </c>
      <c r="P87" s="37" t="n">
        <v>446939.27</v>
      </c>
      <c r="Q87" s="18" t="n">
        <v>428557.79</v>
      </c>
      <c r="R87" s="18" t="n">
        <v>-41495.77</v>
      </c>
      <c r="S87" s="18" t="n">
        <v>-157182.33</v>
      </c>
      <c r="T87" s="18" t="n">
        <v>-97725.32000000001</v>
      </c>
      <c r="U87" s="37" t="n">
        <v>132154.37</v>
      </c>
      <c r="V87" s="18" t="n">
        <v>74638.05</v>
      </c>
      <c r="W87" s="18" t="n">
        <v>100021.78</v>
      </c>
      <c r="X87" s="18" t="n">
        <v>-138559.62</v>
      </c>
      <c r="Y87" s="18" t="n">
        <v>8075.12</v>
      </c>
      <c r="Z87" s="37" t="n">
        <v>44175.33</v>
      </c>
      <c r="AA87" s="18" t="n">
        <v>287220.28</v>
      </c>
      <c r="AB87" s="19" t="n">
        <v>1046762.43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유형자산의감소</t>
        </is>
      </c>
      <c r="F88" s="9" t="n"/>
      <c r="G88" s="18" t="n">
        <v>16.02</v>
      </c>
      <c r="H88" s="18" t="n">
        <v>128.38</v>
      </c>
      <c r="I88" s="18" t="n">
        <v>3.02</v>
      </c>
      <c r="J88" s="18" t="n">
        <v>34.68</v>
      </c>
      <c r="K88" s="37" t="n">
        <v>182.1</v>
      </c>
      <c r="L88" s="18" t="n">
        <v>16</v>
      </c>
      <c r="M88" s="18" t="n">
        <v>8.33</v>
      </c>
      <c r="N88" s="18" t="n">
        <v>5.42</v>
      </c>
      <c r="O88" s="18" t="n">
        <v>46.61</v>
      </c>
      <c r="P88" s="37" t="n">
        <v>76.36</v>
      </c>
      <c r="Q88" s="18" t="n">
        <v>3.12</v>
      </c>
      <c r="R88" s="18" t="n">
        <v>12.76</v>
      </c>
      <c r="S88" s="18" t="n">
        <v>7.48</v>
      </c>
      <c r="T88" s="18" t="n">
        <v>10.74</v>
      </c>
      <c r="U88" s="37" t="n">
        <v>34.1</v>
      </c>
      <c r="V88" s="18" t="n">
        <v>141.67</v>
      </c>
      <c r="W88" s="18" t="n">
        <v>10.49</v>
      </c>
      <c r="X88" s="18" t="n">
        <v>1397</v>
      </c>
      <c r="Y88" s="18" t="n">
        <v>45.16</v>
      </c>
      <c r="Z88" s="37" t="n">
        <v>1594.32</v>
      </c>
      <c r="AA88" s="18" t="n">
        <v>28.49</v>
      </c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사채의증가</t>
        </is>
      </c>
      <c r="F89" s="9" t="n"/>
      <c r="K89" s="9" t="n"/>
      <c r="O89" s="18" t="n">
        <v>0</v>
      </c>
      <c r="P89" s="9" t="n"/>
      <c r="S89" s="18" t="n">
        <v>0</v>
      </c>
      <c r="T89" s="18" t="n">
        <v>0</v>
      </c>
      <c r="U89" s="9" t="n"/>
      <c r="X89" s="18" t="n">
        <v>0</v>
      </c>
      <c r="Y89" s="18" t="n">
        <v>398622.05</v>
      </c>
      <c r="Z89" s="9" t="n"/>
      <c r="AA89" s="18" t="n">
        <v>398385.95</v>
      </c>
      <c r="AB89" s="19" t="n">
        <v>16.19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이자수취(CF)</t>
        </is>
      </c>
      <c r="F90" s="9" t="n"/>
      <c r="K90" s="9" t="n"/>
      <c r="P90" s="9" t="n"/>
      <c r="S90" s="18" t="n">
        <v>3299.56</v>
      </c>
      <c r="T90" s="18" t="n">
        <v>2522.47</v>
      </c>
      <c r="U90" s="9" t="n"/>
      <c r="V90" s="18" t="n">
        <v>1054.25</v>
      </c>
      <c r="W90" s="18" t="n">
        <v>3228.23</v>
      </c>
      <c r="X90" s="18" t="n">
        <v>659.64</v>
      </c>
      <c r="Y90" s="18" t="n">
        <v>1035.95</v>
      </c>
      <c r="Z90" s="37" t="n">
        <v>5978.07</v>
      </c>
      <c r="AA90" s="18" t="n">
        <v>763.51</v>
      </c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F91" s="9" t="n"/>
      <c r="K91" s="9" t="n"/>
      <c r="P91" s="9" t="n"/>
      <c r="S91" s="18" t="n">
        <v>-6488.24</v>
      </c>
      <c r="T91" s="18" t="n">
        <v>-6368.55</v>
      </c>
      <c r="U91" s="9" t="n"/>
      <c r="V91" s="18" t="n">
        <v>-0.11</v>
      </c>
      <c r="W91" s="18" t="n">
        <v>-38280.28</v>
      </c>
      <c r="X91" s="18" t="n">
        <v>-3210.5</v>
      </c>
      <c r="Y91" s="18" t="n">
        <v>-6426.14</v>
      </c>
      <c r="Z91" s="37" t="n">
        <v>-47917.03</v>
      </c>
      <c r="AA91" s="18" t="n">
        <v>-406.22</v>
      </c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IFERROR(AC12+AC13+AC14,"")</f>
        <v/>
      </c>
      <c r="AD11" s="20">
        <f>IFERROR(AD12+AD13+AD14,"")</f>
        <v/>
      </c>
      <c r="AE11" s="38">
        <f>SUM(AA11:AD11)</f>
        <v/>
      </c>
      <c r="AF11" s="20">
        <f>IFERROR(AF12+AF13+AF14,"")</f>
        <v/>
      </c>
      <c r="AG11" s="20">
        <f>IFERROR(AG12+AG13+AG14,"")</f>
        <v/>
      </c>
      <c r="AH11" s="20">
        <f>IFERROR(AH12+AH13+AH14,"")</f>
        <v/>
      </c>
      <c r="AI11" s="20">
        <f>IFERROR(AI12+AI13+AI14,"")</f>
        <v/>
      </c>
      <c r="AJ11" s="38">
        <f>SUM(AF11:AI11)</f>
        <v/>
      </c>
      <c r="AK11" s="20">
        <f>IFERROR(AK12+AK13+AK14,"")</f>
        <v/>
      </c>
      <c r="AL11" s="20">
        <f>IFERROR(AL12+AL13+AL14,"")</f>
        <v/>
      </c>
      <c r="AM11" s="20">
        <f>IFERROR(AM12+AM13+AM14,"")</f>
        <v/>
      </c>
      <c r="AN11" s="20">
        <f>IFERROR(AN12+AN13+AN14,"")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기타금융손익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기타금융손익(금융손익 잔차)</t>
        </is>
      </c>
      <c r="E14" s="18" t="n"/>
      <c r="F14" s="37" t="n"/>
      <c r="G14" s="18" t="n">
        <v>0</v>
      </c>
      <c r="H14" s="18" t="n">
        <v>0.08</v>
      </c>
      <c r="I14" s="18" t="n">
        <v>0</v>
      </c>
      <c r="J14" s="18" t="n">
        <v>0</v>
      </c>
      <c r="K14" s="37">
        <f>SUM(G14:J14)</f>
        <v/>
      </c>
      <c r="L14" s="18" t="n">
        <v>0</v>
      </c>
      <c r="M14" s="18" t="n">
        <v>0.05</v>
      </c>
      <c r="N14" s="18" t="n">
        <v>-0</v>
      </c>
      <c r="O14" s="18" t="n">
        <v>0</v>
      </c>
      <c r="P14" s="37">
        <f>SUM(L14:O14)</f>
        <v/>
      </c>
      <c r="Q14" s="18" t="n">
        <v>0</v>
      </c>
      <c r="R14" s="18" t="n">
        <v>0.04</v>
      </c>
      <c r="S14" s="18" t="n">
        <v>-0.01</v>
      </c>
      <c r="T14" s="18" t="n">
        <v>-0</v>
      </c>
      <c r="U14" s="37">
        <f>SUM(Q14:T14)</f>
        <v/>
      </c>
      <c r="V14" s="18" t="n">
        <v>97.76000000000001</v>
      </c>
      <c r="W14" s="18" t="n">
        <v>2.94</v>
      </c>
      <c r="X14" s="18" t="n">
        <v>186.98</v>
      </c>
      <c r="Y14" s="18" t="n">
        <v>1.78</v>
      </c>
      <c r="Z14" s="37">
        <f>SUM(V14:Y14)</f>
        <v/>
      </c>
      <c r="AA14" s="18" t="n">
        <v>78.38</v>
      </c>
      <c r="AB14" s="19" t="n">
        <v>10.52</v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기타영업외손익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기타영업외손익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지분법손익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종속기업,공동지배기업및관계기업관련손익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 t="n"/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IFERROR(AC9+AC11+AC15+AC16,"")</f>
        <v/>
      </c>
      <c r="AD17" s="20">
        <f>IFERROR(AD9+AD11+AD15+AD16,"")</f>
        <v/>
      </c>
      <c r="AE17" s="38">
        <f>SUM(AA17:AD17)</f>
        <v/>
      </c>
      <c r="AF17" s="20">
        <f>IFERROR(AF9+AF11+AF15+AF16,"")</f>
        <v/>
      </c>
      <c r="AG17" s="20">
        <f>IFERROR(AG9+AG11+AG15+AG16,"")</f>
        <v/>
      </c>
      <c r="AH17" s="20">
        <f>IFERROR(AH9+AH11+AH15+AH16,"")</f>
        <v/>
      </c>
      <c r="AI17" s="20">
        <f>IFERROR(AI9+AI11+AI15+AI16,"")</f>
        <v/>
      </c>
      <c r="AJ17" s="38">
        <f>SUM(AF17:AI17)</f>
        <v/>
      </c>
      <c r="AK17" s="20">
        <f>IFERROR(AK9+AK11+AK15+AK16,"")</f>
        <v/>
      </c>
      <c r="AL17" s="20">
        <f>IFERROR(AL9+AL11+AL15+AL16,"")</f>
        <v/>
      </c>
      <c r="AM17" s="20">
        <f>IFERROR(AM9+AM11+AM15+AM16,"")</f>
        <v/>
      </c>
      <c r="AN17" s="20">
        <f>IFERROR(AN9+AN11+AN15+AN16,"")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중단사업이익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중단사업이익</t>
        </is>
      </c>
      <c r="E21" s="18" t="n"/>
      <c r="F21" s="37" t="n"/>
      <c r="G21" s="18" t="n"/>
      <c r="H21" s="18" t="n"/>
      <c r="I21" s="18" t="n"/>
      <c r="J21" s="18" t="n"/>
      <c r="K21" s="37">
        <f>SUM(G21:J21)</f>
        <v/>
      </c>
      <c r="L21" s="18" t="n"/>
      <c r="M21" s="18" t="n"/>
      <c r="N21" s="18" t="n"/>
      <c r="O21" s="18">
        <f>IFERROR(VLOOKUP($D21,BS연결,MATCH(O$1,BS연결H,0),0)/100,"")</f>
        <v/>
      </c>
      <c r="P21" s="37">
        <f>SUM(L21:O21)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 t="n"/>
      <c r="AD21" s="20" t="n"/>
      <c r="AE21" s="38">
        <f>SUM(AA21:AD21)</f>
        <v/>
      </c>
      <c r="AF21" s="20" t="n"/>
      <c r="AG21" s="20" t="n"/>
      <c r="AH21" s="20" t="n"/>
      <c r="AI21" s="20" t="n"/>
      <c r="AJ21" s="38">
        <f>SUM(AF21:AI21)</f>
        <v/>
      </c>
      <c r="AK21" s="20" t="n"/>
      <c r="AL21" s="20" t="n"/>
      <c r="AM21" s="20" t="n"/>
      <c r="AN21" s="20" t="n"/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IFERROR(AB24+AC19-변수!AC32,"")</f>
        <v/>
      </c>
      <c r="AD24" s="20">
        <f>IFERROR(AC24+AD19-변수!AD32,"")</f>
        <v/>
      </c>
      <c r="AE24" s="38">
        <f>AD24</f>
        <v/>
      </c>
      <c r="AF24" s="20">
        <f>IFERROR(AD24+AF19-변수!AF32,"")</f>
        <v/>
      </c>
      <c r="AG24" s="20">
        <f>IFERROR(AF24+AG19-변수!AG32,"")</f>
        <v/>
      </c>
      <c r="AH24" s="20">
        <f>IFERROR(AG24+AH19-변수!AH32,"")</f>
        <v/>
      </c>
      <c r="AI24" s="20">
        <f>IFERROR(AH24+AI19-변수!AI32,"")</f>
        <v/>
      </c>
      <c r="AJ24" s="38">
        <f>AI24</f>
        <v/>
      </c>
      <c r="AK24" s="20">
        <f>IFERROR(AI24+AK19-변수!AK32,"")</f>
        <v/>
      </c>
      <c r="AL24" s="20">
        <f>IFERROR(AK24+AL19-변수!AL32,"")</f>
        <v/>
      </c>
      <c r="AM24" s="20">
        <f>IFERROR(AL24+AM19-변수!AM32,"")</f>
        <v/>
      </c>
      <c r="AN24" s="20">
        <f>IFERROR(AM24+AN19-변수!AN32,"")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 t="n"/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IFERROR(AF30*(1+변수!AG38),"")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186.993</v>
      </c>
      <c r="F32" s="28">
        <f>E32</f>
        <v/>
      </c>
      <c r="G32" s="27" t="n">
        <v>186.993</v>
      </c>
      <c r="H32" s="27" t="n">
        <v>186.993</v>
      </c>
      <c r="I32" s="27" t="n">
        <v>186.993</v>
      </c>
      <c r="J32" s="27" t="n">
        <v>186.993</v>
      </c>
      <c r="K32" s="28">
        <f>J32</f>
        <v/>
      </c>
      <c r="L32" s="27" t="n">
        <v>186.993</v>
      </c>
      <c r="M32" s="27" t="n">
        <v>186.993</v>
      </c>
      <c r="N32" s="27" t="n">
        <v>186.993</v>
      </c>
      <c r="O32" s="27" t="n">
        <v>186.993</v>
      </c>
      <c r="P32" s="28">
        <f>O32</f>
        <v/>
      </c>
      <c r="Q32" s="27" t="n">
        <v>186.993</v>
      </c>
      <c r="R32" s="27" t="n">
        <v>186.993</v>
      </c>
      <c r="S32" s="27" t="n">
        <v>186.993</v>
      </c>
      <c r="T32" s="27" t="n">
        <v>186.993</v>
      </c>
      <c r="U32" s="28">
        <f>T32</f>
        <v/>
      </c>
      <c r="V32" s="27" t="n">
        <v>186.993</v>
      </c>
      <c r="W32" s="27" t="n">
        <v>186.993</v>
      </c>
      <c r="X32" s="27" t="n">
        <v>186.993</v>
      </c>
      <c r="Y32" s="27" t="n">
        <v>186.993</v>
      </c>
      <c r="Z32" s="28">
        <f>Y32</f>
        <v/>
      </c>
      <c r="AA32" s="27" t="n">
        <v>186.993</v>
      </c>
      <c r="AB32" s="29" t="n">
        <v>186.993</v>
      </c>
      <c r="AC32" s="32">
        <f>IFERROR(AB32*(1+변수!AC40),"")</f>
        <v/>
      </c>
      <c r="AD32" s="32">
        <f>IFERROR(AC32*(1+변수!AD40),"")</f>
        <v/>
      </c>
      <c r="AE32" s="31">
        <f>AD32</f>
        <v/>
      </c>
      <c r="AF32" s="32">
        <f>IFERROR(AD32*(1+변수!AF40),"")</f>
        <v/>
      </c>
      <c r="AG32" s="32">
        <f>IFERROR(AF32*(1+변수!AG40),"")</f>
        <v/>
      </c>
      <c r="AH32" s="32">
        <f>IFERROR(AG32*(1+변수!AH40),"")</f>
        <v/>
      </c>
      <c r="AI32" s="32">
        <f>IFERROR(AH32*(1+변수!AI40),"")</f>
        <v/>
      </c>
      <c r="AJ32" s="31">
        <f>AI32</f>
        <v/>
      </c>
      <c r="AK32" s="32">
        <f>IFERROR(AI32*(1+변수!AK40),"")</f>
        <v/>
      </c>
      <c r="AL32" s="32">
        <f>IFERROR(AK32*(1+변수!AL40),"")</f>
        <v/>
      </c>
      <c r="AM32" s="32">
        <f>IFERROR(AL32*(1+변수!AM40),"")</f>
        <v/>
      </c>
      <c r="AN32" s="32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IFERROR(E20*100/E32,"")</f>
        <v/>
      </c>
      <c r="F33" s="37" t="n"/>
      <c r="G33" s="18">
        <f>IFERROR(G20*100/G32,"")</f>
        <v/>
      </c>
      <c r="H33" s="18">
        <f>IFERROR(H20*100/H32,"")</f>
        <v/>
      </c>
      <c r="I33" s="18">
        <f>IFERROR(I20*100/I32,"")</f>
        <v/>
      </c>
      <c r="J33" s="18">
        <f>IFERROR(J20*100/J32,"")</f>
        <v/>
      </c>
      <c r="K33" s="37">
        <f>SUM(G33:J33)</f>
        <v/>
      </c>
      <c r="L33" s="18">
        <f>IFERROR(L20*100/L32,"")</f>
        <v/>
      </c>
      <c r="M33" s="18">
        <f>IFERROR(M20*100/M32,"")</f>
        <v/>
      </c>
      <c r="N33" s="18">
        <f>IFERROR(N20*100/N32,"")</f>
        <v/>
      </c>
      <c r="O33" s="18">
        <f>IFERROR(O20*100/O32,"")</f>
        <v/>
      </c>
      <c r="P33" s="37">
        <f>SUM(L33:O33)</f>
        <v/>
      </c>
      <c r="Q33" s="18">
        <f>IFERROR(Q20*100/Q32,"")</f>
        <v/>
      </c>
      <c r="R33" s="18">
        <f>IFERROR(R20*100/R32,"")</f>
        <v/>
      </c>
      <c r="S33" s="18">
        <f>IFERROR(S20*100/S32,"")</f>
        <v/>
      </c>
      <c r="T33" s="18">
        <f>IFERROR(T20*100/T32,"")</f>
        <v/>
      </c>
      <c r="U33" s="37">
        <f>SUM(Q33:T33)</f>
        <v/>
      </c>
      <c r="V33" s="18">
        <f>IFERROR(V20*100/V32,"")</f>
        <v/>
      </c>
      <c r="W33" s="18">
        <f>IFERROR(W20*100/W32,"")</f>
        <v/>
      </c>
      <c r="X33" s="18">
        <f>IFERROR(X20*100/X32,"")</f>
        <v/>
      </c>
      <c r="Y33" s="18">
        <f>IFERROR(Y20*100/Y32,"")</f>
        <v/>
      </c>
      <c r="Z33" s="37">
        <f>SUM(V33:Y33)</f>
        <v/>
      </c>
      <c r="AA33" s="18">
        <f>IFERROR(AA20*100/AA32,"")</f>
        <v/>
      </c>
      <c r="AB33" s="19">
        <f>IFERROR(AB20*100/AB32,"")</f>
        <v/>
      </c>
      <c r="AC33" s="20">
        <f>IFERROR(AC20*100/AC32,"")</f>
        <v/>
      </c>
      <c r="AD33" s="20">
        <f>IFERROR(AD20*100/AD32,"")</f>
        <v/>
      </c>
      <c r="AE33" s="38">
        <f>SUM(AA33:AD33)</f>
        <v/>
      </c>
      <c r="AF33" s="20">
        <f>IFERROR(AF20*100/AF32,"")</f>
        <v/>
      </c>
      <c r="AG33" s="20">
        <f>IFERROR(AG20*100/AG32,"")</f>
        <v/>
      </c>
      <c r="AH33" s="20">
        <f>IFERROR(AH20*100/AH32,"")</f>
        <v/>
      </c>
      <c r="AI33" s="20">
        <f>IFERROR(AI20*100/AI32,"")</f>
        <v/>
      </c>
      <c r="AJ33" s="38">
        <f>SUM(AF33:AI33)</f>
        <v/>
      </c>
      <c r="AK33" s="20">
        <f>IFERROR(AK20*100/AK32,"")</f>
        <v/>
      </c>
      <c r="AL33" s="20">
        <f>IFERROR(AL20*100/AL32,"")</f>
        <v/>
      </c>
      <c r="AM33" s="20">
        <f>IFERROR(AM20*100/AM32,"")</f>
        <v/>
      </c>
      <c r="AN33" s="20">
        <f>IFERROR(AN20*100/AN32,"")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160</v>
      </c>
      <c r="F35" s="37" t="n">
        <v>160</v>
      </c>
      <c r="G35" s="18" t="n"/>
      <c r="H35" s="18" t="n"/>
      <c r="I35" s="18" t="n"/>
      <c r="J35" s="18" t="n">
        <v>250</v>
      </c>
      <c r="K35" s="37">
        <f>SUM(G35:J35)</f>
        <v/>
      </c>
      <c r="L35" s="18" t="n"/>
      <c r="M35" s="18" t="n"/>
      <c r="N35" s="18" t="n"/>
      <c r="O35" s="18" t="n">
        <v>280</v>
      </c>
      <c r="P35" s="37">
        <f>SUM(L35:O35)</f>
        <v/>
      </c>
      <c r="Q35" s="18" t="n"/>
      <c r="R35" s="18" t="n"/>
      <c r="S35" s="18" t="n"/>
      <c r="T35" s="18" t="n">
        <v>350</v>
      </c>
      <c r="U35" s="37">
        <f>SUM(Q35:T35)</f>
        <v/>
      </c>
      <c r="V35" s="18" t="n"/>
      <c r="W35" s="18" t="n"/>
      <c r="X35" s="18" t="n"/>
      <c r="Y35" s="18" t="n">
        <v>500</v>
      </c>
      <c r="Z35" s="37">
        <f>SUM(V35:Y35)</f>
        <v/>
      </c>
      <c r="AA35" s="18" t="n"/>
      <c r="AB35" s="19" t="n"/>
      <c r="AC35" s="20" t="n"/>
      <c r="AD35" s="20">
        <f>변수!AD41</f>
        <v/>
      </c>
      <c r="AE35" s="38">
        <f>SUM(AA35:AD35)</f>
        <v/>
      </c>
      <c r="AF35" s="20" t="n"/>
      <c r="AG35" s="20" t="n"/>
      <c r="AH35" s="20" t="n"/>
      <c r="AI35" s="20">
        <f>변수!AI41</f>
        <v/>
      </c>
      <c r="AJ35" s="38">
        <f>SUM(AF35:AI35)</f>
        <v/>
      </c>
      <c r="AK35" s="20" t="n"/>
      <c r="AL35" s="20" t="n"/>
      <c r="AM35" s="20" t="n"/>
      <c r="AN35" s="20">
        <f>변수!AN41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>
        <f>IFERROR(변수!L18/(H33+I33+J33+L33),"")</f>
        <v/>
      </c>
      <c r="M36" s="13">
        <f>IFERROR(변수!M18/(I33+J33+L33+M33),"")</f>
        <v/>
      </c>
      <c r="N36" s="13">
        <f>IFERROR(변수!N18/(J33+L33+M33+N33),"")</f>
        <v/>
      </c>
      <c r="O36" s="13">
        <f>IFERROR(변수!O18/(L33+M33+N33+O33),"")</f>
        <v/>
      </c>
      <c r="P36" s="14">
        <f>O36</f>
        <v/>
      </c>
      <c r="Q36" s="13">
        <f>IFERROR(변수!Q18/(M33+N33+O33+Q33),"")</f>
        <v/>
      </c>
      <c r="R36" s="13">
        <f>IFERROR(변수!R18/(N33+O33+Q33+R33),"")</f>
        <v/>
      </c>
      <c r="S36" s="13">
        <f>IFERROR(변수!S18/(O33+Q33+R33+S33),"")</f>
        <v/>
      </c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IFERROR(변수!$D$44/(Y33+AA33+AB33+AC33),"")</f>
        <v/>
      </c>
      <c r="AD36" s="39">
        <f>IFERROR(변수!$D$44/(AA33+AB33+AC33+AD33),"")</f>
        <v/>
      </c>
      <c r="AE36" s="40">
        <f>AD36</f>
        <v/>
      </c>
      <c r="AF36" s="39">
        <f>IFERROR(변수!$D$44/(AB33+AC33+AD33+AF33),"")</f>
        <v/>
      </c>
      <c r="AG36" s="39">
        <f>IFERROR(변수!$D$44/(AC33+AD33+AF33+AG33),"")</f>
        <v/>
      </c>
      <c r="AH36" s="39">
        <f>IFERROR(변수!$D$44/(AD33+AF33+AG33+AH33),"")</f>
        <v/>
      </c>
      <c r="AI36" s="39">
        <f>IFERROR(변수!$D$44/(AF33+AG33+AH33+AI33),"")</f>
        <v/>
      </c>
      <c r="AJ36" s="40">
        <f>AI36</f>
        <v/>
      </c>
      <c r="AK36" s="39">
        <f>IFERROR(변수!$D$44/(AG33+AH33+AI33+AK33),"")</f>
        <v/>
      </c>
      <c r="AL36" s="39">
        <f>IFERROR(변수!$D$44/(AH33+AI33+AK33+AL33),"")</f>
        <v/>
      </c>
      <c r="AM36" s="39">
        <f>IFERROR(변수!$D$44/(AI33+AK33+AL33+AM33),"")</f>
        <v/>
      </c>
      <c r="AN36" s="39">
        <f>IFERROR(변수!$D$44/(AK33+AL33+AM33+AN33),"")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IFERROR(변수!$D$44/AC34,"")</f>
        <v/>
      </c>
      <c r="AD37" s="39">
        <f>IFERROR(변수!$D$44/AD34,"")</f>
        <v/>
      </c>
      <c r="AE37" s="40">
        <f>AD37</f>
        <v/>
      </c>
      <c r="AF37" s="39">
        <f>IFERROR(변수!$D$44/AF34,"")</f>
        <v/>
      </c>
      <c r="AG37" s="39">
        <f>IFERROR(변수!$D$44/AG34,"")</f>
        <v/>
      </c>
      <c r="AH37" s="39">
        <f>IFERROR(변수!$D$44/AH34,"")</f>
        <v/>
      </c>
      <c r="AI37" s="39">
        <f>IFERROR(변수!$D$44/AI34,"")</f>
        <v/>
      </c>
      <c r="AJ37" s="40">
        <f>AI37</f>
        <v/>
      </c>
      <c r="AK37" s="39">
        <f>IFERROR(변수!$D$44/AK34,"")</f>
        <v/>
      </c>
      <c r="AL37" s="39">
        <f>IFERROR(변수!$D$44/AL34,"")</f>
        <v/>
      </c>
      <c r="AM37" s="39">
        <f>IFERROR(변수!$D$44/AM34,"")</f>
        <v/>
      </c>
      <c r="AN37" s="39">
        <f>IFERROR(변수!$D$44/AN34,"")</f>
        <v/>
      </c>
      <c r="AO37" s="40">
        <f>AN37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6795.25</v>
      </c>
      <c r="F38" s="37" t="n"/>
      <c r="G38" s="18" t="n">
        <v>4295.64</v>
      </c>
      <c r="H38" s="18" t="n">
        <v>5104.94</v>
      </c>
      <c r="I38" s="18" t="n">
        <v>4594</v>
      </c>
      <c r="J38" s="18" t="n">
        <v>7885.44</v>
      </c>
      <c r="K38" s="37">
        <f>SUM(G38:J38)</f>
        <v/>
      </c>
      <c r="L38" s="18" t="n">
        <v>4395.16</v>
      </c>
      <c r="M38" s="18" t="n">
        <v>6106.77</v>
      </c>
      <c r="N38" s="18" t="n">
        <v>6208.23</v>
      </c>
      <c r="O38" s="18" t="n">
        <v>7820.63</v>
      </c>
      <c r="P38" s="37">
        <f>SUM(L38:O38)</f>
        <v/>
      </c>
      <c r="Q38" s="18" t="n">
        <v>5443.64</v>
      </c>
      <c r="R38" s="18" t="n">
        <v>6873.19</v>
      </c>
      <c r="S38" s="18" t="n">
        <v>6391.72</v>
      </c>
      <c r="T38" s="18" t="n">
        <v>9328.32</v>
      </c>
      <c r="U38" s="37">
        <f>SUM(Q38:T38)</f>
        <v/>
      </c>
      <c r="V38" s="18" t="n">
        <v>6901.01</v>
      </c>
      <c r="W38" s="18" t="n">
        <v>7681.91</v>
      </c>
      <c r="X38" s="18" t="n">
        <v>8077.37</v>
      </c>
      <c r="Y38" s="18" t="n">
        <v>13981.23</v>
      </c>
      <c r="Z38" s="37">
        <f>SUM(V38:Y38)</f>
        <v/>
      </c>
      <c r="AA38" s="18" t="n">
        <v>8070.99</v>
      </c>
      <c r="AB38" s="19" t="n">
        <v>11175.52</v>
      </c>
      <c r="AC38" s="20">
        <f>IFERROR(AC5,"")</f>
        <v/>
      </c>
      <c r="AD38" s="20">
        <f>IFERROR(AD5,"")</f>
        <v/>
      </c>
      <c r="AE38" s="38">
        <f>SUM(AA38:AD38)</f>
        <v/>
      </c>
      <c r="AF38" s="20">
        <f>IFERROR(AF5,"")</f>
        <v/>
      </c>
      <c r="AG38" s="20">
        <f>IFERROR(AG5,"")</f>
        <v/>
      </c>
      <c r="AH38" s="20">
        <f>IFERROR(AH5,"")</f>
        <v/>
      </c>
      <c r="AI38" s="20">
        <f>IFERROR(AI5,"")</f>
        <v/>
      </c>
      <c r="AJ38" s="38">
        <f>SUM(AF38:AI38)</f>
        <v/>
      </c>
      <c r="AK38" s="20">
        <f>IFERROR(AK5,"")</f>
        <v/>
      </c>
      <c r="AL38" s="20">
        <f>IFERROR(AL5,"")</f>
        <v/>
      </c>
      <c r="AM38" s="20">
        <f>IFERROR(AM5,"")</f>
        <v/>
      </c>
      <c r="AN38" s="20">
        <f>IFERROR(AN5,"")</f>
        <v/>
      </c>
      <c r="AO38" s="38">
        <f>SUM(AK38:AN38)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73.48</v>
      </c>
      <c r="F39" s="37" t="n"/>
      <c r="G39" s="18" t="n">
        <v>151.62</v>
      </c>
      <c r="H39" s="18" t="n">
        <v>164.27</v>
      </c>
      <c r="I39" s="18" t="n">
        <v>5.41</v>
      </c>
      <c r="J39" s="18" t="n">
        <v>-81.08</v>
      </c>
      <c r="K39" s="37">
        <f>SUM(G39:J39)</f>
        <v/>
      </c>
      <c r="L39" s="18" t="n">
        <v>83.86</v>
      </c>
      <c r="M39" s="18" t="n">
        <v>259.32</v>
      </c>
      <c r="N39" s="18" t="n">
        <v>373.33</v>
      </c>
      <c r="O39" s="18" t="n">
        <v>212.2</v>
      </c>
      <c r="P39" s="37">
        <f>SUM(L39:O39)</f>
        <v/>
      </c>
      <c r="Q39" s="18" t="n">
        <v>392.64</v>
      </c>
      <c r="R39" s="18" t="n">
        <v>798.37</v>
      </c>
      <c r="S39" s="18" t="n">
        <v>569.99</v>
      </c>
      <c r="T39" s="18" t="n">
        <v>432.45</v>
      </c>
      <c r="U39" s="37">
        <f>SUM(Q39:T39)</f>
        <v/>
      </c>
      <c r="V39" s="18" t="n">
        <v>581.64</v>
      </c>
      <c r="W39" s="18" t="n">
        <v>334.51</v>
      </c>
      <c r="X39" s="18" t="n">
        <v>225.21</v>
      </c>
      <c r="Y39" s="18" t="n">
        <v>57.62</v>
      </c>
      <c r="Z39" s="37">
        <f>SUM(V39:Y39)</f>
        <v/>
      </c>
      <c r="AA39" s="18" t="n">
        <v>342.84</v>
      </c>
      <c r="AB39" s="19" t="n">
        <v>1036.52</v>
      </c>
      <c r="AC39" s="20">
        <f>IFERROR(AC9,"")</f>
        <v/>
      </c>
      <c r="AD39" s="20">
        <f>IFERROR(AD9,"")</f>
        <v/>
      </c>
      <c r="AE39" s="38">
        <f>SUM(AA39:AD39)</f>
        <v/>
      </c>
      <c r="AF39" s="20">
        <f>IFERROR(AF9,"")</f>
        <v/>
      </c>
      <c r="AG39" s="20">
        <f>IFERROR(AG9,"")</f>
        <v/>
      </c>
      <c r="AH39" s="20">
        <f>IFERROR(AH9,"")</f>
        <v/>
      </c>
      <c r="AI39" s="20">
        <f>IFERROR(AI9,"")</f>
        <v/>
      </c>
      <c r="AJ39" s="38">
        <f>SUM(AF39:AI39)</f>
        <v/>
      </c>
      <c r="AK39" s="20">
        <f>IFERROR(AK9,"")</f>
        <v/>
      </c>
      <c r="AL39" s="20">
        <f>IFERROR(AL9,"")</f>
        <v/>
      </c>
      <c r="AM39" s="20">
        <f>IFERROR(AM9,"")</f>
        <v/>
      </c>
      <c r="AN39" s="20">
        <f>IFERROR(AN9,"")</f>
        <v/>
      </c>
      <c r="AO39" s="38">
        <f>SUM(AK39:AN39)</f>
        <v/>
      </c>
    </row>
    <row r="40">
      <c r="B40" s="2" t="inlineStr">
        <is>
          <t>비율(참고)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IFERROR(E20/E5,"")</f>
        <v/>
      </c>
      <c r="F41" s="22">
        <f>IFERROR(F20/F5,"")</f>
        <v/>
      </c>
      <c r="G41" s="21">
        <f>IFERROR(G20/G5,"")</f>
        <v/>
      </c>
      <c r="H41" s="21">
        <f>IFERROR(H20/H5,"")</f>
        <v/>
      </c>
      <c r="I41" s="21">
        <f>IFERROR(I20/I5,"")</f>
        <v/>
      </c>
      <c r="J41" s="21">
        <f>IFERROR(J20/J5,"")</f>
        <v/>
      </c>
      <c r="K41" s="22">
        <f>IFERROR(K20/K5,"")</f>
        <v/>
      </c>
      <c r="L41" s="21">
        <f>IFERROR(L20/L5,"")</f>
        <v/>
      </c>
      <c r="M41" s="21">
        <f>IFERROR(M20/M5,"")</f>
        <v/>
      </c>
      <c r="N41" s="21">
        <f>IFERROR(N20/N5,"")</f>
        <v/>
      </c>
      <c r="O41" s="21">
        <f>IFERROR(O20/O5,"")</f>
        <v/>
      </c>
      <c r="P41" s="22">
        <f>IFERROR(P20/P5,"")</f>
        <v/>
      </c>
      <c r="Q41" s="21">
        <f>IFERROR(Q20/Q5,"")</f>
        <v/>
      </c>
      <c r="R41" s="21">
        <f>IFERROR(R20/R5,"")</f>
        <v/>
      </c>
      <c r="S41" s="21">
        <f>IFERROR(S20/S5,"")</f>
        <v/>
      </c>
      <c r="T41" s="21">
        <f>IFERROR(T20/T5,"")</f>
        <v/>
      </c>
      <c r="U41" s="22">
        <f>IFERROR(U20/U5,"")</f>
        <v/>
      </c>
      <c r="V41" s="21">
        <f>IFERROR(V20/V5,"")</f>
        <v/>
      </c>
      <c r="W41" s="21">
        <f>IFERROR(W20/W5,"")</f>
        <v/>
      </c>
      <c r="X41" s="21">
        <f>IFERROR(X20/X5,"")</f>
        <v/>
      </c>
      <c r="Y41" s="21">
        <f>IFERROR(Y20/Y5,"")</f>
        <v/>
      </c>
      <c r="Z41" s="22">
        <f>IFERROR(Z20/Z5,"")</f>
        <v/>
      </c>
      <c r="AA41" s="21">
        <f>IFERROR(AA20/AA5,"")</f>
        <v/>
      </c>
      <c r="AB41" s="23">
        <f>IFERROR(AB20/AB5,"")</f>
        <v/>
      </c>
      <c r="AC41" s="33">
        <f>IFERROR(AC20/AC5,"")</f>
        <v/>
      </c>
      <c r="AD41" s="33">
        <f>IFERROR(AD20/AD5,"")</f>
        <v/>
      </c>
      <c r="AE41" s="25">
        <f>IFERROR(AE20/AE5,"")</f>
        <v/>
      </c>
      <c r="AF41" s="33">
        <f>IFERROR(AF20/AF5,"")</f>
        <v/>
      </c>
      <c r="AG41" s="33">
        <f>IFERROR(AG20/AG5,"")</f>
        <v/>
      </c>
      <c r="AH41" s="33">
        <f>IFERROR(AH20/AH5,"")</f>
        <v/>
      </c>
      <c r="AI41" s="33">
        <f>IFERROR(AI20/AI5,"")</f>
        <v/>
      </c>
      <c r="AJ41" s="25">
        <f>IFERROR(AJ20/AJ5,"")</f>
        <v/>
      </c>
      <c r="AK41" s="33">
        <f>IFERROR(AK20/AK5,"")</f>
        <v/>
      </c>
      <c r="AL41" s="33">
        <f>IFERROR(AL20/AL5,"")</f>
        <v/>
      </c>
      <c r="AM41" s="33">
        <f>IFERROR(AM20/AM5,"")</f>
        <v/>
      </c>
      <c r="AN41" s="33">
        <f>IFERROR(AN20/AN5,"")</f>
        <v/>
      </c>
      <c r="AO41" s="25">
        <f>IFERROR(AO20/AO5,"")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2">
        <f>IFERROR(F6/F5,"")</f>
        <v/>
      </c>
      <c r="G42" s="21">
        <f>IFERROR(G6/G5,"")</f>
        <v/>
      </c>
      <c r="H42" s="21">
        <f>IFERROR(H6/H5,"")</f>
        <v/>
      </c>
      <c r="I42" s="21">
        <f>IFERROR(I6/I5,"")</f>
        <v/>
      </c>
      <c r="J42" s="21">
        <f>IFERROR(J6/J5,"")</f>
        <v/>
      </c>
      <c r="K42" s="22">
        <f>IFERROR(K6/K5,"")</f>
        <v/>
      </c>
      <c r="L42" s="21">
        <f>IFERROR(L6/L5,"")</f>
        <v/>
      </c>
      <c r="M42" s="21">
        <f>IFERROR(M6/M5,"")</f>
        <v/>
      </c>
      <c r="N42" s="21">
        <f>IFERROR(N6/N5,"")</f>
        <v/>
      </c>
      <c r="O42" s="21">
        <f>IFERROR(O6/O5,"")</f>
        <v/>
      </c>
      <c r="P42" s="22">
        <f>IFERROR(P6/P5,"")</f>
        <v/>
      </c>
      <c r="Q42" s="21">
        <f>IFERROR(Q6/Q5,"")</f>
        <v/>
      </c>
      <c r="R42" s="21">
        <f>IFERROR(R6/R5,"")</f>
        <v/>
      </c>
      <c r="S42" s="21">
        <f>IFERROR(S6/S5,"")</f>
        <v/>
      </c>
      <c r="T42" s="21">
        <f>IFERROR(T6/T5,"")</f>
        <v/>
      </c>
      <c r="U42" s="22">
        <f>IFERROR(U6/U5,"")</f>
        <v/>
      </c>
      <c r="V42" s="21">
        <f>IFERROR(V6/V5,"")</f>
        <v/>
      </c>
      <c r="W42" s="21">
        <f>IFERROR(W6/W5,"")</f>
        <v/>
      </c>
      <c r="X42" s="21">
        <f>IFERROR(X6/X5,"")</f>
        <v/>
      </c>
      <c r="Y42" s="21">
        <f>IFERROR(Y6/Y5,"")</f>
        <v/>
      </c>
      <c r="Z42" s="22">
        <f>IFERROR(Z6/Z5,"")</f>
        <v/>
      </c>
      <c r="AA42" s="21">
        <f>IFERROR(AA6/AA5,"")</f>
        <v/>
      </c>
      <c r="AB42" s="23">
        <f>IFERROR(AB6/AB5,"")</f>
        <v/>
      </c>
      <c r="AC42" s="33">
        <f>IFERROR(AC6/AC5,"")</f>
        <v/>
      </c>
      <c r="AD42" s="33">
        <f>IFERROR(AD6/AD5,"")</f>
        <v/>
      </c>
      <c r="AE42" s="25">
        <f>IFERROR(AE6/AE5,"")</f>
        <v/>
      </c>
      <c r="AF42" s="33">
        <f>IFERROR(AF6/AF5,"")</f>
        <v/>
      </c>
      <c r="AG42" s="33">
        <f>IFERROR(AG6/AG5,"")</f>
        <v/>
      </c>
      <c r="AH42" s="33">
        <f>IFERROR(AH6/AH5,"")</f>
        <v/>
      </c>
      <c r="AI42" s="33">
        <f>IFERROR(AI6/AI5,"")</f>
        <v/>
      </c>
      <c r="AJ42" s="25">
        <f>IFERROR(AJ6/AJ5,"")</f>
        <v/>
      </c>
      <c r="AK42" s="33">
        <f>IFERROR(AK6/AK5,"")</f>
        <v/>
      </c>
      <c r="AL42" s="33">
        <f>IFERROR(AL6/AL5,"")</f>
        <v/>
      </c>
      <c r="AM42" s="33">
        <f>IFERROR(AM6/AM5,"")</f>
        <v/>
      </c>
      <c r="AN42" s="33">
        <f>IFERROR(AN6/AN5,"")</f>
        <v/>
      </c>
      <c r="AO42" s="25">
        <f>IFERROR(AO6/AO5,"")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2">
        <f>IFERROR(F8/F5,"")</f>
        <v/>
      </c>
      <c r="G43" s="21">
        <f>IFERROR(G8/G5,"")</f>
        <v/>
      </c>
      <c r="H43" s="21">
        <f>IFERROR(H8/H5,"")</f>
        <v/>
      </c>
      <c r="I43" s="21">
        <f>IFERROR(I8/I5,"")</f>
        <v/>
      </c>
      <c r="J43" s="21">
        <f>IFERROR(J8/J5,"")</f>
        <v/>
      </c>
      <c r="K43" s="22">
        <f>IFERROR(K8/K5,"")</f>
        <v/>
      </c>
      <c r="L43" s="21">
        <f>IFERROR(L8/L5,"")</f>
        <v/>
      </c>
      <c r="M43" s="21">
        <f>IFERROR(M8/M5,"")</f>
        <v/>
      </c>
      <c r="N43" s="21">
        <f>IFERROR(N8/N5,"")</f>
        <v/>
      </c>
      <c r="O43" s="21">
        <f>IFERROR(O8/O5,"")</f>
        <v/>
      </c>
      <c r="P43" s="22">
        <f>IFERROR(P8/P5,"")</f>
        <v/>
      </c>
      <c r="Q43" s="21">
        <f>IFERROR(Q8/Q5,"")</f>
        <v/>
      </c>
      <c r="R43" s="21">
        <f>IFERROR(R8/R5,"")</f>
        <v/>
      </c>
      <c r="S43" s="21">
        <f>IFERROR(S8/S5,"")</f>
        <v/>
      </c>
      <c r="T43" s="21">
        <f>IFERROR(T8/T5,"")</f>
        <v/>
      </c>
      <c r="U43" s="22">
        <f>IFERROR(U8/U5,"")</f>
        <v/>
      </c>
      <c r="V43" s="21">
        <f>IFERROR(V8/V5,"")</f>
        <v/>
      </c>
      <c r="W43" s="21">
        <f>IFERROR(W8/W5,"")</f>
        <v/>
      </c>
      <c r="X43" s="21">
        <f>IFERROR(X8/X5,"")</f>
        <v/>
      </c>
      <c r="Y43" s="21">
        <f>IFERROR(Y8/Y5,"")</f>
        <v/>
      </c>
      <c r="Z43" s="22">
        <f>IFERROR(Z8/Z5,"")</f>
        <v/>
      </c>
      <c r="AA43" s="21">
        <f>IFERROR(AA8/AA5,"")</f>
        <v/>
      </c>
      <c r="AB43" s="23">
        <f>IFERROR(AB8/AB5,"")</f>
        <v/>
      </c>
      <c r="AC43" s="33">
        <f>IFERROR(AC8/AC5,"")</f>
        <v/>
      </c>
      <c r="AD43" s="33">
        <f>IFERROR(AD8/AD5,"")</f>
        <v/>
      </c>
      <c r="AE43" s="25">
        <f>IFERROR(AE8/AE5,"")</f>
        <v/>
      </c>
      <c r="AF43" s="33">
        <f>IFERROR(AF8/AF5,"")</f>
        <v/>
      </c>
      <c r="AG43" s="33">
        <f>IFERROR(AG8/AG5,"")</f>
        <v/>
      </c>
      <c r="AH43" s="33">
        <f>IFERROR(AH8/AH5,"")</f>
        <v/>
      </c>
      <c r="AI43" s="33">
        <f>IFERROR(AI8/AI5,"")</f>
        <v/>
      </c>
      <c r="AJ43" s="25">
        <f>IFERROR(AJ8/AJ5,"")</f>
        <v/>
      </c>
      <c r="AK43" s="33">
        <f>IFERROR(AK8/AK5,"")</f>
        <v/>
      </c>
      <c r="AL43" s="33">
        <f>IFERROR(AL8/AL5,"")</f>
        <v/>
      </c>
      <c r="AM43" s="33">
        <f>IFERROR(AM8/AM5,"")</f>
        <v/>
      </c>
      <c r="AN43" s="33">
        <f>IFERROR(AN8/AN5,"")</f>
        <v/>
      </c>
      <c r="AO43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지분법손익</t>
        </is>
      </c>
      <c r="D16" t="inlineStr">
        <is>
          <t>지분법손익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2">
        <f>IFERROR(VLOOKUP($A32,subQ,MATCH(X$1,SUBQH,0),0),"")</f>
        <v/>
      </c>
      <c r="Y32" s="32">
        <f>IFERROR(VLOOKUP($A32,subQ,MATCH(Y$1,SUBQH,0),0),"")</f>
        <v/>
      </c>
      <c r="Z32" s="32">
        <f>IFERROR(VLOOKUP($A32,subQ,MATCH(Z$1,SUBQH,0),0),"")</f>
        <v/>
      </c>
      <c r="AA32" s="32">
        <f>IFERROR(VLOOKUP($A32,subQ,MATCH(AA$1,SUBQH,0),0),"")</f>
        <v/>
      </c>
      <c r="AB32" s="32">
        <f>IFERROR(VLOOKUP($A32,subQ,MATCH(AB$1,SUBQH,0),0),"")</f>
        <v/>
      </c>
      <c r="AC32" s="32">
        <f>IFERROR(VLOOKUP($A32,subQ,MATCH(AC$1,SUBQH,0),0),"")</f>
        <v/>
      </c>
      <c r="AD32" s="32">
        <f>IFERROR(VLOOKUP($A32,subQ,MATCH(AD$1,SUBQH,0),0),"")</f>
        <v/>
      </c>
      <c r="AE32" s="32">
        <f>IFERROR(VLOOKUP($A32,subQ,MATCH(AE$1,SUBQH,0),0),"")</f>
        <v/>
      </c>
      <c r="AF32" s="32">
        <f>IFERROR(VLOOKUP($A32,subQ,MATCH(AF$1,SUBQH,0),0),"")</f>
        <v/>
      </c>
      <c r="AG32" s="32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21">
        <f>IFERROR(VLOOKUP($A40,subQ,MATCH(M$1,SUBQH,0),0),"")</f>
        <v/>
      </c>
      <c r="N40" s="21">
        <f>IFERROR(VLOOKUP($A40,subQ,MATCH(N$1,SUBQH,0),0),"")</f>
        <v/>
      </c>
      <c r="O40" s="21">
        <f>IFERROR(VLOOKUP($A40,subQ,MATCH(O$1,SUBQH,0),0),"")</f>
        <v/>
      </c>
      <c r="P40" s="21">
        <f>IFERROR(VLOOKUP($A40,subQ,MATCH(P$1,SUBQH,0),0),"")</f>
        <v/>
      </c>
      <c r="Q40" s="21">
        <f>IFERROR(VLOOKUP($A40,subQ,MATCH(Q$1,SUBQH,0),0),"")</f>
        <v/>
      </c>
      <c r="R40" s="21">
        <f>IFERROR(VLOOKUP($A40,subQ,MATCH(R$1,SUBQH,0),0),"")</f>
        <v/>
      </c>
      <c r="S40" s="21">
        <f>IFERROR(VLOOKUP($A40,subQ,MATCH(S$1,SUBQH,0),0),"")</f>
        <v/>
      </c>
      <c r="T40" s="21">
        <f>IFERROR(VLOOKUP($A40,subQ,MATCH(T$1,SUBQH,0),0),"")</f>
        <v/>
      </c>
      <c r="U40" s="21">
        <f>IFERROR(VLOOKUP($A40,subQ,MATCH(U$1,SUBQH,0),0),"")</f>
        <v/>
      </c>
      <c r="V40" s="21">
        <f>IFERROR(VLOOKUP($A40,subQ,MATCH(V$1,SUBQH,0),0),"")</f>
        <v/>
      </c>
      <c r="W40" s="46">
        <f>IFERROR(VLOOKUP($A40,subQ,MATCH(W$1,SUBQH,0),0),"")</f>
        <v/>
      </c>
      <c r="X40" s="33">
        <f>IFERROR(VLOOKUP($A40,subQ,MATCH(X$1,SUBQH,0),0),"")</f>
        <v/>
      </c>
      <c r="Y40" s="33">
        <f>IFERROR(VLOOKUP($A40,subQ,MATCH(Y$1,SUBQH,0),0),"")</f>
        <v/>
      </c>
      <c r="Z40" s="33">
        <f>IFERROR(VLOOKUP($A40,subQ,MATCH(Z$1,SUBQH,0),0),"")</f>
        <v/>
      </c>
      <c r="AA40" s="33">
        <f>IFERROR(VLOOKUP($A40,subQ,MATCH(AA$1,SUBQH,0),0),"")</f>
        <v/>
      </c>
      <c r="AB40" s="33">
        <f>IFERROR(VLOOKUP($A40,subQ,MATCH(AB$1,SUBQH,0),0),"")</f>
        <v/>
      </c>
      <c r="AC40" s="33">
        <f>IFERROR(VLOOKUP($A40,subQ,MATCH(AC$1,SUBQH,0),0),"")</f>
        <v/>
      </c>
      <c r="AD40" s="33">
        <f>IFERROR(VLOOKUP($A40,subQ,MATCH(AD$1,SUBQH,0),0),"")</f>
        <v/>
      </c>
      <c r="AE40" s="33">
        <f>IFERROR(VLOOKUP($A40,subQ,MATCH(AE$1,SUBQH,0),0),"")</f>
        <v/>
      </c>
      <c r="AF40" s="33">
        <f>IFERROR(VLOOKUP($A40,subQ,MATCH(AF$1,SUBQH,0),0),"")</f>
        <v/>
      </c>
      <c r="AG40" s="33">
        <f>IFERROR(VLOOKUP($A40,subQ,MATCH(AG$1,SUBQH,0),0),"")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21">
        <f>IFERROR(M5/I5-1,"")</f>
        <v/>
      </c>
      <c r="N41" s="21">
        <f>IFERROR(N5/J5-1,"")</f>
        <v/>
      </c>
      <c r="O41" s="21">
        <f>IFERROR(O5/K5-1,"")</f>
        <v/>
      </c>
      <c r="P41" s="21">
        <f>IFERROR(P5/L5-1,"")</f>
        <v/>
      </c>
      <c r="Q41" s="21">
        <f>IFERROR(Q5/M5-1,"")</f>
        <v/>
      </c>
      <c r="R41" s="21">
        <f>IFERROR(R5/N5-1,"")</f>
        <v/>
      </c>
      <c r="S41" s="21">
        <f>IFERROR(S5/O5-1,"")</f>
        <v/>
      </c>
      <c r="T41" s="21">
        <f>IFERROR(T5/P5-1,"")</f>
        <v/>
      </c>
      <c r="U41" s="21">
        <f>IFERROR(U5/Q5-1,"")</f>
        <v/>
      </c>
      <c r="V41" s="21">
        <f>IFERROR(V5/R5-1,"")</f>
        <v/>
      </c>
      <c r="W41" s="46">
        <f>IFERROR(W5/S5-1,"")</f>
        <v/>
      </c>
      <c r="X41" s="33">
        <f>IFERROR(X5/T5-1,"")</f>
        <v/>
      </c>
      <c r="Y41" s="33">
        <f>IFERROR(Y5/U5-1,"")</f>
        <v/>
      </c>
      <c r="Z41" s="33">
        <f>IFERROR(Z5/V5-1,"")</f>
        <v/>
      </c>
      <c r="AA41" s="33">
        <f>IFERROR(AA5/W5-1,"")</f>
        <v/>
      </c>
      <c r="AB41" s="33">
        <f>IFERROR(AB5/X5-1,"")</f>
        <v/>
      </c>
      <c r="AC41" s="33">
        <f>IFERROR(AC5/Y5-1,"")</f>
        <v/>
      </c>
      <c r="AD41" s="33">
        <f>IFERROR(AD5/Z5-1,"")</f>
        <v/>
      </c>
      <c r="AE41" s="33">
        <f>IFERROR(AE5/AA5-1,"")</f>
        <v/>
      </c>
      <c r="AF41" s="33">
        <f>IFERROR(AF5/AB5-1,"")</f>
        <v/>
      </c>
      <c r="AG41" s="33">
        <f>IFERROR(AG5/AC5-1,"")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21">
        <f>IFERROR(M9/I9-1,"")</f>
        <v/>
      </c>
      <c r="N42" s="21">
        <f>IFERROR(N9/J9-1,"")</f>
        <v/>
      </c>
      <c r="O42" s="21">
        <f>IFERROR(O9/K9-1,"")</f>
        <v/>
      </c>
      <c r="P42" s="21">
        <f>IFERROR(P9/L9-1,"")</f>
        <v/>
      </c>
      <c r="Q42" s="21">
        <f>IFERROR(Q9/M9-1,"")</f>
        <v/>
      </c>
      <c r="R42" s="21">
        <f>IFERROR(R9/N9-1,"")</f>
        <v/>
      </c>
      <c r="S42" s="21">
        <f>IFERROR(S9/O9-1,"")</f>
        <v/>
      </c>
      <c r="T42" s="21">
        <f>IFERROR(T9/P9-1,"")</f>
        <v/>
      </c>
      <c r="U42" s="21">
        <f>IFERROR(U9/Q9-1,"")</f>
        <v/>
      </c>
      <c r="V42" s="21">
        <f>IFERROR(V9/R9-1,"")</f>
        <v/>
      </c>
      <c r="W42" s="46">
        <f>IFERROR(W9/S9-1,"")</f>
        <v/>
      </c>
      <c r="X42" s="33">
        <f>IFERROR(X9/T9-1,"")</f>
        <v/>
      </c>
      <c r="Y42" s="33">
        <f>IFERROR(Y9/U9-1,"")</f>
        <v/>
      </c>
      <c r="Z42" s="33">
        <f>IFERROR(Z9/V9-1,"")</f>
        <v/>
      </c>
      <c r="AA42" s="33">
        <f>IFERROR(AA9/W9-1,"")</f>
        <v/>
      </c>
      <c r="AB42" s="33">
        <f>IFERROR(AB9/X9-1,"")</f>
        <v/>
      </c>
      <c r="AC42" s="33">
        <f>IFERROR(AC9/Y9-1,"")</f>
        <v/>
      </c>
      <c r="AD42" s="33">
        <f>IFERROR(AD9/Z9-1,"")</f>
        <v/>
      </c>
      <c r="AE42" s="33">
        <f>IFERROR(AE9/AA9-1,"")</f>
        <v/>
      </c>
      <c r="AF42" s="33">
        <f>IFERROR(AF9/AB9-1,"")</f>
        <v/>
      </c>
      <c r="AG42" s="33">
        <f>IFERROR(AG9/AC9-1,"")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IFERROR(I20/E20-1,"")</f>
        <v/>
      </c>
      <c r="J43" s="21">
        <f>IFERROR(J20/F20-1,"")</f>
        <v/>
      </c>
      <c r="K43" s="21">
        <f>IFERROR(K20/G20-1,"")</f>
        <v/>
      </c>
      <c r="L43" s="21">
        <f>IFERROR(L20/H20-1,"")</f>
        <v/>
      </c>
      <c r="M43" s="21">
        <f>IFERROR(M20/I20-1,"")</f>
        <v/>
      </c>
      <c r="N43" s="21">
        <f>IFERROR(N20/J20-1,"")</f>
        <v/>
      </c>
      <c r="O43" s="21">
        <f>IFERROR(O20/K20-1,"")</f>
        <v/>
      </c>
      <c r="P43" s="21">
        <f>IFERROR(P20/L20-1,"")</f>
        <v/>
      </c>
      <c r="Q43" s="21">
        <f>IFERROR(Q20/M20-1,"")</f>
        <v/>
      </c>
      <c r="R43" s="21">
        <f>IFERROR(R20/N20-1,"")</f>
        <v/>
      </c>
      <c r="S43" s="21">
        <f>IFERROR(S20/O20-1,"")</f>
        <v/>
      </c>
      <c r="T43" s="21">
        <f>IFERROR(T20/P20-1,"")</f>
        <v/>
      </c>
      <c r="U43" s="21">
        <f>IFERROR(U20/Q20-1,"")</f>
        <v/>
      </c>
      <c r="V43" s="21">
        <f>IFERROR(V20/R20-1,"")</f>
        <v/>
      </c>
      <c r="W43" s="46">
        <f>IFERROR(W20/S20-1,"")</f>
        <v/>
      </c>
      <c r="X43" s="33">
        <f>IFERROR(X20/T20-1,"")</f>
        <v/>
      </c>
      <c r="Y43" s="33">
        <f>IFERROR(Y20/U20-1,"")</f>
        <v/>
      </c>
      <c r="Z43" s="33">
        <f>IFERROR(Z20/V20-1,"")</f>
        <v/>
      </c>
      <c r="AA43" s="33">
        <f>IFERROR(AA20/W20-1,"")</f>
        <v/>
      </c>
      <c r="AB43" s="33">
        <f>IFERROR(AB20/X20-1,"")</f>
        <v/>
      </c>
      <c r="AC43" s="33">
        <f>IFERROR(AC20/Y20-1,"")</f>
        <v/>
      </c>
      <c r="AD43" s="33">
        <f>IFERROR(AD20/Z20-1,"")</f>
        <v/>
      </c>
      <c r="AE43" s="33">
        <f>IFERROR(AE20/AA20-1,"")</f>
        <v/>
      </c>
      <c r="AF43" s="33">
        <f>IFERROR(AF20/AB20-1,"")</f>
        <v/>
      </c>
      <c r="AG43" s="33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지분법손익</t>
        </is>
      </c>
      <c r="D16" t="inlineStr">
        <is>
          <t>지분법손익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2">
        <f>IFERROR(VLOOKUP($A32,subQ,MATCH(J$1,SUBQH,0),0),"")</f>
        <v/>
      </c>
      <c r="K32" s="32">
        <f>IFERROR(VLOOKUP($A32,subQ,MATCH(K$1,SUBQH,0),0),"")</f>
        <v/>
      </c>
      <c r="L32" s="32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46">
        <f>IFERROR(VLOOKUP($A40,subQ,MATCH(I$1,SUBQH,0),0),"")</f>
        <v/>
      </c>
      <c r="J40" s="33">
        <f>IFERROR(VLOOKUP($A40,subQ,MATCH(J$1,SUBQH,0),0),"")</f>
        <v/>
      </c>
      <c r="K40" s="33">
        <f>IFERROR(VLOOKUP($A40,subQ,MATCH(K$1,SUBQH,0),0),"")</f>
        <v/>
      </c>
      <c r="L40" s="33">
        <f>IFERROR(VLOOKUP($A40,subQ,MATCH(L$1,SUBQH,0),0),"")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21">
        <f>IFERROR(F5/E5-1,"")</f>
        <v/>
      </c>
      <c r="G41" s="21">
        <f>IFERROR(G5/F5-1,"")</f>
        <v/>
      </c>
      <c r="H41" s="21">
        <f>IFERROR(H5/G5-1,"")</f>
        <v/>
      </c>
      <c r="I41" s="46">
        <f>IFERROR(I5/H5-1,"")</f>
        <v/>
      </c>
      <c r="J41" s="33">
        <f>IFERROR(J5/I5-1,"")</f>
        <v/>
      </c>
      <c r="K41" s="33">
        <f>IFERROR(K5/J5-1,"")</f>
        <v/>
      </c>
      <c r="L41" s="33">
        <f>IFERROR(L5/K5-1,"")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21">
        <f>IFERROR(F9/E9-1,"")</f>
        <v/>
      </c>
      <c r="G42" s="21">
        <f>IFERROR(G9/F9-1,"")</f>
        <v/>
      </c>
      <c r="H42" s="21">
        <f>IFERROR(H9/G9-1,"")</f>
        <v/>
      </c>
      <c r="I42" s="46">
        <f>IFERROR(I9/H9-1,"")</f>
        <v/>
      </c>
      <c r="J42" s="33">
        <f>IFERROR(J9/I9-1,"")</f>
        <v/>
      </c>
      <c r="K42" s="33">
        <f>IFERROR(K9/J9-1,"")</f>
        <v/>
      </c>
      <c r="L42" s="33">
        <f>IFERROR(L9/K9-1,"")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21">
        <f>IFERROR(F20/E20-1,"")</f>
        <v/>
      </c>
      <c r="G43" s="21">
        <f>IFERROR(G20/F20-1,"")</f>
        <v/>
      </c>
      <c r="H43" s="21">
        <f>IFERROR(H20/G20-1,"")</f>
        <v/>
      </c>
      <c r="I43" s="46">
        <f>IFERROR(I20/H20-1,"")</f>
        <v/>
      </c>
      <c r="J43" s="33">
        <f>IFERROR(J20/I20-1,"")</f>
        <v/>
      </c>
      <c r="K43" s="33">
        <f>IFERROR(K20/J20-1,"")</f>
        <v/>
      </c>
      <c r="L43" s="33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778.5</v>
      </c>
    </row>
    <row r="30">
      <c r="C30" s="2" t="inlineStr">
        <is>
          <t>bps_latest</t>
        </is>
      </c>
      <c r="D30" t="n">
        <v>24026.1</v>
      </c>
    </row>
    <row r="31">
      <c r="C31" s="2" t="inlineStr">
        <is>
          <t>per_now</t>
        </is>
      </c>
      <c r="D31" t="n">
        <v>98.52</v>
      </c>
    </row>
    <row r="32">
      <c r="C32" s="2" t="inlineStr">
        <is>
          <t>pbr_now</t>
        </is>
      </c>
      <c r="D32" t="n">
        <v>3.19</v>
      </c>
    </row>
    <row r="33">
      <c r="C33" s="2" t="inlineStr">
        <is>
          <t>roe_fwd</t>
        </is>
      </c>
      <c r="D33" t="n">
        <v>0.0324</v>
      </c>
    </row>
    <row r="34">
      <c r="C34" s="2" t="inlineStr">
        <is>
          <t>fair_pbr</t>
        </is>
      </c>
      <c r="D34" t="n">
        <v>0.36</v>
      </c>
    </row>
    <row r="35">
      <c r="C35" s="2" t="inlineStr">
        <is>
          <t>fair_value_pbr</t>
        </is>
      </c>
      <c r="D35" t="n">
        <v>8600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