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BS연결!$C$5:$AO$118</definedName>
    <definedName name="BS별도H">BS별도!$C$1:$AO$1</definedName>
    <definedName name="BS별도">BS별도!$C$5:$AO$95</definedName>
    <definedName name="SUBQH">subQ!$A$1:$AO$1</definedName>
    <definedName name="subQ">subQ!$A$5:$AO$45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(1+-10.1%) — g=최근 4분기 합 YoY -10.1% 클립(−30~+50%), 연차별 절반 감쇠(가정)</t>
      </text>
    </comment>
    <comment ref="AD21" authorId="0" shapeId="0">
      <text>
        <t>모델값 역산(implied): v / 전년동기 − 1
전년동기 × (1+-10.1%) — g=최근 4분기 합 YoY -10.1% 클립(−30~+50%), 연차별 절반 감쇠(가정)</t>
      </text>
    </comment>
    <comment ref="AF21" authorId="0" shapeId="0">
      <text>
        <t>모델값 역산(implied): v / 전년동기 − 1
전년동기 × (1+-10.1%) — g=최근 4분기 합 YoY -10.1% 클립(−30~+50%), 연차별 절반 감쇠(가정)</t>
      </text>
    </comment>
    <comment ref="AG21" authorId="0" shapeId="0">
      <text>
        <t>모델값 역산(implied): v / 전년동기 − 1
전년동기 × (1+-10.1%) — g=최근 4분기 합 YoY -10.1% 클립(−30~+50%), 연차별 절반 감쇠(가정)</t>
      </text>
    </comment>
    <comment ref="AH21" authorId="0" shapeId="0">
      <text>
        <t>모델값 역산(implied): v / 전년동기 − 1
전년동기 × (1+-5.1%) — g=최근 4분기 합 YoY -10.1% 클립(−30~+50%), 연차별 절반 감쇠(가정)</t>
      </text>
    </comment>
    <comment ref="AI21" authorId="0" shapeId="0">
      <text>
        <t>모델값 역산(implied): v / 전년동기 − 1
전년동기 × (1+-5.1%) — g=최근 4분기 합 YoY -10.1% 클립(−30~+50%), 연차별 절반 감쇠(가정)</t>
      </text>
    </comment>
    <comment ref="AK21" authorId="0" shapeId="0">
      <text>
        <t>모델값 역산(implied): v / 전년동기 − 1
전년동기 × (1+-5.1%) — g=최근 4분기 합 YoY -10.1% 클립(−30~+50%), 연차별 절반 감쇠(가정)</t>
      </text>
    </comment>
    <comment ref="AL21" authorId="0" shapeId="0">
      <text>
        <t>모델값 역산(implied): v / 전년동기 − 1
전년동기 × (1+-5.1%) — g=최근 4분기 합 YoY -10.1% 클립(−30~+50%), 연차별 절반 감쇠(가정)</t>
      </text>
    </comment>
    <comment ref="AM21" authorId="0" shapeId="0">
      <text>
        <t>모델값 역산(implied): v / 전년동기 − 1
전년동기 × (1+-2.5%) — g=최근 4분기 합 YoY -10.1% 클립(−30~+50%), 연차별 절반 감쇠(가정)</t>
      </text>
    </comment>
    <comment ref="AN21" authorId="0" shapeId="0">
      <text>
        <t>모델값 역산(implied): v / 전년동기 − 1
전년동기 × (1+-2.5%) — g=최근 4분기 합 YoY -10.1% 클립(−30~+50%), 연차별 절반 감쇠(가정)</t>
      </text>
    </comment>
    <comment ref="AC22" authorId="0" shapeId="0">
      <text>
        <t>3절 스칼라 '판관비율' 참조 — 숫자로 덮어쓰면 이 분기만 바뀐다
매출액 × 판관비율 7.85%(최근 4분기 중위)</t>
      </text>
    </comment>
    <comment ref="AD22" authorId="0" shapeId="0">
      <text>
        <t>3절 스칼라 '판관비율' 참조 — 숫자로 덮어쓰면 이 분기만 바뀐다
매출액 × 판관비율 7.85%(최근 4분기 중위)</t>
      </text>
    </comment>
    <comment ref="AF22" authorId="0" shapeId="0">
      <text>
        <t>3절 스칼라 '판관비율' 참조 — 숫자로 덮어쓰면 이 분기만 바뀐다
매출액 × 판관비율 7.85%(최근 4분기 중위)</t>
      </text>
    </comment>
    <comment ref="AG22" authorId="0" shapeId="0">
      <text>
        <t>3절 스칼라 '판관비율' 참조 — 숫자로 덮어쓰면 이 분기만 바뀐다
매출액 × 판관비율 7.85%(최근 4분기 중위)</t>
      </text>
    </comment>
    <comment ref="AH22" authorId="0" shapeId="0">
      <text>
        <t>3절 스칼라 '판관비율' 참조 — 숫자로 덮어쓰면 이 분기만 바뀐다
매출액 × 판관비율 7.85%(최근 4분기 중위)</t>
      </text>
    </comment>
    <comment ref="AI22" authorId="0" shapeId="0">
      <text>
        <t>3절 스칼라 '판관비율' 참조 — 숫자로 덮어쓰면 이 분기만 바뀐다
매출액 × 판관비율 7.85%(최근 4분기 중위)</t>
      </text>
    </comment>
    <comment ref="AK22" authorId="0" shapeId="0">
      <text>
        <t>3절 스칼라 '판관비율' 참조 — 숫자로 덮어쓰면 이 분기만 바뀐다
매출액 × 판관비율 7.85%(최근 4분기 중위)</t>
      </text>
    </comment>
    <comment ref="AL22" authorId="0" shapeId="0">
      <text>
        <t>3절 스칼라 '판관비율' 참조 — 숫자로 덮어쓰면 이 분기만 바뀐다
매출액 × 판관비율 7.85%(최근 4분기 중위)</t>
      </text>
    </comment>
    <comment ref="AM22" authorId="0" shapeId="0">
      <text>
        <t>3절 스칼라 '판관비율' 참조 — 숫자로 덮어쓰면 이 분기만 바뀐다
매출액 × 판관비율 7.85%(최근 4분기 중위)</t>
      </text>
    </comment>
    <comment ref="AN22" authorId="0" shapeId="0">
      <text>
        <t>3절 스칼라 '판관비율' 참조 — 숫자로 덮어쓰면 이 분기만 바뀐다
매출액 × 판관비율 7.85%(최근 4분기 중위)</t>
      </text>
    </comment>
    <comment ref="AC23" authorId="0" shapeId="0">
      <text>
        <t>모델값 역산(implied): v / 매출액
매출액 × OPM(최근 8분기 OPM 중위 -1.8% 유지(클립 −20~40%))</t>
      </text>
    </comment>
    <comment ref="AD23" authorId="0" shapeId="0">
      <text>
        <t>모델값 역산(implied): v / 매출액
매출액 × OPM(최근 8분기 OPM 중위 -1.8% 유지(클립 −20~40%))</t>
      </text>
    </comment>
    <comment ref="AF23" authorId="0" shapeId="0">
      <text>
        <t>모델값 역산(implied): v / 매출액
매출액 × OPM(최근 8분기 OPM 중위 -1.8% 유지(클립 −20~40%))</t>
      </text>
    </comment>
    <comment ref="AG23" authorId="0" shapeId="0">
      <text>
        <t>모델값 역산(implied): v / 매출액
매출액 × OPM(최근 8분기 OPM 중위 -1.8% 유지(클립 −20~40%))</t>
      </text>
    </comment>
    <comment ref="AH23" authorId="0" shapeId="0">
      <text>
        <t>모델값 역산(implied): v / 매출액
매출액 × OPM(최근 8분기 OPM 중위 -1.8% 유지(클립 −20~40%))</t>
      </text>
    </comment>
    <comment ref="AI23" authorId="0" shapeId="0">
      <text>
        <t>모델값 역산(implied): v / 매출액
매출액 × OPM(최근 8분기 OPM 중위 -1.8% 유지(클립 −20~40%))</t>
      </text>
    </comment>
    <comment ref="AK23" authorId="0" shapeId="0">
      <text>
        <t>모델값 역산(implied): v / 매출액
매출액 × OPM(최근 8분기 OPM 중위 -1.8% 유지(클립 −20~40%))</t>
      </text>
    </comment>
    <comment ref="AL23" authorId="0" shapeId="0">
      <text>
        <t>모델값 역산(implied): v / 매출액
매출액 × OPM(최근 8분기 OPM 중위 -1.8% 유지(클립 −20~40%))</t>
      </text>
    </comment>
    <comment ref="AM23" authorId="0" shapeId="0">
      <text>
        <t>모델값 역산(implied): v / 매출액
매출액 × OPM(최근 8분기 OPM 중위 -1.8% 유지(클립 −20~40%))</t>
      </text>
    </comment>
    <comment ref="AN23" authorId="0" shapeId="0">
      <text>
        <t>모델값 역산(implied): v / 매출액
매출액 × OPM(최근 8분기 OPM 중위 -1.8%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1분기 &lt; 4 → 0</t>
      </text>
    </comment>
    <comment ref="AD26" authorId="0" shapeId="0">
      <text>
        <t>모델값 역산(implied): 모델 v 그대로
잔차 실측 1분기 &lt; 4 → 0</t>
      </text>
    </comment>
    <comment ref="AF26" authorId="0" shapeId="0">
      <text>
        <t>모델값 역산(implied): 모델 v 그대로
잔차 실측 1분기 &lt; 4 → 0</t>
      </text>
    </comment>
    <comment ref="AG26" authorId="0" shapeId="0">
      <text>
        <t>모델값 역산(implied): 모델 v 그대로
잔차 실측 1분기 &lt; 4 → 0</t>
      </text>
    </comment>
    <comment ref="AH26" authorId="0" shapeId="0">
      <text>
        <t>모델값 역산(implied): 모델 v 그대로
잔차 실측 1분기 &lt; 4 → 0</t>
      </text>
    </comment>
    <comment ref="AI26" authorId="0" shapeId="0">
      <text>
        <t>모델값 역산(implied): 모델 v 그대로
잔차 실측 1분기 &lt; 4 → 0</t>
      </text>
    </comment>
    <comment ref="AK26" authorId="0" shapeId="0">
      <text>
        <t>모델값 역산(implied): 모델 v 그대로
잔차 실측 1분기 &lt; 4 → 0</t>
      </text>
    </comment>
    <comment ref="AL26" authorId="0" shapeId="0">
      <text>
        <t>모델값 역산(implied): 모델 v 그대로
잔차 실측 1분기 &lt; 4 → 0</t>
      </text>
    </comment>
    <comment ref="AM26" authorId="0" shapeId="0">
      <text>
        <t>모델값 역산(implied): 모델 v 그대로
잔차 실측 1분기 &lt; 4 → 0</t>
      </text>
    </comment>
    <comment ref="AN26" authorId="0" shapeId="0">
      <text>
        <t>모델값 역산(implied): 모델 v 그대로
잔차 실측 1분기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D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F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G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H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I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K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L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M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N29" authorId="0" shapeId="0">
      <text>
        <t>모델값 역산(implied): v / 세전이익
max(세전, 0) × 세율 22.9%(최근 12분기 세전 합 ≤ 0 → 클립 대신 최근 8분기 중 세전 &gt; 0 인 2분기(2025Q1~2026Q2)의 법인세/세전 중위 22.9%)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전분기(시트값) + 당기순이익(시트 수식값) − v
전분기 + 당기순이익 − 배당(Q2 지급 가정)</t>
      </text>
    </comment>
    <comment ref="AD33" authorId="0" shapeId="0">
      <text>
        <t>모델값 역산(implied): 전분기(시트값) + 당기순이익(시트 수식값) − v
전분기 + 당기순이익 − 배당(Q2 지급 가정)</t>
      </text>
    </comment>
    <comment ref="AF33" authorId="0" shapeId="0">
      <text>
        <t>모델값 역산(implied): 전분기(시트값) + 당기순이익(시트 수식값) − v
전분기 + 당기순이익 − 배당(Q2 지급 가정)</t>
      </text>
    </comment>
    <comment ref="AG33" authorId="0" shapeId="0">
      <text>
        <t>모델값 역산(implied): 전분기(시트값) + 당기순이익(시트 수식값) − v
전분기 + 당기순이익 − 배당(Q2 지급 가정)</t>
      </text>
    </comment>
    <comment ref="AH33" authorId="0" shapeId="0">
      <text>
        <t>모델값 역산(implied): 전분기(시트값) + 당기순이익(시트 수식값) − v
전분기 + 당기순이익 − 배당(Q2 지급 가정)</t>
      </text>
    </comment>
    <comment ref="AI33" authorId="0" shapeId="0">
      <text>
        <t>모델값 역산(implied): 전분기(시트값) + 당기순이익(시트 수식값) − v
전분기 + 당기순이익 − 배당(Q2 지급 가정)</t>
      </text>
    </comment>
    <comment ref="AK33" authorId="0" shapeId="0">
      <text>
        <t>모델값 역산(implied): 전분기(시트값) + 당기순이익(시트 수식값) − v
전분기 + 당기순이익 − 배당(Q2 지급 가정)</t>
      </text>
    </comment>
    <comment ref="AL33" authorId="0" shapeId="0">
      <text>
        <t>모델값 역산(implied): 전분기(시트값) + 당기순이익(시트 수식값) − v
전분기 + 당기순이익 − 배당(Q2 지급 가정)</t>
      </text>
    </comment>
    <comment ref="AM33" authorId="0" shapeId="0">
      <text>
        <t>모델값 역산(implied): 전분기(시트값) + 당기순이익(시트 수식값) − v
전분기 + 당기순이익 − 배당(Q2 지급 가정)</t>
      </text>
    </comment>
    <comment ref="AN33" authorId="0" shapeId="0">
      <text>
        <t>모델값 역산(implied): 전분기(시트값) + 당기순이익(시트 수식값) − v
전분기 + 당기순이익 − 배당(Q2 지급 가정)</t>
      </text>
    </comment>
    <comment ref="AC34" authorId="0" shapeId="0">
      <text>
        <t>모델값 역산(implied): 전분기(시트값) + 지배주주순이익(시트 수식값) − v
전분기 + 지배주주순이익 − 배당</t>
      </text>
    </comment>
    <comment ref="AD34" authorId="0" shapeId="0">
      <text>
        <t>모델값 역산(implied): 전분기(시트값) + 지배주주순이익(시트 수식값) − v
전분기 + 지배주주순이익 − 배당</t>
      </text>
    </comment>
    <comment ref="AF34" authorId="0" shapeId="0">
      <text>
        <t>모델값 역산(implied): 전분기(시트값) + 지배주주순이익(시트 수식값) − v
전분기 + 지배주주순이익 − 배당</t>
      </text>
    </comment>
    <comment ref="AG34" authorId="0" shapeId="0">
      <text>
        <t>모델값 역산(implied): 전분기(시트값) + 지배주주순이익(시트 수식값) − v
전분기 + 지배주주순이익 − 배당</t>
      </text>
    </comment>
    <comment ref="AH34" authorId="0" shapeId="0">
      <text>
        <t>모델값 역산(implied): 전분기(시트값) + 지배주주순이익(시트 수식값) − v
전분기 + 지배주주순이익 − 배당</t>
      </text>
    </comment>
    <comment ref="AI34" authorId="0" shapeId="0">
      <text>
        <t>모델값 역산(implied): 전분기(시트값) + 지배주주순이익(시트 수식값) − v
전분기 + 지배주주순이익 − 배당</t>
      </text>
    </comment>
    <comment ref="AK34" authorId="0" shapeId="0">
      <text>
        <t>모델값 역산(implied): 전분기(시트값) + 지배주주순이익(시트 수식값) − v
전분기 + 지배주주순이익 − 배당</t>
      </text>
    </comment>
    <comment ref="AL34" authorId="0" shapeId="0">
      <text>
        <t>모델값 역산(implied): 전분기(시트값) + 지배주주순이익(시트 수식값) − v
전분기 + 지배주주순이익 − 배당</t>
      </text>
    </comment>
    <comment ref="AM34" authorId="0" shapeId="0">
      <text>
        <t>모델값 역산(implied): 전분기(시트값) + 지배주주순이익(시트 수식값) − v
전분기 + 지배주주순이익 − 배당</t>
      </text>
    </comment>
    <comment ref="AN34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마지막 실적 유지(가정)</t>
      </text>
    </comment>
    <comment ref="AD35" authorId="0" shapeId="0">
      <text>
        <t>모델값 역산(implied): v / 전분기 − 1
마지막 실적 유지(가정)</t>
      </text>
    </comment>
    <comment ref="AF35" authorId="0" shapeId="0">
      <text>
        <t>모델값 역산(implied): v / 전분기 − 1
마지막 실적 유지(가정)</t>
      </text>
    </comment>
    <comment ref="AG35" authorId="0" shapeId="0">
      <text>
        <t>모델값 역산(implied): v / 전분기 − 1
마지막 실적 유지(가정)</t>
      </text>
    </comment>
    <comment ref="AH35" authorId="0" shapeId="0">
      <text>
        <t>모델값 역산(implied): v / 전분기 − 1
마지막 실적 유지(가정)</t>
      </text>
    </comment>
    <comment ref="AI35" authorId="0" shapeId="0">
      <text>
        <t>모델값 역산(implied): v / 전분기 − 1
마지막 실적 유지(가정)</t>
      </text>
    </comment>
    <comment ref="AK35" authorId="0" shapeId="0">
      <text>
        <t>모델값 역산(implied): v / 전분기 − 1
마지막 실적 유지(가정)</t>
      </text>
    </comment>
    <comment ref="AL35" authorId="0" shapeId="0">
      <text>
        <t>모델값 역산(implied): v / 전분기 − 1
마지막 실적 유지(가정)</t>
      </text>
    </comment>
    <comment ref="AM35" authorId="0" shapeId="0">
      <text>
        <t>모델값 역산(implied): v / 전분기 − 1
마지막 실적 유지(가정)</t>
      </text>
    </comment>
    <comment ref="AN35" authorId="0" shapeId="0">
      <text>
        <t>모델값 역산(implied): v / 전분기 − 1
마지막 실적 유지(가정)</t>
      </text>
    </comment>
    <comment ref="AC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D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F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G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H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I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K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L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M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N36" authorId="0" shapeId="0">
      <text>
        <t>모델값 역산(implied): v / 전분기 − 1
전분기 − FCF 근사[순이익 − 배당(감가상각비 없음 → CAPEX≈감가 가정, CAPEX 중위 18억은 행에만)] (운전자본 불변·총차입금 유지 가정 → 변동은 전부 현금)</t>
      </text>
    </comment>
    <comment ref="AC37" authorId="0" shapeId="0">
      <text>
        <t>모델값 역산(implied): v / 전분기 − 1
전분기 + FCF 근사 — 순차입금 롤과 같은 가정</t>
      </text>
    </comment>
    <comment ref="AD37" authorId="0" shapeId="0">
      <text>
        <t>모델값 역산(implied): v / 전분기 − 1
전분기 + FCF 근사 — 순차입금 롤과 같은 가정</t>
      </text>
    </comment>
    <comment ref="AF37" authorId="0" shapeId="0">
      <text>
        <t>모델값 역산(implied): v / 전분기 − 1
전분기 + FCF 근사 — 순차입금 롤과 같은 가정</t>
      </text>
    </comment>
    <comment ref="AG37" authorId="0" shapeId="0">
      <text>
        <t>모델값 역산(implied): v / 전분기 − 1
전분기 + FCF 근사 — 순차입금 롤과 같은 가정</t>
      </text>
    </comment>
    <comment ref="AH37" authorId="0" shapeId="0">
      <text>
        <t>모델값 역산(implied): v / 전분기 − 1
전분기 + FCF 근사 — 순차입금 롤과 같은 가정</t>
      </text>
    </comment>
    <comment ref="AI37" authorId="0" shapeId="0">
      <text>
        <t>모델값 역산(implied): v / 전분기 − 1
전분기 + FCF 근사 — 순차입금 롤과 같은 가정</t>
      </text>
    </comment>
    <comment ref="AK37" authorId="0" shapeId="0">
      <text>
        <t>모델값 역산(implied): v / 전분기 − 1
전분기 + FCF 근사 — 순차입금 롤과 같은 가정</t>
      </text>
    </comment>
    <comment ref="AL37" authorId="0" shapeId="0">
      <text>
        <t>모델값 역산(implied): v / 전분기 − 1
전분기 + FCF 근사 — 순차입금 롤과 같은 가정</t>
      </text>
    </comment>
    <comment ref="AM37" authorId="0" shapeId="0">
      <text>
        <t>모델값 역산(implied): v / 전분기 − 1
전분기 + FCF 근사 — 순차입금 롤과 같은 가정</t>
      </text>
    </comment>
    <comment ref="AN37" authorId="0" shapeId="0">
      <text>
        <t>모델값 역산(implied): v / 전분기 − 1
전분기 + FCF 근사 — 순차입금 롤과 같은 가정</t>
      </text>
    </comment>
    <comment ref="AC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1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v / 전분기 − 1
유통주식수 유지 — fin.shares.common_outstanding(2026Q2)</t>
      </text>
    </comment>
    <comment ref="AF41" authorId="0" shapeId="0">
      <text>
        <t>모델값 역산(implied): v / 전분기 − 1
유통주식수 유지 — fin.shares.common_outstanding(2026Q2)</t>
      </text>
    </comment>
    <comment ref="AG41" authorId="0" shapeId="0">
      <text>
        <t>모델값 역산(implied): v / 전분기 − 1
유통주식수 유지 — fin.shares.common_outstanding(2026Q2)</t>
      </text>
    </comment>
    <comment ref="AH41" authorId="0" shapeId="0">
      <text>
        <t>모델값 역산(implied): v / 전분기 − 1
유통주식수 유지 — fin.shares.common_outstanding(2026Q2)</t>
      </text>
    </comment>
    <comment ref="AI41" authorId="0" shapeId="0">
      <text>
        <t>모델값 역산(implied): v / 전분기 − 1
유통주식수 유지 — fin.shares.common_outstanding(2026Q2)</t>
      </text>
    </comment>
    <comment ref="AK41" authorId="0" shapeId="0">
      <text>
        <t>모델값 역산(implied): v / 전분기 − 1
유통주식수 유지 — fin.shares.common_outstanding(2026Q2)</t>
      </text>
    </comment>
    <comment ref="AL41" authorId="0" shapeId="0">
      <text>
        <t>모델값 역산(implied): v / 전분기 − 1
유통주식수 유지 — fin.shares.common_outstanding(2026Q2)</t>
      </text>
    </comment>
    <comment ref="AM41" authorId="0" shapeId="0">
      <text>
        <t>모델값 역산(implied): v / 전분기 − 1
유통주식수 유지 — fin.shares.common_outstanding(2026Q2)</t>
      </text>
    </comment>
    <comment ref="AN41" authorId="0" shapeId="0">
      <text>
        <t>모델값 역산(implied): v / 전분기 − 1
유통주식수 유지 — fin.shares.common_outstanding(2026Q2)</t>
      </text>
    </comment>
    <comment ref="AD42" authorId="0" shapeId="0">
      <text>
        <t>모델값 역산(implied): 모델 v 그대로
직전 결산 DPS 0원 유지</t>
      </text>
    </comment>
    <comment ref="AI42" authorId="0" shapeId="0">
      <text>
        <t>모델값 역산(implied): 모델 v 그대로
직전 결산 DPS 0원 유지</t>
      </text>
    </comment>
    <comment ref="AN42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(1+-10.1%) — g=최근 4분기 합 YoY -10.1% 클립(−30~+50%), 연차별 절반 감쇠(가정)
[yoy]</t>
      </text>
    </comment>
    <comment ref="AD5" authorId="0" shapeId="0">
      <text>
        <t>추정: 전년동기 × (1+-10.1%) — g=최근 4분기 합 YoY -10.1% 클립(−30~+50%), 연차별 절반 감쇠(가정)
[yoy]</t>
      </text>
    </comment>
    <comment ref="AF5" authorId="0" shapeId="0">
      <text>
        <t>추정: 전년동기 × (1+-10.1%) — g=최근 4분기 합 YoY -10.1% 클립(−30~+50%), 연차별 절반 감쇠(가정)
[yoy]</t>
      </text>
    </comment>
    <comment ref="AG5" authorId="0" shapeId="0">
      <text>
        <t>추정: 전년동기 × (1+-10.1%) — g=최근 4분기 합 YoY -10.1% 클립(−30~+50%), 연차별 절반 감쇠(가정)
[yoy]</t>
      </text>
    </comment>
    <comment ref="AH5" authorId="0" shapeId="0">
      <text>
        <t>추정: 전년동기 × (1+-5.1%) — g=최근 4분기 합 YoY -10.1% 클립(−30~+50%), 연차별 절반 감쇠(가정)
[yoy]</t>
      </text>
    </comment>
    <comment ref="AI5" authorId="0" shapeId="0">
      <text>
        <t>추정: 전년동기 × (1+-5.1%) — g=최근 4분기 합 YoY -10.1% 클립(−30~+50%), 연차별 절반 감쇠(가정)
[yoy]</t>
      </text>
    </comment>
    <comment ref="AK5" authorId="0" shapeId="0">
      <text>
        <t>추정: 전년동기 × (1+-5.1%) — g=최근 4분기 합 YoY -10.1% 클립(−30~+50%), 연차별 절반 감쇠(가정)
[yoy]</t>
      </text>
    </comment>
    <comment ref="AL5" authorId="0" shapeId="0">
      <text>
        <t>추정: 전년동기 × (1+-5.1%) — g=최근 4분기 합 YoY -10.1% 클립(−30~+50%), 연차별 절반 감쇠(가정)
[yoy]</t>
      </text>
    </comment>
    <comment ref="AM5" authorId="0" shapeId="0">
      <text>
        <t>추정: 전년동기 × (1+-2.5%) — g=최근 4분기 합 YoY -10.1% 클립(−30~+50%), 연차별 절반 감쇠(가정)
[yoy]</t>
      </text>
    </comment>
    <comment ref="AN5" authorId="0" shapeId="0">
      <text>
        <t>추정: 전년동기 × (1+-2.5%) — g=최근 4분기 합 YoY -10.1%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7.85%(최근 4분기 중위)
[ratio]</t>
      </text>
    </comment>
    <comment ref="AD8" authorId="0" shapeId="0">
      <text>
        <t>추정: 매출액 × 판관비율 7.85%(최근 4분기 중위)
[ratio]</t>
      </text>
    </comment>
    <comment ref="AF8" authorId="0" shapeId="0">
      <text>
        <t>추정: 매출액 × 판관비율 7.85%(최근 4분기 중위)
[ratio]</t>
      </text>
    </comment>
    <comment ref="AG8" authorId="0" shapeId="0">
      <text>
        <t>추정: 매출액 × 판관비율 7.85%(최근 4분기 중위)
[ratio]</t>
      </text>
    </comment>
    <comment ref="AH8" authorId="0" shapeId="0">
      <text>
        <t>추정: 매출액 × 판관비율 7.85%(최근 4분기 중위)
[ratio]</t>
      </text>
    </comment>
    <comment ref="AI8" authorId="0" shapeId="0">
      <text>
        <t>추정: 매출액 × 판관비율 7.85%(최근 4분기 중위)
[ratio]</t>
      </text>
    </comment>
    <comment ref="AK8" authorId="0" shapeId="0">
      <text>
        <t>추정: 매출액 × 판관비율 7.85%(최근 4분기 중위)
[ratio]</t>
      </text>
    </comment>
    <comment ref="AL8" authorId="0" shapeId="0">
      <text>
        <t>추정: 매출액 × 판관비율 7.85%(최근 4분기 중위)
[ratio]</t>
      </text>
    </comment>
    <comment ref="AM8" authorId="0" shapeId="0">
      <text>
        <t>추정: 매출액 × 판관비율 7.85%(최근 4분기 중위)
[ratio]</t>
      </text>
    </comment>
    <comment ref="AN8" authorId="0" shapeId="0">
      <text>
        <t>추정: 매출액 × 판관비율 7.85%(최근 4분기 중위)
[ratio]</t>
      </text>
    </comment>
    <comment ref="AC9" authorId="0" shapeId="0">
      <text>
        <t>추정: 매출액 × OPM(최근 8분기 OPM 중위 -1.8% 유지(클립 −20~40%))
[ratio]</t>
      </text>
    </comment>
    <comment ref="AD9" authorId="0" shapeId="0">
      <text>
        <t>추정: 매출액 × OPM(최근 8분기 OPM 중위 -1.8% 유지(클립 −20~40%))
[ratio]</t>
      </text>
    </comment>
    <comment ref="AF9" authorId="0" shapeId="0">
      <text>
        <t>추정: 매출액 × OPM(최근 8분기 OPM 중위 -1.8% 유지(클립 −20~40%))
[ratio]</t>
      </text>
    </comment>
    <comment ref="AG9" authorId="0" shapeId="0">
      <text>
        <t>추정: 매출액 × OPM(최근 8분기 OPM 중위 -1.8% 유지(클립 −20~40%))
[ratio]</t>
      </text>
    </comment>
    <comment ref="AH9" authorId="0" shapeId="0">
      <text>
        <t>추정: 매출액 × OPM(최근 8분기 OPM 중위 -1.8% 유지(클립 −20~40%))
[ratio]</t>
      </text>
    </comment>
    <comment ref="AI9" authorId="0" shapeId="0">
      <text>
        <t>추정: 매출액 × OPM(최근 8분기 OPM 중위 -1.8% 유지(클립 −20~40%))
[ratio]</t>
      </text>
    </comment>
    <comment ref="AK9" authorId="0" shapeId="0">
      <text>
        <t>추정: 매출액 × OPM(최근 8분기 OPM 중위 -1.8% 유지(클립 −20~40%))
[ratio]</t>
      </text>
    </comment>
    <comment ref="AL9" authorId="0" shapeId="0">
      <text>
        <t>추정: 매출액 × OPM(최근 8분기 OPM 중위 -1.8% 유지(클립 −20~40%))
[ratio]</t>
      </text>
    </comment>
    <comment ref="AM9" authorId="0" shapeId="0">
      <text>
        <t>추정: 매출액 × OPM(최근 8분기 OPM 중위 -1.8% 유지(클립 −20~40%))
[ratio]</t>
      </text>
    </comment>
    <comment ref="AN9" authorId="0" shapeId="0">
      <text>
        <t>추정: 매출액 × OPM(최근 8분기 OPM 중위 -1.8% 유지(클립 −20~40%))
[ratio]</t>
      </text>
    </comment>
    <comment ref="AC10" authorId="0" shapeId="0">
      <text>
        <t>추정: 최근 8분기 OPM 중위 -1.8% 유지(클립 −20~40%)
[divide]</t>
      </text>
    </comment>
    <comment ref="AD10" authorId="0" shapeId="0">
      <text>
        <t>추정: 최근 8분기 OPM 중위 -1.8% 유지(클립 −20~40%)
[divide]</t>
      </text>
    </comment>
    <comment ref="AF10" authorId="0" shapeId="0">
      <text>
        <t>추정: 최근 8분기 OPM 중위 -1.8% 유지(클립 −20~40%)
[divide]</t>
      </text>
    </comment>
    <comment ref="AG10" authorId="0" shapeId="0">
      <text>
        <t>추정: 최근 8분기 OPM 중위 -1.8% 유지(클립 −20~40%)
[divide]</t>
      </text>
    </comment>
    <comment ref="AH10" authorId="0" shapeId="0">
      <text>
        <t>추정: 최근 8분기 OPM 중위 -1.8% 유지(클립 −20~40%)
[divide]</t>
      </text>
    </comment>
    <comment ref="AI10" authorId="0" shapeId="0">
      <text>
        <t>추정: 최근 8분기 OPM 중위 -1.8% 유지(클립 −20~40%)
[divide]</t>
      </text>
    </comment>
    <comment ref="AK10" authorId="0" shapeId="0">
      <text>
        <t>추정: 최근 8분기 OPM 중위 -1.8% 유지(클립 −20~40%)
[divide]</t>
      </text>
    </comment>
    <comment ref="AL10" authorId="0" shapeId="0">
      <text>
        <t>추정: 최근 8분기 OPM 중위 -1.8% 유지(클립 −20~40%)
[divide]</t>
      </text>
    </comment>
    <comment ref="AM10" authorId="0" shapeId="0">
      <text>
        <t>추정: 최근 8분기 OPM 중위 -1.8% 유지(클립 −20~40%)
[divide]</t>
      </text>
    </comment>
    <comment ref="AN10" authorId="0" shapeId="0">
      <text>
        <t>추정: 최근 8분기 OPM 중위 -1.8% 유지(클립 −20~40%)
[divide]</t>
      </text>
    </comment>
    <comment ref="AC11" authorId="0" shapeId="0">
      <text>
        <t>추정: 이자손익 + 외환손익 0 + 파생상품손익 0 + 기타금융손익 +0.00억(잔차 실측 1분기 &lt; 4 → 0) (항등식); 이자손익 = 이자발생자산 94억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1분기 &lt; 4 → 0) (항등식); 이자손익 = 이자발생자산 61억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1분기 &lt; 4 → 0) (항등식); 이자손익 = 이자발생자산 28억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1분기 &lt; 4 → 0) (항등식); 이자손익 = 이자발생자산 -5억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1분기 &lt; 4 → 0) (항등식); 이자손익 = 이자발생자산 -40억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1분기 &lt; 4 → 0) (항등식); 이자손익 = 이자발생자산 -76억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1분기 &lt; 4 → 0) (항등식); 이자손익 = 이자발생자산 -111억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1분기 &lt; 4 → 0) (항등식); 이자손익 = 이자발생자산 -146억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1분기 &lt; 4 → 0) (항등식); 이자손익 = 이자발생자산 -184억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1분기 &lt; 4 → 0) (항등식); 이자손익 = 이자발생자산 -223억 × 9.30%(CF 이자수취 ÷ 평균 이자발생자산(2025Q3~2026Q2; 주석 이자수익 1분기 &lt; 4)) − 총차입금 1234억 × 5.70%(CF 이자지급 ÷ 평균 총차입금(2025Q3~2026Q2; 주석 이자비용 1분기 &lt; 4)) (연율) ÷ 4; 환율 효과는 환관련손익 행 별도
[identity]</t>
      </text>
    </comment>
    <comment ref="AC12" authorId="0" shapeId="0">
      <text>
        <t>추정: 이자발생자산 94억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D12" authorId="0" shapeId="0">
      <text>
        <t>추정: 이자발생자산 61억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F12" authorId="0" shapeId="0">
      <text>
        <t>추정: 이자발생자산 28억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G12" authorId="0" shapeId="0">
      <text>
        <t>추정: 이자발생자산 -5억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H12" authorId="0" shapeId="0">
      <text>
        <t>추정: 이자발생자산 -40억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I12" authorId="0" shapeId="0">
      <text>
        <t>추정: 이자발생자산 -76억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K12" authorId="0" shapeId="0">
      <text>
        <t>추정: 이자발생자산 -111억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L12" authorId="0" shapeId="0">
      <text>
        <t>추정: 이자발생자산 -146억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M12" authorId="0" shapeId="0">
      <text>
        <t>추정: 이자발생자산 -184억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AN12" authorId="0" shapeId="0">
      <text>
        <t>추정: 이자발생자산 -223억 × 9.30%(CF 이자수취 ÷ 평균 이자발생자산(2025Q3~2026Q2; 주석 이자수익 1분기 &lt; 4)) − 총차입금 1234억 × 5.70%(CF 이자지급 ÷ 평균 총차입금(2025Q3~2026Q2; 주석 이자비용 1분기 &lt; 4))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1분기 &lt; 4 → 0
[abs]</t>
      </text>
    </comment>
    <comment ref="AD15" authorId="0" shapeId="0">
      <text>
        <t>추정: 잔차 실측 1분기 &lt; 4 → 0
[abs]</t>
      </text>
    </comment>
    <comment ref="AF15" authorId="0" shapeId="0">
      <text>
        <t>추정: 잔차 실측 1분기 &lt; 4 → 0
[abs]</t>
      </text>
    </comment>
    <comment ref="AG15" authorId="0" shapeId="0">
      <text>
        <t>추정: 잔차 실측 1분기 &lt; 4 → 0
[abs]</t>
      </text>
    </comment>
    <comment ref="AH15" authorId="0" shapeId="0">
      <text>
        <t>추정: 잔차 실측 1분기 &lt; 4 → 0
[abs]</t>
      </text>
    </comment>
    <comment ref="AI15" authorId="0" shapeId="0">
      <text>
        <t>추정: 잔차 실측 1분기 &lt; 4 → 0
[abs]</t>
      </text>
    </comment>
    <comment ref="AK15" authorId="0" shapeId="0">
      <text>
        <t>추정: 잔차 실측 1분기 &lt; 4 → 0
[abs]</t>
      </text>
    </comment>
    <comment ref="AL15" authorId="0" shapeId="0">
      <text>
        <t>추정: 잔차 실측 1분기 &lt; 4 → 0
[abs]</t>
      </text>
    </comment>
    <comment ref="AM15" authorId="0" shapeId="0">
      <text>
        <t>추정: 잔차 실측 1분기 &lt; 4 → 0
[abs]</t>
      </text>
    </comment>
    <comment ref="AN15" authorId="0" shapeId="0">
      <text>
        <t>추정: 잔차 실측 1분기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D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F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G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H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I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K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L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M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N19" authorId="0" shapeId="0">
      <text>
        <t>추정: max(세전, 0) × 세율 22.9%(최근 12분기 세전 합 ≤ 0 → 클립 대신 최근 8분기 중 세전 &gt; 0 인 2분기(2025Q1~2026Q2)의 법인세/세전 중위 22.9%)
[ratio]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D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F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G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H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I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K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L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M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N28" authorId="0" shapeId="0">
      <text>
        <t>추정: 전분기 − FCF 근사[순이익 − 배당(감가상각비 없음 → CAPEX≈감가 가정, CAPEX 중위 18억은 행에만)]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미반영(감가상각비 없음 → CAPEX≈감가 가정)
[yoy]</t>
      </text>
    </comment>
    <comment ref="AD31" authorId="0" shapeId="0">
      <text>
        <t>추정: 최근 4분기(2025Q3~2026Q2) CAPEX 중위 유지 — 순차입금 롤에 미반영(감가상각비 없음 → CAPEX≈감가 가정)
[yoy]</t>
      </text>
    </comment>
    <comment ref="AF31" authorId="0" shapeId="0">
      <text>
        <t>추정: 최근 4분기(2025Q3~2026Q2) CAPEX 중위 유지 — 순차입금 롤에 미반영(감가상각비 없음 → CAPEX≈감가 가정)
[yoy]</t>
      </text>
    </comment>
    <comment ref="AG31" authorId="0" shapeId="0">
      <text>
        <t>추정: 최근 4분기(2025Q3~2026Q2) CAPEX 중위 유지 — 순차입금 롤에 미반영(감가상각비 없음 → CAPEX≈감가 가정)
[yoy]</t>
      </text>
    </comment>
    <comment ref="AH31" authorId="0" shapeId="0">
      <text>
        <t>추정: 최근 4분기(2025Q3~2026Q2) CAPEX 중위 유지 — 순차입금 롤에 미반영(감가상각비 없음 → CAPEX≈감가 가정)
[yoy]</t>
      </text>
    </comment>
    <comment ref="AI31" authorId="0" shapeId="0">
      <text>
        <t>추정: 최근 4분기(2025Q3~2026Q2) CAPEX 중위 유지 — 순차입금 롤에 미반영(감가상각비 없음 → CAPEX≈감가 가정)
[yoy]</t>
      </text>
    </comment>
    <comment ref="AK31" authorId="0" shapeId="0">
      <text>
        <t>추정: 최근 4분기(2025Q3~2026Q2) CAPEX 중위 유지 — 순차입금 롤에 미반영(감가상각비 없음 → CAPEX≈감가 가정)
[yoy]</t>
      </text>
    </comment>
    <comment ref="AL31" authorId="0" shapeId="0">
      <text>
        <t>추정: 최근 4분기(2025Q3~2026Q2) CAPEX 중위 유지 — 순차입금 롤에 미반영(감가상각비 없음 → CAPEX≈감가 가정)
[yoy]</t>
      </text>
    </comment>
    <comment ref="AM31" authorId="0" shapeId="0">
      <text>
        <t>추정: 최근 4분기(2025Q3~2026Q2) CAPEX 중위 유지 — 순차입금 롤에 미반영(감가상각비 없음 → CAPEX≈감가 가정)
[yoy]</t>
      </text>
    </comment>
    <comment ref="AN31" authorId="0" shapeId="0">
      <text>
        <t>추정: 최근 4분기(2025Q3~2026Q2) CAPEX 중위 유지 — 순차입금 롤에 미반영(감가상각비 없음 → CAPEX≈감가 가정)
[yoy]</t>
      </text>
    </comment>
    <comment ref="E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G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H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I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J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L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M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N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O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Q33" authorId="0" shapeId="0">
      <text>
        <t>추정(실적 구간 갭필): fin.shares.common_outstanding 69,501,846주 × 1/5(환산 — 2026Q2 1/5 수동(복합 사건); IAS 33.64 비교표시·수정주가 이력과 정합)</t>
      </text>
    </comment>
    <comment ref="R33" authorId="0" shapeId="0">
      <text>
        <t>추정(실적 구간 갭필): fin.shares.common_outstanding 68,170,303주 × 1/5(환산 — 2026Q2 1/5 수동(복합 사건); IAS 33.64 비교표시·수정주가 이력과 정합)</t>
      </text>
    </comment>
    <comment ref="S33" authorId="0" shapeId="0">
      <text>
        <t>추정(실적 구간 갭필): fin.shares.common_outstanding 68,170,303주 × 1/5(환산 — 2026Q2 1/5 수동(복합 사건); IAS 33.64 비교표시·수정주가 이력과 정합)</t>
      </text>
    </comment>
    <comment ref="T33" authorId="0" shapeId="0">
      <text>
        <t>추정(실적 구간 갭필): fin.shares.common_outstanding 68,170,303주 × 1/5(환산 — 2026Q2 1/5 수동(복합 사건); IAS 33.64 비교표시·수정주가 이력과 정합)</t>
      </text>
    </comment>
    <comment ref="V33" authorId="0" shapeId="0">
      <text>
        <t>추정(실적 구간 갭필): fin.shares.common_outstanding 68,170,303주 × 1/5(환산 — 2026Q2 1/5 수동(복합 사건); IAS 33.64 비교표시·수정주가 이력과 정합)</t>
      </text>
    </comment>
    <comment ref="W33" authorId="0" shapeId="0">
      <text>
        <t>추정(실적 구간 갭필): fin.shares.common_outstanding 68,170,303주 × 1/5(환산 — 2026Q2 1/5 수동(복합 사건); IAS 33.64 비교표시·수정주가 이력과 정합)</t>
      </text>
    </comment>
    <comment ref="X33" authorId="0" shapeId="0">
      <text>
        <t>추정(실적 구간 갭필): fin.shares.common_outstanding 68,170,303주 × 1/5(환산 — 2026Q2 1/5 수동(복합 사건); IAS 33.64 비교표시·수정주가 이력과 정합)</t>
      </text>
    </comment>
    <comment ref="Y33" authorId="0" shapeId="0">
      <text>
        <t>추정(실적 구간 갭필): fin.shares.common_outstanding 68,103,517주 × 1/5(환산 — 2026Q2 1/5 수동(복합 사건); IAS 33.64 비교표시·수정주가 이력과 정합)</t>
      </text>
    </comment>
    <comment ref="AA33" authorId="0" shapeId="0">
      <text>
        <t>추정(실적 구간 갭필): fin.shares.common_outstanding 68,103,517주 × 1/5(환산 — 2026Q2 1/5 수동(복합 사건); IAS 33.64 비교표시·수정주가 이력과 정합)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Y35" authorId="0" shapeId="0">
      <text>
        <t>조정EPS 산식(모델 추정, 일회성 여부·세효과 주석 미확인): 지배NI − 초과 비영업손익 -204억 × (1 − 세율 22.9% [모델 세율(분기 유효세율이 0~35% 밖·세전 ≤ 0)]) × 지배 비중 0.9315 [그 분기 지배NI/NI] = 30억 ÷ 유통주식수 · 초과 = 비영업손익 -237억 − 12분기 기준선 -33억 · 보고 EPS -851원(EPS 행 불변) · 상수 -156.9·0.9315 는 모델 one_offs_detected 값(세전·법인세 셀을 바꿔도 재계산되지 않음)</t>
      </text>
    </comment>
    <comment ref="AC35" authorId="0" shapeId="0">
      <text>
        <t>추정: = EPS(추정 구간은 일회성 미가정)
[identity]</t>
      </text>
    </comment>
    <comment ref="AD35" authorId="0" shapeId="0">
      <text>
        <t>추정: = EPS(추정 구간은 일회성 미가정)
[identity]</t>
      </text>
    </comment>
    <comment ref="AF35" authorId="0" shapeId="0">
      <text>
        <t>추정: = EPS(추정 구간은 일회성 미가정)
[identity]</t>
      </text>
    </comment>
    <comment ref="AG35" authorId="0" shapeId="0">
      <text>
        <t>추정: = EPS(추정 구간은 일회성 미가정)
[identity]</t>
      </text>
    </comment>
    <comment ref="AH35" authorId="0" shapeId="0">
      <text>
        <t>추정: = EPS(추정 구간은 일회성 미가정)
[identity]</t>
      </text>
    </comment>
    <comment ref="AI35" authorId="0" shapeId="0">
      <text>
        <t>추정: = EPS(추정 구간은 일회성 미가정)
[identity]</t>
      </text>
    </comment>
    <comment ref="AK35" authorId="0" shapeId="0">
      <text>
        <t>추정: = EPS(추정 구간은 일회성 미가정)
[identity]</t>
      </text>
    </comment>
    <comment ref="AL35" authorId="0" shapeId="0">
      <text>
        <t>추정: = EPS(추정 구간은 일회성 미가정)
[identity]</t>
      </text>
    </comment>
    <comment ref="AM35" authorId="0" shapeId="0">
      <text>
        <t>추정: = EPS(추정 구간은 일회성 미가정)
[identity]</t>
      </text>
    </comment>
    <comment ref="AN35" authorId="0" shapeId="0">
      <text>
        <t>추정: = EPS(추정 구간은 일회성 미가정)
[identity]</t>
      </text>
    </comment>
    <comment ref="AC36" authorId="0" shapeId="0">
      <text>
        <t>추정: 지배주주지분 ÷ 유통주식수
[per_share]</t>
      </text>
    </comment>
    <comment ref="AD36" authorId="0" shapeId="0">
      <text>
        <t>추정: 지배주주지분 ÷ 유통주식수
[per_share]</t>
      </text>
    </comment>
    <comment ref="AF36" authorId="0" shapeId="0">
      <text>
        <t>추정: 지배주주지분 ÷ 유통주식수
[per_share]</t>
      </text>
    </comment>
    <comment ref="AG36" authorId="0" shapeId="0">
      <text>
        <t>추정: 지배주주지분 ÷ 유통주식수
[per_share]</t>
      </text>
    </comment>
    <comment ref="AH36" authorId="0" shapeId="0">
      <text>
        <t>추정: 지배주주지분 ÷ 유통주식수
[per_share]</t>
      </text>
    </comment>
    <comment ref="AI36" authorId="0" shapeId="0">
      <text>
        <t>추정: 지배주주지분 ÷ 유통주식수
[per_share]</t>
      </text>
    </comment>
    <comment ref="AK36" authorId="0" shapeId="0">
      <text>
        <t>추정: 지배주주지분 ÷ 유통주식수
[per_share]</t>
      </text>
    </comment>
    <comment ref="AL36" authorId="0" shapeId="0">
      <text>
        <t>추정: 지배주주지분 ÷ 유통주식수
[per_share]</t>
      </text>
    </comment>
    <comment ref="AM36" authorId="0" shapeId="0">
      <text>
        <t>추정: 지배주주지분 ÷ 유통주식수
[per_share]</t>
      </text>
    </comment>
    <comment ref="AN36" authorId="0" shapeId="0">
      <text>
        <t>추정: 지배주주지분 ÷ 유통주식수
[per_share]</t>
      </text>
    </comment>
    <comment ref="E37" authorId="0" shapeId="0">
      <text>
        <t>실측(계정 매핑 없음(파생·부문·시세 행) — 모델값 직접) — fin.dividend.dps_common(연간, Q4 에 표기)</t>
      </text>
    </comment>
    <comment ref="F37" authorId="0" shapeId="0">
      <text>
        <t>연간(actual) — 분기 미완 연도, 모델 a 값 직접</t>
      </text>
    </comment>
    <comment ref="J37" authorId="0" shapeId="0">
      <text>
        <t>실측(계정 매핑 없음(파생·부문·시세 행) — 모델값 직접) — fin.dividend.dps_common(연간, Q4 에 표기)</t>
      </text>
    </comment>
    <comment ref="O37" authorId="0" shapeId="0">
      <text>
        <t>실측(계정 매핑 없음(파생·부문·시세 행) — 모델값 직접) — fin.dividend.dps_common(연간, Q4 에 표기)</t>
      </text>
    </comment>
    <comment ref="T37" authorId="0" shapeId="0">
      <text>
        <t>실측(계정 매핑 없음(파생·부문·시세 행) — 모델값 직접) — fin.dividend.dps_common(연간, Q4 에 표기)</t>
      </text>
    </comment>
    <comment ref="Y37" authorId="0" shapeId="0">
      <text>
        <t>실측(계정 매핑 없음(파생·부문·시세 행) — 모델값 직접) — fin.dividend.dps_common(연간, Q4 에 표기)</t>
      </text>
    </comment>
    <comment ref="AD37" authorId="0" shapeId="0">
      <text>
        <t>추정: 직전 결산 DPS 0원 유지
[abs]</t>
      </text>
    </comment>
    <comment ref="AI37" authorId="0" shapeId="0">
      <text>
        <t>추정: 직전 결산 DPS 0원 유지
[abs]</t>
      </text>
    </comment>
    <comment ref="AN37" authorId="0" shapeId="0">
      <text>
        <t>추정: 직전 결산 DPS 0원 유지
[abs]</t>
      </text>
    </comment>
    <comment ref="AC39" authorId="0" shapeId="0">
      <text>
        <t>추정: 현재 종가 ÷ BPS(추정 포함)
[valuation]</t>
      </text>
    </comment>
    <comment ref="AD39" authorId="0" shapeId="0">
      <text>
        <t>추정: 현재 종가 ÷ BPS(추정 포함)
[valuation]</t>
      </text>
    </comment>
    <comment ref="AF39" authorId="0" shapeId="0">
      <text>
        <t>추정: 현재 종가 ÷ BPS(추정 포함)
[valuation]</t>
      </text>
    </comment>
    <comment ref="AG39" authorId="0" shapeId="0">
      <text>
        <t>추정: 현재 종가 ÷ BPS(추정 포함)
[valuation]</t>
      </text>
    </comment>
    <comment ref="AH39" authorId="0" shapeId="0">
      <text>
        <t>추정: 현재 종가 ÷ BPS(추정 포함)
[valuation]</t>
      </text>
    </comment>
    <comment ref="AI39" authorId="0" shapeId="0">
      <text>
        <t>추정: 현재 종가 ÷ BPS(추정 포함)
[valuation]</t>
      </text>
    </comment>
    <comment ref="AK39" authorId="0" shapeId="0">
      <text>
        <t>추정: 현재 종가 ÷ BPS(추정 포함)
[valuation]</t>
      </text>
    </comment>
    <comment ref="AL39" authorId="0" shapeId="0">
      <text>
        <t>추정: 현재 종가 ÷ BPS(추정 포함)
[valuation]</t>
      </text>
    </comment>
    <comment ref="AM39" authorId="0" shapeId="0">
      <text>
        <t>추정: 현재 종가 ÷ BPS(추정 포함)
[valuation]</t>
      </text>
    </comment>
    <comment ref="AN39" authorId="0" shapeId="0">
      <text>
        <t>추정: 현재 종가 ÷ BPS(추정 포함)
[valuation]</t>
      </text>
    </comment>
    <comment ref="E40" authorId="0" shapeId="0">
      <text>
        <t>실측(계정 매핑 없음(파생·부문·시세 행) — 모델값 직접) — = 매출액(부문 미분리)</t>
      </text>
    </comment>
    <comment ref="G40" authorId="0" shapeId="0">
      <text>
        <t>실측(계정 매핑 없음(파생·부문·시세 행) — 모델값 직접) — = 매출액(부문 미분리)</t>
      </text>
    </comment>
    <comment ref="H40" authorId="0" shapeId="0">
      <text>
        <t>실측(계정 매핑 없음(파생·부문·시세 행) — 모델값 직접) — = 매출액(부문 미분리)</t>
      </text>
    </comment>
    <comment ref="I40" authorId="0" shapeId="0">
      <text>
        <t>실측(계정 매핑 없음(파생·부문·시세 행) — 모델값 직접) — = 매출액(부문 미분리)</t>
      </text>
    </comment>
    <comment ref="J40" authorId="0" shapeId="0">
      <text>
        <t>실측(계정 매핑 없음(파생·부문·시세 행) — 모델값 직접) — = 매출액(부문 미분리)</t>
      </text>
    </comment>
    <comment ref="L40" authorId="0" shapeId="0">
      <text>
        <t>실측(계정 매핑 없음(파생·부문·시세 행) — 모델값 직접) — = 매출액(부문 미분리)</t>
      </text>
    </comment>
    <comment ref="M40" authorId="0" shapeId="0">
      <text>
        <t>실측(계정 매핑 없음(파생·부문·시세 행) — 모델값 직접) — = 매출액(부문 미분리)</t>
      </text>
    </comment>
    <comment ref="N40" authorId="0" shapeId="0">
      <text>
        <t>실측(계정 매핑 없음(파생·부문·시세 행) — 모델값 직접) — = 매출액(부문 미분리)</t>
      </text>
    </comment>
    <comment ref="O40" authorId="0" shapeId="0">
      <text>
        <t>실측(계정 매핑 없음(파생·부문·시세 행) — 모델값 직접) — = 매출액(부문 미분리)</t>
      </text>
    </comment>
    <comment ref="Q40" authorId="0" shapeId="0">
      <text>
        <t>실측(계정 매핑 없음(파생·부문·시세 행) — 모델값 직접) — = 매출액(부문 미분리)</t>
      </text>
    </comment>
    <comment ref="R40" authorId="0" shapeId="0">
      <text>
        <t>실측(계정 매핑 없음(파생·부문·시세 행) — 모델값 직접) — = 매출액(부문 미분리)</t>
      </text>
    </comment>
    <comment ref="S40" authorId="0" shapeId="0">
      <text>
        <t>실측(계정 매핑 없음(파생·부문·시세 행) — 모델값 직접) — = 매출액(부문 미분리)</t>
      </text>
    </comment>
    <comment ref="T40" authorId="0" shapeId="0">
      <text>
        <t>실측(계정 매핑 없음(파생·부문·시세 행) — 모델값 직접) — = 매출액(부문 미분리)</t>
      </text>
    </comment>
    <comment ref="V40" authorId="0" shapeId="0">
      <text>
        <t>실측(계정 매핑 없음(파생·부문·시세 행) — 모델값 직접) — = 매출액(부문 미분리)</t>
      </text>
    </comment>
    <comment ref="W40" authorId="0" shapeId="0">
      <text>
        <t>실측(계정 매핑 없음(파생·부문·시세 행) — 모델값 직접) — = 매출액(부문 미분리)</t>
      </text>
    </comment>
    <comment ref="X40" authorId="0" shapeId="0">
      <text>
        <t>실측(계정 매핑 없음(파생·부문·시세 행) — 모델값 직접) — = 매출액(부문 미분리)</t>
      </text>
    </comment>
    <comment ref="Y40" authorId="0" shapeId="0">
      <text>
        <t>실측(계정 매핑 없음(파생·부문·시세 행) — 모델값 직접) — = 매출액(부문 미분리)</t>
      </text>
    </comment>
    <comment ref="AA40" authorId="0" shapeId="0">
      <text>
        <t>실측(계정 매핑 없음(파생·부문·시세 행) — 모델값 직접) — = 매출액(부문 미분리)</t>
      </text>
    </comment>
    <comment ref="AB40" authorId="0" shapeId="0">
      <text>
        <t>실측(계정 매핑 없음(파생·부문·시세 행) — 모델값 직접) — = 매출액(부문 미분리)</t>
      </text>
    </comment>
    <comment ref="AC40" authorId="0" shapeId="0">
      <text>
        <t>추정: = 매출액 추정(부문 미분리)
[identity]</t>
      </text>
    </comment>
    <comment ref="AD40" authorId="0" shapeId="0">
      <text>
        <t>추정: = 매출액 추정(부문 미분리)
[identity]</t>
      </text>
    </comment>
    <comment ref="AF40" authorId="0" shapeId="0">
      <text>
        <t>추정: = 매출액 추정(부문 미분리)
[identity]</t>
      </text>
    </comment>
    <comment ref="AG40" authorId="0" shapeId="0">
      <text>
        <t>추정: = 매출액 추정(부문 미분리)
[identity]</t>
      </text>
    </comment>
    <comment ref="AH40" authorId="0" shapeId="0">
      <text>
        <t>추정: = 매출액 추정(부문 미분리)
[identity]</t>
      </text>
    </comment>
    <comment ref="AI40" authorId="0" shapeId="0">
      <text>
        <t>추정: = 매출액 추정(부문 미분리)
[identity]</t>
      </text>
    </comment>
    <comment ref="AK40" authorId="0" shapeId="0">
      <text>
        <t>추정: = 매출액 추정(부문 미분리)
[identity]</t>
      </text>
    </comment>
    <comment ref="AL40" authorId="0" shapeId="0">
      <text>
        <t>추정: = 매출액 추정(부문 미분리)
[identity]</t>
      </text>
    </comment>
    <comment ref="AM40" authorId="0" shapeId="0">
      <text>
        <t>추정: = 매출액 추정(부문 미분리)
[identity]</t>
      </text>
    </comment>
    <comment ref="AN40" authorId="0" shapeId="0">
      <text>
        <t>추정: = 매출액 추정(부문 미분리)
[identity]</t>
      </text>
    </comment>
    <comment ref="E41" authorId="0" shapeId="0">
      <text>
        <t>실측(계정 매핑 없음(파생·부문·시세 행) — 모델값 직접) — = 영업이익(부문 미분리)</t>
      </text>
    </comment>
    <comment ref="G41" authorId="0" shapeId="0">
      <text>
        <t>실측(계정 매핑 없음(파생·부문·시세 행) — 모델값 직접) — = 영업이익(부문 미분리)</t>
      </text>
    </comment>
    <comment ref="H41" authorId="0" shapeId="0">
      <text>
        <t>실측(계정 매핑 없음(파생·부문·시세 행) — 모델값 직접) — = 영업이익(부문 미분리)</t>
      </text>
    </comment>
    <comment ref="I41" authorId="0" shapeId="0">
      <text>
        <t>실측(계정 매핑 없음(파생·부문·시세 행) — 모델값 직접) — = 영업이익(부문 미분리)</t>
      </text>
    </comment>
    <comment ref="J41" authorId="0" shapeId="0">
      <text>
        <t>실측(계정 매핑 없음(파생·부문·시세 행) — 모델값 직접) — = 영업이익(부문 미분리)</t>
      </text>
    </comment>
    <comment ref="L41" authorId="0" shapeId="0">
      <text>
        <t>실측(계정 매핑 없음(파생·부문·시세 행) — 모델값 직접) — = 영업이익(부문 미분리)</t>
      </text>
    </comment>
    <comment ref="M41" authorId="0" shapeId="0">
      <text>
        <t>실측(계정 매핑 없음(파생·부문·시세 행) — 모델값 직접) — = 영업이익(부문 미분리)</t>
      </text>
    </comment>
    <comment ref="N41" authorId="0" shapeId="0">
      <text>
        <t>실측(계정 매핑 없음(파생·부문·시세 행) — 모델값 직접) — = 영업이익(부문 미분리)</t>
      </text>
    </comment>
    <comment ref="O41" authorId="0" shapeId="0">
      <text>
        <t>실측(계정 매핑 없음(파생·부문·시세 행) — 모델값 직접) — = 영업이익(부문 미분리)</t>
      </text>
    </comment>
    <comment ref="Q41" authorId="0" shapeId="0">
      <text>
        <t>실측(계정 매핑 없음(파생·부문·시세 행) — 모델값 직접) — = 영업이익(부문 미분리)</t>
      </text>
    </comment>
    <comment ref="R41" authorId="0" shapeId="0">
      <text>
        <t>실측(계정 매핑 없음(파생·부문·시세 행) — 모델값 직접) — = 영업이익(부문 미분리)</t>
      </text>
    </comment>
    <comment ref="S41" authorId="0" shapeId="0">
      <text>
        <t>실측(계정 매핑 없음(파생·부문·시세 행) — 모델값 직접) — = 영업이익(부문 미분리)</t>
      </text>
    </comment>
    <comment ref="T41" authorId="0" shapeId="0">
      <text>
        <t>실측(계정 매핑 없음(파생·부문·시세 행) — 모델값 직접) — = 영업이익(부문 미분리)</t>
      </text>
    </comment>
    <comment ref="V41" authorId="0" shapeId="0">
      <text>
        <t>실측(계정 매핑 없음(파생·부문·시세 행) — 모델값 직접) — = 영업이익(부문 미분리)</t>
      </text>
    </comment>
    <comment ref="W41" authorId="0" shapeId="0">
      <text>
        <t>실측(계정 매핑 없음(파생·부문·시세 행) — 모델값 직접) — = 영업이익(부문 미분리)</t>
      </text>
    </comment>
    <comment ref="X41" authorId="0" shapeId="0">
      <text>
        <t>실측(계정 매핑 없음(파생·부문·시세 행) — 모델값 직접) — = 영업이익(부문 미분리)</t>
      </text>
    </comment>
    <comment ref="Y41" authorId="0" shapeId="0">
      <text>
        <t>실측(계정 매핑 없음(파생·부문·시세 행) — 모델값 직접) — = 영업이익(부문 미분리)</t>
      </text>
    </comment>
    <comment ref="AA41" authorId="0" shapeId="0">
      <text>
        <t>실측(계정 매핑 없음(파생·부문·시세 행) — 모델값 직접) — = 영업이익(부문 미분리)</t>
      </text>
    </comment>
    <comment ref="AB41" authorId="0" shapeId="0">
      <text>
        <t>실측(계정 매핑 없음(파생·부문·시세 행) — 모델값 직접) — = 영업이익(부문 미분리)</t>
      </text>
    </comment>
    <comment ref="AC41" authorId="0" shapeId="0">
      <text>
        <t>추정: = 매출액 × OPM(부문 미분리)
[identity]</t>
      </text>
    </comment>
    <comment ref="AD41" authorId="0" shapeId="0">
      <text>
        <t>추정: = 매출액 × OPM(부문 미분리)
[identity]</t>
      </text>
    </comment>
    <comment ref="AF41" authorId="0" shapeId="0">
      <text>
        <t>추정: = 매출액 × OPM(부문 미분리)
[identity]</t>
      </text>
    </comment>
    <comment ref="AG41" authorId="0" shapeId="0">
      <text>
        <t>추정: = 매출액 × OPM(부문 미분리)
[identity]</t>
      </text>
    </comment>
    <comment ref="AH41" authorId="0" shapeId="0">
      <text>
        <t>추정: = 매출액 × OPM(부문 미분리)
[identity]</t>
      </text>
    </comment>
    <comment ref="AI41" authorId="0" shapeId="0">
      <text>
        <t>추정: = 매출액 × OPM(부문 미분리)
[identity]</t>
      </text>
    </comment>
    <comment ref="AK41" authorId="0" shapeId="0">
      <text>
        <t>추정: = 매출액 × OPM(부문 미분리)
[identity]</t>
      </text>
    </comment>
    <comment ref="AL41" authorId="0" shapeId="0">
      <text>
        <t>추정: = 매출액 × OPM(부문 미분리)
[identity]</t>
      </text>
    </comment>
    <comment ref="AM41" authorId="0" shapeId="0">
      <text>
        <t>추정: = 매출액 × OPM(부문 미분리)
[identity]</t>
      </text>
    </comment>
    <comment ref="AN41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영흥(012160)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22.91%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7.85%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9.30% / 부채 5.70% — 이자손익 = (전분기 이자발생자산 × 자산이자율 − 전분기 총차입금 × 부채이자율)/4, 최소자승 역산(모델 assumptions [0.093, 0.057] 는 4자리 반올림이라 그대로 쓰면 ±1억 어긋남) · 출처: {"asset": "CF 이자수취 ÷ 평균 이자발생자산(2025Q3~2026Q2; 주석 이자수익 1분기 &lt; 4)", "debt": "CF 이자지급 ÷ 평균 총차입금(2025Q3~2026Q2; 주석 이자비용 1분기 &lt; 4)"}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2025Q4 보고 -851→조정 222원)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9">
      <c r="A29" t="inlineStr">
        <is>
          <t>· 밸류에이션 — PER 밴드 10.0/15.0/20.0배(sector_default(레퍼런스 TP_PE PB 예시 10/15/20배; 과거 양(+)EPS 분기 1개 &lt; 4))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assets/models/012160.json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조선사 연결 없음(suppliers.json)): 전년동기 × (1+g) 추세 / 주식수 사건 환산: 2026Q2 1/5 수동(복합 사건)(eps_reported 교차검증 confirmed) → 사건 전 실적 18분기의 주식수·EPS·BPS·DPS 를 비율 환산(IAS 33.64; 셀 kind estimate, basis 에 원주식수·비율) / 감가상각비가 face·CF 에 없음(주석 미파싱) → EBITDA·EV/EBITDA 미산출 / 일회성 의심 2025Q4: 비영업손익 -237억(영업이익 -22억의 11배, 12분기 중위 33억·기준선 -33억) → 지배NI -116억·보고 EPS·FY2025 합계·TTM PER 에 그대로 포함 — 처분이익 등 일회성 여부는 주석 확인 전까지 미확정(12M fwd EPS 에는 미포함) · 조정EPS 221.9원(보고 -851.1원; 초과 비영업손익 -204억 × (1 − 세율 22.9%) × 지배 비중 0.93 = -146억 차감 — 추정, 조정EPS 행)</t>
        </is>
      </c>
    </row>
    <row r="35">
      <c r="A35" t="inlineStr">
        <is>
          <t>백테스트: {"freeze": "2025Q2", "horizon": 4, "revenue_wape_pct": 2.5, "op_wape_pct": 86.5,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1092.86, "rev_act": 1098.95, "op_pred": -9.26, "op_act": -69.66}, {"q": "2025Q4", "rev_pred": 1004.22, "rev_act": 963.22, "op_pred": -8.51, "op_act": -22.38}, {"q": "2026Q1", "rev_pred": 1019.23, "rev_act": 964.25, "op_pred": -8.63, "op_act": -14.39}, {"q": "2026Q2", "rev_pred": 1067.88, "rev_act": 1067.67, "op_pred": -9.05, "op_act": 21.74}]}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5275</v>
      </c>
      <c r="F15" s="9" t="n"/>
      <c r="G15" s="18" t="n">
        <v>5050</v>
      </c>
      <c r="H15" s="18" t="n">
        <v>3825</v>
      </c>
      <c r="I15" s="18" t="n">
        <v>3495</v>
      </c>
      <c r="J15" s="18" t="n">
        <v>3545</v>
      </c>
      <c r="K15" s="9" t="n"/>
      <c r="L15" s="18" t="n">
        <v>3810</v>
      </c>
      <c r="M15" s="18" t="n">
        <v>3875</v>
      </c>
      <c r="N15" s="18" t="n">
        <v>3065</v>
      </c>
      <c r="O15" s="18" t="n">
        <v>2815</v>
      </c>
      <c r="P15" s="9" t="n"/>
      <c r="Q15" s="18" t="n">
        <v>2575</v>
      </c>
      <c r="R15" s="18" t="n">
        <v>2625</v>
      </c>
      <c r="S15" s="18" t="n">
        <v>2430</v>
      </c>
      <c r="T15" s="18" t="n">
        <v>2030</v>
      </c>
      <c r="U15" s="9" t="n"/>
      <c r="V15" s="18" t="n">
        <v>1955</v>
      </c>
      <c r="W15" s="18" t="n">
        <v>2715</v>
      </c>
      <c r="X15" s="18" t="n">
        <v>2825</v>
      </c>
      <c r="Y15" s="18" t="n">
        <v>2445</v>
      </c>
      <c r="Z15" s="9" t="n"/>
      <c r="AA15" s="18" t="n">
        <v>2750</v>
      </c>
      <c r="AB15" s="19" t="n">
        <v>1350</v>
      </c>
      <c r="AC15" s="20" t="n">
        <v>2120</v>
      </c>
      <c r="AD15" s="20" t="n">
        <v>2190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5900</v>
      </c>
      <c r="F16" s="9" t="n"/>
      <c r="G16" s="18" t="n">
        <v>5425</v>
      </c>
      <c r="H16" s="18" t="n">
        <v>5575</v>
      </c>
      <c r="I16" s="18" t="n">
        <v>4470</v>
      </c>
      <c r="J16" s="18" t="n">
        <v>3905</v>
      </c>
      <c r="K16" s="9" t="n"/>
      <c r="L16" s="18" t="n">
        <v>4180</v>
      </c>
      <c r="M16" s="18" t="n">
        <v>4065</v>
      </c>
      <c r="N16" s="18" t="n">
        <v>3935</v>
      </c>
      <c r="O16" s="18" t="n">
        <v>3410</v>
      </c>
      <c r="P16" s="9" t="n"/>
      <c r="Q16" s="18" t="n">
        <v>2890</v>
      </c>
      <c r="R16" s="18" t="n">
        <v>3050</v>
      </c>
      <c r="S16" s="18" t="n">
        <v>2725</v>
      </c>
      <c r="T16" s="18" t="n">
        <v>2450</v>
      </c>
      <c r="U16" s="9" t="n"/>
      <c r="V16" s="18" t="n">
        <v>2175</v>
      </c>
      <c r="W16" s="18" t="n">
        <v>3185</v>
      </c>
      <c r="X16" s="18" t="n">
        <v>3670</v>
      </c>
      <c r="Y16" s="18" t="n">
        <v>3285</v>
      </c>
      <c r="Z16" s="9" t="n"/>
      <c r="AA16" s="18" t="n">
        <v>4040</v>
      </c>
      <c r="AB16" s="19" t="n">
        <v>2950</v>
      </c>
      <c r="AC16" s="20" t="n">
        <v>3020</v>
      </c>
      <c r="AD16" s="20" t="n">
        <v>2430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4830</v>
      </c>
      <c r="F17" s="9" t="n"/>
      <c r="G17" s="18" t="n">
        <v>4350</v>
      </c>
      <c r="H17" s="18" t="n">
        <v>3330</v>
      </c>
      <c r="I17" s="18" t="n">
        <v>3335</v>
      </c>
      <c r="J17" s="18" t="n">
        <v>3030</v>
      </c>
      <c r="K17" s="9" t="n"/>
      <c r="L17" s="18" t="n">
        <v>3370</v>
      </c>
      <c r="M17" s="18" t="n">
        <v>3575</v>
      </c>
      <c r="N17" s="18" t="n">
        <v>3020</v>
      </c>
      <c r="O17" s="18" t="n">
        <v>2590</v>
      </c>
      <c r="P17" s="9" t="n"/>
      <c r="Q17" s="18" t="n">
        <v>2550</v>
      </c>
      <c r="R17" s="18" t="n">
        <v>2415</v>
      </c>
      <c r="S17" s="18" t="n">
        <v>2335</v>
      </c>
      <c r="T17" s="18" t="n">
        <v>1795</v>
      </c>
      <c r="U17" s="9" t="n"/>
      <c r="V17" s="18" t="n">
        <v>1950</v>
      </c>
      <c r="W17" s="18" t="n">
        <v>1795</v>
      </c>
      <c r="X17" s="18" t="n">
        <v>2435</v>
      </c>
      <c r="Y17" s="18" t="n">
        <v>2410</v>
      </c>
      <c r="Z17" s="9" t="n"/>
      <c r="AA17" s="18" t="n">
        <v>2235</v>
      </c>
      <c r="AB17" s="19" t="n">
        <v>1281</v>
      </c>
      <c r="AC17" s="20" t="n">
        <v>1284</v>
      </c>
      <c r="AD17" s="20" t="n">
        <v>2020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5327.9</v>
      </c>
      <c r="F18" s="9" t="n"/>
      <c r="G18" s="18" t="n">
        <v>4851.4</v>
      </c>
      <c r="H18" s="18" t="n">
        <v>4796.3</v>
      </c>
      <c r="I18" s="18" t="n">
        <v>4012.5</v>
      </c>
      <c r="J18" s="18" t="n">
        <v>3587.5</v>
      </c>
      <c r="K18" s="9" t="n"/>
      <c r="L18" s="18" t="n">
        <v>3846.2</v>
      </c>
      <c r="M18" s="18" t="n">
        <v>3777.8</v>
      </c>
      <c r="N18" s="18" t="n">
        <v>3423.7</v>
      </c>
      <c r="O18" s="18" t="n">
        <v>2846.2</v>
      </c>
      <c r="P18" s="9" t="n"/>
      <c r="Q18" s="18" t="n">
        <v>2714.3</v>
      </c>
      <c r="R18" s="18" t="n">
        <v>2592.8</v>
      </c>
      <c r="S18" s="18" t="n">
        <v>2509.2</v>
      </c>
      <c r="T18" s="18" t="n">
        <v>2191.1</v>
      </c>
      <c r="U18" s="9" t="n"/>
      <c r="V18" s="18" t="n">
        <v>2034.6</v>
      </c>
      <c r="W18" s="18" t="n">
        <v>2397</v>
      </c>
      <c r="X18" s="18" t="n">
        <v>2891.5</v>
      </c>
      <c r="Y18" s="18" t="n">
        <v>2732.4</v>
      </c>
      <c r="Z18" s="9" t="n"/>
      <c r="AA18" s="18" t="n">
        <v>2643.8</v>
      </c>
      <c r="AB18" s="19" t="n">
        <v>2335.4</v>
      </c>
      <c r="AC18" s="20" t="n">
        <v>2271.6</v>
      </c>
      <c r="AD18" s="20" t="n">
        <v>2189.5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-0.101418994</v>
      </c>
      <c r="AD21" s="24" t="n">
        <v>-0.101419583</v>
      </c>
      <c r="AE21" s="25" t="n"/>
      <c r="AF21" s="24" t="n">
        <v>-0.10142747</v>
      </c>
      <c r="AG21" s="24" t="n">
        <v>-0.101425124</v>
      </c>
      <c r="AH21" s="24" t="n">
        <v>-0.050713924</v>
      </c>
      <c r="AI21" s="24" t="n">
        <v>-0.050720368</v>
      </c>
      <c r="AJ21" s="25" t="n"/>
      <c r="AK21" s="24" t="n">
        <v>-0.050701137</v>
      </c>
      <c r="AL21" s="24" t="n">
        <v>-0.050709833</v>
      </c>
      <c r="AM21" s="24" t="n">
        <v>-0.02535683</v>
      </c>
      <c r="AN21" s="24" t="n">
        <v>-0.025352044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$D$53</f>
        <v/>
      </c>
      <c r="AD22" s="26">
        <f>$D$53</f>
        <v/>
      </c>
      <c r="AE22" s="25">
        <f>IFERROR(subQ!AE8/subQ!AE5,"")</f>
        <v/>
      </c>
      <c r="AF22" s="26">
        <f>$D$53</f>
        <v/>
      </c>
      <c r="AG22" s="26">
        <f>$D$53</f>
        <v/>
      </c>
      <c r="AH22" s="26">
        <f>$D$53</f>
        <v/>
      </c>
      <c r="AI22" s="26">
        <f>$D$53</f>
        <v/>
      </c>
      <c r="AJ22" s="25">
        <f>IFERROR(subQ!AJ8/subQ!AJ5,"")</f>
        <v/>
      </c>
      <c r="AK22" s="26">
        <f>$D$53</f>
        <v/>
      </c>
      <c r="AL22" s="26">
        <f>$D$53</f>
        <v/>
      </c>
      <c r="AM22" s="26">
        <f>$D$53</f>
        <v/>
      </c>
      <c r="AN22" s="26">
        <f>$D$53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-0.017711392</v>
      </c>
      <c r="AD23" s="24" t="n">
        <v>-0.017711691</v>
      </c>
      <c r="AE23" s="25">
        <f>IFERROR(subQ!AE9/subQ!AE5,"")</f>
        <v/>
      </c>
      <c r="AF23" s="24" t="n">
        <v>-0.017715967</v>
      </c>
      <c r="AG23" s="24" t="n">
        <v>-0.017709354</v>
      </c>
      <c r="AH23" s="24" t="n">
        <v>-0.017708178</v>
      </c>
      <c r="AI23" s="24" t="n">
        <v>-0.017708701</v>
      </c>
      <c r="AJ23" s="25">
        <f>IFERROR(subQ!AJ9/subQ!AJ5,"")</f>
        <v/>
      </c>
      <c r="AK23" s="24" t="n">
        <v>-0.017713855</v>
      </c>
      <c r="AL23" s="24" t="n">
        <v>-0.017711067</v>
      </c>
      <c r="AM23" s="24" t="n">
        <v>-0.017709188</v>
      </c>
      <c r="AN23" s="24" t="n">
        <v>-0.017707293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-0.74</v>
      </c>
      <c r="AD28" s="30" t="n">
        <v>-0.74</v>
      </c>
      <c r="AE28" s="31">
        <f>subQ!AE17</f>
        <v/>
      </c>
      <c r="AF28" s="30" t="n">
        <v>-0.74</v>
      </c>
      <c r="AG28" s="30" t="n">
        <v>-0.74</v>
      </c>
      <c r="AH28" s="30" t="n">
        <v>-0.74</v>
      </c>
      <c r="AI28" s="30" t="n">
        <v>-0.74</v>
      </c>
      <c r="AJ28" s="31">
        <f>subQ!AJ17</f>
        <v/>
      </c>
      <c r="AK28" s="30" t="n">
        <v>-0.74</v>
      </c>
      <c r="AL28" s="30" t="n">
        <v>-0.74</v>
      </c>
      <c r="AM28" s="30" t="n">
        <v>-0.74</v>
      </c>
      <c r="AN28" s="30" t="n">
        <v>-0.74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ratio</t>
        </is>
      </c>
      <c r="C29" t="inlineStr">
        <is>
          <t>법인세율(/세전)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4" t="n">
        <v>-0</v>
      </c>
      <c r="AD29" s="24" t="n">
        <v>-0</v>
      </c>
      <c r="AE29" s="25">
        <f>IFERROR(subQ!AE19/subQ!AE18,"")</f>
        <v/>
      </c>
      <c r="AF29" s="24" t="n">
        <v>-0</v>
      </c>
      <c r="AG29" s="24" t="n">
        <v>-0</v>
      </c>
      <c r="AH29" s="24" t="n">
        <v>-0</v>
      </c>
      <c r="AI29" s="24" t="n">
        <v>-0</v>
      </c>
      <c r="AJ29" s="25">
        <f>IFERROR(subQ!AJ19/subQ!AJ18,"")</f>
        <v/>
      </c>
      <c r="AK29" s="24" t="n">
        <v>-0</v>
      </c>
      <c r="AL29" s="24" t="n">
        <v>-0</v>
      </c>
      <c r="AM29" s="24" t="n">
        <v>-0</v>
      </c>
      <c r="AN29" s="24" t="n">
        <v>-0</v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$D$54</f>
        <v/>
      </c>
      <c r="AD30" s="26">
        <f>$D$54</f>
        <v/>
      </c>
      <c r="AE30" s="25">
        <f>IFERROR(subQ!AE21/subQ!AE20,"")</f>
        <v/>
      </c>
      <c r="AF30" s="26">
        <f>$D$54</f>
        <v/>
      </c>
      <c r="AG30" s="26">
        <f>$D$54</f>
        <v/>
      </c>
      <c r="AH30" s="26">
        <f>$D$54</f>
        <v/>
      </c>
      <c r="AI30" s="26">
        <f>$D$54</f>
        <v/>
      </c>
      <c r="AJ30" s="25">
        <f>IFERROR(subQ!AJ21/subQ!AJ20,"")</f>
        <v/>
      </c>
      <c r="AK30" s="26">
        <f>$D$54</f>
        <v/>
      </c>
      <c r="AL30" s="26">
        <f>$D$54</f>
        <v/>
      </c>
      <c r="AM30" s="26">
        <f>$D$54</f>
        <v/>
      </c>
      <c r="AN30" s="26">
        <f>$D$54</f>
        <v/>
      </c>
      <c r="AO30" s="25">
        <f>IFERROR(subQ!AO21/subQ!AO20,"")</f>
        <v/>
      </c>
    </row>
    <row r="31">
      <c r="A31" s="12" t="inlineStr">
        <is>
          <t>drv:중단사업이익</t>
        </is>
      </c>
      <c r="B31" s="2" t="inlineStr">
        <is>
          <t>abs</t>
        </is>
      </c>
      <c r="C31" t="inlineStr">
        <is>
          <t>중단사업이익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2" t="n"/>
      <c r="AD31" s="32" t="n"/>
      <c r="AE31" s="31">
        <f>subQ!AE22</f>
        <v/>
      </c>
      <c r="AF31" s="32" t="n"/>
      <c r="AG31" s="32" t="n"/>
      <c r="AH31" s="32" t="n"/>
      <c r="AI31" s="32" t="n"/>
      <c r="AJ31" s="31">
        <f>subQ!AJ22</f>
        <v/>
      </c>
      <c r="AK31" s="32" t="n"/>
      <c r="AL31" s="32" t="n"/>
      <c r="AM31" s="32" t="n"/>
      <c r="AN31" s="32" t="n"/>
      <c r="AO31" s="31">
        <f>subQ!AO22</f>
        <v/>
      </c>
    </row>
    <row r="32">
      <c r="A32" s="12" t="inlineStr">
        <is>
          <t>drv:부채총계</t>
        </is>
      </c>
      <c r="B32" s="2" t="inlineStr">
        <is>
          <t>qoq</t>
        </is>
      </c>
      <c r="C32" t="inlineStr">
        <is>
          <t>부채총계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9.32e-07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drv:자본총계</t>
        </is>
      </c>
      <c r="B33" s="2" t="inlineStr">
        <is>
          <t>roll</t>
        </is>
      </c>
      <c r="C33" t="inlineStr">
        <is>
          <t>자본총계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-0.004607013</v>
      </c>
      <c r="AD33" s="30" t="n">
        <v>0.005532376</v>
      </c>
      <c r="AE33" s="31" t="n"/>
      <c r="AF33" s="30" t="n">
        <v>-0.014077506</v>
      </c>
      <c r="AG33" s="30" t="n">
        <v>0.008403083</v>
      </c>
      <c r="AH33" s="30" t="n">
        <v>-0.005168202</v>
      </c>
      <c r="AI33" s="30" t="n">
        <v>0.00102731</v>
      </c>
      <c r="AJ33" s="31" t="n"/>
      <c r="AK33" s="30" t="n">
        <v>-0.004402449</v>
      </c>
      <c r="AL33" s="30" t="n">
        <v>0.001096063</v>
      </c>
      <c r="AM33" s="30" t="n">
        <v>0.001008086</v>
      </c>
      <c r="AN33" s="30" t="n">
        <v>-0.000711033</v>
      </c>
      <c r="AO33" s="31" t="n"/>
    </row>
    <row r="34">
      <c r="A34" s="12" t="inlineStr">
        <is>
          <t>drv:지배주주지분</t>
        </is>
      </c>
      <c r="B34" s="2" t="inlineStr">
        <is>
          <t>roll</t>
        </is>
      </c>
      <c r="C34" t="inlineStr">
        <is>
          <t>지배주주지분 기타변동(배당 등, 억원)</t>
        </is>
      </c>
      <c r="E34" s="27" t="n"/>
      <c r="F34" s="28" t="n"/>
      <c r="G34" s="27">
        <f>IFERROR(subQ!E26+subQ!G21-subQ!G26,"")</f>
        <v/>
      </c>
      <c r="H34" s="27">
        <f>IFERROR(subQ!G26+subQ!H21-subQ!H26,"")</f>
        <v/>
      </c>
      <c r="I34" s="27">
        <f>IFERROR(subQ!H26+subQ!I21-subQ!I26,"")</f>
        <v/>
      </c>
      <c r="J34" s="27">
        <f>IFERROR(subQ!I26+subQ!J21-subQ!J26,"")</f>
        <v/>
      </c>
      <c r="K34" s="28" t="n"/>
      <c r="L34" s="27">
        <f>IFERROR(subQ!J26+subQ!L21-subQ!L26,"")</f>
        <v/>
      </c>
      <c r="M34" s="27">
        <f>IFERROR(subQ!L26+subQ!M21-subQ!M26,"")</f>
        <v/>
      </c>
      <c r="N34" s="27">
        <f>IFERROR(subQ!M26+subQ!N21-subQ!N26,"")</f>
        <v/>
      </c>
      <c r="O34" s="27">
        <f>IFERROR(subQ!N26+subQ!O21-subQ!O26,"")</f>
        <v/>
      </c>
      <c r="P34" s="28" t="n"/>
      <c r="Q34" s="27">
        <f>IFERROR(subQ!O26+subQ!Q21-subQ!Q26,"")</f>
        <v/>
      </c>
      <c r="R34" s="27">
        <f>IFERROR(subQ!Q26+subQ!R21-subQ!R26,"")</f>
        <v/>
      </c>
      <c r="S34" s="27">
        <f>IFERROR(subQ!R26+subQ!S21-subQ!S26,"")</f>
        <v/>
      </c>
      <c r="T34" s="27">
        <f>IFERROR(subQ!S26+subQ!T21-subQ!T26,"")</f>
        <v/>
      </c>
      <c r="U34" s="28" t="n"/>
      <c r="V34" s="27">
        <f>IFERROR(subQ!T26+subQ!V21-subQ!V26,"")</f>
        <v/>
      </c>
      <c r="W34" s="27">
        <f>IFERROR(subQ!V26+subQ!W21-subQ!W26,"")</f>
        <v/>
      </c>
      <c r="X34" s="27">
        <f>IFERROR(subQ!W26+subQ!X21-subQ!X26,"")</f>
        <v/>
      </c>
      <c r="Y34" s="27">
        <f>IFERROR(subQ!X26+subQ!Y21-subQ!Y26,"")</f>
        <v/>
      </c>
      <c r="Z34" s="28" t="n"/>
      <c r="AA34" s="27">
        <f>IFERROR(subQ!Y26+subQ!AA21-subQ!AA26,"")</f>
        <v/>
      </c>
      <c r="AB34" s="29">
        <f>IFERROR(subQ!AA26+subQ!AB21-subQ!AB26,"")</f>
        <v/>
      </c>
      <c r="AC34" s="30" t="n">
        <v>-0.002307013</v>
      </c>
      <c r="AD34" s="30" t="n">
        <v>-0.004467624</v>
      </c>
      <c r="AE34" s="31" t="n"/>
      <c r="AF34" s="30" t="n">
        <v>-0.004077506</v>
      </c>
      <c r="AG34" s="30" t="n">
        <v>-0.001596917</v>
      </c>
      <c r="AH34" s="30" t="n">
        <v>0.004831798</v>
      </c>
      <c r="AI34" s="30" t="n">
        <v>0.00102731</v>
      </c>
      <c r="AJ34" s="31" t="n"/>
      <c r="AK34" s="30" t="n">
        <v>-0.004402449</v>
      </c>
      <c r="AL34" s="30" t="n">
        <v>0.001096063</v>
      </c>
      <c r="AM34" s="30" t="n">
        <v>0.001008086</v>
      </c>
      <c r="AN34" s="30" t="n">
        <v>-0.000711033</v>
      </c>
      <c r="AO34" s="31" t="n"/>
    </row>
    <row r="35">
      <c r="A35" s="12" t="inlineStr">
        <is>
          <t>drv:총차입금</t>
        </is>
      </c>
      <c r="B35" s="2" t="inlineStr">
        <is>
          <t>qoq</t>
        </is>
      </c>
      <c r="C35" t="inlineStr">
        <is>
          <t>총차입금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2.27e-06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drv:순차입금</t>
        </is>
      </c>
      <c r="B36" s="2" t="inlineStr">
        <is>
          <t>qoq</t>
        </is>
      </c>
      <c r="C36" t="inlineStr">
        <is>
          <t>순차입금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0.028858632</v>
      </c>
      <c r="AD36" s="24" t="n">
        <v>0.026897334</v>
      </c>
      <c r="AE36" s="25" t="n"/>
      <c r="AF36" s="24" t="n">
        <v>0.026818584</v>
      </c>
      <c r="AG36" s="24" t="n">
        <v>0.028025548</v>
      </c>
      <c r="AH36" s="24" t="n">
        <v>0.027600277</v>
      </c>
      <c r="AI36" s="24" t="n">
        <v>0.025944934</v>
      </c>
      <c r="AJ36" s="25" t="n"/>
      <c r="AK36" s="24" t="n">
        <v>0.025887628</v>
      </c>
      <c r="AL36" s="24" t="n">
        <v>0.026935643</v>
      </c>
      <c r="AM36" s="24" t="n">
        <v>0.026873783</v>
      </c>
      <c r="AN36" s="24" t="n">
        <v>0.025427962</v>
      </c>
      <c r="AO36" s="25" t="n"/>
    </row>
    <row r="37">
      <c r="A37" s="12" t="inlineStr">
        <is>
          <t>drv:이자발생자산</t>
        </is>
      </c>
      <c r="B37" s="2" t="inlineStr">
        <is>
          <t>qoq</t>
        </is>
      </c>
      <c r="C37" t="inlineStr">
        <is>
          <t>이자발생자산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-0.356949722</v>
      </c>
      <c r="AD37" s="24" t="n">
        <v>-0.532287366</v>
      </c>
      <c r="AE37" s="25" t="n"/>
      <c r="AF37" s="24" t="n">
        <v>-1.165254237</v>
      </c>
      <c r="AG37" s="24" t="n">
        <v>7.566239316</v>
      </c>
      <c r="AH37" s="24" t="n">
        <v>0.894237965</v>
      </c>
      <c r="AI37" s="24" t="n">
        <v>0.456017909</v>
      </c>
      <c r="AJ37" s="25" t="n"/>
      <c r="AK37" s="24" t="n">
        <v>0.320611377</v>
      </c>
      <c r="AL37" s="24" t="n">
        <v>0.259142583</v>
      </c>
      <c r="AM37" s="24" t="n">
        <v>0.210866964</v>
      </c>
      <c r="AN37" s="24" t="n">
        <v>0.16920451</v>
      </c>
      <c r="AO37" s="25" t="n"/>
    </row>
    <row r="38">
      <c r="A38" s="12" t="inlineStr">
        <is>
          <t>drv:현금및현금성자산</t>
        </is>
      </c>
      <c r="B38" s="2" t="inlineStr">
        <is>
          <t>qoq</t>
        </is>
      </c>
      <c r="C38" t="inlineStr">
        <is>
          <t>현금및현금성자산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drv:CAPEX</t>
        </is>
      </c>
      <c r="B39" s="2" t="inlineStr">
        <is>
          <t>yoy</t>
        </is>
      </c>
      <c r="C39" t="inlineStr">
        <is>
          <t>CAPEX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24" t="n">
        <v>-0.264626148</v>
      </c>
      <c r="AD39" s="24" t="n">
        <v>0.163426102</v>
      </c>
      <c r="AE39" s="25" t="n"/>
      <c r="AF39" s="24" t="n">
        <v>3.623970908</v>
      </c>
      <c r="AG39" s="24" t="n">
        <v>-0.123075892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drv:영업활동현금흐름</t>
        </is>
      </c>
      <c r="B40" s="2" t="inlineStr">
        <is>
          <t>yoy</t>
        </is>
      </c>
      <c r="C40" t="inlineStr">
        <is>
          <t>영업활동현금흐름 YoY</t>
        </is>
      </c>
      <c r="E40" s="21" t="n"/>
      <c r="F40" s="22" t="n"/>
      <c r="G40" s="21" t="n"/>
      <c r="H40" s="21" t="n"/>
      <c r="I40" s="21" t="n"/>
      <c r="J40" s="21">
        <f>IFERROR(subQ!J32/subQ!E32-1,"")</f>
        <v/>
      </c>
      <c r="K40" s="22" t="n"/>
      <c r="L40" s="21">
        <f>IFERROR(subQ!L32/subQ!G32-1,"")</f>
        <v/>
      </c>
      <c r="M40" s="21">
        <f>IFERROR(subQ!M32/subQ!H32-1,"")</f>
        <v/>
      </c>
      <c r="N40" s="21">
        <f>IFERROR(subQ!N32/subQ!I32-1,"")</f>
        <v/>
      </c>
      <c r="O40" s="21">
        <f>IFERROR(subQ!O32/subQ!J32-1,"")</f>
        <v/>
      </c>
      <c r="P40" s="22" t="n"/>
      <c r="Q40" s="21">
        <f>IFERROR(subQ!Q32/subQ!L32-1,"")</f>
        <v/>
      </c>
      <c r="R40" s="21">
        <f>IFERROR(subQ!R32/subQ!M32-1,"")</f>
        <v/>
      </c>
      <c r="S40" s="21">
        <f>IFERROR(subQ!S32/subQ!N32-1,"")</f>
        <v/>
      </c>
      <c r="T40" s="21">
        <f>IFERROR(subQ!T32/subQ!O32-1,"")</f>
        <v/>
      </c>
      <c r="U40" s="22" t="n"/>
      <c r="V40" s="21">
        <f>IFERROR(subQ!V32/subQ!Q32-1,"")</f>
        <v/>
      </c>
      <c r="W40" s="21">
        <f>IFERROR(subQ!W32/subQ!R32-1,"")</f>
        <v/>
      </c>
      <c r="X40" s="21">
        <f>IFERROR(subQ!X32/subQ!S32-1,"")</f>
        <v/>
      </c>
      <c r="Y40" s="21">
        <f>IFERROR(subQ!Y32/subQ!T32-1,"")</f>
        <v/>
      </c>
      <c r="Z40" s="22" t="n"/>
      <c r="AA40" s="21">
        <f>IFERROR(subQ!AA32/subQ!V32-1,"")</f>
        <v/>
      </c>
      <c r="AB40" s="23">
        <f>IFERROR(subQ!AB32/subQ!W32-1,"")</f>
        <v/>
      </c>
      <c r="AC40" s="33" t="n"/>
      <c r="AD40" s="33" t="n"/>
      <c r="AE40" s="25" t="n"/>
      <c r="AF40" s="33" t="n"/>
      <c r="AG40" s="33" t="n"/>
      <c r="AH40" s="33" t="n"/>
      <c r="AI40" s="33" t="n"/>
      <c r="AJ40" s="25" t="n"/>
      <c r="AK40" s="33" t="n"/>
      <c r="AL40" s="33" t="n"/>
      <c r="AM40" s="33" t="n"/>
      <c r="AN40" s="33" t="n"/>
      <c r="AO40" s="25" t="n"/>
    </row>
    <row r="41">
      <c r="A41" s="12" t="inlineStr">
        <is>
          <t>drv:주식수</t>
        </is>
      </c>
      <c r="B41" s="2" t="inlineStr">
        <is>
          <t>qoq</t>
        </is>
      </c>
      <c r="C41" t="inlineStr">
        <is>
          <t>주식수 QoQ</t>
        </is>
      </c>
      <c r="E41" s="21" t="n"/>
      <c r="F41" s="22" t="n"/>
      <c r="G41" s="21">
        <f>IFERROR(subQ!G33/subQ!E33-1,"")</f>
        <v/>
      </c>
      <c r="H41" s="21">
        <f>IFERROR(subQ!H33/subQ!G33-1,"")</f>
        <v/>
      </c>
      <c r="I41" s="21">
        <f>IFERROR(subQ!I33/subQ!H33-1,"")</f>
        <v/>
      </c>
      <c r="J41" s="21">
        <f>IFERROR(subQ!J33/subQ!I33-1,"")</f>
        <v/>
      </c>
      <c r="K41" s="22" t="n"/>
      <c r="L41" s="21">
        <f>IFERROR(subQ!L33/subQ!J33-1,"")</f>
        <v/>
      </c>
      <c r="M41" s="21">
        <f>IFERROR(subQ!M33/subQ!L33-1,"")</f>
        <v/>
      </c>
      <c r="N41" s="21">
        <f>IFERROR(subQ!N33/subQ!M33-1,"")</f>
        <v/>
      </c>
      <c r="O41" s="21">
        <f>IFERROR(subQ!O33/subQ!N33-1,"")</f>
        <v/>
      </c>
      <c r="P41" s="22" t="n"/>
      <c r="Q41" s="21">
        <f>IFERROR(subQ!Q33/subQ!O33-1,"")</f>
        <v/>
      </c>
      <c r="R41" s="21">
        <f>IFERROR(subQ!R33/subQ!Q33-1,"")</f>
        <v/>
      </c>
      <c r="S41" s="21">
        <f>IFERROR(subQ!S33/subQ!R33-1,"")</f>
        <v/>
      </c>
      <c r="T41" s="21">
        <f>IFERROR(subQ!T33/subQ!S33-1,"")</f>
        <v/>
      </c>
      <c r="U41" s="22" t="n"/>
      <c r="V41" s="21">
        <f>IFERROR(subQ!V33/subQ!T33-1,"")</f>
        <v/>
      </c>
      <c r="W41" s="21">
        <f>IFERROR(subQ!W33/subQ!V33-1,"")</f>
        <v/>
      </c>
      <c r="X41" s="21">
        <f>IFERROR(subQ!X33/subQ!W33-1,"")</f>
        <v/>
      </c>
      <c r="Y41" s="21">
        <f>IFERROR(subQ!Y33/subQ!X33-1,"")</f>
        <v/>
      </c>
      <c r="Z41" s="22" t="n"/>
      <c r="AA41" s="21">
        <f>IFERROR(subQ!AA33/subQ!Y33-1,"")</f>
        <v/>
      </c>
      <c r="AB41" s="23">
        <f>IFERROR(subQ!AB33/subQ!AA33-1,"")</f>
        <v/>
      </c>
      <c r="AC41" s="24" t="n">
        <v>0</v>
      </c>
      <c r="AD41" s="24" t="n">
        <v>0</v>
      </c>
      <c r="AE41" s="25" t="n"/>
      <c r="AF41" s="24" t="n">
        <v>0</v>
      </c>
      <c r="AG41" s="24" t="n">
        <v>0</v>
      </c>
      <c r="AH41" s="24" t="n">
        <v>0</v>
      </c>
      <c r="AI41" s="24" t="n">
        <v>0</v>
      </c>
      <c r="AJ41" s="25" t="n"/>
      <c r="AK41" s="24" t="n">
        <v>0</v>
      </c>
      <c r="AL41" s="24" t="n">
        <v>0</v>
      </c>
      <c r="AM41" s="24" t="n">
        <v>0</v>
      </c>
      <c r="AN41" s="24" t="n">
        <v>0</v>
      </c>
      <c r="AO41" s="25" t="n"/>
    </row>
    <row r="42">
      <c r="A42" s="12" t="inlineStr">
        <is>
          <t>drv:DPS</t>
        </is>
      </c>
      <c r="B42" s="2" t="inlineStr">
        <is>
          <t>abs</t>
        </is>
      </c>
      <c r="C42" t="inlineStr">
        <is>
          <t>DPS (가정, 원)</t>
        </is>
      </c>
      <c r="E42" s="27">
        <f>subQ!E37</f>
        <v/>
      </c>
      <c r="F42" s="28">
        <f>subQ!F37</f>
        <v/>
      </c>
      <c r="G42" s="27">
        <f>subQ!G37</f>
        <v/>
      </c>
      <c r="H42" s="27">
        <f>subQ!H37</f>
        <v/>
      </c>
      <c r="I42" s="27">
        <f>subQ!I37</f>
        <v/>
      </c>
      <c r="J42" s="27">
        <f>subQ!J37</f>
        <v/>
      </c>
      <c r="K42" s="28">
        <f>subQ!K37</f>
        <v/>
      </c>
      <c r="L42" s="27">
        <f>subQ!L37</f>
        <v/>
      </c>
      <c r="M42" s="27">
        <f>subQ!M37</f>
        <v/>
      </c>
      <c r="N42" s="27">
        <f>subQ!N37</f>
        <v/>
      </c>
      <c r="O42" s="27">
        <f>subQ!O37</f>
        <v/>
      </c>
      <c r="P42" s="28">
        <f>subQ!P37</f>
        <v/>
      </c>
      <c r="Q42" s="27">
        <f>subQ!Q37</f>
        <v/>
      </c>
      <c r="R42" s="27">
        <f>subQ!R37</f>
        <v/>
      </c>
      <c r="S42" s="27">
        <f>subQ!S37</f>
        <v/>
      </c>
      <c r="T42" s="27">
        <f>subQ!T37</f>
        <v/>
      </c>
      <c r="U42" s="28">
        <f>subQ!U37</f>
        <v/>
      </c>
      <c r="V42" s="27">
        <f>subQ!V37</f>
        <v/>
      </c>
      <c r="W42" s="27">
        <f>subQ!W37</f>
        <v/>
      </c>
      <c r="X42" s="27">
        <f>subQ!X37</f>
        <v/>
      </c>
      <c r="Y42" s="27">
        <f>subQ!Y37</f>
        <v/>
      </c>
      <c r="Z42" s="28">
        <f>subQ!Z37</f>
        <v/>
      </c>
      <c r="AA42" s="27">
        <f>subQ!AA37</f>
        <v/>
      </c>
      <c r="AB42" s="29">
        <f>subQ!AB37</f>
        <v/>
      </c>
      <c r="AC42" s="32" t="n"/>
      <c r="AD42" s="30" t="n">
        <v>0</v>
      </c>
      <c r="AE42" s="31">
        <f>subQ!AE37</f>
        <v/>
      </c>
      <c r="AF42" s="32" t="n"/>
      <c r="AG42" s="32" t="n"/>
      <c r="AH42" s="32" t="n"/>
      <c r="AI42" s="30" t="n">
        <v>0</v>
      </c>
      <c r="AJ42" s="31">
        <f>subQ!AJ37</f>
        <v/>
      </c>
      <c r="AK42" s="32" t="n"/>
      <c r="AL42" s="32" t="n"/>
      <c r="AM42" s="32" t="n"/>
      <c r="AN42" s="30" t="n">
        <v>0</v>
      </c>
      <c r="AO42" s="31">
        <f>subQ!AO37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2190</v>
      </c>
      <c r="E45" s="2" t="inlineStr">
        <is>
          <t>원 — 네이버 정규장 종가(aik 확정종가 대조 · aik 2,205원)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20261019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24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30" t="n">
        <v>10</v>
      </c>
      <c r="E48" s="2" t="inlineStr">
        <is>
          <t>PER 밴드 하단(배) — sector_default(레퍼런스 TP_PE PB 예시 10/15/20배; 과거 양(+)EPS 분기 1개 &lt; 4)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30" t="n">
        <v>15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30" t="n">
        <v>20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24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0.2291</v>
      </c>
      <c r="E52" s="2" t="inlineStr">
        <is>
          <t>참고(연결 안 됨: MAX(세전,0)×단일 세율로 재현 불가(지주 자회사 합산 등) → 분기별 역산) — 모델 assumptions 값 · 최근 12분기 세전 합 ≤ 0 → 클립 대신 최근 8분기 중 세전 &gt; 0 인 2분기(2025Q1~2026Q2)의 법인세/세전 중위 22.9%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0.07847519753849203</v>
      </c>
      <c r="E53" s="2" t="inlineStr">
        <is>
          <t>연결 — 판관비 = 매출액 × 판관비율(역산, 재현 오차 ≤ 0.05억 · 모델 assumptions 0.0785)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1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0.09303260255191062</v>
      </c>
      <c r="E55" s="2" t="inlineStr">
        <is>
          <t>연결 — 이자손익 = (전분기 이자발생자산 × 자산이자율 − 전분기 총차입금 × 부채이자율)/4(역산, 재현 오차 ≤ 0.05억 · 모델 assumptions 0.093)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0.05698268810235374</v>
      </c>
      <c r="E56" s="2" t="inlineStr">
        <is>
          <t>연결 — 같은 수식의 부채 쪽(총차입금 행이 없으면 0)(역산, 재현 오차 ≤ 0.05억 · 모델 assumptions 0.057)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24" t="n"/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30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24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영흥(연)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242197.5</v>
      </c>
      <c r="F5" s="37" t="n">
        <v>242197.5</v>
      </c>
      <c r="G5" s="18" t="n">
        <v>257229.62</v>
      </c>
      <c r="H5" s="18" t="n">
        <v>283835.52</v>
      </c>
      <c r="I5" s="18" t="n">
        <v>266355.06</v>
      </c>
      <c r="J5" s="18" t="n">
        <v>273435.84</v>
      </c>
      <c r="K5" s="37" t="n">
        <v>273435.84</v>
      </c>
      <c r="L5" s="18" t="n">
        <v>267898.7</v>
      </c>
      <c r="M5" s="18" t="n">
        <v>267020.11</v>
      </c>
      <c r="N5" s="18" t="n">
        <v>258764.33</v>
      </c>
      <c r="O5" s="18" t="n">
        <v>262428.63</v>
      </c>
      <c r="P5" s="37" t="n">
        <v>262428.63</v>
      </c>
      <c r="Q5" s="18" t="n">
        <v>282515.78</v>
      </c>
      <c r="R5" s="18" t="n">
        <v>273846.39</v>
      </c>
      <c r="S5" s="18" t="n">
        <v>264994.74</v>
      </c>
      <c r="T5" s="18" t="n">
        <v>243785.08</v>
      </c>
      <c r="U5" s="37" t="n">
        <v>243785.08</v>
      </c>
      <c r="V5" s="18" t="n">
        <v>222758.63</v>
      </c>
      <c r="W5" s="18" t="n">
        <v>245765.39</v>
      </c>
      <c r="X5" s="18" t="n">
        <v>232796.09</v>
      </c>
      <c r="Y5" s="18" t="n">
        <v>250698.06</v>
      </c>
      <c r="Z5" s="37" t="n">
        <v>250698.06</v>
      </c>
      <c r="AA5" s="18" t="n">
        <v>244058.04</v>
      </c>
      <c r="AB5" s="19" t="n">
        <v>243711.53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12141.94</v>
      </c>
      <c r="F6" s="37" t="n">
        <v>12141.94</v>
      </c>
      <c r="G6" s="18" t="n">
        <v>14196.15</v>
      </c>
      <c r="H6" s="18" t="n">
        <v>20665.07</v>
      </c>
      <c r="I6" s="18" t="n">
        <v>11166.26</v>
      </c>
      <c r="J6" s="18" t="n">
        <v>17308.1</v>
      </c>
      <c r="K6" s="37" t="n">
        <v>17308.1</v>
      </c>
      <c r="L6" s="18" t="n">
        <v>7896</v>
      </c>
      <c r="M6" s="18" t="n">
        <v>12652.42</v>
      </c>
      <c r="N6" s="18" t="n">
        <v>11742.51</v>
      </c>
      <c r="O6" s="18" t="n">
        <v>10693.65</v>
      </c>
      <c r="P6" s="37" t="n">
        <v>10693.65</v>
      </c>
      <c r="Q6" s="18" t="n">
        <v>10977.25</v>
      </c>
      <c r="R6" s="18" t="n">
        <v>8498.27</v>
      </c>
      <c r="S6" s="18" t="n">
        <v>8719.82</v>
      </c>
      <c r="T6" s="18" t="n">
        <v>9952.200000000001</v>
      </c>
      <c r="U6" s="37" t="n">
        <v>9952.200000000001</v>
      </c>
      <c r="V6" s="18" t="n">
        <v>12303.56</v>
      </c>
      <c r="W6" s="18" t="n">
        <v>14386.45</v>
      </c>
      <c r="X6" s="18" t="n">
        <v>11199.33</v>
      </c>
      <c r="Y6" s="18" t="n">
        <v>10981.3</v>
      </c>
      <c r="Z6" s="37" t="n">
        <v>10981.3</v>
      </c>
      <c r="AA6" s="18" t="n">
        <v>8450.549999999999</v>
      </c>
      <c r="AB6" s="19" t="n">
        <v>6889.74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103115.2</v>
      </c>
      <c r="F7" s="37" t="n">
        <v>103115.2</v>
      </c>
      <c r="G7" s="18" t="n">
        <v>114459.5</v>
      </c>
      <c r="H7" s="18" t="n">
        <v>118090.8</v>
      </c>
      <c r="I7" s="18" t="n">
        <v>120367.12</v>
      </c>
      <c r="J7" s="18" t="n">
        <v>120372.16</v>
      </c>
      <c r="K7" s="37" t="n">
        <v>120372.16</v>
      </c>
      <c r="L7" s="18" t="n">
        <v>115048.36</v>
      </c>
      <c r="M7" s="18" t="n">
        <v>115923.64</v>
      </c>
      <c r="N7" s="18" t="n">
        <v>113183.25</v>
      </c>
      <c r="O7" s="18" t="n">
        <v>107004.35</v>
      </c>
      <c r="P7" s="37" t="n">
        <v>107004.35</v>
      </c>
      <c r="Q7" s="18" t="n">
        <v>4652.7</v>
      </c>
      <c r="R7" s="18" t="n">
        <v>2720.48</v>
      </c>
      <c r="S7" s="18" t="n">
        <v>98834.17999999999</v>
      </c>
      <c r="T7" s="18" t="n">
        <v>105472.57</v>
      </c>
      <c r="U7" s="37" t="n">
        <v>105472.57</v>
      </c>
      <c r="V7" s="18" t="n">
        <v>104755.85</v>
      </c>
      <c r="W7" s="18" t="n">
        <v>96159.92999999999</v>
      </c>
      <c r="X7" s="18" t="n">
        <v>92355.53999999999</v>
      </c>
      <c r="Y7" s="18" t="n">
        <v>82699.78999999999</v>
      </c>
      <c r="Z7" s="37" t="n">
        <v>82699.78999999999</v>
      </c>
      <c r="AA7" s="18" t="n">
        <v>82708.05</v>
      </c>
      <c r="AB7" s="19" t="n">
        <v>85802.92999999999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123761.31</v>
      </c>
      <c r="F8" s="37" t="n">
        <v>123761.31</v>
      </c>
      <c r="G8" s="18" t="n">
        <v>123535.65</v>
      </c>
      <c r="H8" s="18" t="n">
        <v>140504.73</v>
      </c>
      <c r="I8" s="18" t="n">
        <v>129123.3</v>
      </c>
      <c r="J8" s="18" t="n">
        <v>129965.2</v>
      </c>
      <c r="K8" s="37" t="n">
        <v>129965.2</v>
      </c>
      <c r="L8" s="18" t="n">
        <v>141182.67</v>
      </c>
      <c r="M8" s="18" t="n">
        <v>132090.21</v>
      </c>
      <c r="N8" s="18" t="n">
        <v>127148.85</v>
      </c>
      <c r="O8" s="18" t="n">
        <v>120658.04</v>
      </c>
      <c r="P8" s="37" t="n">
        <v>120658.04</v>
      </c>
      <c r="Q8" s="18" t="n">
        <v>130520.75</v>
      </c>
      <c r="R8" s="18" t="n">
        <v>132701.91</v>
      </c>
      <c r="S8" s="18" t="n">
        <v>126953.67</v>
      </c>
      <c r="T8" s="18" t="n">
        <v>111144.98</v>
      </c>
      <c r="U8" s="37" t="n">
        <v>111144.98</v>
      </c>
      <c r="V8" s="18" t="n">
        <v>92656.48</v>
      </c>
      <c r="W8" s="18" t="n">
        <v>87833.39999999999</v>
      </c>
      <c r="X8" s="18" t="n">
        <v>80213.52</v>
      </c>
      <c r="Y8" s="18" t="n">
        <v>84349.72</v>
      </c>
      <c r="Z8" s="37" t="n">
        <v>84349.72</v>
      </c>
      <c r="AA8" s="18" t="n">
        <v>84020.84</v>
      </c>
      <c r="AB8" s="19" t="n">
        <v>84189.36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당기법인세자산(선급법인세)</t>
        </is>
      </c>
      <c r="E9" s="18" t="n">
        <v>54.69</v>
      </c>
      <c r="F9" s="37" t="n">
        <v>54.69</v>
      </c>
      <c r="G9" s="18" t="n">
        <v>75.29000000000001</v>
      </c>
      <c r="H9" s="18" t="n">
        <v>37.79</v>
      </c>
      <c r="I9" s="18" t="n">
        <v>71.44</v>
      </c>
      <c r="J9" s="18" t="n">
        <v>180.72</v>
      </c>
      <c r="K9" s="37" t="n">
        <v>180.72</v>
      </c>
      <c r="L9" s="18" t="n">
        <v>180.82</v>
      </c>
      <c r="M9" s="18" t="n">
        <v>11.39</v>
      </c>
      <c r="N9" s="18" t="n">
        <v>13.04</v>
      </c>
      <c r="O9" s="18" t="n">
        <v>13.05</v>
      </c>
      <c r="P9" s="37" t="n">
        <v>13.05</v>
      </c>
      <c r="Q9" s="18" t="n">
        <v>25.48</v>
      </c>
      <c r="R9" s="18" t="n">
        <v>10.2</v>
      </c>
      <c r="S9" s="18" t="n">
        <v>65.89</v>
      </c>
      <c r="T9" s="18" t="n">
        <v>0</v>
      </c>
      <c r="U9" s="37" t="n">
        <v>0</v>
      </c>
      <c r="V9" s="18" t="n">
        <v>23.54</v>
      </c>
      <c r="W9" s="18" t="n">
        <v>46.86</v>
      </c>
      <c r="X9" s="18" t="n">
        <v>89.73</v>
      </c>
      <c r="Y9" s="18" t="n">
        <v>128.81</v>
      </c>
      <c r="Z9" s="37" t="n">
        <v>128.81</v>
      </c>
      <c r="AA9" s="18" t="n">
        <v>62.71</v>
      </c>
      <c r="AB9" s="19" t="n">
        <v>106.1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3124.35</v>
      </c>
      <c r="F10" s="37" t="n">
        <v>3124.35</v>
      </c>
      <c r="G10" s="18" t="n">
        <v>4963.03</v>
      </c>
      <c r="H10" s="18" t="n">
        <v>4537.13</v>
      </c>
      <c r="I10" s="18" t="n">
        <v>3000.04</v>
      </c>
      <c r="J10" s="18" t="n">
        <v>2523.38</v>
      </c>
      <c r="K10" s="37" t="n">
        <v>2523.38</v>
      </c>
      <c r="L10" s="18" t="n">
        <v>3496.34</v>
      </c>
      <c r="M10" s="18" t="n">
        <v>2123.46</v>
      </c>
      <c r="N10" s="18" t="n">
        <v>2460.4</v>
      </c>
      <c r="O10" s="18" t="n">
        <v>1636.69</v>
      </c>
      <c r="P10" s="37" t="n">
        <v>1636.69</v>
      </c>
      <c r="Q10" s="18" t="n">
        <v>2662.46</v>
      </c>
      <c r="R10" s="18" t="n">
        <v>1805.61</v>
      </c>
      <c r="S10" s="18" t="n">
        <v>2165.68</v>
      </c>
      <c r="T10" s="18" t="n">
        <v>2468.44</v>
      </c>
      <c r="U10" s="37" t="n">
        <v>2468.44</v>
      </c>
      <c r="V10" s="18" t="n">
        <v>2263.09</v>
      </c>
      <c r="W10" s="18" t="n">
        <v>2084.75</v>
      </c>
      <c r="X10" s="18" t="n">
        <v>3683.96</v>
      </c>
      <c r="Y10" s="18" t="n">
        <v>4685.06</v>
      </c>
      <c r="Z10" s="37" t="n">
        <v>4685.06</v>
      </c>
      <c r="AA10" s="18" t="n">
        <v>9229.790000000001</v>
      </c>
      <c r="AB10" s="19" t="n">
        <v>9313.92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276763.56</v>
      </c>
      <c r="F11" s="37" t="n">
        <v>276763.56</v>
      </c>
      <c r="G11" s="18" t="n">
        <v>274207.76</v>
      </c>
      <c r="H11" s="18" t="n">
        <v>274008.22</v>
      </c>
      <c r="I11" s="18" t="n">
        <v>269826.5</v>
      </c>
      <c r="J11" s="18" t="n">
        <v>262248.66</v>
      </c>
      <c r="K11" s="37" t="n">
        <v>262248.66</v>
      </c>
      <c r="L11" s="18" t="n">
        <v>260318.99</v>
      </c>
      <c r="M11" s="18" t="n">
        <v>255499.34</v>
      </c>
      <c r="N11" s="18" t="n">
        <v>255463.62</v>
      </c>
      <c r="O11" s="18" t="n">
        <v>281674.2</v>
      </c>
      <c r="P11" s="37" t="n">
        <v>281674.2</v>
      </c>
      <c r="Q11" s="18" t="n">
        <v>279624.19</v>
      </c>
      <c r="R11" s="18" t="n">
        <v>282181.74</v>
      </c>
      <c r="S11" s="18" t="n">
        <v>271154.45</v>
      </c>
      <c r="T11" s="18" t="n">
        <v>269611.03</v>
      </c>
      <c r="U11" s="37" t="n">
        <v>269611.03</v>
      </c>
      <c r="V11" s="18" t="n">
        <v>266348.32</v>
      </c>
      <c r="W11" s="18" t="n">
        <v>203522.89</v>
      </c>
      <c r="X11" s="18" t="n">
        <v>197868.21</v>
      </c>
      <c r="Y11" s="18" t="n">
        <v>149129.23</v>
      </c>
      <c r="Z11" s="37" t="n">
        <v>149129.23</v>
      </c>
      <c r="AA11" s="18" t="n">
        <v>145564.36</v>
      </c>
      <c r="AB11" s="19" t="n">
        <v>146793.08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2500.98</v>
      </c>
      <c r="F12" s="37" t="n">
        <v>2500.98</v>
      </c>
      <c r="G12" s="18" t="n">
        <v>2141.85</v>
      </c>
      <c r="H12" s="18" t="n">
        <v>2719.21</v>
      </c>
      <c r="I12" s="18" t="n">
        <v>2169.34</v>
      </c>
      <c r="J12" s="18" t="n">
        <v>1236.1</v>
      </c>
      <c r="K12" s="37" t="n">
        <v>1236.1</v>
      </c>
      <c r="L12" s="18" t="n">
        <v>1149.53</v>
      </c>
      <c r="M12" s="18" t="n">
        <v>1296.68</v>
      </c>
      <c r="N12" s="18" t="n">
        <v>921.1900000000001</v>
      </c>
      <c r="O12" s="18" t="n">
        <v>1634.75</v>
      </c>
      <c r="P12" s="37" t="n">
        <v>1634.75</v>
      </c>
      <c r="Q12" s="18" t="n">
        <v>492.46</v>
      </c>
      <c r="R12" s="18" t="n">
        <v>728.25</v>
      </c>
      <c r="S12" s="18" t="n">
        <v>700.17</v>
      </c>
      <c r="T12" s="18" t="n">
        <v>600.15</v>
      </c>
      <c r="U12" s="37" t="n">
        <v>600.15</v>
      </c>
      <c r="V12" s="18" t="n">
        <v>-146.2</v>
      </c>
      <c r="W12" s="18" t="n">
        <v>126.22</v>
      </c>
      <c r="X12" s="18" t="n">
        <v>29.65</v>
      </c>
      <c r="Y12" s="18" t="n">
        <v>39.45</v>
      </c>
      <c r="Z12" s="37" t="n">
        <v>39.45</v>
      </c>
      <c r="AA12" s="18" t="n">
        <v>1791.31</v>
      </c>
      <c r="AB12" s="19" t="n">
        <v>2526.32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2707.66</v>
      </c>
      <c r="F13" s="37" t="n">
        <v>2707.66</v>
      </c>
      <c r="G13" s="18" t="n">
        <v>3730.69</v>
      </c>
      <c r="H13" s="18" t="n">
        <v>4814.13</v>
      </c>
      <c r="I13" s="18" t="n">
        <v>5185.22</v>
      </c>
      <c r="J13" s="18" t="n">
        <v>4191.95</v>
      </c>
      <c r="K13" s="37" t="n">
        <v>4191.95</v>
      </c>
      <c r="L13" s="18" t="n">
        <v>4154.73</v>
      </c>
      <c r="M13" s="18" t="n">
        <v>4156.28</v>
      </c>
      <c r="N13" s="18" t="n">
        <v>3744.84</v>
      </c>
      <c r="O13" s="18" t="n">
        <v>4290.52</v>
      </c>
      <c r="P13" s="37" t="n">
        <v>4290.52</v>
      </c>
      <c r="Q13" s="18" t="n">
        <v>3089.78</v>
      </c>
      <c r="R13" s="18" t="n">
        <v>3094.69</v>
      </c>
      <c r="S13" s="18" t="n">
        <v>3164.65</v>
      </c>
      <c r="T13" s="18" t="n">
        <v>2944.87</v>
      </c>
      <c r="U13" s="37" t="n">
        <v>2944.87</v>
      </c>
      <c r="V13" s="18" t="n">
        <v>2263.43</v>
      </c>
      <c r="W13" s="18" t="n">
        <v>2149.89</v>
      </c>
      <c r="X13" s="18" t="n">
        <v>1961.35</v>
      </c>
      <c r="Y13" s="18" t="n">
        <v>1870.66</v>
      </c>
      <c r="Z13" s="37" t="n">
        <v>1870.66</v>
      </c>
      <c r="AA13" s="18" t="n">
        <v>3706.53</v>
      </c>
      <c r="AB13" s="19" t="n">
        <v>4434.8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383.55</v>
      </c>
      <c r="F14" s="37" t="n">
        <v>383.55</v>
      </c>
      <c r="G14" s="18" t="n">
        <v>363.6</v>
      </c>
      <c r="H14" s="18" t="n">
        <v>343.65</v>
      </c>
      <c r="I14" s="18" t="n">
        <v>323.7</v>
      </c>
      <c r="J14" s="18" t="n">
        <v>303.75</v>
      </c>
      <c r="K14" s="37" t="n">
        <v>303.75</v>
      </c>
      <c r="L14" s="18" t="n">
        <v>283.8</v>
      </c>
      <c r="M14" s="18" t="n">
        <v>90.86</v>
      </c>
      <c r="N14" s="18" t="n">
        <v>59.85</v>
      </c>
      <c r="O14" s="18" t="n">
        <v>39.9</v>
      </c>
      <c r="P14" s="37" t="n">
        <v>39.9</v>
      </c>
      <c r="Q14" s="18" t="n">
        <v>19.95</v>
      </c>
      <c r="U14" s="9" t="n"/>
      <c r="Y14" s="18" t="n">
        <v>1921.1</v>
      </c>
      <c r="Z14" s="37" t="n">
        <v>1921.1</v>
      </c>
      <c r="AB14" s="19" t="n">
        <v>2475.96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종속기업및관계기업투자</t>
        </is>
      </c>
      <c r="E15" s="18" t="n">
        <v>206.68</v>
      </c>
      <c r="F15" s="37" t="n">
        <v>206.68</v>
      </c>
      <c r="G15" s="18" t="n">
        <v>1588.84</v>
      </c>
      <c r="H15" s="18" t="n">
        <v>2094.92</v>
      </c>
      <c r="I15" s="18" t="n">
        <v>3015.88</v>
      </c>
      <c r="J15" s="18" t="n">
        <v>2955.85</v>
      </c>
      <c r="K15" s="37" t="n">
        <v>2955.85</v>
      </c>
      <c r="L15" s="18" t="n">
        <v>3005.2</v>
      </c>
      <c r="M15" s="18" t="n">
        <v>2859.6</v>
      </c>
      <c r="N15" s="18" t="n">
        <v>2823.65</v>
      </c>
      <c r="O15" s="18" t="n">
        <v>2655.77</v>
      </c>
      <c r="P15" s="37" t="n">
        <v>2655.77</v>
      </c>
      <c r="Q15" s="18" t="n">
        <v>2597.32</v>
      </c>
      <c r="R15" s="18" t="n">
        <v>2366.44</v>
      </c>
      <c r="S15" s="18" t="n">
        <v>2464.48</v>
      </c>
      <c r="T15" s="18" t="n">
        <v>2344.72</v>
      </c>
      <c r="U15" s="37" t="n">
        <v>2344.72</v>
      </c>
      <c r="V15" s="18" t="n">
        <v>2409.63</v>
      </c>
      <c r="W15" s="18" t="n">
        <v>2023.67</v>
      </c>
      <c r="X15" s="18" t="n">
        <v>1931.7</v>
      </c>
      <c r="Y15" s="18" t="n">
        <v>1831.21</v>
      </c>
      <c r="Z15" s="37" t="n">
        <v>1831.21</v>
      </c>
      <c r="AA15" s="18" t="n">
        <v>1915.22</v>
      </c>
      <c r="AB15" s="19" t="n">
        <v>1908.48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239919.05</v>
      </c>
      <c r="F16" s="37" t="n">
        <v>239919.05</v>
      </c>
      <c r="G16" s="18" t="n">
        <v>237492.95</v>
      </c>
      <c r="H16" s="18" t="n">
        <v>235698.71</v>
      </c>
      <c r="I16" s="18" t="n">
        <v>234487.91</v>
      </c>
      <c r="J16" s="18" t="n">
        <v>230616.32</v>
      </c>
      <c r="K16" s="37" t="n">
        <v>230616.32</v>
      </c>
      <c r="L16" s="18" t="n">
        <v>229419.69</v>
      </c>
      <c r="M16" s="18" t="n">
        <v>227530.58</v>
      </c>
      <c r="N16" s="18" t="n">
        <v>228349.07</v>
      </c>
      <c r="O16" s="18" t="n">
        <v>258636.99</v>
      </c>
      <c r="P16" s="37" t="n">
        <v>258636.99</v>
      </c>
      <c r="Q16" s="18" t="n">
        <v>257152.14</v>
      </c>
      <c r="R16" s="18" t="n">
        <v>256891.35</v>
      </c>
      <c r="S16" s="18" t="n">
        <v>245788.81</v>
      </c>
      <c r="T16" s="18" t="n">
        <v>240474.8</v>
      </c>
      <c r="U16" s="37" t="n">
        <v>240474.8</v>
      </c>
      <c r="V16" s="18" t="n">
        <v>239800.62</v>
      </c>
      <c r="W16" s="18" t="n">
        <v>177882.57</v>
      </c>
      <c r="X16" s="18" t="n">
        <v>173162.02</v>
      </c>
      <c r="Y16" s="18" t="n">
        <v>125591.32</v>
      </c>
      <c r="Z16" s="37" t="n">
        <v>125591.32</v>
      </c>
      <c r="AA16" s="18" t="n">
        <v>123375.54</v>
      </c>
      <c r="AB16" s="19" t="n">
        <v>123100.04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투자부동산</t>
        </is>
      </c>
      <c r="E17" s="18" t="n">
        <v>2640.39</v>
      </c>
      <c r="F17" s="37" t="n">
        <v>2640.39</v>
      </c>
      <c r="G17" s="18" t="n">
        <v>2634.61</v>
      </c>
      <c r="H17" s="18" t="n">
        <v>2628.82</v>
      </c>
      <c r="K17" s="9" t="n"/>
      <c r="M17" s="18" t="n">
        <v>1612.98</v>
      </c>
      <c r="N17" s="18" t="n">
        <v>1652.3</v>
      </c>
      <c r="P17" s="9" t="n"/>
      <c r="U17" s="9" t="n"/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4897.58</v>
      </c>
      <c r="F18" s="37" t="n">
        <v>4897.58</v>
      </c>
      <c r="G18" s="18" t="n">
        <v>4703.51</v>
      </c>
      <c r="H18" s="18" t="n">
        <v>5220.52</v>
      </c>
      <c r="I18" s="18" t="n">
        <v>5336.87</v>
      </c>
      <c r="J18" s="18" t="n">
        <v>4896.03</v>
      </c>
      <c r="K18" s="37" t="n">
        <v>4896.03</v>
      </c>
      <c r="L18" s="18" t="n">
        <v>4965.52</v>
      </c>
      <c r="M18" s="18" t="n">
        <v>1459.7</v>
      </c>
      <c r="N18" s="18" t="n">
        <v>1585.21</v>
      </c>
      <c r="O18" s="18" t="n">
        <v>1528.34</v>
      </c>
      <c r="P18" s="37" t="n">
        <v>1528.34</v>
      </c>
      <c r="Q18" s="18" t="n">
        <v>2160.77</v>
      </c>
      <c r="R18" s="18" t="n">
        <v>1943.9</v>
      </c>
      <c r="S18" s="18" t="n">
        <v>1830.58</v>
      </c>
      <c r="T18" s="18" t="n">
        <v>1349.11</v>
      </c>
      <c r="U18" s="37" t="n">
        <v>1349.11</v>
      </c>
      <c r="V18" s="18" t="n">
        <v>1336.42</v>
      </c>
      <c r="W18" s="18" t="n">
        <v>2079.97</v>
      </c>
      <c r="X18" s="18" t="n">
        <v>2005.94</v>
      </c>
      <c r="Y18" s="18" t="n">
        <v>2087.38</v>
      </c>
      <c r="Z18" s="37" t="n">
        <v>2087.38</v>
      </c>
      <c r="AA18" s="18" t="n">
        <v>1060.61</v>
      </c>
      <c r="AB18" s="19" t="n">
        <v>1147.31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4945.13</v>
      </c>
      <c r="F19" s="37" t="n">
        <v>4945.13</v>
      </c>
      <c r="G19" s="18" t="n">
        <v>4748.53</v>
      </c>
      <c r="H19" s="18" t="n">
        <v>5277.71</v>
      </c>
      <c r="I19" s="18" t="n">
        <v>5398.36</v>
      </c>
      <c r="J19" s="18" t="n">
        <v>7663.76</v>
      </c>
      <c r="K19" s="37" t="n">
        <v>7663.76</v>
      </c>
      <c r="L19" s="18" t="n">
        <v>7525.57</v>
      </c>
      <c r="M19" s="18" t="n">
        <v>3855.9</v>
      </c>
      <c r="N19" s="18" t="n">
        <v>3967.18</v>
      </c>
      <c r="O19" s="18" t="n">
        <v>1773.81</v>
      </c>
      <c r="P19" s="37" t="n">
        <v>1773.81</v>
      </c>
      <c r="Q19" s="18" t="n">
        <v>2212.57</v>
      </c>
      <c r="R19" s="18" t="n">
        <v>1991.1</v>
      </c>
      <c r="S19" s="18" t="n">
        <v>1875.46</v>
      </c>
      <c r="T19" s="18" t="n">
        <v>1349.11</v>
      </c>
      <c r="U19" s="37" t="n">
        <v>1349.11</v>
      </c>
      <c r="V19" s="18" t="n">
        <v>1336.42</v>
      </c>
      <c r="W19" s="18" t="n">
        <v>2079.97</v>
      </c>
      <c r="X19" s="18" t="n">
        <v>2005.94</v>
      </c>
      <c r="Y19" s="18" t="n">
        <v>2099.36</v>
      </c>
      <c r="Z19" s="37" t="n">
        <v>2099.36</v>
      </c>
      <c r="AA19" s="18" t="n">
        <v>1072.59</v>
      </c>
      <c r="AB19" s="19" t="n">
        <v>1147.31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19680.43</v>
      </c>
      <c r="F20" s="37" t="n">
        <v>19680.43</v>
      </c>
      <c r="G20" s="18" t="n">
        <v>19093.78</v>
      </c>
      <c r="H20" s="18" t="n">
        <v>18525.95</v>
      </c>
      <c r="I20" s="18" t="n">
        <v>17980.26</v>
      </c>
      <c r="J20" s="18" t="n">
        <v>17311.7</v>
      </c>
      <c r="K20" s="37" t="n">
        <v>17311.7</v>
      </c>
      <c r="L20" s="18" t="n">
        <v>16735.01</v>
      </c>
      <c r="M20" s="18" t="n">
        <v>16134.7</v>
      </c>
      <c r="N20" s="18" t="n">
        <v>15533.31</v>
      </c>
      <c r="O20" s="18" t="n">
        <v>14666.31</v>
      </c>
      <c r="P20" s="37" t="n">
        <v>14666.31</v>
      </c>
      <c r="Q20" s="18" t="n">
        <v>14082.01</v>
      </c>
      <c r="R20" s="18" t="n">
        <v>16645.74</v>
      </c>
      <c r="S20" s="18" t="n">
        <v>16551.91</v>
      </c>
      <c r="T20" s="18" t="n">
        <v>12662.67</v>
      </c>
      <c r="U20" s="37" t="n">
        <v>12662.67</v>
      </c>
      <c r="V20" s="18" t="n">
        <v>11722.73</v>
      </c>
      <c r="W20" s="18" t="n">
        <v>11352.87</v>
      </c>
      <c r="X20" s="18" t="n">
        <v>10911.51</v>
      </c>
      <c r="Y20" s="18" t="n">
        <v>10541.89</v>
      </c>
      <c r="Z20" s="37" t="n">
        <v>10541.89</v>
      </c>
      <c r="AA20" s="18" t="n">
        <v>10150.24</v>
      </c>
      <c r="AB20" s="19" t="n">
        <v>10143.76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E21" s="18" t="n">
        <v>1550.54</v>
      </c>
      <c r="F21" s="37" t="n">
        <v>1550.54</v>
      </c>
      <c r="G21" s="18" t="n">
        <v>1550.54</v>
      </c>
      <c r="H21" s="18" t="n">
        <v>1930.54</v>
      </c>
      <c r="I21" s="18" t="n">
        <v>1936.88</v>
      </c>
      <c r="J21" s="18" t="n">
        <v>26.46</v>
      </c>
      <c r="K21" s="37" t="n">
        <v>26.46</v>
      </c>
      <c r="L21" s="18" t="n">
        <v>27.22</v>
      </c>
      <c r="M21" s="18" t="n">
        <v>27.41</v>
      </c>
      <c r="N21" s="18" t="n">
        <v>28.07</v>
      </c>
      <c r="O21" s="18" t="n">
        <v>22.18</v>
      </c>
      <c r="P21" s="37" t="n">
        <v>22.18</v>
      </c>
      <c r="Q21" s="18" t="n">
        <v>809.66</v>
      </c>
      <c r="R21" s="18" t="n">
        <v>983.74</v>
      </c>
      <c r="S21" s="18" t="n">
        <v>1143.55</v>
      </c>
      <c r="T21" s="18" t="n">
        <v>6029.07</v>
      </c>
      <c r="U21" s="37" t="n">
        <v>6029.07</v>
      </c>
      <c r="V21" s="18" t="n">
        <v>5454.87</v>
      </c>
      <c r="W21" s="18" t="n">
        <v>5409.69</v>
      </c>
      <c r="X21" s="18" t="n">
        <v>4962.87</v>
      </c>
      <c r="Y21" s="18" t="n">
        <v>5559.29</v>
      </c>
      <c r="Z21" s="37" t="n">
        <v>5559.29</v>
      </c>
      <c r="AA21" s="18" t="n">
        <v>5273.01</v>
      </c>
      <c r="AB21" s="19" t="n">
        <v>5491.2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518961.06</v>
      </c>
      <c r="F22" s="37" t="n">
        <v>518961.06</v>
      </c>
      <c r="G22" s="18" t="n">
        <v>531437.39</v>
      </c>
      <c r="H22" s="18" t="n">
        <v>557843.74</v>
      </c>
      <c r="I22" s="18" t="n">
        <v>536181.5600000001</v>
      </c>
      <c r="J22" s="18" t="n">
        <v>535684.5</v>
      </c>
      <c r="K22" s="37" t="n">
        <v>535684.5</v>
      </c>
      <c r="L22" s="18" t="n">
        <v>528217.6899999999</v>
      </c>
      <c r="M22" s="18" t="n">
        <v>522519.45</v>
      </c>
      <c r="N22" s="18" t="n">
        <v>514227.95</v>
      </c>
      <c r="O22" s="18" t="n">
        <v>544102.83</v>
      </c>
      <c r="P22" s="37" t="n">
        <v>544102.83</v>
      </c>
      <c r="Q22" s="18" t="n">
        <v>562139.97</v>
      </c>
      <c r="R22" s="18" t="n">
        <v>556028.14</v>
      </c>
      <c r="S22" s="18" t="n">
        <v>536149.2</v>
      </c>
      <c r="T22" s="18" t="n">
        <v>513396.1</v>
      </c>
      <c r="U22" s="37" t="n">
        <v>513396.1</v>
      </c>
      <c r="V22" s="18" t="n">
        <v>489106.95</v>
      </c>
      <c r="W22" s="18" t="n">
        <v>449288.28</v>
      </c>
      <c r="X22" s="18" t="n">
        <v>430664.3</v>
      </c>
      <c r="Y22" s="18" t="n">
        <v>399827.28</v>
      </c>
      <c r="Z22" s="37" t="n">
        <v>399827.28</v>
      </c>
      <c r="AA22" s="18" t="n">
        <v>389622.4</v>
      </c>
      <c r="AB22" s="19" t="n">
        <v>390504.61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227367.77</v>
      </c>
      <c r="F23" s="37" t="n">
        <v>227367.77</v>
      </c>
      <c r="G23" s="18" t="n">
        <v>234813.89</v>
      </c>
      <c r="H23" s="18" t="n">
        <v>267634.17</v>
      </c>
      <c r="I23" s="18" t="n">
        <v>247355.69</v>
      </c>
      <c r="J23" s="18" t="n">
        <v>258920.5</v>
      </c>
      <c r="K23" s="37" t="n">
        <v>258920.5</v>
      </c>
      <c r="L23" s="18" t="n">
        <v>258290.3</v>
      </c>
      <c r="M23" s="18" t="n">
        <v>267833.21</v>
      </c>
      <c r="N23" s="18" t="n">
        <v>262558.71</v>
      </c>
      <c r="O23" s="18" t="n">
        <v>250149.72</v>
      </c>
      <c r="P23" s="37" t="n">
        <v>250149.72</v>
      </c>
      <c r="Q23" s="18" t="n">
        <v>272901.88</v>
      </c>
      <c r="R23" s="18" t="n">
        <v>267104.06</v>
      </c>
      <c r="S23" s="18" t="n">
        <v>252114.67</v>
      </c>
      <c r="T23" s="18" t="n">
        <v>239390.59</v>
      </c>
      <c r="U23" s="37" t="n">
        <v>239390.59</v>
      </c>
      <c r="V23" s="18" t="n">
        <v>217873.28</v>
      </c>
      <c r="W23" s="18" t="n">
        <v>218537.12</v>
      </c>
      <c r="X23" s="18" t="n">
        <v>213078.4</v>
      </c>
      <c r="Y23" s="18" t="n">
        <v>199657.31</v>
      </c>
      <c r="Z23" s="37" t="n">
        <v>199657.31</v>
      </c>
      <c r="AA23" s="18" t="n">
        <v>191560.33</v>
      </c>
      <c r="AB23" s="19" t="n">
        <v>184929.31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69523.35000000001</v>
      </c>
      <c r="F24" s="37" t="n">
        <v>69523.35000000001</v>
      </c>
      <c r="G24" s="18" t="n">
        <v>75572.47</v>
      </c>
      <c r="H24" s="18" t="n">
        <v>74602.98</v>
      </c>
      <c r="I24" s="18" t="n">
        <v>61280.35</v>
      </c>
      <c r="J24" s="18" t="n">
        <v>63763.3</v>
      </c>
      <c r="K24" s="37" t="n">
        <v>63763.3</v>
      </c>
      <c r="L24" s="18" t="n">
        <v>74497.36</v>
      </c>
      <c r="M24" s="18" t="n">
        <v>71402.85000000001</v>
      </c>
      <c r="N24" s="18" t="n">
        <v>72070.14</v>
      </c>
      <c r="O24" s="18" t="n">
        <v>68812.44</v>
      </c>
      <c r="P24" s="37" t="n">
        <v>68812.44</v>
      </c>
      <c r="Q24" s="18" t="n">
        <v>79723.95</v>
      </c>
      <c r="R24" s="18" t="n">
        <v>79941.61</v>
      </c>
      <c r="S24" s="18" t="n">
        <v>69233.21000000001</v>
      </c>
      <c r="T24" s="18" t="n">
        <v>68145.14999999999</v>
      </c>
      <c r="U24" s="37" t="n">
        <v>68145.14999999999</v>
      </c>
      <c r="V24" s="18" t="n">
        <v>59402.17</v>
      </c>
      <c r="W24" s="18" t="n">
        <v>67871.60000000001</v>
      </c>
      <c r="X24" s="18" t="n">
        <v>64564.06</v>
      </c>
      <c r="Y24" s="18" t="n">
        <v>60123.73</v>
      </c>
      <c r="Z24" s="37" t="n">
        <v>60123.73</v>
      </c>
      <c r="AA24" s="18" t="n">
        <v>60397.11</v>
      </c>
      <c r="AB24" s="19" t="n">
        <v>68704.56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128047.99</v>
      </c>
      <c r="F25" s="37" t="n">
        <v>128047.99</v>
      </c>
      <c r="G25" s="18" t="n">
        <v>129056.26</v>
      </c>
      <c r="H25" s="18" t="n">
        <v>147198.76</v>
      </c>
      <c r="I25" s="18" t="n">
        <v>149378.34</v>
      </c>
      <c r="J25" s="18" t="n">
        <v>160834.85</v>
      </c>
      <c r="K25" s="37" t="n">
        <v>160834.85</v>
      </c>
      <c r="L25" s="18" t="n">
        <v>152352.87</v>
      </c>
      <c r="M25" s="18" t="n">
        <v>148524.7</v>
      </c>
      <c r="N25" s="18" t="n">
        <v>152031.34</v>
      </c>
      <c r="O25" s="18" t="n">
        <v>139635.63</v>
      </c>
      <c r="P25" s="37" t="n">
        <v>139635.63</v>
      </c>
      <c r="Q25" s="18" t="n">
        <v>146250.37</v>
      </c>
      <c r="R25" s="18" t="n">
        <v>144594.32</v>
      </c>
      <c r="S25" s="18" t="n">
        <v>142311.23</v>
      </c>
      <c r="T25" s="18" t="n">
        <v>143242.68</v>
      </c>
      <c r="U25" s="37" t="n">
        <v>143242.68</v>
      </c>
      <c r="V25" s="18" t="n">
        <v>144739.88</v>
      </c>
      <c r="W25" s="18" t="n">
        <v>118033.41</v>
      </c>
      <c r="X25" s="18" t="n">
        <v>115935.86</v>
      </c>
      <c r="Y25" s="18" t="n">
        <v>96735.11</v>
      </c>
      <c r="Z25" s="37" t="n">
        <v>96735.11</v>
      </c>
      <c r="AA25" s="18" t="n">
        <v>106190</v>
      </c>
      <c r="AB25" s="19" t="n">
        <v>97273.92999999999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유동성장기부채</t>
        </is>
      </c>
      <c r="E26" s="18" t="n">
        <v>24055.28</v>
      </c>
      <c r="F26" s="37" t="n">
        <v>24055.28</v>
      </c>
      <c r="G26" s="18" t="n">
        <v>24609.3</v>
      </c>
      <c r="H26" s="18" t="n">
        <v>38684.7</v>
      </c>
      <c r="I26" s="18" t="n">
        <v>29953.32</v>
      </c>
      <c r="J26" s="18" t="n">
        <v>27062.47</v>
      </c>
      <c r="K26" s="37" t="n">
        <v>27062.47</v>
      </c>
      <c r="L26" s="18" t="n">
        <v>25903.52</v>
      </c>
      <c r="M26" s="18" t="n">
        <v>40868.81</v>
      </c>
      <c r="N26" s="18" t="n">
        <v>32462.14</v>
      </c>
      <c r="O26" s="18" t="n">
        <v>34106.92</v>
      </c>
      <c r="P26" s="37" t="n">
        <v>34106.92</v>
      </c>
      <c r="Q26" s="18" t="n">
        <v>43891.77</v>
      </c>
      <c r="R26" s="18" t="n">
        <v>37711.63</v>
      </c>
      <c r="S26" s="18" t="n">
        <v>35843.8</v>
      </c>
      <c r="T26" s="18" t="n">
        <v>19730.81</v>
      </c>
      <c r="U26" s="37" t="n">
        <v>19730.81</v>
      </c>
      <c r="V26" s="18" t="n">
        <v>10572.6</v>
      </c>
      <c r="W26" s="18" t="n">
        <v>16000</v>
      </c>
      <c r="X26" s="18" t="n">
        <v>16000</v>
      </c>
      <c r="Y26" s="18" t="n">
        <v>26484.18</v>
      </c>
      <c r="Z26" s="37" t="n">
        <v>26484.18</v>
      </c>
      <c r="AA26" s="18" t="n">
        <v>16000</v>
      </c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단기파생상품부채</t>
        </is>
      </c>
      <c r="E27" s="18" t="n">
        <v>2188.07</v>
      </c>
      <c r="F27" s="37" t="n">
        <v>2188.07</v>
      </c>
      <c r="G27" s="18" t="n">
        <v>2575.9</v>
      </c>
      <c r="H27" s="18" t="n">
        <v>3155.03</v>
      </c>
      <c r="I27" s="18" t="n">
        <v>3352.05</v>
      </c>
      <c r="J27" s="18" t="n">
        <v>4151.77</v>
      </c>
      <c r="K27" s="37" t="n">
        <v>4151.77</v>
      </c>
      <c r="L27" s="18" t="n">
        <v>3509.91</v>
      </c>
      <c r="M27" s="18" t="n">
        <v>2703.54</v>
      </c>
      <c r="N27" s="18" t="n">
        <v>1638.14</v>
      </c>
      <c r="O27" s="18" t="n">
        <v>1479.47</v>
      </c>
      <c r="P27" s="37" t="n">
        <v>1479.47</v>
      </c>
      <c r="Q27" s="18" t="n">
        <v>1285.4</v>
      </c>
      <c r="R27" s="18" t="n">
        <v>889.5700000000001</v>
      </c>
      <c r="S27" s="18" t="n">
        <v>711.8</v>
      </c>
      <c r="T27" s="18" t="n">
        <v>999.33</v>
      </c>
      <c r="U27" s="37" t="n">
        <v>999.33</v>
      </c>
      <c r="V27" s="18" t="n">
        <v>69.70999999999999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2831.8</v>
      </c>
      <c r="F28" s="37" t="n">
        <v>2831.8</v>
      </c>
      <c r="G28" s="18" t="n">
        <v>3121.86</v>
      </c>
      <c r="H28" s="18" t="n">
        <v>3681.33</v>
      </c>
      <c r="I28" s="18" t="n">
        <v>3821.52</v>
      </c>
      <c r="J28" s="18" t="n">
        <v>4705.52</v>
      </c>
      <c r="K28" s="37" t="n">
        <v>4705.52</v>
      </c>
      <c r="L28" s="18" t="n">
        <v>4095.61</v>
      </c>
      <c r="M28" s="18" t="n">
        <v>3171.72</v>
      </c>
      <c r="N28" s="18" t="n">
        <v>2067.68</v>
      </c>
      <c r="O28" s="18" t="n">
        <v>1934.94</v>
      </c>
      <c r="P28" s="37" t="n">
        <v>1934.94</v>
      </c>
      <c r="Q28" s="18" t="n">
        <v>1886.17</v>
      </c>
      <c r="R28" s="18" t="n">
        <v>1342.1</v>
      </c>
      <c r="S28" s="18" t="n">
        <v>1209.34</v>
      </c>
      <c r="T28" s="18" t="n">
        <v>1566.53</v>
      </c>
      <c r="U28" s="37" t="n">
        <v>1566.53</v>
      </c>
      <c r="V28" s="18" t="n">
        <v>672.03</v>
      </c>
      <c r="W28" s="18" t="n">
        <v>729.55</v>
      </c>
      <c r="X28" s="18" t="n">
        <v>712.37</v>
      </c>
      <c r="Y28" s="18" t="n">
        <v>860.4299999999999</v>
      </c>
      <c r="Z28" s="37" t="n">
        <v>860.4299999999999</v>
      </c>
      <c r="AA28" s="18" t="n">
        <v>578.22</v>
      </c>
      <c r="AB28" s="19" t="n">
        <v>629.17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643.73</v>
      </c>
      <c r="F29" s="37" t="n">
        <v>643.73</v>
      </c>
      <c r="G29" s="18" t="n">
        <v>545.96</v>
      </c>
      <c r="H29" s="18" t="n">
        <v>526.3</v>
      </c>
      <c r="I29" s="18" t="n">
        <v>469.47</v>
      </c>
      <c r="J29" s="18" t="n">
        <v>553.75</v>
      </c>
      <c r="K29" s="37" t="n">
        <v>553.75</v>
      </c>
      <c r="L29" s="18" t="n">
        <v>585.7</v>
      </c>
      <c r="M29" s="18" t="n">
        <v>468.18</v>
      </c>
      <c r="N29" s="18" t="n">
        <v>429.54</v>
      </c>
      <c r="O29" s="18" t="n">
        <v>455.47</v>
      </c>
      <c r="P29" s="37" t="n">
        <v>455.47</v>
      </c>
      <c r="Q29" s="18" t="n">
        <v>600.77</v>
      </c>
      <c r="R29" s="18" t="n">
        <v>452.53</v>
      </c>
      <c r="S29" s="18" t="n">
        <v>497.54</v>
      </c>
      <c r="T29" s="18" t="n">
        <v>567.2</v>
      </c>
      <c r="U29" s="37" t="n">
        <v>567.2</v>
      </c>
      <c r="V29" s="18" t="n">
        <v>602.3200000000001</v>
      </c>
      <c r="W29" s="18" t="n">
        <v>729.55</v>
      </c>
      <c r="X29" s="18" t="n">
        <v>712.37</v>
      </c>
      <c r="Y29" s="18" t="n">
        <v>860.4299999999999</v>
      </c>
      <c r="Z29" s="37" t="n">
        <v>860.4299999999999</v>
      </c>
      <c r="AA29" s="18" t="n">
        <v>578.22</v>
      </c>
      <c r="AB29" s="19" t="n">
        <v>629.17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1183.41</v>
      </c>
      <c r="F30" s="37" t="n">
        <v>1183.41</v>
      </c>
      <c r="G30" s="18" t="n">
        <v>986.04</v>
      </c>
      <c r="H30" s="18" t="n">
        <v>1208.14</v>
      </c>
      <c r="I30" s="18" t="n">
        <v>1078.99</v>
      </c>
      <c r="J30" s="18" t="n">
        <v>1148.65</v>
      </c>
      <c r="K30" s="37" t="n">
        <v>1148.65</v>
      </c>
      <c r="L30" s="18" t="n">
        <v>1161.74</v>
      </c>
      <c r="M30" s="18" t="n">
        <v>844.8200000000001</v>
      </c>
      <c r="N30" s="18" t="n">
        <v>994.54</v>
      </c>
      <c r="O30" s="18" t="n">
        <v>982.66</v>
      </c>
      <c r="P30" s="37" t="n">
        <v>982.66</v>
      </c>
      <c r="Q30" s="18" t="n">
        <v>1629.48</v>
      </c>
      <c r="R30" s="18" t="n">
        <v>1266.65</v>
      </c>
      <c r="S30" s="18" t="n">
        <v>1183.79</v>
      </c>
      <c r="T30" s="18" t="n">
        <v>1218.7</v>
      </c>
      <c r="U30" s="37" t="n">
        <v>1218.7</v>
      </c>
      <c r="V30" s="18" t="n">
        <v>1216.17</v>
      </c>
      <c r="W30" s="18" t="n">
        <v>1838.53</v>
      </c>
      <c r="X30" s="18" t="n">
        <v>1821.37</v>
      </c>
      <c r="Y30" s="18" t="n">
        <v>1931.05</v>
      </c>
      <c r="Z30" s="37" t="n">
        <v>1931.05</v>
      </c>
      <c r="AA30" s="18" t="n">
        <v>1024.27</v>
      </c>
      <c r="AB30" s="19" t="n">
        <v>1018.65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단기충당부채</t>
        </is>
      </c>
      <c r="E31" s="18" t="n">
        <v>424.66</v>
      </c>
      <c r="F31" s="37" t="n">
        <v>424.66</v>
      </c>
      <c r="G31" s="18" t="n">
        <v>346.21</v>
      </c>
      <c r="H31" s="18" t="n">
        <v>474.72</v>
      </c>
      <c r="I31" s="18" t="n">
        <v>448.26</v>
      </c>
      <c r="J31" s="18" t="n">
        <v>315.29</v>
      </c>
      <c r="K31" s="37" t="n">
        <v>315.29</v>
      </c>
      <c r="L31" s="18" t="n">
        <v>284.49</v>
      </c>
      <c r="M31" s="18" t="n">
        <v>366.45</v>
      </c>
      <c r="N31" s="18" t="n">
        <v>316.34</v>
      </c>
      <c r="O31" s="18" t="n">
        <v>408.27</v>
      </c>
      <c r="P31" s="37" t="n">
        <v>408.27</v>
      </c>
      <c r="Q31" s="18" t="n">
        <v>415.33</v>
      </c>
      <c r="R31" s="18" t="n">
        <v>428.57</v>
      </c>
      <c r="S31" s="18" t="n">
        <v>426.15</v>
      </c>
      <c r="T31" s="18" t="n">
        <v>383.37</v>
      </c>
      <c r="U31" s="37" t="n">
        <v>383.37</v>
      </c>
      <c r="V31" s="18" t="n">
        <v>377.41</v>
      </c>
      <c r="W31" s="18" t="n">
        <v>401.32</v>
      </c>
      <c r="X31" s="18" t="n">
        <v>409.98</v>
      </c>
      <c r="Y31" s="18" t="n">
        <v>397.68</v>
      </c>
      <c r="Z31" s="37" t="n">
        <v>397.68</v>
      </c>
      <c r="AA31" s="18" t="n">
        <v>409.42</v>
      </c>
      <c r="AB31" s="19" t="n">
        <v>434.33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당기법인세부채(미지급법인세)</t>
        </is>
      </c>
      <c r="E32" s="18" t="n">
        <v>1190.17</v>
      </c>
      <c r="F32" s="37" t="n">
        <v>1190.17</v>
      </c>
      <c r="G32" s="18" t="n">
        <v>1084.6</v>
      </c>
      <c r="H32" s="18" t="n">
        <v>1082.67</v>
      </c>
      <c r="I32" s="18" t="n">
        <v>783.0700000000001</v>
      </c>
      <c r="J32" s="18" t="n">
        <v>648.12</v>
      </c>
      <c r="K32" s="37" t="n">
        <v>648.12</v>
      </c>
      <c r="L32" s="18" t="n">
        <v>433.92</v>
      </c>
      <c r="M32" s="18" t="n">
        <v>4.74</v>
      </c>
      <c r="N32" s="18" t="n">
        <v>4.85</v>
      </c>
      <c r="O32" s="18" t="n">
        <v>4.67</v>
      </c>
      <c r="P32" s="37" t="n">
        <v>4.67</v>
      </c>
      <c r="R32" s="18" t="n">
        <v>824.05</v>
      </c>
      <c r="S32" s="18" t="n">
        <v>156.2</v>
      </c>
      <c r="T32" s="18" t="n">
        <v>392.84</v>
      </c>
      <c r="U32" s="37" t="n">
        <v>392.84</v>
      </c>
      <c r="V32" s="18" t="n">
        <v>188.53</v>
      </c>
      <c r="W32" s="18" t="n">
        <v>0.9</v>
      </c>
      <c r="X32" s="18" t="n">
        <v>1.13</v>
      </c>
      <c r="Y32" s="18" t="n">
        <v>25.46</v>
      </c>
      <c r="Z32" s="37" t="n">
        <v>25.46</v>
      </c>
      <c r="AA32" s="18" t="n">
        <v>24.48</v>
      </c>
      <c r="AB32" s="19" t="n">
        <v>0.31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기타유동부채</t>
        </is>
      </c>
      <c r="E33" s="18" t="n">
        <v>1294.52</v>
      </c>
      <c r="F33" s="37" t="n">
        <v>1294.52</v>
      </c>
      <c r="G33" s="18" t="n">
        <v>1023.19</v>
      </c>
      <c r="H33" s="18" t="n">
        <v>1909.02</v>
      </c>
      <c r="I33" s="18" t="n">
        <v>1690.84</v>
      </c>
      <c r="J33" s="18" t="n">
        <v>1590.94</v>
      </c>
      <c r="K33" s="37" t="n">
        <v>1590.94</v>
      </c>
      <c r="L33" s="18" t="n">
        <v>722.52</v>
      </c>
      <c r="M33" s="18" t="n">
        <v>2994.8</v>
      </c>
      <c r="N33" s="18" t="n">
        <v>3517.63</v>
      </c>
      <c r="O33" s="18" t="n">
        <v>4220.43</v>
      </c>
      <c r="P33" s="37" t="n">
        <v>4220.43</v>
      </c>
      <c r="Q33" s="18" t="n">
        <v>386.87</v>
      </c>
      <c r="R33" s="18" t="n">
        <v>1780.18</v>
      </c>
      <c r="S33" s="18" t="n">
        <v>1867.79</v>
      </c>
      <c r="T33" s="18" t="n">
        <v>5037.37</v>
      </c>
      <c r="U33" s="37" t="n">
        <v>5037.37</v>
      </c>
      <c r="V33" s="18" t="n">
        <v>1625.44</v>
      </c>
      <c r="W33" s="18" t="n">
        <v>15295.68</v>
      </c>
      <c r="X33" s="18" t="n">
        <v>15397.7</v>
      </c>
      <c r="Y33" s="18" t="n">
        <v>15025.92</v>
      </c>
      <c r="Z33" s="37" t="n">
        <v>15025.92</v>
      </c>
      <c r="AA33" s="18" t="n">
        <v>7814.56</v>
      </c>
      <c r="AB33" s="19" t="n">
        <v>9778.52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비유동부채</t>
        </is>
      </c>
      <c r="E34" s="18" t="n">
        <v>93667.56</v>
      </c>
      <c r="F34" s="37" t="n">
        <v>93667.56</v>
      </c>
      <c r="G34" s="18" t="n">
        <v>99885.5</v>
      </c>
      <c r="H34" s="18" t="n">
        <v>87206.58</v>
      </c>
      <c r="I34" s="18" t="n">
        <v>83941.14</v>
      </c>
      <c r="J34" s="18" t="n">
        <v>78607.7</v>
      </c>
      <c r="K34" s="37" t="n">
        <v>78607.7</v>
      </c>
      <c r="L34" s="18" t="n">
        <v>75569.69</v>
      </c>
      <c r="M34" s="18" t="n">
        <v>64616.2</v>
      </c>
      <c r="N34" s="18" t="n">
        <v>61901.4</v>
      </c>
      <c r="O34" s="18" t="n">
        <v>64081.94</v>
      </c>
      <c r="P34" s="37" t="n">
        <v>64081.94</v>
      </c>
      <c r="Q34" s="18" t="n">
        <v>58739.31</v>
      </c>
      <c r="R34" s="18" t="n">
        <v>56521.96</v>
      </c>
      <c r="S34" s="18" t="n">
        <v>55881</v>
      </c>
      <c r="T34" s="18" t="n">
        <v>57168.43</v>
      </c>
      <c r="U34" s="37" t="n">
        <v>57168.43</v>
      </c>
      <c r="V34" s="18" t="n">
        <v>54885.02</v>
      </c>
      <c r="W34" s="18" t="n">
        <v>39445.14</v>
      </c>
      <c r="X34" s="18" t="n">
        <v>43996.47</v>
      </c>
      <c r="Y34" s="18" t="n">
        <v>35839.12</v>
      </c>
      <c r="Z34" s="37" t="n">
        <v>35839.12</v>
      </c>
      <c r="AA34" s="18" t="n">
        <v>34218.16</v>
      </c>
      <c r="AB34" s="19" t="n">
        <v>40470.48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장기매입채무및기타채무</t>
        </is>
      </c>
      <c r="E35" s="18" t="n">
        <v>1207.4</v>
      </c>
      <c r="F35" s="37" t="n">
        <v>1207.4</v>
      </c>
      <c r="G35" s="18" t="n">
        <v>1207.4</v>
      </c>
      <c r="H35" s="18" t="n">
        <v>1329.12</v>
      </c>
      <c r="I35" s="18" t="n">
        <v>1389.98</v>
      </c>
      <c r="J35" s="18" t="n">
        <v>1505.18</v>
      </c>
      <c r="K35" s="37" t="n">
        <v>1505.18</v>
      </c>
      <c r="L35" s="18" t="n">
        <v>1464.32</v>
      </c>
      <c r="O35" s="18" t="n">
        <v>1334.13</v>
      </c>
      <c r="P35" s="37" t="n">
        <v>1334.13</v>
      </c>
      <c r="Q35" s="18" t="n">
        <v>1327.16</v>
      </c>
      <c r="R35" s="18" t="n">
        <v>1709.54</v>
      </c>
      <c r="S35" s="18" t="n">
        <v>1764.28</v>
      </c>
      <c r="T35" s="18" t="n">
        <v>2114.96</v>
      </c>
      <c r="U35" s="37" t="n">
        <v>2114.96</v>
      </c>
      <c r="V35" s="18" t="n">
        <v>1981.33</v>
      </c>
      <c r="W35" s="18" t="n">
        <v>2190.52</v>
      </c>
      <c r="X35" s="18" t="n">
        <v>2262.04</v>
      </c>
      <c r="Y35" s="18" t="n">
        <v>2817.46</v>
      </c>
      <c r="Z35" s="37" t="n">
        <v>2817.46</v>
      </c>
      <c r="AA35" s="18" t="n">
        <v>2666.29</v>
      </c>
      <c r="AB35" s="19" t="n">
        <v>2583.03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장기차입금</t>
        </is>
      </c>
      <c r="E36" s="18" t="n">
        <v>40847.07</v>
      </c>
      <c r="F36" s="37" t="n">
        <v>40847.07</v>
      </c>
      <c r="G36" s="18" t="n">
        <v>38884.67</v>
      </c>
      <c r="H36" s="18" t="n">
        <v>34813.41</v>
      </c>
      <c r="I36" s="18" t="n">
        <v>31619.57</v>
      </c>
      <c r="J36" s="18" t="n">
        <v>29722.01</v>
      </c>
      <c r="K36" s="37" t="n">
        <v>29722.01</v>
      </c>
      <c r="L36" s="18" t="n">
        <v>26847.65</v>
      </c>
      <c r="M36" s="18" t="n">
        <v>35700.62</v>
      </c>
      <c r="N36" s="18" t="n">
        <v>28203.59</v>
      </c>
      <c r="O36" s="18" t="n">
        <v>25039.89</v>
      </c>
      <c r="P36" s="37" t="n">
        <v>25039.89</v>
      </c>
      <c r="Q36" s="18" t="n">
        <v>17992.86</v>
      </c>
      <c r="R36" s="18" t="n">
        <v>10071.17</v>
      </c>
      <c r="S36" s="18" t="n">
        <v>8200.360000000001</v>
      </c>
      <c r="T36" s="18" t="n">
        <v>7416.94</v>
      </c>
      <c r="U36" s="37" t="n">
        <v>7416.94</v>
      </c>
      <c r="V36" s="18" t="n">
        <v>5268.97</v>
      </c>
      <c r="W36" s="18" t="n">
        <v>3160.82</v>
      </c>
      <c r="X36" s="18" t="n">
        <v>2494.73</v>
      </c>
      <c r="Y36" s="18" t="n">
        <v>2042.92</v>
      </c>
      <c r="Z36" s="37" t="n">
        <v>2042.92</v>
      </c>
      <c r="AA36" s="18" t="n">
        <v>1568.71</v>
      </c>
      <c r="AB36" s="19" t="n">
        <v>1399.23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사채</t>
        </is>
      </c>
      <c r="E37" s="18" t="n">
        <v>29296.23</v>
      </c>
      <c r="F37" s="37" t="n">
        <v>29296.23</v>
      </c>
      <c r="G37" s="18" t="n">
        <v>35716.05</v>
      </c>
      <c r="H37" s="18" t="n">
        <v>30000</v>
      </c>
      <c r="I37" s="18" t="n">
        <v>30000</v>
      </c>
      <c r="J37" s="18" t="n">
        <v>30000</v>
      </c>
      <c r="K37" s="37" t="n">
        <v>30000</v>
      </c>
      <c r="L37" s="18" t="n">
        <v>30000</v>
      </c>
      <c r="M37" s="18" t="n">
        <v>10000</v>
      </c>
      <c r="O37" s="18" t="n">
        <v>10000</v>
      </c>
      <c r="P37" s="37" t="n">
        <v>10000</v>
      </c>
      <c r="Q37" s="18" t="n">
        <v>10000</v>
      </c>
      <c r="R37" s="18" t="n">
        <v>16000</v>
      </c>
      <c r="S37" s="18" t="n">
        <v>16000</v>
      </c>
      <c r="T37" s="18" t="n">
        <v>16000</v>
      </c>
      <c r="U37" s="37" t="n">
        <v>16000</v>
      </c>
      <c r="V37" s="18" t="n">
        <v>16000</v>
      </c>
      <c r="W37" s="18" t="n">
        <v>8000</v>
      </c>
      <c r="X37" s="18" t="n">
        <v>8000</v>
      </c>
      <c r="Y37" s="18" t="n">
        <v>10594.46</v>
      </c>
      <c r="Z37" s="37" t="n">
        <v>10594.46</v>
      </c>
      <c r="AA37" s="18" t="n">
        <v>10184.36</v>
      </c>
      <c r="AB37" s="19" t="n">
        <v>16681.56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장기파생상품부채</t>
        </is>
      </c>
      <c r="E38" s="18" t="n">
        <v>1927.74</v>
      </c>
      <c r="F38" s="37" t="n">
        <v>1927.74</v>
      </c>
      <c r="G38" s="18" t="n">
        <v>3940.54</v>
      </c>
      <c r="K38" s="9" t="n"/>
      <c r="P38" s="9" t="n"/>
      <c r="U38" s="9" t="n"/>
      <c r="Y38" s="18" t="n">
        <v>2091.1</v>
      </c>
      <c r="Z38" s="37" t="n">
        <v>2091.1</v>
      </c>
      <c r="AA38" s="18" t="n">
        <v>1760.05</v>
      </c>
      <c r="AB38" s="19" t="n">
        <v>1985.46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장기금융부채</t>
        </is>
      </c>
      <c r="E39" s="18" t="n">
        <v>2467.42</v>
      </c>
      <c r="F39" s="37" t="n">
        <v>2467.42</v>
      </c>
      <c r="G39" s="18" t="n">
        <v>4380.62</v>
      </c>
      <c r="H39" s="18" t="n">
        <v>681.84</v>
      </c>
      <c r="I39" s="18" t="n">
        <v>609.52</v>
      </c>
      <c r="J39" s="18" t="n">
        <v>594.9</v>
      </c>
      <c r="K39" s="37" t="n">
        <v>594.9</v>
      </c>
      <c r="L39" s="18" t="n">
        <v>576.04</v>
      </c>
      <c r="M39" s="18" t="n">
        <v>376.64</v>
      </c>
      <c r="N39" s="18" t="n">
        <v>565</v>
      </c>
      <c r="O39" s="18" t="n">
        <v>527.1900000000001</v>
      </c>
      <c r="P39" s="37" t="n">
        <v>527.1900000000001</v>
      </c>
      <c r="Q39" s="18" t="n">
        <v>1028.71</v>
      </c>
      <c r="R39" s="18" t="n">
        <v>814.12</v>
      </c>
      <c r="S39" s="18" t="n">
        <v>686.25</v>
      </c>
      <c r="T39" s="18" t="n">
        <v>651.5</v>
      </c>
      <c r="U39" s="37" t="n">
        <v>651.5</v>
      </c>
      <c r="V39" s="18" t="n">
        <v>613.85</v>
      </c>
      <c r="W39" s="18" t="n">
        <v>1108.98</v>
      </c>
      <c r="X39" s="18" t="n">
        <v>1109</v>
      </c>
      <c r="Y39" s="18" t="n">
        <v>3161.72</v>
      </c>
      <c r="Z39" s="37" t="n">
        <v>3161.72</v>
      </c>
      <c r="AA39" s="18" t="n">
        <v>2206.1</v>
      </c>
      <c r="AB39" s="19" t="n">
        <v>2374.94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E40" s="18" t="n">
        <v>539.6799999999999</v>
      </c>
      <c r="F40" s="37" t="n">
        <v>539.6799999999999</v>
      </c>
      <c r="G40" s="18" t="n">
        <v>440.08</v>
      </c>
      <c r="H40" s="18" t="n">
        <v>681.84</v>
      </c>
      <c r="I40" s="18" t="n">
        <v>609.52</v>
      </c>
      <c r="J40" s="18" t="n">
        <v>594.9</v>
      </c>
      <c r="K40" s="37" t="n">
        <v>594.9</v>
      </c>
      <c r="L40" s="18" t="n">
        <v>576.04</v>
      </c>
      <c r="M40" s="18" t="n">
        <v>376.64</v>
      </c>
      <c r="N40" s="18" t="n">
        <v>565</v>
      </c>
      <c r="O40" s="18" t="n">
        <v>527.1900000000001</v>
      </c>
      <c r="P40" s="37" t="n">
        <v>527.1900000000001</v>
      </c>
      <c r="Q40" s="18" t="n">
        <v>1028.71</v>
      </c>
      <c r="R40" s="18" t="n">
        <v>814.12</v>
      </c>
      <c r="S40" s="18" t="n">
        <v>686.25</v>
      </c>
      <c r="T40" s="18" t="n">
        <v>651.5</v>
      </c>
      <c r="U40" s="37" t="n">
        <v>651.5</v>
      </c>
      <c r="V40" s="18" t="n">
        <v>613.85</v>
      </c>
      <c r="W40" s="18" t="n">
        <v>1108.98</v>
      </c>
      <c r="X40" s="18" t="n">
        <v>1109</v>
      </c>
      <c r="Y40" s="18" t="n">
        <v>1070.62</v>
      </c>
      <c r="Z40" s="37" t="n">
        <v>1070.62</v>
      </c>
      <c r="AA40" s="18" t="n">
        <v>446.05</v>
      </c>
      <c r="AB40" s="19" t="n">
        <v>389.48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확정급여부채</t>
        </is>
      </c>
      <c r="E41" s="18" t="n">
        <v>6523.25</v>
      </c>
      <c r="F41" s="37" t="n">
        <v>6523.25</v>
      </c>
      <c r="G41" s="18" t="n">
        <v>7047.83</v>
      </c>
      <c r="H41" s="18" t="n">
        <v>7607.14</v>
      </c>
      <c r="I41" s="18" t="n">
        <v>7892.69</v>
      </c>
      <c r="J41" s="18" t="n">
        <v>5165.28</v>
      </c>
      <c r="K41" s="37" t="n">
        <v>5165.28</v>
      </c>
      <c r="L41" s="18" t="n">
        <v>5179.48</v>
      </c>
      <c r="M41" s="18" t="n">
        <v>4948.89</v>
      </c>
      <c r="N41" s="18" t="n">
        <v>5146.41</v>
      </c>
      <c r="O41" s="18" t="n">
        <v>5863.45</v>
      </c>
      <c r="P41" s="37" t="n">
        <v>5863.45</v>
      </c>
      <c r="Q41" s="18" t="n">
        <v>6367.1</v>
      </c>
      <c r="R41" s="18" t="n">
        <v>6962.3</v>
      </c>
      <c r="S41" s="18" t="n">
        <v>7706.65</v>
      </c>
      <c r="T41" s="18" t="n">
        <v>9427.280000000001</v>
      </c>
      <c r="U41" s="37" t="n">
        <v>9427.280000000001</v>
      </c>
      <c r="V41" s="18" t="n">
        <v>9537.120000000001</v>
      </c>
      <c r="W41" s="18" t="n">
        <v>9608.67</v>
      </c>
      <c r="X41" s="18" t="n">
        <v>8794.92</v>
      </c>
      <c r="Y41" s="18" t="n">
        <v>7894.87</v>
      </c>
      <c r="Z41" s="37" t="n">
        <v>7894.87</v>
      </c>
      <c r="AA41" s="18" t="n">
        <v>8259.379999999999</v>
      </c>
      <c r="AB41" s="19" t="n">
        <v>8944.84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13326.19</v>
      </c>
      <c r="F42" s="37" t="n">
        <v>13326.19</v>
      </c>
      <c r="G42" s="18" t="n">
        <v>12648.92</v>
      </c>
      <c r="H42" s="18" t="n">
        <v>12775.08</v>
      </c>
      <c r="I42" s="18" t="n">
        <v>12429.39</v>
      </c>
      <c r="J42" s="18" t="n">
        <v>11620.34</v>
      </c>
      <c r="K42" s="37" t="n">
        <v>11620.34</v>
      </c>
      <c r="L42" s="18" t="n">
        <v>11502.21</v>
      </c>
      <c r="M42" s="18" t="n">
        <v>12054.79</v>
      </c>
      <c r="N42" s="18" t="n">
        <v>11954.55</v>
      </c>
      <c r="O42" s="18" t="n">
        <v>21317.29</v>
      </c>
      <c r="P42" s="37" t="n">
        <v>21317.29</v>
      </c>
      <c r="Q42" s="18" t="n">
        <v>22023.49</v>
      </c>
      <c r="R42" s="18" t="n">
        <v>20964.84</v>
      </c>
      <c r="S42" s="18" t="n">
        <v>21523.47</v>
      </c>
      <c r="T42" s="18" t="n">
        <v>21557.75</v>
      </c>
      <c r="U42" s="37" t="n">
        <v>21557.75</v>
      </c>
      <c r="V42" s="18" t="n">
        <v>21483.76</v>
      </c>
      <c r="W42" s="18" t="n">
        <v>15376.15</v>
      </c>
      <c r="X42" s="18" t="n">
        <v>21335.78</v>
      </c>
      <c r="Y42" s="18" t="n">
        <v>9327.68</v>
      </c>
      <c r="Z42" s="37" t="n">
        <v>9327.68</v>
      </c>
      <c r="AA42" s="18" t="n">
        <v>9333.32</v>
      </c>
      <c r="AB42" s="19" t="n">
        <v>8486.889999999999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321035.33</v>
      </c>
      <c r="F43" s="37" t="n">
        <v>321035.33</v>
      </c>
      <c r="G43" s="18" t="n">
        <v>334699.39</v>
      </c>
      <c r="H43" s="18" t="n">
        <v>354840.75</v>
      </c>
      <c r="I43" s="18" t="n">
        <v>331296.83</v>
      </c>
      <c r="J43" s="18" t="n">
        <v>337528.2</v>
      </c>
      <c r="K43" s="37" t="n">
        <v>337528.2</v>
      </c>
      <c r="L43" s="18" t="n">
        <v>333859.99</v>
      </c>
      <c r="M43" s="18" t="n">
        <v>332449.41</v>
      </c>
      <c r="N43" s="18" t="n">
        <v>324460.11</v>
      </c>
      <c r="O43" s="18" t="n">
        <v>314231.67</v>
      </c>
      <c r="P43" s="37" t="n">
        <v>314231.67</v>
      </c>
      <c r="Q43" s="18" t="n">
        <v>331641.19</v>
      </c>
      <c r="R43" s="18" t="n">
        <v>323626.02</v>
      </c>
      <c r="S43" s="18" t="n">
        <v>307995.67</v>
      </c>
      <c r="T43" s="18" t="n">
        <v>296559.02</v>
      </c>
      <c r="U43" s="37" t="n">
        <v>296559.02</v>
      </c>
      <c r="V43" s="18" t="n">
        <v>272758.3</v>
      </c>
      <c r="W43" s="18" t="n">
        <v>257982.26</v>
      </c>
      <c r="X43" s="18" t="n">
        <v>257074.87</v>
      </c>
      <c r="Y43" s="18" t="n">
        <v>235496.43</v>
      </c>
      <c r="Z43" s="37" t="n">
        <v>235496.43</v>
      </c>
      <c r="AA43" s="18" t="n">
        <v>225778.49</v>
      </c>
      <c r="AB43" s="19" t="n">
        <v>225399.79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165883.99</v>
      </c>
      <c r="F44" s="37" t="n">
        <v>165883.99</v>
      </c>
      <c r="G44" s="18" t="n">
        <v>168075.23</v>
      </c>
      <c r="H44" s="18" t="n">
        <v>172630.95</v>
      </c>
      <c r="I44" s="18" t="n">
        <v>174078.82</v>
      </c>
      <c r="J44" s="18" t="n">
        <v>170709.67</v>
      </c>
      <c r="K44" s="37" t="n">
        <v>170709.67</v>
      </c>
      <c r="L44" s="18" t="n">
        <v>169618.83</v>
      </c>
      <c r="M44" s="18" t="n">
        <v>167823.36</v>
      </c>
      <c r="N44" s="18" t="n">
        <v>157866.81</v>
      </c>
      <c r="O44" s="18" t="n">
        <v>194622.28</v>
      </c>
      <c r="P44" s="37" t="n">
        <v>194622.28</v>
      </c>
      <c r="Q44" s="18" t="n">
        <v>196002.83</v>
      </c>
      <c r="R44" s="18" t="n">
        <v>195297.16</v>
      </c>
      <c r="S44" s="18" t="n">
        <v>192131.85</v>
      </c>
      <c r="T44" s="18" t="n">
        <v>186050.32</v>
      </c>
      <c r="U44" s="37" t="n">
        <v>186050.32</v>
      </c>
      <c r="V44" s="18" t="n">
        <v>186022.66</v>
      </c>
      <c r="W44" s="18" t="n">
        <v>161286.6</v>
      </c>
      <c r="X44" s="18" t="n">
        <v>143803.29</v>
      </c>
      <c r="Y44" s="18" t="n">
        <v>135773.77</v>
      </c>
      <c r="Z44" s="37" t="n">
        <v>135773.77</v>
      </c>
      <c r="AA44" s="18" t="n">
        <v>136005.2</v>
      </c>
      <c r="AB44" s="19" t="n">
        <v>137079.04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50655.19</v>
      </c>
      <c r="F45" s="37" t="n">
        <v>50655.19</v>
      </c>
      <c r="G45" s="18" t="n">
        <v>50655.19</v>
      </c>
      <c r="H45" s="18" t="n">
        <v>50655.19</v>
      </c>
      <c r="I45" s="18" t="n">
        <v>50655.19</v>
      </c>
      <c r="J45" s="18" t="n">
        <v>50655.19</v>
      </c>
      <c r="K45" s="37" t="n">
        <v>50655.19</v>
      </c>
      <c r="L45" s="18" t="n">
        <v>50655.19</v>
      </c>
      <c r="M45" s="18" t="n">
        <v>50655.19</v>
      </c>
      <c r="N45" s="18" t="n">
        <v>50655.19</v>
      </c>
      <c r="O45" s="18" t="n">
        <v>50655.19</v>
      </c>
      <c r="P45" s="37" t="n">
        <v>50655.19</v>
      </c>
      <c r="Q45" s="18" t="n">
        <v>50655.19</v>
      </c>
      <c r="R45" s="18" t="n">
        <v>50655.19</v>
      </c>
      <c r="S45" s="18" t="n">
        <v>50655.19</v>
      </c>
      <c r="T45" s="18" t="n">
        <v>50655.19</v>
      </c>
      <c r="U45" s="37" t="n">
        <v>50655.19</v>
      </c>
      <c r="V45" s="18" t="n">
        <v>50655.19</v>
      </c>
      <c r="W45" s="18" t="n">
        <v>50655.19</v>
      </c>
      <c r="X45" s="18" t="n">
        <v>50655.19</v>
      </c>
      <c r="Y45" s="18" t="n">
        <v>50655.19</v>
      </c>
      <c r="Z45" s="37" t="n">
        <v>50655.19</v>
      </c>
      <c r="AA45" s="18" t="n">
        <v>50655.19</v>
      </c>
      <c r="AB45" s="19" t="n">
        <v>39051.76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94821.45</v>
      </c>
      <c r="F46" s="37" t="n">
        <v>94821.45</v>
      </c>
      <c r="G46" s="18" t="n">
        <v>94821.45</v>
      </c>
      <c r="H46" s="18" t="n">
        <v>94821.45</v>
      </c>
      <c r="I46" s="18" t="n">
        <v>94821.45</v>
      </c>
      <c r="J46" s="18" t="n">
        <v>94821.45</v>
      </c>
      <c r="K46" s="37" t="n">
        <v>94821.45</v>
      </c>
      <c r="L46" s="18" t="n">
        <v>94821.45</v>
      </c>
      <c r="M46" s="18" t="n">
        <v>94821.45</v>
      </c>
      <c r="N46" s="18" t="n">
        <v>94821.45</v>
      </c>
      <c r="O46" s="18" t="n">
        <v>94821.45</v>
      </c>
      <c r="P46" s="37" t="n">
        <v>94821.45</v>
      </c>
      <c r="Q46" s="18" t="n">
        <v>94821.45</v>
      </c>
      <c r="R46" s="18" t="n">
        <v>94821.45</v>
      </c>
      <c r="S46" s="18" t="n">
        <v>94821.45</v>
      </c>
      <c r="T46" s="18" t="n">
        <v>94821.45</v>
      </c>
      <c r="U46" s="37" t="n">
        <v>94821.45</v>
      </c>
      <c r="V46" s="18" t="n">
        <v>94821.45</v>
      </c>
      <c r="W46" s="18" t="n">
        <v>94821.45</v>
      </c>
      <c r="X46" s="18" t="n">
        <v>94821.45</v>
      </c>
      <c r="Y46" s="18" t="n">
        <v>94821.45</v>
      </c>
      <c r="Z46" s="37" t="n">
        <v>94821.45</v>
      </c>
      <c r="AA46" s="18" t="n">
        <v>94821.45</v>
      </c>
      <c r="AB46" s="19" t="n">
        <v>94821.45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-77423.44</v>
      </c>
      <c r="F47" s="37" t="n">
        <v>-77423.44</v>
      </c>
      <c r="G47" s="18" t="n">
        <v>-74723.81</v>
      </c>
      <c r="H47" s="18" t="n">
        <v>-74723.81</v>
      </c>
      <c r="I47" s="18" t="n">
        <v>-74723.81</v>
      </c>
      <c r="J47" s="18" t="n">
        <v>-74729.72</v>
      </c>
      <c r="K47" s="37" t="n">
        <v>-74729.72</v>
      </c>
      <c r="L47" s="18" t="n">
        <v>-74729.72</v>
      </c>
      <c r="M47" s="18" t="n">
        <v>-74501.11</v>
      </c>
      <c r="N47" s="18" t="n">
        <v>-83426.32000000001</v>
      </c>
      <c r="O47" s="18" t="n">
        <v>-87597</v>
      </c>
      <c r="P47" s="37" t="n">
        <v>-87597</v>
      </c>
      <c r="Q47" s="18" t="n">
        <v>-87522.50999999999</v>
      </c>
      <c r="R47" s="18" t="n">
        <v>-88575.44</v>
      </c>
      <c r="S47" s="18" t="n">
        <v>-88575.44</v>
      </c>
      <c r="T47" s="18" t="n">
        <v>-84643.55</v>
      </c>
      <c r="U47" s="37" t="n">
        <v>-84643.55</v>
      </c>
      <c r="V47" s="18" t="n">
        <v>-84643.55</v>
      </c>
      <c r="W47" s="18" t="n">
        <v>-84643.55</v>
      </c>
      <c r="X47" s="18" t="n">
        <v>-84947.25999999999</v>
      </c>
      <c r="Y47" s="18" t="n">
        <v>-83592.16</v>
      </c>
      <c r="Z47" s="37" t="n">
        <v>-83592.16</v>
      </c>
      <c r="AA47" s="18" t="n">
        <v>-82661.50999999999</v>
      </c>
      <c r="AB47" s="19" t="n">
        <v>-70019.77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기타포괄이익누계액</t>
        </is>
      </c>
      <c r="E48" s="18" t="n">
        <v>1454.45</v>
      </c>
      <c r="F48" s="37" t="n">
        <v>1454.45</v>
      </c>
      <c r="G48" s="18" t="n">
        <v>1353.14</v>
      </c>
      <c r="H48" s="18" t="n">
        <v>2063.54</v>
      </c>
      <c r="I48" s="18" t="n">
        <v>2740.85</v>
      </c>
      <c r="J48" s="18" t="n">
        <v>1257.95</v>
      </c>
      <c r="K48" s="37" t="n">
        <v>1257.95</v>
      </c>
      <c r="L48" s="18" t="n">
        <v>1631.35</v>
      </c>
      <c r="M48" s="18" t="n">
        <v>1662.76</v>
      </c>
      <c r="N48" s="18" t="n">
        <v>1391.88</v>
      </c>
      <c r="O48" s="18" t="n">
        <v>45822.47</v>
      </c>
      <c r="P48" s="37" t="n">
        <v>45822.47</v>
      </c>
      <c r="Q48" s="18" t="n">
        <v>44720.79</v>
      </c>
      <c r="R48" s="18" t="n">
        <v>44972.59</v>
      </c>
      <c r="S48" s="18" t="n">
        <v>44959.2</v>
      </c>
      <c r="T48" s="18" t="n">
        <v>41978.19</v>
      </c>
      <c r="U48" s="37" t="n">
        <v>41978.19</v>
      </c>
      <c r="V48" s="18" t="n">
        <v>40897.29</v>
      </c>
      <c r="W48" s="18" t="n">
        <v>40857.34</v>
      </c>
      <c r="X48" s="18" t="n">
        <v>40816.92</v>
      </c>
      <c r="Y48" s="18" t="n">
        <v>42005.92</v>
      </c>
      <c r="Z48" s="37" t="n">
        <v>42005.92</v>
      </c>
      <c r="AA48" s="18" t="n">
        <v>40893.68</v>
      </c>
      <c r="AB48" s="19" t="n">
        <v>41195.83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96376.35000000001</v>
      </c>
      <c r="F49" s="37" t="n">
        <v>96376.35000000001</v>
      </c>
      <c r="G49" s="18" t="n">
        <v>95969.25999999999</v>
      </c>
      <c r="H49" s="18" t="n">
        <v>99814.59</v>
      </c>
      <c r="I49" s="18" t="n">
        <v>100585.13</v>
      </c>
      <c r="J49" s="18" t="n">
        <v>98704.81</v>
      </c>
      <c r="K49" s="37" t="n">
        <v>98704.81</v>
      </c>
      <c r="L49" s="18" t="n">
        <v>97240.57000000001</v>
      </c>
      <c r="M49" s="18" t="n">
        <v>95185.07000000001</v>
      </c>
      <c r="N49" s="18" t="n">
        <v>94424.62</v>
      </c>
      <c r="O49" s="18" t="n">
        <v>90920.17999999999</v>
      </c>
      <c r="P49" s="37" t="n">
        <v>90920.17999999999</v>
      </c>
      <c r="Q49" s="18" t="n">
        <v>93327.91</v>
      </c>
      <c r="R49" s="18" t="n">
        <v>93423.37</v>
      </c>
      <c r="S49" s="18" t="n">
        <v>90271.46000000001</v>
      </c>
      <c r="T49" s="18" t="n">
        <v>83239.03999999999</v>
      </c>
      <c r="U49" s="37" t="n">
        <v>83239.03999999999</v>
      </c>
      <c r="V49" s="18" t="n">
        <v>84292.28</v>
      </c>
      <c r="W49" s="18" t="n">
        <v>59596.16</v>
      </c>
      <c r="X49" s="18" t="n">
        <v>42457</v>
      </c>
      <c r="Y49" s="18" t="n">
        <v>31883.37</v>
      </c>
      <c r="Z49" s="37" t="n">
        <v>31883.37</v>
      </c>
      <c r="AA49" s="18" t="n">
        <v>32296.4</v>
      </c>
      <c r="AB49" s="19" t="n">
        <v>32029.77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비지배주주지분</t>
        </is>
      </c>
      <c r="E50" s="18" t="n">
        <v>32041.73</v>
      </c>
      <c r="F50" s="37" t="n">
        <v>32041.73</v>
      </c>
      <c r="G50" s="18" t="n">
        <v>28662.77</v>
      </c>
      <c r="H50" s="18" t="n">
        <v>30372.03</v>
      </c>
      <c r="I50" s="18" t="n">
        <v>30805.91</v>
      </c>
      <c r="J50" s="18" t="n">
        <v>27446.62</v>
      </c>
      <c r="K50" s="37" t="n">
        <v>27446.62</v>
      </c>
      <c r="L50" s="18" t="n">
        <v>24738.86</v>
      </c>
      <c r="M50" s="18" t="n">
        <v>22246.68</v>
      </c>
      <c r="N50" s="18" t="n">
        <v>31901.02</v>
      </c>
      <c r="O50" s="18" t="n">
        <v>35248.88</v>
      </c>
      <c r="P50" s="37" t="n">
        <v>35248.88</v>
      </c>
      <c r="Q50" s="18" t="n">
        <v>34495.95</v>
      </c>
      <c r="R50" s="18" t="n">
        <v>37104.96</v>
      </c>
      <c r="S50" s="18" t="n">
        <v>36021.68</v>
      </c>
      <c r="T50" s="18" t="n">
        <v>30786.76</v>
      </c>
      <c r="U50" s="37" t="n">
        <v>30786.76</v>
      </c>
      <c r="V50" s="18" t="n">
        <v>30325.99</v>
      </c>
      <c r="W50" s="18" t="n">
        <v>30019.42</v>
      </c>
      <c r="X50" s="18" t="n">
        <v>29786.14</v>
      </c>
      <c r="Y50" s="18" t="n">
        <v>28557.09</v>
      </c>
      <c r="Z50" s="37" t="n">
        <v>28557.09</v>
      </c>
      <c r="AA50" s="18" t="n">
        <v>27838.7</v>
      </c>
      <c r="AB50" s="19" t="n">
        <v>28025.78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197925.73</v>
      </c>
      <c r="F51" s="37" t="n">
        <v>197925.73</v>
      </c>
      <c r="G51" s="18" t="n">
        <v>196738</v>
      </c>
      <c r="H51" s="18" t="n">
        <v>203002.98</v>
      </c>
      <c r="I51" s="18" t="n">
        <v>204884.72</v>
      </c>
      <c r="J51" s="18" t="n">
        <v>198156.3</v>
      </c>
      <c r="K51" s="37" t="n">
        <v>198156.3</v>
      </c>
      <c r="L51" s="18" t="n">
        <v>194357.69</v>
      </c>
      <c r="M51" s="18" t="n">
        <v>190070.04</v>
      </c>
      <c r="N51" s="18" t="n">
        <v>189767.84</v>
      </c>
      <c r="O51" s="18" t="n">
        <v>229871.16</v>
      </c>
      <c r="P51" s="37" t="n">
        <v>229871.16</v>
      </c>
      <c r="Q51" s="18" t="n">
        <v>230498.78</v>
      </c>
      <c r="R51" s="18" t="n">
        <v>232402.12</v>
      </c>
      <c r="S51" s="18" t="n">
        <v>228153.53</v>
      </c>
      <c r="T51" s="18" t="n">
        <v>216837.08</v>
      </c>
      <c r="U51" s="37" t="n">
        <v>216837.08</v>
      </c>
      <c r="V51" s="18" t="n">
        <v>216348.65</v>
      </c>
      <c r="W51" s="18" t="n">
        <v>191306.02</v>
      </c>
      <c r="X51" s="18" t="n">
        <v>173589.43</v>
      </c>
      <c r="Y51" s="18" t="n">
        <v>164330.86</v>
      </c>
      <c r="Z51" s="37" t="n">
        <v>164330.86</v>
      </c>
      <c r="AA51" s="18" t="n">
        <v>163843.91</v>
      </c>
      <c r="AB51" s="19" t="n">
        <v>165104.81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518961.06</v>
      </c>
      <c r="F52" s="37" t="n">
        <v>518961.06</v>
      </c>
      <c r="G52" s="18" t="n">
        <v>531437.39</v>
      </c>
      <c r="H52" s="18" t="n">
        <v>557843.74</v>
      </c>
      <c r="I52" s="18" t="n">
        <v>536181.5600000001</v>
      </c>
      <c r="J52" s="18" t="n">
        <v>535684.5</v>
      </c>
      <c r="K52" s="37" t="n">
        <v>535684.5</v>
      </c>
      <c r="L52" s="18" t="n">
        <v>528217.6899999999</v>
      </c>
      <c r="M52" s="18" t="n">
        <v>522519.45</v>
      </c>
      <c r="N52" s="18" t="n">
        <v>514227.95</v>
      </c>
      <c r="O52" s="18" t="n">
        <v>544102.83</v>
      </c>
      <c r="P52" s="37" t="n">
        <v>544102.83</v>
      </c>
      <c r="Q52" s="18" t="n">
        <v>562139.97</v>
      </c>
      <c r="R52" s="18" t="n">
        <v>556028.14</v>
      </c>
      <c r="S52" s="18" t="n">
        <v>536149.2</v>
      </c>
      <c r="T52" s="18" t="n">
        <v>513396.1</v>
      </c>
      <c r="U52" s="37" t="n">
        <v>513396.1</v>
      </c>
      <c r="V52" s="18" t="n">
        <v>489106.95</v>
      </c>
      <c r="W52" s="18" t="n">
        <v>449288.28</v>
      </c>
      <c r="X52" s="18" t="n">
        <v>430664.3</v>
      </c>
      <c r="Y52" s="18" t="n">
        <v>399827.28</v>
      </c>
      <c r="Z52" s="37" t="n">
        <v>399827.28</v>
      </c>
      <c r="AA52" s="18" t="n">
        <v>389622.4</v>
      </c>
      <c r="AB52" s="19" t="n">
        <v>390504.61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222246.57</v>
      </c>
      <c r="F53" s="37" t="n">
        <v>222246.57</v>
      </c>
      <c r="G53" s="18" t="n">
        <v>228266.28</v>
      </c>
      <c r="H53" s="18" t="n">
        <v>250696.87</v>
      </c>
      <c r="I53" s="18" t="n">
        <v>240951.23</v>
      </c>
      <c r="J53" s="18" t="n">
        <v>247619.33</v>
      </c>
      <c r="K53" s="37" t="n">
        <v>247619.33</v>
      </c>
      <c r="L53" s="18" t="n">
        <v>235104.04</v>
      </c>
      <c r="M53" s="18" t="n">
        <v>235094.13</v>
      </c>
      <c r="N53" s="18" t="n">
        <v>212697.07</v>
      </c>
      <c r="O53" s="18" t="n">
        <v>208782.44</v>
      </c>
      <c r="P53" s="37" t="n">
        <v>208782.44</v>
      </c>
      <c r="Q53" s="18" t="n">
        <v>218135</v>
      </c>
      <c r="R53" s="18" t="n">
        <v>208377.12</v>
      </c>
      <c r="S53" s="18" t="n">
        <v>202355.39</v>
      </c>
      <c r="T53" s="18" t="n">
        <v>186390.43</v>
      </c>
      <c r="U53" s="37" t="n">
        <v>186390.43</v>
      </c>
      <c r="V53" s="18" t="n">
        <v>176581.45</v>
      </c>
      <c r="W53" s="18" t="n">
        <v>145194.23</v>
      </c>
      <c r="X53" s="18" t="n">
        <v>142430.59</v>
      </c>
      <c r="Y53" s="18" t="n">
        <v>135856.67</v>
      </c>
      <c r="Z53" s="37" t="n">
        <v>135856.67</v>
      </c>
      <c r="AA53" s="18" t="n">
        <v>133943.07</v>
      </c>
      <c r="AB53" s="19" t="n">
        <v>123354.72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210104.63</v>
      </c>
      <c r="F54" s="37" t="n">
        <v>210104.63</v>
      </c>
      <c r="G54" s="18" t="n">
        <v>214070.13</v>
      </c>
      <c r="H54" s="18" t="n">
        <v>230031.8</v>
      </c>
      <c r="I54" s="18" t="n">
        <v>229784.97</v>
      </c>
      <c r="J54" s="18" t="n">
        <v>229851.84</v>
      </c>
      <c r="K54" s="37" t="n">
        <v>229851.84</v>
      </c>
      <c r="L54" s="18" t="n">
        <v>227113.53</v>
      </c>
      <c r="M54" s="18" t="n">
        <v>222379.06</v>
      </c>
      <c r="N54" s="18" t="n">
        <v>200844.49</v>
      </c>
      <c r="O54" s="18" t="n">
        <v>198049.35</v>
      </c>
      <c r="P54" s="37" t="n">
        <v>198049.35</v>
      </c>
      <c r="Q54" s="18" t="n">
        <v>207134.41</v>
      </c>
      <c r="R54" s="18" t="n">
        <v>199877.46</v>
      </c>
      <c r="S54" s="18" t="n">
        <v>193635.57</v>
      </c>
      <c r="T54" s="18" t="n">
        <v>176438.23</v>
      </c>
      <c r="U54" s="37" t="n">
        <v>176438.23</v>
      </c>
      <c r="V54" s="18" t="n">
        <v>164277.89</v>
      </c>
      <c r="W54" s="18" t="n">
        <v>130807.78</v>
      </c>
      <c r="X54" s="18" t="n">
        <v>131231.26</v>
      </c>
      <c r="Y54" s="18" t="n">
        <v>124875.37</v>
      </c>
      <c r="Z54" s="37" t="n">
        <v>124875.37</v>
      </c>
      <c r="AA54" s="18" t="n">
        <v>125492.52</v>
      </c>
      <c r="AB54" s="19" t="n">
        <v>116464.98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14642.92</v>
      </c>
      <c r="F55" s="37" t="n">
        <v>14642.92</v>
      </c>
      <c r="G55" s="18" t="n">
        <v>16338</v>
      </c>
      <c r="H55" s="18" t="n">
        <v>23384.28</v>
      </c>
      <c r="I55" s="18" t="n">
        <v>13335.6</v>
      </c>
      <c r="J55" s="18" t="n">
        <v>19003.59</v>
      </c>
      <c r="K55" s="37" t="n">
        <v>19003.59</v>
      </c>
      <c r="L55" s="18" t="n">
        <v>9140.040000000001</v>
      </c>
      <c r="M55" s="18" t="n">
        <v>14011.75</v>
      </c>
      <c r="N55" s="18" t="n">
        <v>12773.77</v>
      </c>
      <c r="O55" s="18" t="n">
        <v>12367.84</v>
      </c>
      <c r="P55" s="37" t="n">
        <v>12367.84</v>
      </c>
      <c r="Q55" s="18" t="n">
        <v>11493.05</v>
      </c>
      <c r="R55" s="18" t="n">
        <v>9227.91</v>
      </c>
      <c r="S55" s="18" t="n">
        <v>9419.99</v>
      </c>
      <c r="T55" s="18" t="n">
        <v>10552.35</v>
      </c>
      <c r="U55" s="37" t="n">
        <v>10552.35</v>
      </c>
      <c r="V55" s="18" t="n">
        <v>12157.36</v>
      </c>
      <c r="W55" s="18" t="n">
        <v>14512.67</v>
      </c>
      <c r="X55" s="18" t="n">
        <v>11228.98</v>
      </c>
      <c r="Y55" s="18" t="n">
        <v>11020.75</v>
      </c>
      <c r="Z55" s="37" t="n">
        <v>11020.75</v>
      </c>
      <c r="AA55" s="18" t="n">
        <v>10241.86</v>
      </c>
      <c r="AB55" s="19" t="n">
        <v>9416.059999999999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매각예정비유동자산및처분자산</t>
        </is>
      </c>
      <c r="F56" s="9" t="n"/>
      <c r="I56" s="18" t="n">
        <v>2626.9</v>
      </c>
      <c r="J56" s="18" t="n">
        <v>2626.9</v>
      </c>
      <c r="K56" s="37" t="n">
        <v>2626.9</v>
      </c>
      <c r="M56" s="18" t="n">
        <v>4156.36</v>
      </c>
      <c r="N56" s="18" t="n">
        <v>4106.21</v>
      </c>
      <c r="O56" s="18" t="n">
        <v>22383.41</v>
      </c>
      <c r="P56" s="37" t="n">
        <v>22383.41</v>
      </c>
      <c r="Q56" s="18" t="n">
        <v>17434.8</v>
      </c>
      <c r="R56" s="18" t="n">
        <v>17434.8</v>
      </c>
      <c r="S56" s="18" t="n">
        <v>27878.69</v>
      </c>
      <c r="T56" s="18" t="n">
        <v>14698.12</v>
      </c>
      <c r="U56" s="37" t="n">
        <v>14698.12</v>
      </c>
      <c r="V56" s="18" t="n">
        <v>10756.11</v>
      </c>
      <c r="W56" s="18" t="n">
        <v>45254.01</v>
      </c>
      <c r="X56" s="18" t="n">
        <v>45254.01</v>
      </c>
      <c r="Y56" s="18" t="n">
        <v>67853.37</v>
      </c>
      <c r="Z56" s="37" t="n">
        <v>67853.37</v>
      </c>
      <c r="AA56" s="18" t="n">
        <v>57409.48</v>
      </c>
      <c r="AB56" s="19" t="n">
        <v>57409.48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유동파생상품자산</t>
        </is>
      </c>
      <c r="F57" s="9" t="n"/>
      <c r="J57" s="18" t="n">
        <v>459.39</v>
      </c>
      <c r="K57" s="37" t="n">
        <v>459.39</v>
      </c>
      <c r="L57" s="18" t="n">
        <v>94.51000000000001</v>
      </c>
      <c r="M57" s="18" t="n">
        <v>62.65</v>
      </c>
      <c r="N57" s="18" t="n">
        <v>110.07</v>
      </c>
      <c r="O57" s="18" t="n">
        <v>39.44</v>
      </c>
      <c r="P57" s="37" t="n">
        <v>39.44</v>
      </c>
      <c r="Q57" s="18" t="n">
        <v>23.34</v>
      </c>
      <c r="R57" s="18" t="n">
        <v>1.39</v>
      </c>
      <c r="S57" s="18" t="n">
        <v>0</v>
      </c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단기금융자산</t>
        </is>
      </c>
      <c r="F58" s="9" t="n"/>
      <c r="J58" s="18" t="n">
        <v>459.39</v>
      </c>
      <c r="K58" s="37" t="n">
        <v>459.39</v>
      </c>
      <c r="L58" s="18" t="n">
        <v>94.51000000000001</v>
      </c>
      <c r="M58" s="18" t="n">
        <v>62.65</v>
      </c>
      <c r="N58" s="18" t="n">
        <v>110.07</v>
      </c>
      <c r="O58" s="18" t="n">
        <v>39.44</v>
      </c>
      <c r="P58" s="37" t="n">
        <v>39.44</v>
      </c>
      <c r="Q58" s="18" t="n">
        <v>23.34</v>
      </c>
      <c r="R58" s="18" t="n">
        <v>1.39</v>
      </c>
      <c r="S58" s="18" t="n">
        <v>0</v>
      </c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계약부채</t>
        </is>
      </c>
      <c r="F59" s="9" t="n"/>
      <c r="K59" s="9" t="n"/>
      <c r="M59" s="18" t="n">
        <v>499.15</v>
      </c>
      <c r="N59" s="18" t="n">
        <v>88.59</v>
      </c>
      <c r="O59" s="18" t="n">
        <v>1023.79</v>
      </c>
      <c r="P59" s="37" t="n">
        <v>1023.79</v>
      </c>
      <c r="Q59" s="18" t="n">
        <v>281.53</v>
      </c>
      <c r="R59" s="18" t="n">
        <v>435.1</v>
      </c>
      <c r="S59" s="18" t="n">
        <v>1043.4</v>
      </c>
      <c r="T59" s="18" t="n">
        <v>880.67</v>
      </c>
      <c r="U59" s="37" t="n">
        <v>880.67</v>
      </c>
      <c r="V59" s="18" t="n">
        <v>204.88</v>
      </c>
      <c r="W59" s="18" t="n">
        <v>147.7</v>
      </c>
      <c r="X59" s="18" t="n">
        <v>25.92</v>
      </c>
      <c r="Y59" s="18" t="n">
        <v>0.8100000000000001</v>
      </c>
      <c r="Z59" s="37" t="n">
        <v>0.8100000000000001</v>
      </c>
      <c r="AA59" s="18" t="n">
        <v>35.06</v>
      </c>
      <c r="AB59" s="19" t="n">
        <v>101.36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단기금융부채(face)</t>
        </is>
      </c>
      <c r="F60" s="9" t="n"/>
      <c r="K60" s="9" t="n"/>
      <c r="M60" s="18" t="n">
        <v>148524.7</v>
      </c>
      <c r="N60" s="18" t="n">
        <v>152031.34</v>
      </c>
      <c r="O60" s="18" t="n">
        <v>139635.63</v>
      </c>
      <c r="P60" s="37" t="n">
        <v>139635.63</v>
      </c>
      <c r="T60" s="18" t="n">
        <v>143242.68</v>
      </c>
      <c r="U60" s="37" t="n">
        <v>143242.68</v>
      </c>
      <c r="Z60" s="9" t="n"/>
      <c r="AB60" s="19" t="n">
        <v>97273.92999999999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장기금융부채(face)</t>
        </is>
      </c>
      <c r="F61" s="9" t="n"/>
      <c r="K61" s="9" t="n"/>
      <c r="M61" s="18" t="n">
        <v>35700.62</v>
      </c>
      <c r="N61" s="18" t="n">
        <v>28203.59</v>
      </c>
      <c r="O61" s="18" t="n">
        <v>25039.89</v>
      </c>
      <c r="P61" s="37" t="n">
        <v>25039.89</v>
      </c>
      <c r="Q61" s="18" t="n">
        <v>17992.86</v>
      </c>
      <c r="R61" s="18" t="n">
        <v>10071.17</v>
      </c>
      <c r="S61" s="18" t="n">
        <v>8200.360000000001</v>
      </c>
      <c r="T61" s="18" t="n">
        <v>7416.94</v>
      </c>
      <c r="U61" s="37" t="n">
        <v>7416.94</v>
      </c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기타비유동부채</t>
        </is>
      </c>
      <c r="F62" s="9" t="n"/>
      <c r="K62" s="9" t="n"/>
      <c r="N62" s="18" t="n">
        <v>14672.2</v>
      </c>
      <c r="P62" s="9" t="n"/>
      <c r="U62" s="9" t="n"/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기타유동금융자산</t>
        </is>
      </c>
      <c r="F63" s="9" t="n"/>
      <c r="K63" s="9" t="n"/>
      <c r="P63" s="9" t="n"/>
      <c r="R63" s="18" t="n">
        <v>417.74</v>
      </c>
      <c r="S63" s="18" t="n">
        <v>376.81</v>
      </c>
      <c r="T63" s="18" t="n">
        <v>48.77</v>
      </c>
      <c r="U63" s="37" t="n">
        <v>48.77</v>
      </c>
      <c r="Z63" s="9" t="n"/>
      <c r="AB63" s="5" t="n"/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단기사채</t>
        </is>
      </c>
      <c r="F64" s="9" t="n"/>
      <c r="K64" s="9" t="n"/>
      <c r="P64" s="9" t="n"/>
      <c r="U64" s="9" t="n"/>
      <c r="Z64" s="9" t="n"/>
      <c r="AB64" s="19" t="n">
        <v>8000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매출액(수익)</t>
        </is>
      </c>
      <c r="E65" s="18" t="n">
        <v>96057.87</v>
      </c>
      <c r="F65" s="9" t="n"/>
      <c r="G65" s="18" t="n">
        <v>114580.42</v>
      </c>
      <c r="H65" s="18" t="n">
        <v>120824.3</v>
      </c>
      <c r="I65" s="18" t="n">
        <v>167721.9</v>
      </c>
      <c r="J65" s="18" t="n">
        <v>124242.11</v>
      </c>
      <c r="K65" s="37" t="n">
        <v>527368.73</v>
      </c>
      <c r="L65" s="18" t="n">
        <v>123171.79</v>
      </c>
      <c r="M65" s="18" t="n">
        <v>132706.49</v>
      </c>
      <c r="N65" s="18" t="n">
        <v>133880.09</v>
      </c>
      <c r="O65" s="18" t="n">
        <v>110252.18</v>
      </c>
      <c r="P65" s="37" t="n">
        <v>500010.55</v>
      </c>
      <c r="Q65" s="18" t="n">
        <v>125035.04</v>
      </c>
      <c r="R65" s="18" t="n">
        <v>126960.72</v>
      </c>
      <c r="S65" s="18" t="n">
        <v>119001.99</v>
      </c>
      <c r="T65" s="18" t="n">
        <v>109350.58</v>
      </c>
      <c r="U65" s="37" t="n">
        <v>480348.33</v>
      </c>
      <c r="V65" s="18" t="n">
        <v>110984.99</v>
      </c>
      <c r="W65" s="18" t="n">
        <v>116282.15</v>
      </c>
      <c r="X65" s="18" t="n">
        <v>109895.49</v>
      </c>
      <c r="Y65" s="18" t="n">
        <v>96321.92999999999</v>
      </c>
      <c r="Z65" s="37" t="n">
        <v>433484.56</v>
      </c>
      <c r="AA65" s="18" t="n">
        <v>96425.16</v>
      </c>
      <c r="AB65" s="19" t="n">
        <v>106766.84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매출원가</t>
        </is>
      </c>
      <c r="E66" s="18" t="n">
        <v>81266.72</v>
      </c>
      <c r="F66" s="9" t="n"/>
      <c r="G66" s="18" t="n">
        <v>102663.81</v>
      </c>
      <c r="H66" s="18" t="n">
        <v>108864.47</v>
      </c>
      <c r="I66" s="18" t="n">
        <v>156061.28</v>
      </c>
      <c r="J66" s="18" t="n">
        <v>116590.29</v>
      </c>
      <c r="K66" s="37" t="n">
        <v>484179.85</v>
      </c>
      <c r="L66" s="18" t="n">
        <v>117210.77</v>
      </c>
      <c r="M66" s="18" t="n">
        <v>121415.31</v>
      </c>
      <c r="N66" s="18" t="n">
        <v>124451.39</v>
      </c>
      <c r="O66" s="18" t="n">
        <v>101875.19</v>
      </c>
      <c r="P66" s="37" t="n">
        <v>464952.66</v>
      </c>
      <c r="Q66" s="18" t="n">
        <v>112834.99</v>
      </c>
      <c r="R66" s="18" t="n">
        <v>115295.13</v>
      </c>
      <c r="S66" s="18" t="n">
        <v>111376.23</v>
      </c>
      <c r="T66" s="18" t="n">
        <v>103992.88</v>
      </c>
      <c r="U66" s="37" t="n">
        <v>443499.23</v>
      </c>
      <c r="V66" s="18" t="n">
        <v>104669.82</v>
      </c>
      <c r="W66" s="18" t="n">
        <v>110836.26</v>
      </c>
      <c r="X66" s="18" t="n">
        <v>108520.05</v>
      </c>
      <c r="Y66" s="18" t="n">
        <v>84029.44</v>
      </c>
      <c r="Z66" s="37" t="n">
        <v>408055.57</v>
      </c>
      <c r="AA66" s="18" t="n">
        <v>90049.50999999999</v>
      </c>
      <c r="AB66" s="19" t="n">
        <v>97531.59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매출총이익</t>
        </is>
      </c>
      <c r="E67" s="18" t="n">
        <v>14791.15</v>
      </c>
      <c r="F67" s="9" t="n"/>
      <c r="G67" s="18" t="n">
        <v>11916.62</v>
      </c>
      <c r="H67" s="18" t="n">
        <v>11959.83</v>
      </c>
      <c r="I67" s="18" t="n">
        <v>11660.62</v>
      </c>
      <c r="J67" s="18" t="n">
        <v>7651.82</v>
      </c>
      <c r="K67" s="37" t="n">
        <v>43188.89</v>
      </c>
      <c r="L67" s="18" t="n">
        <v>5961.02</v>
      </c>
      <c r="M67" s="18" t="n">
        <v>11291.18</v>
      </c>
      <c r="N67" s="18" t="n">
        <v>9428.709999999999</v>
      </c>
      <c r="O67" s="18" t="n">
        <v>8376.99</v>
      </c>
      <c r="P67" s="37" t="n">
        <v>35057.9</v>
      </c>
      <c r="Q67" s="18" t="n">
        <v>12200.06</v>
      </c>
      <c r="R67" s="18" t="n">
        <v>11665.59</v>
      </c>
      <c r="S67" s="18" t="n">
        <v>7625.75</v>
      </c>
      <c r="T67" s="18" t="n">
        <v>5357.7</v>
      </c>
      <c r="U67" s="37" t="n">
        <v>36849.1</v>
      </c>
      <c r="V67" s="18" t="n">
        <v>6315.17</v>
      </c>
      <c r="W67" s="18" t="n">
        <v>5445.88</v>
      </c>
      <c r="X67" s="18" t="n">
        <v>1375.44</v>
      </c>
      <c r="Y67" s="18" t="n">
        <v>12292.49</v>
      </c>
      <c r="Z67" s="37" t="n">
        <v>25428.98</v>
      </c>
      <c r="AA67" s="18" t="n">
        <v>6375.65</v>
      </c>
      <c r="AB67" s="19" t="n">
        <v>9235.25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판관비</t>
        </is>
      </c>
      <c r="E68" s="18" t="n">
        <v>11180.27</v>
      </c>
      <c r="F68" s="9" t="n"/>
      <c r="G68" s="18" t="n">
        <v>10176.78</v>
      </c>
      <c r="H68" s="18" t="n">
        <v>9919.780000000001</v>
      </c>
      <c r="I68" s="18" t="n">
        <v>9952.709999999999</v>
      </c>
      <c r="J68" s="18" t="n">
        <v>8912.639999999999</v>
      </c>
      <c r="K68" s="37" t="n">
        <v>38961.91</v>
      </c>
      <c r="L68" s="18" t="n">
        <v>8781.51</v>
      </c>
      <c r="M68" s="18" t="n">
        <v>8933.889999999999</v>
      </c>
      <c r="N68" s="18" t="n">
        <v>6884.13</v>
      </c>
      <c r="O68" s="18" t="n">
        <v>9205.9</v>
      </c>
      <c r="P68" s="37" t="n">
        <v>33805.43</v>
      </c>
      <c r="Q68" s="18" t="n">
        <v>8328.17</v>
      </c>
      <c r="R68" s="18" t="n">
        <v>8921.49</v>
      </c>
      <c r="S68" s="18" t="n">
        <v>8747</v>
      </c>
      <c r="T68" s="18" t="n">
        <v>7779.79</v>
      </c>
      <c r="U68" s="37" t="n">
        <v>33776.45</v>
      </c>
      <c r="V68" s="18" t="n">
        <v>7895.72</v>
      </c>
      <c r="W68" s="18" t="n">
        <v>7829.58</v>
      </c>
      <c r="X68" s="18" t="n">
        <v>8341.639999999999</v>
      </c>
      <c r="Y68" s="18" t="n">
        <v>14530.64</v>
      </c>
      <c r="Z68" s="37" t="n">
        <v>38597.58</v>
      </c>
      <c r="AA68" s="18" t="n">
        <v>7814.78</v>
      </c>
      <c r="AB68" s="19" t="n">
        <v>7061.41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영업이익</t>
        </is>
      </c>
      <c r="E69" s="18" t="n">
        <v>3610.88</v>
      </c>
      <c r="F69" s="9" t="n"/>
      <c r="G69" s="18" t="n">
        <v>1739.84</v>
      </c>
      <c r="H69" s="18" t="n">
        <v>2040.05</v>
      </c>
      <c r="I69" s="18" t="n">
        <v>1707.91</v>
      </c>
      <c r="J69" s="18" t="n">
        <v>-1260.82</v>
      </c>
      <c r="K69" s="37" t="n">
        <v>4226.98</v>
      </c>
      <c r="L69" s="18" t="n">
        <v>-2820.49</v>
      </c>
      <c r="M69" s="18" t="n">
        <v>2357.29</v>
      </c>
      <c r="N69" s="18" t="n">
        <v>2544.58</v>
      </c>
      <c r="O69" s="18" t="n">
        <v>-828.91</v>
      </c>
      <c r="P69" s="37" t="n">
        <v>1252.47</v>
      </c>
      <c r="Q69" s="18" t="n">
        <v>3871.89</v>
      </c>
      <c r="R69" s="18" t="n">
        <v>2744.1</v>
      </c>
      <c r="S69" s="18" t="n">
        <v>-1121.25</v>
      </c>
      <c r="T69" s="18" t="n">
        <v>-2422.09</v>
      </c>
      <c r="U69" s="37" t="n">
        <v>3072.65</v>
      </c>
      <c r="V69" s="18" t="n">
        <v>-1580.55</v>
      </c>
      <c r="W69" s="18" t="n">
        <v>-2383.7</v>
      </c>
      <c r="X69" s="18" t="n">
        <v>-6966.2</v>
      </c>
      <c r="Y69" s="18" t="n">
        <v>-2238.15</v>
      </c>
      <c r="Z69" s="37" t="n">
        <v>-13168.6</v>
      </c>
      <c r="AA69" s="18" t="n">
        <v>-1439.13</v>
      </c>
      <c r="AB69" s="19" t="n">
        <v>2173.84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금융수익</t>
        </is>
      </c>
      <c r="E70" s="18" t="n">
        <v>1308.08</v>
      </c>
      <c r="F70" s="9" t="n"/>
      <c r="G70" s="18" t="n">
        <v>933.37</v>
      </c>
      <c r="H70" s="18" t="n">
        <v>5271.66</v>
      </c>
      <c r="I70" s="18" t="n">
        <v>4688.71</v>
      </c>
      <c r="J70" s="18" t="n">
        <v>2284.43</v>
      </c>
      <c r="K70" s="37" t="n">
        <v>13178.17</v>
      </c>
      <c r="L70" s="18" t="n">
        <v>2065.51</v>
      </c>
      <c r="M70" s="18" t="n">
        <v>1600.61</v>
      </c>
      <c r="N70" s="18" t="n">
        <v>2573.19</v>
      </c>
      <c r="O70" s="18" t="n">
        <v>1016.08</v>
      </c>
      <c r="P70" s="37" t="n">
        <v>7255.39</v>
      </c>
      <c r="Q70" s="18" t="n">
        <v>1590.99</v>
      </c>
      <c r="R70" s="18" t="n">
        <v>1450.06</v>
      </c>
      <c r="S70" s="18" t="n">
        <v>412.14</v>
      </c>
      <c r="T70" s="18" t="n">
        <v>1731.52</v>
      </c>
      <c r="U70" s="37" t="n">
        <v>5184.71</v>
      </c>
      <c r="V70" s="18" t="n">
        <v>1160.12</v>
      </c>
      <c r="W70" s="18" t="n">
        <v>421.25</v>
      </c>
      <c r="X70" s="18" t="n">
        <v>622.52</v>
      </c>
      <c r="Y70" s="18" t="n">
        <v>1416.49</v>
      </c>
      <c r="Z70" s="37" t="n">
        <v>3620.38</v>
      </c>
      <c r="AA70" s="18" t="n">
        <v>812.59</v>
      </c>
      <c r="AB70" s="19" t="n">
        <v>314.11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금융비용</t>
        </is>
      </c>
      <c r="E71" s="18" t="n">
        <v>2298</v>
      </c>
      <c r="F71" s="9" t="n"/>
      <c r="G71" s="18" t="n">
        <v>4398.4</v>
      </c>
      <c r="H71" s="18" t="n">
        <v>2978.31</v>
      </c>
      <c r="I71" s="18" t="n">
        <v>5354.61</v>
      </c>
      <c r="J71" s="18" t="n">
        <v>8151.35</v>
      </c>
      <c r="K71" s="37" t="n">
        <v>20882.67</v>
      </c>
      <c r="L71" s="18" t="n">
        <v>5069.6</v>
      </c>
      <c r="M71" s="18" t="n">
        <v>5354.28</v>
      </c>
      <c r="N71" s="18" t="n">
        <v>5231.55</v>
      </c>
      <c r="O71" s="18" t="n">
        <v>4261.11</v>
      </c>
      <c r="P71" s="37" t="n">
        <v>19916.54</v>
      </c>
      <c r="Q71" s="18" t="n">
        <v>4180.28</v>
      </c>
      <c r="R71" s="18" t="n">
        <v>4647.34</v>
      </c>
      <c r="S71" s="18" t="n">
        <v>3993.5</v>
      </c>
      <c r="T71" s="18" t="n">
        <v>2987.75</v>
      </c>
      <c r="U71" s="37" t="n">
        <v>15808.87</v>
      </c>
      <c r="V71" s="18" t="n">
        <v>3038.57</v>
      </c>
      <c r="W71" s="18" t="n">
        <v>3666.21</v>
      </c>
      <c r="X71" s="18" t="n">
        <v>1693.13</v>
      </c>
      <c r="Y71" s="18" t="n">
        <v>2452.25</v>
      </c>
      <c r="Z71" s="37" t="n">
        <v>10850.16</v>
      </c>
      <c r="AA71" s="18" t="n">
        <v>2248.64</v>
      </c>
      <c r="AB71" s="19" t="n">
        <v>2221.45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기타영업외수익</t>
        </is>
      </c>
      <c r="E72" s="18" t="n">
        <v>-4195.51</v>
      </c>
      <c r="F72" s="9" t="n"/>
      <c r="G72" s="18" t="n">
        <v>616.24</v>
      </c>
      <c r="H72" s="18" t="n">
        <v>1456.97</v>
      </c>
      <c r="I72" s="18" t="n">
        <v>373.34</v>
      </c>
      <c r="J72" s="18" t="n">
        <v>256.14</v>
      </c>
      <c r="K72" s="37" t="n">
        <v>2702.69</v>
      </c>
      <c r="L72" s="18" t="n">
        <v>2342.9</v>
      </c>
      <c r="M72" s="18" t="n">
        <v>397.74</v>
      </c>
      <c r="N72" s="18" t="n">
        <v>325.44</v>
      </c>
      <c r="O72" s="18" t="n">
        <v>3399.75</v>
      </c>
      <c r="P72" s="37" t="n">
        <v>6465.83</v>
      </c>
      <c r="Q72" s="18" t="n">
        <v>1720.09</v>
      </c>
      <c r="R72" s="18" t="n">
        <v>517.8099999999999</v>
      </c>
      <c r="S72" s="18" t="n">
        <v>135.7</v>
      </c>
      <c r="T72" s="18" t="n">
        <v>-296.61</v>
      </c>
      <c r="U72" s="37" t="n">
        <v>2076.99</v>
      </c>
      <c r="V72" s="18" t="n">
        <v>5952.67</v>
      </c>
      <c r="W72" s="18" t="n">
        <v>206.21</v>
      </c>
      <c r="X72" s="18" t="n">
        <v>563.96</v>
      </c>
      <c r="Y72" s="18" t="n">
        <v>173.29</v>
      </c>
      <c r="Z72" s="37" t="n">
        <v>6896.13</v>
      </c>
      <c r="AA72" s="18" t="n">
        <v>1607.88</v>
      </c>
      <c r="AB72" s="19" t="n">
        <v>69.45999999999999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기타영업외비용</t>
        </is>
      </c>
      <c r="E73" s="18" t="n">
        <v>88.45999999999999</v>
      </c>
      <c r="F73" s="9" t="n"/>
      <c r="G73" s="18" t="n">
        <v>94.72</v>
      </c>
      <c r="H73" s="18" t="n">
        <v>125.36</v>
      </c>
      <c r="I73" s="18" t="n">
        <v>193.57</v>
      </c>
      <c r="J73" s="18" t="n">
        <v>1500.56</v>
      </c>
      <c r="K73" s="37" t="n">
        <v>1914.21</v>
      </c>
      <c r="L73" s="18" t="n">
        <v>280.2</v>
      </c>
      <c r="M73" s="18" t="n">
        <v>636.27</v>
      </c>
      <c r="N73" s="18" t="n">
        <v>177.78</v>
      </c>
      <c r="O73" s="18" t="n">
        <v>3224.44</v>
      </c>
      <c r="P73" s="37" t="n">
        <v>4318.69</v>
      </c>
      <c r="Q73" s="18" t="n">
        <v>280.34</v>
      </c>
      <c r="R73" s="18" t="n">
        <v>284.68</v>
      </c>
      <c r="S73" s="18" t="n">
        <v>291.62</v>
      </c>
      <c r="T73" s="18" t="n">
        <v>9563.82</v>
      </c>
      <c r="U73" s="37" t="n">
        <v>10420.46</v>
      </c>
      <c r="V73" s="18" t="n">
        <v>1071.16</v>
      </c>
      <c r="W73" s="18" t="n">
        <v>25512.18</v>
      </c>
      <c r="X73" s="18" t="n">
        <v>3594.59</v>
      </c>
      <c r="Y73" s="18" t="n">
        <v>22732.58</v>
      </c>
      <c r="Z73" s="37" t="n">
        <v>52910.51</v>
      </c>
      <c r="AA73" s="18" t="n">
        <v>117.12</v>
      </c>
      <c r="AB73" s="19" t="n">
        <v>61.67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법인세비용차감전계속사업이익</t>
        </is>
      </c>
      <c r="E74" s="18" t="n">
        <v>-1595.5</v>
      </c>
      <c r="F74" s="9" t="n"/>
      <c r="G74" s="18" t="n">
        <v>-1192.33</v>
      </c>
      <c r="H74" s="18" t="n">
        <v>6135.28</v>
      </c>
      <c r="I74" s="18" t="n">
        <v>1113.6</v>
      </c>
      <c r="J74" s="18" t="n">
        <v>-8302.059999999999</v>
      </c>
      <c r="K74" s="37" t="n">
        <v>-2245.51</v>
      </c>
      <c r="L74" s="18" t="n">
        <v>-3772.02</v>
      </c>
      <c r="M74" s="18" t="n">
        <v>-1674.17</v>
      </c>
      <c r="N74" s="18" t="n">
        <v>-844.1</v>
      </c>
      <c r="O74" s="18" t="n">
        <v>-3213.16</v>
      </c>
      <c r="P74" s="37" t="n">
        <v>-9503.450000000001</v>
      </c>
      <c r="Q74" s="18" t="n">
        <v>2710.86</v>
      </c>
      <c r="R74" s="18" t="n">
        <v>-554.61</v>
      </c>
      <c r="S74" s="18" t="n">
        <v>-4879.89</v>
      </c>
      <c r="T74" s="18" t="n">
        <v>-13733.36</v>
      </c>
      <c r="U74" s="37" t="n">
        <v>-16457</v>
      </c>
      <c r="V74" s="18" t="n">
        <v>1370.42</v>
      </c>
      <c r="W74" s="18" t="n">
        <v>-31030</v>
      </c>
      <c r="X74" s="18" t="n">
        <v>-11168.25</v>
      </c>
      <c r="Y74" s="18" t="n">
        <v>-25889.73</v>
      </c>
      <c r="Z74" s="37" t="n">
        <v>-66717.56</v>
      </c>
      <c r="AA74" s="18" t="n">
        <v>-1349.53</v>
      </c>
      <c r="AB74" s="19" t="n">
        <v>258.96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법인세비용</t>
        </is>
      </c>
      <c r="E75" s="18" t="n">
        <v>-3843.84</v>
      </c>
      <c r="F75" s="9" t="n"/>
      <c r="G75" s="18" t="n">
        <v>-130.16</v>
      </c>
      <c r="H75" s="18" t="n">
        <v>498.15</v>
      </c>
      <c r="I75" s="18" t="n">
        <v>-70.89</v>
      </c>
      <c r="J75" s="18" t="n">
        <v>314.03</v>
      </c>
      <c r="K75" s="37" t="n">
        <v>611.13</v>
      </c>
      <c r="L75" s="18" t="n">
        <v>373.08</v>
      </c>
      <c r="M75" s="18" t="n">
        <v>495.28</v>
      </c>
      <c r="N75" s="18" t="n">
        <v>-4.07</v>
      </c>
      <c r="O75" s="18" t="n">
        <v>-1871.04</v>
      </c>
      <c r="P75" s="37" t="n">
        <v>-1006.75</v>
      </c>
      <c r="Q75" s="18" t="n">
        <v>175.56</v>
      </c>
      <c r="R75" s="18" t="n">
        <v>-172.62</v>
      </c>
      <c r="S75" s="18" t="n">
        <v>-179.27</v>
      </c>
      <c r="T75" s="18" t="n">
        <v>-1792.8</v>
      </c>
      <c r="U75" s="37" t="n">
        <v>-1969.13</v>
      </c>
      <c r="V75" s="18" t="n">
        <v>628.8099999999999</v>
      </c>
      <c r="W75" s="18" t="n">
        <v>-6067.95</v>
      </c>
      <c r="X75" s="18" t="n">
        <v>6465.23</v>
      </c>
      <c r="Y75" s="18" t="n">
        <v>-13444.02</v>
      </c>
      <c r="Z75" s="37" t="n">
        <v>-12417.93</v>
      </c>
      <c r="AA75" s="18" t="n">
        <v>258.37</v>
      </c>
      <c r="AB75" s="19" t="n">
        <v>-0.16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2248.34</v>
      </c>
      <c r="F76" s="9" t="n"/>
      <c r="G76" s="18" t="n">
        <v>-1062.17</v>
      </c>
      <c r="H76" s="18" t="n">
        <v>5637.13</v>
      </c>
      <c r="I76" s="18" t="n">
        <v>1184.49</v>
      </c>
      <c r="J76" s="18" t="n">
        <v>-8616.07</v>
      </c>
      <c r="K76" s="37" t="n">
        <v>-2856.62</v>
      </c>
      <c r="L76" s="18" t="n">
        <v>-4145.1</v>
      </c>
      <c r="M76" s="18" t="n">
        <v>-2169.45</v>
      </c>
      <c r="N76" s="18" t="n">
        <v>-840.03</v>
      </c>
      <c r="O76" s="18" t="n">
        <v>-1342.12</v>
      </c>
      <c r="P76" s="37" t="n">
        <v>-8496.700000000001</v>
      </c>
      <c r="Q76" s="18" t="n">
        <v>2535.3</v>
      </c>
      <c r="R76" s="18" t="n">
        <v>-381.99</v>
      </c>
      <c r="S76" s="18" t="n">
        <v>-4700.62</v>
      </c>
      <c r="T76" s="18" t="n">
        <v>-11940.55</v>
      </c>
      <c r="U76" s="37" t="n">
        <v>-14487.86</v>
      </c>
      <c r="V76" s="18" t="n">
        <v>741.61</v>
      </c>
      <c r="W76" s="18" t="n">
        <v>-24962.05</v>
      </c>
      <c r="X76" s="18" t="n">
        <v>-17633.48</v>
      </c>
      <c r="Y76" s="18" t="n">
        <v>-12445.72</v>
      </c>
      <c r="Z76" s="37" t="n">
        <v>-54299.64</v>
      </c>
      <c r="AA76" s="18" t="n">
        <v>-1607.9</v>
      </c>
      <c r="AB76" s="19" t="n">
        <v>259.12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중단사업이익</t>
        </is>
      </c>
      <c r="E77" s="18" t="n">
        <v>3645.97</v>
      </c>
      <c r="F77" s="9" t="n"/>
      <c r="K77" s="9" t="n"/>
      <c r="P77" s="9" t="n"/>
      <c r="T77" s="18" t="n">
        <v>-486.19</v>
      </c>
      <c r="U77" s="9" t="n"/>
      <c r="V77" s="18" t="n">
        <v>-156.22</v>
      </c>
      <c r="Y77" s="18" t="n">
        <v>0</v>
      </c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당기순이익</t>
        </is>
      </c>
      <c r="E78" s="18" t="n">
        <v>5894.31</v>
      </c>
      <c r="F78" s="9" t="n"/>
      <c r="G78" s="18" t="n">
        <v>-1062.17</v>
      </c>
      <c r="H78" s="18" t="n">
        <v>5637.13</v>
      </c>
      <c r="I78" s="18" t="n">
        <v>1184.49</v>
      </c>
      <c r="J78" s="18" t="n">
        <v>-8616.07</v>
      </c>
      <c r="K78" s="37" t="n">
        <v>-2856.62</v>
      </c>
      <c r="L78" s="18" t="n">
        <v>-4145.1</v>
      </c>
      <c r="M78" s="18" t="n">
        <v>-2169.45</v>
      </c>
      <c r="N78" s="18" t="n">
        <v>-840.03</v>
      </c>
      <c r="O78" s="18" t="n">
        <v>-1342.12</v>
      </c>
      <c r="P78" s="37" t="n">
        <v>-8496.700000000001</v>
      </c>
      <c r="Q78" s="18" t="n">
        <v>2535.3</v>
      </c>
      <c r="R78" s="18" t="n">
        <v>-381.99</v>
      </c>
      <c r="S78" s="18" t="n">
        <v>-4700.62</v>
      </c>
      <c r="T78" s="18" t="n">
        <v>-12426.74</v>
      </c>
      <c r="U78" s="37" t="n">
        <v>-14974.05</v>
      </c>
      <c r="V78" s="18" t="n">
        <v>585.39</v>
      </c>
      <c r="W78" s="18" t="n">
        <v>-24962.05</v>
      </c>
      <c r="X78" s="18" t="n">
        <v>-17633.48</v>
      </c>
      <c r="Y78" s="18" t="n">
        <v>-12445.72</v>
      </c>
      <c r="Z78" s="37" t="n">
        <v>-54455.86</v>
      </c>
      <c r="AA78" s="18" t="n">
        <v>-1607.9</v>
      </c>
      <c r="AB78" s="19" t="n">
        <v>259.12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총포괄손익</t>
        </is>
      </c>
      <c r="E79" s="18" t="n">
        <v>6742.08</v>
      </c>
      <c r="F79" s="9" t="n"/>
      <c r="G79" s="18" t="n">
        <v>-1163.73</v>
      </c>
      <c r="H79" s="18" t="n">
        <v>6264.99</v>
      </c>
      <c r="I79" s="18" t="n">
        <v>1881.74</v>
      </c>
      <c r="J79" s="18" t="n">
        <v>-7339.45</v>
      </c>
      <c r="K79" s="37" t="n">
        <v>-356.45</v>
      </c>
      <c r="L79" s="18" t="n">
        <v>-3798.6</v>
      </c>
      <c r="M79" s="18" t="n">
        <v>-2208.39</v>
      </c>
      <c r="N79" s="18" t="n">
        <v>-1114.56</v>
      </c>
      <c r="O79" s="18" t="n">
        <v>40963.3</v>
      </c>
      <c r="P79" s="37" t="n">
        <v>33841.75</v>
      </c>
      <c r="Q79" s="18" t="n">
        <v>-619.9400000000001</v>
      </c>
      <c r="R79" s="18" t="n">
        <v>-132.75</v>
      </c>
      <c r="S79" s="18" t="n">
        <v>-4723.87</v>
      </c>
      <c r="T79" s="18" t="n">
        <v>-11576.91</v>
      </c>
      <c r="U79" s="37" t="n">
        <v>-17053.47</v>
      </c>
      <c r="V79" s="18" t="n">
        <v>-488.43</v>
      </c>
      <c r="W79" s="18" t="n">
        <v>-25192.63</v>
      </c>
      <c r="X79" s="18" t="n">
        <v>-17691.01</v>
      </c>
      <c r="Y79" s="18" t="n">
        <v>-10461.39</v>
      </c>
      <c r="Z79" s="37" t="n">
        <v>-53833.46</v>
      </c>
      <c r="AA79" s="18" t="n">
        <v>-1417.6</v>
      </c>
      <c r="AB79" s="19" t="n">
        <v>222.6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(지배주주지분)당기순이익</t>
        </is>
      </c>
      <c r="E80" s="18" t="n">
        <v>3371.09</v>
      </c>
      <c r="F80" s="9" t="n"/>
      <c r="G80" s="18" t="n">
        <v>-407.09</v>
      </c>
      <c r="H80" s="18" t="n">
        <v>3900.96</v>
      </c>
      <c r="I80" s="18" t="n">
        <v>784.36</v>
      </c>
      <c r="J80" s="18" t="n">
        <v>-4605.78</v>
      </c>
      <c r="K80" s="37" t="n">
        <v>-327.55</v>
      </c>
      <c r="L80" s="18" t="n">
        <v>-1446.78</v>
      </c>
      <c r="M80" s="18" t="n">
        <v>-2029.21</v>
      </c>
      <c r="N80" s="18" t="n">
        <v>-750.46</v>
      </c>
      <c r="O80" s="18" t="n">
        <v>-2174.99</v>
      </c>
      <c r="P80" s="37" t="n">
        <v>-6401.44</v>
      </c>
      <c r="Q80" s="18" t="n">
        <v>2429.59</v>
      </c>
      <c r="R80" s="18" t="n">
        <v>128.28</v>
      </c>
      <c r="S80" s="18" t="n">
        <v>-3135.39</v>
      </c>
      <c r="T80" s="18" t="n">
        <v>-7237.51</v>
      </c>
      <c r="U80" s="37" t="n">
        <v>-7815.03</v>
      </c>
      <c r="V80" s="18" t="n">
        <v>1064.61</v>
      </c>
      <c r="W80" s="18" t="n">
        <v>-24672.18</v>
      </c>
      <c r="X80" s="18" t="n">
        <v>-17128.65</v>
      </c>
      <c r="Y80" s="18" t="n">
        <v>-11593.19</v>
      </c>
      <c r="Z80" s="37" t="n">
        <v>-52329.41</v>
      </c>
      <c r="AA80" s="18" t="n">
        <v>-893.03</v>
      </c>
      <c r="AB80" s="19" t="n">
        <v>41.03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(비지배주주지분)당기순이익</t>
        </is>
      </c>
      <c r="E81" s="18" t="n">
        <v>2523.22</v>
      </c>
      <c r="F81" s="9" t="n"/>
      <c r="G81" s="18" t="n">
        <v>-655.08</v>
      </c>
      <c r="H81" s="18" t="n">
        <v>1736.16</v>
      </c>
      <c r="I81" s="18" t="n">
        <v>400.13</v>
      </c>
      <c r="J81" s="18" t="n">
        <v>-4010.31</v>
      </c>
      <c r="K81" s="37" t="n">
        <v>-2529.1</v>
      </c>
      <c r="L81" s="18" t="n">
        <v>-2698.32</v>
      </c>
      <c r="M81" s="18" t="n">
        <v>-140.25</v>
      </c>
      <c r="N81" s="18" t="n">
        <v>-89.56999999999999</v>
      </c>
      <c r="O81" s="18" t="n">
        <v>832.86</v>
      </c>
      <c r="P81" s="37" t="n">
        <v>-2095.28</v>
      </c>
      <c r="Q81" s="18" t="n">
        <v>105.71</v>
      </c>
      <c r="R81" s="18" t="n">
        <v>-510.27</v>
      </c>
      <c r="S81" s="18" t="n">
        <v>-1565.23</v>
      </c>
      <c r="T81" s="18" t="n">
        <v>-5189.24</v>
      </c>
      <c r="U81" s="37" t="n">
        <v>-7159.03</v>
      </c>
      <c r="V81" s="18" t="n">
        <v>-479.22</v>
      </c>
      <c r="W81" s="18" t="n">
        <v>-289.87</v>
      </c>
      <c r="X81" s="18" t="n">
        <v>-504.82</v>
      </c>
      <c r="Y81" s="18" t="n">
        <v>-852.53</v>
      </c>
      <c r="Z81" s="37" t="n">
        <v>-2126.44</v>
      </c>
      <c r="AA81" s="18" t="n">
        <v>-714.88</v>
      </c>
      <c r="AB81" s="19" t="n">
        <v>218.09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금융손익</t>
        </is>
      </c>
      <c r="E82" s="18" t="n">
        <v>-989.92</v>
      </c>
      <c r="F82" s="9" t="n"/>
      <c r="G82" s="18" t="n">
        <v>-3465.03</v>
      </c>
      <c r="H82" s="18" t="n">
        <v>2293.35</v>
      </c>
      <c r="I82" s="18" t="n">
        <v>-665.9</v>
      </c>
      <c r="J82" s="18" t="n">
        <v>-5866.92</v>
      </c>
      <c r="K82" s="37" t="n">
        <v>-7704.5</v>
      </c>
      <c r="L82" s="18" t="n">
        <v>-3004.09</v>
      </c>
      <c r="M82" s="18" t="n">
        <v>-3753.67</v>
      </c>
      <c r="N82" s="18" t="n">
        <v>-2658.36</v>
      </c>
      <c r="O82" s="18" t="n">
        <v>-3245.03</v>
      </c>
      <c r="P82" s="37" t="n">
        <v>-12661.15</v>
      </c>
      <c r="Q82" s="18" t="n">
        <v>-2589.29</v>
      </c>
      <c r="R82" s="18" t="n">
        <v>-3197.28</v>
      </c>
      <c r="S82" s="18" t="n">
        <v>-3581.36</v>
      </c>
      <c r="T82" s="18" t="n">
        <v>-1256.23</v>
      </c>
      <c r="U82" s="37" t="n">
        <v>-10624.16</v>
      </c>
      <c r="V82" s="18" t="n">
        <v>-1878.45</v>
      </c>
      <c r="W82" s="18" t="n">
        <v>-3244.96</v>
      </c>
      <c r="X82" s="18" t="n">
        <v>-1070.61</v>
      </c>
      <c r="Y82" s="18" t="n">
        <v>-1035.76</v>
      </c>
      <c r="Z82" s="37" t="n">
        <v>-7229.78</v>
      </c>
      <c r="AA82" s="18" t="n">
        <v>-1436.05</v>
      </c>
      <c r="AB82" s="19" t="n">
        <v>-1907.34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기타영업외손익</t>
        </is>
      </c>
      <c r="E83" s="18" t="n">
        <v>-4283.97</v>
      </c>
      <c r="F83" s="9" t="n"/>
      <c r="G83" s="18" t="n">
        <v>521.52</v>
      </c>
      <c r="H83" s="18" t="n">
        <v>1331.61</v>
      </c>
      <c r="I83" s="18" t="n">
        <v>179.77</v>
      </c>
      <c r="J83" s="18" t="n">
        <v>-1244.42</v>
      </c>
      <c r="K83" s="37" t="n">
        <v>788.48</v>
      </c>
      <c r="L83" s="18" t="n">
        <v>2062.7</v>
      </c>
      <c r="M83" s="18" t="n">
        <v>-238.53</v>
      </c>
      <c r="N83" s="18" t="n">
        <v>147.66</v>
      </c>
      <c r="O83" s="18" t="n">
        <v>175.31</v>
      </c>
      <c r="P83" s="37" t="n">
        <v>2147.14</v>
      </c>
      <c r="Q83" s="18" t="n">
        <v>1439.75</v>
      </c>
      <c r="R83" s="18" t="n">
        <v>233.13</v>
      </c>
      <c r="S83" s="18" t="n">
        <v>-155.92</v>
      </c>
      <c r="T83" s="18" t="n">
        <v>-9860.43</v>
      </c>
      <c r="U83" s="37" t="n">
        <v>-8343.469999999999</v>
      </c>
      <c r="V83" s="18" t="n">
        <v>4881.51</v>
      </c>
      <c r="W83" s="18" t="n">
        <v>-25305.97</v>
      </c>
      <c r="X83" s="18" t="n">
        <v>-3030.63</v>
      </c>
      <c r="Y83" s="18" t="n">
        <v>-22559.29</v>
      </c>
      <c r="Z83" s="37" t="n">
        <v>-46014.38</v>
      </c>
      <c r="AA83" s="18" t="n">
        <v>1490.76</v>
      </c>
      <c r="AB83" s="19" t="n">
        <v>7.79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종속기업,공동지배기업및관계기업관련손익</t>
        </is>
      </c>
      <c r="F84" s="9" t="n"/>
      <c r="G84" s="18" t="n">
        <v>11.34</v>
      </c>
      <c r="H84" s="18" t="n">
        <v>470.27</v>
      </c>
      <c r="I84" s="18" t="n">
        <v>-108.19</v>
      </c>
      <c r="J84" s="18" t="n">
        <v>70.11</v>
      </c>
      <c r="K84" s="37" t="n">
        <v>443.53</v>
      </c>
      <c r="L84" s="18" t="n">
        <v>-10.13</v>
      </c>
      <c r="M84" s="18" t="n">
        <v>-39.26</v>
      </c>
      <c r="N84" s="18" t="n">
        <v>-877.96</v>
      </c>
      <c r="O84" s="18" t="n">
        <v>685.47</v>
      </c>
      <c r="P84" s="37" t="n">
        <v>-241.88</v>
      </c>
      <c r="Q84" s="18" t="n">
        <v>-11.48</v>
      </c>
      <c r="R84" s="18" t="n">
        <v>-334.55</v>
      </c>
      <c r="S84" s="18" t="n">
        <v>-21.36</v>
      </c>
      <c r="T84" s="18" t="n">
        <v>-194.62</v>
      </c>
      <c r="U84" s="37" t="n">
        <v>-562.01</v>
      </c>
      <c r="V84" s="18" t="n">
        <v>-52.1</v>
      </c>
      <c r="W84" s="18" t="n">
        <v>-95.36</v>
      </c>
      <c r="X84" s="18" t="n">
        <v>-100.81</v>
      </c>
      <c r="Z84" s="9" t="n"/>
      <c r="AA84" s="18" t="n">
        <v>34.89</v>
      </c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지분법관련손익</t>
        </is>
      </c>
      <c r="F85" s="9" t="n"/>
      <c r="G85" s="18" t="n">
        <v>11.34</v>
      </c>
      <c r="H85" s="18" t="n">
        <v>470.27</v>
      </c>
      <c r="I85" s="18" t="n">
        <v>-108.19</v>
      </c>
      <c r="J85" s="18" t="n">
        <v>70.11</v>
      </c>
      <c r="K85" s="37" t="n">
        <v>443.53</v>
      </c>
      <c r="L85" s="18" t="n">
        <v>-10.13</v>
      </c>
      <c r="M85" s="18" t="n">
        <v>-39.26</v>
      </c>
      <c r="N85" s="18" t="n">
        <v>-877.96</v>
      </c>
      <c r="O85" s="18" t="n">
        <v>685.47</v>
      </c>
      <c r="P85" s="37" t="n">
        <v>-241.88</v>
      </c>
      <c r="Q85" s="18" t="n">
        <v>-11.48</v>
      </c>
      <c r="R85" s="18" t="n">
        <v>-334.55</v>
      </c>
      <c r="S85" s="18" t="n">
        <v>-21.36</v>
      </c>
      <c r="T85" s="18" t="n">
        <v>-194.62</v>
      </c>
      <c r="U85" s="37" t="n">
        <v>-562.01</v>
      </c>
      <c r="V85" s="18" t="n">
        <v>-52.1</v>
      </c>
      <c r="W85" s="18" t="n">
        <v>-95.36</v>
      </c>
      <c r="X85" s="18" t="n">
        <v>-100.81</v>
      </c>
      <c r="Z85" s="9" t="n"/>
      <c r="AA85" s="18" t="n">
        <v>34.89</v>
      </c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배당금수익</t>
        </is>
      </c>
      <c r="F86" s="9" t="n"/>
      <c r="G86" s="18" t="n">
        <v>42.95</v>
      </c>
      <c r="H86" s="18" t="n">
        <v>0</v>
      </c>
      <c r="I86" s="18" t="n">
        <v>0</v>
      </c>
      <c r="J86" s="18" t="n">
        <v>0</v>
      </c>
      <c r="K86" s="37" t="n">
        <v>42.95</v>
      </c>
      <c r="L86" s="18" t="n">
        <v>52.15</v>
      </c>
      <c r="M86" s="18" t="n">
        <v>0</v>
      </c>
      <c r="N86" s="18" t="n">
        <v>0</v>
      </c>
      <c r="O86" s="18" t="n">
        <v>0</v>
      </c>
      <c r="P86" s="37" t="n">
        <v>52.15</v>
      </c>
      <c r="Q86" s="18" t="n">
        <v>61.35</v>
      </c>
      <c r="R86" s="18" t="n">
        <v>0</v>
      </c>
      <c r="S86" s="18" t="n">
        <v>1.26</v>
      </c>
      <c r="T86" s="18" t="n">
        <v>1.18</v>
      </c>
      <c r="U86" s="37" t="n">
        <v>63.79</v>
      </c>
      <c r="V86" s="18" t="n">
        <v>61.99</v>
      </c>
      <c r="W86" s="18" t="n">
        <v>0</v>
      </c>
      <c r="X86" s="18" t="n">
        <v>0</v>
      </c>
      <c r="Y86" s="18" t="n">
        <v>0</v>
      </c>
      <c r="Z86" s="37" t="n">
        <v>61.99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외환차익</t>
        </is>
      </c>
      <c r="F87" s="9" t="n"/>
      <c r="G87" s="18" t="n">
        <v>432.87</v>
      </c>
      <c r="H87" s="18" t="n">
        <v>1531.56</v>
      </c>
      <c r="I87" s="18" t="n">
        <v>1642.73</v>
      </c>
      <c r="J87" s="18" t="n">
        <v>2140.29</v>
      </c>
      <c r="K87" s="37" t="n">
        <v>5747.45</v>
      </c>
      <c r="L87" s="18" t="n">
        <v>651.3</v>
      </c>
      <c r="M87" s="18" t="n">
        <v>1093.84</v>
      </c>
      <c r="N87" s="18" t="n">
        <v>1026.61</v>
      </c>
      <c r="O87" s="18" t="n">
        <v>464.46</v>
      </c>
      <c r="P87" s="37" t="n">
        <v>3236.21</v>
      </c>
      <c r="Q87" s="18" t="n">
        <v>571.1799999999999</v>
      </c>
      <c r="R87" s="18" t="n">
        <v>1087.33</v>
      </c>
      <c r="S87" s="18" t="n">
        <v>354.54</v>
      </c>
      <c r="T87" s="18" t="n">
        <v>800.15</v>
      </c>
      <c r="U87" s="37" t="n">
        <v>2813.2</v>
      </c>
      <c r="V87" s="18" t="n">
        <v>285.76</v>
      </c>
      <c r="W87" s="18" t="n">
        <v>375.18</v>
      </c>
      <c r="X87" s="18" t="n">
        <v>412.26</v>
      </c>
      <c r="Y87" s="18" t="n">
        <v>688.92</v>
      </c>
      <c r="Z87" s="37" t="n">
        <v>1762.12</v>
      </c>
      <c r="AB87" s="19" t="n">
        <v>323.72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외환차손</t>
        </is>
      </c>
      <c r="F88" s="9" t="n"/>
      <c r="G88" s="18" t="n">
        <v>187.73</v>
      </c>
      <c r="H88" s="18" t="n">
        <v>1022.46</v>
      </c>
      <c r="I88" s="18" t="n">
        <v>1238.11</v>
      </c>
      <c r="J88" s="18" t="n">
        <v>1732.72</v>
      </c>
      <c r="K88" s="37" t="n">
        <v>4181.02</v>
      </c>
      <c r="L88" s="18" t="n">
        <v>514.14</v>
      </c>
      <c r="M88" s="18" t="n">
        <v>818.75</v>
      </c>
      <c r="N88" s="18" t="n">
        <v>512.27</v>
      </c>
      <c r="O88" s="18" t="n">
        <v>841.73</v>
      </c>
      <c r="P88" s="37" t="n">
        <v>2686.89</v>
      </c>
      <c r="Q88" s="18" t="n">
        <v>221.96</v>
      </c>
      <c r="R88" s="18" t="n">
        <v>882.37</v>
      </c>
      <c r="S88" s="18" t="n">
        <v>518.33</v>
      </c>
      <c r="T88" s="18" t="n">
        <v>132.8</v>
      </c>
      <c r="U88" s="37" t="n">
        <v>1755.46</v>
      </c>
      <c r="V88" s="18" t="n">
        <v>315.26</v>
      </c>
      <c r="W88" s="18" t="n">
        <v>688.63</v>
      </c>
      <c r="X88" s="18" t="n">
        <v>155.78</v>
      </c>
      <c r="Y88" s="18" t="n">
        <v>208.07</v>
      </c>
      <c r="Z88" s="37" t="n">
        <v>1367.74</v>
      </c>
      <c r="AB88" s="19" t="n">
        <v>141.87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외화환산이익</t>
        </is>
      </c>
      <c r="F89" s="9" t="n"/>
      <c r="G89" s="18" t="n">
        <v>385.02</v>
      </c>
      <c r="H89" s="18" t="n">
        <v>825.4299999999999</v>
      </c>
      <c r="I89" s="18" t="n">
        <v>1841.97</v>
      </c>
      <c r="J89" s="18" t="n">
        <v>-1468.02</v>
      </c>
      <c r="K89" s="37" t="n">
        <v>1584.4</v>
      </c>
      <c r="L89" s="18" t="n">
        <v>883.91</v>
      </c>
      <c r="M89" s="18" t="n">
        <v>-292.52</v>
      </c>
      <c r="N89" s="18" t="n">
        <v>-74.23</v>
      </c>
      <c r="O89" s="18" t="n">
        <v>-100.31</v>
      </c>
      <c r="P89" s="37" t="n">
        <v>416.85</v>
      </c>
      <c r="Q89" s="18" t="n">
        <v>650.4400000000001</v>
      </c>
      <c r="R89" s="18" t="n">
        <v>31.24</v>
      </c>
      <c r="S89" s="18" t="n">
        <v>-112.2</v>
      </c>
      <c r="T89" s="18" t="n">
        <v>918.64</v>
      </c>
      <c r="U89" s="37" t="n">
        <v>1488.12</v>
      </c>
      <c r="V89" s="18" t="n">
        <v>416.38</v>
      </c>
      <c r="W89" s="18" t="n">
        <v>-161.69</v>
      </c>
      <c r="X89" s="18" t="n">
        <v>-23.39</v>
      </c>
      <c r="Y89" s="18" t="n">
        <v>-105.48</v>
      </c>
      <c r="Z89" s="37" t="n">
        <v>125.82</v>
      </c>
      <c r="AB89" s="19" t="n">
        <v>-156.46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외화환산손실</t>
        </is>
      </c>
      <c r="F90" s="9" t="n"/>
      <c r="G90" s="18" t="n">
        <v>264.91</v>
      </c>
      <c r="H90" s="18" t="n">
        <v>318.48</v>
      </c>
      <c r="I90" s="18" t="n">
        <v>804.5</v>
      </c>
      <c r="J90" s="18" t="n">
        <v>1066.11</v>
      </c>
      <c r="K90" s="37" t="n">
        <v>2454</v>
      </c>
      <c r="L90" s="18" t="n">
        <v>302.43</v>
      </c>
      <c r="M90" s="18" t="n">
        <v>225.01</v>
      </c>
      <c r="N90" s="18" t="n">
        <v>235.04</v>
      </c>
      <c r="O90" s="18" t="n">
        <v>-70.98999999999999</v>
      </c>
      <c r="P90" s="37" t="n">
        <v>691.49</v>
      </c>
      <c r="Q90" s="18" t="n">
        <v>478.71</v>
      </c>
      <c r="R90" s="18" t="n">
        <v>5.82</v>
      </c>
      <c r="S90" s="18" t="n">
        <v>72.64</v>
      </c>
      <c r="T90" s="18" t="n">
        <v>243.36</v>
      </c>
      <c r="U90" s="37" t="n">
        <v>800.53</v>
      </c>
      <c r="V90" s="18" t="n">
        <v>109.7</v>
      </c>
      <c r="W90" s="18" t="n">
        <v>507.93</v>
      </c>
      <c r="X90" s="18" t="n">
        <v>-397.79</v>
      </c>
      <c r="Y90" s="18" t="n">
        <v>21.01</v>
      </c>
      <c r="Z90" s="37" t="n">
        <v>240.85</v>
      </c>
      <c r="AB90" s="19" t="n">
        <v>-16.74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파생상품이익</t>
        </is>
      </c>
      <c r="F91" s="9" t="n"/>
      <c r="G91" s="18" t="n">
        <v>25.9</v>
      </c>
      <c r="H91" s="18" t="n">
        <v>1902.67</v>
      </c>
      <c r="I91" s="18" t="n">
        <v>1190.73</v>
      </c>
      <c r="J91" s="18" t="n">
        <v>1500.97</v>
      </c>
      <c r="K91" s="37" t="n">
        <v>4620.27</v>
      </c>
      <c r="L91" s="18" t="n">
        <v>437.67</v>
      </c>
      <c r="M91" s="18" t="n">
        <v>463.23</v>
      </c>
      <c r="N91" s="18" t="n">
        <v>1396.89</v>
      </c>
      <c r="O91" s="18" t="n">
        <v>641.49</v>
      </c>
      <c r="P91" s="37" t="n">
        <v>2939.28</v>
      </c>
      <c r="Q91" s="18" t="n">
        <v>201.92</v>
      </c>
      <c r="R91" s="18" t="n">
        <v>246.73</v>
      </c>
      <c r="S91" s="18" t="n">
        <v>100.96</v>
      </c>
      <c r="T91" s="18" t="n">
        <v>-76.05</v>
      </c>
      <c r="U91" s="37" t="n">
        <v>473.56</v>
      </c>
      <c r="V91" s="18" t="n">
        <v>121.45</v>
      </c>
      <c r="W91" s="18" t="n">
        <v>12.67</v>
      </c>
      <c r="X91" s="18" t="n">
        <v>0</v>
      </c>
      <c r="Y91" s="18" t="n">
        <v>0</v>
      </c>
      <c r="Z91" s="37" t="n">
        <v>134.12</v>
      </c>
      <c r="AB91" s="19" t="n">
        <v>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파생상품손실</t>
        </is>
      </c>
      <c r="F92" s="9" t="n"/>
      <c r="G92" s="18" t="n">
        <v>1408.68</v>
      </c>
      <c r="H92" s="18" t="n">
        <v>-1147.6</v>
      </c>
      <c r="I92" s="18" t="n">
        <v>0</v>
      </c>
      <c r="J92" s="18" t="n">
        <v>250.09</v>
      </c>
      <c r="K92" s="37" t="n">
        <v>511.17</v>
      </c>
      <c r="L92" s="18" t="n">
        <v>364.88</v>
      </c>
      <c r="M92" s="18" t="n">
        <v>31.86</v>
      </c>
      <c r="N92" s="18" t="n">
        <v>210.71</v>
      </c>
      <c r="O92" s="18" t="n">
        <v>70.63</v>
      </c>
      <c r="P92" s="37" t="n">
        <v>678.08</v>
      </c>
      <c r="Q92" s="18" t="n">
        <v>226.36</v>
      </c>
      <c r="R92" s="18" t="n">
        <v>21.95</v>
      </c>
      <c r="S92" s="18" t="n">
        <v>15.46</v>
      </c>
      <c r="T92" s="18" t="n">
        <v>225.47</v>
      </c>
      <c r="U92" s="37" t="n">
        <v>489.24</v>
      </c>
      <c r="Z92" s="9" t="n"/>
      <c r="AB92" s="19" t="n">
        <v>225.41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이자수익</t>
        </is>
      </c>
      <c r="F93" s="9" t="n"/>
      <c r="K93" s="9" t="n"/>
      <c r="P93" s="9" t="n"/>
      <c r="U93" s="9" t="n"/>
      <c r="Z93" s="9" t="n"/>
      <c r="AB93" s="19" t="n">
        <v>128.09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이자비용</t>
        </is>
      </c>
      <c r="F94" s="9" t="n"/>
      <c r="K94" s="9" t="n"/>
      <c r="P94" s="9" t="n"/>
      <c r="U94" s="9" t="n"/>
      <c r="Z94" s="9" t="n"/>
      <c r="AB94" s="19" t="n">
        <v>1758.92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이자손익</t>
        </is>
      </c>
      <c r="F95" s="9" t="n"/>
      <c r="K95" s="9" t="n"/>
      <c r="P95" s="9" t="n"/>
      <c r="U95" s="9" t="n"/>
      <c r="Z95" s="9" t="n"/>
      <c r="AB95" s="19" t="n">
        <v>-1630.83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영업활동으로인한현금흐름</t>
        </is>
      </c>
      <c r="E96" s="18" t="n">
        <v>-2675.54</v>
      </c>
      <c r="F96" s="9" t="n"/>
      <c r="G96" s="18" t="n">
        <v>-1261.68</v>
      </c>
      <c r="H96" s="18" t="n">
        <v>-12165.09</v>
      </c>
      <c r="I96" s="18" t="n">
        <v>2442.21</v>
      </c>
      <c r="J96" s="18" t="n">
        <v>8126.82</v>
      </c>
      <c r="K96" s="37" t="n">
        <v>-2857.74</v>
      </c>
      <c r="L96" s="18" t="n">
        <v>-6154.45</v>
      </c>
      <c r="M96" s="18" t="n">
        <v>20108.73</v>
      </c>
      <c r="N96" s="18" t="n">
        <v>4404.98</v>
      </c>
      <c r="O96" s="18" t="n">
        <v>6219.3</v>
      </c>
      <c r="P96" s="37" t="n">
        <v>24578.56</v>
      </c>
      <c r="Q96" s="18" t="n">
        <v>-5958.74</v>
      </c>
      <c r="R96" s="18" t="n">
        <v>12271.57</v>
      </c>
      <c r="S96" s="18" t="n">
        <v>-19295.86</v>
      </c>
      <c r="T96" s="18" t="n">
        <v>32937.13</v>
      </c>
      <c r="U96" s="37" t="n">
        <v>19954.1</v>
      </c>
      <c r="V96" s="18" t="n">
        <v>3827.83</v>
      </c>
      <c r="W96" s="18" t="n">
        <v>37329.48</v>
      </c>
      <c r="X96" s="18" t="n">
        <v>-34.48</v>
      </c>
      <c r="Y96" s="18" t="n">
        <v>301.28</v>
      </c>
      <c r="Z96" s="37" t="n">
        <v>41424.11</v>
      </c>
      <c r="AA96" s="18" t="n">
        <v>-12125.26</v>
      </c>
      <c r="AB96" s="19" t="n">
        <v>12030.08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이자수취(CF)</t>
        </is>
      </c>
      <c r="E97" s="18" t="n">
        <v>58.61</v>
      </c>
      <c r="F97" s="9" t="n"/>
      <c r="G97" s="18" t="n">
        <v>40.16</v>
      </c>
      <c r="H97" s="18" t="n">
        <v>51.56</v>
      </c>
      <c r="I97" s="18" t="n">
        <v>-40.6</v>
      </c>
      <c r="J97" s="18" t="n">
        <v>11.38</v>
      </c>
      <c r="K97" s="37" t="n">
        <v>62.5</v>
      </c>
      <c r="L97" s="18" t="n">
        <v>32.55</v>
      </c>
      <c r="M97" s="18" t="n">
        <v>35.42</v>
      </c>
      <c r="N97" s="18" t="n">
        <v>181.25</v>
      </c>
      <c r="O97" s="18" t="n">
        <v>36.62</v>
      </c>
      <c r="P97" s="37" t="n">
        <v>285.84</v>
      </c>
      <c r="Q97" s="18" t="n">
        <v>56.29</v>
      </c>
      <c r="R97" s="18" t="n">
        <v>59.99</v>
      </c>
      <c r="S97" s="18" t="n">
        <v>33.57</v>
      </c>
      <c r="T97" s="18" t="n">
        <v>52.66</v>
      </c>
      <c r="U97" s="37" t="n">
        <v>202.51</v>
      </c>
      <c r="V97" s="18" t="n">
        <v>177.65</v>
      </c>
      <c r="W97" s="18" t="n">
        <v>173.26</v>
      </c>
      <c r="X97" s="18" t="n">
        <v>207.26</v>
      </c>
      <c r="Y97" s="18" t="n">
        <v>492.63</v>
      </c>
      <c r="Z97" s="37" t="n">
        <v>1050.8</v>
      </c>
      <c r="AA97" s="18" t="n">
        <v>146.78</v>
      </c>
      <c r="AB97" s="19" t="n">
        <v>127.91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이자지급(CF)</t>
        </is>
      </c>
      <c r="E98" s="18" t="n">
        <v>-1357.25</v>
      </c>
      <c r="F98" s="9" t="n"/>
      <c r="G98" s="18" t="n">
        <v>-1437.3</v>
      </c>
      <c r="H98" s="18" t="n">
        <v>-1718.35</v>
      </c>
      <c r="I98" s="18" t="n">
        <v>-2036.47</v>
      </c>
      <c r="J98" s="18" t="n">
        <v>-2608.64</v>
      </c>
      <c r="K98" s="37" t="n">
        <v>-7800.76</v>
      </c>
      <c r="L98" s="18" t="n">
        <v>-2635.89</v>
      </c>
      <c r="M98" s="18" t="n">
        <v>-2892.55</v>
      </c>
      <c r="P98" s="9" t="n"/>
      <c r="Q98" s="18" t="n">
        <v>-2821.94</v>
      </c>
      <c r="R98" s="18" t="n">
        <v>-2758.24</v>
      </c>
      <c r="S98" s="18" t="n">
        <v>-2723.2</v>
      </c>
      <c r="T98" s="18" t="n">
        <v>-2348.38</v>
      </c>
      <c r="U98" s="37" t="n">
        <v>-10651.76</v>
      </c>
      <c r="V98" s="18" t="n">
        <v>-3330.05</v>
      </c>
      <c r="W98" s="18" t="n">
        <v>-1664.51</v>
      </c>
      <c r="X98" s="18" t="n">
        <v>-1811.51</v>
      </c>
      <c r="Y98" s="18" t="n">
        <v>-1869.28</v>
      </c>
      <c r="Z98" s="37" t="n">
        <v>-8675.35</v>
      </c>
      <c r="AA98" s="18" t="n">
        <v>-2587.67</v>
      </c>
      <c r="AB98" s="19" t="n">
        <v>-1361.54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배당금수취(CF)</t>
        </is>
      </c>
      <c r="E99" s="18" t="n">
        <v>0</v>
      </c>
      <c r="F99" s="9" t="n"/>
      <c r="I99" s="18" t="n">
        <v>0</v>
      </c>
      <c r="J99" s="18" t="n">
        <v>0</v>
      </c>
      <c r="K99" s="9" t="n"/>
      <c r="N99" s="18" t="n">
        <v>0</v>
      </c>
      <c r="O99" s="18" t="n">
        <v>0</v>
      </c>
      <c r="P99" s="9" t="n"/>
      <c r="S99" s="18" t="n">
        <v>1.26</v>
      </c>
      <c r="T99" s="18" t="n">
        <v>1.18</v>
      </c>
      <c r="U99" s="9" t="n"/>
      <c r="X99" s="18" t="n">
        <v>0</v>
      </c>
      <c r="Y99" s="18" t="n">
        <v>0</v>
      </c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법인세납부(CF)</t>
        </is>
      </c>
      <c r="E100" s="18" t="n">
        <v>849.8099999999999</v>
      </c>
      <c r="F100" s="9" t="n"/>
      <c r="G100" s="18" t="n">
        <v>-592.47</v>
      </c>
      <c r="H100" s="18" t="n">
        <v>-726.37</v>
      </c>
      <c r="I100" s="18" t="n">
        <v>-473.36</v>
      </c>
      <c r="J100" s="18" t="n">
        <v>-236.31</v>
      </c>
      <c r="K100" s="37" t="n">
        <v>-2028.51</v>
      </c>
      <c r="L100" s="18" t="n">
        <v>-674.8</v>
      </c>
      <c r="M100" s="18" t="n">
        <v>-219.16</v>
      </c>
      <c r="N100" s="18" t="n">
        <v>-94.27</v>
      </c>
      <c r="O100" s="18" t="n">
        <v>-6.09</v>
      </c>
      <c r="P100" s="37" t="n">
        <v>-994.3200000000001</v>
      </c>
      <c r="Q100" s="18" t="n">
        <v>-19.37</v>
      </c>
      <c r="R100" s="18" t="n">
        <v>-18.24</v>
      </c>
      <c r="S100" s="18" t="n">
        <v>-22.22</v>
      </c>
      <c r="T100" s="18" t="n">
        <v>-101.78</v>
      </c>
      <c r="U100" s="37" t="n">
        <v>-161.61</v>
      </c>
      <c r="V100" s="18" t="n">
        <v>-190.33</v>
      </c>
      <c r="W100" s="18" t="n">
        <v>-232.45</v>
      </c>
      <c r="X100" s="18" t="n">
        <v>-67.31</v>
      </c>
      <c r="Y100" s="18" t="n">
        <v>-267.92</v>
      </c>
      <c r="Z100" s="37" t="n">
        <v>-758.01</v>
      </c>
      <c r="AA100" s="18" t="n">
        <v>65.48</v>
      </c>
      <c r="AB100" s="19" t="n">
        <v>-69.28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투자활동으로인한현금흐름</t>
        </is>
      </c>
      <c r="E101" s="18" t="n">
        <v>-3107.19</v>
      </c>
      <c r="F101" s="9" t="n"/>
      <c r="G101" s="18" t="n">
        <v>-2296.12</v>
      </c>
      <c r="H101" s="18" t="n">
        <v>-2837.3</v>
      </c>
      <c r="I101" s="18" t="n">
        <v>-2003.77</v>
      </c>
      <c r="J101" s="18" t="n">
        <v>-11635.24</v>
      </c>
      <c r="K101" s="37" t="n">
        <v>-18772.43</v>
      </c>
      <c r="L101" s="18" t="n">
        <v>11073.44</v>
      </c>
      <c r="M101" s="18" t="n">
        <v>-11492.17</v>
      </c>
      <c r="N101" s="18" t="n">
        <v>3988.79</v>
      </c>
      <c r="O101" s="18" t="n">
        <v>11972.66</v>
      </c>
      <c r="P101" s="37" t="n">
        <v>15542.72</v>
      </c>
      <c r="Q101" s="18" t="n">
        <v>-274.38</v>
      </c>
      <c r="R101" s="18" t="n">
        <v>-2792.85</v>
      </c>
      <c r="S101" s="18" t="n">
        <v>-470.05</v>
      </c>
      <c r="T101" s="18" t="n">
        <v>8972.59</v>
      </c>
      <c r="U101" s="37" t="n">
        <v>5435.31</v>
      </c>
      <c r="V101" s="18" t="n">
        <v>9339.049999999999</v>
      </c>
      <c r="W101" s="18" t="n">
        <v>-3549.15</v>
      </c>
      <c r="X101" s="18" t="n">
        <v>-185.3</v>
      </c>
      <c r="Y101" s="18" t="n">
        <v>2339.99</v>
      </c>
      <c r="Z101" s="37" t="n">
        <v>7944.59</v>
      </c>
      <c r="AA101" s="18" t="n">
        <v>11303.16</v>
      </c>
      <c r="AB101" s="19" t="n">
        <v>-2667.8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유형자산의증가</t>
        </is>
      </c>
      <c r="E102" s="18" t="n">
        <v>3301.56</v>
      </c>
      <c r="F102" s="9" t="n"/>
      <c r="G102" s="18" t="n">
        <v>1052.3</v>
      </c>
      <c r="H102" s="18" t="n">
        <v>2078.92</v>
      </c>
      <c r="I102" s="18" t="n">
        <v>1764.97</v>
      </c>
      <c r="J102" s="18" t="n">
        <v>2093.24</v>
      </c>
      <c r="K102" s="37" t="n">
        <v>6989.43</v>
      </c>
      <c r="L102" s="18" t="n">
        <v>1667.33</v>
      </c>
      <c r="M102" s="18" t="n">
        <v>2271.25</v>
      </c>
      <c r="N102" s="18" t="n">
        <v>4628.97</v>
      </c>
      <c r="O102" s="18" t="n">
        <v>1719.6</v>
      </c>
      <c r="P102" s="37" t="n">
        <v>10287.15</v>
      </c>
      <c r="Q102" s="18" t="n">
        <v>1107.78</v>
      </c>
      <c r="R102" s="18" t="n">
        <v>2258.07</v>
      </c>
      <c r="S102" s="18" t="n">
        <v>2744.78</v>
      </c>
      <c r="T102" s="18" t="n">
        <v>3008.12</v>
      </c>
      <c r="U102" s="37" t="n">
        <v>9118.75</v>
      </c>
      <c r="V102" s="18" t="n">
        <v>2102.66</v>
      </c>
      <c r="W102" s="18" t="n">
        <v>1136.44</v>
      </c>
      <c r="X102" s="18" t="n">
        <v>2489.89</v>
      </c>
      <c r="Y102" s="18" t="n">
        <v>1573.8</v>
      </c>
      <c r="Z102" s="37" t="n">
        <v>7302.79</v>
      </c>
      <c r="AA102" s="18" t="n">
        <v>395.98</v>
      </c>
      <c r="AB102" s="19" t="n">
        <v>2087.98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CAPEX</t>
        </is>
      </c>
      <c r="E103" s="18" t="n">
        <v>3301.56</v>
      </c>
      <c r="F103" s="9" t="n"/>
      <c r="G103" s="18" t="n">
        <v>1052.3</v>
      </c>
      <c r="H103" s="18" t="n">
        <v>2078.92</v>
      </c>
      <c r="I103" s="18" t="n">
        <v>1764.97</v>
      </c>
      <c r="J103" s="18" t="n">
        <v>2093.24</v>
      </c>
      <c r="K103" s="37" t="n">
        <v>6989.43</v>
      </c>
      <c r="L103" s="18" t="n">
        <v>1667.33</v>
      </c>
      <c r="M103" s="18" t="n">
        <v>2271.25</v>
      </c>
      <c r="N103" s="18" t="n">
        <v>4628.97</v>
      </c>
      <c r="O103" s="18" t="n">
        <v>1719.6</v>
      </c>
      <c r="P103" s="37" t="n">
        <v>10287.15</v>
      </c>
      <c r="Q103" s="18" t="n">
        <v>1107.78</v>
      </c>
      <c r="R103" s="18" t="n">
        <v>2260.21</v>
      </c>
      <c r="S103" s="18" t="n">
        <v>2744.78</v>
      </c>
      <c r="T103" s="18" t="n">
        <v>3009</v>
      </c>
      <c r="U103" s="37" t="n">
        <v>9121.77</v>
      </c>
      <c r="V103" s="18" t="n">
        <v>2102.66</v>
      </c>
      <c r="W103" s="18" t="n">
        <v>1136.44</v>
      </c>
      <c r="X103" s="18" t="n">
        <v>2489.89</v>
      </c>
      <c r="Y103" s="18" t="n">
        <v>1573.8</v>
      </c>
      <c r="Z103" s="37" t="n">
        <v>7302.79</v>
      </c>
      <c r="AA103" s="18" t="n">
        <v>395.98</v>
      </c>
      <c r="AB103" s="19" t="n">
        <v>2087.98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무형자산의증가</t>
        </is>
      </c>
      <c r="E104" s="18" t="n">
        <v>0</v>
      </c>
      <c r="F104" s="9" t="n"/>
      <c r="K104" s="9" t="n"/>
      <c r="P104" s="9" t="n"/>
      <c r="S104" s="18" t="n">
        <v>0</v>
      </c>
      <c r="T104" s="18" t="n">
        <v>0.88</v>
      </c>
      <c r="U104" s="9" t="n"/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무형자산의감소</t>
        </is>
      </c>
      <c r="E105" s="18" t="n">
        <v>0</v>
      </c>
      <c r="F105" s="9" t="n"/>
      <c r="K105" s="9" t="n"/>
      <c r="P105" s="9" t="n"/>
      <c r="U105" s="9" t="n"/>
      <c r="X105" s="18" t="n">
        <v>71.5</v>
      </c>
      <c r="Y105" s="18" t="n">
        <v>63.5</v>
      </c>
      <c r="Z105" s="9" t="n"/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재무활동으로인한현금흐름</t>
        </is>
      </c>
      <c r="E106" s="18" t="n">
        <v>-4681.06</v>
      </c>
      <c r="F106" s="9" t="n"/>
      <c r="G106" s="18" t="n">
        <v>5621.92</v>
      </c>
      <c r="H106" s="18" t="n">
        <v>21267.43</v>
      </c>
      <c r="I106" s="18" t="n">
        <v>-9963.440000000001</v>
      </c>
      <c r="J106" s="18" t="n">
        <v>9916.110000000001</v>
      </c>
      <c r="K106" s="37" t="n">
        <v>26842.02</v>
      </c>
      <c r="L106" s="18" t="n">
        <v>-14398.52</v>
      </c>
      <c r="M106" s="18" t="n">
        <v>-3880.71</v>
      </c>
      <c r="N106" s="18" t="n">
        <v>-9246.879999999999</v>
      </c>
      <c r="O106" s="18" t="n">
        <v>-18088.81</v>
      </c>
      <c r="P106" s="37" t="n">
        <v>-45614.92</v>
      </c>
      <c r="Q106" s="18" t="n">
        <v>6440.64</v>
      </c>
      <c r="R106" s="18" t="n">
        <v>-11905.5</v>
      </c>
      <c r="S106" s="18" t="n">
        <v>-5979.83</v>
      </c>
      <c r="T106" s="18" t="n">
        <v>-14787.17</v>
      </c>
      <c r="U106" s="37" t="n">
        <v>-26231.86</v>
      </c>
      <c r="V106" s="18" t="n">
        <v>-10909.43</v>
      </c>
      <c r="W106" s="18" t="n">
        <v>-31615.14</v>
      </c>
      <c r="X106" s="18" t="n">
        <v>-3124.24</v>
      </c>
      <c r="Y106" s="18" t="n">
        <v>-2594.96</v>
      </c>
      <c r="Z106" s="37" t="n">
        <v>-48243.77</v>
      </c>
      <c r="AA106" s="18" t="n">
        <v>-1827.88</v>
      </c>
      <c r="AB106" s="19" t="n">
        <v>-10873.5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단기차입금의증가</t>
        </is>
      </c>
      <c r="E107" s="18" t="n">
        <v>42496.27</v>
      </c>
      <c r="F107" s="9" t="n"/>
      <c r="G107" s="18" t="n">
        <v>39715.61</v>
      </c>
      <c r="H107" s="18" t="n">
        <v>64523.5</v>
      </c>
      <c r="I107" s="18" t="n">
        <v>58473.97</v>
      </c>
      <c r="J107" s="18" t="n">
        <v>48432.47</v>
      </c>
      <c r="K107" s="37" t="n">
        <v>211145.55</v>
      </c>
      <c r="L107" s="18" t="n">
        <v>51492.5</v>
      </c>
      <c r="M107" s="18" t="n">
        <v>64834.67</v>
      </c>
      <c r="N107" s="18" t="n">
        <v>43852.77</v>
      </c>
      <c r="O107" s="18" t="n">
        <v>32085.5</v>
      </c>
      <c r="P107" s="37" t="n">
        <v>192265.44</v>
      </c>
      <c r="Q107" s="18" t="n">
        <v>96221.95</v>
      </c>
      <c r="R107" s="18" t="n">
        <v>62203.82</v>
      </c>
      <c r="S107" s="18" t="n">
        <v>57545</v>
      </c>
      <c r="T107" s="18" t="n">
        <v>34167.23</v>
      </c>
      <c r="U107" s="37" t="n">
        <v>250138</v>
      </c>
      <c r="V107" s="18" t="n">
        <v>68601.96000000001</v>
      </c>
      <c r="W107" s="18" t="n">
        <v>33609.41</v>
      </c>
      <c r="X107" s="18" t="n">
        <v>55762.81</v>
      </c>
      <c r="Y107" s="18" t="n">
        <v>46209.46</v>
      </c>
      <c r="Z107" s="37" t="n">
        <v>204183.64</v>
      </c>
      <c r="AA107" s="18" t="n">
        <v>40567.28</v>
      </c>
      <c r="AB107" s="19" t="n">
        <v>35705.13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장기차입금의증가</t>
        </is>
      </c>
      <c r="E108" s="18" t="n">
        <v>0</v>
      </c>
      <c r="F108" s="9" t="n"/>
      <c r="G108" s="18" t="n">
        <v>7000</v>
      </c>
      <c r="H108" s="18" t="n">
        <v>6300</v>
      </c>
      <c r="I108" s="18" t="n">
        <v>5000</v>
      </c>
      <c r="J108" s="18" t="n">
        <v>103.15</v>
      </c>
      <c r="K108" s="37" t="n">
        <v>18403.15</v>
      </c>
      <c r="N108" s="18" t="n">
        <v>0</v>
      </c>
      <c r="O108" s="18" t="n">
        <v>6657.16</v>
      </c>
      <c r="P108" s="9" t="n"/>
      <c r="T108" s="18" t="n">
        <v>1687.06</v>
      </c>
      <c r="U108" s="9" t="n"/>
      <c r="Z108" s="9" t="n"/>
      <c r="AB108" s="5" t="n"/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사채의증가</t>
        </is>
      </c>
      <c r="E109" s="18" t="n">
        <v>0</v>
      </c>
      <c r="F109" s="9" t="n"/>
      <c r="I109" s="18" t="n">
        <v>0</v>
      </c>
      <c r="J109" s="18" t="n">
        <v>0</v>
      </c>
      <c r="K109" s="9" t="n"/>
      <c r="P109" s="9" t="n"/>
      <c r="S109" s="18" t="n">
        <v>0</v>
      </c>
      <c r="T109" s="18" t="n">
        <v>0</v>
      </c>
      <c r="U109" s="9" t="n"/>
      <c r="X109" s="18" t="n">
        <v>0</v>
      </c>
      <c r="Y109" s="18" t="n">
        <v>0</v>
      </c>
      <c r="Z109" s="9" t="n"/>
      <c r="AB109" s="5" t="n"/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단기차입금의감소</t>
        </is>
      </c>
      <c r="E110" s="18" t="n">
        <v>47149.34</v>
      </c>
      <c r="F110" s="9" t="n"/>
      <c r="G110" s="18" t="n">
        <v>47800.73</v>
      </c>
      <c r="H110" s="18" t="n">
        <v>53272.38</v>
      </c>
      <c r="I110" s="18" t="n">
        <v>64665.7</v>
      </c>
      <c r="J110" s="18" t="n">
        <v>35872.39</v>
      </c>
      <c r="K110" s="37" t="n">
        <v>201611.2</v>
      </c>
      <c r="L110" s="18" t="n">
        <v>63142.87</v>
      </c>
      <c r="M110" s="18" t="n">
        <v>72689.28</v>
      </c>
      <c r="N110" s="18" t="n">
        <v>47758.92</v>
      </c>
      <c r="O110" s="18" t="n">
        <v>49565.21</v>
      </c>
      <c r="P110" s="37" t="n">
        <v>233156.28</v>
      </c>
      <c r="Q110" s="18" t="n">
        <v>81474.89999999999</v>
      </c>
      <c r="R110" s="18" t="n">
        <v>67286.57000000001</v>
      </c>
      <c r="S110" s="18" t="n">
        <v>62183.19</v>
      </c>
      <c r="T110" s="18" t="n">
        <v>48530.85</v>
      </c>
      <c r="U110" s="37" t="n">
        <v>259475.51</v>
      </c>
      <c r="V110" s="18" t="n">
        <v>69315.21000000001</v>
      </c>
      <c r="W110" s="18" t="n">
        <v>62258.62</v>
      </c>
      <c r="X110" s="18" t="n">
        <v>58671.41</v>
      </c>
      <c r="Y110" s="18" t="n">
        <v>54899.42</v>
      </c>
      <c r="Z110" s="37" t="n">
        <v>245144.66</v>
      </c>
      <c r="AA110" s="18" t="n">
        <v>42175.19</v>
      </c>
      <c r="AB110" s="19" t="n">
        <v>44770.42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사채의감소</t>
        </is>
      </c>
      <c r="E111" s="18" t="n">
        <v>0</v>
      </c>
      <c r="F111" s="9" t="n"/>
      <c r="K111" s="9" t="n"/>
      <c r="P111" s="9" t="n"/>
      <c r="S111" s="18" t="n">
        <v>0</v>
      </c>
      <c r="T111" s="18" t="n">
        <v>0</v>
      </c>
      <c r="U111" s="9" t="n"/>
      <c r="X111" s="18" t="n">
        <v>0</v>
      </c>
      <c r="Y111" s="18" t="n">
        <v>0</v>
      </c>
      <c r="Z111" s="9" t="n"/>
      <c r="AB111" s="5" t="n"/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리스부채의상환</t>
        </is>
      </c>
      <c r="E112" s="18" t="n">
        <v>324</v>
      </c>
      <c r="F112" s="9" t="n"/>
      <c r="G112" s="18" t="n">
        <v>199.54</v>
      </c>
      <c r="H112" s="18" t="n">
        <v>289.51</v>
      </c>
      <c r="I112" s="18" t="n">
        <v>151.54</v>
      </c>
      <c r="J112" s="18" t="n">
        <v>155.4</v>
      </c>
      <c r="K112" s="37" t="n">
        <v>795.99</v>
      </c>
      <c r="L112" s="18" t="n">
        <v>147.06</v>
      </c>
      <c r="M112" s="18" t="n">
        <v>256.98</v>
      </c>
      <c r="N112" s="18" t="n">
        <v>126.88</v>
      </c>
      <c r="O112" s="18" t="n">
        <v>115.19</v>
      </c>
      <c r="P112" s="37" t="n">
        <v>646.11</v>
      </c>
      <c r="Q112" s="18" t="n">
        <v>131.42</v>
      </c>
      <c r="R112" s="18" t="n">
        <v>292.46</v>
      </c>
      <c r="S112" s="18" t="n">
        <v>224.52</v>
      </c>
      <c r="T112" s="18" t="n">
        <v>187.61</v>
      </c>
      <c r="U112" s="37" t="n">
        <v>836.01</v>
      </c>
      <c r="V112" s="18" t="n">
        <v>174.21</v>
      </c>
      <c r="W112" s="18" t="n">
        <v>333.23</v>
      </c>
      <c r="X112" s="18" t="n">
        <v>215.63</v>
      </c>
      <c r="Y112" s="18" t="n">
        <v>229.43</v>
      </c>
      <c r="Z112" s="37" t="n">
        <v>952.5</v>
      </c>
      <c r="AA112" s="18" t="n">
        <v>219.97</v>
      </c>
      <c r="AB112" s="19" t="n">
        <v>208.2</v>
      </c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자기주식의취득</t>
        </is>
      </c>
      <c r="E113" s="18" t="n">
        <v>0</v>
      </c>
      <c r="F113" s="9" t="n"/>
      <c r="K113" s="9" t="n"/>
      <c r="P113" s="9" t="n"/>
      <c r="Q113" s="18" t="n">
        <v>753.65</v>
      </c>
      <c r="R113" s="18" t="n">
        <v>0</v>
      </c>
      <c r="S113" s="18" t="n">
        <v>0</v>
      </c>
      <c r="T113" s="18" t="n">
        <v>0</v>
      </c>
      <c r="U113" s="37" t="n">
        <v>753.65</v>
      </c>
      <c r="Z113" s="9" t="n"/>
      <c r="AB113" s="5" t="n"/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  <row r="114">
      <c r="A114" t="n">
        <v>1</v>
      </c>
      <c r="C114" t="inlineStr">
        <is>
          <t>배당금지급</t>
        </is>
      </c>
      <c r="E114" s="18" t="n">
        <v>0</v>
      </c>
      <c r="F114" s="9" t="n"/>
      <c r="K114" s="9" t="n"/>
      <c r="P114" s="9" t="n"/>
      <c r="U114" s="9" t="n"/>
      <c r="Z114" s="9" t="n"/>
      <c r="AB114" s="5" t="n"/>
      <c r="AC114" s="10" t="n"/>
      <c r="AD114" s="10" t="n"/>
      <c r="AE114" s="11" t="n"/>
      <c r="AF114" s="10" t="n"/>
      <c r="AG114" s="10" t="n"/>
      <c r="AH114" s="10" t="n"/>
      <c r="AI114" s="10" t="n"/>
      <c r="AJ114" s="11" t="n"/>
      <c r="AK114" s="10" t="n"/>
      <c r="AL114" s="10" t="n"/>
      <c r="AM114" s="10" t="n"/>
      <c r="AN114" s="10" t="n"/>
      <c r="AO114" s="11" t="n"/>
    </row>
    <row r="115">
      <c r="A115" t="n">
        <v>1</v>
      </c>
      <c r="C115" t="inlineStr">
        <is>
          <t>현금및현금성자산의증감</t>
        </is>
      </c>
      <c r="E115" s="18" t="n">
        <v>-10463.8</v>
      </c>
      <c r="F115" s="9" t="n"/>
      <c r="G115" s="18" t="n">
        <v>2064.12</v>
      </c>
      <c r="H115" s="18" t="n">
        <v>6265.04</v>
      </c>
      <c r="I115" s="18" t="n">
        <v>-9525</v>
      </c>
      <c r="J115" s="18" t="n">
        <v>6407.69</v>
      </c>
      <c r="K115" s="37" t="n">
        <v>5211.85</v>
      </c>
      <c r="L115" s="18" t="n">
        <v>-9479.540000000001</v>
      </c>
      <c r="M115" s="18" t="n">
        <v>4735.86</v>
      </c>
      <c r="N115" s="18" t="n">
        <v>-853.11</v>
      </c>
      <c r="O115" s="18" t="n">
        <v>-930.8</v>
      </c>
      <c r="P115" s="37" t="n">
        <v>-6527.59</v>
      </c>
      <c r="Q115" s="18" t="n">
        <v>207.52</v>
      </c>
      <c r="R115" s="18" t="n">
        <v>-2420.22</v>
      </c>
      <c r="S115" s="18" t="n">
        <v>220.31</v>
      </c>
      <c r="U115" s="9" t="n"/>
      <c r="V115" s="18" t="n">
        <v>2257.44</v>
      </c>
      <c r="W115" s="18" t="n">
        <v>2315.2</v>
      </c>
      <c r="X115" s="18" t="n">
        <v>-3344.02</v>
      </c>
      <c r="Y115" s="18" t="n">
        <v>-103.69</v>
      </c>
      <c r="Z115" s="37" t="n">
        <v>1124.93</v>
      </c>
      <c r="AA115" s="18" t="n">
        <v>-2649.97</v>
      </c>
      <c r="AB115" s="19" t="n">
        <v>-1511.23</v>
      </c>
      <c r="AC115" s="10" t="n"/>
      <c r="AD115" s="10" t="n"/>
      <c r="AE115" s="11" t="n"/>
      <c r="AF115" s="10" t="n"/>
      <c r="AG115" s="10" t="n"/>
      <c r="AH115" s="10" t="n"/>
      <c r="AI115" s="10" t="n"/>
      <c r="AJ115" s="11" t="n"/>
      <c r="AK115" s="10" t="n"/>
      <c r="AL115" s="10" t="n"/>
      <c r="AM115" s="10" t="n"/>
      <c r="AN115" s="10" t="n"/>
      <c r="AO115" s="11" t="n"/>
    </row>
    <row r="116">
      <c r="A116" t="n">
        <v>1</v>
      </c>
      <c r="C116" t="inlineStr">
        <is>
          <t>기말현금및현금성자산</t>
        </is>
      </c>
      <c r="E116" s="18" t="n">
        <v>-10428.14</v>
      </c>
      <c r="F116" s="9" t="n"/>
      <c r="G116" s="18" t="n">
        <v>14196.15</v>
      </c>
      <c r="H116" s="18" t="n">
        <v>6468.92</v>
      </c>
      <c r="I116" s="18" t="n">
        <v>-9498.809999999999</v>
      </c>
      <c r="J116" s="18" t="n">
        <v>6141.84</v>
      </c>
      <c r="K116" s="37" t="n">
        <v>17308.1</v>
      </c>
      <c r="L116" s="18" t="n">
        <v>7896</v>
      </c>
      <c r="M116" s="18" t="n">
        <v>4756.42</v>
      </c>
      <c r="N116" s="18" t="n">
        <v>-909.91</v>
      </c>
      <c r="O116" s="18" t="n">
        <v>-1048.86</v>
      </c>
      <c r="P116" s="37" t="n">
        <v>10693.65</v>
      </c>
      <c r="Q116" s="18" t="n">
        <v>10977.25</v>
      </c>
      <c r="R116" s="18" t="n">
        <v>-2478.98</v>
      </c>
      <c r="S116" s="18" t="n">
        <v>221.55</v>
      </c>
      <c r="T116" s="18" t="n">
        <v>1232.38</v>
      </c>
      <c r="U116" s="37" t="n">
        <v>9952.200000000001</v>
      </c>
      <c r="V116" s="18" t="n">
        <v>12303.56</v>
      </c>
      <c r="W116" s="18" t="n">
        <v>2082.89</v>
      </c>
      <c r="X116" s="18" t="n">
        <v>-3187.12</v>
      </c>
      <c r="Y116" s="18" t="n">
        <v>-218.03</v>
      </c>
      <c r="Z116" s="37" t="n">
        <v>10981.3</v>
      </c>
      <c r="AA116" s="18" t="n">
        <v>8450.549999999999</v>
      </c>
      <c r="AB116" s="19" t="n">
        <v>-1560.81</v>
      </c>
      <c r="AC116" s="10" t="n"/>
      <c r="AD116" s="10" t="n"/>
      <c r="AE116" s="11" t="n"/>
      <c r="AF116" s="10" t="n"/>
      <c r="AG116" s="10" t="n"/>
      <c r="AH116" s="10" t="n"/>
      <c r="AI116" s="10" t="n"/>
      <c r="AJ116" s="11" t="n"/>
      <c r="AK116" s="10" t="n"/>
      <c r="AL116" s="10" t="n"/>
      <c r="AM116" s="10" t="n"/>
      <c r="AN116" s="10" t="n"/>
      <c r="AO116" s="11" t="n"/>
    </row>
    <row r="117">
      <c r="A117" t="n">
        <v>1</v>
      </c>
      <c r="C117" t="inlineStr">
        <is>
          <t>유형자산의감소</t>
        </is>
      </c>
      <c r="F117" s="9" t="n"/>
      <c r="G117" s="18" t="n">
        <v>245.34</v>
      </c>
      <c r="H117" s="18" t="n">
        <v>216.61</v>
      </c>
      <c r="I117" s="18" t="n">
        <v>154.55</v>
      </c>
      <c r="J117" s="18" t="n">
        <v>11.77</v>
      </c>
      <c r="K117" s="37" t="n">
        <v>628.27</v>
      </c>
      <c r="L117" s="18" t="n">
        <v>9.039999999999999</v>
      </c>
      <c r="M117" s="18" t="n">
        <v>358.79</v>
      </c>
      <c r="N117" s="18" t="n">
        <v>50.73</v>
      </c>
      <c r="O117" s="18" t="n">
        <v>8670.299999999999</v>
      </c>
      <c r="P117" s="37" t="n">
        <v>9088.860000000001</v>
      </c>
      <c r="Q117" s="18" t="n">
        <v>4.55</v>
      </c>
      <c r="R117" s="18" t="n">
        <v>0</v>
      </c>
      <c r="S117" s="18" t="n">
        <v>40.77</v>
      </c>
      <c r="T117" s="18" t="n">
        <v>4.73</v>
      </c>
      <c r="U117" s="37" t="n">
        <v>50.05</v>
      </c>
      <c r="V117" s="18" t="n">
        <v>461.49</v>
      </c>
      <c r="X117" s="18" t="n">
        <v>2341.86</v>
      </c>
      <c r="Z117" s="9" t="n"/>
      <c r="AB117" s="5" t="n"/>
      <c r="AC117" s="10" t="n"/>
      <c r="AD117" s="10" t="n"/>
      <c r="AE117" s="11" t="n"/>
      <c r="AF117" s="10" t="n"/>
      <c r="AG117" s="10" t="n"/>
      <c r="AH117" s="10" t="n"/>
      <c r="AI117" s="10" t="n"/>
      <c r="AJ117" s="11" t="n"/>
      <c r="AK117" s="10" t="n"/>
      <c r="AL117" s="10" t="n"/>
      <c r="AM117" s="10" t="n"/>
      <c r="AN117" s="10" t="n"/>
      <c r="AO117" s="11" t="n"/>
    </row>
    <row r="118">
      <c r="A118" t="n">
        <v>1</v>
      </c>
      <c r="C118" t="inlineStr">
        <is>
          <t>장기차입금의감소</t>
        </is>
      </c>
      <c r="F118" s="9" t="n"/>
      <c r="I118" s="18" t="n">
        <v>566.77</v>
      </c>
      <c r="J118" s="18" t="n">
        <v>551.85</v>
      </c>
      <c r="K118" s="9" t="n"/>
      <c r="O118" s="18" t="n">
        <v>3682.5</v>
      </c>
      <c r="P118" s="9" t="n"/>
      <c r="Q118" s="18" t="n">
        <v>5333.33</v>
      </c>
      <c r="R118" s="18" t="n">
        <v>0</v>
      </c>
      <c r="S118" s="18" t="n">
        <v>0</v>
      </c>
      <c r="T118" s="18" t="n">
        <v>0</v>
      </c>
      <c r="U118" s="37" t="n">
        <v>5333.33</v>
      </c>
      <c r="Z118" s="9" t="n"/>
      <c r="AB118" s="5" t="n"/>
      <c r="AC118" s="10" t="n"/>
      <c r="AD118" s="10" t="n"/>
      <c r="AE118" s="11" t="n"/>
      <c r="AF118" s="10" t="n"/>
      <c r="AG118" s="10" t="n"/>
      <c r="AH118" s="10" t="n"/>
      <c r="AI118" s="10" t="n"/>
      <c r="AJ118" s="11" t="n"/>
      <c r="AK118" s="10" t="n"/>
      <c r="AL118" s="10" t="n"/>
      <c r="AM118" s="10" t="n"/>
      <c r="AN118" s="10" t="n"/>
      <c r="AO118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영흥(별)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127901.24</v>
      </c>
      <c r="F5" s="37" t="n">
        <v>127901.24</v>
      </c>
      <c r="G5" s="18" t="n">
        <v>164885.18</v>
      </c>
      <c r="H5" s="18" t="n">
        <v>145861.32</v>
      </c>
      <c r="I5" s="18" t="n">
        <v>154932.85</v>
      </c>
      <c r="J5" s="18" t="n">
        <v>141742.41</v>
      </c>
      <c r="K5" s="37" t="n">
        <v>141742.41</v>
      </c>
      <c r="L5" s="18" t="n">
        <v>140617.91</v>
      </c>
      <c r="M5" s="18" t="n">
        <v>142277.94</v>
      </c>
      <c r="N5" s="18" t="n">
        <v>132883.29</v>
      </c>
      <c r="O5" s="18" t="n">
        <v>125139.44</v>
      </c>
      <c r="P5" s="37" t="n">
        <v>125139.44</v>
      </c>
      <c r="Q5" s="18" t="n">
        <v>94166.33</v>
      </c>
      <c r="R5" s="18" t="n">
        <v>88928.81</v>
      </c>
      <c r="S5" s="18" t="n">
        <v>94051.99000000001</v>
      </c>
      <c r="T5" s="18" t="n">
        <v>96273.60000000001</v>
      </c>
      <c r="U5" s="37" t="n">
        <v>96273.60000000001</v>
      </c>
      <c r="V5" s="18" t="n">
        <v>82867.17</v>
      </c>
      <c r="W5" s="18" t="n">
        <v>107130.33</v>
      </c>
      <c r="X5" s="18" t="n">
        <v>95354.60000000001</v>
      </c>
      <c r="Y5" s="18" t="n">
        <v>115943.86</v>
      </c>
      <c r="Z5" s="37" t="n">
        <v>115943.86</v>
      </c>
      <c r="AA5" s="18" t="n">
        <v>107329.74</v>
      </c>
      <c r="AB5" s="19" t="n">
        <v>107038.24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3360.57</v>
      </c>
      <c r="F6" s="37" t="n">
        <v>3360.57</v>
      </c>
      <c r="G6" s="18" t="n">
        <v>7012.23</v>
      </c>
      <c r="H6" s="18" t="n">
        <v>5687.75</v>
      </c>
      <c r="I6" s="18" t="n">
        <v>3351.63</v>
      </c>
      <c r="J6" s="18" t="n">
        <v>6845.4</v>
      </c>
      <c r="K6" s="37" t="n">
        <v>6845.4</v>
      </c>
      <c r="L6" s="18" t="n">
        <v>4845.63</v>
      </c>
      <c r="M6" s="18" t="n">
        <v>8431.540000000001</v>
      </c>
      <c r="N6" s="18" t="n">
        <v>6766.95</v>
      </c>
      <c r="O6" s="18" t="n">
        <v>6645.99</v>
      </c>
      <c r="P6" s="37" t="n">
        <v>6645.99</v>
      </c>
      <c r="Q6" s="18" t="n">
        <v>6439.27</v>
      </c>
      <c r="R6" s="18" t="n">
        <v>3477.55</v>
      </c>
      <c r="S6" s="18" t="n">
        <v>2431.1</v>
      </c>
      <c r="T6" s="18" t="n">
        <v>5449.63</v>
      </c>
      <c r="U6" s="37" t="n">
        <v>5449.63</v>
      </c>
      <c r="V6" s="18" t="n">
        <v>8557.639999999999</v>
      </c>
      <c r="W6" s="18" t="n">
        <v>6558.62</v>
      </c>
      <c r="X6" s="18" t="n">
        <v>6266.19</v>
      </c>
      <c r="Y6" s="18" t="n">
        <v>6799.46</v>
      </c>
      <c r="Z6" s="37" t="n">
        <v>6799.46</v>
      </c>
      <c r="AA6" s="18" t="n">
        <v>3460.11</v>
      </c>
      <c r="AB6" s="19" t="n">
        <v>2785.19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61029.82</v>
      </c>
      <c r="F7" s="37" t="n">
        <v>61029.82</v>
      </c>
      <c r="G7" s="18" t="n">
        <v>87025.47</v>
      </c>
      <c r="H7" s="18" t="n">
        <v>60190.68</v>
      </c>
      <c r="I7" s="18" t="n">
        <v>69955.75999999999</v>
      </c>
      <c r="J7" s="18" t="n">
        <v>57049.32</v>
      </c>
      <c r="K7" s="37" t="n">
        <v>57049.32</v>
      </c>
      <c r="L7" s="18" t="n">
        <v>59458.06</v>
      </c>
      <c r="M7" s="18" t="n">
        <v>53663.29</v>
      </c>
      <c r="N7" s="18" t="n">
        <v>49552.02</v>
      </c>
      <c r="O7" s="18" t="n">
        <v>45480.96</v>
      </c>
      <c r="P7" s="37" t="n">
        <v>45480.96</v>
      </c>
      <c r="Q7" s="18" t="n">
        <v>41939.39</v>
      </c>
      <c r="R7" s="18" t="n">
        <v>39168.92</v>
      </c>
      <c r="S7" s="18" t="n">
        <v>37525.73</v>
      </c>
      <c r="T7" s="18" t="n">
        <v>36993.54</v>
      </c>
      <c r="U7" s="37" t="n">
        <v>36993.54</v>
      </c>
      <c r="V7" s="18" t="n">
        <v>30325.52</v>
      </c>
      <c r="W7" s="18" t="n">
        <v>29243.14</v>
      </c>
      <c r="X7" s="18" t="n">
        <v>27296.55</v>
      </c>
      <c r="Y7" s="18" t="n">
        <v>24742.12</v>
      </c>
      <c r="Z7" s="37" t="n">
        <v>24742.12</v>
      </c>
      <c r="AA7" s="18" t="n">
        <v>16472.27</v>
      </c>
      <c r="AB7" s="19" t="n">
        <v>23359.13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62453.75</v>
      </c>
      <c r="F8" s="37" t="n">
        <v>62453.75</v>
      </c>
      <c r="G8" s="18" t="n">
        <v>69119.13</v>
      </c>
      <c r="H8" s="18" t="n">
        <v>78099.50999999999</v>
      </c>
      <c r="I8" s="18" t="n">
        <v>77480.31</v>
      </c>
      <c r="J8" s="18" t="n">
        <v>74229.77</v>
      </c>
      <c r="K8" s="37" t="n">
        <v>74229.77</v>
      </c>
      <c r="L8" s="18" t="n">
        <v>74947.19</v>
      </c>
      <c r="M8" s="18" t="n">
        <v>72206.44</v>
      </c>
      <c r="N8" s="18" t="n">
        <v>68554.08</v>
      </c>
      <c r="O8" s="18" t="n">
        <v>65897.36</v>
      </c>
      <c r="P8" s="37" t="n">
        <v>65897.36</v>
      </c>
      <c r="Q8" s="18" t="n">
        <v>44203.07</v>
      </c>
      <c r="R8" s="18" t="n">
        <v>44908.39</v>
      </c>
      <c r="S8" s="18" t="n">
        <v>42164.5</v>
      </c>
      <c r="T8" s="18" t="n">
        <v>37654.88</v>
      </c>
      <c r="U8" s="37" t="n">
        <v>37654.88</v>
      </c>
      <c r="V8" s="18" t="n">
        <v>32695.89</v>
      </c>
      <c r="W8" s="18" t="n">
        <v>25064.08</v>
      </c>
      <c r="X8" s="18" t="n">
        <v>14497.97</v>
      </c>
      <c r="Y8" s="18" t="n">
        <v>12947.24</v>
      </c>
      <c r="Z8" s="37" t="n">
        <v>12947.24</v>
      </c>
      <c r="AA8" s="18" t="n">
        <v>14445.84</v>
      </c>
      <c r="AB8" s="19" t="n">
        <v>15118.11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1057.1</v>
      </c>
      <c r="F9" s="37" t="n">
        <v>1057.1</v>
      </c>
      <c r="G9" s="18" t="n">
        <v>1728.36</v>
      </c>
      <c r="H9" s="18" t="n">
        <v>1883.38</v>
      </c>
      <c r="I9" s="18" t="n">
        <v>1518.25</v>
      </c>
      <c r="J9" s="18" t="n">
        <v>965.3099999999999</v>
      </c>
      <c r="K9" s="37" t="n">
        <v>965.3099999999999</v>
      </c>
      <c r="L9" s="18" t="n">
        <v>1351.9</v>
      </c>
      <c r="M9" s="18" t="n">
        <v>1863.84</v>
      </c>
      <c r="N9" s="18" t="n">
        <v>1975.53</v>
      </c>
      <c r="O9" s="18" t="n">
        <v>1287.33</v>
      </c>
      <c r="P9" s="37" t="n">
        <v>1287.33</v>
      </c>
      <c r="Q9" s="18" t="n">
        <v>1572.08</v>
      </c>
      <c r="R9" s="18" t="n">
        <v>1373.94</v>
      </c>
      <c r="S9" s="18" t="n">
        <v>1454.08</v>
      </c>
      <c r="T9" s="18" t="n">
        <v>2025.46</v>
      </c>
      <c r="U9" s="37" t="n">
        <v>2025.46</v>
      </c>
      <c r="V9" s="18" t="n">
        <v>839.28</v>
      </c>
      <c r="W9" s="18" t="n">
        <v>1312.18</v>
      </c>
      <c r="X9" s="18" t="n">
        <v>2321.34</v>
      </c>
      <c r="Z9" s="9" t="n"/>
      <c r="AA9" s="18" t="n">
        <v>7254.34</v>
      </c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비유동자산</t>
        </is>
      </c>
      <c r="E10" s="18" t="n">
        <v>217848.15</v>
      </c>
      <c r="F10" s="37" t="n">
        <v>217848.15</v>
      </c>
      <c r="G10" s="18" t="n">
        <v>219495.62</v>
      </c>
      <c r="H10" s="18" t="n">
        <v>220410.14</v>
      </c>
      <c r="I10" s="18" t="n">
        <v>218293.54</v>
      </c>
      <c r="J10" s="18" t="n">
        <v>212406.83</v>
      </c>
      <c r="K10" s="37" t="n">
        <v>212406.83</v>
      </c>
      <c r="L10" s="18" t="n">
        <v>210319.27</v>
      </c>
      <c r="M10" s="18" t="n">
        <v>203174.07</v>
      </c>
      <c r="N10" s="18" t="n">
        <v>203641.3</v>
      </c>
      <c r="O10" s="18" t="n">
        <v>251420.99</v>
      </c>
      <c r="P10" s="37" t="n">
        <v>251420.99</v>
      </c>
      <c r="Q10" s="18" t="n">
        <v>253032.35</v>
      </c>
      <c r="R10" s="18" t="n">
        <v>251803.19</v>
      </c>
      <c r="S10" s="18" t="n">
        <v>239006.39</v>
      </c>
      <c r="T10" s="18" t="n">
        <v>233754.28</v>
      </c>
      <c r="U10" s="37" t="n">
        <v>233754.28</v>
      </c>
      <c r="V10" s="18" t="n">
        <v>230950.42</v>
      </c>
      <c r="W10" s="18" t="n">
        <v>170468.29</v>
      </c>
      <c r="X10" s="18" t="n">
        <v>166163.42</v>
      </c>
      <c r="Y10" s="18" t="n">
        <v>118525.69</v>
      </c>
      <c r="Z10" s="37" t="n">
        <v>118525.69</v>
      </c>
      <c r="AA10" s="18" t="n">
        <v>116357.85</v>
      </c>
      <c r="AB10" s="19" t="n">
        <v>116464.28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장기금융자산</t>
        </is>
      </c>
      <c r="E11" s="18" t="n">
        <v>1669.98</v>
      </c>
      <c r="F11" s="37" t="n">
        <v>1669.98</v>
      </c>
      <c r="G11" s="18" t="n">
        <v>1307.85</v>
      </c>
      <c r="H11" s="18" t="n">
        <v>1552.21</v>
      </c>
      <c r="I11" s="18" t="n">
        <v>999.34</v>
      </c>
      <c r="J11" s="18" t="n">
        <v>1053.1</v>
      </c>
      <c r="K11" s="37" t="n">
        <v>1053.1</v>
      </c>
      <c r="L11" s="18" t="n">
        <v>963.53</v>
      </c>
      <c r="M11" s="18" t="n">
        <v>1107.68</v>
      </c>
      <c r="N11" s="18" t="n">
        <v>917.1900000000001</v>
      </c>
      <c r="O11" s="18" t="n">
        <v>1632.75</v>
      </c>
      <c r="P11" s="37" t="n">
        <v>1632.75</v>
      </c>
      <c r="Q11" s="18" t="n">
        <v>475.13</v>
      </c>
      <c r="R11" s="18" t="n">
        <v>710.36</v>
      </c>
      <c r="S11" s="18" t="n">
        <v>680.97</v>
      </c>
      <c r="T11" s="18" t="n">
        <v>576.45</v>
      </c>
      <c r="U11" s="37" t="n">
        <v>576.45</v>
      </c>
      <c r="V11" s="18" t="n">
        <v>-173.48</v>
      </c>
      <c r="W11" s="18" t="n">
        <v>97.05</v>
      </c>
      <c r="X11" s="18" t="n">
        <v>-2.96</v>
      </c>
      <c r="Y11" s="18" t="n">
        <v>3.5</v>
      </c>
      <c r="Z11" s="37" t="n">
        <v>3.5</v>
      </c>
      <c r="AA11" s="18" t="n">
        <v>1751.02</v>
      </c>
      <c r="AB11" s="19" t="n">
        <v>3.5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투자자산</t>
        </is>
      </c>
      <c r="E12" s="18" t="n">
        <v>51031.11</v>
      </c>
      <c r="F12" s="37" t="n">
        <v>51031.11</v>
      </c>
      <c r="G12" s="18" t="n">
        <v>54391.27</v>
      </c>
      <c r="H12" s="18" t="n">
        <v>56551.56</v>
      </c>
      <c r="I12" s="18" t="n">
        <v>57762.42</v>
      </c>
      <c r="J12" s="18" t="n">
        <v>54465.77</v>
      </c>
      <c r="K12" s="37" t="n">
        <v>54465.77</v>
      </c>
      <c r="L12" s="18" t="n">
        <v>53116.52</v>
      </c>
      <c r="M12" s="18" t="n">
        <v>47004.12</v>
      </c>
      <c r="N12" s="18" t="n">
        <v>47155.38</v>
      </c>
      <c r="O12" s="18" t="n">
        <v>49607.17</v>
      </c>
      <c r="P12" s="37" t="n">
        <v>49607.17</v>
      </c>
      <c r="Q12" s="18" t="n">
        <v>78921.45</v>
      </c>
      <c r="R12" s="18" t="n">
        <v>78482.67999999999</v>
      </c>
      <c r="S12" s="18" t="n">
        <v>76968.77</v>
      </c>
      <c r="T12" s="18" t="n">
        <v>72148.96000000001</v>
      </c>
      <c r="U12" s="37" t="n">
        <v>72148.96000000001</v>
      </c>
      <c r="V12" s="18" t="n">
        <v>70042.64999999999</v>
      </c>
      <c r="W12" s="18" t="n">
        <v>69767.28</v>
      </c>
      <c r="X12" s="18" t="n">
        <v>69971.61</v>
      </c>
      <c r="Y12" s="18" t="n">
        <v>69360.91</v>
      </c>
      <c r="Z12" s="37" t="n">
        <v>69360.91</v>
      </c>
      <c r="AA12" s="18" t="n">
        <v>69902.03</v>
      </c>
      <c r="AB12" s="19" t="n">
        <v>1186.35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장기매출채권및기타채권</t>
        </is>
      </c>
      <c r="E13" s="18" t="n">
        <v>383.55</v>
      </c>
      <c r="F13" s="37" t="n">
        <v>383.55</v>
      </c>
      <c r="G13" s="18" t="n">
        <v>363.6</v>
      </c>
      <c r="H13" s="18" t="n">
        <v>343.65</v>
      </c>
      <c r="I13" s="18" t="n">
        <v>323.7</v>
      </c>
      <c r="J13" s="18" t="n">
        <v>303.75</v>
      </c>
      <c r="K13" s="37" t="n">
        <v>303.75</v>
      </c>
      <c r="L13" s="18" t="n">
        <v>283.8</v>
      </c>
      <c r="M13" s="18" t="n">
        <v>90.86</v>
      </c>
      <c r="N13" s="18" t="n">
        <v>59.85</v>
      </c>
      <c r="O13" s="18" t="n">
        <v>39.9</v>
      </c>
      <c r="P13" s="37" t="n">
        <v>39.9</v>
      </c>
      <c r="Q13" s="18" t="n">
        <v>19.95</v>
      </c>
      <c r="U13" s="9" t="n"/>
      <c r="Y13" s="18" t="n">
        <v>1376.35</v>
      </c>
      <c r="Z13" s="37" t="n">
        <v>1376.35</v>
      </c>
      <c r="AB13" s="19" t="n">
        <v>1334.57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종속기업및관계기업투자</t>
        </is>
      </c>
      <c r="E14" s="18" t="n">
        <v>49361.13</v>
      </c>
      <c r="F14" s="37" t="n">
        <v>49361.13</v>
      </c>
      <c r="G14" s="18" t="n">
        <v>53083.42</v>
      </c>
      <c r="H14" s="18" t="n">
        <v>54999.35</v>
      </c>
      <c r="I14" s="18" t="n">
        <v>56763.08</v>
      </c>
      <c r="J14" s="18" t="n">
        <v>53412.67</v>
      </c>
      <c r="K14" s="37" t="n">
        <v>53412.67</v>
      </c>
      <c r="L14" s="18" t="n">
        <v>52152.99</v>
      </c>
      <c r="M14" s="18" t="n">
        <v>45896.44</v>
      </c>
      <c r="N14" s="18" t="n">
        <v>46238.19</v>
      </c>
      <c r="O14" s="18" t="n">
        <v>47974.42</v>
      </c>
      <c r="P14" s="37" t="n">
        <v>47974.42</v>
      </c>
      <c r="Q14" s="18" t="n">
        <v>78446.32000000001</v>
      </c>
      <c r="R14" s="18" t="n">
        <v>77772.32000000001</v>
      </c>
      <c r="S14" s="18" t="n">
        <v>76287.8</v>
      </c>
      <c r="T14" s="18" t="n">
        <v>71572.50999999999</v>
      </c>
      <c r="U14" s="37" t="n">
        <v>71572.50999999999</v>
      </c>
      <c r="V14" s="18" t="n">
        <v>70216.13</v>
      </c>
      <c r="W14" s="18" t="n">
        <v>69670.23</v>
      </c>
      <c r="X14" s="18" t="n">
        <v>69974.57000000001</v>
      </c>
      <c r="Y14" s="18" t="n">
        <v>69357.41</v>
      </c>
      <c r="Z14" s="37" t="n">
        <v>69357.41</v>
      </c>
      <c r="AA14" s="18" t="n">
        <v>68151.00999999999</v>
      </c>
      <c r="AB14" s="19" t="n">
        <v>1182.85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158538.58</v>
      </c>
      <c r="F15" s="37" t="n">
        <v>158538.58</v>
      </c>
      <c r="G15" s="18" t="n">
        <v>156913</v>
      </c>
      <c r="H15" s="18" t="n">
        <v>155045.38</v>
      </c>
      <c r="I15" s="18" t="n">
        <v>154136.5</v>
      </c>
      <c r="J15" s="18" t="n">
        <v>151895.47</v>
      </c>
      <c r="K15" s="37" t="n">
        <v>151895.47</v>
      </c>
      <c r="L15" s="18" t="n">
        <v>151092.29</v>
      </c>
      <c r="M15" s="18" t="n">
        <v>150350.6</v>
      </c>
      <c r="N15" s="18" t="n">
        <v>150378.8</v>
      </c>
      <c r="O15" s="18" t="n">
        <v>196221.28</v>
      </c>
      <c r="P15" s="37" t="n">
        <v>196221.28</v>
      </c>
      <c r="Q15" s="18" t="n">
        <v>168460.71</v>
      </c>
      <c r="R15" s="18" t="n">
        <v>167716.38</v>
      </c>
      <c r="S15" s="18" t="n">
        <v>156588.62</v>
      </c>
      <c r="T15" s="18" t="n">
        <v>155822.43</v>
      </c>
      <c r="U15" s="37" t="n">
        <v>155822.43</v>
      </c>
      <c r="V15" s="18" t="n">
        <v>155181.74</v>
      </c>
      <c r="W15" s="18" t="n">
        <v>94595.84</v>
      </c>
      <c r="X15" s="18" t="n">
        <v>90062.63</v>
      </c>
      <c r="Y15" s="18" t="n">
        <v>44349.98</v>
      </c>
      <c r="Z15" s="37" t="n">
        <v>44349.98</v>
      </c>
      <c r="AA15" s="18" t="n">
        <v>44125.33</v>
      </c>
      <c r="AB15" s="19" t="n">
        <v>44075.83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투자부동산</t>
        </is>
      </c>
      <c r="E16" s="18" t="n">
        <v>2640.39</v>
      </c>
      <c r="F16" s="37" t="n">
        <v>2640.39</v>
      </c>
      <c r="G16" s="18" t="n">
        <v>2634.61</v>
      </c>
      <c r="H16" s="18" t="n">
        <v>2628.82</v>
      </c>
      <c r="K16" s="9" t="n"/>
      <c r="P16" s="9" t="n"/>
      <c r="U16" s="9" t="n"/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사용권자산</t>
        </is>
      </c>
      <c r="E17" s="18" t="n">
        <v>588.1900000000001</v>
      </c>
      <c r="F17" s="37" t="n">
        <v>588.1900000000001</v>
      </c>
      <c r="G17" s="18" t="n">
        <v>465.1</v>
      </c>
      <c r="H17" s="18" t="n">
        <v>938.1</v>
      </c>
      <c r="I17" s="18" t="n">
        <v>828.6799999999999</v>
      </c>
      <c r="J17" s="18" t="n">
        <v>906.3</v>
      </c>
      <c r="K17" s="37" t="n">
        <v>906.3</v>
      </c>
      <c r="L17" s="18" t="n">
        <v>904.16</v>
      </c>
      <c r="M17" s="18" t="n">
        <v>789.05</v>
      </c>
      <c r="N17" s="18" t="n">
        <v>990.23</v>
      </c>
      <c r="O17" s="18" t="n">
        <v>993.1799999999999</v>
      </c>
      <c r="P17" s="37" t="n">
        <v>993.1799999999999</v>
      </c>
      <c r="Q17" s="18" t="n">
        <v>947.8</v>
      </c>
      <c r="R17" s="18" t="n">
        <v>879.51</v>
      </c>
      <c r="S17" s="18" t="n">
        <v>854.39</v>
      </c>
      <c r="T17" s="18" t="n">
        <v>819.75</v>
      </c>
      <c r="U17" s="37" t="n">
        <v>819.75</v>
      </c>
      <c r="V17" s="18" t="n">
        <v>765.1900000000001</v>
      </c>
      <c r="W17" s="18" t="n">
        <v>1430.01</v>
      </c>
      <c r="X17" s="18" t="n">
        <v>1360.87</v>
      </c>
      <c r="Y17" s="18" t="n">
        <v>1446.58</v>
      </c>
      <c r="Z17" s="37" t="n">
        <v>1446.58</v>
      </c>
      <c r="AA17" s="18" t="n">
        <v>494.26</v>
      </c>
      <c r="AB17" s="19" t="n">
        <v>572.45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기타비유동자산</t>
        </is>
      </c>
      <c r="E18" s="18" t="n">
        <v>588.1900000000001</v>
      </c>
      <c r="F18" s="37" t="n">
        <v>588.1900000000001</v>
      </c>
      <c r="G18" s="18" t="n">
        <v>465.1</v>
      </c>
      <c r="H18" s="18" t="n">
        <v>938.1</v>
      </c>
      <c r="I18" s="18" t="n">
        <v>828.6799999999999</v>
      </c>
      <c r="J18" s="18" t="n">
        <v>906.3</v>
      </c>
      <c r="K18" s="37" t="n">
        <v>906.3</v>
      </c>
      <c r="L18" s="18" t="n">
        <v>904.16</v>
      </c>
      <c r="M18" s="18" t="n">
        <v>789.05</v>
      </c>
      <c r="N18" s="18" t="n">
        <v>990.23</v>
      </c>
      <c r="O18" s="18" t="n">
        <v>993.1799999999999</v>
      </c>
      <c r="P18" s="37" t="n">
        <v>993.1799999999999</v>
      </c>
      <c r="Q18" s="18" t="n">
        <v>947.8</v>
      </c>
      <c r="R18" s="18" t="n">
        <v>879.51</v>
      </c>
      <c r="S18" s="18" t="n">
        <v>854.39</v>
      </c>
      <c r="T18" s="18" t="n">
        <v>819.75</v>
      </c>
      <c r="U18" s="37" t="n">
        <v>819.75</v>
      </c>
      <c r="V18" s="18" t="n">
        <v>765.1900000000001</v>
      </c>
      <c r="W18" s="18" t="n">
        <v>1430.01</v>
      </c>
      <c r="X18" s="18" t="n">
        <v>1360.87</v>
      </c>
      <c r="Y18" s="18" t="n">
        <v>1446.58</v>
      </c>
      <c r="Z18" s="37" t="n">
        <v>1446.58</v>
      </c>
      <c r="AA18" s="18" t="n">
        <v>494.26</v>
      </c>
      <c r="AB18" s="19" t="n">
        <v>572.45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865.13</v>
      </c>
      <c r="F19" s="37" t="n">
        <v>865.13</v>
      </c>
      <c r="G19" s="18" t="n">
        <v>859.85</v>
      </c>
      <c r="H19" s="18" t="n">
        <v>854.58</v>
      </c>
      <c r="I19" s="18" t="n">
        <v>849.3099999999999</v>
      </c>
      <c r="J19" s="18" t="n">
        <v>844.03</v>
      </c>
      <c r="K19" s="37" t="n">
        <v>844.03</v>
      </c>
      <c r="L19" s="18" t="n">
        <v>838.76</v>
      </c>
      <c r="M19" s="18" t="n">
        <v>829.78</v>
      </c>
      <c r="N19" s="18" t="n">
        <v>824.63</v>
      </c>
      <c r="O19" s="18" t="n">
        <v>569.48</v>
      </c>
      <c r="P19" s="37" t="n">
        <v>569.48</v>
      </c>
      <c r="Q19" s="18" t="n">
        <v>547.71</v>
      </c>
      <c r="R19" s="18" t="n">
        <v>543.4299999999999</v>
      </c>
      <c r="S19" s="18" t="n">
        <v>539.15</v>
      </c>
      <c r="T19" s="18" t="n">
        <v>534.88</v>
      </c>
      <c r="U19" s="37" t="n">
        <v>534.88</v>
      </c>
      <c r="V19" s="18" t="n">
        <v>530.6</v>
      </c>
      <c r="W19" s="18" t="n">
        <v>526.3200000000001</v>
      </c>
      <c r="X19" s="18" t="n">
        <v>450.55</v>
      </c>
      <c r="Y19" s="18" t="n">
        <v>446.27</v>
      </c>
      <c r="Z19" s="37" t="n">
        <v>446.27</v>
      </c>
      <c r="AA19" s="18" t="n">
        <v>442</v>
      </c>
      <c r="AB19" s="19" t="n">
        <v>437.72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345749.39</v>
      </c>
      <c r="F20" s="37" t="n">
        <v>345749.39</v>
      </c>
      <c r="G20" s="18" t="n">
        <v>384380.8</v>
      </c>
      <c r="H20" s="18" t="n">
        <v>366271.45</v>
      </c>
      <c r="I20" s="18" t="n">
        <v>373226.39</v>
      </c>
      <c r="J20" s="18" t="n">
        <v>354149.24</v>
      </c>
      <c r="K20" s="37" t="n">
        <v>354149.24</v>
      </c>
      <c r="L20" s="18" t="n">
        <v>350937.17</v>
      </c>
      <c r="M20" s="18" t="n">
        <v>345452.01</v>
      </c>
      <c r="N20" s="18" t="n">
        <v>336524.6</v>
      </c>
      <c r="O20" s="18" t="n">
        <v>376560.43</v>
      </c>
      <c r="P20" s="37" t="n">
        <v>376560.43</v>
      </c>
      <c r="Q20" s="18" t="n">
        <v>347198.68</v>
      </c>
      <c r="R20" s="18" t="n">
        <v>340732</v>
      </c>
      <c r="S20" s="18" t="n">
        <v>333058.38</v>
      </c>
      <c r="T20" s="18" t="n">
        <v>330027.88</v>
      </c>
      <c r="U20" s="37" t="n">
        <v>330027.88</v>
      </c>
      <c r="V20" s="18" t="n">
        <v>313817.59</v>
      </c>
      <c r="W20" s="18" t="n">
        <v>277598.62</v>
      </c>
      <c r="X20" s="18" t="n">
        <v>261518.02</v>
      </c>
      <c r="Y20" s="18" t="n">
        <v>234469.55</v>
      </c>
      <c r="Z20" s="37" t="n">
        <v>234469.55</v>
      </c>
      <c r="AA20" s="18" t="n">
        <v>223687.59</v>
      </c>
      <c r="AB20" s="19" t="n">
        <v>223502.53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130296.6</v>
      </c>
      <c r="F21" s="37" t="n">
        <v>130296.6</v>
      </c>
      <c r="G21" s="18" t="n">
        <v>160202.96</v>
      </c>
      <c r="H21" s="18" t="n">
        <v>147182.86</v>
      </c>
      <c r="I21" s="18" t="n">
        <v>150830.49</v>
      </c>
      <c r="J21" s="18" t="n">
        <v>141008.46</v>
      </c>
      <c r="K21" s="37" t="n">
        <v>141008.46</v>
      </c>
      <c r="L21" s="18" t="n">
        <v>141086.61</v>
      </c>
      <c r="M21" s="18" t="n">
        <v>138958.89</v>
      </c>
      <c r="N21" s="18" t="n">
        <v>132392.72</v>
      </c>
      <c r="O21" s="18" t="n">
        <v>126842.33</v>
      </c>
      <c r="P21" s="37" t="n">
        <v>126842.33</v>
      </c>
      <c r="Q21" s="18" t="n">
        <v>106003.09</v>
      </c>
      <c r="R21" s="18" t="n">
        <v>102103.74</v>
      </c>
      <c r="S21" s="18" t="n">
        <v>98521.2</v>
      </c>
      <c r="T21" s="18" t="n">
        <v>99935.53</v>
      </c>
      <c r="U21" s="37" t="n">
        <v>99935.53</v>
      </c>
      <c r="V21" s="18" t="n">
        <v>85385.22</v>
      </c>
      <c r="W21" s="18" t="n">
        <v>79901.85000000001</v>
      </c>
      <c r="X21" s="18" t="n">
        <v>76283.42999999999</v>
      </c>
      <c r="Y21" s="18" t="n">
        <v>66219.35000000001</v>
      </c>
      <c r="Z21" s="37" t="n">
        <v>66219.35000000001</v>
      </c>
      <c r="AA21" s="18" t="n">
        <v>56785.88</v>
      </c>
      <c r="AB21" s="19" t="n">
        <v>55933.12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29031.44</v>
      </c>
      <c r="F22" s="37" t="n">
        <v>29031.44</v>
      </c>
      <c r="G22" s="18" t="n">
        <v>53510.93</v>
      </c>
      <c r="H22" s="18" t="n">
        <v>28875.12</v>
      </c>
      <c r="I22" s="18" t="n">
        <v>32416.48</v>
      </c>
      <c r="J22" s="18" t="n">
        <v>21967.6</v>
      </c>
      <c r="K22" s="37" t="n">
        <v>21967.6</v>
      </c>
      <c r="L22" s="18" t="n">
        <v>27230.36</v>
      </c>
      <c r="M22" s="18" t="n">
        <v>23350.21</v>
      </c>
      <c r="N22" s="18" t="n">
        <v>27008.4</v>
      </c>
      <c r="O22" s="18" t="n">
        <v>26884.98</v>
      </c>
      <c r="P22" s="37" t="n">
        <v>26884.98</v>
      </c>
      <c r="Q22" s="18" t="n">
        <v>22199.57</v>
      </c>
      <c r="R22" s="18" t="n">
        <v>22804.77</v>
      </c>
      <c r="S22" s="18" t="n">
        <v>22141.54</v>
      </c>
      <c r="T22" s="18" t="n">
        <v>18933.99</v>
      </c>
      <c r="U22" s="37" t="n">
        <v>18933.99</v>
      </c>
      <c r="V22" s="18" t="n">
        <v>15913.82</v>
      </c>
      <c r="W22" s="18" t="n">
        <v>12780.83</v>
      </c>
      <c r="X22" s="18" t="n">
        <v>12896.18</v>
      </c>
      <c r="Y22" s="18" t="n">
        <v>1628.13</v>
      </c>
      <c r="Z22" s="37" t="n">
        <v>1628.13</v>
      </c>
      <c r="AA22" s="18" t="n">
        <v>10379.15</v>
      </c>
      <c r="AB22" s="19" t="n">
        <v>1724.34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단기차입금</t>
        </is>
      </c>
      <c r="E23" s="18" t="n">
        <v>84636.25</v>
      </c>
      <c r="F23" s="37" t="n">
        <v>84636.25</v>
      </c>
      <c r="G23" s="18" t="n">
        <v>89193.14</v>
      </c>
      <c r="H23" s="18" t="n">
        <v>96257.78</v>
      </c>
      <c r="I23" s="18" t="n">
        <v>96179.3</v>
      </c>
      <c r="J23" s="18" t="n">
        <v>98707.12</v>
      </c>
      <c r="K23" s="37" t="n">
        <v>98707.12</v>
      </c>
      <c r="L23" s="18" t="n">
        <v>94612.33</v>
      </c>
      <c r="M23" s="18" t="n">
        <v>96758.42</v>
      </c>
      <c r="N23" s="18" t="n">
        <v>96768.67999999999</v>
      </c>
      <c r="O23" s="18" t="n">
        <v>90823.85000000001</v>
      </c>
      <c r="P23" s="37" t="n">
        <v>90823.85000000001</v>
      </c>
      <c r="Q23" s="18" t="n">
        <v>79509.35000000001</v>
      </c>
      <c r="R23" s="18" t="n">
        <v>76160.89</v>
      </c>
      <c r="S23" s="18" t="n">
        <v>74341.05</v>
      </c>
      <c r="T23" s="18" t="n">
        <v>74617.37</v>
      </c>
      <c r="U23" s="37" t="n">
        <v>74617.37</v>
      </c>
      <c r="V23" s="18" t="n">
        <v>67182.87</v>
      </c>
      <c r="W23" s="18" t="n">
        <v>51367.21</v>
      </c>
      <c r="X23" s="18" t="n">
        <v>47928.97</v>
      </c>
      <c r="Y23" s="18" t="n">
        <v>41853.93</v>
      </c>
      <c r="Z23" s="37" t="n">
        <v>41853.93</v>
      </c>
      <c r="AA23" s="18" t="n">
        <v>39011.9</v>
      </c>
      <c r="AB23" s="19" t="n">
        <v>36479.76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유동성장기부채</t>
        </is>
      </c>
      <c r="E24" s="18" t="n">
        <v>12891.14</v>
      </c>
      <c r="F24" s="37" t="n">
        <v>12891.14</v>
      </c>
      <c r="G24" s="18" t="n">
        <v>13536.56</v>
      </c>
      <c r="H24" s="18" t="n">
        <v>17716.09</v>
      </c>
      <c r="I24" s="18" t="n">
        <v>18097.83</v>
      </c>
      <c r="J24" s="18" t="n">
        <v>15564.94</v>
      </c>
      <c r="K24" s="37" t="n">
        <v>15564.94</v>
      </c>
      <c r="L24" s="18" t="n">
        <v>15927.26</v>
      </c>
      <c r="M24" s="18" t="n">
        <v>14465.55</v>
      </c>
      <c r="N24" s="18" t="n">
        <v>5839.97</v>
      </c>
      <c r="O24" s="18" t="n">
        <v>3771.31</v>
      </c>
      <c r="P24" s="37" t="n">
        <v>3771.31</v>
      </c>
      <c r="Q24" s="18" t="n">
        <v>2986.46</v>
      </c>
      <c r="R24" s="18" t="n">
        <v>970</v>
      </c>
      <c r="U24" s="9" t="n"/>
      <c r="Z24" s="9" t="n"/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단기파생상품부채</t>
        </is>
      </c>
      <c r="E25" s="18" t="n">
        <v>2133.55</v>
      </c>
      <c r="F25" s="37" t="n">
        <v>2133.55</v>
      </c>
      <c r="G25" s="18" t="n">
        <v>2521.39</v>
      </c>
      <c r="H25" s="18" t="n">
        <v>1946.64</v>
      </c>
      <c r="I25" s="18" t="n">
        <v>1909.67</v>
      </c>
      <c r="J25" s="18" t="n">
        <v>2453.74</v>
      </c>
      <c r="K25" s="37" t="n">
        <v>2453.74</v>
      </c>
      <c r="L25" s="18" t="n">
        <v>2220.78</v>
      </c>
      <c r="M25" s="18" t="n">
        <v>1872.54</v>
      </c>
      <c r="N25" s="18" t="n">
        <v>771.33</v>
      </c>
      <c r="O25" s="18" t="n">
        <v>503.38</v>
      </c>
      <c r="P25" s="37" t="n">
        <v>503.38</v>
      </c>
      <c r="Q25" s="18" t="n">
        <v>273.08</v>
      </c>
      <c r="R25" s="18" t="n">
        <v>53.47</v>
      </c>
      <c r="U25" s="9" t="n"/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2432.95</v>
      </c>
      <c r="F26" s="37" t="n">
        <v>2432.95</v>
      </c>
      <c r="G26" s="18" t="n">
        <v>2762.06</v>
      </c>
      <c r="H26" s="18" t="n">
        <v>2238.9</v>
      </c>
      <c r="I26" s="18" t="n">
        <v>2151.86</v>
      </c>
      <c r="J26" s="18" t="n">
        <v>2779.12</v>
      </c>
      <c r="K26" s="37" t="n">
        <v>2779.12</v>
      </c>
      <c r="L26" s="18" t="n">
        <v>2581.58</v>
      </c>
      <c r="M26" s="18" t="n">
        <v>2189.53</v>
      </c>
      <c r="N26" s="18" t="n">
        <v>1108.22</v>
      </c>
      <c r="O26" s="18" t="n">
        <v>906.3</v>
      </c>
      <c r="P26" s="37" t="n">
        <v>906.3</v>
      </c>
      <c r="Q26" s="18" t="n">
        <v>718.27</v>
      </c>
      <c r="R26" s="18" t="n">
        <v>278.6</v>
      </c>
      <c r="S26" s="18" t="n">
        <v>340.22</v>
      </c>
      <c r="T26" s="18" t="n">
        <v>378.21</v>
      </c>
      <c r="U26" s="37" t="n">
        <v>378.21</v>
      </c>
      <c r="V26" s="18" t="n">
        <v>399.18</v>
      </c>
      <c r="W26" s="18" t="n">
        <v>496.57</v>
      </c>
      <c r="X26" s="18" t="n">
        <v>456.7</v>
      </c>
      <c r="Y26" s="18" t="n">
        <v>591.46</v>
      </c>
      <c r="Z26" s="37" t="n">
        <v>591.46</v>
      </c>
      <c r="AA26" s="18" t="n">
        <v>325.87</v>
      </c>
      <c r="AB26" s="19" t="n">
        <v>391.41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유동리스부채</t>
        </is>
      </c>
      <c r="E27" s="18" t="n">
        <v>299.4</v>
      </c>
      <c r="F27" s="37" t="n">
        <v>299.4</v>
      </c>
      <c r="G27" s="18" t="n">
        <v>240.67</v>
      </c>
      <c r="H27" s="18" t="n">
        <v>292.26</v>
      </c>
      <c r="I27" s="18" t="n">
        <v>242.19</v>
      </c>
      <c r="J27" s="18" t="n">
        <v>325.38</v>
      </c>
      <c r="K27" s="37" t="n">
        <v>325.38</v>
      </c>
      <c r="L27" s="18" t="n">
        <v>360.8</v>
      </c>
      <c r="M27" s="18" t="n">
        <v>316.99</v>
      </c>
      <c r="N27" s="18" t="n">
        <v>336.89</v>
      </c>
      <c r="O27" s="18" t="n">
        <v>402.92</v>
      </c>
      <c r="P27" s="37" t="n">
        <v>402.92</v>
      </c>
      <c r="Q27" s="18" t="n">
        <v>445.19</v>
      </c>
      <c r="R27" s="18" t="n">
        <v>225.13</v>
      </c>
      <c r="S27" s="18" t="n">
        <v>340.22</v>
      </c>
      <c r="T27" s="18" t="n">
        <v>378.21</v>
      </c>
      <c r="U27" s="37" t="n">
        <v>378.21</v>
      </c>
      <c r="V27" s="18" t="n">
        <v>399.18</v>
      </c>
      <c r="W27" s="18" t="n">
        <v>496.57</v>
      </c>
      <c r="X27" s="18" t="n">
        <v>456.7</v>
      </c>
      <c r="Y27" s="18" t="n">
        <v>591.46</v>
      </c>
      <c r="Z27" s="37" t="n">
        <v>591.46</v>
      </c>
      <c r="AA27" s="18" t="n">
        <v>325.87</v>
      </c>
      <c r="AB27" s="19" t="n">
        <v>391.41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리스부채</t>
        </is>
      </c>
      <c r="E28" s="18" t="n">
        <v>519.11</v>
      </c>
      <c r="F28" s="37" t="n">
        <v>519.11</v>
      </c>
      <c r="G28" s="18" t="n">
        <v>432.37</v>
      </c>
      <c r="H28" s="18" t="n">
        <v>788.86</v>
      </c>
      <c r="I28" s="18" t="n">
        <v>716.84</v>
      </c>
      <c r="J28" s="18" t="n">
        <v>829.05</v>
      </c>
      <c r="K28" s="37" t="n">
        <v>829.05</v>
      </c>
      <c r="L28" s="18" t="n">
        <v>867.86</v>
      </c>
      <c r="M28" s="18" t="n">
        <v>671.21</v>
      </c>
      <c r="N28" s="18" t="n">
        <v>897.29</v>
      </c>
      <c r="O28" s="18" t="n">
        <v>929.3099999999999</v>
      </c>
      <c r="P28" s="37" t="n">
        <v>929.3099999999999</v>
      </c>
      <c r="Q28" s="18" t="n">
        <v>928.23</v>
      </c>
      <c r="R28" s="18" t="n">
        <v>708.67</v>
      </c>
      <c r="S28" s="18" t="n">
        <v>700.1900000000001</v>
      </c>
      <c r="T28" s="18" t="n">
        <v>699.25</v>
      </c>
      <c r="U28" s="37" t="n">
        <v>699.25</v>
      </c>
      <c r="V28" s="18" t="n">
        <v>691.55</v>
      </c>
      <c r="W28" s="18" t="n">
        <v>1230.13</v>
      </c>
      <c r="X28" s="18" t="n">
        <v>1204.58</v>
      </c>
      <c r="Y28" s="18" t="n">
        <v>1324.16</v>
      </c>
      <c r="Z28" s="37" t="n">
        <v>1324.16</v>
      </c>
      <c r="AA28" s="18" t="n">
        <v>482.71</v>
      </c>
      <c r="AB28" s="19" t="n">
        <v>516.51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단기충당부채</t>
        </is>
      </c>
      <c r="E29" s="18" t="n">
        <v>69.08</v>
      </c>
      <c r="F29" s="37" t="n">
        <v>69.08</v>
      </c>
      <c r="G29" s="18" t="n">
        <v>55.5</v>
      </c>
      <c r="H29" s="18" t="n">
        <v>51.71</v>
      </c>
      <c r="I29" s="18" t="n">
        <v>49.78</v>
      </c>
      <c r="J29" s="18" t="n">
        <v>46.98</v>
      </c>
      <c r="K29" s="37" t="n">
        <v>46.98</v>
      </c>
      <c r="L29" s="18" t="n">
        <v>39.79</v>
      </c>
      <c r="M29" s="18" t="n">
        <v>34.45</v>
      </c>
      <c r="N29" s="18" t="n">
        <v>30.76</v>
      </c>
      <c r="O29" s="18" t="n">
        <v>29.09</v>
      </c>
      <c r="P29" s="37" t="n">
        <v>29.09</v>
      </c>
      <c r="U29" s="9" t="n"/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당기법인세부채(미지급법인세)</t>
        </is>
      </c>
      <c r="E30" s="18" t="n">
        <v>559.53</v>
      </c>
      <c r="F30" s="37" t="n">
        <v>559.53</v>
      </c>
      <c r="G30" s="18" t="n">
        <v>741.1900000000001</v>
      </c>
      <c r="H30" s="18" t="n">
        <v>912.1</v>
      </c>
      <c r="I30" s="18" t="n">
        <v>761.01</v>
      </c>
      <c r="J30" s="18" t="n">
        <v>648.12</v>
      </c>
      <c r="K30" s="37" t="n">
        <v>648.12</v>
      </c>
      <c r="L30" s="18" t="n">
        <v>433.92</v>
      </c>
      <c r="P30" s="9" t="n"/>
      <c r="R30" s="18" t="n">
        <v>698.0599999999999</v>
      </c>
      <c r="T30" s="18" t="n">
        <v>198.01</v>
      </c>
      <c r="U30" s="37" t="n">
        <v>198.01</v>
      </c>
      <c r="V30" s="18" t="n">
        <v>91.12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676.1900000000001</v>
      </c>
      <c r="F31" s="37" t="n">
        <v>676.1900000000001</v>
      </c>
      <c r="G31" s="18" t="n">
        <v>403.58</v>
      </c>
      <c r="H31" s="18" t="n">
        <v>1131.17</v>
      </c>
      <c r="I31" s="18" t="n">
        <v>1174.24</v>
      </c>
      <c r="J31" s="18" t="n">
        <v>1294.58</v>
      </c>
      <c r="K31" s="37" t="n">
        <v>1294.58</v>
      </c>
      <c r="L31" s="18" t="n">
        <v>261.37</v>
      </c>
      <c r="M31" s="18" t="n">
        <v>1058.79</v>
      </c>
      <c r="N31" s="18" t="n">
        <v>1061.46</v>
      </c>
      <c r="O31" s="18" t="n">
        <v>3877.98</v>
      </c>
      <c r="P31" s="37" t="n">
        <v>3877.98</v>
      </c>
      <c r="Q31" s="18" t="n">
        <v>-4.84</v>
      </c>
      <c r="R31" s="18" t="n">
        <v>215.48</v>
      </c>
      <c r="S31" s="18" t="n">
        <v>218.12</v>
      </c>
      <c r="T31" s="18" t="n">
        <v>4552.33</v>
      </c>
      <c r="U31" s="37" t="n">
        <v>4552.33</v>
      </c>
      <c r="V31" s="18" t="n">
        <v>1354.07</v>
      </c>
      <c r="W31" s="18" t="n">
        <v>14900.51</v>
      </c>
      <c r="X31" s="18" t="n">
        <v>14821.54</v>
      </c>
      <c r="Y31" s="18" t="n">
        <v>14429.11</v>
      </c>
      <c r="Z31" s="37" t="n">
        <v>14429.11</v>
      </c>
      <c r="AA31" s="18" t="n">
        <v>7012.71</v>
      </c>
      <c r="AB31" s="19" t="n">
        <v>9134.110000000001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43195.1</v>
      </c>
      <c r="F32" s="37" t="n">
        <v>43195.1</v>
      </c>
      <c r="G32" s="18" t="n">
        <v>49728.91</v>
      </c>
      <c r="H32" s="18" t="n">
        <v>40083.93</v>
      </c>
      <c r="I32" s="18" t="n">
        <v>41943.38</v>
      </c>
      <c r="J32" s="18" t="n">
        <v>36057.4</v>
      </c>
      <c r="K32" s="37" t="n">
        <v>36057.4</v>
      </c>
      <c r="L32" s="18" t="n">
        <v>33858.02</v>
      </c>
      <c r="M32" s="18" t="n">
        <v>32385.53</v>
      </c>
      <c r="N32" s="18" t="n">
        <v>30605.64</v>
      </c>
      <c r="O32" s="18" t="n">
        <v>38705.32</v>
      </c>
      <c r="P32" s="37" t="n">
        <v>38705.32</v>
      </c>
      <c r="Q32" s="18" t="n">
        <v>29630.41</v>
      </c>
      <c r="R32" s="18" t="n">
        <v>27768.75</v>
      </c>
      <c r="S32" s="18" t="n">
        <v>26842.97</v>
      </c>
      <c r="T32" s="18" t="n">
        <v>28479.69</v>
      </c>
      <c r="U32" s="37" t="n">
        <v>28479.69</v>
      </c>
      <c r="V32" s="18" t="n">
        <v>26919.31</v>
      </c>
      <c r="W32" s="18" t="n">
        <v>20919.77</v>
      </c>
      <c r="X32" s="18" t="n">
        <v>25669.92</v>
      </c>
      <c r="Y32" s="18" t="n">
        <v>16986.03</v>
      </c>
      <c r="Z32" s="37" t="n">
        <v>16986.03</v>
      </c>
      <c r="AA32" s="18" t="n">
        <v>15382.86</v>
      </c>
      <c r="AB32" s="19" t="n">
        <v>14976.72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장기매입채무및기타채무</t>
        </is>
      </c>
      <c r="E33" s="18" t="n">
        <v>142.56</v>
      </c>
      <c r="F33" s="37" t="n">
        <v>142.56</v>
      </c>
      <c r="G33" s="18" t="n">
        <v>142.56</v>
      </c>
      <c r="H33" s="18" t="n">
        <v>153.09</v>
      </c>
      <c r="I33" s="18" t="n">
        <v>158.36</v>
      </c>
      <c r="J33" s="18" t="n">
        <v>163.18</v>
      </c>
      <c r="K33" s="37" t="n">
        <v>163.18</v>
      </c>
      <c r="L33" s="18" t="n">
        <v>169.67</v>
      </c>
      <c r="P33" s="9" t="n"/>
      <c r="Q33" s="18" t="n">
        <v>129.66</v>
      </c>
      <c r="R33" s="18" t="n">
        <v>134.49</v>
      </c>
      <c r="S33" s="18" t="n">
        <v>139.32</v>
      </c>
      <c r="T33" s="18" t="n">
        <v>146.3</v>
      </c>
      <c r="U33" s="37" t="n">
        <v>146.3</v>
      </c>
      <c r="V33" s="18" t="n">
        <v>151.14</v>
      </c>
      <c r="W33" s="18" t="n">
        <v>155.99</v>
      </c>
      <c r="X33" s="18" t="n">
        <v>160.62</v>
      </c>
      <c r="Y33" s="18" t="n">
        <v>44.54</v>
      </c>
      <c r="Z33" s="37" t="n">
        <v>44.54</v>
      </c>
      <c r="AA33" s="18" t="n">
        <v>46.59</v>
      </c>
      <c r="AB33" s="19" t="n">
        <v>48.63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25583.84</v>
      </c>
      <c r="F34" s="37" t="n">
        <v>25583.84</v>
      </c>
      <c r="G34" s="18" t="n">
        <v>24757.06</v>
      </c>
      <c r="H34" s="18" t="n">
        <v>21423.14</v>
      </c>
      <c r="I34" s="18" t="n">
        <v>23196.36</v>
      </c>
      <c r="J34" s="18" t="n">
        <v>20586.25</v>
      </c>
      <c r="K34" s="37" t="n">
        <v>20586.25</v>
      </c>
      <c r="L34" s="18" t="n">
        <v>18392.8</v>
      </c>
      <c r="M34" s="18" t="n">
        <v>16199.35</v>
      </c>
      <c r="N34" s="18" t="n">
        <v>14005.91</v>
      </c>
      <c r="O34" s="18" t="n">
        <v>11812.46</v>
      </c>
      <c r="P34" s="37" t="n">
        <v>11812.46</v>
      </c>
      <c r="Q34" s="18" t="n">
        <v>5833.33</v>
      </c>
      <c r="R34" s="18" t="n">
        <v>4166.67</v>
      </c>
      <c r="S34" s="18" t="n">
        <v>2500</v>
      </c>
      <c r="T34" s="18" t="n">
        <v>1250</v>
      </c>
      <c r="U34" s="37" t="n">
        <v>1250</v>
      </c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219.71</v>
      </c>
      <c r="F35" s="37" t="n">
        <v>219.71</v>
      </c>
      <c r="G35" s="18" t="n">
        <v>191.7</v>
      </c>
      <c r="H35" s="18" t="n">
        <v>496.6</v>
      </c>
      <c r="I35" s="18" t="n">
        <v>474.65</v>
      </c>
      <c r="J35" s="18" t="n">
        <v>503.67</v>
      </c>
      <c r="K35" s="37" t="n">
        <v>503.67</v>
      </c>
      <c r="L35" s="18" t="n">
        <v>507.06</v>
      </c>
      <c r="M35" s="18" t="n">
        <v>354.22</v>
      </c>
      <c r="N35" s="18" t="n">
        <v>560.4</v>
      </c>
      <c r="O35" s="18" t="n">
        <v>526.39</v>
      </c>
      <c r="P35" s="37" t="n">
        <v>526.39</v>
      </c>
      <c r="Q35" s="18" t="n">
        <v>483.04</v>
      </c>
      <c r="R35" s="18" t="n">
        <v>483.54</v>
      </c>
      <c r="S35" s="18" t="n">
        <v>359.97</v>
      </c>
      <c r="T35" s="18" t="n">
        <v>321.04</v>
      </c>
      <c r="U35" s="37" t="n">
        <v>321.04</v>
      </c>
      <c r="V35" s="18" t="n">
        <v>292.37</v>
      </c>
      <c r="W35" s="18" t="n">
        <v>733.5599999999999</v>
      </c>
      <c r="X35" s="18" t="n">
        <v>747.88</v>
      </c>
      <c r="Y35" s="18" t="n">
        <v>732.7</v>
      </c>
      <c r="Z35" s="37" t="n">
        <v>732.7</v>
      </c>
      <c r="AA35" s="18" t="n">
        <v>156.84</v>
      </c>
      <c r="AB35" s="19" t="n">
        <v>125.1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219.71</v>
      </c>
      <c r="F36" s="37" t="n">
        <v>219.71</v>
      </c>
      <c r="G36" s="18" t="n">
        <v>1531.81</v>
      </c>
      <c r="H36" s="18" t="n">
        <v>496.6</v>
      </c>
      <c r="I36" s="18" t="n">
        <v>474.65</v>
      </c>
      <c r="J36" s="18" t="n">
        <v>503.67</v>
      </c>
      <c r="K36" s="37" t="n">
        <v>503.67</v>
      </c>
      <c r="L36" s="18" t="n">
        <v>507.06</v>
      </c>
      <c r="M36" s="18" t="n">
        <v>354.22</v>
      </c>
      <c r="N36" s="18" t="n">
        <v>560.4</v>
      </c>
      <c r="O36" s="18" t="n">
        <v>526.39</v>
      </c>
      <c r="P36" s="37" t="n">
        <v>526.39</v>
      </c>
      <c r="Q36" s="18" t="n">
        <v>483.04</v>
      </c>
      <c r="R36" s="18" t="n">
        <v>483.54</v>
      </c>
      <c r="S36" s="18" t="n">
        <v>359.97</v>
      </c>
      <c r="T36" s="18" t="n">
        <v>321.04</v>
      </c>
      <c r="U36" s="37" t="n">
        <v>321.04</v>
      </c>
      <c r="V36" s="18" t="n">
        <v>292.37</v>
      </c>
      <c r="W36" s="18" t="n">
        <v>733.5599999999999</v>
      </c>
      <c r="X36" s="18" t="n">
        <v>747.88</v>
      </c>
      <c r="Y36" s="18" t="n">
        <v>2823.8</v>
      </c>
      <c r="Z36" s="37" t="n">
        <v>2823.8</v>
      </c>
      <c r="AA36" s="18" t="n">
        <v>1916.89</v>
      </c>
      <c r="AB36" s="19" t="n">
        <v>2110.56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확정급여부채</t>
        </is>
      </c>
      <c r="E37" s="18" t="n">
        <v>6132.63</v>
      </c>
      <c r="F37" s="37" t="n">
        <v>6132.63</v>
      </c>
      <c r="G37" s="18" t="n">
        <v>6637.91</v>
      </c>
      <c r="H37" s="18" t="n">
        <v>7171.06</v>
      </c>
      <c r="I37" s="18" t="n">
        <v>7482.27</v>
      </c>
      <c r="J37" s="18" t="n">
        <v>4775.05</v>
      </c>
      <c r="K37" s="37" t="n">
        <v>4775.05</v>
      </c>
      <c r="L37" s="18" t="n">
        <v>4739.98</v>
      </c>
      <c r="M37" s="18" t="n">
        <v>4868.53</v>
      </c>
      <c r="N37" s="18" t="n">
        <v>5146.41</v>
      </c>
      <c r="O37" s="18" t="n">
        <v>5863.45</v>
      </c>
      <c r="P37" s="37" t="n">
        <v>5863.45</v>
      </c>
      <c r="Q37" s="18" t="n">
        <v>2135.54</v>
      </c>
      <c r="R37" s="18" t="n">
        <v>2423.84</v>
      </c>
      <c r="S37" s="18" t="n">
        <v>2725.84</v>
      </c>
      <c r="T37" s="18" t="n">
        <v>5638.04</v>
      </c>
      <c r="U37" s="37" t="n">
        <v>5638.04</v>
      </c>
      <c r="V37" s="18" t="n">
        <v>5441.07</v>
      </c>
      <c r="W37" s="18" t="n">
        <v>5080.83</v>
      </c>
      <c r="X37" s="18" t="n">
        <v>3778.42</v>
      </c>
      <c r="Y37" s="18" t="n">
        <v>2474.33</v>
      </c>
      <c r="Z37" s="37" t="n">
        <v>2474.33</v>
      </c>
      <c r="AA37" s="18" t="n">
        <v>2186.12</v>
      </c>
      <c r="AB37" s="19" t="n">
        <v>2339.13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이연법인세부채</t>
        </is>
      </c>
      <c r="E38" s="18" t="n">
        <v>11116.36</v>
      </c>
      <c r="F38" s="37" t="n">
        <v>11116.36</v>
      </c>
      <c r="G38" s="18" t="n">
        <v>10576.49</v>
      </c>
      <c r="H38" s="18" t="n">
        <v>10840.04</v>
      </c>
      <c r="I38" s="18" t="n">
        <v>10631.75</v>
      </c>
      <c r="J38" s="18" t="n">
        <v>10029.25</v>
      </c>
      <c r="K38" s="37" t="n">
        <v>10029.25</v>
      </c>
      <c r="L38" s="18" t="n">
        <v>10048.51</v>
      </c>
      <c r="M38" s="18" t="n">
        <v>10546.53</v>
      </c>
      <c r="N38" s="18" t="n">
        <v>10528.54</v>
      </c>
      <c r="O38" s="18" t="n">
        <v>20117.68</v>
      </c>
      <c r="P38" s="37" t="n">
        <v>20117.68</v>
      </c>
      <c r="Q38" s="18" t="n">
        <v>20904.17</v>
      </c>
      <c r="R38" s="18" t="n">
        <v>20265.25</v>
      </c>
      <c r="S38" s="18" t="n">
        <v>20904.17</v>
      </c>
      <c r="T38" s="18" t="n">
        <v>20983.01</v>
      </c>
      <c r="U38" s="37" t="n">
        <v>20983.01</v>
      </c>
      <c r="V38" s="18" t="n">
        <v>20983.01</v>
      </c>
      <c r="W38" s="18" t="n">
        <v>14949.4</v>
      </c>
      <c r="X38" s="18" t="n">
        <v>20983.01</v>
      </c>
      <c r="Y38" s="18" t="n">
        <v>9048.91</v>
      </c>
      <c r="Z38" s="37" t="n">
        <v>9048.91</v>
      </c>
      <c r="AA38" s="18" t="n">
        <v>9048.91</v>
      </c>
      <c r="AB38" s="19" t="n">
        <v>8196.84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173491.69</v>
      </c>
      <c r="F39" s="37" t="n">
        <v>173491.69</v>
      </c>
      <c r="G39" s="18" t="n">
        <v>209931.87</v>
      </c>
      <c r="H39" s="18" t="n">
        <v>187266.79</v>
      </c>
      <c r="I39" s="18" t="n">
        <v>192773.87</v>
      </c>
      <c r="J39" s="18" t="n">
        <v>177065.86</v>
      </c>
      <c r="K39" s="37" t="n">
        <v>177065.86</v>
      </c>
      <c r="L39" s="18" t="n">
        <v>174944.64</v>
      </c>
      <c r="M39" s="18" t="n">
        <v>171344.41</v>
      </c>
      <c r="N39" s="18" t="n">
        <v>162998.36</v>
      </c>
      <c r="O39" s="18" t="n">
        <v>165547.65</v>
      </c>
      <c r="P39" s="37" t="n">
        <v>165547.65</v>
      </c>
      <c r="Q39" s="18" t="n">
        <v>135633.5</v>
      </c>
      <c r="R39" s="18" t="n">
        <v>129872.49</v>
      </c>
      <c r="S39" s="18" t="n">
        <v>125364.17</v>
      </c>
      <c r="T39" s="18" t="n">
        <v>128415.21</v>
      </c>
      <c r="U39" s="37" t="n">
        <v>128415.21</v>
      </c>
      <c r="V39" s="18" t="n">
        <v>112304.53</v>
      </c>
      <c r="W39" s="18" t="n">
        <v>100821.62</v>
      </c>
      <c r="X39" s="18" t="n">
        <v>101953.35</v>
      </c>
      <c r="Y39" s="18" t="n">
        <v>83205.39</v>
      </c>
      <c r="Z39" s="37" t="n">
        <v>83205.39</v>
      </c>
      <c r="AA39" s="18" t="n">
        <v>72168.74000000001</v>
      </c>
      <c r="AB39" s="19" t="n">
        <v>70909.85000000001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자본금</t>
        </is>
      </c>
      <c r="E40" s="18" t="n">
        <v>50655.19</v>
      </c>
      <c r="F40" s="37" t="n">
        <v>50655.19</v>
      </c>
      <c r="G40" s="18" t="n">
        <v>50655.19</v>
      </c>
      <c r="H40" s="18" t="n">
        <v>50655.19</v>
      </c>
      <c r="I40" s="18" t="n">
        <v>50655.19</v>
      </c>
      <c r="J40" s="18" t="n">
        <v>50655.19</v>
      </c>
      <c r="K40" s="37" t="n">
        <v>50655.19</v>
      </c>
      <c r="L40" s="18" t="n">
        <v>50655.19</v>
      </c>
      <c r="M40" s="18" t="n">
        <v>50655.19</v>
      </c>
      <c r="N40" s="18" t="n">
        <v>50655.19</v>
      </c>
      <c r="O40" s="18" t="n">
        <v>50655.19</v>
      </c>
      <c r="P40" s="37" t="n">
        <v>50655.19</v>
      </c>
      <c r="Q40" s="18" t="n">
        <v>50655.19</v>
      </c>
      <c r="R40" s="18" t="n">
        <v>50655.19</v>
      </c>
      <c r="S40" s="18" t="n">
        <v>50655.19</v>
      </c>
      <c r="T40" s="18" t="n">
        <v>50655.19</v>
      </c>
      <c r="U40" s="37" t="n">
        <v>50655.19</v>
      </c>
      <c r="V40" s="18" t="n">
        <v>50655.19</v>
      </c>
      <c r="W40" s="18" t="n">
        <v>50655.19</v>
      </c>
      <c r="X40" s="18" t="n">
        <v>50655.19</v>
      </c>
      <c r="Y40" s="18" t="n">
        <v>50655.19</v>
      </c>
      <c r="Z40" s="37" t="n">
        <v>50655.19</v>
      </c>
      <c r="AA40" s="18" t="n">
        <v>50655.19</v>
      </c>
      <c r="AB40" s="19" t="n">
        <v>39051.76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자본잉여금</t>
        </is>
      </c>
      <c r="E41" s="18" t="n">
        <v>94821.45</v>
      </c>
      <c r="F41" s="37" t="n">
        <v>94821.45</v>
      </c>
      <c r="G41" s="18" t="n">
        <v>94821.45</v>
      </c>
      <c r="H41" s="18" t="n">
        <v>94821.45</v>
      </c>
      <c r="I41" s="18" t="n">
        <v>94821.45</v>
      </c>
      <c r="J41" s="18" t="n">
        <v>94821.45</v>
      </c>
      <c r="K41" s="37" t="n">
        <v>94821.45</v>
      </c>
      <c r="L41" s="18" t="n">
        <v>94821.45</v>
      </c>
      <c r="M41" s="18" t="n">
        <v>94821.45</v>
      </c>
      <c r="N41" s="18" t="n">
        <v>94821.45</v>
      </c>
      <c r="O41" s="18" t="n">
        <v>94821.45</v>
      </c>
      <c r="P41" s="37" t="n">
        <v>94821.45</v>
      </c>
      <c r="Q41" s="18" t="n">
        <v>94821.45</v>
      </c>
      <c r="R41" s="18" t="n">
        <v>94821.45</v>
      </c>
      <c r="S41" s="18" t="n">
        <v>94821.45</v>
      </c>
      <c r="T41" s="18" t="n">
        <v>94821.45</v>
      </c>
      <c r="U41" s="37" t="n">
        <v>94821.45</v>
      </c>
      <c r="V41" s="18" t="n">
        <v>94821.45</v>
      </c>
      <c r="W41" s="18" t="n">
        <v>94821.45</v>
      </c>
      <c r="X41" s="18" t="n">
        <v>94821.45</v>
      </c>
      <c r="Y41" s="18" t="n">
        <v>94821.45</v>
      </c>
      <c r="Z41" s="37" t="n">
        <v>94821.45</v>
      </c>
      <c r="AA41" s="18" t="n">
        <v>94821.45</v>
      </c>
      <c r="AB41" s="19" t="n">
        <v>94821.45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기타자본</t>
        </is>
      </c>
      <c r="E42" s="18" t="n">
        <v>-74141.44</v>
      </c>
      <c r="F42" s="37" t="n">
        <v>-74141.44</v>
      </c>
      <c r="G42" s="18" t="n">
        <v>-74141.44</v>
      </c>
      <c r="H42" s="18" t="n">
        <v>-74141.44</v>
      </c>
      <c r="I42" s="18" t="n">
        <v>-74141.44</v>
      </c>
      <c r="J42" s="18" t="n">
        <v>-74141.44</v>
      </c>
      <c r="K42" s="37" t="n">
        <v>-74141.44</v>
      </c>
      <c r="L42" s="18" t="n">
        <v>-74141.44</v>
      </c>
      <c r="M42" s="18" t="n">
        <v>-74141.44</v>
      </c>
      <c r="N42" s="18" t="n">
        <v>-74141.44</v>
      </c>
      <c r="O42" s="18" t="n">
        <v>-74141.44</v>
      </c>
      <c r="P42" s="37" t="n">
        <v>-74141.44</v>
      </c>
      <c r="Q42" s="18" t="n">
        <v>-74895.09</v>
      </c>
      <c r="R42" s="18" t="n">
        <v>-74895.09</v>
      </c>
      <c r="S42" s="18" t="n">
        <v>-74895.09</v>
      </c>
      <c r="T42" s="18" t="n">
        <v>-74895.09</v>
      </c>
      <c r="U42" s="37" t="n">
        <v>-74895.09</v>
      </c>
      <c r="V42" s="18" t="n">
        <v>-74895.09</v>
      </c>
      <c r="W42" s="18" t="n">
        <v>-74895.09</v>
      </c>
      <c r="X42" s="18" t="n">
        <v>-74920.67</v>
      </c>
      <c r="Y42" s="18" t="n">
        <v>-73717.85000000001</v>
      </c>
      <c r="Z42" s="37" t="n">
        <v>-73717.85000000001</v>
      </c>
      <c r="AA42" s="18" t="n">
        <v>-72787.2</v>
      </c>
      <c r="AB42" s="19" t="n">
        <v>-60145.46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기타포괄이익누계액</t>
        </is>
      </c>
      <c r="E43" s="18" t="n">
        <v>4546.15</v>
      </c>
      <c r="F43" s="37" t="n">
        <v>4546.15</v>
      </c>
      <c r="G43" s="18" t="n">
        <v>7144.48</v>
      </c>
      <c r="H43" s="18" t="n">
        <v>7854.87</v>
      </c>
      <c r="I43" s="18" t="n">
        <v>8532.190000000001</v>
      </c>
      <c r="J43" s="18" t="n">
        <v>7043.37</v>
      </c>
      <c r="K43" s="37" t="n">
        <v>7043.37</v>
      </c>
      <c r="L43" s="18" t="n">
        <v>7416.77</v>
      </c>
      <c r="M43" s="18" t="n">
        <v>7587.32</v>
      </c>
      <c r="N43" s="18" t="n">
        <v>7779.01</v>
      </c>
      <c r="O43" s="18" t="n">
        <v>48757.41</v>
      </c>
      <c r="P43" s="37" t="n">
        <v>48757.41</v>
      </c>
      <c r="Q43" s="18" t="n">
        <v>47655.73</v>
      </c>
      <c r="R43" s="18" t="n">
        <v>46854.59</v>
      </c>
      <c r="S43" s="18" t="n">
        <v>46841.2</v>
      </c>
      <c r="T43" s="18" t="n">
        <v>48735.4</v>
      </c>
      <c r="U43" s="37" t="n">
        <v>48735.4</v>
      </c>
      <c r="V43" s="18" t="n">
        <v>47554.68</v>
      </c>
      <c r="W43" s="18" t="n">
        <v>47542.6</v>
      </c>
      <c r="X43" s="18" t="n">
        <v>47502.18</v>
      </c>
      <c r="Y43" s="18" t="n">
        <v>48565.32</v>
      </c>
      <c r="Z43" s="37" t="n">
        <v>48565.32</v>
      </c>
      <c r="AA43" s="18" t="n">
        <v>47476.33</v>
      </c>
      <c r="AB43" s="19" t="n">
        <v>47778.48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이익잉여금</t>
        </is>
      </c>
      <c r="E44" s="18" t="n">
        <v>96376.35000000001</v>
      </c>
      <c r="F44" s="37" t="n">
        <v>96376.35000000001</v>
      </c>
      <c r="G44" s="18" t="n">
        <v>95969.25999999999</v>
      </c>
      <c r="H44" s="18" t="n">
        <v>99814.59</v>
      </c>
      <c r="I44" s="18" t="n">
        <v>100585.13</v>
      </c>
      <c r="J44" s="18" t="n">
        <v>98704.81</v>
      </c>
      <c r="K44" s="37" t="n">
        <v>98704.81</v>
      </c>
      <c r="L44" s="18" t="n">
        <v>97240.57000000001</v>
      </c>
      <c r="M44" s="18" t="n">
        <v>95185.07000000001</v>
      </c>
      <c r="N44" s="18" t="n">
        <v>94412.03999999999</v>
      </c>
      <c r="O44" s="18" t="n">
        <v>90920.17999999999</v>
      </c>
      <c r="P44" s="37" t="n">
        <v>90920.17999999999</v>
      </c>
      <c r="Q44" s="18" t="n">
        <v>93327.91</v>
      </c>
      <c r="R44" s="18" t="n">
        <v>93423.37</v>
      </c>
      <c r="S44" s="18" t="n">
        <v>90271.46000000001</v>
      </c>
      <c r="T44" s="18" t="n">
        <v>82295.72</v>
      </c>
      <c r="U44" s="37" t="n">
        <v>82295.72</v>
      </c>
      <c r="V44" s="18" t="n">
        <v>83376.84</v>
      </c>
      <c r="W44" s="18" t="n">
        <v>58652.85</v>
      </c>
      <c r="X44" s="18" t="n">
        <v>41506.53</v>
      </c>
      <c r="Y44" s="18" t="n">
        <v>30940.06</v>
      </c>
      <c r="Z44" s="37" t="n">
        <v>30940.06</v>
      </c>
      <c r="AA44" s="18" t="n">
        <v>31353.08</v>
      </c>
      <c r="AB44" s="19" t="n">
        <v>31086.45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172257.7</v>
      </c>
      <c r="F45" s="37" t="n">
        <v>172257.7</v>
      </c>
      <c r="G45" s="18" t="n">
        <v>174448.94</v>
      </c>
      <c r="H45" s="18" t="n">
        <v>179004.66</v>
      </c>
      <c r="I45" s="18" t="n">
        <v>180452.52</v>
      </c>
      <c r="J45" s="18" t="n">
        <v>177083.38</v>
      </c>
      <c r="K45" s="37" t="n">
        <v>177083.38</v>
      </c>
      <c r="L45" s="18" t="n">
        <v>175992.54</v>
      </c>
      <c r="M45" s="18" t="n">
        <v>174107.59</v>
      </c>
      <c r="N45" s="18" t="n">
        <v>173526.24</v>
      </c>
      <c r="O45" s="18" t="n">
        <v>211012.79</v>
      </c>
      <c r="P45" s="37" t="n">
        <v>211012.79</v>
      </c>
      <c r="Q45" s="18" t="n">
        <v>211565.18</v>
      </c>
      <c r="R45" s="18" t="n">
        <v>210859.51</v>
      </c>
      <c r="S45" s="18" t="n">
        <v>207694.2</v>
      </c>
      <c r="T45" s="18" t="n">
        <v>201612.67</v>
      </c>
      <c r="U45" s="37" t="n">
        <v>201612.67</v>
      </c>
      <c r="V45" s="18" t="n">
        <v>201513.06</v>
      </c>
      <c r="W45" s="18" t="n">
        <v>176777</v>
      </c>
      <c r="X45" s="18" t="n">
        <v>159564.67</v>
      </c>
      <c r="Y45" s="18" t="n">
        <v>151264.16</v>
      </c>
      <c r="Z45" s="37" t="n">
        <v>151264.16</v>
      </c>
      <c r="AA45" s="18" t="n">
        <v>151518.85</v>
      </c>
      <c r="AB45" s="19" t="n">
        <v>152592.68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345749.39</v>
      </c>
      <c r="F46" s="37" t="n">
        <v>345749.39</v>
      </c>
      <c r="G46" s="18" t="n">
        <v>384380.8</v>
      </c>
      <c r="H46" s="18" t="n">
        <v>366271.45</v>
      </c>
      <c r="I46" s="18" t="n">
        <v>373226.39</v>
      </c>
      <c r="J46" s="18" t="n">
        <v>354149.24</v>
      </c>
      <c r="K46" s="37" t="n">
        <v>354149.24</v>
      </c>
      <c r="L46" s="18" t="n">
        <v>350937.17</v>
      </c>
      <c r="M46" s="18" t="n">
        <v>345452.01</v>
      </c>
      <c r="N46" s="18" t="n">
        <v>336524.6</v>
      </c>
      <c r="O46" s="18" t="n">
        <v>376560.43</v>
      </c>
      <c r="P46" s="37" t="n">
        <v>376560.43</v>
      </c>
      <c r="Q46" s="18" t="n">
        <v>347198.68</v>
      </c>
      <c r="R46" s="18" t="n">
        <v>340732</v>
      </c>
      <c r="S46" s="18" t="n">
        <v>333058.38</v>
      </c>
      <c r="T46" s="18" t="n">
        <v>330027.88</v>
      </c>
      <c r="U46" s="37" t="n">
        <v>330027.88</v>
      </c>
      <c r="V46" s="18" t="n">
        <v>313817.59</v>
      </c>
      <c r="W46" s="18" t="n">
        <v>277598.62</v>
      </c>
      <c r="X46" s="18" t="n">
        <v>261518.02</v>
      </c>
      <c r="Y46" s="18" t="n">
        <v>234469.55</v>
      </c>
      <c r="Z46" s="37" t="n">
        <v>234469.55</v>
      </c>
      <c r="AA46" s="18" t="n">
        <v>223687.59</v>
      </c>
      <c r="AB46" s="19" t="n">
        <v>223502.53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지배주주지분</t>
        </is>
      </c>
      <c r="E47" s="18" t="n">
        <v>172257.7</v>
      </c>
      <c r="F47" s="37" t="n">
        <v>172257.7</v>
      </c>
      <c r="G47" s="18" t="n">
        <v>174448.94</v>
      </c>
      <c r="H47" s="18" t="n">
        <v>179004.66</v>
      </c>
      <c r="I47" s="18" t="n">
        <v>180452.52</v>
      </c>
      <c r="J47" s="18" t="n">
        <v>177083.38</v>
      </c>
      <c r="K47" s="37" t="n">
        <v>177083.38</v>
      </c>
      <c r="L47" s="18" t="n">
        <v>175992.54</v>
      </c>
      <c r="M47" s="18" t="n">
        <v>174107.59</v>
      </c>
      <c r="N47" s="18" t="n">
        <v>173526.24</v>
      </c>
      <c r="O47" s="18" t="n">
        <v>211012.79</v>
      </c>
      <c r="P47" s="37" t="n">
        <v>211012.79</v>
      </c>
      <c r="Q47" s="18" t="n">
        <v>211565.18</v>
      </c>
      <c r="R47" s="18" t="n">
        <v>210859.51</v>
      </c>
      <c r="S47" s="18" t="n">
        <v>207694.2</v>
      </c>
      <c r="T47" s="18" t="n">
        <v>201612.67</v>
      </c>
      <c r="U47" s="37" t="n">
        <v>201612.67</v>
      </c>
      <c r="V47" s="18" t="n">
        <v>201513.06</v>
      </c>
      <c r="W47" s="18" t="n">
        <v>176777</v>
      </c>
      <c r="X47" s="18" t="n">
        <v>159564.67</v>
      </c>
      <c r="Y47" s="18" t="n">
        <v>151264.16</v>
      </c>
      <c r="Z47" s="37" t="n">
        <v>151264.16</v>
      </c>
      <c r="AA47" s="18" t="n">
        <v>151518.85</v>
      </c>
      <c r="AB47" s="19" t="n">
        <v>152592.68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총차입금</t>
        </is>
      </c>
      <c r="E48" s="18" t="n">
        <v>123111.23</v>
      </c>
      <c r="F48" s="37" t="n">
        <v>123111.23</v>
      </c>
      <c r="G48" s="18" t="n">
        <v>133569.84</v>
      </c>
      <c r="H48" s="18" t="n">
        <v>135397.01</v>
      </c>
      <c r="I48" s="18" t="n">
        <v>137473.49</v>
      </c>
      <c r="J48" s="18" t="n">
        <v>134858.31</v>
      </c>
      <c r="K48" s="37" t="n">
        <v>134858.31</v>
      </c>
      <c r="L48" s="18" t="n">
        <v>128932.39</v>
      </c>
      <c r="M48" s="18" t="n">
        <v>127423.32</v>
      </c>
      <c r="N48" s="18" t="n">
        <v>116614.56</v>
      </c>
      <c r="O48" s="18" t="n">
        <v>106407.62</v>
      </c>
      <c r="P48" s="37" t="n">
        <v>106407.62</v>
      </c>
      <c r="Q48" s="18" t="n">
        <v>88329.14</v>
      </c>
      <c r="R48" s="18" t="n">
        <v>81297.56</v>
      </c>
      <c r="S48" s="18" t="n">
        <v>76841.05</v>
      </c>
      <c r="T48" s="18" t="n">
        <v>75867.37</v>
      </c>
      <c r="U48" s="37" t="n">
        <v>75867.37</v>
      </c>
      <c r="V48" s="18" t="n">
        <v>67182.87</v>
      </c>
      <c r="W48" s="18" t="n">
        <v>51367.21</v>
      </c>
      <c r="X48" s="18" t="n">
        <v>47928.97</v>
      </c>
      <c r="Y48" s="18" t="n">
        <v>44448.39</v>
      </c>
      <c r="Z48" s="37" t="n">
        <v>44448.39</v>
      </c>
      <c r="AA48" s="18" t="n">
        <v>41196.26</v>
      </c>
      <c r="AB48" s="19" t="n">
        <v>38761.32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순차입금</t>
        </is>
      </c>
      <c r="E49" s="18" t="n">
        <v>119750.66</v>
      </c>
      <c r="F49" s="37" t="n">
        <v>119750.66</v>
      </c>
      <c r="G49" s="18" t="n">
        <v>126557.61</v>
      </c>
      <c r="H49" s="18" t="n">
        <v>129709.26</v>
      </c>
      <c r="I49" s="18" t="n">
        <v>134121.86</v>
      </c>
      <c r="J49" s="18" t="n">
        <v>127987.2</v>
      </c>
      <c r="K49" s="37" t="n">
        <v>127987.2</v>
      </c>
      <c r="L49" s="18" t="n">
        <v>124071.63</v>
      </c>
      <c r="M49" s="18" t="n">
        <v>118984.8</v>
      </c>
      <c r="N49" s="18" t="n">
        <v>109847.61</v>
      </c>
      <c r="O49" s="18" t="n">
        <v>99761.63</v>
      </c>
      <c r="P49" s="37" t="n">
        <v>99761.63</v>
      </c>
      <c r="Q49" s="18" t="n">
        <v>81889.87</v>
      </c>
      <c r="R49" s="18" t="n">
        <v>77820.00999999999</v>
      </c>
      <c r="S49" s="18" t="n">
        <v>74409.95</v>
      </c>
      <c r="T49" s="18" t="n">
        <v>70417.74000000001</v>
      </c>
      <c r="U49" s="37" t="n">
        <v>70417.74000000001</v>
      </c>
      <c r="V49" s="18" t="n">
        <v>58625.23</v>
      </c>
      <c r="W49" s="18" t="n">
        <v>44808.59</v>
      </c>
      <c r="X49" s="18" t="n">
        <v>41662.78</v>
      </c>
      <c r="Y49" s="18" t="n">
        <v>37648.93</v>
      </c>
      <c r="Z49" s="37" t="n">
        <v>37648.93</v>
      </c>
      <c r="AA49" s="18" t="n">
        <v>37736.15</v>
      </c>
      <c r="AB49" s="19" t="n">
        <v>35976.13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이자발생자산</t>
        </is>
      </c>
      <c r="E50" s="18" t="n">
        <v>5030.55</v>
      </c>
      <c r="F50" s="37" t="n">
        <v>5030.55</v>
      </c>
      <c r="G50" s="18" t="n">
        <v>8320.08</v>
      </c>
      <c r="H50" s="18" t="n">
        <v>7239.96</v>
      </c>
      <c r="I50" s="18" t="n">
        <v>4350.97</v>
      </c>
      <c r="J50" s="18" t="n">
        <v>7924.21</v>
      </c>
      <c r="K50" s="37" t="n">
        <v>7924.21</v>
      </c>
      <c r="L50" s="18" t="n">
        <v>5824.29</v>
      </c>
      <c r="M50" s="18" t="n">
        <v>9546.200000000001</v>
      </c>
      <c r="N50" s="18" t="n">
        <v>7684.14</v>
      </c>
      <c r="O50" s="18" t="n">
        <v>8278.74</v>
      </c>
      <c r="P50" s="37" t="n">
        <v>8278.74</v>
      </c>
      <c r="Q50" s="18" t="n">
        <v>6914.4</v>
      </c>
      <c r="R50" s="18" t="n">
        <v>4187.91</v>
      </c>
      <c r="S50" s="18" t="n">
        <v>3112.07</v>
      </c>
      <c r="T50" s="18" t="n">
        <v>6026.08</v>
      </c>
      <c r="U50" s="37" t="n">
        <v>6026.08</v>
      </c>
      <c r="V50" s="18" t="n">
        <v>8384.16</v>
      </c>
      <c r="W50" s="18" t="n">
        <v>6655.67</v>
      </c>
      <c r="X50" s="18" t="n">
        <v>6263.23</v>
      </c>
      <c r="Y50" s="18" t="n">
        <v>6802.96</v>
      </c>
      <c r="Z50" s="37" t="n">
        <v>6802.96</v>
      </c>
      <c r="AA50" s="18" t="n">
        <v>5211.13</v>
      </c>
      <c r="AB50" s="19" t="n">
        <v>2788.69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사채</t>
        </is>
      </c>
      <c r="F51" s="9" t="n"/>
      <c r="G51" s="18" t="n">
        <v>6083.08</v>
      </c>
      <c r="K51" s="9" t="n"/>
      <c r="P51" s="9" t="n"/>
      <c r="U51" s="9" t="n"/>
      <c r="Y51" s="18" t="n">
        <v>2594.46</v>
      </c>
      <c r="Z51" s="37" t="n">
        <v>2594.46</v>
      </c>
      <c r="AA51" s="18" t="n">
        <v>2184.36</v>
      </c>
      <c r="AB51" s="19" t="n">
        <v>2281.56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장기파생상품부채</t>
        </is>
      </c>
      <c r="F52" s="9" t="n"/>
      <c r="G52" s="18" t="n">
        <v>1340.11</v>
      </c>
      <c r="K52" s="9" t="n"/>
      <c r="P52" s="9" t="n"/>
      <c r="U52" s="9" t="n"/>
      <c r="Y52" s="18" t="n">
        <v>2091.1</v>
      </c>
      <c r="Z52" s="37" t="n">
        <v>2091.1</v>
      </c>
      <c r="AA52" s="18" t="n">
        <v>1760.05</v>
      </c>
      <c r="AB52" s="19" t="n">
        <v>1985.46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매각예정비유동자산및처분자산</t>
        </is>
      </c>
      <c r="F53" s="9" t="n"/>
      <c r="I53" s="18" t="n">
        <v>2626.9</v>
      </c>
      <c r="J53" s="18" t="n">
        <v>2626.9</v>
      </c>
      <c r="K53" s="37" t="n">
        <v>2626.9</v>
      </c>
      <c r="M53" s="18" t="n">
        <v>6105.86</v>
      </c>
      <c r="N53" s="18" t="n">
        <v>6034.71</v>
      </c>
      <c r="O53" s="18" t="n">
        <v>5827.81</v>
      </c>
      <c r="P53" s="37" t="n">
        <v>5827.81</v>
      </c>
      <c r="S53" s="18" t="n">
        <v>10443.89</v>
      </c>
      <c r="T53" s="18" t="n">
        <v>14150.1</v>
      </c>
      <c r="U53" s="37" t="n">
        <v>14150.1</v>
      </c>
      <c r="V53" s="18" t="n">
        <v>10443.89</v>
      </c>
      <c r="W53" s="18" t="n">
        <v>44941.79</v>
      </c>
      <c r="X53" s="18" t="n">
        <v>44941.79</v>
      </c>
      <c r="Z53" s="9" t="n"/>
      <c r="AA53" s="18" t="n">
        <v>57409.48</v>
      </c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유동파생상품자산</t>
        </is>
      </c>
      <c r="F54" s="9" t="n"/>
      <c r="J54" s="18" t="n">
        <v>25.71</v>
      </c>
      <c r="K54" s="37" t="n">
        <v>25.71</v>
      </c>
      <c r="L54" s="18" t="n">
        <v>15.13</v>
      </c>
      <c r="M54" s="18" t="n">
        <v>6.98</v>
      </c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단기금융자산</t>
        </is>
      </c>
      <c r="F55" s="9" t="n"/>
      <c r="J55" s="18" t="n">
        <v>25.71</v>
      </c>
      <c r="K55" s="37" t="n">
        <v>25.71</v>
      </c>
      <c r="L55" s="18" t="n">
        <v>15.13</v>
      </c>
      <c r="M55" s="18" t="n">
        <v>6.98</v>
      </c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계약부채</t>
        </is>
      </c>
      <c r="F56" s="9" t="n"/>
      <c r="K56" s="9" t="n"/>
      <c r="M56" s="18" t="n">
        <v>499.15</v>
      </c>
      <c r="N56" s="18" t="n">
        <v>88.59</v>
      </c>
      <c r="O56" s="18" t="n">
        <v>104.17</v>
      </c>
      <c r="P56" s="37" t="n">
        <v>104.17</v>
      </c>
      <c r="Q56" s="18" t="n">
        <v>237.37</v>
      </c>
      <c r="R56" s="18" t="n">
        <v>419.02</v>
      </c>
      <c r="S56" s="18" t="n">
        <v>1009.91</v>
      </c>
      <c r="T56" s="18" t="n">
        <v>847.89</v>
      </c>
      <c r="U56" s="37" t="n">
        <v>847.89</v>
      </c>
      <c r="V56" s="18" t="n">
        <v>158.87</v>
      </c>
      <c r="W56" s="18" t="n">
        <v>132.5</v>
      </c>
      <c r="X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단기금융부채(face)</t>
        </is>
      </c>
      <c r="F57" s="9" t="n"/>
      <c r="K57" s="9" t="n"/>
      <c r="M57" s="18" t="n">
        <v>96758.42</v>
      </c>
      <c r="N57" s="18" t="n">
        <v>96768.67999999999</v>
      </c>
      <c r="O57" s="18" t="n">
        <v>90823.85000000001</v>
      </c>
      <c r="P57" s="37" t="n">
        <v>90823.85000000001</v>
      </c>
      <c r="Q57" s="18" t="n">
        <v>79509.35000000001</v>
      </c>
      <c r="R57" s="18" t="n">
        <v>76160.89</v>
      </c>
      <c r="S57" s="18" t="n">
        <v>74341.05</v>
      </c>
      <c r="T57" s="18" t="n">
        <v>74617.37</v>
      </c>
      <c r="U57" s="37" t="n">
        <v>74617.37</v>
      </c>
      <c r="V57" s="18" t="n">
        <v>67182.87</v>
      </c>
      <c r="W57" s="18" t="n">
        <v>51367.21</v>
      </c>
      <c r="X57" s="18" t="n">
        <v>47928.97</v>
      </c>
      <c r="Y57" s="18" t="n">
        <v>41853.93</v>
      </c>
      <c r="Z57" s="37" t="n">
        <v>41853.93</v>
      </c>
      <c r="AA57" s="18" t="n">
        <v>39011.9</v>
      </c>
      <c r="AB57" s="19" t="n">
        <v>36479.76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장기금융부채(face)</t>
        </is>
      </c>
      <c r="F58" s="9" t="n"/>
      <c r="K58" s="9" t="n"/>
      <c r="M58" s="18" t="n">
        <v>16199.35</v>
      </c>
      <c r="N58" s="18" t="n">
        <v>14005.91</v>
      </c>
      <c r="O58" s="18" t="n">
        <v>11812.46</v>
      </c>
      <c r="P58" s="37" t="n">
        <v>11812.46</v>
      </c>
      <c r="Q58" s="18" t="n">
        <v>5833.33</v>
      </c>
      <c r="R58" s="18" t="n">
        <v>4166.67</v>
      </c>
      <c r="S58" s="18" t="n">
        <v>2500</v>
      </c>
      <c r="T58" s="18" t="n">
        <v>1250</v>
      </c>
      <c r="U58" s="37" t="n">
        <v>1250</v>
      </c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당기법인세자산(선급법인세)</t>
        </is>
      </c>
      <c r="F59" s="9" t="n"/>
      <c r="K59" s="9" t="n"/>
      <c r="P59" s="9" t="n"/>
      <c r="Q59" s="18" t="n">
        <v>12.53</v>
      </c>
      <c r="S59" s="18" t="n">
        <v>32.69</v>
      </c>
      <c r="U59" s="9" t="n"/>
      <c r="V59" s="18" t="n">
        <v>4.94</v>
      </c>
      <c r="W59" s="18" t="n">
        <v>10.52</v>
      </c>
      <c r="X59" s="18" t="n">
        <v>30.76</v>
      </c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기타유동금융자산</t>
        </is>
      </c>
      <c r="F60" s="9" t="n"/>
      <c r="K60" s="9" t="n"/>
      <c r="P60" s="9" t="n"/>
      <c r="U60" s="9" t="n"/>
      <c r="Y60" s="18" t="n">
        <v>3601.67</v>
      </c>
      <c r="Z60" s="37" t="n">
        <v>3601.67</v>
      </c>
      <c r="AB60" s="19" t="n">
        <v>8366.33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51883.53</v>
      </c>
      <c r="F61" s="9" t="n"/>
      <c r="G61" s="18" t="n">
        <v>55746</v>
      </c>
      <c r="H61" s="18" t="n">
        <v>56371.45</v>
      </c>
      <c r="I61" s="18" t="n">
        <v>56472.23</v>
      </c>
      <c r="J61" s="18" t="n">
        <v>55459.42</v>
      </c>
      <c r="K61" s="37" t="n">
        <v>224049.1</v>
      </c>
      <c r="L61" s="18" t="n">
        <v>50284.93</v>
      </c>
      <c r="M61" s="18" t="n">
        <v>52775.94</v>
      </c>
      <c r="N61" s="18" t="n">
        <v>48444.3</v>
      </c>
      <c r="O61" s="18" t="n">
        <v>49268.07</v>
      </c>
      <c r="P61" s="37" t="n">
        <v>200773.24</v>
      </c>
      <c r="Q61" s="18" t="n">
        <v>45210.88</v>
      </c>
      <c r="R61" s="18" t="n">
        <v>38518.6</v>
      </c>
      <c r="S61" s="18" t="n">
        <v>37240.63</v>
      </c>
      <c r="T61" s="18" t="n">
        <v>35576.7</v>
      </c>
      <c r="U61" s="37" t="n">
        <v>156546.81</v>
      </c>
      <c r="V61" s="18" t="n">
        <v>33853.53</v>
      </c>
      <c r="W61" s="18" t="n">
        <v>32115.92</v>
      </c>
      <c r="X61" s="18" t="n">
        <v>28205.9</v>
      </c>
      <c r="Y61" s="18" t="n">
        <v>19492.22</v>
      </c>
      <c r="Z61" s="37" t="n">
        <v>113667.57</v>
      </c>
      <c r="AA61" s="18" t="n">
        <v>20241.72</v>
      </c>
      <c r="AB61" s="19" t="n">
        <v>21329.93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43731.29</v>
      </c>
      <c r="F62" s="9" t="n"/>
      <c r="G62" s="18" t="n">
        <v>47864.32</v>
      </c>
      <c r="H62" s="18" t="n">
        <v>50643.76</v>
      </c>
      <c r="I62" s="18" t="n">
        <v>50333.72</v>
      </c>
      <c r="J62" s="18" t="n">
        <v>50180.28</v>
      </c>
      <c r="K62" s="37" t="n">
        <v>199022.08</v>
      </c>
      <c r="L62" s="18" t="n">
        <v>45954.85</v>
      </c>
      <c r="M62" s="18" t="n">
        <v>48088.05</v>
      </c>
      <c r="N62" s="18" t="n">
        <v>44268.21</v>
      </c>
      <c r="O62" s="18" t="n">
        <v>44828.23</v>
      </c>
      <c r="P62" s="37" t="n">
        <v>183139.34</v>
      </c>
      <c r="Q62" s="18" t="n">
        <v>39625.32</v>
      </c>
      <c r="R62" s="18" t="n">
        <v>34809.83</v>
      </c>
      <c r="S62" s="18" t="n">
        <v>34323.91</v>
      </c>
      <c r="T62" s="18" t="n">
        <v>33642.7</v>
      </c>
      <c r="U62" s="37" t="n">
        <v>142401.76</v>
      </c>
      <c r="V62" s="18" t="n">
        <v>33472.24</v>
      </c>
      <c r="W62" s="18" t="n">
        <v>33460.93</v>
      </c>
      <c r="X62" s="18" t="n">
        <v>33006.13</v>
      </c>
      <c r="Y62" s="18" t="n">
        <v>12164.53</v>
      </c>
      <c r="Z62" s="37" t="n">
        <v>112103.83</v>
      </c>
      <c r="AA62" s="18" t="n">
        <v>17826.89</v>
      </c>
      <c r="AB62" s="19" t="n">
        <v>18719.63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8152.22</v>
      </c>
      <c r="F63" s="9" t="n"/>
      <c r="G63" s="18" t="n">
        <v>7881.69</v>
      </c>
      <c r="H63" s="18" t="n">
        <v>5727.68</v>
      </c>
      <c r="I63" s="18" t="n">
        <v>6138.51</v>
      </c>
      <c r="J63" s="18" t="n">
        <v>5279.14</v>
      </c>
      <c r="K63" s="37" t="n">
        <v>25027.02</v>
      </c>
      <c r="L63" s="18" t="n">
        <v>4330.07</v>
      </c>
      <c r="M63" s="18" t="n">
        <v>4687.89</v>
      </c>
      <c r="N63" s="18" t="n">
        <v>4176.09</v>
      </c>
      <c r="O63" s="18" t="n">
        <v>4439.83</v>
      </c>
      <c r="P63" s="37" t="n">
        <v>17633.88</v>
      </c>
      <c r="Q63" s="18" t="n">
        <v>5585.56</v>
      </c>
      <c r="R63" s="18" t="n">
        <v>3708.77</v>
      </c>
      <c r="S63" s="18" t="n">
        <v>2916.72</v>
      </c>
      <c r="T63" s="18" t="n">
        <v>1934</v>
      </c>
      <c r="U63" s="37" t="n">
        <v>14145.05</v>
      </c>
      <c r="V63" s="18" t="n">
        <v>381.29</v>
      </c>
      <c r="W63" s="18" t="n">
        <v>-1345.01</v>
      </c>
      <c r="X63" s="18" t="n">
        <v>-4800.24</v>
      </c>
      <c r="Y63" s="18" t="n">
        <v>7327.69</v>
      </c>
      <c r="Z63" s="37" t="n">
        <v>1563.73</v>
      </c>
      <c r="AA63" s="18" t="n">
        <v>2414.82</v>
      </c>
      <c r="AB63" s="19" t="n">
        <v>2610.31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5201.47</v>
      </c>
      <c r="F64" s="9" t="n"/>
      <c r="G64" s="18" t="n">
        <v>6462.72</v>
      </c>
      <c r="H64" s="18" t="n">
        <v>4524.02</v>
      </c>
      <c r="I64" s="18" t="n">
        <v>5491.64</v>
      </c>
      <c r="J64" s="18" t="n">
        <v>4779.47</v>
      </c>
      <c r="K64" s="37" t="n">
        <v>21257.85</v>
      </c>
      <c r="L64" s="18" t="n">
        <v>4678.15</v>
      </c>
      <c r="M64" s="18" t="n">
        <v>4331.37</v>
      </c>
      <c r="N64" s="18" t="n">
        <v>3743.26</v>
      </c>
      <c r="O64" s="18" t="n">
        <v>4556.76</v>
      </c>
      <c r="P64" s="37" t="n">
        <v>17309.54</v>
      </c>
      <c r="Q64" s="18" t="n">
        <v>3362.2</v>
      </c>
      <c r="R64" s="18" t="n">
        <v>3164.76</v>
      </c>
      <c r="S64" s="18" t="n">
        <v>3510.4</v>
      </c>
      <c r="T64" s="18" t="n">
        <v>3836.76</v>
      </c>
      <c r="U64" s="37" t="n">
        <v>13874.12</v>
      </c>
      <c r="V64" s="18" t="n">
        <v>2977.76</v>
      </c>
      <c r="W64" s="18" t="n">
        <v>2676.3</v>
      </c>
      <c r="X64" s="18" t="n">
        <v>3306.37</v>
      </c>
      <c r="Y64" s="18" t="n">
        <v>9288.950000000001</v>
      </c>
      <c r="Z64" s="37" t="n">
        <v>18249.38</v>
      </c>
      <c r="AA64" s="18" t="n">
        <v>3041.26</v>
      </c>
      <c r="AB64" s="19" t="n">
        <v>1910.54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2950.75</v>
      </c>
      <c r="F65" s="9" t="n"/>
      <c r="G65" s="18" t="n">
        <v>1419.24</v>
      </c>
      <c r="H65" s="18" t="n">
        <v>1203.66</v>
      </c>
      <c r="I65" s="18" t="n">
        <v>646.87</v>
      </c>
      <c r="J65" s="18" t="n">
        <v>499.67</v>
      </c>
      <c r="K65" s="37" t="n">
        <v>3769.44</v>
      </c>
      <c r="L65" s="18" t="n">
        <v>-348.08</v>
      </c>
      <c r="M65" s="18" t="n">
        <v>356.52</v>
      </c>
      <c r="N65" s="18" t="n">
        <v>432.83</v>
      </c>
      <c r="O65" s="18" t="n">
        <v>-116.93</v>
      </c>
      <c r="P65" s="37" t="n">
        <v>324.34</v>
      </c>
      <c r="Q65" s="18" t="n">
        <v>2223.36</v>
      </c>
      <c r="R65" s="18" t="n">
        <v>544.01</v>
      </c>
      <c r="S65" s="18" t="n">
        <v>-593.6799999999999</v>
      </c>
      <c r="T65" s="18" t="n">
        <v>-1902.76</v>
      </c>
      <c r="U65" s="37" t="n">
        <v>270.93</v>
      </c>
      <c r="V65" s="18" t="n">
        <v>-2596.47</v>
      </c>
      <c r="W65" s="18" t="n">
        <v>-4021.31</v>
      </c>
      <c r="X65" s="18" t="n">
        <v>-8106.61</v>
      </c>
      <c r="Y65" s="18" t="n">
        <v>-1961.26</v>
      </c>
      <c r="Z65" s="37" t="n">
        <v>-16685.65</v>
      </c>
      <c r="AA65" s="18" t="n">
        <v>-626.4400000000001</v>
      </c>
      <c r="AB65" s="19" t="n">
        <v>699.77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금융수익</t>
        </is>
      </c>
      <c r="E66" s="18" t="n">
        <v>661.25</v>
      </c>
      <c r="F66" s="9" t="n"/>
      <c r="G66" s="18" t="n">
        <v>737.49</v>
      </c>
      <c r="H66" s="18" t="n">
        <v>3789.74</v>
      </c>
      <c r="I66" s="18" t="n">
        <v>3039.55</v>
      </c>
      <c r="J66" s="18" t="n">
        <v>438.5</v>
      </c>
      <c r="K66" s="37" t="n">
        <v>8005.28</v>
      </c>
      <c r="L66" s="18" t="n">
        <v>1634.23</v>
      </c>
      <c r="M66" s="18" t="n">
        <v>1207.27</v>
      </c>
      <c r="N66" s="18" t="n">
        <v>1745.71</v>
      </c>
      <c r="O66" s="18" t="n">
        <v>689.8099999999999</v>
      </c>
      <c r="P66" s="37" t="n">
        <v>5277.02</v>
      </c>
      <c r="Q66" s="18" t="n">
        <v>1420.85</v>
      </c>
      <c r="R66" s="18" t="n">
        <v>917.27</v>
      </c>
      <c r="S66" s="18" t="n">
        <v>465.99</v>
      </c>
      <c r="T66" s="18" t="n">
        <v>1786.82</v>
      </c>
      <c r="U66" s="37" t="n">
        <v>4590.93</v>
      </c>
      <c r="V66" s="18" t="n">
        <v>807.09</v>
      </c>
      <c r="W66" s="18" t="n">
        <v>367.03</v>
      </c>
      <c r="X66" s="18" t="n">
        <v>454.64</v>
      </c>
      <c r="Y66" s="18" t="n">
        <v>526.98</v>
      </c>
      <c r="Z66" s="37" t="n">
        <v>2155.74</v>
      </c>
      <c r="AA66" s="18" t="n">
        <v>492.13</v>
      </c>
      <c r="AB66" s="19" t="n">
        <v>147.16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E67" s="18" t="n">
        <v>1083.27</v>
      </c>
      <c r="F67" s="9" t="n"/>
      <c r="G67" s="18" t="n">
        <v>2578.67</v>
      </c>
      <c r="H67" s="18" t="n">
        <v>2098.36</v>
      </c>
      <c r="I67" s="18" t="n">
        <v>3652.34</v>
      </c>
      <c r="J67" s="18" t="n">
        <v>3434.64</v>
      </c>
      <c r="K67" s="37" t="n">
        <v>11764.01</v>
      </c>
      <c r="L67" s="18" t="n">
        <v>2704.21</v>
      </c>
      <c r="M67" s="18" t="n">
        <v>3034.58</v>
      </c>
      <c r="N67" s="18" t="n">
        <v>2948.4</v>
      </c>
      <c r="O67" s="18" t="n">
        <v>2213.44</v>
      </c>
      <c r="P67" s="37" t="n">
        <v>10900.63</v>
      </c>
      <c r="Q67" s="18" t="n">
        <v>2148.99</v>
      </c>
      <c r="R67" s="18" t="n">
        <v>1741.5</v>
      </c>
      <c r="S67" s="18" t="n">
        <v>1703.68</v>
      </c>
      <c r="T67" s="18" t="n">
        <v>1841.65</v>
      </c>
      <c r="U67" s="37" t="n">
        <v>7435.82</v>
      </c>
      <c r="V67" s="18" t="n">
        <v>1338.2</v>
      </c>
      <c r="W67" s="18" t="n">
        <v>1547.25</v>
      </c>
      <c r="X67" s="18" t="n">
        <v>414.76</v>
      </c>
      <c r="Y67" s="18" t="n">
        <v>662.72</v>
      </c>
      <c r="Z67" s="37" t="n">
        <v>3962.93</v>
      </c>
      <c r="AA67" s="18" t="n">
        <v>808.63</v>
      </c>
      <c r="AB67" s="19" t="n">
        <v>841.87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기타영업외수익</t>
        </is>
      </c>
      <c r="E68" s="18" t="n">
        <v>181.44</v>
      </c>
      <c r="F68" s="9" t="n"/>
      <c r="G68" s="18" t="n">
        <v>554.5700000000001</v>
      </c>
      <c r="H68" s="18" t="n">
        <v>314.39</v>
      </c>
      <c r="I68" s="18" t="n">
        <v>220.51</v>
      </c>
      <c r="J68" s="18" t="n">
        <v>131.7</v>
      </c>
      <c r="K68" s="37" t="n">
        <v>1221.17</v>
      </c>
      <c r="L68" s="18" t="n">
        <v>2238.5</v>
      </c>
      <c r="M68" s="18" t="n">
        <v>225</v>
      </c>
      <c r="N68" s="18" t="n">
        <v>128.93</v>
      </c>
      <c r="O68" s="18" t="n">
        <v>1633.83</v>
      </c>
      <c r="P68" s="37" t="n">
        <v>4226.26</v>
      </c>
      <c r="Q68" s="18" t="n">
        <v>1601.66</v>
      </c>
      <c r="R68" s="18" t="n">
        <v>100.9</v>
      </c>
      <c r="S68" s="18" t="n">
        <v>93.79000000000001</v>
      </c>
      <c r="T68" s="18" t="n">
        <v>30.54</v>
      </c>
      <c r="U68" s="37" t="n">
        <v>1826.89</v>
      </c>
      <c r="V68" s="18" t="n">
        <v>5318.3</v>
      </c>
      <c r="W68" s="18" t="n">
        <v>224.54</v>
      </c>
      <c r="X68" s="18" t="n">
        <v>264.47</v>
      </c>
      <c r="Y68" s="18" t="n">
        <v>547.58</v>
      </c>
      <c r="Z68" s="37" t="n">
        <v>6354.89</v>
      </c>
      <c r="AA68" s="18" t="n">
        <v>1386.02</v>
      </c>
      <c r="AB68" s="19" t="n">
        <v>102.82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기타영업외비용</t>
        </is>
      </c>
      <c r="E69" s="18" t="n">
        <v>563.54</v>
      </c>
      <c r="F69" s="9" t="n"/>
      <c r="G69" s="18" t="n">
        <v>3.16</v>
      </c>
      <c r="H69" s="18" t="n">
        <v>33.77</v>
      </c>
      <c r="I69" s="18" t="n">
        <v>13.18</v>
      </c>
      <c r="J69" s="18" t="n">
        <v>1206.33</v>
      </c>
      <c r="K69" s="37" t="n">
        <v>1256.44</v>
      </c>
      <c r="L69" s="18" t="n">
        <v>82.28</v>
      </c>
      <c r="M69" s="18" t="n">
        <v>181.46</v>
      </c>
      <c r="N69" s="18" t="n">
        <v>0.9399999999999999</v>
      </c>
      <c r="O69" s="18" t="n">
        <v>2652.22</v>
      </c>
      <c r="P69" s="37" t="n">
        <v>2916.9</v>
      </c>
      <c r="Q69" s="18" t="n">
        <v>11.39</v>
      </c>
      <c r="R69" s="18" t="n">
        <v>1.08</v>
      </c>
      <c r="S69" s="18" t="n">
        <v>0.39</v>
      </c>
      <c r="T69" s="18" t="n">
        <v>0.6899999999999999</v>
      </c>
      <c r="U69" s="37" t="n">
        <v>13.55</v>
      </c>
      <c r="V69" s="18" t="n">
        <v>149.82</v>
      </c>
      <c r="W69" s="18" t="n">
        <v>25506.88</v>
      </c>
      <c r="X69" s="18" t="n">
        <v>3555.21</v>
      </c>
      <c r="Y69" s="18" t="n">
        <v>22409.49</v>
      </c>
      <c r="Z69" s="37" t="n">
        <v>51621.4</v>
      </c>
      <c r="AA69" s="18" t="n">
        <v>114.57</v>
      </c>
      <c r="AB69" s="19" t="n">
        <v>27.81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5181.85</v>
      </c>
      <c r="F70" s="9" t="n"/>
      <c r="G70" s="18" t="n">
        <v>-399.85</v>
      </c>
      <c r="H70" s="18" t="n">
        <v>4627.43</v>
      </c>
      <c r="I70" s="18" t="n">
        <v>840.6900000000001</v>
      </c>
      <c r="J70" s="18" t="n">
        <v>-5903.81</v>
      </c>
      <c r="K70" s="37" t="n">
        <v>-835.54</v>
      </c>
      <c r="L70" s="18" t="n">
        <v>-948.3099999999999</v>
      </c>
      <c r="M70" s="18" t="n">
        <v>-1608.19</v>
      </c>
      <c r="N70" s="18" t="n">
        <v>-703.61</v>
      </c>
      <c r="O70" s="18" t="n">
        <v>-2632.28</v>
      </c>
      <c r="P70" s="37" t="n">
        <v>-5892.39</v>
      </c>
      <c r="Q70" s="18" t="n">
        <v>2671.11</v>
      </c>
      <c r="R70" s="18" t="n">
        <v>166.79</v>
      </c>
      <c r="S70" s="18" t="n">
        <v>-3215.82</v>
      </c>
      <c r="T70" s="18" t="n">
        <v>-7276.86</v>
      </c>
      <c r="U70" s="37" t="n">
        <v>-7654.78</v>
      </c>
      <c r="V70" s="18" t="n">
        <v>1249.22</v>
      </c>
      <c r="W70" s="18" t="n">
        <v>-30751.89</v>
      </c>
      <c r="X70" s="18" t="n">
        <v>-10955.44</v>
      </c>
      <c r="Y70" s="18" t="n">
        <v>-24564.06</v>
      </c>
      <c r="Z70" s="37" t="n">
        <v>-65022.17</v>
      </c>
      <c r="AA70" s="18" t="n">
        <v>-937.45</v>
      </c>
      <c r="AB70" s="19" t="n">
        <v>231.02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18" t="n">
        <v>305.67</v>
      </c>
      <c r="F71" s="9" t="n"/>
      <c r="G71" s="18" t="n">
        <v>7.23</v>
      </c>
      <c r="H71" s="18" t="n">
        <v>726.47</v>
      </c>
      <c r="I71" s="18" t="n">
        <v>56.34</v>
      </c>
      <c r="J71" s="18" t="n">
        <v>-1298.04</v>
      </c>
      <c r="K71" s="37" t="n">
        <v>-508</v>
      </c>
      <c r="L71" s="18" t="n">
        <v>498.47</v>
      </c>
      <c r="M71" s="18" t="n">
        <v>421.01</v>
      </c>
      <c r="N71" s="18" t="n">
        <v>59.43</v>
      </c>
      <c r="O71" s="18" t="n">
        <v>-469.88</v>
      </c>
      <c r="P71" s="37" t="n">
        <v>509.03</v>
      </c>
      <c r="Q71" s="18" t="n">
        <v>241.53</v>
      </c>
      <c r="R71" s="18" t="n">
        <v>38.52</v>
      </c>
      <c r="S71" s="18" t="n">
        <v>-80.44</v>
      </c>
      <c r="T71" s="18" t="n">
        <v>903.96</v>
      </c>
      <c r="U71" s="37" t="n">
        <v>1103.57</v>
      </c>
      <c r="V71" s="18" t="n">
        <v>156.73</v>
      </c>
      <c r="W71" s="18" t="n">
        <v>-6051.84</v>
      </c>
      <c r="X71" s="18" t="n">
        <v>6054.52</v>
      </c>
      <c r="Y71" s="18" t="n">
        <v>-12852.17</v>
      </c>
      <c r="Z71" s="37" t="n">
        <v>-12692.76</v>
      </c>
      <c r="AA71" s="18" t="n">
        <v>-44.42</v>
      </c>
      <c r="AB71" s="19" t="n">
        <v>189.99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당기순이익</t>
        </is>
      </c>
      <c r="E72" s="18" t="n">
        <v>4876.18</v>
      </c>
      <c r="F72" s="9" t="n"/>
      <c r="G72" s="18" t="n">
        <v>-407.09</v>
      </c>
      <c r="H72" s="18" t="n">
        <v>3900.96</v>
      </c>
      <c r="I72" s="18" t="n">
        <v>784.36</v>
      </c>
      <c r="J72" s="18" t="n">
        <v>-4605.78</v>
      </c>
      <c r="K72" s="37" t="n">
        <v>-327.55</v>
      </c>
      <c r="L72" s="18" t="n">
        <v>-1446.78</v>
      </c>
      <c r="M72" s="18" t="n">
        <v>-2029.21</v>
      </c>
      <c r="N72" s="18" t="n">
        <v>-763.04</v>
      </c>
      <c r="O72" s="18" t="n">
        <v>-2162.41</v>
      </c>
      <c r="P72" s="37" t="n">
        <v>-6401.44</v>
      </c>
      <c r="Q72" s="18" t="n">
        <v>2429.59</v>
      </c>
      <c r="R72" s="18" t="n">
        <v>128.28</v>
      </c>
      <c r="S72" s="18" t="n">
        <v>-3135.39</v>
      </c>
      <c r="T72" s="18" t="n">
        <v>-8180.82</v>
      </c>
      <c r="U72" s="37" t="n">
        <v>-8758.34</v>
      </c>
      <c r="V72" s="18" t="n">
        <v>1092.48</v>
      </c>
      <c r="W72" s="18" t="n">
        <v>-24700.05</v>
      </c>
      <c r="X72" s="18" t="n">
        <v>-17009.95</v>
      </c>
      <c r="Y72" s="18" t="n">
        <v>-11711.9</v>
      </c>
      <c r="Z72" s="37" t="n">
        <v>-52329.42</v>
      </c>
      <c r="AA72" s="18" t="n">
        <v>-893.03</v>
      </c>
      <c r="AB72" s="19" t="n">
        <v>41.03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5274.04</v>
      </c>
      <c r="F73" s="9" t="n"/>
      <c r="G73" s="18" t="n">
        <v>2191.24</v>
      </c>
      <c r="H73" s="18" t="n">
        <v>4555.72</v>
      </c>
      <c r="I73" s="18" t="n">
        <v>1447.86</v>
      </c>
      <c r="J73" s="18" t="n">
        <v>-3369.14</v>
      </c>
      <c r="K73" s="37" t="n">
        <v>4825.68</v>
      </c>
      <c r="L73" s="18" t="n">
        <v>-1090.84</v>
      </c>
      <c r="M73" s="18" t="n">
        <v>-1884.95</v>
      </c>
      <c r="N73" s="18" t="n">
        <v>-581.35</v>
      </c>
      <c r="O73" s="18" t="n">
        <v>37486.55</v>
      </c>
      <c r="P73" s="37" t="n">
        <v>33929.41</v>
      </c>
      <c r="Q73" s="18" t="n">
        <v>-695.17</v>
      </c>
      <c r="R73" s="18" t="n">
        <v>-705.67</v>
      </c>
      <c r="S73" s="18" t="n">
        <v>-3165.31</v>
      </c>
      <c r="T73" s="18" t="n">
        <v>-4080.31</v>
      </c>
      <c r="U73" s="37" t="n">
        <v>-8646.459999999999</v>
      </c>
      <c r="V73" s="18" t="n">
        <v>-99.61</v>
      </c>
      <c r="W73" s="18" t="n">
        <v>-24736.07</v>
      </c>
      <c r="X73" s="18" t="n">
        <v>-17186.75</v>
      </c>
      <c r="Y73" s="18" t="n">
        <v>-9503.33</v>
      </c>
      <c r="Z73" s="37" t="n">
        <v>-51525.76</v>
      </c>
      <c r="AA73" s="18" t="n">
        <v>-675.97</v>
      </c>
      <c r="AB73" s="19" t="n">
        <v>35.53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-422.02</v>
      </c>
      <c r="F74" s="9" t="n"/>
      <c r="G74" s="18" t="n">
        <v>-1841.18</v>
      </c>
      <c r="H74" s="18" t="n">
        <v>1691.38</v>
      </c>
      <c r="I74" s="18" t="n">
        <v>-612.79</v>
      </c>
      <c r="J74" s="18" t="n">
        <v>-2996.14</v>
      </c>
      <c r="K74" s="37" t="n">
        <v>-3758.73</v>
      </c>
      <c r="L74" s="18" t="n">
        <v>-1069.98</v>
      </c>
      <c r="M74" s="18" t="n">
        <v>-1827.31</v>
      </c>
      <c r="N74" s="18" t="n">
        <v>-1202.69</v>
      </c>
      <c r="O74" s="18" t="n">
        <v>-1523.63</v>
      </c>
      <c r="P74" s="37" t="n">
        <v>-5623.61</v>
      </c>
      <c r="Q74" s="18" t="n">
        <v>-728.14</v>
      </c>
      <c r="R74" s="18" t="n">
        <v>-824.23</v>
      </c>
      <c r="S74" s="18" t="n">
        <v>-1237.69</v>
      </c>
      <c r="T74" s="18" t="n">
        <v>-54.83</v>
      </c>
      <c r="U74" s="37" t="n">
        <v>-2844.89</v>
      </c>
      <c r="V74" s="18" t="n">
        <v>-531.11</v>
      </c>
      <c r="W74" s="18" t="n">
        <v>-1180.22</v>
      </c>
      <c r="X74" s="18" t="n">
        <v>39.88</v>
      </c>
      <c r="Y74" s="18" t="n">
        <v>-135.74</v>
      </c>
      <c r="Z74" s="37" t="n">
        <v>-1807.19</v>
      </c>
      <c r="AA74" s="18" t="n">
        <v>-316.5</v>
      </c>
      <c r="AB74" s="19" t="n">
        <v>-694.71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-382.1</v>
      </c>
      <c r="F75" s="9" t="n"/>
      <c r="G75" s="18" t="n">
        <v>551.41</v>
      </c>
      <c r="H75" s="18" t="n">
        <v>280.62</v>
      </c>
      <c r="I75" s="18" t="n">
        <v>207.33</v>
      </c>
      <c r="J75" s="18" t="n">
        <v>-1074.63</v>
      </c>
      <c r="K75" s="37" t="n">
        <v>-35.27</v>
      </c>
      <c r="L75" s="18" t="n">
        <v>2156.22</v>
      </c>
      <c r="M75" s="18" t="n">
        <v>43.54</v>
      </c>
      <c r="N75" s="18" t="n">
        <v>127.99</v>
      </c>
      <c r="O75" s="18" t="n">
        <v>-1018.39</v>
      </c>
      <c r="P75" s="37" t="n">
        <v>1309.36</v>
      </c>
      <c r="Q75" s="18" t="n">
        <v>1590.27</v>
      </c>
      <c r="R75" s="18" t="n">
        <v>99.81999999999999</v>
      </c>
      <c r="S75" s="18" t="n">
        <v>93.40000000000001</v>
      </c>
      <c r="T75" s="18" t="n">
        <v>29.85</v>
      </c>
      <c r="U75" s="37" t="n">
        <v>1813.34</v>
      </c>
      <c r="V75" s="18" t="n">
        <v>5168.48</v>
      </c>
      <c r="W75" s="18" t="n">
        <v>-25282.34</v>
      </c>
      <c r="X75" s="18" t="n">
        <v>-3290.74</v>
      </c>
      <c r="Y75" s="18" t="n">
        <v>-21861.91</v>
      </c>
      <c r="Z75" s="37" t="n">
        <v>-45266.51</v>
      </c>
      <c r="AA75" s="18" t="n">
        <v>1271.45</v>
      </c>
      <c r="AB75" s="19" t="n">
        <v>75.01000000000001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(지배주주지분)당기순이익</t>
        </is>
      </c>
      <c r="E76" s="18" t="n">
        <v>4876.18</v>
      </c>
      <c r="F76" s="9" t="n"/>
      <c r="G76" s="18" t="n">
        <v>-407.09</v>
      </c>
      <c r="H76" s="18" t="n">
        <v>3900.96</v>
      </c>
      <c r="I76" s="18" t="n">
        <v>784.36</v>
      </c>
      <c r="J76" s="18" t="n">
        <v>-4605.78</v>
      </c>
      <c r="K76" s="37" t="n">
        <v>-327.55</v>
      </c>
      <c r="L76" s="18" t="n">
        <v>-1446.78</v>
      </c>
      <c r="M76" s="18" t="n">
        <v>-2029.21</v>
      </c>
      <c r="N76" s="18" t="n">
        <v>-763.04</v>
      </c>
      <c r="O76" s="18" t="n">
        <v>-2162.41</v>
      </c>
      <c r="P76" s="37" t="n">
        <v>-6401.44</v>
      </c>
      <c r="Q76" s="18" t="n">
        <v>2429.59</v>
      </c>
      <c r="R76" s="18" t="n">
        <v>128.28</v>
      </c>
      <c r="S76" s="18" t="n">
        <v>-3135.39</v>
      </c>
      <c r="T76" s="18" t="n">
        <v>-8180.82</v>
      </c>
      <c r="U76" s="37" t="n">
        <v>-8758.34</v>
      </c>
      <c r="V76" s="18" t="n">
        <v>1092.48</v>
      </c>
      <c r="W76" s="18" t="n">
        <v>-24700.05</v>
      </c>
      <c r="X76" s="18" t="n">
        <v>-17009.95</v>
      </c>
      <c r="Y76" s="18" t="n">
        <v>-11711.9</v>
      </c>
      <c r="Z76" s="37" t="n">
        <v>-52329.42</v>
      </c>
      <c r="AA76" s="18" t="n">
        <v>-893.03</v>
      </c>
      <c r="AB76" s="19" t="n">
        <v>41.03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계속사업이익</t>
        </is>
      </c>
      <c r="E77" s="18" t="n">
        <v>4876.18</v>
      </c>
      <c r="F77" s="9" t="n"/>
      <c r="G77" s="18" t="n">
        <v>-407.09</v>
      </c>
      <c r="H77" s="18" t="n">
        <v>3900.96</v>
      </c>
      <c r="I77" s="18" t="n">
        <v>784.36</v>
      </c>
      <c r="J77" s="18" t="n">
        <v>-4605.78</v>
      </c>
      <c r="K77" s="37" t="n">
        <v>-327.55</v>
      </c>
      <c r="L77" s="18" t="n">
        <v>-1446.78</v>
      </c>
      <c r="M77" s="18" t="n">
        <v>-2029.21</v>
      </c>
      <c r="N77" s="18" t="n">
        <v>-763.04</v>
      </c>
      <c r="O77" s="18" t="n">
        <v>-2162.41</v>
      </c>
      <c r="P77" s="37" t="n">
        <v>-6401.44</v>
      </c>
      <c r="Q77" s="18" t="n">
        <v>2429.59</v>
      </c>
      <c r="R77" s="18" t="n">
        <v>128.28</v>
      </c>
      <c r="S77" s="18" t="n">
        <v>-3135.39</v>
      </c>
      <c r="T77" s="18" t="n">
        <v>-8180.82</v>
      </c>
      <c r="U77" s="37" t="n">
        <v>-8758.34</v>
      </c>
      <c r="V77" s="18" t="n">
        <v>1092.48</v>
      </c>
      <c r="W77" s="18" t="n">
        <v>-24700.05</v>
      </c>
      <c r="X77" s="18" t="n">
        <v>-17009.95</v>
      </c>
      <c r="Y77" s="18" t="n">
        <v>-11711.9</v>
      </c>
      <c r="Z77" s="37" t="n">
        <v>-52329.42</v>
      </c>
      <c r="AA77" s="18" t="n">
        <v>-893.03</v>
      </c>
      <c r="AB77" s="19" t="n">
        <v>41.03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영업활동으로인한현금흐름</t>
        </is>
      </c>
      <c r="E78" s="18" t="n">
        <v>4900.6</v>
      </c>
      <c r="F78" s="9" t="n"/>
      <c r="G78" s="18" t="n">
        <v>-5472.87</v>
      </c>
      <c r="H78" s="18" t="n">
        <v>-3322.08</v>
      </c>
      <c r="I78" s="18" t="n">
        <v>-1267.58</v>
      </c>
      <c r="J78" s="18" t="n">
        <v>3315.95</v>
      </c>
      <c r="K78" s="37" t="n">
        <v>-6746.58</v>
      </c>
      <c r="L78" s="18" t="n">
        <v>1180.7</v>
      </c>
      <c r="M78" s="18" t="n">
        <v>6600.66</v>
      </c>
      <c r="N78" s="18" t="n">
        <v>13006.7</v>
      </c>
      <c r="O78" s="18" t="n">
        <v>-37.7</v>
      </c>
      <c r="P78" s="37" t="n">
        <v>20750.36</v>
      </c>
      <c r="Q78" s="18" t="n">
        <v>-3425.49</v>
      </c>
      <c r="R78" s="18" t="n">
        <v>4795.15</v>
      </c>
      <c r="S78" s="18" t="n">
        <v>2539.58</v>
      </c>
      <c r="T78" s="18" t="n">
        <v>5207.68</v>
      </c>
      <c r="U78" s="37" t="n">
        <v>9116.92</v>
      </c>
      <c r="V78" s="18" t="n">
        <v>2835.96</v>
      </c>
      <c r="W78" s="18" t="n">
        <v>18758.56</v>
      </c>
      <c r="X78" s="18" t="n">
        <v>1624.34</v>
      </c>
      <c r="Y78" s="18" t="n">
        <v>2569.1</v>
      </c>
      <c r="Z78" s="37" t="n">
        <v>25787.96</v>
      </c>
      <c r="AA78" s="18" t="n">
        <v>-11839.71</v>
      </c>
      <c r="AB78" s="19" t="n">
        <v>2101.74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이자수취(CF)</t>
        </is>
      </c>
      <c r="E79" s="18" t="n">
        <v>109.39</v>
      </c>
      <c r="F79" s="9" t="n"/>
      <c r="G79" s="18" t="n">
        <v>109.15</v>
      </c>
      <c r="H79" s="18" t="n">
        <v>114.35</v>
      </c>
      <c r="I79" s="18" t="n">
        <v>146.85</v>
      </c>
      <c r="J79" s="18" t="n">
        <v>141.81</v>
      </c>
      <c r="K79" s="37" t="n">
        <v>512.16</v>
      </c>
      <c r="L79" s="18" t="n">
        <v>146.61</v>
      </c>
      <c r="M79" s="18" t="n">
        <v>146.73</v>
      </c>
      <c r="N79" s="18" t="n">
        <v>376.91</v>
      </c>
      <c r="O79" s="18" t="n">
        <v>332.29</v>
      </c>
      <c r="P79" s="37" t="n">
        <v>1002.54</v>
      </c>
      <c r="Q79" s="18" t="n">
        <v>314.83</v>
      </c>
      <c r="R79" s="18" t="n">
        <v>-34.8</v>
      </c>
      <c r="S79" s="18" t="n">
        <v>98.08</v>
      </c>
      <c r="T79" s="18" t="n">
        <v>87.95</v>
      </c>
      <c r="U79" s="37" t="n">
        <v>466.06</v>
      </c>
      <c r="V79" s="18" t="n">
        <v>107.52</v>
      </c>
      <c r="W79" s="18" t="n">
        <v>107.02</v>
      </c>
      <c r="X79" s="18" t="n">
        <v>158.99</v>
      </c>
      <c r="Y79" s="18" t="n">
        <v>143.42</v>
      </c>
      <c r="Z79" s="37" t="n">
        <v>516.95</v>
      </c>
      <c r="AA79" s="18" t="n">
        <v>192.32</v>
      </c>
      <c r="AB79" s="19" t="n">
        <v>172.25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이자지급(CF)</t>
        </is>
      </c>
      <c r="E80" s="18" t="n">
        <v>-779.99</v>
      </c>
      <c r="F80" s="9" t="n"/>
      <c r="G80" s="18" t="n">
        <v>-730.54</v>
      </c>
      <c r="H80" s="18" t="n">
        <v>-833.22</v>
      </c>
      <c r="I80" s="18" t="n">
        <v>-1057.94</v>
      </c>
      <c r="J80" s="18" t="n">
        <v>-1281.96</v>
      </c>
      <c r="K80" s="37" t="n">
        <v>-3903.66</v>
      </c>
      <c r="L80" s="18" t="n">
        <v>-1390.36</v>
      </c>
      <c r="M80" s="18" t="n">
        <v>-1411.54</v>
      </c>
      <c r="P80" s="9" t="n"/>
      <c r="Q80" s="18" t="n">
        <v>-1465.9</v>
      </c>
      <c r="R80" s="18" t="n">
        <v>-1316.44</v>
      </c>
      <c r="S80" s="18" t="n">
        <v>-1254.77</v>
      </c>
      <c r="T80" s="18" t="n">
        <v>-1145.46</v>
      </c>
      <c r="U80" s="37" t="n">
        <v>-5182.57</v>
      </c>
      <c r="V80" s="18" t="n">
        <v>-1065.06</v>
      </c>
      <c r="W80" s="18" t="n">
        <v>-840.14</v>
      </c>
      <c r="X80" s="18" t="n">
        <v>-635.33</v>
      </c>
      <c r="Z80" s="9" t="n"/>
      <c r="AA80" s="18" t="n">
        <v>-502.51</v>
      </c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배당금수취(CF)</t>
        </is>
      </c>
      <c r="E81" s="18" t="n">
        <v>0</v>
      </c>
      <c r="F81" s="9" t="n"/>
      <c r="I81" s="18" t="n">
        <v>0</v>
      </c>
      <c r="J81" s="18" t="n">
        <v>0</v>
      </c>
      <c r="K81" s="9" t="n"/>
      <c r="N81" s="18" t="n">
        <v>0</v>
      </c>
      <c r="O81" s="18" t="n">
        <v>0</v>
      </c>
      <c r="P81" s="9" t="n"/>
      <c r="S81" s="18" t="n">
        <v>0</v>
      </c>
      <c r="T81" s="18" t="n">
        <v>0</v>
      </c>
      <c r="U81" s="9" t="n"/>
      <c r="X81" s="18" t="n">
        <v>0</v>
      </c>
      <c r="Y81" s="18" t="n">
        <v>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법인세납부(CF)</t>
        </is>
      </c>
      <c r="E82" s="18" t="n">
        <v>-22.38</v>
      </c>
      <c r="F82" s="9" t="n"/>
      <c r="G82" s="18" t="n">
        <v>-285.77</v>
      </c>
      <c r="H82" s="18" t="n">
        <v>-345.78</v>
      </c>
      <c r="I82" s="18" t="n">
        <v>-294.09</v>
      </c>
      <c r="J82" s="18" t="n">
        <v>-25.08</v>
      </c>
      <c r="K82" s="37" t="n">
        <v>-950.72</v>
      </c>
      <c r="L82" s="18" t="n">
        <v>-674.7</v>
      </c>
      <c r="M82" s="18" t="n">
        <v>-387.04</v>
      </c>
      <c r="N82" s="18" t="n">
        <v>-37.61</v>
      </c>
      <c r="O82" s="18" t="n">
        <v>-20.09</v>
      </c>
      <c r="P82" s="37" t="n">
        <v>-1119.44</v>
      </c>
      <c r="Q82" s="18" t="n">
        <v>-12.53</v>
      </c>
      <c r="R82" s="18" t="n">
        <v>-16.33</v>
      </c>
      <c r="S82" s="18" t="n">
        <v>-5.25</v>
      </c>
      <c r="T82" s="18" t="n">
        <v>-2.34</v>
      </c>
      <c r="U82" s="37" t="n">
        <v>-36.45</v>
      </c>
      <c r="V82" s="18" t="n">
        <v>-111.83</v>
      </c>
      <c r="W82" s="18" t="n">
        <v>-135.02</v>
      </c>
      <c r="X82" s="18" t="n">
        <v>-20.24</v>
      </c>
      <c r="Y82" s="18" t="n">
        <v>-19.67</v>
      </c>
      <c r="Z82" s="37" t="n">
        <v>-286.76</v>
      </c>
      <c r="AA82" s="18" t="n">
        <v>11.91</v>
      </c>
      <c r="AB82" s="19" t="n">
        <v>-31.57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투자활동으로인한현금흐름</t>
        </is>
      </c>
      <c r="E83" s="18" t="n">
        <v>-923.7</v>
      </c>
      <c r="F83" s="9" t="n"/>
      <c r="G83" s="18" t="n">
        <v>-1419.38</v>
      </c>
      <c r="H83" s="18" t="n">
        <v>676.73</v>
      </c>
      <c r="I83" s="18" t="n">
        <v>-2235.12</v>
      </c>
      <c r="J83" s="18" t="n">
        <v>1257.76</v>
      </c>
      <c r="K83" s="37" t="n">
        <v>-1720.01</v>
      </c>
      <c r="L83" s="18" t="n">
        <v>3779.28</v>
      </c>
      <c r="M83" s="18" t="n">
        <v>-571.1799999999999</v>
      </c>
      <c r="N83" s="18" t="n">
        <v>-2267.87</v>
      </c>
      <c r="O83" s="18" t="n">
        <v>10141.98</v>
      </c>
      <c r="P83" s="37" t="n">
        <v>11082.21</v>
      </c>
      <c r="Q83" s="18" t="n">
        <v>3809.92</v>
      </c>
      <c r="R83" s="18" t="n">
        <v>-1718.38</v>
      </c>
      <c r="S83" s="18" t="n">
        <v>759.61</v>
      </c>
      <c r="T83" s="18" t="n">
        <v>-496.83</v>
      </c>
      <c r="U83" s="37" t="n">
        <v>2354.32</v>
      </c>
      <c r="V83" s="18" t="n">
        <v>9038.969999999999</v>
      </c>
      <c r="W83" s="18" t="n">
        <v>-4673.52</v>
      </c>
      <c r="X83" s="18" t="n">
        <v>1709</v>
      </c>
      <c r="Y83" s="18" t="n">
        <v>-1942.66</v>
      </c>
      <c r="Z83" s="37" t="n">
        <v>4131.79</v>
      </c>
      <c r="AA83" s="18" t="n">
        <v>11485.82</v>
      </c>
      <c r="AB83" s="19" t="n">
        <v>-68.66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유형자산의증가</t>
        </is>
      </c>
      <c r="E84" s="18" t="n">
        <v>978.84</v>
      </c>
      <c r="F84" s="9" t="n"/>
      <c r="G84" s="18" t="n">
        <v>209.25</v>
      </c>
      <c r="H84" s="18" t="n">
        <v>528.96</v>
      </c>
      <c r="I84" s="18" t="n">
        <v>659.55</v>
      </c>
      <c r="J84" s="18" t="n">
        <v>730.92</v>
      </c>
      <c r="K84" s="37" t="n">
        <v>2128.68</v>
      </c>
      <c r="L84" s="18" t="n">
        <v>635.15</v>
      </c>
      <c r="M84" s="18" t="n">
        <v>1209.09</v>
      </c>
      <c r="N84" s="18" t="n">
        <v>2217.01</v>
      </c>
      <c r="O84" s="18" t="n">
        <v>783.8099999999999</v>
      </c>
      <c r="P84" s="37" t="n">
        <v>4845.06</v>
      </c>
      <c r="Q84" s="18" t="n">
        <v>595.59</v>
      </c>
      <c r="R84" s="18" t="n">
        <v>206.33</v>
      </c>
      <c r="S84" s="18" t="n">
        <v>308.53</v>
      </c>
      <c r="T84" s="18" t="n">
        <v>415.98</v>
      </c>
      <c r="U84" s="37" t="n">
        <v>1526.43</v>
      </c>
      <c r="V84" s="18" t="n">
        <v>11.14</v>
      </c>
      <c r="W84" s="18" t="n">
        <v>663.52</v>
      </c>
      <c r="X84" s="18" t="n">
        <v>528.62</v>
      </c>
      <c r="Y84" s="18" t="n">
        <v>1448.69</v>
      </c>
      <c r="Z84" s="37" t="n">
        <v>2651.97</v>
      </c>
      <c r="AA84" s="18" t="n">
        <v>232.58</v>
      </c>
      <c r="AB84" s="19" t="n">
        <v>106.3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CAPEX</t>
        </is>
      </c>
      <c r="E85" s="18" t="n">
        <v>978.84</v>
      </c>
      <c r="F85" s="9" t="n"/>
      <c r="G85" s="18" t="n">
        <v>209.25</v>
      </c>
      <c r="H85" s="18" t="n">
        <v>528.96</v>
      </c>
      <c r="I85" s="18" t="n">
        <v>659.55</v>
      </c>
      <c r="J85" s="18" t="n">
        <v>730.92</v>
      </c>
      <c r="K85" s="37" t="n">
        <v>2128.68</v>
      </c>
      <c r="L85" s="18" t="n">
        <v>635.15</v>
      </c>
      <c r="M85" s="18" t="n">
        <v>1209.09</v>
      </c>
      <c r="N85" s="18" t="n">
        <v>2217.01</v>
      </c>
      <c r="O85" s="18" t="n">
        <v>783.8099999999999</v>
      </c>
      <c r="P85" s="37" t="n">
        <v>4845.06</v>
      </c>
      <c r="Q85" s="18" t="n">
        <v>595.59</v>
      </c>
      <c r="R85" s="18" t="n">
        <v>206.33</v>
      </c>
      <c r="S85" s="18" t="n">
        <v>308.53</v>
      </c>
      <c r="T85" s="18" t="n">
        <v>415.98</v>
      </c>
      <c r="U85" s="37" t="n">
        <v>1526.43</v>
      </c>
      <c r="V85" s="18" t="n">
        <v>11.14</v>
      </c>
      <c r="W85" s="18" t="n">
        <v>663.52</v>
      </c>
      <c r="X85" s="18" t="n">
        <v>528.62</v>
      </c>
      <c r="Y85" s="18" t="n">
        <v>1448.69</v>
      </c>
      <c r="Z85" s="37" t="n">
        <v>2651.97</v>
      </c>
      <c r="AA85" s="18" t="n">
        <v>232.58</v>
      </c>
      <c r="AB85" s="19" t="n">
        <v>106.3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유형자산의감소</t>
        </is>
      </c>
      <c r="E86" s="18" t="n">
        <v>0.7</v>
      </c>
      <c r="F86" s="9" t="n"/>
      <c r="G86" s="18" t="n">
        <v>261.82</v>
      </c>
      <c r="H86" s="18" t="n">
        <v>224.2</v>
      </c>
      <c r="I86" s="18" t="n">
        <v>13.63</v>
      </c>
      <c r="J86" s="18" t="n">
        <v>29.63</v>
      </c>
      <c r="K86" s="37" t="n">
        <v>529.28</v>
      </c>
      <c r="L86" s="18" t="n">
        <v>17.01</v>
      </c>
      <c r="M86" s="18" t="n">
        <v>350.82</v>
      </c>
      <c r="N86" s="18" t="n">
        <v>16.64</v>
      </c>
      <c r="O86" s="18" t="n">
        <v>2855.29</v>
      </c>
      <c r="P86" s="37" t="n">
        <v>3239.76</v>
      </c>
      <c r="Q86" s="18" t="n">
        <v>4.55</v>
      </c>
      <c r="R86" s="18" t="n">
        <v>0</v>
      </c>
      <c r="S86" s="18" t="n">
        <v>4.73</v>
      </c>
      <c r="T86" s="18" t="n">
        <v>0</v>
      </c>
      <c r="U86" s="37" t="n">
        <v>9.279999999999999</v>
      </c>
      <c r="V86" s="18" t="n">
        <v>143.34</v>
      </c>
      <c r="W86" s="18" t="n">
        <v>0</v>
      </c>
      <c r="X86" s="18" t="n">
        <v>2234.36</v>
      </c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재무활동으로인한현금흐름</t>
        </is>
      </c>
      <c r="E87" s="18" t="n">
        <v>-7433.52</v>
      </c>
      <c r="F87" s="9" t="n"/>
      <c r="G87" s="18" t="n">
        <v>10581.18</v>
      </c>
      <c r="H87" s="18" t="n">
        <v>1275.86</v>
      </c>
      <c r="I87" s="18" t="n">
        <v>1170.91</v>
      </c>
      <c r="J87" s="18" t="n">
        <v>-947.83</v>
      </c>
      <c r="K87" s="37" t="n">
        <v>12080.12</v>
      </c>
      <c r="L87" s="18" t="n">
        <v>-6963.68</v>
      </c>
      <c r="M87" s="18" t="n">
        <v>-2511.58</v>
      </c>
      <c r="N87" s="18" t="n">
        <v>-12338.83</v>
      </c>
      <c r="O87" s="18" t="n">
        <v>-10182.59</v>
      </c>
      <c r="P87" s="37" t="n">
        <v>-31996.68</v>
      </c>
      <c r="Q87" s="18" t="n">
        <v>870.2</v>
      </c>
      <c r="R87" s="18" t="n">
        <v>-7508.03</v>
      </c>
      <c r="S87" s="18" t="n">
        <v>-4327.04</v>
      </c>
      <c r="T87" s="18" t="n">
        <v>-1764.65</v>
      </c>
      <c r="U87" s="37" t="n">
        <v>-12729.52</v>
      </c>
      <c r="V87" s="18" t="n">
        <v>-8829.4</v>
      </c>
      <c r="W87" s="18" t="n">
        <v>-15955.95</v>
      </c>
      <c r="X87" s="18" t="n">
        <v>-3717.59</v>
      </c>
      <c r="Y87" s="18" t="n">
        <v>23.73</v>
      </c>
      <c r="Z87" s="37" t="n">
        <v>-28479.21</v>
      </c>
      <c r="AA87" s="18" t="n">
        <v>-3065.49</v>
      </c>
      <c r="AB87" s="19" t="n">
        <v>-2628.08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단기차입금의증가</t>
        </is>
      </c>
      <c r="E88" s="18" t="n">
        <v>19363.18</v>
      </c>
      <c r="F88" s="9" t="n"/>
      <c r="G88" s="18" t="n">
        <v>28319.17</v>
      </c>
      <c r="H88" s="18" t="n">
        <v>30135.12</v>
      </c>
      <c r="I88" s="18" t="n">
        <v>40081.76</v>
      </c>
      <c r="J88" s="18" t="n">
        <v>24856.99</v>
      </c>
      <c r="K88" s="37" t="n">
        <v>123393.04</v>
      </c>
      <c r="L88" s="18" t="n">
        <v>35583.45</v>
      </c>
      <c r="M88" s="18" t="n">
        <v>31812.81</v>
      </c>
      <c r="N88" s="18" t="n">
        <v>33491.87</v>
      </c>
      <c r="P88" s="9" t="n"/>
      <c r="Q88" s="18" t="n">
        <v>46519.49</v>
      </c>
      <c r="R88" s="18" t="n">
        <v>25903.68</v>
      </c>
      <c r="S88" s="18" t="n">
        <v>25150.09</v>
      </c>
      <c r="T88" s="18" t="n">
        <v>9197.84</v>
      </c>
      <c r="U88" s="37" t="n">
        <v>106771.1</v>
      </c>
      <c r="V88" s="18" t="n">
        <v>31081.56</v>
      </c>
      <c r="W88" s="18" t="n">
        <v>15595.48</v>
      </c>
      <c r="X88" s="18" t="n">
        <v>15708.1</v>
      </c>
      <c r="Y88" s="18" t="n">
        <v>7635.39</v>
      </c>
      <c r="Z88" s="37" t="n">
        <v>70020.53</v>
      </c>
      <c r="AA88" s="18" t="n">
        <v>12999.17</v>
      </c>
      <c r="AB88" s="19" t="n">
        <v>13837.93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장기차입금의증가</t>
        </is>
      </c>
      <c r="E89" s="18" t="n">
        <v>0</v>
      </c>
      <c r="F89" s="9" t="n"/>
      <c r="J89" s="18" t="n">
        <v>0</v>
      </c>
      <c r="K89" s="9" t="n"/>
      <c r="P89" s="9" t="n"/>
      <c r="U89" s="9" t="n"/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단기차입금의감소</t>
        </is>
      </c>
      <c r="E90" s="18" t="n">
        <v>26745.67</v>
      </c>
      <c r="F90" s="9" t="n"/>
      <c r="G90" s="18" t="n">
        <v>24658.3</v>
      </c>
      <c r="H90" s="18" t="n">
        <v>26714.51</v>
      </c>
      <c r="I90" s="18" t="n">
        <v>43832.7</v>
      </c>
      <c r="J90" s="18" t="n">
        <v>22903.23</v>
      </c>
      <c r="K90" s="37" t="n">
        <v>118108.74</v>
      </c>
      <c r="L90" s="18" t="n">
        <v>42030.63</v>
      </c>
      <c r="M90" s="18" t="n">
        <v>31731.94</v>
      </c>
      <c r="N90" s="18" t="n">
        <v>35924.98</v>
      </c>
      <c r="P90" s="9" t="n"/>
      <c r="Q90" s="18" t="n">
        <v>43754.12</v>
      </c>
      <c r="R90" s="18" t="n">
        <v>30871.37</v>
      </c>
      <c r="S90" s="18" t="n">
        <v>28290</v>
      </c>
      <c r="T90" s="18" t="n">
        <v>10844.38</v>
      </c>
      <c r="U90" s="37" t="n">
        <v>113759.87</v>
      </c>
      <c r="V90" s="18" t="n">
        <v>39802.82</v>
      </c>
      <c r="W90" s="18" t="n">
        <v>31282</v>
      </c>
      <c r="X90" s="18" t="n">
        <v>19260.24</v>
      </c>
      <c r="Y90" s="18" t="n">
        <v>13655.29</v>
      </c>
      <c r="Z90" s="37" t="n">
        <v>104000.35</v>
      </c>
      <c r="AA90" s="18" t="n">
        <v>15926.44</v>
      </c>
      <c r="AB90" s="19" t="n">
        <v>16340.91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리스부채의상환</t>
        </is>
      </c>
      <c r="E91" s="18" t="n">
        <v>67.53</v>
      </c>
      <c r="F91" s="9" t="n"/>
      <c r="G91" s="18" t="n">
        <v>79.68000000000001</v>
      </c>
      <c r="H91" s="18" t="n">
        <v>193.26</v>
      </c>
      <c r="I91" s="18" t="n">
        <v>78.13</v>
      </c>
      <c r="J91" s="18" t="n">
        <v>87.63</v>
      </c>
      <c r="K91" s="37" t="n">
        <v>438.7</v>
      </c>
      <c r="L91" s="18" t="n">
        <v>79.19</v>
      </c>
      <c r="M91" s="18" t="n">
        <v>204.07</v>
      </c>
      <c r="N91" s="18" t="n">
        <v>89.26000000000001</v>
      </c>
      <c r="O91" s="18" t="n">
        <v>110.96</v>
      </c>
      <c r="P91" s="37" t="n">
        <v>483.48</v>
      </c>
      <c r="Q91" s="18" t="n">
        <v>99.03</v>
      </c>
      <c r="R91" s="18" t="n">
        <v>235.55</v>
      </c>
      <c r="S91" s="18" t="n">
        <v>132.45</v>
      </c>
      <c r="T91" s="18" t="n">
        <v>118.11</v>
      </c>
      <c r="U91" s="37" t="n">
        <v>585.14</v>
      </c>
      <c r="V91" s="18" t="n">
        <v>108.14</v>
      </c>
      <c r="W91" s="18" t="n">
        <v>269.42</v>
      </c>
      <c r="X91" s="18" t="n">
        <v>139.88</v>
      </c>
      <c r="Y91" s="18" t="n">
        <v>152.37</v>
      </c>
      <c r="Z91" s="37" t="n">
        <v>669.8099999999999</v>
      </c>
      <c r="AA91" s="18" t="n">
        <v>138.21</v>
      </c>
      <c r="AB91" s="19" t="n">
        <v>125.11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배당금지급</t>
        </is>
      </c>
      <c r="E92" s="18" t="n">
        <v>0</v>
      </c>
      <c r="F92" s="9" t="n"/>
      <c r="K92" s="9" t="n"/>
      <c r="P92" s="9" t="n"/>
      <c r="U92" s="9" t="n"/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현금및현금성자산의증감</t>
        </is>
      </c>
      <c r="E93" s="18" t="n">
        <v>-3456.61</v>
      </c>
      <c r="F93" s="9" t="n"/>
      <c r="G93" s="18" t="n">
        <v>3688.93</v>
      </c>
      <c r="H93" s="18" t="n">
        <v>-1369.49</v>
      </c>
      <c r="I93" s="18" t="n">
        <v>-2331.79</v>
      </c>
      <c r="J93" s="18" t="n">
        <v>3625.88</v>
      </c>
      <c r="K93" s="37" t="n">
        <v>3613.53</v>
      </c>
      <c r="L93" s="18" t="n">
        <v>-2003.71</v>
      </c>
      <c r="M93" s="18" t="n">
        <v>3517.91</v>
      </c>
      <c r="N93" s="18" t="n">
        <v>-1599.99</v>
      </c>
      <c r="O93" s="18" t="n">
        <v>-78.31999999999999</v>
      </c>
      <c r="P93" s="37" t="n">
        <v>-164.11</v>
      </c>
      <c r="Q93" s="18" t="n">
        <v>1254.63</v>
      </c>
      <c r="R93" s="18" t="n">
        <v>-4431.26</v>
      </c>
      <c r="S93" s="18" t="n">
        <v>-1027.85</v>
      </c>
      <c r="T93" s="18" t="n">
        <v>2946.2</v>
      </c>
      <c r="U93" s="37" t="n">
        <v>-1258.28</v>
      </c>
      <c r="V93" s="18" t="n">
        <v>3045.54</v>
      </c>
      <c r="W93" s="18" t="n">
        <v>-1870.92</v>
      </c>
      <c r="X93" s="18" t="n">
        <v>-384.24</v>
      </c>
      <c r="Y93" s="18" t="n">
        <v>650.16</v>
      </c>
      <c r="Z93" s="37" t="n">
        <v>1440.54</v>
      </c>
      <c r="AA93" s="18" t="n">
        <v>-3419.38</v>
      </c>
      <c r="AB93" s="19" t="n">
        <v>-595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기말현금및현금성자산</t>
        </is>
      </c>
      <c r="E94" s="18" t="n">
        <v>-3492.36</v>
      </c>
      <c r="F94" s="9" t="n"/>
      <c r="G94" s="18" t="n">
        <v>7012.23</v>
      </c>
      <c r="H94" s="18" t="n">
        <v>-1324.48</v>
      </c>
      <c r="I94" s="18" t="n">
        <v>-2336.12</v>
      </c>
      <c r="J94" s="18" t="n">
        <v>3493.77</v>
      </c>
      <c r="K94" s="37" t="n">
        <v>6845.4</v>
      </c>
      <c r="L94" s="18" t="n">
        <v>4845.63</v>
      </c>
      <c r="M94" s="18" t="n">
        <v>3585.91</v>
      </c>
      <c r="N94" s="18" t="n">
        <v>-1664.59</v>
      </c>
      <c r="O94" s="18" t="n">
        <v>-120.96</v>
      </c>
      <c r="P94" s="37" t="n">
        <v>6645.99</v>
      </c>
      <c r="Q94" s="18" t="n">
        <v>6439.27</v>
      </c>
      <c r="R94" s="18" t="n">
        <v>-2961.72</v>
      </c>
      <c r="S94" s="18" t="n">
        <v>-1046.45</v>
      </c>
      <c r="T94" s="18" t="n">
        <v>3018.53</v>
      </c>
      <c r="U94" s="37" t="n">
        <v>5449.63</v>
      </c>
      <c r="V94" s="18" t="n">
        <v>8557.639999999999</v>
      </c>
      <c r="W94" s="18" t="n">
        <v>-1999.02</v>
      </c>
      <c r="X94" s="18" t="n">
        <v>-292.43</v>
      </c>
      <c r="Y94" s="18" t="n">
        <v>533.27</v>
      </c>
      <c r="Z94" s="37" t="n">
        <v>6799.46</v>
      </c>
      <c r="AA94" s="18" t="n">
        <v>3460.11</v>
      </c>
      <c r="AB94" s="19" t="n">
        <v>-674.92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자기주식의취득</t>
        </is>
      </c>
      <c r="F95" s="9" t="n"/>
      <c r="K95" s="9" t="n"/>
      <c r="P95" s="9" t="n"/>
      <c r="Q95" s="18" t="n">
        <v>753.65</v>
      </c>
      <c r="R95" s="18" t="n">
        <v>0</v>
      </c>
      <c r="S95" s="18" t="n">
        <v>0</v>
      </c>
      <c r="T95" s="18" t="n">
        <v>0</v>
      </c>
      <c r="U95" s="37" t="n">
        <v>753.65</v>
      </c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SUM(V8:Y8)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SUM(Q11:T11)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>
        <f>IFERROR(VLOOKUP($D12,BS연결,MATCH(AB$1,BS연결H,0),0)/100,"")</f>
        <v/>
      </c>
      <c r="AC12" s="20">
        <f>IFERROR((AB29*변수!$D$55-AB27*변수!$D$56)/4,"")</f>
        <v/>
      </c>
      <c r="AD12" s="20">
        <f>IFERROR((AC29*변수!$D$55-AC27*변수!$D$56)/4,"")</f>
        <v/>
      </c>
      <c r="AE12" s="38">
        <f>SUM(AA12:AD12)</f>
        <v/>
      </c>
      <c r="AF12" s="20">
        <f>IFERROR((AD29*변수!$D$55-AD27*변수!$D$56)/4,"")</f>
        <v/>
      </c>
      <c r="AG12" s="20">
        <f>IFERROR((AF29*변수!$D$55-AF27*변수!$D$56)/4,"")</f>
        <v/>
      </c>
      <c r="AH12" s="20">
        <f>IFERROR((AG29*변수!$D$55-AG27*변수!$D$56)/4,"")</f>
        <v/>
      </c>
      <c r="AI12" s="20">
        <f>IFERROR((AH29*변수!$D$55-AH27*변수!$D$56)/4,"")</f>
        <v/>
      </c>
      <c r="AJ12" s="38">
        <f>SUM(AF12:AI12)</f>
        <v/>
      </c>
      <c r="AK12" s="20">
        <f>IFERROR((AI29*변수!$D$55-AI27*변수!$D$56)/4,"")</f>
        <v/>
      </c>
      <c r="AL12" s="20">
        <f>IFERROR((AK29*변수!$D$55-AK27*변수!$D$56)/4,"")</f>
        <v/>
      </c>
      <c r="AM12" s="20">
        <f>IFERROR((AL29*변수!$D$55-AL27*변수!$D$56)/4,"")</f>
        <v/>
      </c>
      <c r="AN12" s="20">
        <f>IFERROR((AM29*변수!$D$55-AM27*변수!$D$56)/4,"")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 t="n"/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 t="n"/>
      <c r="W14" s="18" t="n"/>
      <c r="X14" s="18" t="n"/>
      <c r="Y14" s="18" t="n"/>
      <c r="Z14" s="37">
        <f>SUM(V14:Y14)</f>
        <v/>
      </c>
      <c r="AA14" s="18" t="n"/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SUM(G16:J16)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 t="n"/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 t="n"/>
      <c r="Z17" s="37">
        <f>SUM(V17:Y17)</f>
        <v/>
      </c>
      <c r="AA17" s="18">
        <f>IFERROR(VLOOKUP($D17,BS연결,MATCH(AA$1,BS연결H,0),0)/100,"")</f>
        <v/>
      </c>
      <c r="AB17" s="19" t="n"/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IFERROR(AC18*변수!AC29,"")</f>
        <v/>
      </c>
      <c r="AD19" s="20">
        <f>IFERROR(AD18*변수!AD29,"")</f>
        <v/>
      </c>
      <c r="AE19" s="38">
        <f>SUM(AA19:AD19)</f>
        <v/>
      </c>
      <c r="AF19" s="20">
        <f>IFERROR(AF18*변수!AF29,"")</f>
        <v/>
      </c>
      <c r="AG19" s="20">
        <f>IFERROR(AG18*변수!AG29,"")</f>
        <v/>
      </c>
      <c r="AH19" s="20">
        <f>IFERROR(AH18*변수!AH29,"")</f>
        <v/>
      </c>
      <c r="AI19" s="20">
        <f>IFERROR(AI18*변수!AI29,"")</f>
        <v/>
      </c>
      <c r="AJ19" s="38">
        <f>SUM(AF19:AI19)</f>
        <v/>
      </c>
      <c r="AK19" s="20">
        <f>IFERROR(AK18*변수!AK29,"")</f>
        <v/>
      </c>
      <c r="AL19" s="20">
        <f>IFERROR(AL18*변수!AL29,"")</f>
        <v/>
      </c>
      <c r="AM19" s="20">
        <f>IFERROR(AM18*변수!AM29,"")</f>
        <v/>
      </c>
      <c r="AN19" s="20">
        <f>IFERROR(AN18*변수!AN29,"")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중단사업이익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중단사업이익</t>
        </is>
      </c>
      <c r="E22" s="18">
        <f>IFERROR(VLOOKUP($D22,BS연결,MATCH(E$1,BS연결H,0),0)/100,"")</f>
        <v/>
      </c>
      <c r="F22" s="37" t="n"/>
      <c r="G22" s="18" t="n"/>
      <c r="H22" s="18" t="n"/>
      <c r="I22" s="18" t="n"/>
      <c r="J22" s="18" t="n"/>
      <c r="K22" s="37">
        <f>SUM(G22:J22)</f>
        <v/>
      </c>
      <c r="L22" s="18" t="n"/>
      <c r="M22" s="18" t="n"/>
      <c r="N22" s="18" t="n"/>
      <c r="O22" s="18" t="n"/>
      <c r="P22" s="37">
        <f>SUM(L22:O22)</f>
        <v/>
      </c>
      <c r="Q22" s="18" t="n"/>
      <c r="R22" s="18" t="n"/>
      <c r="S22" s="18" t="n"/>
      <c r="T22" s="18">
        <f>IFERROR(VLOOKUP($D22,BS연결,MATCH(T$1,BS연결H,0),0)/100,"")</f>
        <v/>
      </c>
      <c r="U22" s="37">
        <f>SUM(Q22:T22)</f>
        <v/>
      </c>
      <c r="V22" s="18">
        <f>IFERROR(VLOOKUP($D22,BS연결,MATCH(V$1,BS연결H,0),0)/100,"")</f>
        <v/>
      </c>
      <c r="W22" s="18" t="n"/>
      <c r="X22" s="18" t="n"/>
      <c r="Y22" s="18">
        <f>IFERROR(VLOOKUP($D22,BS연결,MATCH(Y$1,BS연결H,0),0)/100,"")</f>
        <v/>
      </c>
      <c r="Z22" s="37">
        <f>SUM(V22:Y22)</f>
        <v/>
      </c>
      <c r="AA22" s="18" t="n"/>
      <c r="AB22" s="19" t="n"/>
      <c r="AC22" s="20" t="n"/>
      <c r="AD22" s="20" t="n"/>
      <c r="AE22" s="38">
        <f>SUM(AA22:AD22)</f>
        <v/>
      </c>
      <c r="AF22" s="20" t="n"/>
      <c r="AG22" s="20" t="n"/>
      <c r="AH22" s="20" t="n"/>
      <c r="AI22" s="20" t="n"/>
      <c r="AJ22" s="38">
        <f>SUM(AF22:AI22)</f>
        <v/>
      </c>
      <c r="AK22" s="20" t="n"/>
      <c r="AL22" s="20" t="n"/>
      <c r="AM22" s="20" t="n"/>
      <c r="AN22" s="20" t="n"/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IFERROR(AB26+AC21-변수!AC34,"")</f>
        <v/>
      </c>
      <c r="AD26" s="20">
        <f>IFERROR(AC26+AD21-변수!AD34,"")</f>
        <v/>
      </c>
      <c r="AE26" s="38">
        <f>AD26</f>
        <v/>
      </c>
      <c r="AF26" s="20">
        <f>IFERROR(AD26+AF21-변수!AF34,"")</f>
        <v/>
      </c>
      <c r="AG26" s="20">
        <f>IFERROR(AF26+AG21-변수!AG34,"")</f>
        <v/>
      </c>
      <c r="AH26" s="20">
        <f>IFERROR(AG26+AH21-변수!AH34,"")</f>
        <v/>
      </c>
      <c r="AI26" s="20">
        <f>IFERROR(AH26+AI21-변수!AI34,"")</f>
        <v/>
      </c>
      <c r="AJ26" s="38">
        <f>AI26</f>
        <v/>
      </c>
      <c r="AK26" s="20">
        <f>IFERROR(AI26+AK21-변수!AK34,"")</f>
        <v/>
      </c>
      <c r="AL26" s="20">
        <f>IFERROR(AK26+AL21-변수!AL34,"")</f>
        <v/>
      </c>
      <c r="AM26" s="20">
        <f>IFERROR(AL26+AM21-변수!AM34,"")</f>
        <v/>
      </c>
      <c r="AN26" s="20">
        <f>IFERROR(AM26+AN21-변수!AN34,"")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IFERROR(AB29*(1+변수!AC37),"")</f>
        <v/>
      </c>
      <c r="AD29" s="20">
        <f>IFERROR(AC29*(1+변수!AD37),"")</f>
        <v/>
      </c>
      <c r="AE29" s="38">
        <f>AD29</f>
        <v/>
      </c>
      <c r="AF29" s="20">
        <f>IFERROR(AD29*(1+변수!AF37),"")</f>
        <v/>
      </c>
      <c r="AG29" s="20">
        <f>IFERROR(AF29*(1+변수!AG37),"")</f>
        <v/>
      </c>
      <c r="AH29" s="20">
        <f>IFERROR(AG29*(1+변수!AH37),"")</f>
        <v/>
      </c>
      <c r="AI29" s="20">
        <f>IFERROR(AH29*(1+변수!AI37),"")</f>
        <v/>
      </c>
      <c r="AJ29" s="38">
        <f>AI29</f>
        <v/>
      </c>
      <c r="AK29" s="20">
        <f>IFERROR(AI29*(1+변수!AK37),"")</f>
        <v/>
      </c>
      <c r="AL29" s="20">
        <f>IFERROR(AK29*(1+변수!AL37),"")</f>
        <v/>
      </c>
      <c r="AM29" s="20">
        <f>IFERROR(AL29*(1+변수!AM37),"")</f>
        <v/>
      </c>
      <c r="AN29" s="20">
        <f>IFERROR(AM29*(1+변수!AN37),"")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IFERROR(X31*(1+변수!AC39),"")</f>
        <v/>
      </c>
      <c r="AD31" s="20">
        <f>IFERROR(Y31*(1+변수!AD39),"")</f>
        <v/>
      </c>
      <c r="AE31" s="38">
        <f>SUM(AA31:AD31)</f>
        <v/>
      </c>
      <c r="AF31" s="20">
        <f>IFERROR(AA31*(1+변수!AF39),"")</f>
        <v/>
      </c>
      <c r="AG31" s="20">
        <f>IFERROR(AB31*(1+변수!AG39),"")</f>
        <v/>
      </c>
      <c r="AH31" s="20">
        <f>IFERROR(AC31*(1+변수!AH39),"")</f>
        <v/>
      </c>
      <c r="AI31" s="20">
        <f>IFERROR(AD31*(1+변수!AI39),"")</f>
        <v/>
      </c>
      <c r="AJ31" s="38">
        <f>SUM(AF31:AI31)</f>
        <v/>
      </c>
      <c r="AK31" s="20">
        <f>IFERROR(AF31*(1+변수!AK39),"")</f>
        <v/>
      </c>
      <c r="AL31" s="20">
        <f>IFERROR(AG31*(1+변수!AL39),"")</f>
        <v/>
      </c>
      <c r="AM31" s="20">
        <f>IFERROR(AH31*(1+변수!AM39),"")</f>
        <v/>
      </c>
      <c r="AN31" s="20">
        <f>IFERROR(AI31*(1+변수!AN39),"")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32" t="n">
        <v>13.9003692</v>
      </c>
      <c r="F33" s="28">
        <f>E33</f>
        <v/>
      </c>
      <c r="G33" s="32" t="n">
        <v>13.9003692</v>
      </c>
      <c r="H33" s="32" t="n">
        <v>13.9003692</v>
      </c>
      <c r="I33" s="32" t="n">
        <v>13.9003692</v>
      </c>
      <c r="J33" s="32" t="n">
        <v>13.9003692</v>
      </c>
      <c r="K33" s="28">
        <f>J33</f>
        <v/>
      </c>
      <c r="L33" s="32" t="n">
        <v>13.9003692</v>
      </c>
      <c r="M33" s="32" t="n">
        <v>13.9003692</v>
      </c>
      <c r="N33" s="32" t="n">
        <v>13.9003692</v>
      </c>
      <c r="O33" s="32" t="n">
        <v>13.9003692</v>
      </c>
      <c r="P33" s="28">
        <f>O33</f>
        <v/>
      </c>
      <c r="Q33" s="32" t="n">
        <v>13.9003692</v>
      </c>
      <c r="R33" s="32" t="n">
        <v>13.6340606</v>
      </c>
      <c r="S33" s="32" t="n">
        <v>13.6340606</v>
      </c>
      <c r="T33" s="32" t="n">
        <v>13.6340606</v>
      </c>
      <c r="U33" s="28">
        <f>T33</f>
        <v/>
      </c>
      <c r="V33" s="32" t="n">
        <v>13.6340606</v>
      </c>
      <c r="W33" s="32" t="n">
        <v>13.6340606</v>
      </c>
      <c r="X33" s="32" t="n">
        <v>13.6340606</v>
      </c>
      <c r="Y33" s="32" t="n">
        <v>13.6207034</v>
      </c>
      <c r="Z33" s="28">
        <f>Y33</f>
        <v/>
      </c>
      <c r="AA33" s="32" t="n">
        <v>13.6207034</v>
      </c>
      <c r="AB33" s="29" t="n">
        <v>14.008</v>
      </c>
      <c r="AC33" s="32">
        <f>IFERROR(AB33*(1+변수!AC41),"")</f>
        <v/>
      </c>
      <c r="AD33" s="32">
        <f>IFERROR(AC33*(1+변수!AD41),"")</f>
        <v/>
      </c>
      <c r="AE33" s="31">
        <f>AD33</f>
        <v/>
      </c>
      <c r="AF33" s="32">
        <f>IFERROR(AD33*(1+변수!AF41),"")</f>
        <v/>
      </c>
      <c r="AG33" s="32">
        <f>IFERROR(AF33*(1+변수!AG41),"")</f>
        <v/>
      </c>
      <c r="AH33" s="32">
        <f>IFERROR(AG33*(1+변수!AH41),"")</f>
        <v/>
      </c>
      <c r="AI33" s="32">
        <f>IFERROR(AH33*(1+변수!AI41),"")</f>
        <v/>
      </c>
      <c r="AJ33" s="31">
        <f>AI33</f>
        <v/>
      </c>
      <c r="AK33" s="32">
        <f>IFERROR(AI33*(1+변수!AK41),"")</f>
        <v/>
      </c>
      <c r="AL33" s="32">
        <f>IFERROR(AK33*(1+변수!AL41),"")</f>
        <v/>
      </c>
      <c r="AM33" s="32">
        <f>IFERROR(AL33*(1+변수!AM41),"")</f>
        <v/>
      </c>
      <c r="AN33" s="32">
        <f>IFERROR(AM33*(1+변수!AN41),"")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IFERROR(E21*100/E33,"")</f>
        <v/>
      </c>
      <c r="F34" s="37" t="n"/>
      <c r="G34" s="18">
        <f>IFERROR(G21*100/G33,"")</f>
        <v/>
      </c>
      <c r="H34" s="18">
        <f>IFERROR(H21*100/H33,"")</f>
        <v/>
      </c>
      <c r="I34" s="18">
        <f>IFERROR(I21*100/I33,"")</f>
        <v/>
      </c>
      <c r="J34" s="18">
        <f>IFERROR(J21*100/J33,"")</f>
        <v/>
      </c>
      <c r="K34" s="37">
        <f>SUM(G34:J34)</f>
        <v/>
      </c>
      <c r="L34" s="18">
        <f>IFERROR(L21*100/L33,"")</f>
        <v/>
      </c>
      <c r="M34" s="18">
        <f>IFERROR(M21*100/M33,"")</f>
        <v/>
      </c>
      <c r="N34" s="18">
        <f>IFERROR(N21*100/N33,"")</f>
        <v/>
      </c>
      <c r="O34" s="18">
        <f>IFERROR(O21*100/O33,"")</f>
        <v/>
      </c>
      <c r="P34" s="37">
        <f>SUM(L34:O34)</f>
        <v/>
      </c>
      <c r="Q34" s="18">
        <f>IFERROR(Q21*100/Q33,"")</f>
        <v/>
      </c>
      <c r="R34" s="18">
        <f>IFERROR(R21*100/R33,"")</f>
        <v/>
      </c>
      <c r="S34" s="18">
        <f>IFERROR(S21*100/S33,"")</f>
        <v/>
      </c>
      <c r="T34" s="18">
        <f>IFERROR(T21*100/T33,"")</f>
        <v/>
      </c>
      <c r="U34" s="37">
        <f>SUM(Q34:T34)</f>
        <v/>
      </c>
      <c r="V34" s="18">
        <f>IFERROR(V21*100/V33,"")</f>
        <v/>
      </c>
      <c r="W34" s="18">
        <f>IFERROR(W21*100/W33,"")</f>
        <v/>
      </c>
      <c r="X34" s="18">
        <f>IFERROR(X21*100/X33,"")</f>
        <v/>
      </c>
      <c r="Y34" s="18">
        <f>IFERROR(Y21*100/Y33,"")</f>
        <v/>
      </c>
      <c r="Z34" s="37">
        <f>SUM(V34:Y34)</f>
        <v/>
      </c>
      <c r="AA34" s="18">
        <f>IFERROR(AA21*100/AA33,"")</f>
        <v/>
      </c>
      <c r="AB34" s="19">
        <f>IFERROR(AB21*100/AB33,"")</f>
        <v/>
      </c>
      <c r="AC34" s="20">
        <f>IFERROR(AC21*100/AC33,"")</f>
        <v/>
      </c>
      <c r="AD34" s="20">
        <f>IFERROR(AD21*100/AD33,"")</f>
        <v/>
      </c>
      <c r="AE34" s="38">
        <f>SUM(AA34:AD34)</f>
        <v/>
      </c>
      <c r="AF34" s="20">
        <f>IFERROR(AF21*100/AF33,"")</f>
        <v/>
      </c>
      <c r="AG34" s="20">
        <f>IFERROR(AG21*100/AG33,"")</f>
        <v/>
      </c>
      <c r="AH34" s="20">
        <f>IFERROR(AH21*100/AH33,"")</f>
        <v/>
      </c>
      <c r="AI34" s="20">
        <f>IFERROR(AI21*100/AI33,"")</f>
        <v/>
      </c>
      <c r="AJ34" s="38">
        <f>SUM(AF34:AI34)</f>
        <v/>
      </c>
      <c r="AK34" s="20">
        <f>IFERROR(AK21*100/AK33,"")</f>
        <v/>
      </c>
      <c r="AL34" s="20">
        <f>IFERROR(AL21*100/AL33,"")</f>
        <v/>
      </c>
      <c r="AM34" s="20">
        <f>IFERROR(AM21*100/AM33,"")</f>
        <v/>
      </c>
      <c r="AN34" s="20">
        <f>IFERROR(AN21*100/AN33,"")</f>
        <v/>
      </c>
      <c r="AO34" s="38">
        <f>SUM(AK34:AN34)</f>
        <v/>
      </c>
    </row>
    <row r="35">
      <c r="A35" s="12" t="inlineStr">
        <is>
          <t>조정EPS</t>
        </is>
      </c>
      <c r="B35" t="inlineStr">
        <is>
          <t>주당</t>
        </is>
      </c>
      <c r="C35" t="inlineStr">
        <is>
          <t>원</t>
        </is>
      </c>
      <c r="D35" t="inlineStr">
        <is>
          <t>조정 EPS(일회성 의심 분기의 초과 비영업손익 세후 차감 — 모델 추정)</t>
        </is>
      </c>
      <c r="E35" s="18">
        <f>IFERROR(E34,"")</f>
        <v/>
      </c>
      <c r="F35" s="37" t="n"/>
      <c r="G35" s="18">
        <f>IFERROR(G34,"")</f>
        <v/>
      </c>
      <c r="H35" s="18">
        <f>IFERROR(H34,"")</f>
        <v/>
      </c>
      <c r="I35" s="18">
        <f>IFERROR(I34,"")</f>
        <v/>
      </c>
      <c r="J35" s="18">
        <f>IFERROR(J34,"")</f>
        <v/>
      </c>
      <c r="K35" s="37">
        <f>SUM(G35:J35)</f>
        <v/>
      </c>
      <c r="L35" s="18">
        <f>IFERROR(L34,"")</f>
        <v/>
      </c>
      <c r="M35" s="18">
        <f>IFERROR(M34,"")</f>
        <v/>
      </c>
      <c r="N35" s="18">
        <f>IFERROR(N34,"")</f>
        <v/>
      </c>
      <c r="O35" s="18">
        <f>IFERROR(O34,"")</f>
        <v/>
      </c>
      <c r="P35" s="37">
        <f>SUM(L35:O35)</f>
        <v/>
      </c>
      <c r="Q35" s="18">
        <f>IFERROR(Q34,"")</f>
        <v/>
      </c>
      <c r="R35" s="18">
        <f>IFERROR(R34,"")</f>
        <v/>
      </c>
      <c r="S35" s="18">
        <f>IFERROR(S34,"")</f>
        <v/>
      </c>
      <c r="T35" s="18">
        <f>IFERROR(T34,"")</f>
        <v/>
      </c>
      <c r="U35" s="37">
        <f>SUM(Q35:T35)</f>
        <v/>
      </c>
      <c r="V35" s="18">
        <f>IFERROR(V34,"")</f>
        <v/>
      </c>
      <c r="W35" s="18">
        <f>IFERROR(W34,"")</f>
        <v/>
      </c>
      <c r="X35" s="18">
        <f>IFERROR(X34,"")</f>
        <v/>
      </c>
      <c r="Y35" s="20">
        <f>IFERROR((Y21-(-156.9)*(0.9315))*100/Y33,"")</f>
        <v/>
      </c>
      <c r="Z35" s="37">
        <f>SUM(V35:Y35)</f>
        <v/>
      </c>
      <c r="AA35" s="18">
        <f>IFERROR(AA34,"")</f>
        <v/>
      </c>
      <c r="AB35" s="19">
        <f>IFERROR(AB34,"")</f>
        <v/>
      </c>
      <c r="AC35" s="20">
        <f>IFERROR(AC34,"")</f>
        <v/>
      </c>
      <c r="AD35" s="20">
        <f>IFERROR(AD34,"")</f>
        <v/>
      </c>
      <c r="AE35" s="38">
        <f>SUM(AA35:AD35)</f>
        <v/>
      </c>
      <c r="AF35" s="20">
        <f>IFERROR(AF34,"")</f>
        <v/>
      </c>
      <c r="AG35" s="20">
        <f>IFERROR(AG34,"")</f>
        <v/>
      </c>
      <c r="AH35" s="20">
        <f>IFERROR(AH34,"")</f>
        <v/>
      </c>
      <c r="AI35" s="20">
        <f>IFERROR(AI34,"")</f>
        <v/>
      </c>
      <c r="AJ35" s="38">
        <f>SUM(AF35:AI35)</f>
        <v/>
      </c>
      <c r="AK35" s="20">
        <f>IFERROR(AK34,"")</f>
        <v/>
      </c>
      <c r="AL35" s="20">
        <f>IFERROR(AL34,"")</f>
        <v/>
      </c>
      <c r="AM35" s="20">
        <f>IFERROR(AM34,"")</f>
        <v/>
      </c>
      <c r="AN35" s="20">
        <f>IFERROR(AN34,"")</f>
        <v/>
      </c>
      <c r="AO35" s="38">
        <f>SUM(AK35:AN35)</f>
        <v/>
      </c>
    </row>
    <row r="36">
      <c r="A36" s="12" t="inlineStr">
        <is>
          <t>BPS</t>
        </is>
      </c>
      <c r="B36" t="inlineStr">
        <is>
          <t>주당</t>
        </is>
      </c>
      <c r="C36" t="inlineStr">
        <is>
          <t>원</t>
        </is>
      </c>
      <c r="D36" t="inlineStr">
        <is>
          <t>BPS</t>
        </is>
      </c>
      <c r="E36" s="18">
        <f>IFERROR(E26*100/E33,"")</f>
        <v/>
      </c>
      <c r="F36" s="37">
        <f>E36</f>
        <v/>
      </c>
      <c r="G36" s="18">
        <f>IFERROR(G26*100/G33,"")</f>
        <v/>
      </c>
      <c r="H36" s="18">
        <f>IFERROR(H26*100/H33,"")</f>
        <v/>
      </c>
      <c r="I36" s="18">
        <f>IFERROR(I26*100/I33,"")</f>
        <v/>
      </c>
      <c r="J36" s="18">
        <f>IFERROR(J26*100/J33,"")</f>
        <v/>
      </c>
      <c r="K36" s="37">
        <f>J36</f>
        <v/>
      </c>
      <c r="L36" s="18">
        <f>IFERROR(L26*100/L33,"")</f>
        <v/>
      </c>
      <c r="M36" s="18">
        <f>IFERROR(M26*100/M33,"")</f>
        <v/>
      </c>
      <c r="N36" s="18">
        <f>IFERROR(N26*100/N33,"")</f>
        <v/>
      </c>
      <c r="O36" s="18">
        <f>IFERROR(O26*100/O33,"")</f>
        <v/>
      </c>
      <c r="P36" s="37">
        <f>O36</f>
        <v/>
      </c>
      <c r="Q36" s="18">
        <f>IFERROR(Q26*100/Q33,"")</f>
        <v/>
      </c>
      <c r="R36" s="18">
        <f>IFERROR(R26*100/R33,"")</f>
        <v/>
      </c>
      <c r="S36" s="18">
        <f>IFERROR(S26*100/S33,"")</f>
        <v/>
      </c>
      <c r="T36" s="18">
        <f>IFERROR(T26*100/T33,"")</f>
        <v/>
      </c>
      <c r="U36" s="37">
        <f>T36</f>
        <v/>
      </c>
      <c r="V36" s="18">
        <f>IFERROR(V26*100/V33,"")</f>
        <v/>
      </c>
      <c r="W36" s="18">
        <f>IFERROR(W26*100/W33,"")</f>
        <v/>
      </c>
      <c r="X36" s="18">
        <f>IFERROR(X26*100/X33,"")</f>
        <v/>
      </c>
      <c r="Y36" s="18">
        <f>IFERROR(Y26*100/Y33,"")</f>
        <v/>
      </c>
      <c r="Z36" s="37">
        <f>Y36</f>
        <v/>
      </c>
      <c r="AA36" s="18">
        <f>IFERROR(AA26*100/AA33,"")</f>
        <v/>
      </c>
      <c r="AB36" s="19">
        <f>IFERROR(AB26*100/AB33,"")</f>
        <v/>
      </c>
      <c r="AC36" s="20">
        <f>IFERROR(AC26*100/AC33,"")</f>
        <v/>
      </c>
      <c r="AD36" s="20">
        <f>IFERROR(AD26*100/AD33,"")</f>
        <v/>
      </c>
      <c r="AE36" s="38">
        <f>AD36</f>
        <v/>
      </c>
      <c r="AF36" s="20">
        <f>IFERROR(AF26*100/AF33,"")</f>
        <v/>
      </c>
      <c r="AG36" s="20">
        <f>IFERROR(AG26*100/AG33,"")</f>
        <v/>
      </c>
      <c r="AH36" s="20">
        <f>IFERROR(AH26*100/AH33,"")</f>
        <v/>
      </c>
      <c r="AI36" s="20">
        <f>IFERROR(AI26*100/AI33,"")</f>
        <v/>
      </c>
      <c r="AJ36" s="38">
        <f>AI36</f>
        <v/>
      </c>
      <c r="AK36" s="20">
        <f>IFERROR(AK26*100/AK33,"")</f>
        <v/>
      </c>
      <c r="AL36" s="20">
        <f>IFERROR(AL26*100/AL33,"")</f>
        <v/>
      </c>
      <c r="AM36" s="20">
        <f>IFERROR(AM26*100/AM33,"")</f>
        <v/>
      </c>
      <c r="AN36" s="20">
        <f>IFERROR(AN26*100/AN33,"")</f>
        <v/>
      </c>
      <c r="AO36" s="38">
        <f>AN36</f>
        <v/>
      </c>
    </row>
    <row r="37">
      <c r="A37" s="12" t="inlineStr">
        <is>
          <t>DPS</t>
        </is>
      </c>
      <c r="B37" t="inlineStr">
        <is>
          <t>주당</t>
        </is>
      </c>
      <c r="C37" t="inlineStr">
        <is>
          <t>원</t>
        </is>
      </c>
      <c r="D37" t="inlineStr">
        <is>
          <t>DPS(보통주)</t>
        </is>
      </c>
      <c r="E37" s="18" t="n">
        <v>0</v>
      </c>
      <c r="F37" s="37" t="n">
        <v>0</v>
      </c>
      <c r="G37" s="18" t="n"/>
      <c r="H37" s="18" t="n"/>
      <c r="I37" s="18" t="n"/>
      <c r="J37" s="18" t="n">
        <v>0</v>
      </c>
      <c r="K37" s="37">
        <f>SUM(G37:J37)</f>
        <v/>
      </c>
      <c r="L37" s="18" t="n"/>
      <c r="M37" s="18" t="n"/>
      <c r="N37" s="18" t="n"/>
      <c r="O37" s="18" t="n">
        <v>0</v>
      </c>
      <c r="P37" s="37">
        <f>SUM(L37:O37)</f>
        <v/>
      </c>
      <c r="Q37" s="18" t="n"/>
      <c r="R37" s="18" t="n"/>
      <c r="S37" s="18" t="n"/>
      <c r="T37" s="18" t="n">
        <v>0</v>
      </c>
      <c r="U37" s="37">
        <f>SUM(Q37:T37)</f>
        <v/>
      </c>
      <c r="V37" s="18" t="n"/>
      <c r="W37" s="18" t="n"/>
      <c r="X37" s="18" t="n"/>
      <c r="Y37" s="18" t="n">
        <v>0</v>
      </c>
      <c r="Z37" s="37">
        <f>SUM(V37:Y37)</f>
        <v/>
      </c>
      <c r="AA37" s="18" t="n"/>
      <c r="AB37" s="19" t="n"/>
      <c r="AC37" s="20" t="n"/>
      <c r="AD37" s="20">
        <f>변수!AD42</f>
        <v/>
      </c>
      <c r="AE37" s="38">
        <f>SUM(AA37:AD37)</f>
        <v/>
      </c>
      <c r="AF37" s="20" t="n"/>
      <c r="AG37" s="20" t="n"/>
      <c r="AH37" s="20" t="n"/>
      <c r="AI37" s="20">
        <f>변수!AI42</f>
        <v/>
      </c>
      <c r="AJ37" s="38">
        <f>SUM(AF37:AI37)</f>
        <v/>
      </c>
      <c r="AK37" s="20" t="n"/>
      <c r="AL37" s="20" t="n"/>
      <c r="AM37" s="20" t="n"/>
      <c r="AN37" s="20">
        <f>변수!AN42</f>
        <v/>
      </c>
      <c r="AO37" s="38">
        <f>SUM(AK37:AN37)</f>
        <v/>
      </c>
    </row>
    <row r="38">
      <c r="A38" s="12" t="inlineStr">
        <is>
          <t>PER</t>
        </is>
      </c>
      <c r="B38" t="inlineStr">
        <is>
          <t>주당</t>
        </is>
      </c>
      <c r="C38" t="inlineStr">
        <is>
          <t>배</t>
        </is>
      </c>
      <c r="D38" t="inlineStr">
        <is>
          <t>PER</t>
        </is>
      </c>
      <c r="E38" s="13" t="n"/>
      <c r="F38" s="14">
        <f>E38</f>
        <v/>
      </c>
      <c r="G38" s="13" t="n"/>
      <c r="H38" s="13" t="n"/>
      <c r="I38" s="13">
        <f>IFERROR(변수!I18/(E34+G34+H34+I34),"")</f>
        <v/>
      </c>
      <c r="J38" s="13" t="n"/>
      <c r="K38" s="14">
        <f>J38</f>
        <v/>
      </c>
      <c r="L38" s="13" t="n"/>
      <c r="M38" s="13" t="n"/>
      <c r="N38" s="13" t="n"/>
      <c r="O38" s="13" t="n"/>
      <c r="P38" s="14">
        <f>O38</f>
        <v/>
      </c>
      <c r="Q38" s="13" t="n"/>
      <c r="R38" s="13" t="n"/>
      <c r="S38" s="13" t="n"/>
      <c r="T38" s="13" t="n"/>
      <c r="U38" s="14">
        <f>T38</f>
        <v/>
      </c>
      <c r="V38" s="13" t="n"/>
      <c r="W38" s="13" t="n"/>
      <c r="X38" s="13" t="n"/>
      <c r="Y38" s="13" t="n"/>
      <c r="Z38" s="14">
        <f>Y38</f>
        <v/>
      </c>
      <c r="AA38" s="13" t="n"/>
      <c r="AB38" s="15" t="n"/>
      <c r="AC38" s="39" t="n"/>
      <c r="AD38" s="39" t="n"/>
      <c r="AE38" s="40">
        <f>AD38</f>
        <v/>
      </c>
      <c r="AF38" s="39" t="n"/>
      <c r="AG38" s="39" t="n"/>
      <c r="AH38" s="39" t="n"/>
      <c r="AI38" s="39" t="n"/>
      <c r="AJ38" s="40">
        <f>AI38</f>
        <v/>
      </c>
      <c r="AK38" s="39" t="n"/>
      <c r="AL38" s="39" t="n"/>
      <c r="AM38" s="39" t="n"/>
      <c r="AN38" s="39" t="n"/>
      <c r="AO38" s="40">
        <f>AN38</f>
        <v/>
      </c>
    </row>
    <row r="39">
      <c r="A39" s="12" t="inlineStr">
        <is>
          <t>PBR</t>
        </is>
      </c>
      <c r="B39" t="inlineStr">
        <is>
          <t>주당</t>
        </is>
      </c>
      <c r="C39" t="inlineStr">
        <is>
          <t>배</t>
        </is>
      </c>
      <c r="D39" t="inlineStr">
        <is>
          <t>PBR</t>
        </is>
      </c>
      <c r="E39" s="13">
        <f>IFERROR(변수!E18/E36,"")</f>
        <v/>
      </c>
      <c r="F39" s="14">
        <f>E39</f>
        <v/>
      </c>
      <c r="G39" s="13">
        <f>IFERROR(변수!G18/G36,"")</f>
        <v/>
      </c>
      <c r="H39" s="13">
        <f>IFERROR(변수!H18/H36,"")</f>
        <v/>
      </c>
      <c r="I39" s="13">
        <f>IFERROR(변수!I18/I36,"")</f>
        <v/>
      </c>
      <c r="J39" s="13">
        <f>IFERROR(변수!J18/J36,"")</f>
        <v/>
      </c>
      <c r="K39" s="14">
        <f>J39</f>
        <v/>
      </c>
      <c r="L39" s="13">
        <f>IFERROR(변수!L18/L36,"")</f>
        <v/>
      </c>
      <c r="M39" s="13">
        <f>IFERROR(변수!M18/M36,"")</f>
        <v/>
      </c>
      <c r="N39" s="13">
        <f>IFERROR(변수!N18/N36,"")</f>
        <v/>
      </c>
      <c r="O39" s="13">
        <f>IFERROR(변수!O18/O36,"")</f>
        <v/>
      </c>
      <c r="P39" s="14">
        <f>O39</f>
        <v/>
      </c>
      <c r="Q39" s="13">
        <f>IFERROR(변수!Q18/Q36,"")</f>
        <v/>
      </c>
      <c r="R39" s="13">
        <f>IFERROR(변수!R18/R36,"")</f>
        <v/>
      </c>
      <c r="S39" s="13">
        <f>IFERROR(변수!S18/S36,"")</f>
        <v/>
      </c>
      <c r="T39" s="13">
        <f>IFERROR(변수!T18/T36,"")</f>
        <v/>
      </c>
      <c r="U39" s="14">
        <f>T39</f>
        <v/>
      </c>
      <c r="V39" s="13">
        <f>IFERROR(변수!V18/V36,"")</f>
        <v/>
      </c>
      <c r="W39" s="13">
        <f>IFERROR(변수!W18/W36,"")</f>
        <v/>
      </c>
      <c r="X39" s="13">
        <f>IFERROR(변수!X18/X36,"")</f>
        <v/>
      </c>
      <c r="Y39" s="13">
        <f>IFERROR(변수!Y18/Y36,"")</f>
        <v/>
      </c>
      <c r="Z39" s="14">
        <f>Y39</f>
        <v/>
      </c>
      <c r="AA39" s="13">
        <f>IFERROR(변수!AA18/AA36,"")</f>
        <v/>
      </c>
      <c r="AB39" s="15">
        <f>IFERROR(변수!AB18/AB36,"")</f>
        <v/>
      </c>
      <c r="AC39" s="39">
        <f>IFERROR(변수!$D$45/AC36,"")</f>
        <v/>
      </c>
      <c r="AD39" s="39">
        <f>IFERROR(변수!$D$45/AD36,"")</f>
        <v/>
      </c>
      <c r="AE39" s="40">
        <f>AD39</f>
        <v/>
      </c>
      <c r="AF39" s="39">
        <f>IFERROR(변수!$D$45/AF36,"")</f>
        <v/>
      </c>
      <c r="AG39" s="39">
        <f>IFERROR(변수!$D$45/AG36,"")</f>
        <v/>
      </c>
      <c r="AH39" s="39">
        <f>IFERROR(변수!$D$45/AH36,"")</f>
        <v/>
      </c>
      <c r="AI39" s="39">
        <f>IFERROR(변수!$D$45/AI36,"")</f>
        <v/>
      </c>
      <c r="AJ39" s="40">
        <f>AI39</f>
        <v/>
      </c>
      <c r="AK39" s="39">
        <f>IFERROR(변수!$D$45/AK36,"")</f>
        <v/>
      </c>
      <c r="AL39" s="39">
        <f>IFERROR(변수!$D$45/AL36,"")</f>
        <v/>
      </c>
      <c r="AM39" s="39">
        <f>IFERROR(변수!$D$45/AM36,"")</f>
        <v/>
      </c>
      <c r="AN39" s="39">
        <f>IFERROR(변수!$D$45/AN36,"")</f>
        <v/>
      </c>
      <c r="AO39" s="40">
        <f>AN39</f>
        <v/>
      </c>
    </row>
    <row r="40">
      <c r="A40" s="12" t="inlineStr">
        <is>
          <t>매출전사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매출 전사(부문 미분리)</t>
        </is>
      </c>
      <c r="E40" s="18" t="n">
        <v>960.58</v>
      </c>
      <c r="F40" s="37" t="n"/>
      <c r="G40" s="18" t="n">
        <v>1145.8</v>
      </c>
      <c r="H40" s="18" t="n">
        <v>1208.24</v>
      </c>
      <c r="I40" s="18" t="n">
        <v>1677.22</v>
      </c>
      <c r="J40" s="18" t="n">
        <v>1242.42</v>
      </c>
      <c r="K40" s="37">
        <f>SUM(G40:J40)</f>
        <v/>
      </c>
      <c r="L40" s="18" t="n">
        <v>1231.72</v>
      </c>
      <c r="M40" s="18" t="n">
        <v>1327.06</v>
      </c>
      <c r="N40" s="18" t="n">
        <v>1338.8</v>
      </c>
      <c r="O40" s="18" t="n">
        <v>1102.52</v>
      </c>
      <c r="P40" s="37">
        <f>SUM(L40:O40)</f>
        <v/>
      </c>
      <c r="Q40" s="18" t="n">
        <v>1250.35</v>
      </c>
      <c r="R40" s="18" t="n">
        <v>1269.61</v>
      </c>
      <c r="S40" s="18" t="n">
        <v>1190.02</v>
      </c>
      <c r="T40" s="18" t="n">
        <v>1093.51</v>
      </c>
      <c r="U40" s="37">
        <f>SUM(Q40:T40)</f>
        <v/>
      </c>
      <c r="V40" s="18" t="n">
        <v>1109.85</v>
      </c>
      <c r="W40" s="18" t="n">
        <v>1162.82</v>
      </c>
      <c r="X40" s="18" t="n">
        <v>1098.95</v>
      </c>
      <c r="Y40" s="18" t="n">
        <v>963.22</v>
      </c>
      <c r="Z40" s="37">
        <f>SUM(V40:Y40)</f>
        <v/>
      </c>
      <c r="AA40" s="18" t="n">
        <v>964.25</v>
      </c>
      <c r="AB40" s="19" t="n">
        <v>1067.67</v>
      </c>
      <c r="AC40" s="20">
        <f>IFERROR(AC5,"")</f>
        <v/>
      </c>
      <c r="AD40" s="20">
        <f>IFERROR(AD5,"")</f>
        <v/>
      </c>
      <c r="AE40" s="38">
        <f>SUM(AA40:AD40)</f>
        <v/>
      </c>
      <c r="AF40" s="20">
        <f>IFERROR(AF5,"")</f>
        <v/>
      </c>
      <c r="AG40" s="20">
        <f>IFERROR(AG5,"")</f>
        <v/>
      </c>
      <c r="AH40" s="20">
        <f>IFERROR(AH5,"")</f>
        <v/>
      </c>
      <c r="AI40" s="20">
        <f>IFERROR(AI5,"")</f>
        <v/>
      </c>
      <c r="AJ40" s="38">
        <f>SUM(AF40:AI40)</f>
        <v/>
      </c>
      <c r="AK40" s="20">
        <f>IFERROR(AK5,"")</f>
        <v/>
      </c>
      <c r="AL40" s="20">
        <f>IFERROR(AL5,"")</f>
        <v/>
      </c>
      <c r="AM40" s="20">
        <f>IFERROR(AM5,"")</f>
        <v/>
      </c>
      <c r="AN40" s="20">
        <f>IFERROR(AN5,"")</f>
        <v/>
      </c>
      <c r="AO40" s="38">
        <f>SUM(AK40:AN40)</f>
        <v/>
      </c>
    </row>
    <row r="41">
      <c r="A41" s="12" t="inlineStr">
        <is>
          <t>OP전사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전사(부문 미분리)</t>
        </is>
      </c>
      <c r="E41" s="18" t="n">
        <v>36.11</v>
      </c>
      <c r="F41" s="37" t="n"/>
      <c r="G41" s="18" t="n">
        <v>17.4</v>
      </c>
      <c r="H41" s="18" t="n">
        <v>20.4</v>
      </c>
      <c r="I41" s="18" t="n">
        <v>17.08</v>
      </c>
      <c r="J41" s="18" t="n">
        <v>-12.61</v>
      </c>
      <c r="K41" s="37">
        <f>SUM(G41:J41)</f>
        <v/>
      </c>
      <c r="L41" s="18" t="n">
        <v>-28.2</v>
      </c>
      <c r="M41" s="18" t="n">
        <v>23.57</v>
      </c>
      <c r="N41" s="18" t="n">
        <v>25.45</v>
      </c>
      <c r="O41" s="18" t="n">
        <v>-8.289999999999999</v>
      </c>
      <c r="P41" s="37">
        <f>SUM(L41:O41)</f>
        <v/>
      </c>
      <c r="Q41" s="18" t="n">
        <v>38.72</v>
      </c>
      <c r="R41" s="18" t="n">
        <v>27.44</v>
      </c>
      <c r="S41" s="18" t="n">
        <v>-11.21</v>
      </c>
      <c r="T41" s="18" t="n">
        <v>-24.22</v>
      </c>
      <c r="U41" s="37">
        <f>SUM(Q41:T41)</f>
        <v/>
      </c>
      <c r="V41" s="18" t="n">
        <v>-15.81</v>
      </c>
      <c r="W41" s="18" t="n">
        <v>-23.84</v>
      </c>
      <c r="X41" s="18" t="n">
        <v>-69.66</v>
      </c>
      <c r="Y41" s="18" t="n">
        <v>-22.38</v>
      </c>
      <c r="Z41" s="37">
        <f>SUM(V41:Y41)</f>
        <v/>
      </c>
      <c r="AA41" s="18" t="n">
        <v>-14.39</v>
      </c>
      <c r="AB41" s="19" t="n">
        <v>21.74</v>
      </c>
      <c r="AC41" s="20">
        <f>IFERROR(AC9,"")</f>
        <v/>
      </c>
      <c r="AD41" s="20">
        <f>IFERROR(AD9,"")</f>
        <v/>
      </c>
      <c r="AE41" s="38">
        <f>SUM(AA41:AD41)</f>
        <v/>
      </c>
      <c r="AF41" s="20">
        <f>IFERROR(AF9,"")</f>
        <v/>
      </c>
      <c r="AG41" s="20">
        <f>IFERROR(AG9,"")</f>
        <v/>
      </c>
      <c r="AH41" s="20">
        <f>IFERROR(AH9,"")</f>
        <v/>
      </c>
      <c r="AI41" s="20">
        <f>IFERROR(AI9,"")</f>
        <v/>
      </c>
      <c r="AJ41" s="38">
        <f>SUM(AF41:AI41)</f>
        <v/>
      </c>
      <c r="AK41" s="20">
        <f>IFERROR(AK9,"")</f>
        <v/>
      </c>
      <c r="AL41" s="20">
        <f>IFERROR(AL9,"")</f>
        <v/>
      </c>
      <c r="AM41" s="20">
        <f>IFERROR(AM9,"")</f>
        <v/>
      </c>
      <c r="AN41" s="20">
        <f>IFERROR(AN9,"")</f>
        <v/>
      </c>
      <c r="AO41" s="38">
        <f>SUM(AK41:AN41)</f>
        <v/>
      </c>
    </row>
    <row r="42">
      <c r="B42" s="2" t="inlineStr">
        <is>
          <t>비율(참고)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NPM</t>
        </is>
      </c>
      <c r="C43" t="inlineStr">
        <is>
          <t>%</t>
        </is>
      </c>
      <c r="D43" t="inlineStr">
        <is>
          <t>지배주주순이익 / 매출액</t>
        </is>
      </c>
      <c r="E43" s="21">
        <f>IFERROR(E21/E5,"")</f>
        <v/>
      </c>
      <c r="F43" s="22">
        <f>IFERROR(F21/F5,"")</f>
        <v/>
      </c>
      <c r="G43" s="21">
        <f>IFERROR(G21/G5,"")</f>
        <v/>
      </c>
      <c r="H43" s="21">
        <f>IFERROR(H21/H5,"")</f>
        <v/>
      </c>
      <c r="I43" s="21">
        <f>IFERROR(I21/I5,"")</f>
        <v/>
      </c>
      <c r="J43" s="21">
        <f>IFERROR(J21/J5,"")</f>
        <v/>
      </c>
      <c r="K43" s="22">
        <f>IFERROR(K21/K5,"")</f>
        <v/>
      </c>
      <c r="L43" s="21">
        <f>IFERROR(L21/L5,"")</f>
        <v/>
      </c>
      <c r="M43" s="21">
        <f>IFERROR(M21/M5,"")</f>
        <v/>
      </c>
      <c r="N43" s="21">
        <f>IFERROR(N21/N5,"")</f>
        <v/>
      </c>
      <c r="O43" s="21">
        <f>IFERROR(O21/O5,"")</f>
        <v/>
      </c>
      <c r="P43" s="22">
        <f>IFERROR(P21/P5,"")</f>
        <v/>
      </c>
      <c r="Q43" s="21">
        <f>IFERROR(Q21/Q5,"")</f>
        <v/>
      </c>
      <c r="R43" s="21">
        <f>IFERROR(R21/R5,"")</f>
        <v/>
      </c>
      <c r="S43" s="21">
        <f>IFERROR(S21/S5,"")</f>
        <v/>
      </c>
      <c r="T43" s="21">
        <f>IFERROR(T21/T5,"")</f>
        <v/>
      </c>
      <c r="U43" s="22">
        <f>IFERROR(U21/U5,"")</f>
        <v/>
      </c>
      <c r="V43" s="21">
        <f>IFERROR(V21/V5,"")</f>
        <v/>
      </c>
      <c r="W43" s="21">
        <f>IFERROR(W21/W5,"")</f>
        <v/>
      </c>
      <c r="X43" s="21">
        <f>IFERROR(X21/X5,"")</f>
        <v/>
      </c>
      <c r="Y43" s="21">
        <f>IFERROR(Y21/Y5,"")</f>
        <v/>
      </c>
      <c r="Z43" s="22">
        <f>IFERROR(Z21/Z5,"")</f>
        <v/>
      </c>
      <c r="AA43" s="21">
        <f>IFERROR(AA21/AA5,"")</f>
        <v/>
      </c>
      <c r="AB43" s="23">
        <f>IFERROR(AB21/AB5,"")</f>
        <v/>
      </c>
      <c r="AC43" s="33">
        <f>IFERROR(AC21/AC5,"")</f>
        <v/>
      </c>
      <c r="AD43" s="33">
        <f>IFERROR(AD21/AD5,"")</f>
        <v/>
      </c>
      <c r="AE43" s="25">
        <f>IFERROR(AE21/AE5,"")</f>
        <v/>
      </c>
      <c r="AF43" s="33">
        <f>IFERROR(AF21/AF5,"")</f>
        <v/>
      </c>
      <c r="AG43" s="33">
        <f>IFERROR(AG21/AG5,"")</f>
        <v/>
      </c>
      <c r="AH43" s="33">
        <f>IFERROR(AH21/AH5,"")</f>
        <v/>
      </c>
      <c r="AI43" s="33">
        <f>IFERROR(AI21/AI5,"")</f>
        <v/>
      </c>
      <c r="AJ43" s="25">
        <f>IFERROR(AJ21/AJ5,"")</f>
        <v/>
      </c>
      <c r="AK43" s="33">
        <f>IFERROR(AK21/AK5,"")</f>
        <v/>
      </c>
      <c r="AL43" s="33">
        <f>IFERROR(AL21/AL5,"")</f>
        <v/>
      </c>
      <c r="AM43" s="33">
        <f>IFERROR(AM21/AM5,"")</f>
        <v/>
      </c>
      <c r="AN43" s="33">
        <f>IFERROR(AN21/AN5,"")</f>
        <v/>
      </c>
      <c r="AO43" s="25">
        <f>IFERROR(AO21/AO5,"")</f>
        <v/>
      </c>
    </row>
    <row r="44">
      <c r="A44" s="12" t="inlineStr">
        <is>
          <t>매출원가율</t>
        </is>
      </c>
      <c r="C44" t="inlineStr">
        <is>
          <t>%</t>
        </is>
      </c>
      <c r="D44" t="inlineStr">
        <is>
          <t>매출원가 / 매출액</t>
        </is>
      </c>
      <c r="E44" s="21">
        <f>IFERROR(E6/E5,"")</f>
        <v/>
      </c>
      <c r="F44" s="22">
        <f>IFERROR(F6/F5,"")</f>
        <v/>
      </c>
      <c r="G44" s="21">
        <f>IFERROR(G6/G5,"")</f>
        <v/>
      </c>
      <c r="H44" s="21">
        <f>IFERROR(H6/H5,"")</f>
        <v/>
      </c>
      <c r="I44" s="21">
        <f>IFERROR(I6/I5,"")</f>
        <v/>
      </c>
      <c r="J44" s="21">
        <f>IFERROR(J6/J5,"")</f>
        <v/>
      </c>
      <c r="K44" s="22">
        <f>IFERROR(K6/K5,"")</f>
        <v/>
      </c>
      <c r="L44" s="21">
        <f>IFERROR(L6/L5,"")</f>
        <v/>
      </c>
      <c r="M44" s="21">
        <f>IFERROR(M6/M5,"")</f>
        <v/>
      </c>
      <c r="N44" s="21">
        <f>IFERROR(N6/N5,"")</f>
        <v/>
      </c>
      <c r="O44" s="21">
        <f>IFERROR(O6/O5,"")</f>
        <v/>
      </c>
      <c r="P44" s="22">
        <f>IFERROR(P6/P5,"")</f>
        <v/>
      </c>
      <c r="Q44" s="21">
        <f>IFERROR(Q6/Q5,"")</f>
        <v/>
      </c>
      <c r="R44" s="21">
        <f>IFERROR(R6/R5,"")</f>
        <v/>
      </c>
      <c r="S44" s="21">
        <f>IFERROR(S6/S5,"")</f>
        <v/>
      </c>
      <c r="T44" s="21">
        <f>IFERROR(T6/T5,"")</f>
        <v/>
      </c>
      <c r="U44" s="22">
        <f>IFERROR(U6/U5,"")</f>
        <v/>
      </c>
      <c r="V44" s="21">
        <f>IFERROR(V6/V5,"")</f>
        <v/>
      </c>
      <c r="W44" s="21">
        <f>IFERROR(W6/W5,"")</f>
        <v/>
      </c>
      <c r="X44" s="21">
        <f>IFERROR(X6/X5,"")</f>
        <v/>
      </c>
      <c r="Y44" s="21">
        <f>IFERROR(Y6/Y5,"")</f>
        <v/>
      </c>
      <c r="Z44" s="22">
        <f>IFERROR(Z6/Z5,"")</f>
        <v/>
      </c>
      <c r="AA44" s="21">
        <f>IFERROR(AA6/AA5,"")</f>
        <v/>
      </c>
      <c r="AB44" s="23">
        <f>IFERROR(AB6/AB5,"")</f>
        <v/>
      </c>
      <c r="AC44" s="33">
        <f>IFERROR(AC6/AC5,"")</f>
        <v/>
      </c>
      <c r="AD44" s="33">
        <f>IFERROR(AD6/AD5,"")</f>
        <v/>
      </c>
      <c r="AE44" s="25">
        <f>IFERROR(AE6/AE5,"")</f>
        <v/>
      </c>
      <c r="AF44" s="33">
        <f>IFERROR(AF6/AF5,"")</f>
        <v/>
      </c>
      <c r="AG44" s="33">
        <f>IFERROR(AG6/AG5,"")</f>
        <v/>
      </c>
      <c r="AH44" s="33">
        <f>IFERROR(AH6/AH5,"")</f>
        <v/>
      </c>
      <c r="AI44" s="33">
        <f>IFERROR(AI6/AI5,"")</f>
        <v/>
      </c>
      <c r="AJ44" s="25">
        <f>IFERROR(AJ6/AJ5,"")</f>
        <v/>
      </c>
      <c r="AK44" s="33">
        <f>IFERROR(AK6/AK5,"")</f>
        <v/>
      </c>
      <c r="AL44" s="33">
        <f>IFERROR(AL6/AL5,"")</f>
        <v/>
      </c>
      <c r="AM44" s="33">
        <f>IFERROR(AM6/AM5,"")</f>
        <v/>
      </c>
      <c r="AN44" s="33">
        <f>IFERROR(AN6/AN5,"")</f>
        <v/>
      </c>
      <c r="AO44" s="25">
        <f>IFERROR(AO6/AO5,"")</f>
        <v/>
      </c>
    </row>
    <row r="45">
      <c r="A45" s="12" t="inlineStr">
        <is>
          <t>판관비율</t>
        </is>
      </c>
      <c r="C45" t="inlineStr">
        <is>
          <t>%</t>
        </is>
      </c>
      <c r="D45" t="inlineStr">
        <is>
          <t>판관비 / 매출액</t>
        </is>
      </c>
      <c r="E45" s="21">
        <f>IFERROR(E8/E5,"")</f>
        <v/>
      </c>
      <c r="F45" s="22">
        <f>IFERROR(F8/F5,"")</f>
        <v/>
      </c>
      <c r="G45" s="21">
        <f>IFERROR(G8/G5,"")</f>
        <v/>
      </c>
      <c r="H45" s="21">
        <f>IFERROR(H8/H5,"")</f>
        <v/>
      </c>
      <c r="I45" s="21">
        <f>IFERROR(I8/I5,"")</f>
        <v/>
      </c>
      <c r="J45" s="21">
        <f>IFERROR(J8/J5,"")</f>
        <v/>
      </c>
      <c r="K45" s="22">
        <f>IFERROR(K8/K5,"")</f>
        <v/>
      </c>
      <c r="L45" s="21">
        <f>IFERROR(L8/L5,"")</f>
        <v/>
      </c>
      <c r="M45" s="21">
        <f>IFERROR(M8/M5,"")</f>
        <v/>
      </c>
      <c r="N45" s="21">
        <f>IFERROR(N8/N5,"")</f>
        <v/>
      </c>
      <c r="O45" s="21">
        <f>IFERROR(O8/O5,"")</f>
        <v/>
      </c>
      <c r="P45" s="22">
        <f>IFERROR(P8/P5,"")</f>
        <v/>
      </c>
      <c r="Q45" s="21">
        <f>IFERROR(Q8/Q5,"")</f>
        <v/>
      </c>
      <c r="R45" s="21">
        <f>IFERROR(R8/R5,"")</f>
        <v/>
      </c>
      <c r="S45" s="21">
        <f>IFERROR(S8/S5,"")</f>
        <v/>
      </c>
      <c r="T45" s="21">
        <f>IFERROR(T8/T5,"")</f>
        <v/>
      </c>
      <c r="U45" s="22">
        <f>IFERROR(U8/U5,"")</f>
        <v/>
      </c>
      <c r="V45" s="21">
        <f>IFERROR(V8/V5,"")</f>
        <v/>
      </c>
      <c r="W45" s="21">
        <f>IFERROR(W8/W5,"")</f>
        <v/>
      </c>
      <c r="X45" s="21">
        <f>IFERROR(X8/X5,"")</f>
        <v/>
      </c>
      <c r="Y45" s="21">
        <f>IFERROR(Y8/Y5,"")</f>
        <v/>
      </c>
      <c r="Z45" s="22">
        <f>IFERROR(Z8/Z5,"")</f>
        <v/>
      </c>
      <c r="AA45" s="21">
        <f>IFERROR(AA8/AA5,"")</f>
        <v/>
      </c>
      <c r="AB45" s="23">
        <f>IFERROR(AB8/AB5,"")</f>
        <v/>
      </c>
      <c r="AC45" s="33">
        <f>IFERROR(AC8/AC5,"")</f>
        <v/>
      </c>
      <c r="AD45" s="33">
        <f>IFERROR(AD8/AD5,"")</f>
        <v/>
      </c>
      <c r="AE45" s="25">
        <f>IFERROR(AE8/AE5,"")</f>
        <v/>
      </c>
      <c r="AF45" s="33">
        <f>IFERROR(AF8/AF5,"")</f>
        <v/>
      </c>
      <c r="AG45" s="33">
        <f>IFERROR(AG8/AG5,"")</f>
        <v/>
      </c>
      <c r="AH45" s="33">
        <f>IFERROR(AH8/AH5,"")</f>
        <v/>
      </c>
      <c r="AI45" s="33">
        <f>IFERROR(AI8/AI5,"")</f>
        <v/>
      </c>
      <c r="AJ45" s="25">
        <f>IFERROR(AJ8/AJ5,"")</f>
        <v/>
      </c>
      <c r="AK45" s="33">
        <f>IFERROR(AK8/AK5,"")</f>
        <v/>
      </c>
      <c r="AL45" s="33">
        <f>IFERROR(AL8/AL5,"")</f>
        <v/>
      </c>
      <c r="AM45" s="33">
        <f>IFERROR(AM8/AM5,"")</f>
        <v/>
      </c>
      <c r="AN45" s="33">
        <f>IFERROR(AN8/AN5,"")</f>
        <v/>
      </c>
      <c r="AO45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7">
        <f>IFERROR(VLOOKUP($A33,subQ,MATCH(W$1,SUBQH,0),0),"")</f>
        <v/>
      </c>
      <c r="X33" s="32">
        <f>IFERROR(VLOOKUP($A33,subQ,MATCH(X$1,SUBQH,0),0),"")</f>
        <v/>
      </c>
      <c r="Y33" s="32">
        <f>IFERROR(VLOOKUP($A33,subQ,MATCH(Y$1,SUBQH,0),0),"")</f>
        <v/>
      </c>
      <c r="Z33" s="32">
        <f>IFERROR(VLOOKUP($A33,subQ,MATCH(Z$1,SUBQH,0),0),"")</f>
        <v/>
      </c>
      <c r="AA33" s="32">
        <f>IFERROR(VLOOKUP($A33,subQ,MATCH(AA$1,SUBQH,0),0),"")</f>
        <v/>
      </c>
      <c r="AB33" s="32">
        <f>IFERROR(VLOOKUP($A33,subQ,MATCH(AB$1,SUBQH,0),0),"")</f>
        <v/>
      </c>
      <c r="AC33" s="32">
        <f>IFERROR(VLOOKUP($A33,subQ,MATCH(AC$1,SUBQH,0),0),"")</f>
        <v/>
      </c>
      <c r="AD33" s="32">
        <f>IFERROR(VLOOKUP($A33,subQ,MATCH(AD$1,SUBQH,0),0),"")</f>
        <v/>
      </c>
      <c r="AE33" s="32">
        <f>IFERROR(VLOOKUP($A33,subQ,MATCH(AE$1,SUBQH,0),0),"")</f>
        <v/>
      </c>
      <c r="AF33" s="32">
        <f>IFERROR(VLOOKUP($A33,subQ,MATCH(AF$1,SUBQH,0),0),"")</f>
        <v/>
      </c>
      <c r="AG33" s="32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조정EPS</t>
        </is>
      </c>
      <c r="D35" t="inlineStr">
        <is>
          <t>조정 EPS(일회성 의심 분기의 초과 비영업손익 세후 차감 — 모델 추정)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BPS</t>
        </is>
      </c>
      <c r="D36" t="inlineStr">
        <is>
          <t>BPS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DPS</t>
        </is>
      </c>
      <c r="D37" t="inlineStr">
        <is>
          <t>DPS(보통주)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PER</t>
        </is>
      </c>
      <c r="D38" t="inlineStr">
        <is>
          <t>PER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PBR</t>
        </is>
      </c>
      <c r="D39" t="inlineStr">
        <is>
          <t>PBR</t>
        </is>
      </c>
      <c r="E39" s="13">
        <f>IFERROR(VLOOKUP($A39,subQ,MATCH(E$1,SUBQH,0),0),"")</f>
        <v/>
      </c>
      <c r="F39" s="13">
        <f>IFERROR(VLOOKUP($A39,subQ,MATCH(F$1,SUBQH,0),0),"")</f>
        <v/>
      </c>
      <c r="G39" s="13">
        <f>IFERROR(VLOOKUP($A39,subQ,MATCH(G$1,SUBQH,0),0),"")</f>
        <v/>
      </c>
      <c r="H39" s="13">
        <f>IFERROR(VLOOKUP($A39,subQ,MATCH(H$1,SUBQH,0),0),"")</f>
        <v/>
      </c>
      <c r="I39" s="13">
        <f>IFERROR(VLOOKUP($A39,subQ,MATCH(I$1,SUBQH,0),0),"")</f>
        <v/>
      </c>
      <c r="J39" s="13">
        <f>IFERROR(VLOOKUP($A39,subQ,MATCH(J$1,SUBQH,0),0),"")</f>
        <v/>
      </c>
      <c r="K39" s="13">
        <f>IFERROR(VLOOKUP($A39,subQ,MATCH(K$1,SUBQH,0),0),"")</f>
        <v/>
      </c>
      <c r="L39" s="13">
        <f>IFERROR(VLOOKUP($A39,subQ,MATCH(L$1,SUBQH,0),0),"")</f>
        <v/>
      </c>
      <c r="M39" s="13">
        <f>IFERROR(VLOOKUP($A39,subQ,MATCH(M$1,SUBQH,0),0),"")</f>
        <v/>
      </c>
      <c r="N39" s="13">
        <f>IFERROR(VLOOKUP($A39,subQ,MATCH(N$1,SUBQH,0),0),"")</f>
        <v/>
      </c>
      <c r="O39" s="13">
        <f>IFERROR(VLOOKUP($A39,subQ,MATCH(O$1,SUBQH,0),0),"")</f>
        <v/>
      </c>
      <c r="P39" s="13">
        <f>IFERROR(VLOOKUP($A39,subQ,MATCH(P$1,SUBQH,0),0),"")</f>
        <v/>
      </c>
      <c r="Q39" s="13">
        <f>IFERROR(VLOOKUP($A39,subQ,MATCH(Q$1,SUBQH,0),0),"")</f>
        <v/>
      </c>
      <c r="R39" s="13">
        <f>IFERROR(VLOOKUP($A39,subQ,MATCH(R$1,SUBQH,0),0),"")</f>
        <v/>
      </c>
      <c r="S39" s="13">
        <f>IFERROR(VLOOKUP($A39,subQ,MATCH(S$1,SUBQH,0),0),"")</f>
        <v/>
      </c>
      <c r="T39" s="13">
        <f>IFERROR(VLOOKUP($A39,subQ,MATCH(T$1,SUBQH,0),0),"")</f>
        <v/>
      </c>
      <c r="U39" s="13">
        <f>IFERROR(VLOOKUP($A39,subQ,MATCH(U$1,SUBQH,0),0),"")</f>
        <v/>
      </c>
      <c r="V39" s="13">
        <f>IFERROR(VLOOKUP($A39,subQ,MATCH(V$1,SUBQH,0),0),"")</f>
        <v/>
      </c>
      <c r="W39" s="48">
        <f>IFERROR(VLOOKUP($A39,subQ,MATCH(W$1,SUBQH,0),0),"")</f>
        <v/>
      </c>
      <c r="X39" s="39">
        <f>IFERROR(VLOOKUP($A39,subQ,MATCH(X$1,SUBQH,0),0),"")</f>
        <v/>
      </c>
      <c r="Y39" s="39">
        <f>IFERROR(VLOOKUP($A39,subQ,MATCH(Y$1,SUBQH,0),0),"")</f>
        <v/>
      </c>
      <c r="Z39" s="39">
        <f>IFERROR(VLOOKUP($A39,subQ,MATCH(Z$1,SUBQH,0),0),"")</f>
        <v/>
      </c>
      <c r="AA39" s="39">
        <f>IFERROR(VLOOKUP($A39,subQ,MATCH(AA$1,SUBQH,0),0),"")</f>
        <v/>
      </c>
      <c r="AB39" s="39">
        <f>IFERROR(VLOOKUP($A39,subQ,MATCH(AB$1,SUBQH,0),0),"")</f>
        <v/>
      </c>
      <c r="AC39" s="39">
        <f>IFERROR(VLOOKUP($A39,subQ,MATCH(AC$1,SUBQH,0),0),"")</f>
        <v/>
      </c>
      <c r="AD39" s="39">
        <f>IFERROR(VLOOKUP($A39,subQ,MATCH(AD$1,SUBQH,0),0),"")</f>
        <v/>
      </c>
      <c r="AE39" s="39">
        <f>IFERROR(VLOOKUP($A39,subQ,MATCH(AE$1,SUBQH,0),0),"")</f>
        <v/>
      </c>
      <c r="AF39" s="39">
        <f>IFERROR(VLOOKUP($A39,subQ,MATCH(AF$1,SUBQH,0),0),"")</f>
        <v/>
      </c>
      <c r="AG39" s="39">
        <f>IFERROR(VLOOKUP($A39,subQ,MATCH(AG$1,SUBQH,0),0),"")</f>
        <v/>
      </c>
    </row>
    <row r="40">
      <c r="A40" s="12" t="inlineStr">
        <is>
          <t>매출전사</t>
        </is>
      </c>
      <c r="D40" t="inlineStr">
        <is>
          <t>매출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OP전사</t>
        </is>
      </c>
      <c r="D41" t="inlineStr">
        <is>
          <t>OP 전사(부문 미분리)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5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21">
        <f>IFERROR(VLOOKUP($A42,subQ,MATCH(I$1,SUBQH,0),0),"")</f>
        <v/>
      </c>
      <c r="J42" s="21">
        <f>IFERROR(VLOOKUP($A42,subQ,MATCH(J$1,SUBQH,0),0),"")</f>
        <v/>
      </c>
      <c r="K42" s="21">
        <f>IFERROR(VLOOKUP($A42,subQ,MATCH(K$1,SUBQH,0),0),"")</f>
        <v/>
      </c>
      <c r="L42" s="21">
        <f>IFERROR(VLOOKUP($A42,subQ,MATCH(L$1,SUBQH,0),0),"")</f>
        <v/>
      </c>
      <c r="M42" s="21">
        <f>IFERROR(VLOOKUP($A42,subQ,MATCH(M$1,SUBQH,0),0),"")</f>
        <v/>
      </c>
      <c r="N42" s="21">
        <f>IFERROR(VLOOKUP($A42,subQ,MATCH(N$1,SUBQH,0),0),"")</f>
        <v/>
      </c>
      <c r="O42" s="21">
        <f>IFERROR(VLOOKUP($A42,subQ,MATCH(O$1,SUBQH,0),0),"")</f>
        <v/>
      </c>
      <c r="P42" s="21">
        <f>IFERROR(VLOOKUP($A42,subQ,MATCH(P$1,SUBQH,0),0),"")</f>
        <v/>
      </c>
      <c r="Q42" s="21">
        <f>IFERROR(VLOOKUP($A42,subQ,MATCH(Q$1,SUBQH,0),0),"")</f>
        <v/>
      </c>
      <c r="R42" s="21">
        <f>IFERROR(VLOOKUP($A42,subQ,MATCH(R$1,SUBQH,0),0),"")</f>
        <v/>
      </c>
      <c r="S42" s="21">
        <f>IFERROR(VLOOKUP($A42,subQ,MATCH(S$1,SUBQH,0),0),"")</f>
        <v/>
      </c>
      <c r="T42" s="21">
        <f>IFERROR(VLOOKUP($A42,subQ,MATCH(T$1,SUBQH,0),0),"")</f>
        <v/>
      </c>
      <c r="U42" s="21">
        <f>IFERROR(VLOOKUP($A42,subQ,MATCH(U$1,SUBQH,0),0),"")</f>
        <v/>
      </c>
      <c r="V42" s="21">
        <f>IFERROR(VLOOKUP($A42,subQ,MATCH(V$1,SUBQH,0),0),"")</f>
        <v/>
      </c>
      <c r="W42" s="46">
        <f>IFERROR(VLOOKUP($A42,subQ,MATCH(W$1,SUBQH,0),0),"")</f>
        <v/>
      </c>
      <c r="X42" s="33">
        <f>IFERROR(VLOOKUP($A42,subQ,MATCH(X$1,SUBQH,0),0),"")</f>
        <v/>
      </c>
      <c r="Y42" s="33">
        <f>IFERROR(VLOOKUP($A42,subQ,MATCH(Y$1,SUBQH,0),0),"")</f>
        <v/>
      </c>
      <c r="Z42" s="33">
        <f>IFERROR(VLOOKUP($A42,subQ,MATCH(Z$1,SUBQH,0),0),"")</f>
        <v/>
      </c>
      <c r="AA42" s="33">
        <f>IFERROR(VLOOKUP($A42,subQ,MATCH(AA$1,SUBQH,0),0),"")</f>
        <v/>
      </c>
      <c r="AB42" s="33">
        <f>IFERROR(VLOOKUP($A42,subQ,MATCH(AB$1,SUBQH,0),0),"")</f>
        <v/>
      </c>
      <c r="AC42" s="33">
        <f>IFERROR(VLOOKUP($A42,subQ,MATCH(AC$1,SUBQH,0),0),"")</f>
        <v/>
      </c>
      <c r="AD42" s="33">
        <f>IFERROR(VLOOKUP($A42,subQ,MATCH(AD$1,SUBQH,0),0),"")</f>
        <v/>
      </c>
      <c r="AE42" s="33">
        <f>IFERROR(VLOOKUP($A42,subQ,MATCH(AE$1,SUBQH,0),0),"")</f>
        <v/>
      </c>
      <c r="AF42" s="33">
        <f>IFERROR(VLOOKUP($A42,subQ,MATCH(AF$1,SUBQH,0),0),"")</f>
        <v/>
      </c>
      <c r="AG42" s="33">
        <f>IFERROR(VLOOKUP($A42,subQ,MATCH(AG$1,SUBQH,0),0),"")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I43" s="21">
        <f>IFERROR(I5/E5-1,"")</f>
        <v/>
      </c>
      <c r="J43" s="21">
        <f>IFERROR(J5/F5-1,"")</f>
        <v/>
      </c>
      <c r="K43" s="21">
        <f>IFERROR(K5/G5-1,"")</f>
        <v/>
      </c>
      <c r="L43" s="21">
        <f>IFERROR(L5/H5-1,"")</f>
        <v/>
      </c>
      <c r="M43" s="21">
        <f>IFERROR(M5/I5-1,"")</f>
        <v/>
      </c>
      <c r="N43" s="21">
        <f>IFERROR(N5/J5-1,"")</f>
        <v/>
      </c>
      <c r="O43" s="21">
        <f>IFERROR(O5/K5-1,"")</f>
        <v/>
      </c>
      <c r="P43" s="21">
        <f>IFERROR(P5/L5-1,"")</f>
        <v/>
      </c>
      <c r="Q43" s="21">
        <f>IFERROR(Q5/M5-1,"")</f>
        <v/>
      </c>
      <c r="R43" s="21">
        <f>IFERROR(R5/N5-1,"")</f>
        <v/>
      </c>
      <c r="S43" s="21">
        <f>IFERROR(S5/O5-1,"")</f>
        <v/>
      </c>
      <c r="T43" s="21">
        <f>IFERROR(T5/P5-1,"")</f>
        <v/>
      </c>
      <c r="U43" s="21">
        <f>IFERROR(U5/Q5-1,"")</f>
        <v/>
      </c>
      <c r="V43" s="21">
        <f>IFERROR(V5/R5-1,"")</f>
        <v/>
      </c>
      <c r="W43" s="46">
        <f>IFERROR(W5/S5-1,"")</f>
        <v/>
      </c>
      <c r="X43" s="33">
        <f>IFERROR(X5/T5-1,"")</f>
        <v/>
      </c>
      <c r="Y43" s="33">
        <f>IFERROR(Y5/U5-1,"")</f>
        <v/>
      </c>
      <c r="Z43" s="33">
        <f>IFERROR(Z5/V5-1,"")</f>
        <v/>
      </c>
      <c r="AA43" s="33">
        <f>IFERROR(AA5/W5-1,"")</f>
        <v/>
      </c>
      <c r="AB43" s="33">
        <f>IFERROR(AB5/X5-1,"")</f>
        <v/>
      </c>
      <c r="AC43" s="33">
        <f>IFERROR(AC5/Y5-1,"")</f>
        <v/>
      </c>
      <c r="AD43" s="33">
        <f>IFERROR(AD5/Z5-1,"")</f>
        <v/>
      </c>
      <c r="AE43" s="33">
        <f>IFERROR(AE5/AA5-1,"")</f>
        <v/>
      </c>
      <c r="AF43" s="33">
        <f>IFERROR(AF5/AB5-1,"")</f>
        <v/>
      </c>
      <c r="AG43" s="33">
        <f>IFERROR(AG5/AC5-1,"")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I44" s="21">
        <f>IFERROR(I9/E9-1,"")</f>
        <v/>
      </c>
      <c r="J44" s="21">
        <f>IFERROR(J9/F9-1,"")</f>
        <v/>
      </c>
      <c r="K44" s="21">
        <f>IFERROR(K9/G9-1,"")</f>
        <v/>
      </c>
      <c r="L44" s="21">
        <f>IFERROR(L9/H9-1,"")</f>
        <v/>
      </c>
      <c r="M44" s="21">
        <f>IFERROR(M9/I9-1,"")</f>
        <v/>
      </c>
      <c r="N44" s="21">
        <f>IFERROR(N9/J9-1,"")</f>
        <v/>
      </c>
      <c r="O44" s="21">
        <f>IFERROR(O9/K9-1,"")</f>
        <v/>
      </c>
      <c r="P44" s="21">
        <f>IFERROR(P9/L9-1,"")</f>
        <v/>
      </c>
      <c r="Q44" s="21">
        <f>IFERROR(Q9/M9-1,"")</f>
        <v/>
      </c>
      <c r="R44" s="21">
        <f>IFERROR(R9/N9-1,"")</f>
        <v/>
      </c>
      <c r="S44" s="21">
        <f>IFERROR(S9/O9-1,"")</f>
        <v/>
      </c>
      <c r="T44" s="21">
        <f>IFERROR(T9/P9-1,"")</f>
        <v/>
      </c>
      <c r="U44" s="21">
        <f>IFERROR(U9/Q9-1,"")</f>
        <v/>
      </c>
      <c r="V44" s="21">
        <f>IFERROR(V9/R9-1,"")</f>
        <v/>
      </c>
      <c r="W44" s="46">
        <f>IFERROR(W9/S9-1,"")</f>
        <v/>
      </c>
      <c r="X44" s="33">
        <f>IFERROR(X9/T9-1,"")</f>
        <v/>
      </c>
      <c r="Y44" s="33">
        <f>IFERROR(Y9/U9-1,"")</f>
        <v/>
      </c>
      <c r="Z44" s="33">
        <f>IFERROR(Z9/V9-1,"")</f>
        <v/>
      </c>
      <c r="AA44" s="33">
        <f>IFERROR(AA9/W9-1,"")</f>
        <v/>
      </c>
      <c r="AB44" s="33">
        <f>IFERROR(AB9/X9-1,"")</f>
        <v/>
      </c>
      <c r="AC44" s="33">
        <f>IFERROR(AC9/Y9-1,"")</f>
        <v/>
      </c>
      <c r="AD44" s="33">
        <f>IFERROR(AD9/Z9-1,"")</f>
        <v/>
      </c>
      <c r="AE44" s="33">
        <f>IFERROR(AE9/AA9-1,"")</f>
        <v/>
      </c>
      <c r="AF44" s="33">
        <f>IFERROR(AF9/AB9-1,"")</f>
        <v/>
      </c>
      <c r="AG44" s="33">
        <f>IFERROR(AG9/AC9-1,"")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I45" s="21">
        <f>IFERROR(I21/E21-1,"")</f>
        <v/>
      </c>
      <c r="J45" s="21">
        <f>IFERROR(J21/F21-1,"")</f>
        <v/>
      </c>
      <c r="K45" s="21">
        <f>IFERROR(K21/G21-1,"")</f>
        <v/>
      </c>
      <c r="L45" s="21">
        <f>IFERROR(L21/H21-1,"")</f>
        <v/>
      </c>
      <c r="M45" s="21">
        <f>IFERROR(M21/I21-1,"")</f>
        <v/>
      </c>
      <c r="N45" s="21">
        <f>IFERROR(N21/J21-1,"")</f>
        <v/>
      </c>
      <c r="O45" s="21">
        <f>IFERROR(O21/K21-1,"")</f>
        <v/>
      </c>
      <c r="P45" s="21">
        <f>IFERROR(P21/L21-1,"")</f>
        <v/>
      </c>
      <c r="Q45" s="21">
        <f>IFERROR(Q21/M21-1,"")</f>
        <v/>
      </c>
      <c r="R45" s="21">
        <f>IFERROR(R21/N21-1,"")</f>
        <v/>
      </c>
      <c r="S45" s="21">
        <f>IFERROR(S21/O21-1,"")</f>
        <v/>
      </c>
      <c r="T45" s="21">
        <f>IFERROR(T21/P21-1,"")</f>
        <v/>
      </c>
      <c r="U45" s="21">
        <f>IFERROR(U21/Q21-1,"")</f>
        <v/>
      </c>
      <c r="V45" s="21">
        <f>IFERROR(V21/R21-1,"")</f>
        <v/>
      </c>
      <c r="W45" s="46">
        <f>IFERROR(W21/S21-1,"")</f>
        <v/>
      </c>
      <c r="X45" s="33">
        <f>IFERROR(X21/T21-1,"")</f>
        <v/>
      </c>
      <c r="Y45" s="33">
        <f>IFERROR(Y21/U21-1,"")</f>
        <v/>
      </c>
      <c r="Z45" s="33">
        <f>IFERROR(Z21/V21-1,"")</f>
        <v/>
      </c>
      <c r="AA45" s="33">
        <f>IFERROR(AA21/W21-1,"")</f>
        <v/>
      </c>
      <c r="AB45" s="33">
        <f>IFERROR(AB21/X21-1,"")</f>
        <v/>
      </c>
      <c r="AC45" s="33">
        <f>IFERROR(AC21/Y21-1,"")</f>
        <v/>
      </c>
      <c r="AD45" s="33">
        <f>IFERROR(AD21/Z21-1,"")</f>
        <v/>
      </c>
      <c r="AE45" s="33">
        <f>IFERROR(AE21/AA21-1,"")</f>
        <v/>
      </c>
      <c r="AF45" s="33">
        <f>IFERROR(AF21/AB21-1,"")</f>
        <v/>
      </c>
      <c r="AG45" s="33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7">
        <f>IFERROR(VLOOKUP($A33,subQ,MATCH(I$1,SUBQH,0),0),"")</f>
        <v/>
      </c>
      <c r="J33" s="32">
        <f>IFERROR(VLOOKUP($A33,subQ,MATCH(J$1,SUBQH,0),0),"")</f>
        <v/>
      </c>
      <c r="K33" s="32">
        <f>IFERROR(VLOOKUP($A33,subQ,MATCH(K$1,SUBQH,0),0),"")</f>
        <v/>
      </c>
      <c r="L33" s="32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조정EPS</t>
        </is>
      </c>
      <c r="D35" t="inlineStr">
        <is>
          <t>조정 EPS(일회성 의심 분기의 초과 비영업손익 세후 차감 — 모델 추정)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BPS</t>
        </is>
      </c>
      <c r="D36" t="inlineStr">
        <is>
          <t>BPS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DPS</t>
        </is>
      </c>
      <c r="D37" t="inlineStr">
        <is>
          <t>DPS(보통주)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PER</t>
        </is>
      </c>
      <c r="D38" t="inlineStr">
        <is>
          <t>PER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PBR</t>
        </is>
      </c>
      <c r="D39" t="inlineStr">
        <is>
          <t>PBR</t>
        </is>
      </c>
      <c r="E39" s="13">
        <f>IFERROR(VLOOKUP($A39,subQ,MATCH(E$1,SUBQH,0),0),"")</f>
        <v/>
      </c>
      <c r="F39" s="13">
        <f>IFERROR(VLOOKUP($A39,subQ,MATCH(F$1,SUBQH,0),0),"")</f>
        <v/>
      </c>
      <c r="G39" s="13">
        <f>IFERROR(VLOOKUP($A39,subQ,MATCH(G$1,SUBQH,0),0),"")</f>
        <v/>
      </c>
      <c r="H39" s="13">
        <f>IFERROR(VLOOKUP($A39,subQ,MATCH(H$1,SUBQH,0),0),"")</f>
        <v/>
      </c>
      <c r="I39" s="48">
        <f>IFERROR(VLOOKUP($A39,subQ,MATCH(I$1,SUBQH,0),0),"")</f>
        <v/>
      </c>
      <c r="J39" s="39">
        <f>IFERROR(VLOOKUP($A39,subQ,MATCH(J$1,SUBQH,0),0),"")</f>
        <v/>
      </c>
      <c r="K39" s="39">
        <f>IFERROR(VLOOKUP($A39,subQ,MATCH(K$1,SUBQH,0),0),"")</f>
        <v/>
      </c>
      <c r="L39" s="39">
        <f>IFERROR(VLOOKUP($A39,subQ,MATCH(L$1,SUBQH,0),0),"")</f>
        <v/>
      </c>
    </row>
    <row r="40">
      <c r="A40" s="12" t="inlineStr">
        <is>
          <t>매출전사</t>
        </is>
      </c>
      <c r="D40" t="inlineStr">
        <is>
          <t>매출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OP전사</t>
        </is>
      </c>
      <c r="D41" t="inlineStr">
        <is>
          <t>OP 전사(부문 미분리)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5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46">
        <f>IFERROR(VLOOKUP($A42,subQ,MATCH(I$1,SUBQH,0),0),"")</f>
        <v/>
      </c>
      <c r="J42" s="33">
        <f>IFERROR(VLOOKUP($A42,subQ,MATCH(J$1,SUBQH,0),0),"")</f>
        <v/>
      </c>
      <c r="K42" s="33">
        <f>IFERROR(VLOOKUP($A42,subQ,MATCH(K$1,SUBQH,0),0),"")</f>
        <v/>
      </c>
      <c r="L42" s="33">
        <f>IFERROR(VLOOKUP($A42,subQ,MATCH(L$1,SUBQH,0),0),"")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F43" s="21">
        <f>IFERROR(F5/E5-1,"")</f>
        <v/>
      </c>
      <c r="G43" s="21">
        <f>IFERROR(G5/F5-1,"")</f>
        <v/>
      </c>
      <c r="H43" s="21">
        <f>IFERROR(H5/G5-1,"")</f>
        <v/>
      </c>
      <c r="I43" s="46">
        <f>IFERROR(I5/H5-1,"")</f>
        <v/>
      </c>
      <c r="J43" s="33">
        <f>IFERROR(J5/I5-1,"")</f>
        <v/>
      </c>
      <c r="K43" s="33">
        <f>IFERROR(K5/J5-1,"")</f>
        <v/>
      </c>
      <c r="L43" s="33">
        <f>IFERROR(L5/K5-1,"")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F44" s="21">
        <f>IFERROR(F9/E9-1,"")</f>
        <v/>
      </c>
      <c r="G44" s="21">
        <f>IFERROR(G9/F9-1,"")</f>
        <v/>
      </c>
      <c r="H44" s="21">
        <f>IFERROR(H9/G9-1,"")</f>
        <v/>
      </c>
      <c r="I44" s="46">
        <f>IFERROR(I9/H9-1,"")</f>
        <v/>
      </c>
      <c r="J44" s="33">
        <f>IFERROR(J9/I9-1,"")</f>
        <v/>
      </c>
      <c r="K44" s="33">
        <f>IFERROR(K9/J9-1,"")</f>
        <v/>
      </c>
      <c r="L44" s="33">
        <f>IFERROR(L9/K9-1,"")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F45" s="21">
        <f>IFERROR(F21/E21-1,"")</f>
        <v/>
      </c>
      <c r="G45" s="21">
        <f>IFERROR(G21/F21-1,"")</f>
        <v/>
      </c>
      <c r="H45" s="21">
        <f>IFERROR(H21/G21-1,"")</f>
        <v/>
      </c>
      <c r="I45" s="46">
        <f>IFERROR(I21/H21-1,"")</f>
        <v/>
      </c>
      <c r="J45" s="33">
        <f>IFERROR(J21/I21-1,"")</f>
        <v/>
      </c>
      <c r="K45" s="33">
        <f>IFERROR(K21/J21-1,"")</f>
        <v/>
      </c>
      <c r="L45" s="33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7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-958.4</v>
      </c>
    </row>
    <row r="30">
      <c r="C30" s="2" t="inlineStr">
        <is>
          <t>bps_latest</t>
        </is>
      </c>
      <c r="D30" t="n">
        <v>9785.9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0.22</v>
      </c>
    </row>
    <row r="33">
      <c r="C33" s="2" t="inlineStr">
        <is>
          <t>roe_fwd</t>
        </is>
      </c>
      <c r="D33" t="n">
        <v>-0.0979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