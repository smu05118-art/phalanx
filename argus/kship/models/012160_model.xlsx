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BS연결!$C$5:$AO$108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(1+-10.1%) — g=최근 4분기 합 YoY -10.1% 클립(−30~+50%), 연차별 절반 감쇠(가정)</t>
      </text>
    </comment>
    <comment ref="AD21" authorId="0" shapeId="0">
      <text>
        <t>모델값 역산(implied): v / 전년동기 − 1
전년동기 × (1+-10.1%) — g=최근 4분기 합 YoY -10.1% 클립(−30~+50%), 연차별 절반 감쇠(가정)</t>
      </text>
    </comment>
    <comment ref="AF21" authorId="0" shapeId="0">
      <text>
        <t>모델값 역산(implied): v / 전년동기 − 1
전년동기 × (1+-10.1%) — g=최근 4분기 합 YoY -10.1% 클립(−30~+50%), 연차별 절반 감쇠(가정)</t>
      </text>
    </comment>
    <comment ref="AG21" authorId="0" shapeId="0">
      <text>
        <t>모델값 역산(implied): v / 전년동기 − 1
전년동기 × (1+-10.1%) — g=최근 4분기 합 YoY -10.1% 클립(−30~+50%), 연차별 절반 감쇠(가정)</t>
      </text>
    </comment>
    <comment ref="AH21" authorId="0" shapeId="0">
      <text>
        <t>모델값 역산(implied): v / 전년동기 − 1
전년동기 × (1+-5.1%) — g=최근 4분기 합 YoY -10.1% 클립(−30~+50%), 연차별 절반 감쇠(가정)</t>
      </text>
    </comment>
    <comment ref="AI21" authorId="0" shapeId="0">
      <text>
        <t>모델값 역산(implied): v / 전년동기 − 1
전년동기 × (1+-5.1%) — g=최근 4분기 합 YoY -10.1% 클립(−30~+50%), 연차별 절반 감쇠(가정)</t>
      </text>
    </comment>
    <comment ref="AK21" authorId="0" shapeId="0">
      <text>
        <t>모델값 역산(implied): v / 전년동기 − 1
전년동기 × (1+-5.1%) — g=최근 4분기 합 YoY -10.1% 클립(−30~+50%), 연차별 절반 감쇠(가정)</t>
      </text>
    </comment>
    <comment ref="AL21" authorId="0" shapeId="0">
      <text>
        <t>모델값 역산(implied): v / 전년동기 − 1
전년동기 × (1+-5.1%) — g=최근 4분기 합 YoY -10.1% 클립(−30~+50%), 연차별 절반 감쇠(가정)</t>
      </text>
    </comment>
    <comment ref="AM21" authorId="0" shapeId="0">
      <text>
        <t>모델값 역산(implied): v / 전년동기 − 1
전년동기 × (1+-2.5%) — g=최근 4분기 합 YoY -10.1% 클립(−30~+50%), 연차별 절반 감쇠(가정)</t>
      </text>
    </comment>
    <comment ref="AN21" authorId="0" shapeId="0">
      <text>
        <t>모델값 역산(implied): v / 전년동기 − 1
전년동기 × (1+-2.5%) — g=최근 4분기 합 YoY -10.1% 클립(−30~+50%), 연차별 절반 감쇠(가정)</t>
      </text>
    </comment>
    <comment ref="AC22" authorId="0" shapeId="0">
      <text>
        <t>모델값 역산(implied): v / 매출액
매출액 × 판관비율 7.85%(최근 4분기 중위)</t>
      </text>
    </comment>
    <comment ref="AD22" authorId="0" shapeId="0">
      <text>
        <t>모델값 역산(implied): v / 매출액
매출액 × 판관비율 7.85%(최근 4분기 중위)</t>
      </text>
    </comment>
    <comment ref="AF22" authorId="0" shapeId="0">
      <text>
        <t>모델값 역산(implied): v / 매출액
매출액 × 판관비율 7.85%(최근 4분기 중위)</t>
      </text>
    </comment>
    <comment ref="AG22" authorId="0" shapeId="0">
      <text>
        <t>모델값 역산(implied): v / 매출액
매출액 × 판관비율 7.85%(최근 4분기 중위)</t>
      </text>
    </comment>
    <comment ref="AH22" authorId="0" shapeId="0">
      <text>
        <t>모델값 역산(implied): v / 매출액
매출액 × 판관비율 7.85%(최근 4분기 중위)</t>
      </text>
    </comment>
    <comment ref="AI22" authorId="0" shapeId="0">
      <text>
        <t>모델값 역산(implied): v / 매출액
매출액 × 판관비율 7.85%(최근 4분기 중위)</t>
      </text>
    </comment>
    <comment ref="AK22" authorId="0" shapeId="0">
      <text>
        <t>모델값 역산(implied): v / 매출액
매출액 × 판관비율 7.85%(최근 4분기 중위)</t>
      </text>
    </comment>
    <comment ref="AL22" authorId="0" shapeId="0">
      <text>
        <t>모델값 역산(implied): v / 매출액
매출액 × 판관비율 7.85%(최근 4분기 중위)</t>
      </text>
    </comment>
    <comment ref="AM22" authorId="0" shapeId="0">
      <text>
        <t>모델값 역산(implied): v / 매출액
매출액 × 판관비율 7.85%(최근 4분기 중위)</t>
      </text>
    </comment>
    <comment ref="AN22" authorId="0" shapeId="0">
      <text>
        <t>모델값 역산(implied): v / 매출액
매출액 × 판관비율 7.85%(최근 4분기 중위)</t>
      </text>
    </comment>
    <comment ref="AC23" authorId="0" shapeId="0">
      <text>
        <t>모델값 역산(implied): v / 매출액
매출액 × OPM(최근 8분기 OPM 중위 -1.8% 유지(클립 −20~40%))</t>
      </text>
    </comment>
    <comment ref="AD23" authorId="0" shapeId="0">
      <text>
        <t>모델값 역산(implied): v / 매출액
매출액 × OPM(최근 8분기 OPM 중위 -1.8% 유지(클립 −20~40%))</t>
      </text>
    </comment>
    <comment ref="AF23" authorId="0" shapeId="0">
      <text>
        <t>모델값 역산(implied): v / 매출액
매출액 × OPM(최근 8분기 OPM 중위 -1.8% 유지(클립 −20~40%))</t>
      </text>
    </comment>
    <comment ref="AG23" authorId="0" shapeId="0">
      <text>
        <t>모델값 역산(implied): v / 매출액
매출액 × OPM(최근 8분기 OPM 중위 -1.8% 유지(클립 −20~40%))</t>
      </text>
    </comment>
    <comment ref="AH23" authorId="0" shapeId="0">
      <text>
        <t>모델값 역산(implied): v / 매출액
매출액 × OPM(최근 8분기 OPM 중위 -1.8% 유지(클립 −20~40%))</t>
      </text>
    </comment>
    <comment ref="AI23" authorId="0" shapeId="0">
      <text>
        <t>모델값 역산(implied): v / 매출액
매출액 × OPM(최근 8분기 OPM 중위 -1.8% 유지(클립 −20~40%))</t>
      </text>
    </comment>
    <comment ref="AK23" authorId="0" shapeId="0">
      <text>
        <t>모델값 역산(implied): v / 매출액
매출액 × OPM(최근 8분기 OPM 중위 -1.8% 유지(클립 −20~40%))</t>
      </text>
    </comment>
    <comment ref="AL23" authorId="0" shapeId="0">
      <text>
        <t>모델값 역산(implied): v / 매출액
매출액 × OPM(최근 8분기 OPM 중위 -1.8% 유지(클립 −20~40%))</t>
      </text>
    </comment>
    <comment ref="AM23" authorId="0" shapeId="0">
      <text>
        <t>모델값 역산(implied): v / 매출액
매출액 × OPM(최근 8분기 OPM 중위 -1.8% 유지(클립 −20~40%))</t>
      </text>
    </comment>
    <comment ref="AN23" authorId="0" shapeId="0">
      <text>
        <t>모델값 역산(implied): v / 매출액
매출액 × OPM(최근 8분기 OPM 중위 -1.8% 유지(클립 −20~40%))</t>
      </text>
    </comment>
    <comment ref="AC24" authorId="0" shapeId="0">
      <text>
        <t>모델값 역산(implied): v / 전년동기 − 1
최근 8분기 OPM 중위 -1.8% 유지(클립 −20~40%)</t>
      </text>
    </comment>
    <comment ref="AD24" authorId="0" shapeId="0">
      <text>
        <t>모델값 역산(implied): v / 전년동기 − 1
최근 8분기 OPM 중위 -1.8% 유지(클립 −20~40%)</t>
      </text>
    </comment>
    <comment ref="AF24" authorId="0" shapeId="0">
      <text>
        <t>모델값 역산(implied): v / 전년동기 − 1
최근 8분기 OPM 중위 -1.8% 유지(클립 −20~40%)</t>
      </text>
    </comment>
    <comment ref="AG24" authorId="0" shapeId="0">
      <text>
        <t>모델값 역산(implied): v / 전년동기 − 1
최근 8분기 OPM 중위 -1.8% 유지(클립 −20~40%)</t>
      </text>
    </comment>
    <comment ref="AH24" authorId="0" shapeId="0">
      <text>
        <t>모델값 역산(implied): v / 전년동기 − 1
최근 8분기 OPM 중위 -1.8% 유지(클립 −20~40%)</t>
      </text>
    </comment>
    <comment ref="AI24" authorId="0" shapeId="0">
      <text>
        <t>모델값 역산(implied): v / 전년동기 − 1
최근 8분기 OPM 중위 -1.8% 유지(클립 −20~40%)</t>
      </text>
    </comment>
    <comment ref="AK24" authorId="0" shapeId="0">
      <text>
        <t>모델값 역산(implied): v / 전년동기 − 1
최근 8분기 OPM 중위 -1.8% 유지(클립 −20~40%)</t>
      </text>
    </comment>
    <comment ref="AL24" authorId="0" shapeId="0">
      <text>
        <t>모델값 역산(implied): v / 전년동기 − 1
최근 8분기 OPM 중위 -1.8% 유지(클립 −20~40%)</t>
      </text>
    </comment>
    <comment ref="AM24" authorId="0" shapeId="0">
      <text>
        <t>모델값 역산(implied): v / 전년동기 − 1
최근 8분기 OPM 중위 -1.8% 유지(클립 −20~40%)</t>
      </text>
    </comment>
    <comment ref="AN24" authorId="0" shapeId="0">
      <text>
        <t>모델값 역산(implied): v / 전년동기 − 1
최근 8분기 OPM 중위 -1.8% 유지(클립 −20~40%)</t>
      </text>
    </comment>
    <comment ref="AC25" authorId="0" shapeId="0">
      <text>
        <t>모델값 역산(implied): 모델 v 그대로
이자손익 = 이자발생자산 94억 × 9.30% − 총차입금 1234억 × 6.06% (연율, CF 실측) ÷ 4; 환·평가손익 0 가정</t>
      </text>
    </comment>
    <comment ref="AD25" authorId="0" shapeId="0">
      <text>
        <t>모델값 역산(implied): 모델 v 그대로
이자손익 = 이자발생자산 59억 × 9.30% − 총차입금 1234억 × 6.06% (연율, CF 실측) ÷ 4; 환·평가손익 0 가정</t>
      </text>
    </comment>
    <comment ref="AF25" authorId="0" shapeId="0">
      <text>
        <t>모델값 역산(implied): 모델 v 그대로
이자손익 = 이자발생자산 26억 × 9.30% − 총차입금 1234억 × 6.06% (연율, CF 실측) ÷ 4; 환·평가손익 0 가정</t>
      </text>
    </comment>
    <comment ref="AG25" authorId="0" shapeId="0">
      <text>
        <t>모델값 역산(implied): 모델 v 그대로
이자손익 = 이자발생자산 -8억 × 9.30% − 총차입금 1234억 × 6.06% (연율, CF 실측) ÷ 4; 환·평가손익 0 가정</t>
      </text>
    </comment>
    <comment ref="AH25" authorId="0" shapeId="0">
      <text>
        <t>모델값 역산(implied): 모델 v 그대로
이자손익 = 이자발생자산 -45억 × 9.30% − 총차입금 1234억 × 6.06% (연율, CF 실측) ÷ 4; 환·평가손익 0 가정</t>
      </text>
    </comment>
    <comment ref="AI25" authorId="0" shapeId="0">
      <text>
        <t>모델값 역산(implied): 모델 v 그대로
이자손익 = 이자발생자산 -82억 × 9.30% − 총차입금 1234억 × 6.06% (연율, CF 실측) ÷ 4; 환·평가손익 0 가정</t>
      </text>
    </comment>
    <comment ref="AK25" authorId="0" shapeId="0">
      <text>
        <t>모델값 역산(implied): 모델 v 그대로
이자손익 = 이자발생자산 -118억 × 9.30% − 총차입금 1234억 × 6.06% (연율, CF 실측) ÷ 4; 환·평가손익 0 가정</t>
      </text>
    </comment>
    <comment ref="AL25" authorId="0" shapeId="0">
      <text>
        <t>모델값 역산(implied): 모델 v 그대로
이자손익 = 이자발생자산 -154억 × 9.30% − 총차입금 1234억 × 6.06% (연율, CF 실측) ÷ 4; 환·평가손익 0 가정</t>
      </text>
    </comment>
    <comment ref="AM25" authorId="0" shapeId="0">
      <text>
        <t>모델값 역산(implied): 모델 v 그대로
이자손익 = 이자발생자산 -194억 × 9.30% − 총차입금 1234억 × 6.06% (연율, CF 실측) ÷ 4; 환·평가손익 0 가정</t>
      </text>
    </comment>
    <comment ref="AN25" authorId="0" shapeId="0">
      <text>
        <t>모델값 역산(implied): 모델 v 그대로
이자손익 = 이자발생자산 -234억 × 9.30% − 총차입금 1234억 × 6.06%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22.0%(세전 합 ≤ 0 → 법정세율 근사 22% 가정)</t>
      </text>
    </comment>
    <comment ref="AD28" authorId="0" shapeId="0">
      <text>
        <t>모델값 역산(implied): v / 세전이익
max(세전, 0) × 세율 22.0%(세전 합 ≤ 0 → 법정세율 근사 22% 가정)</t>
      </text>
    </comment>
    <comment ref="AF28" authorId="0" shapeId="0">
      <text>
        <t>모델값 역산(implied): v / 세전이익
max(세전, 0) × 세율 22.0%(세전 합 ≤ 0 → 법정세율 근사 22% 가정)</t>
      </text>
    </comment>
    <comment ref="AG28" authorId="0" shapeId="0">
      <text>
        <t>모델값 역산(implied): v / 세전이익
max(세전, 0) × 세율 22.0%(세전 합 ≤ 0 → 법정세율 근사 22% 가정)</t>
      </text>
    </comment>
    <comment ref="AH28" authorId="0" shapeId="0">
      <text>
        <t>모델값 역산(implied): v / 세전이익
max(세전, 0) × 세율 22.0%(세전 합 ≤ 0 → 법정세율 근사 22% 가정)</t>
      </text>
    </comment>
    <comment ref="AI28" authorId="0" shapeId="0">
      <text>
        <t>모델값 역산(implied): v / 세전이익
max(세전, 0) × 세율 22.0%(세전 합 ≤ 0 → 법정세율 근사 22% 가정)</t>
      </text>
    </comment>
    <comment ref="AK28" authorId="0" shapeId="0">
      <text>
        <t>모델값 역산(implied): v / 세전이익
max(세전, 0) × 세율 22.0%(세전 합 ≤ 0 → 법정세율 근사 22% 가정)</t>
      </text>
    </comment>
    <comment ref="AL28" authorId="0" shapeId="0">
      <text>
        <t>모델값 역산(implied): v / 세전이익
max(세전, 0) × 세율 22.0%(세전 합 ≤ 0 → 법정세율 근사 22% 가정)</t>
      </text>
    </comment>
    <comment ref="AM28" authorId="0" shapeId="0">
      <text>
        <t>모델값 역산(implied): v / 세전이익
max(세전, 0) × 세율 22.0%(세전 합 ≤ 0 → 법정세율 근사 22% 가정)</t>
      </text>
    </comment>
    <comment ref="AN28" authorId="0" shapeId="0">
      <text>
        <t>모델값 역산(implied): v / 세전이익
max(세전, 0) × 세율 22.0%(세전 합 ≤ 0 → 법정세율 근사 22% 가정)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(순이익 − 배당): 순이익 = 순현금 증가 가정(CAPEX≈감가, 운전자본 불변)</t>
      </text>
    </comment>
    <comment ref="AD35" authorId="0" shapeId="0">
      <text>
        <t>모델값 역산(implied): v / 전분기 − 1
전분기 − (순이익 − 배당): 순이익 = 순현금 증가 가정(CAPEX≈감가, 운전자본 불변)</t>
      </text>
    </comment>
    <comment ref="AF35" authorId="0" shapeId="0">
      <text>
        <t>모델값 역산(implied): v / 전분기 − 1
전분기 − (순이익 − 배당): 순이익 = 순현금 증가 가정(CAPEX≈감가, 운전자본 불변)</t>
      </text>
    </comment>
    <comment ref="AG35" authorId="0" shapeId="0">
      <text>
        <t>모델값 역산(implied): v / 전분기 − 1
전분기 − (순이익 − 배당): 순이익 = 순현금 증가 가정(CAPEX≈감가, 운전자본 불변)</t>
      </text>
    </comment>
    <comment ref="AH35" authorId="0" shapeId="0">
      <text>
        <t>모델값 역산(implied): v / 전분기 − 1
전분기 − (순이익 − 배당): 순이익 = 순현금 증가 가정(CAPEX≈감가, 운전자본 불변)</t>
      </text>
    </comment>
    <comment ref="AI35" authorId="0" shapeId="0">
      <text>
        <t>모델값 역산(implied): v / 전분기 − 1
전분기 − (순이익 − 배당): 순이익 = 순현금 증가 가정(CAPEX≈감가, 운전자본 불변)</t>
      </text>
    </comment>
    <comment ref="AK35" authorId="0" shapeId="0">
      <text>
        <t>모델값 역산(implied): v / 전분기 − 1
전분기 − (순이익 − 배당): 순이익 = 순현금 증가 가정(CAPEX≈감가, 운전자본 불변)</t>
      </text>
    </comment>
    <comment ref="AL35" authorId="0" shapeId="0">
      <text>
        <t>모델값 역산(implied): v / 전분기 − 1
전분기 − (순이익 − 배당): 순이익 = 순현금 증가 가정(CAPEX≈감가, 운전자본 불변)</t>
      </text>
    </comment>
    <comment ref="AM35" authorId="0" shapeId="0">
      <text>
        <t>모델값 역산(implied): v / 전분기 − 1
전분기 − (순이익 − 배당): 순이익 = 순현금 증가 가정(CAPEX≈감가, 운전자본 불변)</t>
      </text>
    </comment>
    <comment ref="AN35" authorId="0" shapeId="0">
      <text>
        <t>모델값 역산(implied): v / 전분기 − 1
전분기 − (순이익 − 배당): 순이익 = 순현금 증가 가정(CAPEX≈감가, 운전자본 불변)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(1+-10.1%) — g=최근 4분기 합 YoY -10.1% 클립(−30~+50%), 연차별 절반 감쇠(가정)
[yoy]</t>
      </text>
    </comment>
    <comment ref="AD5" authorId="0" shapeId="0">
      <text>
        <t>추정: 전년동기 × (1+-10.1%) — g=최근 4분기 합 YoY -10.1% 클립(−30~+50%), 연차별 절반 감쇠(가정)
[yoy]</t>
      </text>
    </comment>
    <comment ref="AF5" authorId="0" shapeId="0">
      <text>
        <t>추정: 전년동기 × (1+-10.1%) — g=최근 4분기 합 YoY -10.1% 클립(−30~+50%), 연차별 절반 감쇠(가정)
[yoy]</t>
      </text>
    </comment>
    <comment ref="AG5" authorId="0" shapeId="0">
      <text>
        <t>추정: 전년동기 × (1+-10.1%) — g=최근 4분기 합 YoY -10.1% 클립(−30~+50%), 연차별 절반 감쇠(가정)
[yoy]</t>
      </text>
    </comment>
    <comment ref="AH5" authorId="0" shapeId="0">
      <text>
        <t>추정: 전년동기 × (1+-5.1%) — g=최근 4분기 합 YoY -10.1% 클립(−30~+50%), 연차별 절반 감쇠(가정)
[yoy]</t>
      </text>
    </comment>
    <comment ref="AI5" authorId="0" shapeId="0">
      <text>
        <t>추정: 전년동기 × (1+-5.1%) — g=최근 4분기 합 YoY -10.1% 클립(−30~+50%), 연차별 절반 감쇠(가정)
[yoy]</t>
      </text>
    </comment>
    <comment ref="AK5" authorId="0" shapeId="0">
      <text>
        <t>추정: 전년동기 × (1+-5.1%) — g=최근 4분기 합 YoY -10.1% 클립(−30~+50%), 연차별 절반 감쇠(가정)
[yoy]</t>
      </text>
    </comment>
    <comment ref="AL5" authorId="0" shapeId="0">
      <text>
        <t>추정: 전년동기 × (1+-5.1%) — g=최근 4분기 합 YoY -10.1% 클립(−30~+50%), 연차별 절반 감쇠(가정)
[yoy]</t>
      </text>
    </comment>
    <comment ref="AM5" authorId="0" shapeId="0">
      <text>
        <t>추정: 전년동기 × (1+-2.5%) — g=최근 4분기 합 YoY -10.1% 클립(−30~+50%), 연차별 절반 감쇠(가정)
[yoy]</t>
      </text>
    </comment>
    <comment ref="AN5" authorId="0" shapeId="0">
      <text>
        <t>추정: 전년동기 × (1+-2.5%) — g=최근 4분기 합 YoY -10.1%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7.85%(최근 4분기 중위)
[ratio]</t>
      </text>
    </comment>
    <comment ref="AD8" authorId="0" shapeId="0">
      <text>
        <t>추정: 매출액 × 판관비율 7.85%(최근 4분기 중위)
[ratio]</t>
      </text>
    </comment>
    <comment ref="AF8" authorId="0" shapeId="0">
      <text>
        <t>추정: 매출액 × 판관비율 7.85%(최근 4분기 중위)
[ratio]</t>
      </text>
    </comment>
    <comment ref="AG8" authorId="0" shapeId="0">
      <text>
        <t>추정: 매출액 × 판관비율 7.85%(최근 4분기 중위)
[ratio]</t>
      </text>
    </comment>
    <comment ref="AH8" authorId="0" shapeId="0">
      <text>
        <t>추정: 매출액 × 판관비율 7.85%(최근 4분기 중위)
[ratio]</t>
      </text>
    </comment>
    <comment ref="AI8" authorId="0" shapeId="0">
      <text>
        <t>추정: 매출액 × 판관비율 7.85%(최근 4분기 중위)
[ratio]</t>
      </text>
    </comment>
    <comment ref="AK8" authorId="0" shapeId="0">
      <text>
        <t>추정: 매출액 × 판관비율 7.85%(최근 4분기 중위)
[ratio]</t>
      </text>
    </comment>
    <comment ref="AL8" authorId="0" shapeId="0">
      <text>
        <t>추정: 매출액 × 판관비율 7.85%(최근 4분기 중위)
[ratio]</t>
      </text>
    </comment>
    <comment ref="AM8" authorId="0" shapeId="0">
      <text>
        <t>추정: 매출액 × 판관비율 7.85%(최근 4분기 중위)
[ratio]</t>
      </text>
    </comment>
    <comment ref="AN8" authorId="0" shapeId="0">
      <text>
        <t>추정: 매출액 × 판관비율 7.85%(최근 4분기 중위)
[ratio]</t>
      </text>
    </comment>
    <comment ref="AC9" authorId="0" shapeId="0">
      <text>
        <t>추정: 매출액 × OPM(최근 8분기 OPM 중위 -1.8% 유지(클립 −20~40%))
[ratio]</t>
      </text>
    </comment>
    <comment ref="AD9" authorId="0" shapeId="0">
      <text>
        <t>추정: 매출액 × OPM(최근 8분기 OPM 중위 -1.8% 유지(클립 −20~40%))
[ratio]</t>
      </text>
    </comment>
    <comment ref="AF9" authorId="0" shapeId="0">
      <text>
        <t>추정: 매출액 × OPM(최근 8분기 OPM 중위 -1.8% 유지(클립 −20~40%))
[ratio]</t>
      </text>
    </comment>
    <comment ref="AG9" authorId="0" shapeId="0">
      <text>
        <t>추정: 매출액 × OPM(최근 8분기 OPM 중위 -1.8% 유지(클립 −20~40%))
[ratio]</t>
      </text>
    </comment>
    <comment ref="AH9" authorId="0" shapeId="0">
      <text>
        <t>추정: 매출액 × OPM(최근 8분기 OPM 중위 -1.8% 유지(클립 −20~40%))
[ratio]</t>
      </text>
    </comment>
    <comment ref="AI9" authorId="0" shapeId="0">
      <text>
        <t>추정: 매출액 × OPM(최근 8분기 OPM 중위 -1.8% 유지(클립 −20~40%))
[ratio]</t>
      </text>
    </comment>
    <comment ref="AK9" authorId="0" shapeId="0">
      <text>
        <t>추정: 매출액 × OPM(최근 8분기 OPM 중위 -1.8% 유지(클립 −20~40%))
[ratio]</t>
      </text>
    </comment>
    <comment ref="AL9" authorId="0" shapeId="0">
      <text>
        <t>추정: 매출액 × OPM(최근 8분기 OPM 중위 -1.8% 유지(클립 −20~40%))
[ratio]</t>
      </text>
    </comment>
    <comment ref="AM9" authorId="0" shapeId="0">
      <text>
        <t>추정: 매출액 × OPM(최근 8분기 OPM 중위 -1.8% 유지(클립 −20~40%))
[ratio]</t>
      </text>
    </comment>
    <comment ref="AN9" authorId="0" shapeId="0">
      <text>
        <t>추정: 매출액 × OPM(최근 8분기 OPM 중위 -1.8%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-1.8% 유지(클립 −20~40%)
[yoy]</t>
      </text>
    </comment>
    <comment ref="AD10" authorId="0" shapeId="0">
      <text>
        <t>추정: 최근 8분기 OPM 중위 -1.8% 유지(클립 −20~40%)
[yoy]</t>
      </text>
    </comment>
    <comment ref="AF10" authorId="0" shapeId="0">
      <text>
        <t>추정: 최근 8분기 OPM 중위 -1.8% 유지(클립 −20~40%)
[yoy]</t>
      </text>
    </comment>
    <comment ref="AG10" authorId="0" shapeId="0">
      <text>
        <t>추정: 최근 8분기 OPM 중위 -1.8% 유지(클립 −20~40%)
[yoy]</t>
      </text>
    </comment>
    <comment ref="AH10" authorId="0" shapeId="0">
      <text>
        <t>추정: 최근 8분기 OPM 중위 -1.8% 유지(클립 −20~40%)
[yoy]</t>
      </text>
    </comment>
    <comment ref="AI10" authorId="0" shapeId="0">
      <text>
        <t>추정: 최근 8분기 OPM 중위 -1.8% 유지(클립 −20~40%)
[yoy]</t>
      </text>
    </comment>
    <comment ref="AK10" authorId="0" shapeId="0">
      <text>
        <t>추정: 최근 8분기 OPM 중위 -1.8% 유지(클립 −20~40%)
[yoy]</t>
      </text>
    </comment>
    <comment ref="AL10" authorId="0" shapeId="0">
      <text>
        <t>추정: 최근 8분기 OPM 중위 -1.8% 유지(클립 −20~40%)
[yoy]</t>
      </text>
    </comment>
    <comment ref="AM10" authorId="0" shapeId="0">
      <text>
        <t>추정: 최근 8분기 OPM 중위 -1.8% 유지(클립 −20~40%)
[yoy]</t>
      </text>
    </comment>
    <comment ref="AN10" authorId="0" shapeId="0">
      <text>
        <t>추정: 최근 8분기 OPM 중위 -1.8% 유지(클립 −20~40%)
[yoy]</t>
      </text>
    </comment>
    <comment ref="AC11" authorId="0" shapeId="0">
      <text>
        <t>추정: 이자손익 = 이자발생자산 94억 × 9.30% − 총차입금 1234억 × 6.06% (연율, CF 실측) ÷ 4; 환·평가손익 0 가정
[abs]</t>
      </text>
    </comment>
    <comment ref="AD11" authorId="0" shapeId="0">
      <text>
        <t>추정: 이자손익 = 이자발생자산 59억 × 9.30% − 총차입금 1234억 × 6.06% (연율, CF 실측) ÷ 4; 환·평가손익 0 가정
[abs]</t>
      </text>
    </comment>
    <comment ref="AF11" authorId="0" shapeId="0">
      <text>
        <t>추정: 이자손익 = 이자발생자산 26억 × 9.30% − 총차입금 1234억 × 6.06% (연율, CF 실측) ÷ 4; 환·평가손익 0 가정
[abs]</t>
      </text>
    </comment>
    <comment ref="AG11" authorId="0" shapeId="0">
      <text>
        <t>추정: 이자손익 = 이자발생자산 -8억 × 9.30% − 총차입금 1234억 × 6.06% (연율, CF 실측) ÷ 4; 환·평가손익 0 가정
[abs]</t>
      </text>
    </comment>
    <comment ref="AH11" authorId="0" shapeId="0">
      <text>
        <t>추정: 이자손익 = 이자발생자산 -45억 × 9.30% − 총차입금 1234억 × 6.06% (연율, CF 실측) ÷ 4; 환·평가손익 0 가정
[abs]</t>
      </text>
    </comment>
    <comment ref="AI11" authorId="0" shapeId="0">
      <text>
        <t>추정: 이자손익 = 이자발생자산 -82억 × 9.30% − 총차입금 1234억 × 6.06% (연율, CF 실측) ÷ 4; 환·평가손익 0 가정
[abs]</t>
      </text>
    </comment>
    <comment ref="AK11" authorId="0" shapeId="0">
      <text>
        <t>추정: 이자손익 = 이자발생자산 -118억 × 9.30% − 총차입금 1234억 × 6.06% (연율, CF 실측) ÷ 4; 환·평가손익 0 가정
[abs]</t>
      </text>
    </comment>
    <comment ref="AL11" authorId="0" shapeId="0">
      <text>
        <t>추정: 이자손익 = 이자발생자산 -154억 × 9.30% − 총차입금 1234억 × 6.06% (연율, CF 실측) ÷ 4; 환·평가손익 0 가정
[abs]</t>
      </text>
    </comment>
    <comment ref="AM11" authorId="0" shapeId="0">
      <text>
        <t>추정: 이자손익 = 이자발생자산 -194억 × 9.30% − 총차입금 1234억 × 6.06% (연율, CF 실측) ÷ 4; 환·평가손익 0 가정
[abs]</t>
      </text>
    </comment>
    <comment ref="AN11" authorId="0" shapeId="0">
      <text>
        <t>추정: 이자손익 = 이자발생자산 -234억 × 9.30% − 총차입금 1234억 × 6.06%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22.0%(세전 합 ≤ 0 → 법정세율 근사 22% 가정)
[ratio]</t>
      </text>
    </comment>
    <comment ref="AD15" authorId="0" shapeId="0">
      <text>
        <t>추정: max(세전, 0) × 세율 22.0%(세전 합 ≤ 0 → 법정세율 근사 22% 가정)
[ratio]</t>
      </text>
    </comment>
    <comment ref="AF15" authorId="0" shapeId="0">
      <text>
        <t>추정: max(세전, 0) × 세율 22.0%(세전 합 ≤ 0 → 법정세율 근사 22% 가정)
[ratio]</t>
      </text>
    </comment>
    <comment ref="AG15" authorId="0" shapeId="0">
      <text>
        <t>추정: max(세전, 0) × 세율 22.0%(세전 합 ≤ 0 → 법정세율 근사 22% 가정)
[ratio]</t>
      </text>
    </comment>
    <comment ref="AH15" authorId="0" shapeId="0">
      <text>
        <t>추정: max(세전, 0) × 세율 22.0%(세전 합 ≤ 0 → 법정세율 근사 22% 가정)
[ratio]</t>
      </text>
    </comment>
    <comment ref="AI15" authorId="0" shapeId="0">
      <text>
        <t>추정: max(세전, 0) × 세율 22.0%(세전 합 ≤ 0 → 법정세율 근사 22% 가정)
[ratio]</t>
      </text>
    </comment>
    <comment ref="AK15" authorId="0" shapeId="0">
      <text>
        <t>추정: max(세전, 0) × 세율 22.0%(세전 합 ≤ 0 → 법정세율 근사 22% 가정)
[ratio]</t>
      </text>
    </comment>
    <comment ref="AL15" authorId="0" shapeId="0">
      <text>
        <t>추정: max(세전, 0) × 세율 22.0%(세전 합 ≤ 0 → 법정세율 근사 22% 가정)
[ratio]</t>
      </text>
    </comment>
    <comment ref="AM15" authorId="0" shapeId="0">
      <text>
        <t>추정: max(세전, 0) × 세율 22.0%(세전 합 ≤ 0 → 법정세율 근사 22% 가정)
[ratio]</t>
      </text>
    </comment>
    <comment ref="AN15" authorId="0" shapeId="0">
      <text>
        <t>추정: max(세전, 0) × 세율 22.0%(세전 합 ≤ 0 → 법정세율 근사 22% 가정)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E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V18" authorId="0" shapeId="0">
      <text>
        <t>실측(계정 매핑 없음 — 모델값 직접) — fin.cons.is.중단사업이익</t>
      </text>
    </comment>
    <comment ref="Y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(순이익 − 배당): 순이익 = 순현금 증가 가정(CAPEX≈감가, 운전자본 불변)
[qoq]</t>
      </text>
    </comment>
    <comment ref="AD24" authorId="0" shapeId="0">
      <text>
        <t>추정: 전분기 − (순이익 − 배당): 순이익 = 순현금 증가 가정(CAPEX≈감가, 운전자본 불변)
[qoq]</t>
      </text>
    </comment>
    <comment ref="AF24" authorId="0" shapeId="0">
      <text>
        <t>추정: 전분기 − (순이익 − 배당): 순이익 = 순현금 증가 가정(CAPEX≈감가, 운전자본 불변)
[qoq]</t>
      </text>
    </comment>
    <comment ref="AG24" authorId="0" shapeId="0">
      <text>
        <t>추정: 전분기 − (순이익 − 배당): 순이익 = 순현금 증가 가정(CAPEX≈감가, 운전자본 불변)
[qoq]</t>
      </text>
    </comment>
    <comment ref="AH24" authorId="0" shapeId="0">
      <text>
        <t>추정: 전분기 − (순이익 − 배당): 순이익 = 순현금 증가 가정(CAPEX≈감가, 운전자본 불변)
[qoq]</t>
      </text>
    </comment>
    <comment ref="AI24" authorId="0" shapeId="0">
      <text>
        <t>추정: 전분기 − (순이익 − 배당): 순이익 = 순현금 증가 가정(CAPEX≈감가, 운전자본 불변)
[qoq]</t>
      </text>
    </comment>
    <comment ref="AK24" authorId="0" shapeId="0">
      <text>
        <t>추정: 전분기 − (순이익 − 배당): 순이익 = 순현금 증가 가정(CAPEX≈감가, 운전자본 불변)
[qoq]</t>
      </text>
    </comment>
    <comment ref="AL24" authorId="0" shapeId="0">
      <text>
        <t>추정: 전분기 − (순이익 − 배당): 순이익 = 순현금 증가 가정(CAPEX≈감가, 운전자본 불변)
[qoq]</t>
      </text>
    </comment>
    <comment ref="AM24" authorId="0" shapeId="0">
      <text>
        <t>추정: 전분기 − (순이익 − 배당): 순이익 = 순현금 증가 가정(CAPEX≈감가, 운전자본 불변)
[qoq]</t>
      </text>
    </comment>
    <comment ref="AN24" authorId="0" shapeId="0">
      <text>
        <t>추정: 전분기 − (순이익 − 배당): 순이익 = 순현금 증가 가정(CAPEX≈감가, 운전자본 불변)
[qoq]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영흥(012160)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assets/models/012160.json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2025Q4: 비영업손익 -237억(영업이익 -22억의 11배, 12분기 중위 33억) → 지배NI -116억·EPS·FY2025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2.5, "op_wape_pct": 86.5,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1092.86, "rev_act": 1098.95, "op_pred": -9.26, "op_act": -69.66}, {"q": "2025Q4", "rev_pred": 1004.22, "rev_act": 963.22, "op_pred": -8.51, "op_act": -22.38}, {"q": "2026Q1", "rev_pred": 1019.23, "rev_act": 964.25, "op_pred": -8.63, "op_act": -14.39}, {"q": "2026Q2", "rev_pred": 1067.88, "rev_act": 1067.67, "op_pred": -9.05, "op_act": 21.74}]}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5275</v>
      </c>
      <c r="F15" s="9" t="n"/>
      <c r="G15" s="18" t="n">
        <v>5050</v>
      </c>
      <c r="H15" s="18" t="n">
        <v>3825</v>
      </c>
      <c r="I15" s="18" t="n">
        <v>3495</v>
      </c>
      <c r="J15" s="18" t="n">
        <v>3545</v>
      </c>
      <c r="K15" s="9" t="n"/>
      <c r="L15" s="18" t="n">
        <v>3810</v>
      </c>
      <c r="M15" s="18" t="n">
        <v>3875</v>
      </c>
      <c r="N15" s="18" t="n">
        <v>3065</v>
      </c>
      <c r="O15" s="18" t="n">
        <v>2815</v>
      </c>
      <c r="P15" s="9" t="n"/>
      <c r="Q15" s="18" t="n">
        <v>2575</v>
      </c>
      <c r="R15" s="18" t="n">
        <v>2625</v>
      </c>
      <c r="S15" s="18" t="n">
        <v>2430</v>
      </c>
      <c r="T15" s="18" t="n">
        <v>2030</v>
      </c>
      <c r="U15" s="9" t="n"/>
      <c r="V15" s="18" t="n">
        <v>1955</v>
      </c>
      <c r="W15" s="18" t="n">
        <v>2715</v>
      </c>
      <c r="X15" s="18" t="n">
        <v>2825</v>
      </c>
      <c r="Y15" s="18" t="n">
        <v>2445</v>
      </c>
      <c r="Z15" s="9" t="n"/>
      <c r="AA15" s="18" t="n">
        <v>2750</v>
      </c>
      <c r="AB15" s="19" t="n">
        <v>1350</v>
      </c>
      <c r="AC15" s="20" t="n">
        <v>2120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5900</v>
      </c>
      <c r="F16" s="9" t="n"/>
      <c r="G16" s="18" t="n">
        <v>5425</v>
      </c>
      <c r="H16" s="18" t="n">
        <v>5575</v>
      </c>
      <c r="I16" s="18" t="n">
        <v>4470</v>
      </c>
      <c r="J16" s="18" t="n">
        <v>3905</v>
      </c>
      <c r="K16" s="9" t="n"/>
      <c r="L16" s="18" t="n">
        <v>4180</v>
      </c>
      <c r="M16" s="18" t="n">
        <v>4065</v>
      </c>
      <c r="N16" s="18" t="n">
        <v>3935</v>
      </c>
      <c r="O16" s="18" t="n">
        <v>3410</v>
      </c>
      <c r="P16" s="9" t="n"/>
      <c r="Q16" s="18" t="n">
        <v>2890</v>
      </c>
      <c r="R16" s="18" t="n">
        <v>3050</v>
      </c>
      <c r="S16" s="18" t="n">
        <v>2725</v>
      </c>
      <c r="T16" s="18" t="n">
        <v>2450</v>
      </c>
      <c r="U16" s="9" t="n"/>
      <c r="V16" s="18" t="n">
        <v>2175</v>
      </c>
      <c r="W16" s="18" t="n">
        <v>3185</v>
      </c>
      <c r="X16" s="18" t="n">
        <v>3670</v>
      </c>
      <c r="Y16" s="18" t="n">
        <v>3285</v>
      </c>
      <c r="Z16" s="9" t="n"/>
      <c r="AA16" s="18" t="n">
        <v>4040</v>
      </c>
      <c r="AB16" s="19" t="n">
        <v>2950</v>
      </c>
      <c r="AC16" s="20" t="n">
        <v>3020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4830</v>
      </c>
      <c r="F17" s="9" t="n"/>
      <c r="G17" s="18" t="n">
        <v>4350</v>
      </c>
      <c r="H17" s="18" t="n">
        <v>3330</v>
      </c>
      <c r="I17" s="18" t="n">
        <v>3335</v>
      </c>
      <c r="J17" s="18" t="n">
        <v>3030</v>
      </c>
      <c r="K17" s="9" t="n"/>
      <c r="L17" s="18" t="n">
        <v>3370</v>
      </c>
      <c r="M17" s="18" t="n">
        <v>3575</v>
      </c>
      <c r="N17" s="18" t="n">
        <v>3020</v>
      </c>
      <c r="O17" s="18" t="n">
        <v>2590</v>
      </c>
      <c r="P17" s="9" t="n"/>
      <c r="Q17" s="18" t="n">
        <v>2550</v>
      </c>
      <c r="R17" s="18" t="n">
        <v>2415</v>
      </c>
      <c r="S17" s="18" t="n">
        <v>2335</v>
      </c>
      <c r="T17" s="18" t="n">
        <v>1795</v>
      </c>
      <c r="U17" s="9" t="n"/>
      <c r="V17" s="18" t="n">
        <v>1950</v>
      </c>
      <c r="W17" s="18" t="n">
        <v>1795</v>
      </c>
      <c r="X17" s="18" t="n">
        <v>2435</v>
      </c>
      <c r="Y17" s="18" t="n">
        <v>2410</v>
      </c>
      <c r="Z17" s="9" t="n"/>
      <c r="AA17" s="18" t="n">
        <v>2235</v>
      </c>
      <c r="AB17" s="19" t="n">
        <v>1281</v>
      </c>
      <c r="AC17" s="20" t="n">
        <v>1284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5327.9</v>
      </c>
      <c r="F18" s="9" t="n"/>
      <c r="G18" s="18" t="n">
        <v>4851.4</v>
      </c>
      <c r="H18" s="18" t="n">
        <v>4796.3</v>
      </c>
      <c r="I18" s="18" t="n">
        <v>4012.5</v>
      </c>
      <c r="J18" s="18" t="n">
        <v>3587.5</v>
      </c>
      <c r="K18" s="9" t="n"/>
      <c r="L18" s="18" t="n">
        <v>3846.2</v>
      </c>
      <c r="M18" s="18" t="n">
        <v>3777.8</v>
      </c>
      <c r="N18" s="18" t="n">
        <v>3423.7</v>
      </c>
      <c r="O18" s="18" t="n">
        <v>2846.2</v>
      </c>
      <c r="P18" s="9" t="n"/>
      <c r="Q18" s="18" t="n">
        <v>2714.3</v>
      </c>
      <c r="R18" s="18" t="n">
        <v>2592.8</v>
      </c>
      <c r="S18" s="18" t="n">
        <v>2509.2</v>
      </c>
      <c r="T18" s="18" t="n">
        <v>2191.1</v>
      </c>
      <c r="U18" s="9" t="n"/>
      <c r="V18" s="18" t="n">
        <v>2034.6</v>
      </c>
      <c r="W18" s="18" t="n">
        <v>2397</v>
      </c>
      <c r="X18" s="18" t="n">
        <v>2891.5</v>
      </c>
      <c r="Y18" s="18" t="n">
        <v>2732.4</v>
      </c>
      <c r="Z18" s="9" t="n"/>
      <c r="AA18" s="18" t="n">
        <v>2643.8</v>
      </c>
      <c r="AB18" s="19" t="n">
        <v>2253.3</v>
      </c>
      <c r="AC18" s="20" t="n">
        <v>2271.6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-0.101419</v>
      </c>
      <c r="AD21" s="24" t="n">
        <v>-0.10142</v>
      </c>
      <c r="AE21" s="25" t="n"/>
      <c r="AF21" s="24" t="n">
        <v>-0.101427</v>
      </c>
      <c r="AG21" s="24" t="n">
        <v>-0.101425</v>
      </c>
      <c r="AH21" s="24" t="n">
        <v>-0.050714</v>
      </c>
      <c r="AI21" s="24" t="n">
        <v>-0.05072</v>
      </c>
      <c r="AJ21" s="25" t="n"/>
      <c r="AK21" s="24" t="n">
        <v>-0.050701</v>
      </c>
      <c r="AL21" s="24" t="n">
        <v>-0.05071</v>
      </c>
      <c r="AM21" s="24" t="n">
        <v>-0.025357</v>
      </c>
      <c r="AN21" s="24" t="n">
        <v>-0.025352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0.078471</v>
      </c>
      <c r="AD22" s="24" t="n">
        <v>0.078472</v>
      </c>
      <c r="AE22" s="25">
        <f>IFERROR(subQ!AE8/subQ!AE5,"")</f>
        <v/>
      </c>
      <c r="AF22" s="24" t="n">
        <v>0.078481</v>
      </c>
      <c r="AG22" s="24" t="n">
        <v>0.07847800000000001</v>
      </c>
      <c r="AH22" s="24" t="n">
        <v>0.078471</v>
      </c>
      <c r="AI22" s="24" t="n">
        <v>0.07847800000000001</v>
      </c>
      <c r="AJ22" s="25">
        <f>IFERROR(subQ!AJ8/subQ!AJ5,"")</f>
        <v/>
      </c>
      <c r="AK22" s="24" t="n">
        <v>0.07847800000000001</v>
      </c>
      <c r="AL22" s="24" t="n">
        <v>0.078476</v>
      </c>
      <c r="AM22" s="24" t="n">
        <v>0.078476</v>
      </c>
      <c r="AN22" s="24" t="n">
        <v>0.078472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-0.017711</v>
      </c>
      <c r="AD23" s="24" t="n">
        <v>-0.017712</v>
      </c>
      <c r="AE23" s="25">
        <f>IFERROR(subQ!AE9/subQ!AE5,"")</f>
        <v/>
      </c>
      <c r="AF23" s="24" t="n">
        <v>-0.017716</v>
      </c>
      <c r="AG23" s="24" t="n">
        <v>-0.017709</v>
      </c>
      <c r="AH23" s="24" t="n">
        <v>-0.017708</v>
      </c>
      <c r="AI23" s="24" t="n">
        <v>-0.017709</v>
      </c>
      <c r="AJ23" s="25">
        <f>IFERROR(subQ!AJ9/subQ!AJ5,"")</f>
        <v/>
      </c>
      <c r="AK23" s="24" t="n">
        <v>-0.017714</v>
      </c>
      <c r="AL23" s="24" t="n">
        <v>-0.017711</v>
      </c>
      <c r="AM23" s="24" t="n">
        <v>-0.017709</v>
      </c>
      <c r="AN23" s="24" t="n">
        <v>-0.017707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-0.72082</v>
      </c>
      <c r="AD24" s="24" t="n">
        <v>-0.237069</v>
      </c>
      <c r="AE24" s="25" t="n"/>
      <c r="AF24" s="24" t="n">
        <v>0.187919</v>
      </c>
      <c r="AG24" s="24" t="n">
        <v>-1.867647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-16.5</v>
      </c>
      <c r="AD25" s="29" t="n">
        <v>-17.31</v>
      </c>
      <c r="AE25" s="30">
        <f>subQ!AE11</f>
        <v/>
      </c>
      <c r="AF25" s="29" t="n">
        <v>-18.08</v>
      </c>
      <c r="AG25" s="29" t="n">
        <v>-18.88</v>
      </c>
      <c r="AH25" s="29" t="n">
        <v>-19.73</v>
      </c>
      <c r="AI25" s="29" t="n">
        <v>-20.59</v>
      </c>
      <c r="AJ25" s="30">
        <f>subQ!AJ11</f>
        <v/>
      </c>
      <c r="AK25" s="29" t="n">
        <v>-21.43</v>
      </c>
      <c r="AL25" s="29" t="n">
        <v>-22.28</v>
      </c>
      <c r="AM25" s="29" t="n">
        <v>-23.19</v>
      </c>
      <c r="AN25" s="29" t="n">
        <v>-24.12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-0.74</v>
      </c>
      <c r="AD27" s="29" t="n">
        <v>-0.74</v>
      </c>
      <c r="AE27" s="30">
        <f>subQ!AE13</f>
        <v/>
      </c>
      <c r="AF27" s="29" t="n">
        <v>-0.74</v>
      </c>
      <c r="AG27" s="29" t="n">
        <v>-0.74</v>
      </c>
      <c r="AH27" s="29" t="n">
        <v>-0.74</v>
      </c>
      <c r="AI27" s="29" t="n">
        <v>-0.74</v>
      </c>
      <c r="AJ27" s="30">
        <f>subQ!AJ13</f>
        <v/>
      </c>
      <c r="AK27" s="29" t="n">
        <v>-0.74</v>
      </c>
      <c r="AL27" s="29" t="n">
        <v>-0.74</v>
      </c>
      <c r="AM27" s="29" t="n">
        <v>-0.74</v>
      </c>
      <c r="AN27" s="29" t="n">
        <v>-0.74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-0</v>
      </c>
      <c r="AD28" s="24" t="n">
        <v>-0</v>
      </c>
      <c r="AE28" s="25">
        <f>IFERROR(subQ!AE15/subQ!AE14,"")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1e-06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-0.0019</v>
      </c>
      <c r="AD32" s="29" t="n">
        <v>-0</v>
      </c>
      <c r="AE32" s="30" t="n"/>
      <c r="AF32" s="29" t="n">
        <v>-0.01</v>
      </c>
      <c r="AG32" s="29" t="n">
        <v>0</v>
      </c>
      <c r="AH32" s="29" t="n">
        <v>0</v>
      </c>
      <c r="AI32" s="29" t="n">
        <v>-0</v>
      </c>
      <c r="AJ32" s="30" t="n"/>
      <c r="AK32" s="29" t="n">
        <v>0.01</v>
      </c>
      <c r="AL32" s="29" t="n">
        <v>0</v>
      </c>
      <c r="AM32" s="29" t="n">
        <v>0</v>
      </c>
      <c r="AN32" s="29" t="n">
        <v>-0.01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0.0004</v>
      </c>
      <c r="AD33" s="29" t="n">
        <v>-0.01</v>
      </c>
      <c r="AE33" s="30" t="n"/>
      <c r="AF33" s="29" t="n">
        <v>0</v>
      </c>
      <c r="AG33" s="29" t="n">
        <v>0</v>
      </c>
      <c r="AH33" s="29" t="n">
        <v>0</v>
      </c>
      <c r="AI33" s="29" t="n">
        <v>-0</v>
      </c>
      <c r="AJ33" s="30" t="n"/>
      <c r="AK33" s="29" t="n">
        <v>0</v>
      </c>
      <c r="AL33" s="29" t="n">
        <v>0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2e-06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0.02982</v>
      </c>
      <c r="AD35" s="24" t="n">
        <v>0.027823</v>
      </c>
      <c r="AE35" s="25" t="n"/>
      <c r="AF35" s="24" t="n">
        <v>0.027719</v>
      </c>
      <c r="AG35" s="24" t="n">
        <v>0.028897</v>
      </c>
      <c r="AH35" s="24" t="n">
        <v>0.028438</v>
      </c>
      <c r="AI35" s="24" t="n">
        <v>0.026764</v>
      </c>
      <c r="AJ35" s="25" t="n"/>
      <c r="AK35" s="24" t="n">
        <v>0.026684</v>
      </c>
      <c r="AL35" s="24" t="n">
        <v>0.027703</v>
      </c>
      <c r="AM35" s="24" t="n">
        <v>0.027617</v>
      </c>
      <c r="AN35" s="24" t="n">
        <v>0.026165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-0.368844</v>
      </c>
      <c r="AD36" s="24" t="n">
        <v>-0.561501</v>
      </c>
      <c r="AE36" s="25" t="n"/>
      <c r="AF36" s="24" t="n">
        <v>-1.311205</v>
      </c>
      <c r="AG36" s="24" t="n">
        <v>4.51418</v>
      </c>
      <c r="AH36" s="24" t="n">
        <v>0.828936</v>
      </c>
      <c r="AI36" s="24" t="n">
        <v>0.438684</v>
      </c>
      <c r="AJ36" s="25" t="n"/>
      <c r="AK36" s="24" t="n">
        <v>0.312144</v>
      </c>
      <c r="AL36" s="24" t="n">
        <v>0.253562</v>
      </c>
      <c r="AM36" s="24" t="n">
        <v>0.207233</v>
      </c>
      <c r="AN36" s="24" t="n">
        <v>0.167123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-0.8394160000000001</v>
      </c>
      <c r="AD43" s="24" t="n">
        <v>-0.8394160000000001</v>
      </c>
      <c r="AE43" s="25" t="n"/>
      <c r="AF43" s="24" t="n">
        <v>-0.825758</v>
      </c>
      <c r="AG43" s="24" t="n">
        <v>0</v>
      </c>
      <c r="AH43" s="24" t="n">
        <v>0.090909</v>
      </c>
      <c r="AI43" s="24" t="n">
        <v>0.136364</v>
      </c>
      <c r="AJ43" s="25" t="n"/>
      <c r="AK43" s="24" t="n">
        <v>0.130435</v>
      </c>
      <c r="AL43" s="24" t="n">
        <v>0.173913</v>
      </c>
      <c r="AM43" s="24" t="n">
        <v>0.166667</v>
      </c>
      <c r="AN43" s="24" t="n">
        <v>0.16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-0.017711</v>
      </c>
      <c r="AD45" s="24" t="n">
        <v>-0.017712</v>
      </c>
      <c r="AE45" s="25">
        <f>IFERROR(subQ!AE36/subQ!AE35,"")</f>
        <v/>
      </c>
      <c r="AF45" s="24" t="n">
        <v>-0.017716</v>
      </c>
      <c r="AG45" s="24" t="n">
        <v>-0.017709</v>
      </c>
      <c r="AH45" s="24" t="n">
        <v>-0.017708</v>
      </c>
      <c r="AI45" s="24" t="n">
        <v>-0.017709</v>
      </c>
      <c r="AJ45" s="25">
        <f>IFERROR(subQ!AJ36/subQ!AJ35,"")</f>
        <v/>
      </c>
      <c r="AK45" s="24" t="n">
        <v>-0.017714</v>
      </c>
      <c r="AL45" s="24" t="n">
        <v>-0.017711</v>
      </c>
      <c r="AM45" s="24" t="n">
        <v>-0.017709</v>
      </c>
      <c r="AN45" s="24" t="n">
        <v>-0.017707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2055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양(+)EPS 분기 1개 &lt; 4)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0.0785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영흥(연)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242197.5</v>
      </c>
      <c r="F5" s="34" t="n">
        <v>242197.5</v>
      </c>
      <c r="G5" s="18" t="n">
        <v>257229.62</v>
      </c>
      <c r="H5" s="18" t="n">
        <v>283835.52</v>
      </c>
      <c r="I5" s="18" t="n">
        <v>266355.06</v>
      </c>
      <c r="J5" s="18" t="n">
        <v>273435.84</v>
      </c>
      <c r="K5" s="34" t="n">
        <v>273435.84</v>
      </c>
      <c r="L5" s="18" t="n">
        <v>267898.7</v>
      </c>
      <c r="M5" s="18" t="n">
        <v>267020.11</v>
      </c>
      <c r="N5" s="18" t="n">
        <v>258764.33</v>
      </c>
      <c r="O5" s="18" t="n">
        <v>262428.63</v>
      </c>
      <c r="P5" s="34" t="n">
        <v>262428.63</v>
      </c>
      <c r="Q5" s="18" t="n">
        <v>282515.78</v>
      </c>
      <c r="R5" s="18" t="n">
        <v>273846.39</v>
      </c>
      <c r="S5" s="18" t="n">
        <v>264994.74</v>
      </c>
      <c r="T5" s="18" t="n">
        <v>243785.08</v>
      </c>
      <c r="U5" s="34" t="n">
        <v>243785.08</v>
      </c>
      <c r="V5" s="18" t="n">
        <v>222758.63</v>
      </c>
      <c r="W5" s="18" t="n">
        <v>245765.39</v>
      </c>
      <c r="X5" s="18" t="n">
        <v>232796.09</v>
      </c>
      <c r="Y5" s="18" t="n">
        <v>250698.06</v>
      </c>
      <c r="Z5" s="34" t="n">
        <v>250698.06</v>
      </c>
      <c r="AA5" s="18" t="n">
        <v>244058.04</v>
      </c>
      <c r="AB5" s="19" t="n">
        <v>243711.53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12141.94</v>
      </c>
      <c r="F6" s="34" t="n">
        <v>12141.94</v>
      </c>
      <c r="G6" s="18" t="n">
        <v>14196.15</v>
      </c>
      <c r="H6" s="18" t="n">
        <v>20665.07</v>
      </c>
      <c r="I6" s="18" t="n">
        <v>11166.26</v>
      </c>
      <c r="J6" s="18" t="n">
        <v>17308.1</v>
      </c>
      <c r="K6" s="34" t="n">
        <v>17308.1</v>
      </c>
      <c r="L6" s="18" t="n">
        <v>7896</v>
      </c>
      <c r="M6" s="18" t="n">
        <v>12652.42</v>
      </c>
      <c r="N6" s="18" t="n">
        <v>11742.51</v>
      </c>
      <c r="O6" s="18" t="n">
        <v>10693.65</v>
      </c>
      <c r="P6" s="34" t="n">
        <v>10693.65</v>
      </c>
      <c r="Q6" s="18" t="n">
        <v>10977.25</v>
      </c>
      <c r="R6" s="18" t="n">
        <v>8498.27</v>
      </c>
      <c r="S6" s="18" t="n">
        <v>8719.82</v>
      </c>
      <c r="T6" s="18" t="n">
        <v>9952.200000000001</v>
      </c>
      <c r="U6" s="34" t="n">
        <v>9952.200000000001</v>
      </c>
      <c r="V6" s="18" t="n">
        <v>12303.56</v>
      </c>
      <c r="W6" s="18" t="n">
        <v>14386.45</v>
      </c>
      <c r="X6" s="18" t="n">
        <v>11199.33</v>
      </c>
      <c r="Y6" s="18" t="n">
        <v>10981.3</v>
      </c>
      <c r="Z6" s="34" t="n">
        <v>10981.3</v>
      </c>
      <c r="AA6" s="18" t="n">
        <v>8450.549999999999</v>
      </c>
      <c r="AB6" s="19" t="n">
        <v>6889.74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103115.2</v>
      </c>
      <c r="F7" s="34" t="n">
        <v>103115.2</v>
      </c>
      <c r="G7" s="18" t="n">
        <v>114459.5</v>
      </c>
      <c r="H7" s="18" t="n">
        <v>118090.8</v>
      </c>
      <c r="I7" s="18" t="n">
        <v>120367.12</v>
      </c>
      <c r="J7" s="18" t="n">
        <v>120372.16</v>
      </c>
      <c r="K7" s="34" t="n">
        <v>120372.16</v>
      </c>
      <c r="L7" s="18" t="n">
        <v>115048.36</v>
      </c>
      <c r="M7" s="18" t="n">
        <v>115923.64</v>
      </c>
      <c r="N7" s="18" t="n">
        <v>113183.25</v>
      </c>
      <c r="O7" s="18" t="n">
        <v>107004.35</v>
      </c>
      <c r="P7" s="34" t="n">
        <v>107004.35</v>
      </c>
      <c r="Q7" s="18" t="n">
        <v>4652.7</v>
      </c>
      <c r="R7" s="18" t="n">
        <v>2720.48</v>
      </c>
      <c r="S7" s="18" t="n">
        <v>98834.17999999999</v>
      </c>
      <c r="T7" s="18" t="n">
        <v>105472.57</v>
      </c>
      <c r="U7" s="34" t="n">
        <v>105472.57</v>
      </c>
      <c r="V7" s="18" t="n">
        <v>104755.85</v>
      </c>
      <c r="W7" s="18" t="n">
        <v>96159.92999999999</v>
      </c>
      <c r="X7" s="18" t="n">
        <v>92355.53999999999</v>
      </c>
      <c r="Y7" s="18" t="n">
        <v>82699.78999999999</v>
      </c>
      <c r="Z7" s="34" t="n">
        <v>82699.78999999999</v>
      </c>
      <c r="AA7" s="18" t="n">
        <v>82708.05</v>
      </c>
      <c r="AB7" s="19" t="n">
        <v>85802.92999999999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123761.31</v>
      </c>
      <c r="F8" s="34" t="n">
        <v>123761.31</v>
      </c>
      <c r="G8" s="18" t="n">
        <v>123535.65</v>
      </c>
      <c r="H8" s="18" t="n">
        <v>140504.73</v>
      </c>
      <c r="I8" s="18" t="n">
        <v>129123.3</v>
      </c>
      <c r="J8" s="18" t="n">
        <v>129965.2</v>
      </c>
      <c r="K8" s="34" t="n">
        <v>129965.2</v>
      </c>
      <c r="L8" s="18" t="n">
        <v>141182.67</v>
      </c>
      <c r="M8" s="18" t="n">
        <v>132090.21</v>
      </c>
      <c r="N8" s="18" t="n">
        <v>127148.85</v>
      </c>
      <c r="O8" s="18" t="n">
        <v>120658.04</v>
      </c>
      <c r="P8" s="34" t="n">
        <v>120658.04</v>
      </c>
      <c r="Q8" s="18" t="n">
        <v>130520.75</v>
      </c>
      <c r="R8" s="18" t="n">
        <v>132701.91</v>
      </c>
      <c r="S8" s="18" t="n">
        <v>126953.67</v>
      </c>
      <c r="T8" s="18" t="n">
        <v>111144.98</v>
      </c>
      <c r="U8" s="34" t="n">
        <v>111144.98</v>
      </c>
      <c r="V8" s="18" t="n">
        <v>92656.48</v>
      </c>
      <c r="W8" s="18" t="n">
        <v>87833.39999999999</v>
      </c>
      <c r="X8" s="18" t="n">
        <v>80213.52</v>
      </c>
      <c r="Y8" s="18" t="n">
        <v>84349.72</v>
      </c>
      <c r="Z8" s="34" t="n">
        <v>84349.72</v>
      </c>
      <c r="AA8" s="18" t="n">
        <v>84020.84</v>
      </c>
      <c r="AB8" s="19" t="n">
        <v>84189.36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54.69</v>
      </c>
      <c r="F9" s="34" t="n">
        <v>54.69</v>
      </c>
      <c r="G9" s="18" t="n">
        <v>75.29000000000001</v>
      </c>
      <c r="H9" s="18" t="n">
        <v>37.79</v>
      </c>
      <c r="I9" s="18" t="n">
        <v>71.44</v>
      </c>
      <c r="J9" s="18" t="n">
        <v>180.72</v>
      </c>
      <c r="K9" s="34" t="n">
        <v>180.72</v>
      </c>
      <c r="L9" s="18" t="n">
        <v>180.82</v>
      </c>
      <c r="M9" s="18" t="n">
        <v>11.39</v>
      </c>
      <c r="N9" s="18" t="n">
        <v>13.04</v>
      </c>
      <c r="O9" s="18" t="n">
        <v>13.05</v>
      </c>
      <c r="P9" s="34" t="n">
        <v>13.05</v>
      </c>
      <c r="Q9" s="18" t="n">
        <v>25.48</v>
      </c>
      <c r="R9" s="18" t="n">
        <v>10.2</v>
      </c>
      <c r="S9" s="18" t="n">
        <v>65.89</v>
      </c>
      <c r="T9" s="18" t="n">
        <v>0</v>
      </c>
      <c r="U9" s="34" t="n">
        <v>0</v>
      </c>
      <c r="V9" s="18" t="n">
        <v>23.54</v>
      </c>
      <c r="W9" s="18" t="n">
        <v>46.86</v>
      </c>
      <c r="X9" s="18" t="n">
        <v>89.73</v>
      </c>
      <c r="Y9" s="18" t="n">
        <v>128.81</v>
      </c>
      <c r="Z9" s="34" t="n">
        <v>128.81</v>
      </c>
      <c r="AA9" s="18" t="n">
        <v>62.71</v>
      </c>
      <c r="AB9" s="19" t="n">
        <v>106.1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3124.35</v>
      </c>
      <c r="F10" s="34" t="n">
        <v>3124.35</v>
      </c>
      <c r="G10" s="18" t="n">
        <v>4963.03</v>
      </c>
      <c r="H10" s="18" t="n">
        <v>4537.13</v>
      </c>
      <c r="I10" s="18" t="n">
        <v>3000.04</v>
      </c>
      <c r="J10" s="18" t="n">
        <v>2523.38</v>
      </c>
      <c r="K10" s="34" t="n">
        <v>2523.38</v>
      </c>
      <c r="L10" s="18" t="n">
        <v>3496.34</v>
      </c>
      <c r="M10" s="18" t="n">
        <v>2123.46</v>
      </c>
      <c r="N10" s="18" t="n">
        <v>2460.4</v>
      </c>
      <c r="O10" s="18" t="n">
        <v>1636.69</v>
      </c>
      <c r="P10" s="34" t="n">
        <v>1636.69</v>
      </c>
      <c r="Q10" s="18" t="n">
        <v>2662.46</v>
      </c>
      <c r="R10" s="18" t="n">
        <v>1805.61</v>
      </c>
      <c r="S10" s="18" t="n">
        <v>2165.68</v>
      </c>
      <c r="T10" s="18" t="n">
        <v>2468.44</v>
      </c>
      <c r="U10" s="34" t="n">
        <v>2468.44</v>
      </c>
      <c r="V10" s="18" t="n">
        <v>2263.09</v>
      </c>
      <c r="W10" s="18" t="n">
        <v>2084.75</v>
      </c>
      <c r="X10" s="18" t="n">
        <v>3683.96</v>
      </c>
      <c r="Y10" s="18" t="n">
        <v>4685.06</v>
      </c>
      <c r="Z10" s="34" t="n">
        <v>4685.06</v>
      </c>
      <c r="AA10" s="18" t="n">
        <v>9229.790000000001</v>
      </c>
      <c r="AB10" s="19" t="n">
        <v>9313.92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276763.56</v>
      </c>
      <c r="F11" s="34" t="n">
        <v>276763.56</v>
      </c>
      <c r="G11" s="18" t="n">
        <v>274207.76</v>
      </c>
      <c r="H11" s="18" t="n">
        <v>274008.22</v>
      </c>
      <c r="I11" s="18" t="n">
        <v>269826.5</v>
      </c>
      <c r="J11" s="18" t="n">
        <v>262248.66</v>
      </c>
      <c r="K11" s="34" t="n">
        <v>262248.66</v>
      </c>
      <c r="L11" s="18" t="n">
        <v>260318.99</v>
      </c>
      <c r="M11" s="18" t="n">
        <v>255499.34</v>
      </c>
      <c r="N11" s="18" t="n">
        <v>255463.62</v>
      </c>
      <c r="O11" s="18" t="n">
        <v>281674.2</v>
      </c>
      <c r="P11" s="34" t="n">
        <v>281674.2</v>
      </c>
      <c r="Q11" s="18" t="n">
        <v>279624.19</v>
      </c>
      <c r="R11" s="18" t="n">
        <v>282181.74</v>
      </c>
      <c r="S11" s="18" t="n">
        <v>271154.45</v>
      </c>
      <c r="T11" s="18" t="n">
        <v>269611.03</v>
      </c>
      <c r="U11" s="34" t="n">
        <v>269611.03</v>
      </c>
      <c r="V11" s="18" t="n">
        <v>266348.32</v>
      </c>
      <c r="W11" s="18" t="n">
        <v>203522.89</v>
      </c>
      <c r="X11" s="18" t="n">
        <v>197868.21</v>
      </c>
      <c r="Y11" s="18" t="n">
        <v>149129.23</v>
      </c>
      <c r="Z11" s="34" t="n">
        <v>149129.23</v>
      </c>
      <c r="AA11" s="18" t="n">
        <v>145564.36</v>
      </c>
      <c r="AB11" s="19" t="n">
        <v>146793.08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2500.98</v>
      </c>
      <c r="F12" s="34" t="n">
        <v>2500.98</v>
      </c>
      <c r="G12" s="18" t="n">
        <v>2141.85</v>
      </c>
      <c r="H12" s="18" t="n">
        <v>2719.21</v>
      </c>
      <c r="I12" s="18" t="n">
        <v>2169.34</v>
      </c>
      <c r="J12" s="18" t="n">
        <v>1236.1</v>
      </c>
      <c r="K12" s="34" t="n">
        <v>1236.1</v>
      </c>
      <c r="L12" s="18" t="n">
        <v>1149.53</v>
      </c>
      <c r="M12" s="18" t="n">
        <v>1296.68</v>
      </c>
      <c r="N12" s="18" t="n">
        <v>921.1900000000001</v>
      </c>
      <c r="O12" s="18" t="n">
        <v>1634.75</v>
      </c>
      <c r="P12" s="34" t="n">
        <v>1634.75</v>
      </c>
      <c r="Q12" s="18" t="n">
        <v>492.46</v>
      </c>
      <c r="R12" s="18" t="n">
        <v>728.25</v>
      </c>
      <c r="S12" s="18" t="n">
        <v>700.17</v>
      </c>
      <c r="T12" s="18" t="n">
        <v>600.15</v>
      </c>
      <c r="U12" s="34" t="n">
        <v>600.15</v>
      </c>
      <c r="V12" s="18" t="n">
        <v>-146.2</v>
      </c>
      <c r="W12" s="18" t="n">
        <v>126.22</v>
      </c>
      <c r="X12" s="18" t="n">
        <v>29.65</v>
      </c>
      <c r="Y12" s="18" t="n">
        <v>39.45</v>
      </c>
      <c r="Z12" s="34" t="n">
        <v>39.45</v>
      </c>
      <c r="AA12" s="18" t="n">
        <v>1791.31</v>
      </c>
      <c r="AB12" s="19" t="n">
        <v>2526.32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2707.66</v>
      </c>
      <c r="F13" s="34" t="n">
        <v>2707.66</v>
      </c>
      <c r="G13" s="18" t="n">
        <v>3730.69</v>
      </c>
      <c r="H13" s="18" t="n">
        <v>4814.13</v>
      </c>
      <c r="I13" s="18" t="n">
        <v>5185.22</v>
      </c>
      <c r="J13" s="18" t="n">
        <v>4191.95</v>
      </c>
      <c r="K13" s="34" t="n">
        <v>4191.95</v>
      </c>
      <c r="L13" s="18" t="n">
        <v>4154.73</v>
      </c>
      <c r="M13" s="18" t="n">
        <v>4156.28</v>
      </c>
      <c r="N13" s="18" t="n">
        <v>3744.84</v>
      </c>
      <c r="O13" s="18" t="n">
        <v>4290.52</v>
      </c>
      <c r="P13" s="34" t="n">
        <v>4290.52</v>
      </c>
      <c r="Q13" s="18" t="n">
        <v>3089.78</v>
      </c>
      <c r="R13" s="18" t="n">
        <v>3094.69</v>
      </c>
      <c r="S13" s="18" t="n">
        <v>3164.65</v>
      </c>
      <c r="T13" s="18" t="n">
        <v>2944.87</v>
      </c>
      <c r="U13" s="34" t="n">
        <v>2944.87</v>
      </c>
      <c r="V13" s="18" t="n">
        <v>2263.43</v>
      </c>
      <c r="W13" s="18" t="n">
        <v>2149.89</v>
      </c>
      <c r="X13" s="18" t="n">
        <v>1961.35</v>
      </c>
      <c r="Y13" s="18" t="n">
        <v>1870.66</v>
      </c>
      <c r="Z13" s="34" t="n">
        <v>1870.66</v>
      </c>
      <c r="AA13" s="18" t="n">
        <v>3706.53</v>
      </c>
      <c r="AB13" s="19" t="n">
        <v>4434.8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383.55</v>
      </c>
      <c r="F14" s="34" t="n">
        <v>383.55</v>
      </c>
      <c r="G14" s="18" t="n">
        <v>363.6</v>
      </c>
      <c r="H14" s="18" t="n">
        <v>343.65</v>
      </c>
      <c r="I14" s="18" t="n">
        <v>323.7</v>
      </c>
      <c r="J14" s="18" t="n">
        <v>303.75</v>
      </c>
      <c r="K14" s="34" t="n">
        <v>303.75</v>
      </c>
      <c r="L14" s="18" t="n">
        <v>283.8</v>
      </c>
      <c r="M14" s="18" t="n">
        <v>90.86</v>
      </c>
      <c r="N14" s="18" t="n">
        <v>59.85</v>
      </c>
      <c r="O14" s="18" t="n">
        <v>39.9</v>
      </c>
      <c r="P14" s="34" t="n">
        <v>39.9</v>
      </c>
      <c r="Q14" s="18" t="n">
        <v>19.95</v>
      </c>
      <c r="U14" s="9" t="n"/>
      <c r="Y14" s="18" t="n">
        <v>1921.1</v>
      </c>
      <c r="Z14" s="34" t="n">
        <v>1921.1</v>
      </c>
      <c r="AB14" s="19" t="n">
        <v>2475.96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206.68</v>
      </c>
      <c r="F15" s="34" t="n">
        <v>206.68</v>
      </c>
      <c r="G15" s="18" t="n">
        <v>1588.84</v>
      </c>
      <c r="H15" s="18" t="n">
        <v>2094.92</v>
      </c>
      <c r="I15" s="18" t="n">
        <v>3015.88</v>
      </c>
      <c r="J15" s="18" t="n">
        <v>2955.85</v>
      </c>
      <c r="K15" s="34" t="n">
        <v>2955.85</v>
      </c>
      <c r="L15" s="18" t="n">
        <v>3005.2</v>
      </c>
      <c r="M15" s="18" t="n">
        <v>2859.6</v>
      </c>
      <c r="N15" s="18" t="n">
        <v>2823.65</v>
      </c>
      <c r="O15" s="18" t="n">
        <v>2655.77</v>
      </c>
      <c r="P15" s="34" t="n">
        <v>2655.77</v>
      </c>
      <c r="Q15" s="18" t="n">
        <v>2597.32</v>
      </c>
      <c r="R15" s="18" t="n">
        <v>2366.44</v>
      </c>
      <c r="S15" s="18" t="n">
        <v>2464.48</v>
      </c>
      <c r="T15" s="18" t="n">
        <v>2344.72</v>
      </c>
      <c r="U15" s="34" t="n">
        <v>2344.72</v>
      </c>
      <c r="V15" s="18" t="n">
        <v>2409.63</v>
      </c>
      <c r="W15" s="18" t="n">
        <v>2023.67</v>
      </c>
      <c r="X15" s="18" t="n">
        <v>1931.7</v>
      </c>
      <c r="Y15" s="18" t="n">
        <v>1831.21</v>
      </c>
      <c r="Z15" s="34" t="n">
        <v>1831.21</v>
      </c>
      <c r="AA15" s="18" t="n">
        <v>1915.22</v>
      </c>
      <c r="AB15" s="19" t="n">
        <v>1908.48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239919.05</v>
      </c>
      <c r="F16" s="34" t="n">
        <v>239919.05</v>
      </c>
      <c r="G16" s="18" t="n">
        <v>237492.95</v>
      </c>
      <c r="H16" s="18" t="n">
        <v>235698.71</v>
      </c>
      <c r="I16" s="18" t="n">
        <v>234487.91</v>
      </c>
      <c r="J16" s="18" t="n">
        <v>230616.32</v>
      </c>
      <c r="K16" s="34" t="n">
        <v>230616.32</v>
      </c>
      <c r="L16" s="18" t="n">
        <v>229419.69</v>
      </c>
      <c r="M16" s="18" t="n">
        <v>227530.58</v>
      </c>
      <c r="N16" s="18" t="n">
        <v>228349.07</v>
      </c>
      <c r="O16" s="18" t="n">
        <v>258636.99</v>
      </c>
      <c r="P16" s="34" t="n">
        <v>258636.99</v>
      </c>
      <c r="Q16" s="18" t="n">
        <v>257152.14</v>
      </c>
      <c r="R16" s="18" t="n">
        <v>256891.35</v>
      </c>
      <c r="S16" s="18" t="n">
        <v>245788.81</v>
      </c>
      <c r="T16" s="18" t="n">
        <v>240474.8</v>
      </c>
      <c r="U16" s="34" t="n">
        <v>240474.8</v>
      </c>
      <c r="V16" s="18" t="n">
        <v>239800.62</v>
      </c>
      <c r="W16" s="18" t="n">
        <v>177882.57</v>
      </c>
      <c r="X16" s="18" t="n">
        <v>173162.02</v>
      </c>
      <c r="Y16" s="18" t="n">
        <v>125591.32</v>
      </c>
      <c r="Z16" s="34" t="n">
        <v>125591.32</v>
      </c>
      <c r="AA16" s="18" t="n">
        <v>123375.54</v>
      </c>
      <c r="AB16" s="19" t="n">
        <v>123100.04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2640.39</v>
      </c>
      <c r="F17" s="34" t="n">
        <v>2640.39</v>
      </c>
      <c r="G17" s="18" t="n">
        <v>2634.61</v>
      </c>
      <c r="H17" s="18" t="n">
        <v>2628.82</v>
      </c>
      <c r="K17" s="9" t="n"/>
      <c r="M17" s="18" t="n">
        <v>1612.98</v>
      </c>
      <c r="N17" s="18" t="n">
        <v>1652.3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4897.58</v>
      </c>
      <c r="F18" s="34" t="n">
        <v>4897.58</v>
      </c>
      <c r="G18" s="18" t="n">
        <v>4703.51</v>
      </c>
      <c r="H18" s="18" t="n">
        <v>5220.52</v>
      </c>
      <c r="I18" s="18" t="n">
        <v>5336.87</v>
      </c>
      <c r="J18" s="18" t="n">
        <v>4896.03</v>
      </c>
      <c r="K18" s="34" t="n">
        <v>4896.03</v>
      </c>
      <c r="L18" s="18" t="n">
        <v>4965.52</v>
      </c>
      <c r="M18" s="18" t="n">
        <v>1459.7</v>
      </c>
      <c r="N18" s="18" t="n">
        <v>1585.21</v>
      </c>
      <c r="O18" s="18" t="n">
        <v>1528.34</v>
      </c>
      <c r="P18" s="34" t="n">
        <v>1528.34</v>
      </c>
      <c r="Q18" s="18" t="n">
        <v>2160.77</v>
      </c>
      <c r="R18" s="18" t="n">
        <v>1943.9</v>
      </c>
      <c r="S18" s="18" t="n">
        <v>1830.58</v>
      </c>
      <c r="T18" s="18" t="n">
        <v>1349.11</v>
      </c>
      <c r="U18" s="34" t="n">
        <v>1349.11</v>
      </c>
      <c r="V18" s="18" t="n">
        <v>1336.42</v>
      </c>
      <c r="W18" s="18" t="n">
        <v>2079.97</v>
      </c>
      <c r="X18" s="18" t="n">
        <v>2005.94</v>
      </c>
      <c r="Y18" s="18" t="n">
        <v>2087.38</v>
      </c>
      <c r="Z18" s="34" t="n">
        <v>2087.38</v>
      </c>
      <c r="AA18" s="18" t="n">
        <v>1060.61</v>
      </c>
      <c r="AB18" s="19" t="n">
        <v>1147.31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4945.13</v>
      </c>
      <c r="F19" s="34" t="n">
        <v>4945.13</v>
      </c>
      <c r="G19" s="18" t="n">
        <v>4748.53</v>
      </c>
      <c r="H19" s="18" t="n">
        <v>5277.71</v>
      </c>
      <c r="I19" s="18" t="n">
        <v>5398.36</v>
      </c>
      <c r="J19" s="18" t="n">
        <v>7663.76</v>
      </c>
      <c r="K19" s="34" t="n">
        <v>7663.76</v>
      </c>
      <c r="L19" s="18" t="n">
        <v>7525.57</v>
      </c>
      <c r="M19" s="18" t="n">
        <v>3855.9</v>
      </c>
      <c r="N19" s="18" t="n">
        <v>3967.18</v>
      </c>
      <c r="O19" s="18" t="n">
        <v>1773.81</v>
      </c>
      <c r="P19" s="34" t="n">
        <v>1773.81</v>
      </c>
      <c r="Q19" s="18" t="n">
        <v>2212.57</v>
      </c>
      <c r="R19" s="18" t="n">
        <v>1991.1</v>
      </c>
      <c r="S19" s="18" t="n">
        <v>1875.46</v>
      </c>
      <c r="T19" s="18" t="n">
        <v>1349.11</v>
      </c>
      <c r="U19" s="34" t="n">
        <v>1349.11</v>
      </c>
      <c r="V19" s="18" t="n">
        <v>1336.42</v>
      </c>
      <c r="W19" s="18" t="n">
        <v>2079.97</v>
      </c>
      <c r="X19" s="18" t="n">
        <v>2005.94</v>
      </c>
      <c r="Y19" s="18" t="n">
        <v>2099.36</v>
      </c>
      <c r="Z19" s="34" t="n">
        <v>2099.36</v>
      </c>
      <c r="AA19" s="18" t="n">
        <v>1072.59</v>
      </c>
      <c r="AB19" s="19" t="n">
        <v>1147.31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19680.43</v>
      </c>
      <c r="F20" s="34" t="n">
        <v>19680.43</v>
      </c>
      <c r="G20" s="18" t="n">
        <v>19093.78</v>
      </c>
      <c r="H20" s="18" t="n">
        <v>18525.95</v>
      </c>
      <c r="I20" s="18" t="n">
        <v>17980.26</v>
      </c>
      <c r="J20" s="18" t="n">
        <v>17311.7</v>
      </c>
      <c r="K20" s="34" t="n">
        <v>17311.7</v>
      </c>
      <c r="L20" s="18" t="n">
        <v>16735.01</v>
      </c>
      <c r="M20" s="18" t="n">
        <v>16134.7</v>
      </c>
      <c r="N20" s="18" t="n">
        <v>15533.31</v>
      </c>
      <c r="O20" s="18" t="n">
        <v>14666.31</v>
      </c>
      <c r="P20" s="34" t="n">
        <v>14666.31</v>
      </c>
      <c r="Q20" s="18" t="n">
        <v>14082.01</v>
      </c>
      <c r="R20" s="18" t="n">
        <v>16645.74</v>
      </c>
      <c r="S20" s="18" t="n">
        <v>16551.91</v>
      </c>
      <c r="T20" s="18" t="n">
        <v>12662.67</v>
      </c>
      <c r="U20" s="34" t="n">
        <v>12662.67</v>
      </c>
      <c r="V20" s="18" t="n">
        <v>11722.73</v>
      </c>
      <c r="W20" s="18" t="n">
        <v>11352.87</v>
      </c>
      <c r="X20" s="18" t="n">
        <v>10911.51</v>
      </c>
      <c r="Y20" s="18" t="n">
        <v>10541.89</v>
      </c>
      <c r="Z20" s="34" t="n">
        <v>10541.89</v>
      </c>
      <c r="AA20" s="18" t="n">
        <v>10150.24</v>
      </c>
      <c r="AB20" s="19" t="n">
        <v>10143.76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1550.54</v>
      </c>
      <c r="F21" s="34" t="n">
        <v>1550.54</v>
      </c>
      <c r="G21" s="18" t="n">
        <v>1550.54</v>
      </c>
      <c r="H21" s="18" t="n">
        <v>1930.54</v>
      </c>
      <c r="I21" s="18" t="n">
        <v>1936.88</v>
      </c>
      <c r="J21" s="18" t="n">
        <v>26.46</v>
      </c>
      <c r="K21" s="34" t="n">
        <v>26.46</v>
      </c>
      <c r="L21" s="18" t="n">
        <v>27.22</v>
      </c>
      <c r="M21" s="18" t="n">
        <v>27.41</v>
      </c>
      <c r="N21" s="18" t="n">
        <v>28.07</v>
      </c>
      <c r="O21" s="18" t="n">
        <v>22.18</v>
      </c>
      <c r="P21" s="34" t="n">
        <v>22.18</v>
      </c>
      <c r="Q21" s="18" t="n">
        <v>809.66</v>
      </c>
      <c r="R21" s="18" t="n">
        <v>983.74</v>
      </c>
      <c r="S21" s="18" t="n">
        <v>1143.55</v>
      </c>
      <c r="T21" s="18" t="n">
        <v>6029.07</v>
      </c>
      <c r="U21" s="34" t="n">
        <v>6029.07</v>
      </c>
      <c r="V21" s="18" t="n">
        <v>5454.87</v>
      </c>
      <c r="W21" s="18" t="n">
        <v>5409.69</v>
      </c>
      <c r="X21" s="18" t="n">
        <v>4962.87</v>
      </c>
      <c r="Y21" s="18" t="n">
        <v>5559.29</v>
      </c>
      <c r="Z21" s="34" t="n">
        <v>5559.29</v>
      </c>
      <c r="AA21" s="18" t="n">
        <v>5273.01</v>
      </c>
      <c r="AB21" s="19" t="n">
        <v>5491.2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518961.06</v>
      </c>
      <c r="F22" s="34" t="n">
        <v>518961.06</v>
      </c>
      <c r="G22" s="18" t="n">
        <v>531437.39</v>
      </c>
      <c r="H22" s="18" t="n">
        <v>557843.74</v>
      </c>
      <c r="I22" s="18" t="n">
        <v>536181.5600000001</v>
      </c>
      <c r="J22" s="18" t="n">
        <v>535684.5</v>
      </c>
      <c r="K22" s="34" t="n">
        <v>535684.5</v>
      </c>
      <c r="L22" s="18" t="n">
        <v>528217.6899999999</v>
      </c>
      <c r="M22" s="18" t="n">
        <v>522519.45</v>
      </c>
      <c r="N22" s="18" t="n">
        <v>514227.95</v>
      </c>
      <c r="O22" s="18" t="n">
        <v>544102.83</v>
      </c>
      <c r="P22" s="34" t="n">
        <v>544102.83</v>
      </c>
      <c r="Q22" s="18" t="n">
        <v>562139.97</v>
      </c>
      <c r="R22" s="18" t="n">
        <v>556028.14</v>
      </c>
      <c r="S22" s="18" t="n">
        <v>536149.2</v>
      </c>
      <c r="T22" s="18" t="n">
        <v>513396.1</v>
      </c>
      <c r="U22" s="34" t="n">
        <v>513396.1</v>
      </c>
      <c r="V22" s="18" t="n">
        <v>489106.95</v>
      </c>
      <c r="W22" s="18" t="n">
        <v>449288.28</v>
      </c>
      <c r="X22" s="18" t="n">
        <v>430664.3</v>
      </c>
      <c r="Y22" s="18" t="n">
        <v>399827.28</v>
      </c>
      <c r="Z22" s="34" t="n">
        <v>399827.28</v>
      </c>
      <c r="AA22" s="18" t="n">
        <v>389622.4</v>
      </c>
      <c r="AB22" s="19" t="n">
        <v>390504.61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227367.77</v>
      </c>
      <c r="F23" s="34" t="n">
        <v>227367.77</v>
      </c>
      <c r="G23" s="18" t="n">
        <v>234813.89</v>
      </c>
      <c r="H23" s="18" t="n">
        <v>267634.17</v>
      </c>
      <c r="I23" s="18" t="n">
        <v>247355.69</v>
      </c>
      <c r="J23" s="18" t="n">
        <v>258920.5</v>
      </c>
      <c r="K23" s="34" t="n">
        <v>258920.5</v>
      </c>
      <c r="L23" s="18" t="n">
        <v>258290.3</v>
      </c>
      <c r="M23" s="18" t="n">
        <v>267833.21</v>
      </c>
      <c r="N23" s="18" t="n">
        <v>262558.71</v>
      </c>
      <c r="O23" s="18" t="n">
        <v>250149.72</v>
      </c>
      <c r="P23" s="34" t="n">
        <v>250149.72</v>
      </c>
      <c r="Q23" s="18" t="n">
        <v>272901.88</v>
      </c>
      <c r="R23" s="18" t="n">
        <v>267104.06</v>
      </c>
      <c r="S23" s="18" t="n">
        <v>252114.67</v>
      </c>
      <c r="T23" s="18" t="n">
        <v>239390.59</v>
      </c>
      <c r="U23" s="34" t="n">
        <v>239390.59</v>
      </c>
      <c r="V23" s="18" t="n">
        <v>217873.28</v>
      </c>
      <c r="W23" s="18" t="n">
        <v>218537.12</v>
      </c>
      <c r="X23" s="18" t="n">
        <v>213078.4</v>
      </c>
      <c r="Y23" s="18" t="n">
        <v>199657.31</v>
      </c>
      <c r="Z23" s="34" t="n">
        <v>199657.31</v>
      </c>
      <c r="AA23" s="18" t="n">
        <v>191560.33</v>
      </c>
      <c r="AB23" s="19" t="n">
        <v>184929.31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69523.35000000001</v>
      </c>
      <c r="F24" s="34" t="n">
        <v>69523.35000000001</v>
      </c>
      <c r="G24" s="18" t="n">
        <v>75572.47</v>
      </c>
      <c r="H24" s="18" t="n">
        <v>74602.98</v>
      </c>
      <c r="I24" s="18" t="n">
        <v>61280.35</v>
      </c>
      <c r="J24" s="18" t="n">
        <v>63763.3</v>
      </c>
      <c r="K24" s="34" t="n">
        <v>63763.3</v>
      </c>
      <c r="L24" s="18" t="n">
        <v>74497.36</v>
      </c>
      <c r="M24" s="18" t="n">
        <v>71402.85000000001</v>
      </c>
      <c r="N24" s="18" t="n">
        <v>72070.14</v>
      </c>
      <c r="O24" s="18" t="n">
        <v>68812.44</v>
      </c>
      <c r="P24" s="34" t="n">
        <v>68812.44</v>
      </c>
      <c r="Q24" s="18" t="n">
        <v>79723.95</v>
      </c>
      <c r="R24" s="18" t="n">
        <v>79941.61</v>
      </c>
      <c r="S24" s="18" t="n">
        <v>69233.21000000001</v>
      </c>
      <c r="T24" s="18" t="n">
        <v>68145.14999999999</v>
      </c>
      <c r="U24" s="34" t="n">
        <v>68145.14999999999</v>
      </c>
      <c r="V24" s="18" t="n">
        <v>59402.17</v>
      </c>
      <c r="W24" s="18" t="n">
        <v>67871.60000000001</v>
      </c>
      <c r="X24" s="18" t="n">
        <v>64564.06</v>
      </c>
      <c r="Y24" s="18" t="n">
        <v>60123.73</v>
      </c>
      <c r="Z24" s="34" t="n">
        <v>60123.73</v>
      </c>
      <c r="AA24" s="18" t="n">
        <v>60397.11</v>
      </c>
      <c r="AB24" s="19" t="n">
        <v>68704.56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128047.99</v>
      </c>
      <c r="F25" s="34" t="n">
        <v>128047.99</v>
      </c>
      <c r="G25" s="18" t="n">
        <v>129056.26</v>
      </c>
      <c r="H25" s="18" t="n">
        <v>147198.76</v>
      </c>
      <c r="I25" s="18" t="n">
        <v>149378.34</v>
      </c>
      <c r="J25" s="18" t="n">
        <v>160834.85</v>
      </c>
      <c r="K25" s="34" t="n">
        <v>160834.85</v>
      </c>
      <c r="L25" s="18" t="n">
        <v>152352.87</v>
      </c>
      <c r="M25" s="18" t="n">
        <v>148524.7</v>
      </c>
      <c r="N25" s="18" t="n">
        <v>152031.34</v>
      </c>
      <c r="O25" s="18" t="n">
        <v>139635.63</v>
      </c>
      <c r="P25" s="34" t="n">
        <v>139635.63</v>
      </c>
      <c r="Q25" s="18" t="n">
        <v>157505.16</v>
      </c>
      <c r="R25" s="18" t="n">
        <v>161240.51</v>
      </c>
      <c r="S25" s="18" t="n">
        <v>158662.39</v>
      </c>
      <c r="T25" s="18" t="n">
        <v>143242.68</v>
      </c>
      <c r="U25" s="34" t="n">
        <v>143242.68</v>
      </c>
      <c r="V25" s="18" t="n">
        <v>144739.88</v>
      </c>
      <c r="W25" s="18" t="n">
        <v>118033.41</v>
      </c>
      <c r="X25" s="18" t="n">
        <v>115935.86</v>
      </c>
      <c r="Y25" s="18" t="n">
        <v>107219.3</v>
      </c>
      <c r="Z25" s="34" t="n">
        <v>107219.3</v>
      </c>
      <c r="AA25" s="18" t="n">
        <v>106190</v>
      </c>
      <c r="AB25" s="19" t="n">
        <v>97273.92999999999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24055.28</v>
      </c>
      <c r="F26" s="34" t="n">
        <v>24055.28</v>
      </c>
      <c r="G26" s="18" t="n">
        <v>24609.3</v>
      </c>
      <c r="H26" s="18" t="n">
        <v>38684.7</v>
      </c>
      <c r="I26" s="18" t="n">
        <v>29953.32</v>
      </c>
      <c r="J26" s="18" t="n">
        <v>27062.47</v>
      </c>
      <c r="K26" s="34" t="n">
        <v>27062.47</v>
      </c>
      <c r="L26" s="18" t="n">
        <v>25903.52</v>
      </c>
      <c r="M26" s="18" t="n">
        <v>20868.81</v>
      </c>
      <c r="N26" s="18" t="n">
        <v>12462.14</v>
      </c>
      <c r="O26" s="18" t="n">
        <v>14106.92</v>
      </c>
      <c r="P26" s="34" t="n">
        <v>14106.92</v>
      </c>
      <c r="Q26" s="18" t="n">
        <v>12636.98</v>
      </c>
      <c r="R26" s="18" t="n">
        <v>11065.44</v>
      </c>
      <c r="S26" s="18" t="n">
        <v>9492.639999999999</v>
      </c>
      <c r="T26" s="18" t="n">
        <v>9730.809999999999</v>
      </c>
      <c r="U26" s="34" t="n">
        <v>9730.809999999999</v>
      </c>
      <c r="V26" s="18" t="n">
        <v>572.6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2188.07</v>
      </c>
      <c r="F27" s="34" t="n">
        <v>2188.07</v>
      </c>
      <c r="G27" s="18" t="n">
        <v>2575.9</v>
      </c>
      <c r="H27" s="18" t="n">
        <v>3155.03</v>
      </c>
      <c r="I27" s="18" t="n">
        <v>3352.05</v>
      </c>
      <c r="J27" s="18" t="n">
        <v>4151.77</v>
      </c>
      <c r="K27" s="34" t="n">
        <v>4151.77</v>
      </c>
      <c r="L27" s="18" t="n">
        <v>3509.91</v>
      </c>
      <c r="M27" s="18" t="n">
        <v>2703.54</v>
      </c>
      <c r="N27" s="18" t="n">
        <v>1638.14</v>
      </c>
      <c r="O27" s="18" t="n">
        <v>1479.47</v>
      </c>
      <c r="P27" s="34" t="n">
        <v>1479.47</v>
      </c>
      <c r="Q27" s="18" t="n">
        <v>1285.4</v>
      </c>
      <c r="R27" s="18" t="n">
        <v>889.5700000000001</v>
      </c>
      <c r="S27" s="18" t="n">
        <v>711.8</v>
      </c>
      <c r="T27" s="18" t="n">
        <v>999.33</v>
      </c>
      <c r="U27" s="34" t="n">
        <v>999.33</v>
      </c>
      <c r="V27" s="18" t="n">
        <v>69.70999999999999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2831.8</v>
      </c>
      <c r="F28" s="34" t="n">
        <v>2831.8</v>
      </c>
      <c r="G28" s="18" t="n">
        <v>3121.86</v>
      </c>
      <c r="H28" s="18" t="n">
        <v>3681.33</v>
      </c>
      <c r="I28" s="18" t="n">
        <v>3821.52</v>
      </c>
      <c r="J28" s="18" t="n">
        <v>4705.52</v>
      </c>
      <c r="K28" s="34" t="n">
        <v>4705.52</v>
      </c>
      <c r="L28" s="18" t="n">
        <v>4095.61</v>
      </c>
      <c r="M28" s="18" t="n">
        <v>3171.72</v>
      </c>
      <c r="N28" s="18" t="n">
        <v>2067.68</v>
      </c>
      <c r="O28" s="18" t="n">
        <v>1934.94</v>
      </c>
      <c r="P28" s="34" t="n">
        <v>1934.94</v>
      </c>
      <c r="Q28" s="18" t="n">
        <v>1886.17</v>
      </c>
      <c r="R28" s="18" t="n">
        <v>1342.1</v>
      </c>
      <c r="S28" s="18" t="n">
        <v>1209.34</v>
      </c>
      <c r="T28" s="18" t="n">
        <v>1566.53</v>
      </c>
      <c r="U28" s="34" t="n">
        <v>1566.53</v>
      </c>
      <c r="V28" s="18" t="n">
        <v>672.03</v>
      </c>
      <c r="W28" s="18" t="n">
        <v>729.55</v>
      </c>
      <c r="X28" s="18" t="n">
        <v>712.37</v>
      </c>
      <c r="Y28" s="18" t="n">
        <v>860.4299999999999</v>
      </c>
      <c r="Z28" s="34" t="n">
        <v>860.4299999999999</v>
      </c>
      <c r="AA28" s="18" t="n">
        <v>578.22</v>
      </c>
      <c r="AB28" s="19" t="n">
        <v>629.17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643.73</v>
      </c>
      <c r="F29" s="34" t="n">
        <v>643.73</v>
      </c>
      <c r="G29" s="18" t="n">
        <v>545.96</v>
      </c>
      <c r="H29" s="18" t="n">
        <v>526.3</v>
      </c>
      <c r="I29" s="18" t="n">
        <v>469.47</v>
      </c>
      <c r="J29" s="18" t="n">
        <v>553.75</v>
      </c>
      <c r="K29" s="34" t="n">
        <v>553.75</v>
      </c>
      <c r="L29" s="18" t="n">
        <v>585.7</v>
      </c>
      <c r="M29" s="18" t="n">
        <v>468.18</v>
      </c>
      <c r="N29" s="18" t="n">
        <v>429.54</v>
      </c>
      <c r="O29" s="18" t="n">
        <v>455.47</v>
      </c>
      <c r="P29" s="34" t="n">
        <v>455.47</v>
      </c>
      <c r="Q29" s="18" t="n">
        <v>600.77</v>
      </c>
      <c r="R29" s="18" t="n">
        <v>452.53</v>
      </c>
      <c r="S29" s="18" t="n">
        <v>497.54</v>
      </c>
      <c r="T29" s="18" t="n">
        <v>567.2</v>
      </c>
      <c r="U29" s="34" t="n">
        <v>567.2</v>
      </c>
      <c r="V29" s="18" t="n">
        <v>602.3200000000001</v>
      </c>
      <c r="W29" s="18" t="n">
        <v>729.55</v>
      </c>
      <c r="X29" s="18" t="n">
        <v>712.37</v>
      </c>
      <c r="Y29" s="18" t="n">
        <v>860.4299999999999</v>
      </c>
      <c r="Z29" s="34" t="n">
        <v>860.4299999999999</v>
      </c>
      <c r="AA29" s="18" t="n">
        <v>578.22</v>
      </c>
      <c r="AB29" s="19" t="n">
        <v>629.17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643.73</v>
      </c>
      <c r="F30" s="34" t="n">
        <v>643.73</v>
      </c>
      <c r="G30" s="18" t="n">
        <v>545.96</v>
      </c>
      <c r="H30" s="18" t="n">
        <v>526.3</v>
      </c>
      <c r="I30" s="18" t="n">
        <v>469.47</v>
      </c>
      <c r="J30" s="18" t="n">
        <v>553.75</v>
      </c>
      <c r="K30" s="34" t="n">
        <v>553.75</v>
      </c>
      <c r="L30" s="18" t="n">
        <v>585.7</v>
      </c>
      <c r="M30" s="18" t="n">
        <v>844.8200000000001</v>
      </c>
      <c r="N30" s="18" t="n">
        <v>994.54</v>
      </c>
      <c r="O30" s="18" t="n">
        <v>982.66</v>
      </c>
      <c r="P30" s="34" t="n">
        <v>982.66</v>
      </c>
      <c r="Q30" s="18" t="n">
        <v>1629.48</v>
      </c>
      <c r="R30" s="18" t="n">
        <v>1266.65</v>
      </c>
      <c r="S30" s="18" t="n">
        <v>1183.79</v>
      </c>
      <c r="T30" s="18" t="n">
        <v>1218.7</v>
      </c>
      <c r="U30" s="34" t="n">
        <v>1218.7</v>
      </c>
      <c r="V30" s="18" t="n">
        <v>602.3200000000001</v>
      </c>
      <c r="W30" s="18" t="n">
        <v>729.55</v>
      </c>
      <c r="X30" s="18" t="n">
        <v>712.37</v>
      </c>
      <c r="Y30" s="18" t="n">
        <v>1931.05</v>
      </c>
      <c r="Z30" s="34" t="n">
        <v>1931.05</v>
      </c>
      <c r="AA30" s="18" t="n">
        <v>578.22</v>
      </c>
      <c r="AB30" s="19" t="n">
        <v>1018.65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424.66</v>
      </c>
      <c r="F31" s="34" t="n">
        <v>424.66</v>
      </c>
      <c r="G31" s="18" t="n">
        <v>346.21</v>
      </c>
      <c r="H31" s="18" t="n">
        <v>474.72</v>
      </c>
      <c r="I31" s="18" t="n">
        <v>448.26</v>
      </c>
      <c r="J31" s="18" t="n">
        <v>315.29</v>
      </c>
      <c r="K31" s="34" t="n">
        <v>315.29</v>
      </c>
      <c r="L31" s="18" t="n">
        <v>284.49</v>
      </c>
      <c r="M31" s="18" t="n">
        <v>366.45</v>
      </c>
      <c r="N31" s="18" t="n">
        <v>316.34</v>
      </c>
      <c r="O31" s="18" t="n">
        <v>408.27</v>
      </c>
      <c r="P31" s="34" t="n">
        <v>408.27</v>
      </c>
      <c r="Q31" s="18" t="n">
        <v>415.33</v>
      </c>
      <c r="R31" s="18" t="n">
        <v>428.57</v>
      </c>
      <c r="S31" s="18" t="n">
        <v>426.15</v>
      </c>
      <c r="T31" s="18" t="n">
        <v>383.37</v>
      </c>
      <c r="U31" s="34" t="n">
        <v>383.37</v>
      </c>
      <c r="V31" s="18" t="n">
        <v>377.41</v>
      </c>
      <c r="W31" s="18" t="n">
        <v>401.32</v>
      </c>
      <c r="X31" s="18" t="n">
        <v>409.98</v>
      </c>
      <c r="Y31" s="18" t="n">
        <v>397.68</v>
      </c>
      <c r="Z31" s="34" t="n">
        <v>397.68</v>
      </c>
      <c r="AA31" s="18" t="n">
        <v>409.42</v>
      </c>
      <c r="AB31" s="19" t="n">
        <v>434.33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1190.17</v>
      </c>
      <c r="F32" s="34" t="n">
        <v>1190.17</v>
      </c>
      <c r="G32" s="18" t="n">
        <v>1084.6</v>
      </c>
      <c r="H32" s="18" t="n">
        <v>1082.67</v>
      </c>
      <c r="I32" s="18" t="n">
        <v>783.0700000000001</v>
      </c>
      <c r="J32" s="18" t="n">
        <v>648.12</v>
      </c>
      <c r="K32" s="34" t="n">
        <v>648.12</v>
      </c>
      <c r="L32" s="18" t="n">
        <v>433.92</v>
      </c>
      <c r="M32" s="18" t="n">
        <v>4.74</v>
      </c>
      <c r="N32" s="18" t="n">
        <v>4.85</v>
      </c>
      <c r="O32" s="18" t="n">
        <v>4.67</v>
      </c>
      <c r="P32" s="34" t="n">
        <v>4.67</v>
      </c>
      <c r="R32" s="18" t="n">
        <v>824.05</v>
      </c>
      <c r="S32" s="18" t="n">
        <v>156.2</v>
      </c>
      <c r="T32" s="18" t="n">
        <v>392.84</v>
      </c>
      <c r="U32" s="34" t="n">
        <v>392.84</v>
      </c>
      <c r="V32" s="18" t="n">
        <v>188.53</v>
      </c>
      <c r="W32" s="18" t="n">
        <v>0.9</v>
      </c>
      <c r="X32" s="18" t="n">
        <v>1.13</v>
      </c>
      <c r="Y32" s="18" t="n">
        <v>25.46</v>
      </c>
      <c r="Z32" s="34" t="n">
        <v>25.46</v>
      </c>
      <c r="AA32" s="18" t="n">
        <v>24.48</v>
      </c>
      <c r="AB32" s="19" t="n">
        <v>0.31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1294.52</v>
      </c>
      <c r="F33" s="34" t="n">
        <v>1294.52</v>
      </c>
      <c r="G33" s="18" t="n">
        <v>1023.19</v>
      </c>
      <c r="H33" s="18" t="n">
        <v>1909.02</v>
      </c>
      <c r="I33" s="18" t="n">
        <v>1690.84</v>
      </c>
      <c r="J33" s="18" t="n">
        <v>1590.94</v>
      </c>
      <c r="K33" s="34" t="n">
        <v>1590.94</v>
      </c>
      <c r="L33" s="18" t="n">
        <v>722.52</v>
      </c>
      <c r="M33" s="18" t="n">
        <v>2994.8</v>
      </c>
      <c r="N33" s="18" t="n">
        <v>3517.63</v>
      </c>
      <c r="O33" s="18" t="n">
        <v>4220.43</v>
      </c>
      <c r="P33" s="34" t="n">
        <v>4220.43</v>
      </c>
      <c r="Q33" s="18" t="n">
        <v>386.87</v>
      </c>
      <c r="R33" s="18" t="n">
        <v>1780.18</v>
      </c>
      <c r="S33" s="18" t="n">
        <v>1867.79</v>
      </c>
      <c r="T33" s="18" t="n">
        <v>5037.37</v>
      </c>
      <c r="U33" s="34" t="n">
        <v>5037.37</v>
      </c>
      <c r="V33" s="18" t="n">
        <v>1625.44</v>
      </c>
      <c r="W33" s="18" t="n">
        <v>15295.68</v>
      </c>
      <c r="X33" s="18" t="n">
        <v>15397.7</v>
      </c>
      <c r="Y33" s="18" t="n">
        <v>15025.92</v>
      </c>
      <c r="Z33" s="34" t="n">
        <v>15025.92</v>
      </c>
      <c r="AA33" s="18" t="n">
        <v>7814.56</v>
      </c>
      <c r="AB33" s="19" t="n">
        <v>9778.52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93667.56</v>
      </c>
      <c r="F34" s="34" t="n">
        <v>93667.56</v>
      </c>
      <c r="G34" s="18" t="n">
        <v>99885.5</v>
      </c>
      <c r="H34" s="18" t="n">
        <v>87206.58</v>
      </c>
      <c r="I34" s="18" t="n">
        <v>83941.14</v>
      </c>
      <c r="J34" s="18" t="n">
        <v>78607.7</v>
      </c>
      <c r="K34" s="34" t="n">
        <v>78607.7</v>
      </c>
      <c r="L34" s="18" t="n">
        <v>75569.69</v>
      </c>
      <c r="M34" s="18" t="n">
        <v>64616.2</v>
      </c>
      <c r="N34" s="18" t="n">
        <v>61901.4</v>
      </c>
      <c r="O34" s="18" t="n">
        <v>64081.94</v>
      </c>
      <c r="P34" s="34" t="n">
        <v>64081.94</v>
      </c>
      <c r="Q34" s="18" t="n">
        <v>58739.31</v>
      </c>
      <c r="R34" s="18" t="n">
        <v>56521.96</v>
      </c>
      <c r="S34" s="18" t="n">
        <v>55881</v>
      </c>
      <c r="T34" s="18" t="n">
        <v>57168.43</v>
      </c>
      <c r="U34" s="34" t="n">
        <v>57168.43</v>
      </c>
      <c r="V34" s="18" t="n">
        <v>54885.02</v>
      </c>
      <c r="W34" s="18" t="n">
        <v>39445.14</v>
      </c>
      <c r="X34" s="18" t="n">
        <v>43996.47</v>
      </c>
      <c r="Y34" s="18" t="n">
        <v>35839.12</v>
      </c>
      <c r="Z34" s="34" t="n">
        <v>35839.12</v>
      </c>
      <c r="AA34" s="18" t="n">
        <v>34218.16</v>
      </c>
      <c r="AB34" s="19" t="n">
        <v>40470.48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1207.4</v>
      </c>
      <c r="F35" s="34" t="n">
        <v>1207.4</v>
      </c>
      <c r="G35" s="18" t="n">
        <v>1207.4</v>
      </c>
      <c r="H35" s="18" t="n">
        <v>1329.12</v>
      </c>
      <c r="I35" s="18" t="n">
        <v>1389.98</v>
      </c>
      <c r="J35" s="18" t="n">
        <v>1505.18</v>
      </c>
      <c r="K35" s="34" t="n">
        <v>1505.18</v>
      </c>
      <c r="L35" s="18" t="n">
        <v>1464.32</v>
      </c>
      <c r="O35" s="18" t="n">
        <v>1334.13</v>
      </c>
      <c r="P35" s="34" t="n">
        <v>1334.13</v>
      </c>
      <c r="Q35" s="18" t="n">
        <v>1327.16</v>
      </c>
      <c r="R35" s="18" t="n">
        <v>1709.54</v>
      </c>
      <c r="S35" s="18" t="n">
        <v>1764.28</v>
      </c>
      <c r="T35" s="18" t="n">
        <v>2114.96</v>
      </c>
      <c r="U35" s="34" t="n">
        <v>2114.96</v>
      </c>
      <c r="V35" s="18" t="n">
        <v>1981.33</v>
      </c>
      <c r="W35" s="18" t="n">
        <v>2190.52</v>
      </c>
      <c r="X35" s="18" t="n">
        <v>2262.04</v>
      </c>
      <c r="Y35" s="18" t="n">
        <v>2817.46</v>
      </c>
      <c r="Z35" s="34" t="n">
        <v>2817.46</v>
      </c>
      <c r="AA35" s="18" t="n">
        <v>2666.29</v>
      </c>
      <c r="AB35" s="19" t="n">
        <v>2583.03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40847.07</v>
      </c>
      <c r="F36" s="34" t="n">
        <v>40847.07</v>
      </c>
      <c r="G36" s="18" t="n">
        <v>38884.67</v>
      </c>
      <c r="H36" s="18" t="n">
        <v>34813.41</v>
      </c>
      <c r="I36" s="18" t="n">
        <v>31619.57</v>
      </c>
      <c r="J36" s="18" t="n">
        <v>29722.01</v>
      </c>
      <c r="K36" s="34" t="n">
        <v>29722.01</v>
      </c>
      <c r="L36" s="18" t="n">
        <v>26847.65</v>
      </c>
      <c r="M36" s="18" t="n">
        <v>35700.62</v>
      </c>
      <c r="N36" s="18" t="n">
        <v>28203.59</v>
      </c>
      <c r="O36" s="18" t="n">
        <v>25039.89</v>
      </c>
      <c r="P36" s="34" t="n">
        <v>25039.89</v>
      </c>
      <c r="Q36" s="18" t="n">
        <v>17992.86</v>
      </c>
      <c r="R36" s="18" t="n">
        <v>10071.17</v>
      </c>
      <c r="S36" s="18" t="n">
        <v>8200.360000000001</v>
      </c>
      <c r="T36" s="18" t="n">
        <v>7416.94</v>
      </c>
      <c r="U36" s="34" t="n">
        <v>7416.94</v>
      </c>
      <c r="V36" s="18" t="n">
        <v>5268.97</v>
      </c>
      <c r="W36" s="18" t="n">
        <v>3160.82</v>
      </c>
      <c r="X36" s="18" t="n">
        <v>2494.73</v>
      </c>
      <c r="Y36" s="18" t="n">
        <v>2042.92</v>
      </c>
      <c r="Z36" s="34" t="n">
        <v>2042.92</v>
      </c>
      <c r="AA36" s="18" t="n">
        <v>1568.71</v>
      </c>
      <c r="AB36" s="19" t="n">
        <v>1399.23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사채</t>
        </is>
      </c>
      <c r="E37" s="18" t="n">
        <v>29296.23</v>
      </c>
      <c r="F37" s="34" t="n">
        <v>29296.23</v>
      </c>
      <c r="G37" s="18" t="n">
        <v>35716.05</v>
      </c>
      <c r="H37" s="18" t="n">
        <v>30000</v>
      </c>
      <c r="I37" s="18" t="n">
        <v>30000</v>
      </c>
      <c r="J37" s="18" t="n">
        <v>30000</v>
      </c>
      <c r="K37" s="34" t="n">
        <v>30000</v>
      </c>
      <c r="L37" s="18" t="n">
        <v>30000</v>
      </c>
      <c r="M37" s="18" t="n">
        <v>10000</v>
      </c>
      <c r="O37" s="18" t="n">
        <v>10000</v>
      </c>
      <c r="P37" s="34" t="n">
        <v>10000</v>
      </c>
      <c r="Q37" s="18" t="n">
        <v>10000</v>
      </c>
      <c r="R37" s="18" t="n">
        <v>16000</v>
      </c>
      <c r="S37" s="18" t="n">
        <v>16000</v>
      </c>
      <c r="T37" s="18" t="n">
        <v>16000</v>
      </c>
      <c r="U37" s="34" t="n">
        <v>16000</v>
      </c>
      <c r="V37" s="18" t="n">
        <v>16000</v>
      </c>
      <c r="W37" s="18" t="n">
        <v>8000</v>
      </c>
      <c r="X37" s="18" t="n">
        <v>8000</v>
      </c>
      <c r="Y37" s="18" t="n">
        <v>10594.46</v>
      </c>
      <c r="Z37" s="34" t="n">
        <v>10594.46</v>
      </c>
      <c r="AA37" s="18" t="n">
        <v>10184.36</v>
      </c>
      <c r="AB37" s="19" t="n">
        <v>16681.56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장기파생상품부채</t>
        </is>
      </c>
      <c r="E38" s="18" t="n">
        <v>1927.74</v>
      </c>
      <c r="F38" s="34" t="n">
        <v>1927.74</v>
      </c>
      <c r="G38" s="18" t="n">
        <v>3940.54</v>
      </c>
      <c r="K38" s="9" t="n"/>
      <c r="P38" s="9" t="n"/>
      <c r="U38" s="9" t="n"/>
      <c r="Y38" s="18" t="n">
        <v>2091.1</v>
      </c>
      <c r="Z38" s="34" t="n">
        <v>2091.1</v>
      </c>
      <c r="AA38" s="18" t="n">
        <v>1760.05</v>
      </c>
      <c r="AB38" s="19" t="n">
        <v>1985.46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1927.74</v>
      </c>
      <c r="F39" s="34" t="n">
        <v>1927.74</v>
      </c>
      <c r="G39" s="18" t="n">
        <v>3940.54</v>
      </c>
      <c r="K39" s="9" t="n"/>
      <c r="M39" s="18" t="n">
        <v>376.64</v>
      </c>
      <c r="N39" s="18" t="n">
        <v>565</v>
      </c>
      <c r="O39" s="18" t="n">
        <v>527.1900000000001</v>
      </c>
      <c r="P39" s="34" t="n">
        <v>527.1900000000001</v>
      </c>
      <c r="Q39" s="18" t="n">
        <v>1028.71</v>
      </c>
      <c r="R39" s="18" t="n">
        <v>814.12</v>
      </c>
      <c r="S39" s="18" t="n">
        <v>686.25</v>
      </c>
      <c r="T39" s="18" t="n">
        <v>651.5</v>
      </c>
      <c r="U39" s="34" t="n">
        <v>651.5</v>
      </c>
      <c r="Y39" s="18" t="n">
        <v>3161.72</v>
      </c>
      <c r="Z39" s="34" t="n">
        <v>3161.72</v>
      </c>
      <c r="AA39" s="18" t="n">
        <v>1760.05</v>
      </c>
      <c r="AB39" s="19" t="n">
        <v>2374.94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6523.25</v>
      </c>
      <c r="F40" s="34" t="n">
        <v>6523.25</v>
      </c>
      <c r="G40" s="18" t="n">
        <v>7047.83</v>
      </c>
      <c r="H40" s="18" t="n">
        <v>7607.14</v>
      </c>
      <c r="I40" s="18" t="n">
        <v>7892.69</v>
      </c>
      <c r="J40" s="18" t="n">
        <v>5165.28</v>
      </c>
      <c r="K40" s="34" t="n">
        <v>5165.28</v>
      </c>
      <c r="L40" s="18" t="n">
        <v>5179.48</v>
      </c>
      <c r="M40" s="18" t="n">
        <v>4948.89</v>
      </c>
      <c r="N40" s="18" t="n">
        <v>5146.41</v>
      </c>
      <c r="O40" s="18" t="n">
        <v>5863.45</v>
      </c>
      <c r="P40" s="34" t="n">
        <v>5863.45</v>
      </c>
      <c r="Q40" s="18" t="n">
        <v>6367.1</v>
      </c>
      <c r="R40" s="18" t="n">
        <v>6962.3</v>
      </c>
      <c r="S40" s="18" t="n">
        <v>7706.65</v>
      </c>
      <c r="T40" s="18" t="n">
        <v>9427.280000000001</v>
      </c>
      <c r="U40" s="34" t="n">
        <v>9427.280000000001</v>
      </c>
      <c r="V40" s="18" t="n">
        <v>9537.120000000001</v>
      </c>
      <c r="W40" s="18" t="n">
        <v>9608.67</v>
      </c>
      <c r="X40" s="18" t="n">
        <v>8794.92</v>
      </c>
      <c r="Y40" s="18" t="n">
        <v>7894.87</v>
      </c>
      <c r="Z40" s="34" t="n">
        <v>7894.87</v>
      </c>
      <c r="AA40" s="18" t="n">
        <v>8259.379999999999</v>
      </c>
      <c r="AB40" s="19" t="n">
        <v>8944.84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13326.19</v>
      </c>
      <c r="F41" s="34" t="n">
        <v>13326.19</v>
      </c>
      <c r="G41" s="18" t="n">
        <v>12648.92</v>
      </c>
      <c r="H41" s="18" t="n">
        <v>12775.08</v>
      </c>
      <c r="I41" s="18" t="n">
        <v>12429.39</v>
      </c>
      <c r="J41" s="18" t="n">
        <v>11620.34</v>
      </c>
      <c r="K41" s="34" t="n">
        <v>11620.34</v>
      </c>
      <c r="L41" s="18" t="n">
        <v>11502.21</v>
      </c>
      <c r="M41" s="18" t="n">
        <v>12054.79</v>
      </c>
      <c r="N41" s="18" t="n">
        <v>11954.55</v>
      </c>
      <c r="O41" s="18" t="n">
        <v>21317.29</v>
      </c>
      <c r="P41" s="34" t="n">
        <v>21317.29</v>
      </c>
      <c r="Q41" s="18" t="n">
        <v>22023.49</v>
      </c>
      <c r="R41" s="18" t="n">
        <v>20964.84</v>
      </c>
      <c r="S41" s="18" t="n">
        <v>21523.47</v>
      </c>
      <c r="T41" s="18" t="n">
        <v>21557.75</v>
      </c>
      <c r="U41" s="34" t="n">
        <v>21557.75</v>
      </c>
      <c r="V41" s="18" t="n">
        <v>21483.76</v>
      </c>
      <c r="W41" s="18" t="n">
        <v>15376.15</v>
      </c>
      <c r="X41" s="18" t="n">
        <v>21335.78</v>
      </c>
      <c r="Y41" s="18" t="n">
        <v>9327.68</v>
      </c>
      <c r="Z41" s="34" t="n">
        <v>9327.68</v>
      </c>
      <c r="AA41" s="18" t="n">
        <v>9333.32</v>
      </c>
      <c r="AB41" s="19" t="n">
        <v>8486.889999999999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321035.33</v>
      </c>
      <c r="F42" s="34" t="n">
        <v>321035.33</v>
      </c>
      <c r="G42" s="18" t="n">
        <v>334699.39</v>
      </c>
      <c r="H42" s="18" t="n">
        <v>354840.75</v>
      </c>
      <c r="I42" s="18" t="n">
        <v>331296.83</v>
      </c>
      <c r="J42" s="18" t="n">
        <v>337528.2</v>
      </c>
      <c r="K42" s="34" t="n">
        <v>337528.2</v>
      </c>
      <c r="L42" s="18" t="n">
        <v>333859.99</v>
      </c>
      <c r="M42" s="18" t="n">
        <v>332449.41</v>
      </c>
      <c r="N42" s="18" t="n">
        <v>324460.11</v>
      </c>
      <c r="O42" s="18" t="n">
        <v>314231.67</v>
      </c>
      <c r="P42" s="34" t="n">
        <v>314231.67</v>
      </c>
      <c r="Q42" s="18" t="n">
        <v>331641.19</v>
      </c>
      <c r="R42" s="18" t="n">
        <v>323626.02</v>
      </c>
      <c r="S42" s="18" t="n">
        <v>307995.67</v>
      </c>
      <c r="T42" s="18" t="n">
        <v>296559.02</v>
      </c>
      <c r="U42" s="34" t="n">
        <v>296559.02</v>
      </c>
      <c r="V42" s="18" t="n">
        <v>272758.3</v>
      </c>
      <c r="W42" s="18" t="n">
        <v>257982.26</v>
      </c>
      <c r="X42" s="18" t="n">
        <v>257074.87</v>
      </c>
      <c r="Y42" s="18" t="n">
        <v>235496.43</v>
      </c>
      <c r="Z42" s="34" t="n">
        <v>235496.43</v>
      </c>
      <c r="AA42" s="18" t="n">
        <v>225778.49</v>
      </c>
      <c r="AB42" s="19" t="n">
        <v>225399.79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165883.99</v>
      </c>
      <c r="F43" s="34" t="n">
        <v>165883.99</v>
      </c>
      <c r="G43" s="18" t="n">
        <v>168075.23</v>
      </c>
      <c r="H43" s="18" t="n">
        <v>172630.95</v>
      </c>
      <c r="I43" s="18" t="n">
        <v>174078.82</v>
      </c>
      <c r="J43" s="18" t="n">
        <v>170709.67</v>
      </c>
      <c r="K43" s="34" t="n">
        <v>170709.67</v>
      </c>
      <c r="L43" s="18" t="n">
        <v>169618.83</v>
      </c>
      <c r="M43" s="18" t="n">
        <v>167823.36</v>
      </c>
      <c r="N43" s="18" t="n">
        <v>157866.81</v>
      </c>
      <c r="O43" s="18" t="n">
        <v>194622.28</v>
      </c>
      <c r="P43" s="34" t="n">
        <v>194622.28</v>
      </c>
      <c r="Q43" s="18" t="n">
        <v>196002.83</v>
      </c>
      <c r="R43" s="18" t="n">
        <v>195297.16</v>
      </c>
      <c r="S43" s="18" t="n">
        <v>192131.85</v>
      </c>
      <c r="T43" s="18" t="n">
        <v>186050.32</v>
      </c>
      <c r="U43" s="34" t="n">
        <v>186050.32</v>
      </c>
      <c r="V43" s="18" t="n">
        <v>186022.66</v>
      </c>
      <c r="W43" s="18" t="n">
        <v>161286.6</v>
      </c>
      <c r="X43" s="18" t="n">
        <v>143803.29</v>
      </c>
      <c r="Y43" s="18" t="n">
        <v>135773.77</v>
      </c>
      <c r="Z43" s="34" t="n">
        <v>135773.77</v>
      </c>
      <c r="AA43" s="18" t="n">
        <v>136005.2</v>
      </c>
      <c r="AB43" s="19" t="n">
        <v>137079.04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50655.19</v>
      </c>
      <c r="F44" s="34" t="n">
        <v>50655.19</v>
      </c>
      <c r="G44" s="18" t="n">
        <v>50655.19</v>
      </c>
      <c r="H44" s="18" t="n">
        <v>50655.19</v>
      </c>
      <c r="I44" s="18" t="n">
        <v>50655.19</v>
      </c>
      <c r="J44" s="18" t="n">
        <v>50655.19</v>
      </c>
      <c r="K44" s="34" t="n">
        <v>50655.19</v>
      </c>
      <c r="L44" s="18" t="n">
        <v>50655.19</v>
      </c>
      <c r="M44" s="18" t="n">
        <v>50655.19</v>
      </c>
      <c r="N44" s="18" t="n">
        <v>50655.19</v>
      </c>
      <c r="O44" s="18" t="n">
        <v>50655.19</v>
      </c>
      <c r="P44" s="34" t="n">
        <v>50655.19</v>
      </c>
      <c r="Q44" s="18" t="n">
        <v>50655.19</v>
      </c>
      <c r="R44" s="18" t="n">
        <v>50655.19</v>
      </c>
      <c r="S44" s="18" t="n">
        <v>50655.19</v>
      </c>
      <c r="T44" s="18" t="n">
        <v>50655.19</v>
      </c>
      <c r="U44" s="34" t="n">
        <v>50655.19</v>
      </c>
      <c r="V44" s="18" t="n">
        <v>50655.19</v>
      </c>
      <c r="W44" s="18" t="n">
        <v>50655.19</v>
      </c>
      <c r="X44" s="18" t="n">
        <v>50655.19</v>
      </c>
      <c r="Y44" s="18" t="n">
        <v>50655.19</v>
      </c>
      <c r="Z44" s="34" t="n">
        <v>50655.19</v>
      </c>
      <c r="AA44" s="18" t="n">
        <v>50655.19</v>
      </c>
      <c r="AB44" s="19" t="n">
        <v>39051.76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94821.45</v>
      </c>
      <c r="F45" s="34" t="n">
        <v>94821.45</v>
      </c>
      <c r="G45" s="18" t="n">
        <v>94821.45</v>
      </c>
      <c r="H45" s="18" t="n">
        <v>94821.45</v>
      </c>
      <c r="I45" s="18" t="n">
        <v>94821.45</v>
      </c>
      <c r="J45" s="18" t="n">
        <v>94821.45</v>
      </c>
      <c r="K45" s="34" t="n">
        <v>94821.45</v>
      </c>
      <c r="L45" s="18" t="n">
        <v>94821.45</v>
      </c>
      <c r="M45" s="18" t="n">
        <v>94821.45</v>
      </c>
      <c r="N45" s="18" t="n">
        <v>94821.45</v>
      </c>
      <c r="O45" s="18" t="n">
        <v>94821.45</v>
      </c>
      <c r="P45" s="34" t="n">
        <v>94821.45</v>
      </c>
      <c r="Q45" s="18" t="n">
        <v>94821.45</v>
      </c>
      <c r="R45" s="18" t="n">
        <v>94821.45</v>
      </c>
      <c r="S45" s="18" t="n">
        <v>94821.45</v>
      </c>
      <c r="T45" s="18" t="n">
        <v>94821.45</v>
      </c>
      <c r="U45" s="34" t="n">
        <v>94821.45</v>
      </c>
      <c r="V45" s="18" t="n">
        <v>94821.45</v>
      </c>
      <c r="W45" s="18" t="n">
        <v>94821.45</v>
      </c>
      <c r="X45" s="18" t="n">
        <v>94821.45</v>
      </c>
      <c r="Y45" s="18" t="n">
        <v>94821.45</v>
      </c>
      <c r="Z45" s="34" t="n">
        <v>94821.45</v>
      </c>
      <c r="AA45" s="18" t="n">
        <v>94821.45</v>
      </c>
      <c r="AB45" s="19" t="n">
        <v>94821.45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-77423.44</v>
      </c>
      <c r="F46" s="34" t="n">
        <v>-77423.44</v>
      </c>
      <c r="G46" s="18" t="n">
        <v>-74723.81</v>
      </c>
      <c r="H46" s="18" t="n">
        <v>-74723.81</v>
      </c>
      <c r="I46" s="18" t="n">
        <v>-74723.81</v>
      </c>
      <c r="J46" s="18" t="n">
        <v>-74729.72</v>
      </c>
      <c r="K46" s="34" t="n">
        <v>-74729.72</v>
      </c>
      <c r="L46" s="18" t="n">
        <v>-74729.72</v>
      </c>
      <c r="M46" s="18" t="n">
        <v>-74501.11</v>
      </c>
      <c r="N46" s="18" t="n">
        <v>-83426.32000000001</v>
      </c>
      <c r="O46" s="18" t="n">
        <v>-87597</v>
      </c>
      <c r="P46" s="34" t="n">
        <v>-87597</v>
      </c>
      <c r="Q46" s="18" t="n">
        <v>-87522.50999999999</v>
      </c>
      <c r="R46" s="18" t="n">
        <v>-88575.44</v>
      </c>
      <c r="S46" s="18" t="n">
        <v>-88575.44</v>
      </c>
      <c r="T46" s="18" t="n">
        <v>-84643.55</v>
      </c>
      <c r="U46" s="34" t="n">
        <v>-84643.55</v>
      </c>
      <c r="V46" s="18" t="n">
        <v>-84643.55</v>
      </c>
      <c r="W46" s="18" t="n">
        <v>-84643.55</v>
      </c>
      <c r="X46" s="18" t="n">
        <v>-84947.25999999999</v>
      </c>
      <c r="Y46" s="18" t="n">
        <v>-83592.16</v>
      </c>
      <c r="Z46" s="34" t="n">
        <v>-83592.16</v>
      </c>
      <c r="AA46" s="18" t="n">
        <v>-82661.50999999999</v>
      </c>
      <c r="AB46" s="19" t="n">
        <v>-70019.77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1454.45</v>
      </c>
      <c r="F47" s="34" t="n">
        <v>1454.45</v>
      </c>
      <c r="G47" s="18" t="n">
        <v>1353.14</v>
      </c>
      <c r="H47" s="18" t="n">
        <v>2063.54</v>
      </c>
      <c r="I47" s="18" t="n">
        <v>2740.85</v>
      </c>
      <c r="J47" s="18" t="n">
        <v>1257.95</v>
      </c>
      <c r="K47" s="34" t="n">
        <v>1257.95</v>
      </c>
      <c r="L47" s="18" t="n">
        <v>1631.35</v>
      </c>
      <c r="M47" s="18" t="n">
        <v>1662.76</v>
      </c>
      <c r="N47" s="18" t="n">
        <v>1391.88</v>
      </c>
      <c r="O47" s="18" t="n">
        <v>45822.47</v>
      </c>
      <c r="P47" s="34" t="n">
        <v>45822.47</v>
      </c>
      <c r="Q47" s="18" t="n">
        <v>44720.79</v>
      </c>
      <c r="R47" s="18" t="n">
        <v>44972.59</v>
      </c>
      <c r="S47" s="18" t="n">
        <v>44959.2</v>
      </c>
      <c r="T47" s="18" t="n">
        <v>41978.19</v>
      </c>
      <c r="U47" s="34" t="n">
        <v>41978.19</v>
      </c>
      <c r="V47" s="18" t="n">
        <v>40897.29</v>
      </c>
      <c r="W47" s="18" t="n">
        <v>40857.34</v>
      </c>
      <c r="X47" s="18" t="n">
        <v>40816.92</v>
      </c>
      <c r="Y47" s="18" t="n">
        <v>42005.92</v>
      </c>
      <c r="Z47" s="34" t="n">
        <v>42005.92</v>
      </c>
      <c r="AA47" s="18" t="n">
        <v>40893.68</v>
      </c>
      <c r="AB47" s="19" t="n">
        <v>41195.83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96376.35000000001</v>
      </c>
      <c r="F48" s="34" t="n">
        <v>96376.35000000001</v>
      </c>
      <c r="G48" s="18" t="n">
        <v>95969.25999999999</v>
      </c>
      <c r="H48" s="18" t="n">
        <v>99814.59</v>
      </c>
      <c r="I48" s="18" t="n">
        <v>100585.13</v>
      </c>
      <c r="J48" s="18" t="n">
        <v>98704.81</v>
      </c>
      <c r="K48" s="34" t="n">
        <v>98704.81</v>
      </c>
      <c r="L48" s="18" t="n">
        <v>97240.57000000001</v>
      </c>
      <c r="M48" s="18" t="n">
        <v>95185.07000000001</v>
      </c>
      <c r="N48" s="18" t="n">
        <v>94424.62</v>
      </c>
      <c r="O48" s="18" t="n">
        <v>90920.17999999999</v>
      </c>
      <c r="P48" s="34" t="n">
        <v>90920.17999999999</v>
      </c>
      <c r="Q48" s="18" t="n">
        <v>93327.91</v>
      </c>
      <c r="R48" s="18" t="n">
        <v>93423.37</v>
      </c>
      <c r="S48" s="18" t="n">
        <v>90271.46000000001</v>
      </c>
      <c r="T48" s="18" t="n">
        <v>83239.03999999999</v>
      </c>
      <c r="U48" s="34" t="n">
        <v>83239.03999999999</v>
      </c>
      <c r="V48" s="18" t="n">
        <v>84292.28</v>
      </c>
      <c r="W48" s="18" t="n">
        <v>59596.16</v>
      </c>
      <c r="X48" s="18" t="n">
        <v>42457</v>
      </c>
      <c r="Y48" s="18" t="n">
        <v>31883.37</v>
      </c>
      <c r="Z48" s="34" t="n">
        <v>31883.37</v>
      </c>
      <c r="AA48" s="18" t="n">
        <v>32296.4</v>
      </c>
      <c r="AB48" s="19" t="n">
        <v>32029.77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32041.73</v>
      </c>
      <c r="F49" s="34" t="n">
        <v>32041.73</v>
      </c>
      <c r="G49" s="18" t="n">
        <v>28662.77</v>
      </c>
      <c r="H49" s="18" t="n">
        <v>30372.03</v>
      </c>
      <c r="I49" s="18" t="n">
        <v>30805.91</v>
      </c>
      <c r="J49" s="18" t="n">
        <v>27446.62</v>
      </c>
      <c r="K49" s="34" t="n">
        <v>27446.62</v>
      </c>
      <c r="L49" s="18" t="n">
        <v>24738.86</v>
      </c>
      <c r="M49" s="18" t="n">
        <v>22246.68</v>
      </c>
      <c r="N49" s="18" t="n">
        <v>31901.02</v>
      </c>
      <c r="O49" s="18" t="n">
        <v>35248.88</v>
      </c>
      <c r="P49" s="34" t="n">
        <v>35248.88</v>
      </c>
      <c r="Q49" s="18" t="n">
        <v>34495.95</v>
      </c>
      <c r="R49" s="18" t="n">
        <v>37104.96</v>
      </c>
      <c r="S49" s="18" t="n">
        <v>36021.68</v>
      </c>
      <c r="T49" s="18" t="n">
        <v>30786.76</v>
      </c>
      <c r="U49" s="34" t="n">
        <v>30786.76</v>
      </c>
      <c r="V49" s="18" t="n">
        <v>30325.99</v>
      </c>
      <c r="W49" s="18" t="n">
        <v>30019.42</v>
      </c>
      <c r="X49" s="18" t="n">
        <v>29786.14</v>
      </c>
      <c r="Y49" s="18" t="n">
        <v>28557.09</v>
      </c>
      <c r="Z49" s="34" t="n">
        <v>28557.09</v>
      </c>
      <c r="AA49" s="18" t="n">
        <v>27838.7</v>
      </c>
      <c r="AB49" s="19" t="n">
        <v>28025.78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197925.73</v>
      </c>
      <c r="F50" s="34" t="n">
        <v>197925.73</v>
      </c>
      <c r="G50" s="18" t="n">
        <v>196738</v>
      </c>
      <c r="H50" s="18" t="n">
        <v>203002.98</v>
      </c>
      <c r="I50" s="18" t="n">
        <v>204884.72</v>
      </c>
      <c r="J50" s="18" t="n">
        <v>198156.3</v>
      </c>
      <c r="K50" s="34" t="n">
        <v>198156.3</v>
      </c>
      <c r="L50" s="18" t="n">
        <v>194357.69</v>
      </c>
      <c r="M50" s="18" t="n">
        <v>190070.04</v>
      </c>
      <c r="N50" s="18" t="n">
        <v>189767.84</v>
      </c>
      <c r="O50" s="18" t="n">
        <v>229871.16</v>
      </c>
      <c r="P50" s="34" t="n">
        <v>229871.16</v>
      </c>
      <c r="Q50" s="18" t="n">
        <v>230498.78</v>
      </c>
      <c r="R50" s="18" t="n">
        <v>232402.12</v>
      </c>
      <c r="S50" s="18" t="n">
        <v>228153.53</v>
      </c>
      <c r="T50" s="18" t="n">
        <v>216837.08</v>
      </c>
      <c r="U50" s="34" t="n">
        <v>216837.08</v>
      </c>
      <c r="V50" s="18" t="n">
        <v>216348.65</v>
      </c>
      <c r="W50" s="18" t="n">
        <v>191306.02</v>
      </c>
      <c r="X50" s="18" t="n">
        <v>173589.43</v>
      </c>
      <c r="Y50" s="18" t="n">
        <v>164330.86</v>
      </c>
      <c r="Z50" s="34" t="n">
        <v>164330.86</v>
      </c>
      <c r="AA50" s="18" t="n">
        <v>163843.91</v>
      </c>
      <c r="AB50" s="19" t="n">
        <v>165104.81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518961.06</v>
      </c>
      <c r="F51" s="34" t="n">
        <v>518961.06</v>
      </c>
      <c r="G51" s="18" t="n">
        <v>531437.39</v>
      </c>
      <c r="H51" s="18" t="n">
        <v>557843.74</v>
      </c>
      <c r="I51" s="18" t="n">
        <v>536181.5600000001</v>
      </c>
      <c r="J51" s="18" t="n">
        <v>535684.5</v>
      </c>
      <c r="K51" s="34" t="n">
        <v>535684.5</v>
      </c>
      <c r="L51" s="18" t="n">
        <v>528217.6899999999</v>
      </c>
      <c r="M51" s="18" t="n">
        <v>522519.45</v>
      </c>
      <c r="N51" s="18" t="n">
        <v>514227.95</v>
      </c>
      <c r="O51" s="18" t="n">
        <v>544102.83</v>
      </c>
      <c r="P51" s="34" t="n">
        <v>544102.83</v>
      </c>
      <c r="Q51" s="18" t="n">
        <v>562139.97</v>
      </c>
      <c r="R51" s="18" t="n">
        <v>556028.14</v>
      </c>
      <c r="S51" s="18" t="n">
        <v>536149.2</v>
      </c>
      <c r="T51" s="18" t="n">
        <v>513396.1</v>
      </c>
      <c r="U51" s="34" t="n">
        <v>513396.1</v>
      </c>
      <c r="V51" s="18" t="n">
        <v>489106.95</v>
      </c>
      <c r="W51" s="18" t="n">
        <v>449288.28</v>
      </c>
      <c r="X51" s="18" t="n">
        <v>430664.3</v>
      </c>
      <c r="Y51" s="18" t="n">
        <v>399827.28</v>
      </c>
      <c r="Z51" s="34" t="n">
        <v>399827.28</v>
      </c>
      <c r="AA51" s="18" t="n">
        <v>389622.4</v>
      </c>
      <c r="AB51" s="19" t="n">
        <v>390504.61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222246.57</v>
      </c>
      <c r="F52" s="34" t="n">
        <v>222246.57</v>
      </c>
      <c r="G52" s="18" t="n">
        <v>228266.28</v>
      </c>
      <c r="H52" s="18" t="n">
        <v>250696.87</v>
      </c>
      <c r="I52" s="18" t="n">
        <v>240951.23</v>
      </c>
      <c r="J52" s="18" t="n">
        <v>247619.33</v>
      </c>
      <c r="K52" s="34" t="n">
        <v>247619.33</v>
      </c>
      <c r="L52" s="18" t="n">
        <v>235104.04</v>
      </c>
      <c r="M52" s="18" t="n">
        <v>235094.13</v>
      </c>
      <c r="N52" s="18" t="n">
        <v>212697.07</v>
      </c>
      <c r="O52" s="18" t="n">
        <v>208782.44</v>
      </c>
      <c r="P52" s="34" t="n">
        <v>208782.44</v>
      </c>
      <c r="Q52" s="18" t="n">
        <v>218135</v>
      </c>
      <c r="R52" s="18" t="n">
        <v>208377.12</v>
      </c>
      <c r="S52" s="18" t="n">
        <v>202355.39</v>
      </c>
      <c r="T52" s="18" t="n">
        <v>186390.43</v>
      </c>
      <c r="U52" s="34" t="n">
        <v>186390.43</v>
      </c>
      <c r="V52" s="18" t="n">
        <v>166581.45</v>
      </c>
      <c r="W52" s="18" t="n">
        <v>129194.23</v>
      </c>
      <c r="X52" s="18" t="n">
        <v>126430.59</v>
      </c>
      <c r="Y52" s="18" t="n">
        <v>135856.68</v>
      </c>
      <c r="Z52" s="34" t="n">
        <v>135856.68</v>
      </c>
      <c r="AA52" s="18" t="n">
        <v>117943.07</v>
      </c>
      <c r="AB52" s="19" t="n">
        <v>123354.72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210104.63</v>
      </c>
      <c r="F53" s="34" t="n">
        <v>210104.63</v>
      </c>
      <c r="G53" s="18" t="n">
        <v>214070.13</v>
      </c>
      <c r="H53" s="18" t="n">
        <v>230031.8</v>
      </c>
      <c r="I53" s="18" t="n">
        <v>229784.97</v>
      </c>
      <c r="J53" s="18" t="n">
        <v>229851.84</v>
      </c>
      <c r="K53" s="34" t="n">
        <v>229851.84</v>
      </c>
      <c r="L53" s="18" t="n">
        <v>227113.53</v>
      </c>
      <c r="M53" s="18" t="n">
        <v>222379.06</v>
      </c>
      <c r="N53" s="18" t="n">
        <v>200844.49</v>
      </c>
      <c r="O53" s="18" t="n">
        <v>198049.35</v>
      </c>
      <c r="P53" s="34" t="n">
        <v>198049.35</v>
      </c>
      <c r="Q53" s="18" t="n">
        <v>207134.41</v>
      </c>
      <c r="R53" s="18" t="n">
        <v>199877.46</v>
      </c>
      <c r="S53" s="18" t="n">
        <v>193635.57</v>
      </c>
      <c r="T53" s="18" t="n">
        <v>176438.23</v>
      </c>
      <c r="U53" s="34" t="n">
        <v>176438.23</v>
      </c>
      <c r="V53" s="18" t="n">
        <v>154277.89</v>
      </c>
      <c r="W53" s="18" t="n">
        <v>114807.78</v>
      </c>
      <c r="X53" s="18" t="n">
        <v>115231.26</v>
      </c>
      <c r="Y53" s="18" t="n">
        <v>124875.38</v>
      </c>
      <c r="Z53" s="34" t="n">
        <v>124875.38</v>
      </c>
      <c r="AA53" s="18" t="n">
        <v>109492.52</v>
      </c>
      <c r="AB53" s="19" t="n">
        <v>116464.98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14642.92</v>
      </c>
      <c r="F54" s="34" t="n">
        <v>14642.92</v>
      </c>
      <c r="G54" s="18" t="n">
        <v>16338</v>
      </c>
      <c r="H54" s="18" t="n">
        <v>23384.28</v>
      </c>
      <c r="I54" s="18" t="n">
        <v>13335.6</v>
      </c>
      <c r="J54" s="18" t="n">
        <v>19003.59</v>
      </c>
      <c r="K54" s="34" t="n">
        <v>19003.59</v>
      </c>
      <c r="L54" s="18" t="n">
        <v>9140.040000000001</v>
      </c>
      <c r="M54" s="18" t="n">
        <v>14011.75</v>
      </c>
      <c r="N54" s="18" t="n">
        <v>12773.77</v>
      </c>
      <c r="O54" s="18" t="n">
        <v>12367.84</v>
      </c>
      <c r="P54" s="34" t="n">
        <v>12367.84</v>
      </c>
      <c r="Q54" s="18" t="n">
        <v>11493.05</v>
      </c>
      <c r="R54" s="18" t="n">
        <v>9227.91</v>
      </c>
      <c r="S54" s="18" t="n">
        <v>9419.99</v>
      </c>
      <c r="T54" s="18" t="n">
        <v>10552.35</v>
      </c>
      <c r="U54" s="34" t="n">
        <v>10552.35</v>
      </c>
      <c r="V54" s="18" t="n">
        <v>12157.36</v>
      </c>
      <c r="W54" s="18" t="n">
        <v>14512.67</v>
      </c>
      <c r="X54" s="18" t="n">
        <v>11228.98</v>
      </c>
      <c r="Y54" s="18" t="n">
        <v>11020.75</v>
      </c>
      <c r="Z54" s="34" t="n">
        <v>11020.75</v>
      </c>
      <c r="AA54" s="18" t="n">
        <v>10241.86</v>
      </c>
      <c r="AB54" s="19" t="n">
        <v>9416.059999999999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매각예정비유동자산및처분자산</t>
        </is>
      </c>
      <c r="F55" s="9" t="n"/>
      <c r="I55" s="18" t="n">
        <v>2626.9</v>
      </c>
      <c r="J55" s="18" t="n">
        <v>2626.9</v>
      </c>
      <c r="K55" s="34" t="n">
        <v>2626.9</v>
      </c>
      <c r="M55" s="18" t="n">
        <v>4156.36</v>
      </c>
      <c r="N55" s="18" t="n">
        <v>4106.21</v>
      </c>
      <c r="O55" s="18" t="n">
        <v>22383.41</v>
      </c>
      <c r="P55" s="34" t="n">
        <v>22383.41</v>
      </c>
      <c r="Q55" s="18" t="n">
        <v>17434.8</v>
      </c>
      <c r="R55" s="18" t="n">
        <v>17434.8</v>
      </c>
      <c r="S55" s="18" t="n">
        <v>27878.69</v>
      </c>
      <c r="T55" s="18" t="n">
        <v>14698.12</v>
      </c>
      <c r="U55" s="34" t="n">
        <v>14698.12</v>
      </c>
      <c r="V55" s="18" t="n">
        <v>10756.11</v>
      </c>
      <c r="W55" s="18" t="n">
        <v>45254.01</v>
      </c>
      <c r="X55" s="18" t="n">
        <v>45254.01</v>
      </c>
      <c r="Y55" s="18" t="n">
        <v>67853.37</v>
      </c>
      <c r="Z55" s="34" t="n">
        <v>67853.37</v>
      </c>
      <c r="AA55" s="18" t="n">
        <v>57409.48</v>
      </c>
      <c r="AB55" s="19" t="n">
        <v>57409.48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459.39</v>
      </c>
      <c r="K56" s="34" t="n">
        <v>459.39</v>
      </c>
      <c r="L56" s="18" t="n">
        <v>94.51000000000001</v>
      </c>
      <c r="M56" s="18" t="n">
        <v>62.65</v>
      </c>
      <c r="N56" s="18" t="n">
        <v>110.07</v>
      </c>
      <c r="O56" s="18" t="n">
        <v>39.44</v>
      </c>
      <c r="P56" s="34" t="n">
        <v>39.44</v>
      </c>
      <c r="Q56" s="18" t="n">
        <v>23.34</v>
      </c>
      <c r="R56" s="18" t="n">
        <v>1.39</v>
      </c>
      <c r="S56" s="18" t="n">
        <v>0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단기금융자산</t>
        </is>
      </c>
      <c r="F57" s="9" t="n"/>
      <c r="J57" s="18" t="n">
        <v>459.39</v>
      </c>
      <c r="K57" s="34" t="n">
        <v>459.39</v>
      </c>
      <c r="L57" s="18" t="n">
        <v>94.51000000000001</v>
      </c>
      <c r="M57" s="18" t="n">
        <v>62.65</v>
      </c>
      <c r="N57" s="18" t="n">
        <v>110.07</v>
      </c>
      <c r="O57" s="18" t="n">
        <v>39.44</v>
      </c>
      <c r="P57" s="34" t="n">
        <v>39.44</v>
      </c>
      <c r="Q57" s="18" t="n">
        <v>23.34</v>
      </c>
      <c r="R57" s="18" t="n">
        <v>1.39</v>
      </c>
      <c r="S57" s="18" t="n">
        <v>0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M58" s="18" t="n">
        <v>499.15</v>
      </c>
      <c r="N58" s="18" t="n">
        <v>88.59</v>
      </c>
      <c r="O58" s="18" t="n">
        <v>1023.79</v>
      </c>
      <c r="P58" s="34" t="n">
        <v>1023.79</v>
      </c>
      <c r="Q58" s="18" t="n">
        <v>281.53</v>
      </c>
      <c r="R58" s="18" t="n">
        <v>435.1</v>
      </c>
      <c r="S58" s="18" t="n">
        <v>1043.4</v>
      </c>
      <c r="T58" s="18" t="n">
        <v>880.67</v>
      </c>
      <c r="U58" s="34" t="n">
        <v>880.67</v>
      </c>
      <c r="V58" s="18" t="n">
        <v>204.88</v>
      </c>
      <c r="W58" s="18" t="n">
        <v>147.7</v>
      </c>
      <c r="X58" s="18" t="n">
        <v>25.92</v>
      </c>
      <c r="Y58" s="18" t="n">
        <v>0.8100000000000001</v>
      </c>
      <c r="Z58" s="34" t="n">
        <v>0.8100000000000001</v>
      </c>
      <c r="AA58" s="18" t="n">
        <v>35.06</v>
      </c>
      <c r="AB58" s="19" t="n">
        <v>101.36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148524.7</v>
      </c>
      <c r="N59" s="18" t="n">
        <v>152031.34</v>
      </c>
      <c r="O59" s="18" t="n">
        <v>139635.63</v>
      </c>
      <c r="P59" s="34" t="n">
        <v>139635.63</v>
      </c>
      <c r="Q59" s="18" t="n">
        <v>157505.16</v>
      </c>
      <c r="R59" s="18" t="n">
        <v>161240.51</v>
      </c>
      <c r="S59" s="18" t="n">
        <v>158662.39</v>
      </c>
      <c r="T59" s="18" t="n">
        <v>143242.68</v>
      </c>
      <c r="U59" s="34" t="n">
        <v>143242.68</v>
      </c>
      <c r="Y59" s="18" t="n">
        <v>107219.3</v>
      </c>
      <c r="Z59" s="34" t="n">
        <v>107219.3</v>
      </c>
      <c r="AB59" s="19" t="n">
        <v>97273.92999999999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단기사채</t>
        </is>
      </c>
      <c r="F60" s="9" t="n"/>
      <c r="K60" s="9" t="n"/>
      <c r="M60" s="18" t="n">
        <v>20000</v>
      </c>
      <c r="N60" s="18" t="n">
        <v>20000</v>
      </c>
      <c r="O60" s="18" t="n">
        <v>20000</v>
      </c>
      <c r="P60" s="34" t="n">
        <v>20000</v>
      </c>
      <c r="Q60" s="18" t="n">
        <v>20000</v>
      </c>
      <c r="R60" s="18" t="n">
        <v>10000</v>
      </c>
      <c r="S60" s="18" t="n">
        <v>10000</v>
      </c>
      <c r="T60" s="18" t="n">
        <v>10000</v>
      </c>
      <c r="U60" s="34" t="n">
        <v>10000</v>
      </c>
      <c r="Y60" s="18" t="n">
        <v>16000</v>
      </c>
      <c r="Z60" s="34" t="n">
        <v>16000</v>
      </c>
      <c r="AB60" s="19" t="n">
        <v>8000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M61" s="18" t="n">
        <v>35700.62</v>
      </c>
      <c r="N61" s="18" t="n">
        <v>28203.59</v>
      </c>
      <c r="O61" s="18" t="n">
        <v>25039.89</v>
      </c>
      <c r="P61" s="34" t="n">
        <v>25039.89</v>
      </c>
      <c r="Q61" s="18" t="n">
        <v>17992.86</v>
      </c>
      <c r="R61" s="18" t="n">
        <v>10071.17</v>
      </c>
      <c r="S61" s="18" t="n">
        <v>8200.360000000001</v>
      </c>
      <c r="T61" s="18" t="n">
        <v>7416.94</v>
      </c>
      <c r="U61" s="34" t="n">
        <v>7416.94</v>
      </c>
      <c r="Y61" s="18" t="n">
        <v>2042.92</v>
      </c>
      <c r="Z61" s="34" t="n">
        <v>2042.92</v>
      </c>
      <c r="AB61" s="19" t="n">
        <v>1399.23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비유동리스부채</t>
        </is>
      </c>
      <c r="F62" s="9" t="n"/>
      <c r="K62" s="9" t="n"/>
      <c r="M62" s="18" t="n">
        <v>376.64</v>
      </c>
      <c r="N62" s="18" t="n">
        <v>565</v>
      </c>
      <c r="O62" s="18" t="n">
        <v>527.1900000000001</v>
      </c>
      <c r="P62" s="34" t="n">
        <v>527.1900000000001</v>
      </c>
      <c r="Q62" s="18" t="n">
        <v>1028.71</v>
      </c>
      <c r="R62" s="18" t="n">
        <v>814.12</v>
      </c>
      <c r="S62" s="18" t="n">
        <v>686.25</v>
      </c>
      <c r="T62" s="18" t="n">
        <v>651.5</v>
      </c>
      <c r="U62" s="34" t="n">
        <v>651.5</v>
      </c>
      <c r="Y62" s="18" t="n">
        <v>1070.62</v>
      </c>
      <c r="Z62" s="34" t="n">
        <v>1070.62</v>
      </c>
      <c r="AB62" s="19" t="n">
        <v>389.48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기타비유동부채</t>
        </is>
      </c>
      <c r="F63" s="9" t="n"/>
      <c r="K63" s="9" t="n"/>
      <c r="N63" s="18" t="n">
        <v>14672.2</v>
      </c>
      <c r="P63" s="9" t="n"/>
      <c r="U63" s="9" t="n"/>
      <c r="Z63" s="9" t="n"/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기타유동금융자산</t>
        </is>
      </c>
      <c r="F64" s="9" t="n"/>
      <c r="K64" s="9" t="n"/>
      <c r="P64" s="9" t="n"/>
      <c r="R64" s="18" t="n">
        <v>417.74</v>
      </c>
      <c r="S64" s="18" t="n">
        <v>376.81</v>
      </c>
      <c r="T64" s="18" t="n">
        <v>48.77</v>
      </c>
      <c r="U64" s="34" t="n">
        <v>48.77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매출액(수익)</t>
        </is>
      </c>
      <c r="E65" s="18" t="n">
        <v>96057.87</v>
      </c>
      <c r="F65" s="9" t="n"/>
      <c r="G65" s="18" t="n">
        <v>114580.42</v>
      </c>
      <c r="H65" s="18" t="n">
        <v>120824.3</v>
      </c>
      <c r="I65" s="18" t="n">
        <v>167721.9</v>
      </c>
      <c r="J65" s="18" t="n">
        <v>124242.11</v>
      </c>
      <c r="K65" s="34" t="n">
        <v>527368.73</v>
      </c>
      <c r="L65" s="18" t="n">
        <v>123171.79</v>
      </c>
      <c r="M65" s="18" t="n">
        <v>132706.49</v>
      </c>
      <c r="N65" s="18" t="n">
        <v>133880.09</v>
      </c>
      <c r="O65" s="18" t="n">
        <v>110252.18</v>
      </c>
      <c r="P65" s="34" t="n">
        <v>500010.55</v>
      </c>
      <c r="Q65" s="18" t="n">
        <v>125035.04</v>
      </c>
      <c r="R65" s="18" t="n">
        <v>126960.72</v>
      </c>
      <c r="S65" s="18" t="n">
        <v>119001.99</v>
      </c>
      <c r="T65" s="18" t="n">
        <v>109350.58</v>
      </c>
      <c r="U65" s="34" t="n">
        <v>480348.33</v>
      </c>
      <c r="V65" s="18" t="n">
        <v>110984.99</v>
      </c>
      <c r="W65" s="18" t="n">
        <v>116282.15</v>
      </c>
      <c r="X65" s="18" t="n">
        <v>109895.49</v>
      </c>
      <c r="Y65" s="18" t="n">
        <v>96321.92999999999</v>
      </c>
      <c r="Z65" s="34" t="n">
        <v>433484.56</v>
      </c>
      <c r="AA65" s="18" t="n">
        <v>96425.16</v>
      </c>
      <c r="AB65" s="19" t="n">
        <v>106766.84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매출원가</t>
        </is>
      </c>
      <c r="E66" s="18" t="n">
        <v>81266.72</v>
      </c>
      <c r="F66" s="9" t="n"/>
      <c r="G66" s="18" t="n">
        <v>102663.81</v>
      </c>
      <c r="H66" s="18" t="n">
        <v>108864.47</v>
      </c>
      <c r="I66" s="18" t="n">
        <v>156061.28</v>
      </c>
      <c r="J66" s="18" t="n">
        <v>116590.29</v>
      </c>
      <c r="K66" s="34" t="n">
        <v>484179.85</v>
      </c>
      <c r="L66" s="18" t="n">
        <v>117210.77</v>
      </c>
      <c r="M66" s="18" t="n">
        <v>121415.31</v>
      </c>
      <c r="N66" s="18" t="n">
        <v>124451.39</v>
      </c>
      <c r="O66" s="18" t="n">
        <v>101875.19</v>
      </c>
      <c r="P66" s="34" t="n">
        <v>464952.66</v>
      </c>
      <c r="Q66" s="18" t="n">
        <v>112834.99</v>
      </c>
      <c r="R66" s="18" t="n">
        <v>115295.13</v>
      </c>
      <c r="S66" s="18" t="n">
        <v>111376.23</v>
      </c>
      <c r="T66" s="18" t="n">
        <v>103992.88</v>
      </c>
      <c r="U66" s="34" t="n">
        <v>443499.23</v>
      </c>
      <c r="V66" s="18" t="n">
        <v>104669.82</v>
      </c>
      <c r="W66" s="18" t="n">
        <v>110836.26</v>
      </c>
      <c r="X66" s="18" t="n">
        <v>108520.05</v>
      </c>
      <c r="Y66" s="18" t="n">
        <v>84029.44</v>
      </c>
      <c r="Z66" s="34" t="n">
        <v>408055.57</v>
      </c>
      <c r="AA66" s="18" t="n">
        <v>90049.50999999999</v>
      </c>
      <c r="AB66" s="19" t="n">
        <v>97531.59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매출총이익</t>
        </is>
      </c>
      <c r="E67" s="18" t="n">
        <v>14791.15</v>
      </c>
      <c r="F67" s="9" t="n"/>
      <c r="G67" s="18" t="n">
        <v>11916.62</v>
      </c>
      <c r="H67" s="18" t="n">
        <v>11959.83</v>
      </c>
      <c r="I67" s="18" t="n">
        <v>11660.62</v>
      </c>
      <c r="J67" s="18" t="n">
        <v>7651.82</v>
      </c>
      <c r="K67" s="34" t="n">
        <v>43188.89</v>
      </c>
      <c r="L67" s="18" t="n">
        <v>5961.02</v>
      </c>
      <c r="M67" s="18" t="n">
        <v>11291.18</v>
      </c>
      <c r="N67" s="18" t="n">
        <v>9428.709999999999</v>
      </c>
      <c r="O67" s="18" t="n">
        <v>8376.99</v>
      </c>
      <c r="P67" s="34" t="n">
        <v>35057.9</v>
      </c>
      <c r="Q67" s="18" t="n">
        <v>12200.06</v>
      </c>
      <c r="R67" s="18" t="n">
        <v>11665.59</v>
      </c>
      <c r="S67" s="18" t="n">
        <v>7625.75</v>
      </c>
      <c r="T67" s="18" t="n">
        <v>5357.7</v>
      </c>
      <c r="U67" s="34" t="n">
        <v>36849.1</v>
      </c>
      <c r="V67" s="18" t="n">
        <v>6315.17</v>
      </c>
      <c r="W67" s="18" t="n">
        <v>5445.88</v>
      </c>
      <c r="X67" s="18" t="n">
        <v>1375.44</v>
      </c>
      <c r="Y67" s="18" t="n">
        <v>12292.49</v>
      </c>
      <c r="Z67" s="34" t="n">
        <v>25428.98</v>
      </c>
      <c r="AA67" s="18" t="n">
        <v>6375.65</v>
      </c>
      <c r="AB67" s="19" t="n">
        <v>9235.25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판관비</t>
        </is>
      </c>
      <c r="E68" s="18" t="n">
        <v>11180.27</v>
      </c>
      <c r="F68" s="9" t="n"/>
      <c r="G68" s="18" t="n">
        <v>10176.78</v>
      </c>
      <c r="H68" s="18" t="n">
        <v>9919.780000000001</v>
      </c>
      <c r="I68" s="18" t="n">
        <v>9952.709999999999</v>
      </c>
      <c r="J68" s="18" t="n">
        <v>8912.639999999999</v>
      </c>
      <c r="K68" s="34" t="n">
        <v>38961.91</v>
      </c>
      <c r="L68" s="18" t="n">
        <v>8781.51</v>
      </c>
      <c r="M68" s="18" t="n">
        <v>8933.889999999999</v>
      </c>
      <c r="N68" s="18" t="n">
        <v>6884.13</v>
      </c>
      <c r="O68" s="18" t="n">
        <v>9205.9</v>
      </c>
      <c r="P68" s="34" t="n">
        <v>33805.43</v>
      </c>
      <c r="Q68" s="18" t="n">
        <v>8328.17</v>
      </c>
      <c r="R68" s="18" t="n">
        <v>8921.49</v>
      </c>
      <c r="S68" s="18" t="n">
        <v>8747</v>
      </c>
      <c r="T68" s="18" t="n">
        <v>7779.79</v>
      </c>
      <c r="U68" s="34" t="n">
        <v>33776.45</v>
      </c>
      <c r="V68" s="18" t="n">
        <v>7895.72</v>
      </c>
      <c r="W68" s="18" t="n">
        <v>7829.58</v>
      </c>
      <c r="X68" s="18" t="n">
        <v>8341.639999999999</v>
      </c>
      <c r="Y68" s="18" t="n">
        <v>14530.64</v>
      </c>
      <c r="Z68" s="34" t="n">
        <v>38597.58</v>
      </c>
      <c r="AA68" s="18" t="n">
        <v>7814.78</v>
      </c>
      <c r="AB68" s="19" t="n">
        <v>7061.41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영업이익</t>
        </is>
      </c>
      <c r="E69" s="18" t="n">
        <v>3610.88</v>
      </c>
      <c r="F69" s="9" t="n"/>
      <c r="G69" s="18" t="n">
        <v>1739.84</v>
      </c>
      <c r="H69" s="18" t="n">
        <v>2040.05</v>
      </c>
      <c r="I69" s="18" t="n">
        <v>1707.91</v>
      </c>
      <c r="J69" s="18" t="n">
        <v>-1260.82</v>
      </c>
      <c r="K69" s="34" t="n">
        <v>4226.98</v>
      </c>
      <c r="L69" s="18" t="n">
        <v>-2820.49</v>
      </c>
      <c r="M69" s="18" t="n">
        <v>2357.29</v>
      </c>
      <c r="N69" s="18" t="n">
        <v>2544.58</v>
      </c>
      <c r="O69" s="18" t="n">
        <v>-828.91</v>
      </c>
      <c r="P69" s="34" t="n">
        <v>1252.47</v>
      </c>
      <c r="Q69" s="18" t="n">
        <v>3871.89</v>
      </c>
      <c r="R69" s="18" t="n">
        <v>2744.1</v>
      </c>
      <c r="S69" s="18" t="n">
        <v>-1121.25</v>
      </c>
      <c r="T69" s="18" t="n">
        <v>-2422.09</v>
      </c>
      <c r="U69" s="34" t="n">
        <v>3072.65</v>
      </c>
      <c r="V69" s="18" t="n">
        <v>-1580.55</v>
      </c>
      <c r="W69" s="18" t="n">
        <v>-2383.7</v>
      </c>
      <c r="X69" s="18" t="n">
        <v>-6966.2</v>
      </c>
      <c r="Y69" s="18" t="n">
        <v>-2238.15</v>
      </c>
      <c r="Z69" s="34" t="n">
        <v>-13168.6</v>
      </c>
      <c r="AA69" s="18" t="n">
        <v>-1439.13</v>
      </c>
      <c r="AB69" s="19" t="n">
        <v>2173.84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1308.08</v>
      </c>
      <c r="F70" s="9" t="n"/>
      <c r="G70" s="18" t="n">
        <v>933.37</v>
      </c>
      <c r="H70" s="18" t="n">
        <v>5271.66</v>
      </c>
      <c r="I70" s="18" t="n">
        <v>4688.71</v>
      </c>
      <c r="J70" s="18" t="n">
        <v>2284.43</v>
      </c>
      <c r="K70" s="34" t="n">
        <v>13178.17</v>
      </c>
      <c r="L70" s="18" t="n">
        <v>2065.51</v>
      </c>
      <c r="M70" s="18" t="n">
        <v>1600.61</v>
      </c>
      <c r="N70" s="18" t="n">
        <v>2573.19</v>
      </c>
      <c r="O70" s="18" t="n">
        <v>1016.08</v>
      </c>
      <c r="P70" s="34" t="n">
        <v>7255.39</v>
      </c>
      <c r="Q70" s="18" t="n">
        <v>1590.99</v>
      </c>
      <c r="R70" s="18" t="n">
        <v>1450.06</v>
      </c>
      <c r="S70" s="18" t="n">
        <v>412.14</v>
      </c>
      <c r="T70" s="18" t="n">
        <v>1731.52</v>
      </c>
      <c r="U70" s="34" t="n">
        <v>5184.71</v>
      </c>
      <c r="V70" s="18" t="n">
        <v>1160.12</v>
      </c>
      <c r="W70" s="18" t="n">
        <v>421.25</v>
      </c>
      <c r="X70" s="18" t="n">
        <v>622.52</v>
      </c>
      <c r="Y70" s="18" t="n">
        <v>1416.49</v>
      </c>
      <c r="Z70" s="34" t="n">
        <v>3620.38</v>
      </c>
      <c r="AA70" s="18" t="n">
        <v>812.59</v>
      </c>
      <c r="AB70" s="19" t="n">
        <v>314.11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2298</v>
      </c>
      <c r="F71" s="9" t="n"/>
      <c r="G71" s="18" t="n">
        <v>4398.4</v>
      </c>
      <c r="H71" s="18" t="n">
        <v>2978.31</v>
      </c>
      <c r="I71" s="18" t="n">
        <v>5354.61</v>
      </c>
      <c r="J71" s="18" t="n">
        <v>8151.35</v>
      </c>
      <c r="K71" s="34" t="n">
        <v>20882.67</v>
      </c>
      <c r="L71" s="18" t="n">
        <v>5069.6</v>
      </c>
      <c r="M71" s="18" t="n">
        <v>5354.28</v>
      </c>
      <c r="N71" s="18" t="n">
        <v>5231.55</v>
      </c>
      <c r="O71" s="18" t="n">
        <v>4261.11</v>
      </c>
      <c r="P71" s="34" t="n">
        <v>19916.54</v>
      </c>
      <c r="Q71" s="18" t="n">
        <v>4180.28</v>
      </c>
      <c r="R71" s="18" t="n">
        <v>4647.34</v>
      </c>
      <c r="S71" s="18" t="n">
        <v>3993.5</v>
      </c>
      <c r="T71" s="18" t="n">
        <v>2987.75</v>
      </c>
      <c r="U71" s="34" t="n">
        <v>15808.87</v>
      </c>
      <c r="V71" s="18" t="n">
        <v>3038.57</v>
      </c>
      <c r="W71" s="18" t="n">
        <v>3666.21</v>
      </c>
      <c r="X71" s="18" t="n">
        <v>1693.13</v>
      </c>
      <c r="Y71" s="18" t="n">
        <v>2452.25</v>
      </c>
      <c r="Z71" s="34" t="n">
        <v>10850.16</v>
      </c>
      <c r="AA71" s="18" t="n">
        <v>2248.64</v>
      </c>
      <c r="AB71" s="19" t="n">
        <v>2221.45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기타영업외수익</t>
        </is>
      </c>
      <c r="E72" s="18" t="n">
        <v>-4195.51</v>
      </c>
      <c r="F72" s="9" t="n"/>
      <c r="G72" s="18" t="n">
        <v>616.24</v>
      </c>
      <c r="H72" s="18" t="n">
        <v>1456.97</v>
      </c>
      <c r="I72" s="18" t="n">
        <v>373.34</v>
      </c>
      <c r="J72" s="18" t="n">
        <v>256.14</v>
      </c>
      <c r="K72" s="34" t="n">
        <v>2702.69</v>
      </c>
      <c r="L72" s="18" t="n">
        <v>2342.9</v>
      </c>
      <c r="M72" s="18" t="n">
        <v>397.74</v>
      </c>
      <c r="N72" s="18" t="n">
        <v>325.44</v>
      </c>
      <c r="O72" s="18" t="n">
        <v>3399.75</v>
      </c>
      <c r="P72" s="34" t="n">
        <v>6465.83</v>
      </c>
      <c r="Q72" s="18" t="n">
        <v>1720.09</v>
      </c>
      <c r="R72" s="18" t="n">
        <v>517.8099999999999</v>
      </c>
      <c r="S72" s="18" t="n">
        <v>135.7</v>
      </c>
      <c r="T72" s="18" t="n">
        <v>-296.61</v>
      </c>
      <c r="U72" s="34" t="n">
        <v>2076.99</v>
      </c>
      <c r="V72" s="18" t="n">
        <v>5952.67</v>
      </c>
      <c r="W72" s="18" t="n">
        <v>206.21</v>
      </c>
      <c r="X72" s="18" t="n">
        <v>563.96</v>
      </c>
      <c r="Y72" s="18" t="n">
        <v>173.29</v>
      </c>
      <c r="Z72" s="34" t="n">
        <v>6896.13</v>
      </c>
      <c r="AA72" s="18" t="n">
        <v>1607.88</v>
      </c>
      <c r="AB72" s="19" t="n">
        <v>69.45999999999999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기타영업외비용</t>
        </is>
      </c>
      <c r="E73" s="18" t="n">
        <v>88.45999999999999</v>
      </c>
      <c r="F73" s="9" t="n"/>
      <c r="G73" s="18" t="n">
        <v>94.72</v>
      </c>
      <c r="H73" s="18" t="n">
        <v>125.36</v>
      </c>
      <c r="I73" s="18" t="n">
        <v>193.57</v>
      </c>
      <c r="J73" s="18" t="n">
        <v>1500.56</v>
      </c>
      <c r="K73" s="34" t="n">
        <v>1914.21</v>
      </c>
      <c r="L73" s="18" t="n">
        <v>280.2</v>
      </c>
      <c r="M73" s="18" t="n">
        <v>636.27</v>
      </c>
      <c r="N73" s="18" t="n">
        <v>177.78</v>
      </c>
      <c r="O73" s="18" t="n">
        <v>3224.44</v>
      </c>
      <c r="P73" s="34" t="n">
        <v>4318.69</v>
      </c>
      <c r="Q73" s="18" t="n">
        <v>280.34</v>
      </c>
      <c r="R73" s="18" t="n">
        <v>284.68</v>
      </c>
      <c r="S73" s="18" t="n">
        <v>291.62</v>
      </c>
      <c r="T73" s="18" t="n">
        <v>9563.82</v>
      </c>
      <c r="U73" s="34" t="n">
        <v>10420.46</v>
      </c>
      <c r="V73" s="18" t="n">
        <v>1071.16</v>
      </c>
      <c r="W73" s="18" t="n">
        <v>25512.18</v>
      </c>
      <c r="X73" s="18" t="n">
        <v>3594.59</v>
      </c>
      <c r="Y73" s="18" t="n">
        <v>22732.58</v>
      </c>
      <c r="Z73" s="34" t="n">
        <v>52910.51</v>
      </c>
      <c r="AA73" s="18" t="n">
        <v>117.12</v>
      </c>
      <c r="AB73" s="19" t="n">
        <v>61.67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-1595.5</v>
      </c>
      <c r="F74" s="9" t="n"/>
      <c r="G74" s="18" t="n">
        <v>-1192.33</v>
      </c>
      <c r="H74" s="18" t="n">
        <v>6135.28</v>
      </c>
      <c r="I74" s="18" t="n">
        <v>1113.6</v>
      </c>
      <c r="J74" s="18" t="n">
        <v>-8302.059999999999</v>
      </c>
      <c r="K74" s="34" t="n">
        <v>-2245.51</v>
      </c>
      <c r="L74" s="18" t="n">
        <v>-3772.02</v>
      </c>
      <c r="M74" s="18" t="n">
        <v>-1674.17</v>
      </c>
      <c r="N74" s="18" t="n">
        <v>-844.1</v>
      </c>
      <c r="O74" s="18" t="n">
        <v>-3213.16</v>
      </c>
      <c r="P74" s="34" t="n">
        <v>-9503.450000000001</v>
      </c>
      <c r="Q74" s="18" t="n">
        <v>2710.86</v>
      </c>
      <c r="R74" s="18" t="n">
        <v>-554.61</v>
      </c>
      <c r="S74" s="18" t="n">
        <v>-4879.89</v>
      </c>
      <c r="T74" s="18" t="n">
        <v>-13733.36</v>
      </c>
      <c r="U74" s="34" t="n">
        <v>-16457</v>
      </c>
      <c r="V74" s="18" t="n">
        <v>1370.42</v>
      </c>
      <c r="W74" s="18" t="n">
        <v>-31030</v>
      </c>
      <c r="X74" s="18" t="n">
        <v>-11168.25</v>
      </c>
      <c r="Y74" s="18" t="n">
        <v>-25889.73</v>
      </c>
      <c r="Z74" s="34" t="n">
        <v>-66717.56</v>
      </c>
      <c r="AA74" s="18" t="n">
        <v>-1349.53</v>
      </c>
      <c r="AB74" s="19" t="n">
        <v>258.96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-3843.84</v>
      </c>
      <c r="F75" s="9" t="n"/>
      <c r="G75" s="18" t="n">
        <v>-130.16</v>
      </c>
      <c r="H75" s="18" t="n">
        <v>498.15</v>
      </c>
      <c r="I75" s="18" t="n">
        <v>-70.89</v>
      </c>
      <c r="J75" s="18" t="n">
        <v>314.03</v>
      </c>
      <c r="K75" s="34" t="n">
        <v>611.13</v>
      </c>
      <c r="L75" s="18" t="n">
        <v>373.08</v>
      </c>
      <c r="M75" s="18" t="n">
        <v>495.28</v>
      </c>
      <c r="N75" s="18" t="n">
        <v>-4.07</v>
      </c>
      <c r="O75" s="18" t="n">
        <v>-1871.04</v>
      </c>
      <c r="P75" s="34" t="n">
        <v>-1006.75</v>
      </c>
      <c r="Q75" s="18" t="n">
        <v>175.56</v>
      </c>
      <c r="R75" s="18" t="n">
        <v>-172.62</v>
      </c>
      <c r="S75" s="18" t="n">
        <v>-179.27</v>
      </c>
      <c r="T75" s="18" t="n">
        <v>-1792.8</v>
      </c>
      <c r="U75" s="34" t="n">
        <v>-1969.13</v>
      </c>
      <c r="V75" s="18" t="n">
        <v>628.8099999999999</v>
      </c>
      <c r="W75" s="18" t="n">
        <v>-6067.95</v>
      </c>
      <c r="X75" s="18" t="n">
        <v>6465.23</v>
      </c>
      <c r="Y75" s="18" t="n">
        <v>-13444.02</v>
      </c>
      <c r="Z75" s="34" t="n">
        <v>-12417.93</v>
      </c>
      <c r="AA75" s="18" t="n">
        <v>258.37</v>
      </c>
      <c r="AB75" s="19" t="n">
        <v>-0.16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2248.34</v>
      </c>
      <c r="F76" s="9" t="n"/>
      <c r="G76" s="18" t="n">
        <v>-1062.17</v>
      </c>
      <c r="H76" s="18" t="n">
        <v>5637.13</v>
      </c>
      <c r="I76" s="18" t="n">
        <v>1184.49</v>
      </c>
      <c r="J76" s="18" t="n">
        <v>-8616.07</v>
      </c>
      <c r="K76" s="34" t="n">
        <v>-2856.62</v>
      </c>
      <c r="L76" s="18" t="n">
        <v>-4145.1</v>
      </c>
      <c r="M76" s="18" t="n">
        <v>-2169.45</v>
      </c>
      <c r="N76" s="18" t="n">
        <v>-840.03</v>
      </c>
      <c r="O76" s="18" t="n">
        <v>-1342.12</v>
      </c>
      <c r="P76" s="34" t="n">
        <v>-8496.700000000001</v>
      </c>
      <c r="Q76" s="18" t="n">
        <v>2535.3</v>
      </c>
      <c r="R76" s="18" t="n">
        <v>-381.99</v>
      </c>
      <c r="S76" s="18" t="n">
        <v>-4700.62</v>
      </c>
      <c r="T76" s="18" t="n">
        <v>-11940.55</v>
      </c>
      <c r="U76" s="34" t="n">
        <v>-14487.86</v>
      </c>
      <c r="V76" s="18" t="n">
        <v>741.61</v>
      </c>
      <c r="W76" s="18" t="n">
        <v>-24962.05</v>
      </c>
      <c r="X76" s="18" t="n">
        <v>-17633.48</v>
      </c>
      <c r="Y76" s="18" t="n">
        <v>-12445.72</v>
      </c>
      <c r="Z76" s="34" t="n">
        <v>-54299.64</v>
      </c>
      <c r="AA76" s="18" t="n">
        <v>-1607.9</v>
      </c>
      <c r="AB76" s="19" t="n">
        <v>259.12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중단사업이익</t>
        </is>
      </c>
      <c r="E77" s="18" t="n">
        <v>3645.97</v>
      </c>
      <c r="F77" s="9" t="n"/>
      <c r="K77" s="9" t="n"/>
      <c r="P77" s="9" t="n"/>
      <c r="T77" s="18" t="n">
        <v>-486.19</v>
      </c>
      <c r="U77" s="9" t="n"/>
      <c r="V77" s="18" t="n">
        <v>-156.22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5894.31</v>
      </c>
      <c r="F78" s="9" t="n"/>
      <c r="G78" s="18" t="n">
        <v>-1062.17</v>
      </c>
      <c r="H78" s="18" t="n">
        <v>5637.13</v>
      </c>
      <c r="I78" s="18" t="n">
        <v>1184.49</v>
      </c>
      <c r="J78" s="18" t="n">
        <v>-8616.07</v>
      </c>
      <c r="K78" s="34" t="n">
        <v>-2856.62</v>
      </c>
      <c r="L78" s="18" t="n">
        <v>-4145.1</v>
      </c>
      <c r="M78" s="18" t="n">
        <v>-2169.45</v>
      </c>
      <c r="N78" s="18" t="n">
        <v>-840.03</v>
      </c>
      <c r="O78" s="18" t="n">
        <v>-1342.12</v>
      </c>
      <c r="P78" s="34" t="n">
        <v>-8496.700000000001</v>
      </c>
      <c r="Q78" s="18" t="n">
        <v>2535.3</v>
      </c>
      <c r="R78" s="18" t="n">
        <v>-381.99</v>
      </c>
      <c r="S78" s="18" t="n">
        <v>-4700.62</v>
      </c>
      <c r="T78" s="18" t="n">
        <v>-12426.74</v>
      </c>
      <c r="U78" s="34" t="n">
        <v>-14974.05</v>
      </c>
      <c r="V78" s="18" t="n">
        <v>585.39</v>
      </c>
      <c r="W78" s="18" t="n">
        <v>-24962.05</v>
      </c>
      <c r="X78" s="18" t="n">
        <v>-17633.48</v>
      </c>
      <c r="Y78" s="18" t="n">
        <v>-12445.72</v>
      </c>
      <c r="Z78" s="34" t="n">
        <v>-54455.86</v>
      </c>
      <c r="AA78" s="18" t="n">
        <v>-1607.9</v>
      </c>
      <c r="AB78" s="19" t="n">
        <v>259.12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6742.08</v>
      </c>
      <c r="F79" s="9" t="n"/>
      <c r="G79" s="18" t="n">
        <v>-1163.73</v>
      </c>
      <c r="H79" s="18" t="n">
        <v>6264.99</v>
      </c>
      <c r="I79" s="18" t="n">
        <v>1881.74</v>
      </c>
      <c r="J79" s="18" t="n">
        <v>-7339.45</v>
      </c>
      <c r="K79" s="34" t="n">
        <v>-356.45</v>
      </c>
      <c r="L79" s="18" t="n">
        <v>-3798.6</v>
      </c>
      <c r="M79" s="18" t="n">
        <v>-2208.39</v>
      </c>
      <c r="N79" s="18" t="n">
        <v>-1114.56</v>
      </c>
      <c r="O79" s="18" t="n">
        <v>40963.3</v>
      </c>
      <c r="P79" s="34" t="n">
        <v>33841.75</v>
      </c>
      <c r="Q79" s="18" t="n">
        <v>-619.9400000000001</v>
      </c>
      <c r="R79" s="18" t="n">
        <v>-132.75</v>
      </c>
      <c r="S79" s="18" t="n">
        <v>-4723.87</v>
      </c>
      <c r="T79" s="18" t="n">
        <v>-11576.91</v>
      </c>
      <c r="U79" s="34" t="n">
        <v>-17053.47</v>
      </c>
      <c r="V79" s="18" t="n">
        <v>-488.43</v>
      </c>
      <c r="W79" s="18" t="n">
        <v>-25192.63</v>
      </c>
      <c r="X79" s="18" t="n">
        <v>-17691.01</v>
      </c>
      <c r="Y79" s="18" t="n">
        <v>-10461.39</v>
      </c>
      <c r="Z79" s="34" t="n">
        <v>-53833.46</v>
      </c>
      <c r="AA79" s="18" t="n">
        <v>-1417.6</v>
      </c>
      <c r="AB79" s="19" t="n">
        <v>222.6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(지배주주지분)당기순이익</t>
        </is>
      </c>
      <c r="E80" s="18" t="n">
        <v>3371.09</v>
      </c>
      <c r="F80" s="9" t="n"/>
      <c r="G80" s="18" t="n">
        <v>-407.09</v>
      </c>
      <c r="H80" s="18" t="n">
        <v>3900.96</v>
      </c>
      <c r="I80" s="18" t="n">
        <v>784.36</v>
      </c>
      <c r="J80" s="18" t="n">
        <v>-4605.78</v>
      </c>
      <c r="K80" s="34" t="n">
        <v>-327.55</v>
      </c>
      <c r="L80" s="18" t="n">
        <v>-1446.78</v>
      </c>
      <c r="M80" s="18" t="n">
        <v>-2029.21</v>
      </c>
      <c r="N80" s="18" t="n">
        <v>-750.46</v>
      </c>
      <c r="O80" s="18" t="n">
        <v>-2174.99</v>
      </c>
      <c r="P80" s="34" t="n">
        <v>-6401.44</v>
      </c>
      <c r="Q80" s="18" t="n">
        <v>2429.59</v>
      </c>
      <c r="R80" s="18" t="n">
        <v>128.28</v>
      </c>
      <c r="S80" s="18" t="n">
        <v>-3135.39</v>
      </c>
      <c r="T80" s="18" t="n">
        <v>-7237.51</v>
      </c>
      <c r="U80" s="34" t="n">
        <v>-7815.03</v>
      </c>
      <c r="V80" s="18" t="n">
        <v>1064.61</v>
      </c>
      <c r="W80" s="18" t="n">
        <v>-24672.18</v>
      </c>
      <c r="X80" s="18" t="n">
        <v>-17128.65</v>
      </c>
      <c r="Y80" s="18" t="n">
        <v>-11593.19</v>
      </c>
      <c r="Z80" s="34" t="n">
        <v>-52329.41</v>
      </c>
      <c r="AA80" s="18" t="n">
        <v>-893.03</v>
      </c>
      <c r="AB80" s="19" t="n">
        <v>41.03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(비지배주주지분)당기순이익</t>
        </is>
      </c>
      <c r="E81" s="18" t="n">
        <v>2523.22</v>
      </c>
      <c r="F81" s="9" t="n"/>
      <c r="G81" s="18" t="n">
        <v>-655.08</v>
      </c>
      <c r="H81" s="18" t="n">
        <v>1736.16</v>
      </c>
      <c r="I81" s="18" t="n">
        <v>400.13</v>
      </c>
      <c r="J81" s="18" t="n">
        <v>-4010.31</v>
      </c>
      <c r="K81" s="34" t="n">
        <v>-2529.1</v>
      </c>
      <c r="L81" s="18" t="n">
        <v>-2698.32</v>
      </c>
      <c r="M81" s="18" t="n">
        <v>-140.25</v>
      </c>
      <c r="N81" s="18" t="n">
        <v>-89.56999999999999</v>
      </c>
      <c r="O81" s="18" t="n">
        <v>832.86</v>
      </c>
      <c r="P81" s="34" t="n">
        <v>-2095.28</v>
      </c>
      <c r="Q81" s="18" t="n">
        <v>105.71</v>
      </c>
      <c r="R81" s="18" t="n">
        <v>-510.27</v>
      </c>
      <c r="S81" s="18" t="n">
        <v>-1565.23</v>
      </c>
      <c r="T81" s="18" t="n">
        <v>-5189.24</v>
      </c>
      <c r="U81" s="34" t="n">
        <v>-7159.03</v>
      </c>
      <c r="V81" s="18" t="n">
        <v>-479.22</v>
      </c>
      <c r="W81" s="18" t="n">
        <v>-289.87</v>
      </c>
      <c r="X81" s="18" t="n">
        <v>-504.82</v>
      </c>
      <c r="Y81" s="18" t="n">
        <v>-852.53</v>
      </c>
      <c r="Z81" s="34" t="n">
        <v>-2126.44</v>
      </c>
      <c r="AA81" s="18" t="n">
        <v>-714.88</v>
      </c>
      <c r="AB81" s="19" t="n">
        <v>218.09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금융손익</t>
        </is>
      </c>
      <c r="E82" s="18" t="n">
        <v>-989.92</v>
      </c>
      <c r="F82" s="9" t="n"/>
      <c r="G82" s="18" t="n">
        <v>-3465.03</v>
      </c>
      <c r="H82" s="18" t="n">
        <v>2293.35</v>
      </c>
      <c r="I82" s="18" t="n">
        <v>-665.9</v>
      </c>
      <c r="J82" s="18" t="n">
        <v>-5866.92</v>
      </c>
      <c r="K82" s="34" t="n">
        <v>-7704.5</v>
      </c>
      <c r="L82" s="18" t="n">
        <v>-3004.09</v>
      </c>
      <c r="M82" s="18" t="n">
        <v>-3753.67</v>
      </c>
      <c r="N82" s="18" t="n">
        <v>-2658.36</v>
      </c>
      <c r="O82" s="18" t="n">
        <v>-3245.03</v>
      </c>
      <c r="P82" s="34" t="n">
        <v>-12661.15</v>
      </c>
      <c r="Q82" s="18" t="n">
        <v>-2589.29</v>
      </c>
      <c r="R82" s="18" t="n">
        <v>-3197.28</v>
      </c>
      <c r="S82" s="18" t="n">
        <v>-3581.36</v>
      </c>
      <c r="T82" s="18" t="n">
        <v>-1256.23</v>
      </c>
      <c r="U82" s="34" t="n">
        <v>-10624.16</v>
      </c>
      <c r="V82" s="18" t="n">
        <v>-1878.45</v>
      </c>
      <c r="W82" s="18" t="n">
        <v>-3244.96</v>
      </c>
      <c r="X82" s="18" t="n">
        <v>-1070.61</v>
      </c>
      <c r="Y82" s="18" t="n">
        <v>-1035.76</v>
      </c>
      <c r="Z82" s="34" t="n">
        <v>-7229.78</v>
      </c>
      <c r="AA82" s="18" t="n">
        <v>-1436.05</v>
      </c>
      <c r="AB82" s="19" t="n">
        <v>-1907.34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-4283.97</v>
      </c>
      <c r="F83" s="9" t="n"/>
      <c r="G83" s="18" t="n">
        <v>521.52</v>
      </c>
      <c r="H83" s="18" t="n">
        <v>1331.61</v>
      </c>
      <c r="I83" s="18" t="n">
        <v>179.77</v>
      </c>
      <c r="J83" s="18" t="n">
        <v>-1244.42</v>
      </c>
      <c r="K83" s="34" t="n">
        <v>788.48</v>
      </c>
      <c r="L83" s="18" t="n">
        <v>2062.7</v>
      </c>
      <c r="M83" s="18" t="n">
        <v>-238.53</v>
      </c>
      <c r="N83" s="18" t="n">
        <v>147.66</v>
      </c>
      <c r="O83" s="18" t="n">
        <v>175.31</v>
      </c>
      <c r="P83" s="34" t="n">
        <v>2147.14</v>
      </c>
      <c r="Q83" s="18" t="n">
        <v>1439.75</v>
      </c>
      <c r="R83" s="18" t="n">
        <v>233.13</v>
      </c>
      <c r="S83" s="18" t="n">
        <v>-155.92</v>
      </c>
      <c r="T83" s="18" t="n">
        <v>-9860.43</v>
      </c>
      <c r="U83" s="34" t="n">
        <v>-8343.469999999999</v>
      </c>
      <c r="V83" s="18" t="n">
        <v>4881.51</v>
      </c>
      <c r="W83" s="18" t="n">
        <v>-25305.97</v>
      </c>
      <c r="X83" s="18" t="n">
        <v>-3030.63</v>
      </c>
      <c r="Y83" s="18" t="n">
        <v>-22559.29</v>
      </c>
      <c r="Z83" s="34" t="n">
        <v>-46014.38</v>
      </c>
      <c r="AA83" s="18" t="n">
        <v>1490.76</v>
      </c>
      <c r="AB83" s="19" t="n">
        <v>7.79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종속기업,공동지배기업및관계기업관련손익</t>
        </is>
      </c>
      <c r="F84" s="9" t="n"/>
      <c r="G84" s="18" t="n">
        <v>11.34</v>
      </c>
      <c r="H84" s="18" t="n">
        <v>470.27</v>
      </c>
      <c r="I84" s="18" t="n">
        <v>-108.19</v>
      </c>
      <c r="J84" s="18" t="n">
        <v>70.11</v>
      </c>
      <c r="K84" s="34" t="n">
        <v>443.53</v>
      </c>
      <c r="L84" s="18" t="n">
        <v>-10.13</v>
      </c>
      <c r="M84" s="18" t="n">
        <v>-39.26</v>
      </c>
      <c r="N84" s="18" t="n">
        <v>-877.96</v>
      </c>
      <c r="O84" s="18" t="n">
        <v>685.47</v>
      </c>
      <c r="P84" s="34" t="n">
        <v>-241.88</v>
      </c>
      <c r="Q84" s="18" t="n">
        <v>-11.48</v>
      </c>
      <c r="R84" s="18" t="n">
        <v>-334.55</v>
      </c>
      <c r="S84" s="18" t="n">
        <v>-21.36</v>
      </c>
      <c r="T84" s="18" t="n">
        <v>-194.62</v>
      </c>
      <c r="U84" s="34" t="n">
        <v>-562.01</v>
      </c>
      <c r="V84" s="18" t="n">
        <v>-52.1</v>
      </c>
      <c r="W84" s="18" t="n">
        <v>-95.36</v>
      </c>
      <c r="X84" s="18" t="n">
        <v>-100.81</v>
      </c>
      <c r="Z84" s="9" t="n"/>
      <c r="AA84" s="18" t="n">
        <v>34.89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지분법관련손익</t>
        </is>
      </c>
      <c r="F85" s="9" t="n"/>
      <c r="G85" s="18" t="n">
        <v>11.34</v>
      </c>
      <c r="H85" s="18" t="n">
        <v>470.27</v>
      </c>
      <c r="I85" s="18" t="n">
        <v>-108.19</v>
      </c>
      <c r="J85" s="18" t="n">
        <v>70.11</v>
      </c>
      <c r="K85" s="34" t="n">
        <v>443.53</v>
      </c>
      <c r="L85" s="18" t="n">
        <v>-10.13</v>
      </c>
      <c r="M85" s="18" t="n">
        <v>-39.26</v>
      </c>
      <c r="N85" s="18" t="n">
        <v>-877.96</v>
      </c>
      <c r="O85" s="18" t="n">
        <v>685.47</v>
      </c>
      <c r="P85" s="34" t="n">
        <v>-241.88</v>
      </c>
      <c r="Q85" s="18" t="n">
        <v>-11.48</v>
      </c>
      <c r="R85" s="18" t="n">
        <v>-334.55</v>
      </c>
      <c r="S85" s="18" t="n">
        <v>-21.36</v>
      </c>
      <c r="T85" s="18" t="n">
        <v>-194.62</v>
      </c>
      <c r="U85" s="34" t="n">
        <v>-562.01</v>
      </c>
      <c r="V85" s="18" t="n">
        <v>-52.1</v>
      </c>
      <c r="W85" s="18" t="n">
        <v>-95.36</v>
      </c>
      <c r="X85" s="18" t="n">
        <v>-100.81</v>
      </c>
      <c r="Z85" s="9" t="n"/>
      <c r="AA85" s="18" t="n">
        <v>34.89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-2675.54</v>
      </c>
      <c r="F86" s="9" t="n"/>
      <c r="G86" s="18" t="n">
        <v>-1261.68</v>
      </c>
      <c r="H86" s="18" t="n">
        <v>-12165.09</v>
      </c>
      <c r="I86" s="18" t="n">
        <v>2442.21</v>
      </c>
      <c r="J86" s="18" t="n">
        <v>8126.82</v>
      </c>
      <c r="K86" s="34" t="n">
        <v>-2857.74</v>
      </c>
      <c r="L86" s="18" t="n">
        <v>-6154.45</v>
      </c>
      <c r="M86" s="18" t="n">
        <v>20108.73</v>
      </c>
      <c r="N86" s="18" t="n">
        <v>4404.98</v>
      </c>
      <c r="O86" s="18" t="n">
        <v>6219.3</v>
      </c>
      <c r="P86" s="34" t="n">
        <v>24578.56</v>
      </c>
      <c r="Q86" s="18" t="n">
        <v>-5958.74</v>
      </c>
      <c r="R86" s="18" t="n">
        <v>12271.57</v>
      </c>
      <c r="S86" s="18" t="n">
        <v>-19295.86</v>
      </c>
      <c r="T86" s="18" t="n">
        <v>32937.13</v>
      </c>
      <c r="U86" s="34" t="n">
        <v>19954.1</v>
      </c>
      <c r="V86" s="18" t="n">
        <v>3827.83</v>
      </c>
      <c r="W86" s="18" t="n">
        <v>37329.48</v>
      </c>
      <c r="X86" s="18" t="n">
        <v>-34.48</v>
      </c>
      <c r="Y86" s="18" t="n">
        <v>301.28</v>
      </c>
      <c r="Z86" s="34" t="n">
        <v>41424.11</v>
      </c>
      <c r="AA86" s="18" t="n">
        <v>-12125.26</v>
      </c>
      <c r="AB86" s="19" t="n">
        <v>12030.08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58.61</v>
      </c>
      <c r="F87" s="9" t="n"/>
      <c r="G87" s="18" t="n">
        <v>40.16</v>
      </c>
      <c r="H87" s="18" t="n">
        <v>51.56</v>
      </c>
      <c r="I87" s="18" t="n">
        <v>-40.6</v>
      </c>
      <c r="J87" s="18" t="n">
        <v>11.38</v>
      </c>
      <c r="K87" s="34" t="n">
        <v>62.5</v>
      </c>
      <c r="L87" s="18" t="n">
        <v>32.55</v>
      </c>
      <c r="M87" s="18" t="n">
        <v>35.42</v>
      </c>
      <c r="N87" s="18" t="n">
        <v>181.25</v>
      </c>
      <c r="O87" s="18" t="n">
        <v>36.62</v>
      </c>
      <c r="P87" s="34" t="n">
        <v>285.84</v>
      </c>
      <c r="Q87" s="18" t="n">
        <v>56.29</v>
      </c>
      <c r="R87" s="18" t="n">
        <v>59.99</v>
      </c>
      <c r="S87" s="18" t="n">
        <v>33.57</v>
      </c>
      <c r="T87" s="18" t="n">
        <v>52.66</v>
      </c>
      <c r="U87" s="34" t="n">
        <v>202.51</v>
      </c>
      <c r="V87" s="18" t="n">
        <v>177.65</v>
      </c>
      <c r="W87" s="18" t="n">
        <v>173.26</v>
      </c>
      <c r="X87" s="18" t="n">
        <v>207.26</v>
      </c>
      <c r="Y87" s="18" t="n">
        <v>492.63</v>
      </c>
      <c r="Z87" s="34" t="n">
        <v>1050.8</v>
      </c>
      <c r="AA87" s="18" t="n">
        <v>146.78</v>
      </c>
      <c r="AB87" s="19" t="n">
        <v>127.91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이자지급(CF)</t>
        </is>
      </c>
      <c r="E88" s="18" t="n">
        <v>-1357.25</v>
      </c>
      <c r="F88" s="9" t="n"/>
      <c r="G88" s="18" t="n">
        <v>-1437.3</v>
      </c>
      <c r="H88" s="18" t="n">
        <v>-1718.35</v>
      </c>
      <c r="I88" s="18" t="n">
        <v>-2036.47</v>
      </c>
      <c r="J88" s="18" t="n">
        <v>-2608.64</v>
      </c>
      <c r="K88" s="34" t="n">
        <v>-7800.76</v>
      </c>
      <c r="L88" s="18" t="n">
        <v>-2635.89</v>
      </c>
      <c r="M88" s="18" t="n">
        <v>-2892.55</v>
      </c>
      <c r="P88" s="9" t="n"/>
      <c r="Q88" s="18" t="n">
        <v>-2821.94</v>
      </c>
      <c r="R88" s="18" t="n">
        <v>-2758.24</v>
      </c>
      <c r="S88" s="18" t="n">
        <v>-2723.2</v>
      </c>
      <c r="T88" s="18" t="n">
        <v>-2348.38</v>
      </c>
      <c r="U88" s="34" t="n">
        <v>-10651.76</v>
      </c>
      <c r="V88" s="18" t="n">
        <v>-3330.05</v>
      </c>
      <c r="W88" s="18" t="n">
        <v>-1664.51</v>
      </c>
      <c r="X88" s="18" t="n">
        <v>-1811.51</v>
      </c>
      <c r="Y88" s="18" t="n">
        <v>-1869.28</v>
      </c>
      <c r="Z88" s="34" t="n">
        <v>-8675.35</v>
      </c>
      <c r="AA88" s="18" t="n">
        <v>-2587.67</v>
      </c>
      <c r="AB88" s="19" t="n">
        <v>-1361.54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배당금수취(CF)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0</v>
      </c>
      <c r="O89" s="18" t="n">
        <v>0</v>
      </c>
      <c r="P89" s="9" t="n"/>
      <c r="S89" s="18" t="n">
        <v>1.26</v>
      </c>
      <c r="T89" s="18" t="n">
        <v>1.18</v>
      </c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849.8099999999999</v>
      </c>
      <c r="F90" s="9" t="n"/>
      <c r="G90" s="18" t="n">
        <v>-592.47</v>
      </c>
      <c r="H90" s="18" t="n">
        <v>-726.37</v>
      </c>
      <c r="I90" s="18" t="n">
        <v>-473.36</v>
      </c>
      <c r="J90" s="18" t="n">
        <v>-236.31</v>
      </c>
      <c r="K90" s="34" t="n">
        <v>-2028.51</v>
      </c>
      <c r="L90" s="18" t="n">
        <v>-674.8</v>
      </c>
      <c r="M90" s="18" t="n">
        <v>-219.16</v>
      </c>
      <c r="N90" s="18" t="n">
        <v>-94.27</v>
      </c>
      <c r="O90" s="18" t="n">
        <v>-6.09</v>
      </c>
      <c r="P90" s="34" t="n">
        <v>-994.3200000000001</v>
      </c>
      <c r="Q90" s="18" t="n">
        <v>-19.37</v>
      </c>
      <c r="R90" s="18" t="n">
        <v>-18.24</v>
      </c>
      <c r="S90" s="18" t="n">
        <v>-22.22</v>
      </c>
      <c r="T90" s="18" t="n">
        <v>-101.78</v>
      </c>
      <c r="U90" s="34" t="n">
        <v>-161.61</v>
      </c>
      <c r="V90" s="18" t="n">
        <v>-190.33</v>
      </c>
      <c r="W90" s="18" t="n">
        <v>-232.45</v>
      </c>
      <c r="X90" s="18" t="n">
        <v>-67.31</v>
      </c>
      <c r="Y90" s="18" t="n">
        <v>-267.92</v>
      </c>
      <c r="Z90" s="34" t="n">
        <v>-758.01</v>
      </c>
      <c r="AA90" s="18" t="n">
        <v>65.48</v>
      </c>
      <c r="AB90" s="19" t="n">
        <v>-69.28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-3107.19</v>
      </c>
      <c r="F91" s="9" t="n"/>
      <c r="G91" s="18" t="n">
        <v>-2296.12</v>
      </c>
      <c r="H91" s="18" t="n">
        <v>-2837.3</v>
      </c>
      <c r="I91" s="18" t="n">
        <v>-2003.77</v>
      </c>
      <c r="J91" s="18" t="n">
        <v>-11635.24</v>
      </c>
      <c r="K91" s="34" t="n">
        <v>-18772.43</v>
      </c>
      <c r="L91" s="18" t="n">
        <v>11073.44</v>
      </c>
      <c r="M91" s="18" t="n">
        <v>-11492.17</v>
      </c>
      <c r="N91" s="18" t="n">
        <v>3988.79</v>
      </c>
      <c r="O91" s="18" t="n">
        <v>11972.66</v>
      </c>
      <c r="P91" s="34" t="n">
        <v>15542.72</v>
      </c>
      <c r="Q91" s="18" t="n">
        <v>-274.38</v>
      </c>
      <c r="R91" s="18" t="n">
        <v>-2792.85</v>
      </c>
      <c r="S91" s="18" t="n">
        <v>-470.05</v>
      </c>
      <c r="T91" s="18" t="n">
        <v>8972.59</v>
      </c>
      <c r="U91" s="34" t="n">
        <v>5435.31</v>
      </c>
      <c r="V91" s="18" t="n">
        <v>9339.049999999999</v>
      </c>
      <c r="W91" s="18" t="n">
        <v>-3549.15</v>
      </c>
      <c r="X91" s="18" t="n">
        <v>-185.3</v>
      </c>
      <c r="Y91" s="18" t="n">
        <v>2339.99</v>
      </c>
      <c r="Z91" s="34" t="n">
        <v>7944.59</v>
      </c>
      <c r="AA91" s="18" t="n">
        <v>11303.16</v>
      </c>
      <c r="AB91" s="19" t="n">
        <v>-2667.8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E92" s="18" t="n">
        <v>3301.56</v>
      </c>
      <c r="F92" s="9" t="n"/>
      <c r="G92" s="18" t="n">
        <v>1052.3</v>
      </c>
      <c r="H92" s="18" t="n">
        <v>2078.92</v>
      </c>
      <c r="I92" s="18" t="n">
        <v>1764.97</v>
      </c>
      <c r="J92" s="18" t="n">
        <v>2093.24</v>
      </c>
      <c r="K92" s="34" t="n">
        <v>6989.43</v>
      </c>
      <c r="L92" s="18" t="n">
        <v>1667.33</v>
      </c>
      <c r="M92" s="18" t="n">
        <v>2271.25</v>
      </c>
      <c r="N92" s="18" t="n">
        <v>4628.97</v>
      </c>
      <c r="O92" s="18" t="n">
        <v>1719.6</v>
      </c>
      <c r="P92" s="34" t="n">
        <v>10287.15</v>
      </c>
      <c r="Q92" s="18" t="n">
        <v>1107.78</v>
      </c>
      <c r="R92" s="18" t="n">
        <v>2258.07</v>
      </c>
      <c r="S92" s="18" t="n">
        <v>2744.78</v>
      </c>
      <c r="T92" s="18" t="n">
        <v>3008.12</v>
      </c>
      <c r="U92" s="34" t="n">
        <v>9118.75</v>
      </c>
      <c r="V92" s="18" t="n">
        <v>2102.66</v>
      </c>
      <c r="W92" s="18" t="n">
        <v>1136.44</v>
      </c>
      <c r="X92" s="18" t="n">
        <v>2489.89</v>
      </c>
      <c r="Y92" s="18" t="n">
        <v>1573.8</v>
      </c>
      <c r="Z92" s="34" t="n">
        <v>7302.79</v>
      </c>
      <c r="AA92" s="18" t="n">
        <v>395.98</v>
      </c>
      <c r="AB92" s="19" t="n">
        <v>2087.98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E93" s="18" t="n">
        <v>3301.56</v>
      </c>
      <c r="F93" s="9" t="n"/>
      <c r="G93" s="18" t="n">
        <v>1052.3</v>
      </c>
      <c r="H93" s="18" t="n">
        <v>2078.92</v>
      </c>
      <c r="I93" s="18" t="n">
        <v>1764.97</v>
      </c>
      <c r="J93" s="18" t="n">
        <v>2093.24</v>
      </c>
      <c r="K93" s="34" t="n">
        <v>6989.43</v>
      </c>
      <c r="L93" s="18" t="n">
        <v>1667.33</v>
      </c>
      <c r="M93" s="18" t="n">
        <v>2271.25</v>
      </c>
      <c r="N93" s="18" t="n">
        <v>4628.97</v>
      </c>
      <c r="O93" s="18" t="n">
        <v>1719.6</v>
      </c>
      <c r="P93" s="34" t="n">
        <v>10287.15</v>
      </c>
      <c r="Q93" s="18" t="n">
        <v>1107.78</v>
      </c>
      <c r="R93" s="18" t="n">
        <v>2260.21</v>
      </c>
      <c r="S93" s="18" t="n">
        <v>2744.78</v>
      </c>
      <c r="T93" s="18" t="n">
        <v>3009</v>
      </c>
      <c r="U93" s="34" t="n">
        <v>9121.77</v>
      </c>
      <c r="V93" s="18" t="n">
        <v>2102.66</v>
      </c>
      <c r="W93" s="18" t="n">
        <v>1136.44</v>
      </c>
      <c r="X93" s="18" t="n">
        <v>2489.89</v>
      </c>
      <c r="Y93" s="18" t="n">
        <v>1573.8</v>
      </c>
      <c r="Z93" s="34" t="n">
        <v>7302.79</v>
      </c>
      <c r="AA93" s="18" t="n">
        <v>395.98</v>
      </c>
      <c r="AB93" s="19" t="n">
        <v>2087.98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0</v>
      </c>
      <c r="F94" s="9" t="n"/>
      <c r="K94" s="9" t="n"/>
      <c r="P94" s="9" t="n"/>
      <c r="S94" s="18" t="n">
        <v>0</v>
      </c>
      <c r="T94" s="18" t="n">
        <v>0.88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0</v>
      </c>
      <c r="F95" s="9" t="n"/>
      <c r="K95" s="9" t="n"/>
      <c r="P95" s="9" t="n"/>
      <c r="U95" s="9" t="n"/>
      <c r="X95" s="18" t="n">
        <v>71.5</v>
      </c>
      <c r="Y95" s="18" t="n">
        <v>63.5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-4681.06</v>
      </c>
      <c r="F96" s="9" t="n"/>
      <c r="G96" s="18" t="n">
        <v>5621.92</v>
      </c>
      <c r="H96" s="18" t="n">
        <v>21267.43</v>
      </c>
      <c r="I96" s="18" t="n">
        <v>-9963.440000000001</v>
      </c>
      <c r="J96" s="18" t="n">
        <v>9916.110000000001</v>
      </c>
      <c r="K96" s="34" t="n">
        <v>26842.02</v>
      </c>
      <c r="L96" s="18" t="n">
        <v>-14398.52</v>
      </c>
      <c r="M96" s="18" t="n">
        <v>-3880.71</v>
      </c>
      <c r="N96" s="18" t="n">
        <v>-9246.879999999999</v>
      </c>
      <c r="O96" s="18" t="n">
        <v>-18088.81</v>
      </c>
      <c r="P96" s="34" t="n">
        <v>-45614.92</v>
      </c>
      <c r="Q96" s="18" t="n">
        <v>6440.64</v>
      </c>
      <c r="R96" s="18" t="n">
        <v>-11905.5</v>
      </c>
      <c r="S96" s="18" t="n">
        <v>-5979.83</v>
      </c>
      <c r="T96" s="18" t="n">
        <v>-14787.17</v>
      </c>
      <c r="U96" s="34" t="n">
        <v>-26231.86</v>
      </c>
      <c r="V96" s="18" t="n">
        <v>-10909.43</v>
      </c>
      <c r="W96" s="18" t="n">
        <v>-31615.14</v>
      </c>
      <c r="X96" s="18" t="n">
        <v>-3124.24</v>
      </c>
      <c r="Y96" s="18" t="n">
        <v>-2594.96</v>
      </c>
      <c r="Z96" s="34" t="n">
        <v>-48243.77</v>
      </c>
      <c r="AA96" s="18" t="n">
        <v>-1827.88</v>
      </c>
      <c r="AB96" s="19" t="n">
        <v>-10873.5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단기차입금의증가</t>
        </is>
      </c>
      <c r="E97" s="18" t="n">
        <v>42496.27</v>
      </c>
      <c r="F97" s="9" t="n"/>
      <c r="G97" s="18" t="n">
        <v>39715.61</v>
      </c>
      <c r="H97" s="18" t="n">
        <v>64523.5</v>
      </c>
      <c r="I97" s="18" t="n">
        <v>58473.97</v>
      </c>
      <c r="J97" s="18" t="n">
        <v>48432.47</v>
      </c>
      <c r="K97" s="34" t="n">
        <v>211145.55</v>
      </c>
      <c r="L97" s="18" t="n">
        <v>51492.5</v>
      </c>
      <c r="M97" s="18" t="n">
        <v>64834.67</v>
      </c>
      <c r="N97" s="18" t="n">
        <v>43852.77</v>
      </c>
      <c r="O97" s="18" t="n">
        <v>32085.5</v>
      </c>
      <c r="P97" s="34" t="n">
        <v>192265.44</v>
      </c>
      <c r="Q97" s="18" t="n">
        <v>96221.95</v>
      </c>
      <c r="R97" s="18" t="n">
        <v>62203.82</v>
      </c>
      <c r="S97" s="18" t="n">
        <v>57545</v>
      </c>
      <c r="T97" s="18" t="n">
        <v>34167.23</v>
      </c>
      <c r="U97" s="34" t="n">
        <v>250138</v>
      </c>
      <c r="V97" s="18" t="n">
        <v>68601.96000000001</v>
      </c>
      <c r="W97" s="18" t="n">
        <v>33609.41</v>
      </c>
      <c r="X97" s="18" t="n">
        <v>55762.81</v>
      </c>
      <c r="Y97" s="18" t="n">
        <v>46209.46</v>
      </c>
      <c r="Z97" s="34" t="n">
        <v>204183.64</v>
      </c>
      <c r="AA97" s="18" t="n">
        <v>40567.28</v>
      </c>
      <c r="AB97" s="19" t="n">
        <v>35705.13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장기차입금의증가</t>
        </is>
      </c>
      <c r="E98" s="18" t="n">
        <v>0</v>
      </c>
      <c r="F98" s="9" t="n"/>
      <c r="G98" s="18" t="n">
        <v>7000</v>
      </c>
      <c r="H98" s="18" t="n">
        <v>6300</v>
      </c>
      <c r="I98" s="18" t="n">
        <v>5000</v>
      </c>
      <c r="J98" s="18" t="n">
        <v>103.15</v>
      </c>
      <c r="K98" s="34" t="n">
        <v>18403.15</v>
      </c>
      <c r="N98" s="18" t="n">
        <v>0</v>
      </c>
      <c r="O98" s="18" t="n">
        <v>6657.16</v>
      </c>
      <c r="P98" s="9" t="n"/>
      <c r="T98" s="18" t="n">
        <v>1687.06</v>
      </c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사채의증가</t>
        </is>
      </c>
      <c r="E99" s="18" t="n">
        <v>0</v>
      </c>
      <c r="F99" s="9" t="n"/>
      <c r="I99" s="18" t="n">
        <v>0</v>
      </c>
      <c r="J99" s="18" t="n">
        <v>0</v>
      </c>
      <c r="K99" s="9" t="n"/>
      <c r="P99" s="9" t="n"/>
      <c r="S99" s="18" t="n">
        <v>0</v>
      </c>
      <c r="T99" s="18" t="n">
        <v>0</v>
      </c>
      <c r="U99" s="9" t="n"/>
      <c r="X99" s="18" t="n">
        <v>0</v>
      </c>
      <c r="Y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47149.34</v>
      </c>
      <c r="F100" s="9" t="n"/>
      <c r="G100" s="18" t="n">
        <v>47800.73</v>
      </c>
      <c r="H100" s="18" t="n">
        <v>53272.38</v>
      </c>
      <c r="I100" s="18" t="n">
        <v>64665.7</v>
      </c>
      <c r="J100" s="18" t="n">
        <v>35872.39</v>
      </c>
      <c r="K100" s="34" t="n">
        <v>201611.2</v>
      </c>
      <c r="L100" s="18" t="n">
        <v>63142.87</v>
      </c>
      <c r="M100" s="18" t="n">
        <v>72689.28</v>
      </c>
      <c r="N100" s="18" t="n">
        <v>47758.92</v>
      </c>
      <c r="O100" s="18" t="n">
        <v>49565.21</v>
      </c>
      <c r="P100" s="34" t="n">
        <v>233156.28</v>
      </c>
      <c r="Q100" s="18" t="n">
        <v>81474.89999999999</v>
      </c>
      <c r="R100" s="18" t="n">
        <v>67286.57000000001</v>
      </c>
      <c r="S100" s="18" t="n">
        <v>62183.19</v>
      </c>
      <c r="T100" s="18" t="n">
        <v>48530.85</v>
      </c>
      <c r="U100" s="34" t="n">
        <v>259475.51</v>
      </c>
      <c r="V100" s="18" t="n">
        <v>69315.21000000001</v>
      </c>
      <c r="W100" s="18" t="n">
        <v>62258.62</v>
      </c>
      <c r="X100" s="18" t="n">
        <v>58671.41</v>
      </c>
      <c r="Y100" s="18" t="n">
        <v>54899.42</v>
      </c>
      <c r="Z100" s="34" t="n">
        <v>245144.66</v>
      </c>
      <c r="AA100" s="18" t="n">
        <v>42175.19</v>
      </c>
      <c r="AB100" s="19" t="n">
        <v>44770.42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사채의감소</t>
        </is>
      </c>
      <c r="E101" s="18" t="n">
        <v>0</v>
      </c>
      <c r="F101" s="9" t="n"/>
      <c r="K101" s="9" t="n"/>
      <c r="P101" s="9" t="n"/>
      <c r="S101" s="18" t="n">
        <v>0</v>
      </c>
      <c r="T101" s="18" t="n">
        <v>0</v>
      </c>
      <c r="U101" s="9" t="n"/>
      <c r="X101" s="18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324</v>
      </c>
      <c r="F102" s="9" t="n"/>
      <c r="G102" s="18" t="n">
        <v>199.54</v>
      </c>
      <c r="H102" s="18" t="n">
        <v>289.51</v>
      </c>
      <c r="I102" s="18" t="n">
        <v>151.54</v>
      </c>
      <c r="J102" s="18" t="n">
        <v>155.4</v>
      </c>
      <c r="K102" s="34" t="n">
        <v>795.99</v>
      </c>
      <c r="L102" s="18" t="n">
        <v>147.06</v>
      </c>
      <c r="M102" s="18" t="n">
        <v>256.98</v>
      </c>
      <c r="N102" s="18" t="n">
        <v>126.88</v>
      </c>
      <c r="O102" s="18" t="n">
        <v>115.19</v>
      </c>
      <c r="P102" s="34" t="n">
        <v>646.11</v>
      </c>
      <c r="Q102" s="18" t="n">
        <v>131.42</v>
      </c>
      <c r="R102" s="18" t="n">
        <v>292.46</v>
      </c>
      <c r="S102" s="18" t="n">
        <v>224.52</v>
      </c>
      <c r="T102" s="18" t="n">
        <v>187.61</v>
      </c>
      <c r="U102" s="34" t="n">
        <v>836.01</v>
      </c>
      <c r="V102" s="18" t="n">
        <v>174.21</v>
      </c>
      <c r="W102" s="18" t="n">
        <v>333.23</v>
      </c>
      <c r="X102" s="18" t="n">
        <v>215.63</v>
      </c>
      <c r="Y102" s="18" t="n">
        <v>229.43</v>
      </c>
      <c r="Z102" s="34" t="n">
        <v>952.5</v>
      </c>
      <c r="AA102" s="18" t="n">
        <v>219.97</v>
      </c>
      <c r="AB102" s="19" t="n">
        <v>208.2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E103" s="18" t="n">
        <v>0</v>
      </c>
      <c r="F103" s="9" t="n"/>
      <c r="K103" s="9" t="n"/>
      <c r="P103" s="9" t="n"/>
      <c r="Q103" s="18" t="n">
        <v>753.65</v>
      </c>
      <c r="R103" s="18" t="n">
        <v>0</v>
      </c>
      <c r="S103" s="18" t="n">
        <v>0</v>
      </c>
      <c r="T103" s="18" t="n">
        <v>0</v>
      </c>
      <c r="U103" s="34" t="n">
        <v>753.65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K104" s="9" t="n"/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현금및현금성자산의증감</t>
        </is>
      </c>
      <c r="E105" s="18" t="n">
        <v>-10463.8</v>
      </c>
      <c r="F105" s="9" t="n"/>
      <c r="G105" s="18" t="n">
        <v>2064.12</v>
      </c>
      <c r="H105" s="18" t="n">
        <v>6265.04</v>
      </c>
      <c r="I105" s="18" t="n">
        <v>-9525</v>
      </c>
      <c r="J105" s="18" t="n">
        <v>6407.69</v>
      </c>
      <c r="K105" s="34" t="n">
        <v>5211.85</v>
      </c>
      <c r="L105" s="18" t="n">
        <v>-9479.540000000001</v>
      </c>
      <c r="M105" s="18" t="n">
        <v>4735.86</v>
      </c>
      <c r="N105" s="18" t="n">
        <v>-853.11</v>
      </c>
      <c r="O105" s="18" t="n">
        <v>-930.8</v>
      </c>
      <c r="P105" s="34" t="n">
        <v>-6527.59</v>
      </c>
      <c r="Q105" s="18" t="n">
        <v>207.52</v>
      </c>
      <c r="R105" s="18" t="n">
        <v>-2420.22</v>
      </c>
      <c r="S105" s="18" t="n">
        <v>220.31</v>
      </c>
      <c r="U105" s="9" t="n"/>
      <c r="V105" s="18" t="n">
        <v>2257.44</v>
      </c>
      <c r="W105" s="18" t="n">
        <v>2315.2</v>
      </c>
      <c r="X105" s="18" t="n">
        <v>-3344.02</v>
      </c>
      <c r="Y105" s="18" t="n">
        <v>-103.69</v>
      </c>
      <c r="Z105" s="34" t="n">
        <v>1124.93</v>
      </c>
      <c r="AA105" s="18" t="n">
        <v>-2649.97</v>
      </c>
      <c r="AB105" s="19" t="n">
        <v>-1511.23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기말현금및현금성자산</t>
        </is>
      </c>
      <c r="E106" s="18" t="n">
        <v>-10428.14</v>
      </c>
      <c r="F106" s="9" t="n"/>
      <c r="G106" s="18" t="n">
        <v>14196.15</v>
      </c>
      <c r="H106" s="18" t="n">
        <v>6468.92</v>
      </c>
      <c r="I106" s="18" t="n">
        <v>-9498.809999999999</v>
      </c>
      <c r="J106" s="18" t="n">
        <v>6141.84</v>
      </c>
      <c r="K106" s="34" t="n">
        <v>17308.1</v>
      </c>
      <c r="L106" s="18" t="n">
        <v>7896</v>
      </c>
      <c r="M106" s="18" t="n">
        <v>4756.42</v>
      </c>
      <c r="N106" s="18" t="n">
        <v>-909.91</v>
      </c>
      <c r="O106" s="18" t="n">
        <v>-1048.86</v>
      </c>
      <c r="P106" s="34" t="n">
        <v>10693.65</v>
      </c>
      <c r="Q106" s="18" t="n">
        <v>10977.25</v>
      </c>
      <c r="R106" s="18" t="n">
        <v>-2478.98</v>
      </c>
      <c r="S106" s="18" t="n">
        <v>221.55</v>
      </c>
      <c r="T106" s="18" t="n">
        <v>1232.38</v>
      </c>
      <c r="U106" s="34" t="n">
        <v>9952.200000000001</v>
      </c>
      <c r="V106" s="18" t="n">
        <v>12303.56</v>
      </c>
      <c r="W106" s="18" t="n">
        <v>2082.89</v>
      </c>
      <c r="X106" s="18" t="n">
        <v>-3187.12</v>
      </c>
      <c r="Y106" s="18" t="n">
        <v>-218.03</v>
      </c>
      <c r="Z106" s="34" t="n">
        <v>10981.3</v>
      </c>
      <c r="AA106" s="18" t="n">
        <v>8450.549999999999</v>
      </c>
      <c r="AB106" s="19" t="n">
        <v>-1560.81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유형자산의감소</t>
        </is>
      </c>
      <c r="F107" s="9" t="n"/>
      <c r="G107" s="18" t="n">
        <v>245.34</v>
      </c>
      <c r="H107" s="18" t="n">
        <v>216.61</v>
      </c>
      <c r="I107" s="18" t="n">
        <v>154.55</v>
      </c>
      <c r="J107" s="18" t="n">
        <v>11.77</v>
      </c>
      <c r="K107" s="34" t="n">
        <v>628.27</v>
      </c>
      <c r="L107" s="18" t="n">
        <v>9.039999999999999</v>
      </c>
      <c r="M107" s="18" t="n">
        <v>358.79</v>
      </c>
      <c r="N107" s="18" t="n">
        <v>50.73</v>
      </c>
      <c r="O107" s="18" t="n">
        <v>8670.299999999999</v>
      </c>
      <c r="P107" s="34" t="n">
        <v>9088.860000000001</v>
      </c>
      <c r="Q107" s="18" t="n">
        <v>4.55</v>
      </c>
      <c r="R107" s="18" t="n">
        <v>0</v>
      </c>
      <c r="S107" s="18" t="n">
        <v>40.77</v>
      </c>
      <c r="T107" s="18" t="n">
        <v>4.73</v>
      </c>
      <c r="U107" s="34" t="n">
        <v>50.05</v>
      </c>
      <c r="V107" s="18" t="n">
        <v>461.49</v>
      </c>
      <c r="X107" s="18" t="n">
        <v>2341.86</v>
      </c>
      <c r="Z107" s="9" t="n"/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장기차입금의감소</t>
        </is>
      </c>
      <c r="F108" s="9" t="n"/>
      <c r="I108" s="18" t="n">
        <v>566.77</v>
      </c>
      <c r="J108" s="18" t="n">
        <v>551.85</v>
      </c>
      <c r="K108" s="9" t="n"/>
      <c r="O108" s="18" t="n">
        <v>3682.5</v>
      </c>
      <c r="P108" s="9" t="n"/>
      <c r="Q108" s="18" t="n">
        <v>5333.33</v>
      </c>
      <c r="R108" s="18" t="n">
        <v>0</v>
      </c>
      <c r="S108" s="18" t="n">
        <v>0</v>
      </c>
      <c r="T108" s="18" t="n">
        <v>0</v>
      </c>
      <c r="U108" s="34" t="n">
        <v>5333.33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영흥(별)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127901.24</v>
      </c>
      <c r="F5" s="34" t="n">
        <v>127901.24</v>
      </c>
      <c r="G5" s="18" t="n">
        <v>164885.18</v>
      </c>
      <c r="H5" s="18" t="n">
        <v>145861.32</v>
      </c>
      <c r="I5" s="18" t="n">
        <v>154932.85</v>
      </c>
      <c r="J5" s="18" t="n">
        <v>141742.41</v>
      </c>
      <c r="K5" s="34" t="n">
        <v>141742.41</v>
      </c>
      <c r="L5" s="18" t="n">
        <v>140617.91</v>
      </c>
      <c r="M5" s="18" t="n">
        <v>142277.94</v>
      </c>
      <c r="N5" s="18" t="n">
        <v>132883.29</v>
      </c>
      <c r="O5" s="18" t="n">
        <v>125139.44</v>
      </c>
      <c r="P5" s="34" t="n">
        <v>125139.44</v>
      </c>
      <c r="Q5" s="18" t="n">
        <v>94166.33</v>
      </c>
      <c r="R5" s="18" t="n">
        <v>88928.81</v>
      </c>
      <c r="S5" s="18" t="n">
        <v>94051.99000000001</v>
      </c>
      <c r="T5" s="18" t="n">
        <v>96273.60000000001</v>
      </c>
      <c r="U5" s="34" t="n">
        <v>96273.60000000001</v>
      </c>
      <c r="V5" s="18" t="n">
        <v>82867.17</v>
      </c>
      <c r="W5" s="18" t="n">
        <v>107130.33</v>
      </c>
      <c r="X5" s="18" t="n">
        <v>95354.60000000001</v>
      </c>
      <c r="Y5" s="18" t="n">
        <v>115943.86</v>
      </c>
      <c r="Z5" s="34" t="n">
        <v>115943.86</v>
      </c>
      <c r="AA5" s="18" t="n">
        <v>107329.74</v>
      </c>
      <c r="AB5" s="19" t="n">
        <v>107038.24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3360.57</v>
      </c>
      <c r="F6" s="34" t="n">
        <v>3360.57</v>
      </c>
      <c r="G6" s="18" t="n">
        <v>7012.23</v>
      </c>
      <c r="H6" s="18" t="n">
        <v>5687.75</v>
      </c>
      <c r="I6" s="18" t="n">
        <v>3351.63</v>
      </c>
      <c r="J6" s="18" t="n">
        <v>6845.4</v>
      </c>
      <c r="K6" s="34" t="n">
        <v>6845.4</v>
      </c>
      <c r="L6" s="18" t="n">
        <v>4845.63</v>
      </c>
      <c r="M6" s="18" t="n">
        <v>8431.540000000001</v>
      </c>
      <c r="N6" s="18" t="n">
        <v>6766.95</v>
      </c>
      <c r="O6" s="18" t="n">
        <v>6645.99</v>
      </c>
      <c r="P6" s="34" t="n">
        <v>6645.99</v>
      </c>
      <c r="Q6" s="18" t="n">
        <v>6439.27</v>
      </c>
      <c r="R6" s="18" t="n">
        <v>3477.55</v>
      </c>
      <c r="S6" s="18" t="n">
        <v>2431.1</v>
      </c>
      <c r="T6" s="18" t="n">
        <v>5449.63</v>
      </c>
      <c r="U6" s="34" t="n">
        <v>5449.63</v>
      </c>
      <c r="V6" s="18" t="n">
        <v>8557.639999999999</v>
      </c>
      <c r="W6" s="18" t="n">
        <v>6558.62</v>
      </c>
      <c r="X6" s="18" t="n">
        <v>6266.19</v>
      </c>
      <c r="Y6" s="18" t="n">
        <v>6799.46</v>
      </c>
      <c r="Z6" s="34" t="n">
        <v>6799.46</v>
      </c>
      <c r="AA6" s="18" t="n">
        <v>3460.11</v>
      </c>
      <c r="AB6" s="19" t="n">
        <v>2785.19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61029.82</v>
      </c>
      <c r="F7" s="34" t="n">
        <v>61029.82</v>
      </c>
      <c r="G7" s="18" t="n">
        <v>87025.47</v>
      </c>
      <c r="H7" s="18" t="n">
        <v>60190.68</v>
      </c>
      <c r="I7" s="18" t="n">
        <v>69955.75999999999</v>
      </c>
      <c r="J7" s="18" t="n">
        <v>57049.32</v>
      </c>
      <c r="K7" s="34" t="n">
        <v>57049.32</v>
      </c>
      <c r="L7" s="18" t="n">
        <v>59458.06</v>
      </c>
      <c r="M7" s="18" t="n">
        <v>53663.29</v>
      </c>
      <c r="N7" s="18" t="n">
        <v>49552.02</v>
      </c>
      <c r="O7" s="18" t="n">
        <v>45480.96</v>
      </c>
      <c r="P7" s="34" t="n">
        <v>45480.96</v>
      </c>
      <c r="Q7" s="18" t="n">
        <v>41939.39</v>
      </c>
      <c r="R7" s="18" t="n">
        <v>39168.92</v>
      </c>
      <c r="S7" s="18" t="n">
        <v>37525.73</v>
      </c>
      <c r="T7" s="18" t="n">
        <v>36993.54</v>
      </c>
      <c r="U7" s="34" t="n">
        <v>36993.54</v>
      </c>
      <c r="V7" s="18" t="n">
        <v>30325.52</v>
      </c>
      <c r="W7" s="18" t="n">
        <v>29243.14</v>
      </c>
      <c r="X7" s="18" t="n">
        <v>27296.55</v>
      </c>
      <c r="Y7" s="18" t="n">
        <v>24742.12</v>
      </c>
      <c r="Z7" s="34" t="n">
        <v>24742.12</v>
      </c>
      <c r="AA7" s="18" t="n">
        <v>16472.27</v>
      </c>
      <c r="AB7" s="19" t="n">
        <v>23359.13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62453.75</v>
      </c>
      <c r="F8" s="34" t="n">
        <v>62453.75</v>
      </c>
      <c r="G8" s="18" t="n">
        <v>69119.13</v>
      </c>
      <c r="H8" s="18" t="n">
        <v>78099.50999999999</v>
      </c>
      <c r="I8" s="18" t="n">
        <v>77480.31</v>
      </c>
      <c r="J8" s="18" t="n">
        <v>74229.77</v>
      </c>
      <c r="K8" s="34" t="n">
        <v>74229.77</v>
      </c>
      <c r="L8" s="18" t="n">
        <v>74947.19</v>
      </c>
      <c r="M8" s="18" t="n">
        <v>72206.44</v>
      </c>
      <c r="N8" s="18" t="n">
        <v>68554.08</v>
      </c>
      <c r="O8" s="18" t="n">
        <v>65897.36</v>
      </c>
      <c r="P8" s="34" t="n">
        <v>65897.36</v>
      </c>
      <c r="Q8" s="18" t="n">
        <v>44203.07</v>
      </c>
      <c r="R8" s="18" t="n">
        <v>44908.39</v>
      </c>
      <c r="S8" s="18" t="n">
        <v>42164.5</v>
      </c>
      <c r="T8" s="18" t="n">
        <v>37654.88</v>
      </c>
      <c r="U8" s="34" t="n">
        <v>37654.88</v>
      </c>
      <c r="V8" s="18" t="n">
        <v>32695.89</v>
      </c>
      <c r="W8" s="18" t="n">
        <v>25064.08</v>
      </c>
      <c r="X8" s="18" t="n">
        <v>14497.97</v>
      </c>
      <c r="Y8" s="18" t="n">
        <v>12947.24</v>
      </c>
      <c r="Z8" s="34" t="n">
        <v>12947.24</v>
      </c>
      <c r="AA8" s="18" t="n">
        <v>14445.84</v>
      </c>
      <c r="AB8" s="19" t="n">
        <v>15118.11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1057.1</v>
      </c>
      <c r="F9" s="34" t="n">
        <v>1057.1</v>
      </c>
      <c r="G9" s="18" t="n">
        <v>1728.36</v>
      </c>
      <c r="H9" s="18" t="n">
        <v>1883.38</v>
      </c>
      <c r="I9" s="18" t="n">
        <v>1518.25</v>
      </c>
      <c r="J9" s="18" t="n">
        <v>965.3099999999999</v>
      </c>
      <c r="K9" s="34" t="n">
        <v>965.3099999999999</v>
      </c>
      <c r="L9" s="18" t="n">
        <v>1351.9</v>
      </c>
      <c r="M9" s="18" t="n">
        <v>1863.84</v>
      </c>
      <c r="N9" s="18" t="n">
        <v>1975.53</v>
      </c>
      <c r="O9" s="18" t="n">
        <v>1287.33</v>
      </c>
      <c r="P9" s="34" t="n">
        <v>1287.33</v>
      </c>
      <c r="Q9" s="18" t="n">
        <v>1572.08</v>
      </c>
      <c r="R9" s="18" t="n">
        <v>1373.94</v>
      </c>
      <c r="S9" s="18" t="n">
        <v>1454.08</v>
      </c>
      <c r="T9" s="18" t="n">
        <v>2025.46</v>
      </c>
      <c r="U9" s="34" t="n">
        <v>2025.46</v>
      </c>
      <c r="V9" s="18" t="n">
        <v>839.28</v>
      </c>
      <c r="W9" s="18" t="n">
        <v>1312.18</v>
      </c>
      <c r="X9" s="18" t="n">
        <v>2321.34</v>
      </c>
      <c r="Z9" s="9" t="n"/>
      <c r="AA9" s="18" t="n">
        <v>7254.34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217848.15</v>
      </c>
      <c r="F10" s="34" t="n">
        <v>217848.15</v>
      </c>
      <c r="G10" s="18" t="n">
        <v>219495.62</v>
      </c>
      <c r="H10" s="18" t="n">
        <v>220410.14</v>
      </c>
      <c r="I10" s="18" t="n">
        <v>218293.54</v>
      </c>
      <c r="J10" s="18" t="n">
        <v>212406.83</v>
      </c>
      <c r="K10" s="34" t="n">
        <v>212406.83</v>
      </c>
      <c r="L10" s="18" t="n">
        <v>210319.27</v>
      </c>
      <c r="M10" s="18" t="n">
        <v>203174.07</v>
      </c>
      <c r="N10" s="18" t="n">
        <v>203641.3</v>
      </c>
      <c r="O10" s="18" t="n">
        <v>251420.99</v>
      </c>
      <c r="P10" s="34" t="n">
        <v>251420.99</v>
      </c>
      <c r="Q10" s="18" t="n">
        <v>253032.35</v>
      </c>
      <c r="R10" s="18" t="n">
        <v>251803.19</v>
      </c>
      <c r="S10" s="18" t="n">
        <v>239006.39</v>
      </c>
      <c r="T10" s="18" t="n">
        <v>233754.28</v>
      </c>
      <c r="U10" s="34" t="n">
        <v>233754.28</v>
      </c>
      <c r="V10" s="18" t="n">
        <v>230950.42</v>
      </c>
      <c r="W10" s="18" t="n">
        <v>170468.29</v>
      </c>
      <c r="X10" s="18" t="n">
        <v>166163.42</v>
      </c>
      <c r="Y10" s="18" t="n">
        <v>118525.69</v>
      </c>
      <c r="Z10" s="34" t="n">
        <v>118525.69</v>
      </c>
      <c r="AA10" s="18" t="n">
        <v>116357.85</v>
      </c>
      <c r="AB10" s="19" t="n">
        <v>116464.28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장기금융자산</t>
        </is>
      </c>
      <c r="E11" s="18" t="n">
        <v>1669.98</v>
      </c>
      <c r="F11" s="34" t="n">
        <v>1669.98</v>
      </c>
      <c r="G11" s="18" t="n">
        <v>1307.85</v>
      </c>
      <c r="H11" s="18" t="n">
        <v>1552.21</v>
      </c>
      <c r="I11" s="18" t="n">
        <v>999.34</v>
      </c>
      <c r="J11" s="18" t="n">
        <v>1053.1</v>
      </c>
      <c r="K11" s="34" t="n">
        <v>1053.1</v>
      </c>
      <c r="L11" s="18" t="n">
        <v>963.53</v>
      </c>
      <c r="M11" s="18" t="n">
        <v>1107.68</v>
      </c>
      <c r="N11" s="18" t="n">
        <v>917.1900000000001</v>
      </c>
      <c r="O11" s="18" t="n">
        <v>1632.75</v>
      </c>
      <c r="P11" s="34" t="n">
        <v>1632.75</v>
      </c>
      <c r="Q11" s="18" t="n">
        <v>475.13</v>
      </c>
      <c r="R11" s="18" t="n">
        <v>710.36</v>
      </c>
      <c r="S11" s="18" t="n">
        <v>680.97</v>
      </c>
      <c r="T11" s="18" t="n">
        <v>576.45</v>
      </c>
      <c r="U11" s="34" t="n">
        <v>576.45</v>
      </c>
      <c r="V11" s="18" t="n">
        <v>-173.48</v>
      </c>
      <c r="W11" s="18" t="n">
        <v>97.05</v>
      </c>
      <c r="X11" s="18" t="n">
        <v>-2.96</v>
      </c>
      <c r="Y11" s="18" t="n">
        <v>3.5</v>
      </c>
      <c r="Z11" s="34" t="n">
        <v>3.5</v>
      </c>
      <c r="AA11" s="18" t="n">
        <v>1751.02</v>
      </c>
      <c r="AB11" s="19" t="n">
        <v>3.5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투자자산</t>
        </is>
      </c>
      <c r="E12" s="18" t="n">
        <v>51031.11</v>
      </c>
      <c r="F12" s="34" t="n">
        <v>51031.11</v>
      </c>
      <c r="G12" s="18" t="n">
        <v>54391.27</v>
      </c>
      <c r="H12" s="18" t="n">
        <v>56551.56</v>
      </c>
      <c r="I12" s="18" t="n">
        <v>57762.42</v>
      </c>
      <c r="J12" s="18" t="n">
        <v>54465.77</v>
      </c>
      <c r="K12" s="34" t="n">
        <v>54465.77</v>
      </c>
      <c r="L12" s="18" t="n">
        <v>53116.52</v>
      </c>
      <c r="M12" s="18" t="n">
        <v>47004.12</v>
      </c>
      <c r="N12" s="18" t="n">
        <v>47155.38</v>
      </c>
      <c r="O12" s="18" t="n">
        <v>49607.17</v>
      </c>
      <c r="P12" s="34" t="n">
        <v>49607.17</v>
      </c>
      <c r="Q12" s="18" t="n">
        <v>78921.45</v>
      </c>
      <c r="R12" s="18" t="n">
        <v>78482.67999999999</v>
      </c>
      <c r="S12" s="18" t="n">
        <v>76968.77</v>
      </c>
      <c r="T12" s="18" t="n">
        <v>72148.96000000001</v>
      </c>
      <c r="U12" s="34" t="n">
        <v>72148.96000000001</v>
      </c>
      <c r="V12" s="18" t="n">
        <v>70042.64999999999</v>
      </c>
      <c r="W12" s="18" t="n">
        <v>69767.28</v>
      </c>
      <c r="X12" s="18" t="n">
        <v>69971.61</v>
      </c>
      <c r="Y12" s="18" t="n">
        <v>69360.91</v>
      </c>
      <c r="Z12" s="34" t="n">
        <v>69360.91</v>
      </c>
      <c r="AA12" s="18" t="n">
        <v>69902.03</v>
      </c>
      <c r="AB12" s="19" t="n">
        <v>1186.35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383.55</v>
      </c>
      <c r="F13" s="34" t="n">
        <v>383.55</v>
      </c>
      <c r="G13" s="18" t="n">
        <v>363.6</v>
      </c>
      <c r="H13" s="18" t="n">
        <v>343.65</v>
      </c>
      <c r="I13" s="18" t="n">
        <v>323.7</v>
      </c>
      <c r="J13" s="18" t="n">
        <v>303.75</v>
      </c>
      <c r="K13" s="34" t="n">
        <v>303.75</v>
      </c>
      <c r="L13" s="18" t="n">
        <v>283.8</v>
      </c>
      <c r="M13" s="18" t="n">
        <v>90.86</v>
      </c>
      <c r="N13" s="18" t="n">
        <v>59.85</v>
      </c>
      <c r="O13" s="18" t="n">
        <v>39.9</v>
      </c>
      <c r="P13" s="34" t="n">
        <v>39.9</v>
      </c>
      <c r="Q13" s="18" t="n">
        <v>19.95</v>
      </c>
      <c r="U13" s="9" t="n"/>
      <c r="Y13" s="18" t="n">
        <v>1376.35</v>
      </c>
      <c r="Z13" s="34" t="n">
        <v>1376.35</v>
      </c>
      <c r="AB13" s="19" t="n">
        <v>1334.57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49361.13</v>
      </c>
      <c r="F14" s="34" t="n">
        <v>49361.13</v>
      </c>
      <c r="G14" s="18" t="n">
        <v>53083.42</v>
      </c>
      <c r="H14" s="18" t="n">
        <v>54999.35</v>
      </c>
      <c r="I14" s="18" t="n">
        <v>56763.08</v>
      </c>
      <c r="J14" s="18" t="n">
        <v>53412.67</v>
      </c>
      <c r="K14" s="34" t="n">
        <v>53412.67</v>
      </c>
      <c r="L14" s="18" t="n">
        <v>52152.99</v>
      </c>
      <c r="M14" s="18" t="n">
        <v>45896.44</v>
      </c>
      <c r="N14" s="18" t="n">
        <v>46238.19</v>
      </c>
      <c r="O14" s="18" t="n">
        <v>47974.42</v>
      </c>
      <c r="P14" s="34" t="n">
        <v>47974.42</v>
      </c>
      <c r="Q14" s="18" t="n">
        <v>78446.32000000001</v>
      </c>
      <c r="R14" s="18" t="n">
        <v>77772.32000000001</v>
      </c>
      <c r="S14" s="18" t="n">
        <v>76287.8</v>
      </c>
      <c r="T14" s="18" t="n">
        <v>71572.50999999999</v>
      </c>
      <c r="U14" s="34" t="n">
        <v>71572.50999999999</v>
      </c>
      <c r="V14" s="18" t="n">
        <v>70216.13</v>
      </c>
      <c r="W14" s="18" t="n">
        <v>69670.23</v>
      </c>
      <c r="X14" s="18" t="n">
        <v>69974.57000000001</v>
      </c>
      <c r="Y14" s="18" t="n">
        <v>69357.41</v>
      </c>
      <c r="Z14" s="34" t="n">
        <v>69357.41</v>
      </c>
      <c r="AA14" s="18" t="n">
        <v>68151.00999999999</v>
      </c>
      <c r="AB14" s="19" t="n">
        <v>1182.85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158538.58</v>
      </c>
      <c r="F15" s="34" t="n">
        <v>158538.58</v>
      </c>
      <c r="G15" s="18" t="n">
        <v>156913</v>
      </c>
      <c r="H15" s="18" t="n">
        <v>155045.38</v>
      </c>
      <c r="I15" s="18" t="n">
        <v>154136.5</v>
      </c>
      <c r="J15" s="18" t="n">
        <v>151895.47</v>
      </c>
      <c r="K15" s="34" t="n">
        <v>151895.47</v>
      </c>
      <c r="L15" s="18" t="n">
        <v>151092.29</v>
      </c>
      <c r="M15" s="18" t="n">
        <v>150350.6</v>
      </c>
      <c r="N15" s="18" t="n">
        <v>150378.8</v>
      </c>
      <c r="O15" s="18" t="n">
        <v>196221.28</v>
      </c>
      <c r="P15" s="34" t="n">
        <v>196221.28</v>
      </c>
      <c r="Q15" s="18" t="n">
        <v>168460.71</v>
      </c>
      <c r="R15" s="18" t="n">
        <v>167716.38</v>
      </c>
      <c r="S15" s="18" t="n">
        <v>156588.62</v>
      </c>
      <c r="T15" s="18" t="n">
        <v>155822.43</v>
      </c>
      <c r="U15" s="34" t="n">
        <v>155822.43</v>
      </c>
      <c r="V15" s="18" t="n">
        <v>155181.74</v>
      </c>
      <c r="W15" s="18" t="n">
        <v>94595.84</v>
      </c>
      <c r="X15" s="18" t="n">
        <v>90062.63</v>
      </c>
      <c r="Y15" s="18" t="n">
        <v>44349.98</v>
      </c>
      <c r="Z15" s="34" t="n">
        <v>44349.98</v>
      </c>
      <c r="AA15" s="18" t="n">
        <v>44125.33</v>
      </c>
      <c r="AB15" s="19" t="n">
        <v>44075.83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2640.39</v>
      </c>
      <c r="F16" s="34" t="n">
        <v>2640.39</v>
      </c>
      <c r="G16" s="18" t="n">
        <v>2634.61</v>
      </c>
      <c r="H16" s="18" t="n">
        <v>2628.82</v>
      </c>
      <c r="K16" s="9" t="n"/>
      <c r="P16" s="9" t="n"/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588.1900000000001</v>
      </c>
      <c r="F17" s="34" t="n">
        <v>588.1900000000001</v>
      </c>
      <c r="G17" s="18" t="n">
        <v>465.1</v>
      </c>
      <c r="H17" s="18" t="n">
        <v>938.1</v>
      </c>
      <c r="I17" s="18" t="n">
        <v>828.6799999999999</v>
      </c>
      <c r="J17" s="18" t="n">
        <v>906.3</v>
      </c>
      <c r="K17" s="34" t="n">
        <v>906.3</v>
      </c>
      <c r="L17" s="18" t="n">
        <v>904.16</v>
      </c>
      <c r="M17" s="18" t="n">
        <v>789.05</v>
      </c>
      <c r="N17" s="18" t="n">
        <v>990.23</v>
      </c>
      <c r="O17" s="18" t="n">
        <v>993.1799999999999</v>
      </c>
      <c r="P17" s="34" t="n">
        <v>993.1799999999999</v>
      </c>
      <c r="Q17" s="18" t="n">
        <v>947.8</v>
      </c>
      <c r="R17" s="18" t="n">
        <v>879.51</v>
      </c>
      <c r="S17" s="18" t="n">
        <v>854.39</v>
      </c>
      <c r="T17" s="18" t="n">
        <v>819.75</v>
      </c>
      <c r="U17" s="34" t="n">
        <v>819.75</v>
      </c>
      <c r="V17" s="18" t="n">
        <v>765.1900000000001</v>
      </c>
      <c r="W17" s="18" t="n">
        <v>1430.01</v>
      </c>
      <c r="X17" s="18" t="n">
        <v>1360.87</v>
      </c>
      <c r="Y17" s="18" t="n">
        <v>1446.58</v>
      </c>
      <c r="Z17" s="34" t="n">
        <v>1446.58</v>
      </c>
      <c r="AA17" s="18" t="n">
        <v>494.26</v>
      </c>
      <c r="AB17" s="19" t="n">
        <v>572.45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588.1900000000001</v>
      </c>
      <c r="F18" s="34" t="n">
        <v>588.1900000000001</v>
      </c>
      <c r="G18" s="18" t="n">
        <v>465.1</v>
      </c>
      <c r="H18" s="18" t="n">
        <v>938.1</v>
      </c>
      <c r="I18" s="18" t="n">
        <v>828.6799999999999</v>
      </c>
      <c r="J18" s="18" t="n">
        <v>906.3</v>
      </c>
      <c r="K18" s="34" t="n">
        <v>906.3</v>
      </c>
      <c r="L18" s="18" t="n">
        <v>904.16</v>
      </c>
      <c r="M18" s="18" t="n">
        <v>789.05</v>
      </c>
      <c r="N18" s="18" t="n">
        <v>990.23</v>
      </c>
      <c r="O18" s="18" t="n">
        <v>993.1799999999999</v>
      </c>
      <c r="P18" s="34" t="n">
        <v>993.1799999999999</v>
      </c>
      <c r="Q18" s="18" t="n">
        <v>947.8</v>
      </c>
      <c r="R18" s="18" t="n">
        <v>879.51</v>
      </c>
      <c r="S18" s="18" t="n">
        <v>854.39</v>
      </c>
      <c r="T18" s="18" t="n">
        <v>819.75</v>
      </c>
      <c r="U18" s="34" t="n">
        <v>819.75</v>
      </c>
      <c r="V18" s="18" t="n">
        <v>765.1900000000001</v>
      </c>
      <c r="W18" s="18" t="n">
        <v>1430.01</v>
      </c>
      <c r="X18" s="18" t="n">
        <v>1360.87</v>
      </c>
      <c r="Y18" s="18" t="n">
        <v>1446.58</v>
      </c>
      <c r="Z18" s="34" t="n">
        <v>1446.58</v>
      </c>
      <c r="AA18" s="18" t="n">
        <v>494.26</v>
      </c>
      <c r="AB18" s="19" t="n">
        <v>572.45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865.13</v>
      </c>
      <c r="F19" s="34" t="n">
        <v>865.13</v>
      </c>
      <c r="G19" s="18" t="n">
        <v>859.85</v>
      </c>
      <c r="H19" s="18" t="n">
        <v>854.58</v>
      </c>
      <c r="I19" s="18" t="n">
        <v>849.3099999999999</v>
      </c>
      <c r="J19" s="18" t="n">
        <v>844.03</v>
      </c>
      <c r="K19" s="34" t="n">
        <v>844.03</v>
      </c>
      <c r="L19" s="18" t="n">
        <v>838.76</v>
      </c>
      <c r="M19" s="18" t="n">
        <v>829.78</v>
      </c>
      <c r="N19" s="18" t="n">
        <v>824.63</v>
      </c>
      <c r="O19" s="18" t="n">
        <v>569.48</v>
      </c>
      <c r="P19" s="34" t="n">
        <v>569.48</v>
      </c>
      <c r="Q19" s="18" t="n">
        <v>547.71</v>
      </c>
      <c r="R19" s="18" t="n">
        <v>543.4299999999999</v>
      </c>
      <c r="S19" s="18" t="n">
        <v>539.15</v>
      </c>
      <c r="T19" s="18" t="n">
        <v>534.88</v>
      </c>
      <c r="U19" s="34" t="n">
        <v>534.88</v>
      </c>
      <c r="V19" s="18" t="n">
        <v>530.6</v>
      </c>
      <c r="W19" s="18" t="n">
        <v>526.3200000000001</v>
      </c>
      <c r="X19" s="18" t="n">
        <v>450.55</v>
      </c>
      <c r="Y19" s="18" t="n">
        <v>446.27</v>
      </c>
      <c r="Z19" s="34" t="n">
        <v>446.27</v>
      </c>
      <c r="AA19" s="18" t="n">
        <v>442</v>
      </c>
      <c r="AB19" s="19" t="n">
        <v>437.72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345749.39</v>
      </c>
      <c r="F20" s="34" t="n">
        <v>345749.39</v>
      </c>
      <c r="G20" s="18" t="n">
        <v>384380.8</v>
      </c>
      <c r="H20" s="18" t="n">
        <v>366271.45</v>
      </c>
      <c r="I20" s="18" t="n">
        <v>373226.39</v>
      </c>
      <c r="J20" s="18" t="n">
        <v>354149.24</v>
      </c>
      <c r="K20" s="34" t="n">
        <v>354149.24</v>
      </c>
      <c r="L20" s="18" t="n">
        <v>350937.17</v>
      </c>
      <c r="M20" s="18" t="n">
        <v>345452.01</v>
      </c>
      <c r="N20" s="18" t="n">
        <v>336524.6</v>
      </c>
      <c r="O20" s="18" t="n">
        <v>376560.43</v>
      </c>
      <c r="P20" s="34" t="n">
        <v>376560.43</v>
      </c>
      <c r="Q20" s="18" t="n">
        <v>347198.68</v>
      </c>
      <c r="R20" s="18" t="n">
        <v>340732</v>
      </c>
      <c r="S20" s="18" t="n">
        <v>333058.38</v>
      </c>
      <c r="T20" s="18" t="n">
        <v>330027.88</v>
      </c>
      <c r="U20" s="34" t="n">
        <v>330027.88</v>
      </c>
      <c r="V20" s="18" t="n">
        <v>313817.59</v>
      </c>
      <c r="W20" s="18" t="n">
        <v>277598.62</v>
      </c>
      <c r="X20" s="18" t="n">
        <v>261518.02</v>
      </c>
      <c r="Y20" s="18" t="n">
        <v>234469.55</v>
      </c>
      <c r="Z20" s="34" t="n">
        <v>234469.55</v>
      </c>
      <c r="AA20" s="18" t="n">
        <v>223687.59</v>
      </c>
      <c r="AB20" s="19" t="n">
        <v>223502.53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130296.6</v>
      </c>
      <c r="F21" s="34" t="n">
        <v>130296.6</v>
      </c>
      <c r="G21" s="18" t="n">
        <v>160202.96</v>
      </c>
      <c r="H21" s="18" t="n">
        <v>147182.86</v>
      </c>
      <c r="I21" s="18" t="n">
        <v>150830.49</v>
      </c>
      <c r="J21" s="18" t="n">
        <v>141008.46</v>
      </c>
      <c r="K21" s="34" t="n">
        <v>141008.46</v>
      </c>
      <c r="L21" s="18" t="n">
        <v>141086.61</v>
      </c>
      <c r="M21" s="18" t="n">
        <v>138958.89</v>
      </c>
      <c r="N21" s="18" t="n">
        <v>132392.72</v>
      </c>
      <c r="O21" s="18" t="n">
        <v>126842.33</v>
      </c>
      <c r="P21" s="34" t="n">
        <v>126842.33</v>
      </c>
      <c r="Q21" s="18" t="n">
        <v>106003.09</v>
      </c>
      <c r="R21" s="18" t="n">
        <v>102103.74</v>
      </c>
      <c r="S21" s="18" t="n">
        <v>98521.2</v>
      </c>
      <c r="T21" s="18" t="n">
        <v>99935.53</v>
      </c>
      <c r="U21" s="34" t="n">
        <v>99935.53</v>
      </c>
      <c r="V21" s="18" t="n">
        <v>85385.22</v>
      </c>
      <c r="W21" s="18" t="n">
        <v>79901.85000000001</v>
      </c>
      <c r="X21" s="18" t="n">
        <v>76283.42999999999</v>
      </c>
      <c r="Y21" s="18" t="n">
        <v>66219.35000000001</v>
      </c>
      <c r="Z21" s="34" t="n">
        <v>66219.35000000001</v>
      </c>
      <c r="AA21" s="18" t="n">
        <v>56785.88</v>
      </c>
      <c r="AB21" s="19" t="n">
        <v>55933.12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29031.44</v>
      </c>
      <c r="F22" s="34" t="n">
        <v>29031.44</v>
      </c>
      <c r="G22" s="18" t="n">
        <v>53510.93</v>
      </c>
      <c r="H22" s="18" t="n">
        <v>28875.12</v>
      </c>
      <c r="I22" s="18" t="n">
        <v>32416.48</v>
      </c>
      <c r="J22" s="18" t="n">
        <v>21967.6</v>
      </c>
      <c r="K22" s="34" t="n">
        <v>21967.6</v>
      </c>
      <c r="L22" s="18" t="n">
        <v>27230.36</v>
      </c>
      <c r="M22" s="18" t="n">
        <v>23350.21</v>
      </c>
      <c r="N22" s="18" t="n">
        <v>27008.4</v>
      </c>
      <c r="O22" s="18" t="n">
        <v>26884.98</v>
      </c>
      <c r="P22" s="34" t="n">
        <v>26884.98</v>
      </c>
      <c r="Q22" s="18" t="n">
        <v>22199.57</v>
      </c>
      <c r="R22" s="18" t="n">
        <v>22804.77</v>
      </c>
      <c r="S22" s="18" t="n">
        <v>22141.54</v>
      </c>
      <c r="T22" s="18" t="n">
        <v>18933.99</v>
      </c>
      <c r="U22" s="34" t="n">
        <v>18933.99</v>
      </c>
      <c r="V22" s="18" t="n">
        <v>15913.82</v>
      </c>
      <c r="W22" s="18" t="n">
        <v>12780.83</v>
      </c>
      <c r="X22" s="18" t="n">
        <v>12896.18</v>
      </c>
      <c r="Y22" s="18" t="n">
        <v>1628.13</v>
      </c>
      <c r="Z22" s="34" t="n">
        <v>1628.13</v>
      </c>
      <c r="AA22" s="18" t="n">
        <v>10379.15</v>
      </c>
      <c r="AB22" s="19" t="n">
        <v>1724.34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84636.25</v>
      </c>
      <c r="F23" s="34" t="n">
        <v>84636.25</v>
      </c>
      <c r="G23" s="18" t="n">
        <v>89193.14</v>
      </c>
      <c r="H23" s="18" t="n">
        <v>96257.78</v>
      </c>
      <c r="I23" s="18" t="n">
        <v>96179.3</v>
      </c>
      <c r="J23" s="18" t="n">
        <v>98707.12</v>
      </c>
      <c r="K23" s="34" t="n">
        <v>98707.12</v>
      </c>
      <c r="L23" s="18" t="n">
        <v>94612.33</v>
      </c>
      <c r="M23" s="18" t="n">
        <v>96758.42</v>
      </c>
      <c r="N23" s="18" t="n">
        <v>96768.67999999999</v>
      </c>
      <c r="O23" s="18" t="n">
        <v>90823.85000000001</v>
      </c>
      <c r="P23" s="34" t="n">
        <v>90823.85000000001</v>
      </c>
      <c r="Q23" s="18" t="n">
        <v>79509.35000000001</v>
      </c>
      <c r="R23" s="18" t="n">
        <v>76160.89</v>
      </c>
      <c r="S23" s="18" t="n">
        <v>74341.05</v>
      </c>
      <c r="T23" s="18" t="n">
        <v>74617.37</v>
      </c>
      <c r="U23" s="34" t="n">
        <v>74617.37</v>
      </c>
      <c r="V23" s="18" t="n">
        <v>67182.87</v>
      </c>
      <c r="W23" s="18" t="n">
        <v>51367.21</v>
      </c>
      <c r="X23" s="18" t="n">
        <v>47928.97</v>
      </c>
      <c r="Y23" s="18" t="n">
        <v>41853.93</v>
      </c>
      <c r="Z23" s="34" t="n">
        <v>41853.93</v>
      </c>
      <c r="AA23" s="18" t="n">
        <v>39011.9</v>
      </c>
      <c r="AB23" s="19" t="n">
        <v>36479.76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유동성장기부채</t>
        </is>
      </c>
      <c r="E24" s="18" t="n">
        <v>12891.14</v>
      </c>
      <c r="F24" s="34" t="n">
        <v>12891.14</v>
      </c>
      <c r="G24" s="18" t="n">
        <v>13536.56</v>
      </c>
      <c r="H24" s="18" t="n">
        <v>17716.09</v>
      </c>
      <c r="I24" s="18" t="n">
        <v>18097.83</v>
      </c>
      <c r="J24" s="18" t="n">
        <v>15564.94</v>
      </c>
      <c r="K24" s="34" t="n">
        <v>15564.94</v>
      </c>
      <c r="L24" s="18" t="n">
        <v>15927.26</v>
      </c>
      <c r="M24" s="18" t="n">
        <v>14465.55</v>
      </c>
      <c r="N24" s="18" t="n">
        <v>5839.97</v>
      </c>
      <c r="O24" s="18" t="n">
        <v>3771.31</v>
      </c>
      <c r="P24" s="34" t="n">
        <v>3771.31</v>
      </c>
      <c r="Q24" s="18" t="n">
        <v>2986.46</v>
      </c>
      <c r="R24" s="18" t="n">
        <v>970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2133.55</v>
      </c>
      <c r="F25" s="34" t="n">
        <v>2133.55</v>
      </c>
      <c r="G25" s="18" t="n">
        <v>2521.39</v>
      </c>
      <c r="H25" s="18" t="n">
        <v>1946.64</v>
      </c>
      <c r="I25" s="18" t="n">
        <v>1909.67</v>
      </c>
      <c r="J25" s="18" t="n">
        <v>2453.74</v>
      </c>
      <c r="K25" s="34" t="n">
        <v>2453.74</v>
      </c>
      <c r="L25" s="18" t="n">
        <v>2220.78</v>
      </c>
      <c r="M25" s="18" t="n">
        <v>1872.54</v>
      </c>
      <c r="N25" s="18" t="n">
        <v>771.33</v>
      </c>
      <c r="O25" s="18" t="n">
        <v>503.38</v>
      </c>
      <c r="P25" s="34" t="n">
        <v>503.38</v>
      </c>
      <c r="Q25" s="18" t="n">
        <v>273.08</v>
      </c>
      <c r="R25" s="18" t="n">
        <v>53.47</v>
      </c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2432.95</v>
      </c>
      <c r="F26" s="34" t="n">
        <v>2432.95</v>
      </c>
      <c r="G26" s="18" t="n">
        <v>2762.06</v>
      </c>
      <c r="H26" s="18" t="n">
        <v>2238.9</v>
      </c>
      <c r="I26" s="18" t="n">
        <v>2151.86</v>
      </c>
      <c r="J26" s="18" t="n">
        <v>2779.12</v>
      </c>
      <c r="K26" s="34" t="n">
        <v>2779.12</v>
      </c>
      <c r="L26" s="18" t="n">
        <v>2581.58</v>
      </c>
      <c r="M26" s="18" t="n">
        <v>2189.53</v>
      </c>
      <c r="N26" s="18" t="n">
        <v>1108.22</v>
      </c>
      <c r="O26" s="18" t="n">
        <v>906.3</v>
      </c>
      <c r="P26" s="34" t="n">
        <v>906.3</v>
      </c>
      <c r="Q26" s="18" t="n">
        <v>718.27</v>
      </c>
      <c r="R26" s="18" t="n">
        <v>278.6</v>
      </c>
      <c r="S26" s="18" t="n">
        <v>340.22</v>
      </c>
      <c r="T26" s="18" t="n">
        <v>378.21</v>
      </c>
      <c r="U26" s="34" t="n">
        <v>378.21</v>
      </c>
      <c r="V26" s="18" t="n">
        <v>399.18</v>
      </c>
      <c r="W26" s="18" t="n">
        <v>496.57</v>
      </c>
      <c r="X26" s="18" t="n">
        <v>456.7</v>
      </c>
      <c r="Y26" s="18" t="n">
        <v>591.46</v>
      </c>
      <c r="Z26" s="34" t="n">
        <v>591.46</v>
      </c>
      <c r="AA26" s="18" t="n">
        <v>325.87</v>
      </c>
      <c r="AB26" s="19" t="n">
        <v>391.41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299.4</v>
      </c>
      <c r="F27" s="34" t="n">
        <v>299.4</v>
      </c>
      <c r="G27" s="18" t="n">
        <v>240.67</v>
      </c>
      <c r="H27" s="18" t="n">
        <v>292.26</v>
      </c>
      <c r="I27" s="18" t="n">
        <v>242.19</v>
      </c>
      <c r="J27" s="18" t="n">
        <v>325.38</v>
      </c>
      <c r="K27" s="34" t="n">
        <v>325.38</v>
      </c>
      <c r="L27" s="18" t="n">
        <v>360.8</v>
      </c>
      <c r="M27" s="18" t="n">
        <v>316.99</v>
      </c>
      <c r="N27" s="18" t="n">
        <v>336.89</v>
      </c>
      <c r="O27" s="18" t="n">
        <v>402.92</v>
      </c>
      <c r="P27" s="34" t="n">
        <v>402.92</v>
      </c>
      <c r="Q27" s="18" t="n">
        <v>445.19</v>
      </c>
      <c r="R27" s="18" t="n">
        <v>225.13</v>
      </c>
      <c r="S27" s="18" t="n">
        <v>340.22</v>
      </c>
      <c r="T27" s="18" t="n">
        <v>378.21</v>
      </c>
      <c r="U27" s="34" t="n">
        <v>378.21</v>
      </c>
      <c r="V27" s="18" t="n">
        <v>399.18</v>
      </c>
      <c r="W27" s="18" t="n">
        <v>496.57</v>
      </c>
      <c r="X27" s="18" t="n">
        <v>456.7</v>
      </c>
      <c r="Y27" s="18" t="n">
        <v>591.46</v>
      </c>
      <c r="Z27" s="34" t="n">
        <v>591.46</v>
      </c>
      <c r="AA27" s="18" t="n">
        <v>325.87</v>
      </c>
      <c r="AB27" s="19" t="n">
        <v>391.41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299.4</v>
      </c>
      <c r="F28" s="34" t="n">
        <v>299.4</v>
      </c>
      <c r="G28" s="18" t="n">
        <v>240.67</v>
      </c>
      <c r="H28" s="18" t="n">
        <v>292.26</v>
      </c>
      <c r="I28" s="18" t="n">
        <v>242.19</v>
      </c>
      <c r="J28" s="18" t="n">
        <v>325.38</v>
      </c>
      <c r="K28" s="34" t="n">
        <v>325.38</v>
      </c>
      <c r="L28" s="18" t="n">
        <v>360.8</v>
      </c>
      <c r="M28" s="18" t="n">
        <v>671.21</v>
      </c>
      <c r="N28" s="18" t="n">
        <v>897.29</v>
      </c>
      <c r="O28" s="18" t="n">
        <v>929.3099999999999</v>
      </c>
      <c r="P28" s="34" t="n">
        <v>929.3099999999999</v>
      </c>
      <c r="Q28" s="18" t="n">
        <v>928.23</v>
      </c>
      <c r="R28" s="18" t="n">
        <v>708.67</v>
      </c>
      <c r="S28" s="18" t="n">
        <v>700.1900000000001</v>
      </c>
      <c r="T28" s="18" t="n">
        <v>699.25</v>
      </c>
      <c r="U28" s="34" t="n">
        <v>699.25</v>
      </c>
      <c r="V28" s="18" t="n">
        <v>691.55</v>
      </c>
      <c r="W28" s="18" t="n">
        <v>1230.13</v>
      </c>
      <c r="X28" s="18" t="n">
        <v>1204.58</v>
      </c>
      <c r="Y28" s="18" t="n">
        <v>1324.16</v>
      </c>
      <c r="Z28" s="34" t="n">
        <v>1324.16</v>
      </c>
      <c r="AA28" s="18" t="n">
        <v>482.71</v>
      </c>
      <c r="AB28" s="19" t="n">
        <v>516.51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단기충당부채</t>
        </is>
      </c>
      <c r="E29" s="18" t="n">
        <v>69.08</v>
      </c>
      <c r="F29" s="34" t="n">
        <v>69.08</v>
      </c>
      <c r="G29" s="18" t="n">
        <v>55.5</v>
      </c>
      <c r="H29" s="18" t="n">
        <v>51.71</v>
      </c>
      <c r="I29" s="18" t="n">
        <v>49.78</v>
      </c>
      <c r="J29" s="18" t="n">
        <v>46.98</v>
      </c>
      <c r="K29" s="34" t="n">
        <v>46.98</v>
      </c>
      <c r="L29" s="18" t="n">
        <v>39.79</v>
      </c>
      <c r="M29" s="18" t="n">
        <v>34.45</v>
      </c>
      <c r="N29" s="18" t="n">
        <v>30.76</v>
      </c>
      <c r="O29" s="18" t="n">
        <v>29.09</v>
      </c>
      <c r="P29" s="34" t="n">
        <v>29.09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559.53</v>
      </c>
      <c r="F30" s="34" t="n">
        <v>559.53</v>
      </c>
      <c r="G30" s="18" t="n">
        <v>741.1900000000001</v>
      </c>
      <c r="H30" s="18" t="n">
        <v>912.1</v>
      </c>
      <c r="I30" s="18" t="n">
        <v>761.01</v>
      </c>
      <c r="J30" s="18" t="n">
        <v>648.12</v>
      </c>
      <c r="K30" s="34" t="n">
        <v>648.12</v>
      </c>
      <c r="L30" s="18" t="n">
        <v>433.92</v>
      </c>
      <c r="P30" s="9" t="n"/>
      <c r="R30" s="18" t="n">
        <v>698.0599999999999</v>
      </c>
      <c r="T30" s="18" t="n">
        <v>198.01</v>
      </c>
      <c r="U30" s="34" t="n">
        <v>198.01</v>
      </c>
      <c r="V30" s="18" t="n">
        <v>91.12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676.1900000000001</v>
      </c>
      <c r="F31" s="34" t="n">
        <v>676.1900000000001</v>
      </c>
      <c r="G31" s="18" t="n">
        <v>403.58</v>
      </c>
      <c r="H31" s="18" t="n">
        <v>1131.17</v>
      </c>
      <c r="I31" s="18" t="n">
        <v>1174.24</v>
      </c>
      <c r="J31" s="18" t="n">
        <v>1294.58</v>
      </c>
      <c r="K31" s="34" t="n">
        <v>1294.58</v>
      </c>
      <c r="L31" s="18" t="n">
        <v>261.37</v>
      </c>
      <c r="M31" s="18" t="n">
        <v>1058.79</v>
      </c>
      <c r="N31" s="18" t="n">
        <v>1061.46</v>
      </c>
      <c r="O31" s="18" t="n">
        <v>3877.98</v>
      </c>
      <c r="P31" s="34" t="n">
        <v>3877.98</v>
      </c>
      <c r="Q31" s="18" t="n">
        <v>-4.84</v>
      </c>
      <c r="R31" s="18" t="n">
        <v>215.48</v>
      </c>
      <c r="S31" s="18" t="n">
        <v>218.12</v>
      </c>
      <c r="T31" s="18" t="n">
        <v>4552.33</v>
      </c>
      <c r="U31" s="34" t="n">
        <v>4552.33</v>
      </c>
      <c r="V31" s="18" t="n">
        <v>1354.07</v>
      </c>
      <c r="W31" s="18" t="n">
        <v>14900.51</v>
      </c>
      <c r="X31" s="18" t="n">
        <v>14821.54</v>
      </c>
      <c r="Y31" s="18" t="n">
        <v>14429.11</v>
      </c>
      <c r="Z31" s="34" t="n">
        <v>14429.11</v>
      </c>
      <c r="AA31" s="18" t="n">
        <v>7012.71</v>
      </c>
      <c r="AB31" s="19" t="n">
        <v>9134.110000000001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43195.1</v>
      </c>
      <c r="F32" s="34" t="n">
        <v>43195.1</v>
      </c>
      <c r="G32" s="18" t="n">
        <v>49728.91</v>
      </c>
      <c r="H32" s="18" t="n">
        <v>40083.93</v>
      </c>
      <c r="I32" s="18" t="n">
        <v>41943.38</v>
      </c>
      <c r="J32" s="18" t="n">
        <v>36057.4</v>
      </c>
      <c r="K32" s="34" t="n">
        <v>36057.4</v>
      </c>
      <c r="L32" s="18" t="n">
        <v>33858.02</v>
      </c>
      <c r="M32" s="18" t="n">
        <v>32385.53</v>
      </c>
      <c r="N32" s="18" t="n">
        <v>30605.64</v>
      </c>
      <c r="O32" s="18" t="n">
        <v>38705.32</v>
      </c>
      <c r="P32" s="34" t="n">
        <v>38705.32</v>
      </c>
      <c r="Q32" s="18" t="n">
        <v>29630.41</v>
      </c>
      <c r="R32" s="18" t="n">
        <v>27768.75</v>
      </c>
      <c r="S32" s="18" t="n">
        <v>26842.97</v>
      </c>
      <c r="T32" s="18" t="n">
        <v>28479.69</v>
      </c>
      <c r="U32" s="34" t="n">
        <v>28479.69</v>
      </c>
      <c r="V32" s="18" t="n">
        <v>26919.31</v>
      </c>
      <c r="W32" s="18" t="n">
        <v>20919.77</v>
      </c>
      <c r="X32" s="18" t="n">
        <v>25669.92</v>
      </c>
      <c r="Y32" s="18" t="n">
        <v>16986.03</v>
      </c>
      <c r="Z32" s="34" t="n">
        <v>16986.03</v>
      </c>
      <c r="AA32" s="18" t="n">
        <v>15382.86</v>
      </c>
      <c r="AB32" s="19" t="n">
        <v>14976.72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142.56</v>
      </c>
      <c r="F33" s="34" t="n">
        <v>142.56</v>
      </c>
      <c r="G33" s="18" t="n">
        <v>142.56</v>
      </c>
      <c r="H33" s="18" t="n">
        <v>153.09</v>
      </c>
      <c r="I33" s="18" t="n">
        <v>158.36</v>
      </c>
      <c r="J33" s="18" t="n">
        <v>163.18</v>
      </c>
      <c r="K33" s="34" t="n">
        <v>163.18</v>
      </c>
      <c r="L33" s="18" t="n">
        <v>169.67</v>
      </c>
      <c r="P33" s="9" t="n"/>
      <c r="Q33" s="18" t="n">
        <v>129.66</v>
      </c>
      <c r="R33" s="18" t="n">
        <v>134.49</v>
      </c>
      <c r="S33" s="18" t="n">
        <v>139.32</v>
      </c>
      <c r="T33" s="18" t="n">
        <v>146.3</v>
      </c>
      <c r="U33" s="34" t="n">
        <v>146.3</v>
      </c>
      <c r="V33" s="18" t="n">
        <v>151.14</v>
      </c>
      <c r="W33" s="18" t="n">
        <v>155.99</v>
      </c>
      <c r="X33" s="18" t="n">
        <v>160.62</v>
      </c>
      <c r="Y33" s="18" t="n">
        <v>44.54</v>
      </c>
      <c r="Z33" s="34" t="n">
        <v>44.54</v>
      </c>
      <c r="AA33" s="18" t="n">
        <v>46.59</v>
      </c>
      <c r="AB33" s="19" t="n">
        <v>48.63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25583.84</v>
      </c>
      <c r="F34" s="34" t="n">
        <v>25583.84</v>
      </c>
      <c r="G34" s="18" t="n">
        <v>24757.06</v>
      </c>
      <c r="H34" s="18" t="n">
        <v>21423.14</v>
      </c>
      <c r="I34" s="18" t="n">
        <v>23196.36</v>
      </c>
      <c r="J34" s="18" t="n">
        <v>20586.25</v>
      </c>
      <c r="K34" s="34" t="n">
        <v>20586.25</v>
      </c>
      <c r="L34" s="18" t="n">
        <v>18392.8</v>
      </c>
      <c r="M34" s="18" t="n">
        <v>16199.35</v>
      </c>
      <c r="N34" s="18" t="n">
        <v>14005.91</v>
      </c>
      <c r="O34" s="18" t="n">
        <v>11812.46</v>
      </c>
      <c r="P34" s="34" t="n">
        <v>11812.46</v>
      </c>
      <c r="Q34" s="18" t="n">
        <v>5833.33</v>
      </c>
      <c r="R34" s="18" t="n">
        <v>4166.67</v>
      </c>
      <c r="S34" s="18" t="n">
        <v>2500</v>
      </c>
      <c r="T34" s="18" t="n">
        <v>1250</v>
      </c>
      <c r="U34" s="34" t="n">
        <v>1250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6132.63</v>
      </c>
      <c r="F35" s="34" t="n">
        <v>6132.63</v>
      </c>
      <c r="G35" s="18" t="n">
        <v>6637.91</v>
      </c>
      <c r="H35" s="18" t="n">
        <v>7171.06</v>
      </c>
      <c r="I35" s="18" t="n">
        <v>7482.27</v>
      </c>
      <c r="J35" s="18" t="n">
        <v>4775.05</v>
      </c>
      <c r="K35" s="34" t="n">
        <v>4775.05</v>
      </c>
      <c r="L35" s="18" t="n">
        <v>4739.98</v>
      </c>
      <c r="M35" s="18" t="n">
        <v>4868.53</v>
      </c>
      <c r="N35" s="18" t="n">
        <v>5146.41</v>
      </c>
      <c r="O35" s="18" t="n">
        <v>5863.45</v>
      </c>
      <c r="P35" s="34" t="n">
        <v>5863.45</v>
      </c>
      <c r="Q35" s="18" t="n">
        <v>2135.54</v>
      </c>
      <c r="R35" s="18" t="n">
        <v>2423.84</v>
      </c>
      <c r="S35" s="18" t="n">
        <v>2725.84</v>
      </c>
      <c r="T35" s="18" t="n">
        <v>5638.04</v>
      </c>
      <c r="U35" s="34" t="n">
        <v>5638.04</v>
      </c>
      <c r="V35" s="18" t="n">
        <v>5441.07</v>
      </c>
      <c r="W35" s="18" t="n">
        <v>5080.83</v>
      </c>
      <c r="X35" s="18" t="n">
        <v>3778.42</v>
      </c>
      <c r="Y35" s="18" t="n">
        <v>2474.33</v>
      </c>
      <c r="Z35" s="34" t="n">
        <v>2474.33</v>
      </c>
      <c r="AA35" s="18" t="n">
        <v>2186.12</v>
      </c>
      <c r="AB35" s="19" t="n">
        <v>2339.13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11116.36</v>
      </c>
      <c r="F36" s="34" t="n">
        <v>11116.36</v>
      </c>
      <c r="G36" s="18" t="n">
        <v>10576.49</v>
      </c>
      <c r="H36" s="18" t="n">
        <v>10840.04</v>
      </c>
      <c r="I36" s="18" t="n">
        <v>10631.75</v>
      </c>
      <c r="J36" s="18" t="n">
        <v>10029.25</v>
      </c>
      <c r="K36" s="34" t="n">
        <v>10029.25</v>
      </c>
      <c r="L36" s="18" t="n">
        <v>10048.51</v>
      </c>
      <c r="M36" s="18" t="n">
        <v>10546.53</v>
      </c>
      <c r="N36" s="18" t="n">
        <v>10528.54</v>
      </c>
      <c r="O36" s="18" t="n">
        <v>20117.68</v>
      </c>
      <c r="P36" s="34" t="n">
        <v>20117.68</v>
      </c>
      <c r="Q36" s="18" t="n">
        <v>20904.17</v>
      </c>
      <c r="R36" s="18" t="n">
        <v>20265.25</v>
      </c>
      <c r="S36" s="18" t="n">
        <v>20904.17</v>
      </c>
      <c r="T36" s="18" t="n">
        <v>20983.01</v>
      </c>
      <c r="U36" s="34" t="n">
        <v>20983.01</v>
      </c>
      <c r="V36" s="18" t="n">
        <v>20983.01</v>
      </c>
      <c r="W36" s="18" t="n">
        <v>14949.4</v>
      </c>
      <c r="X36" s="18" t="n">
        <v>20983.01</v>
      </c>
      <c r="Y36" s="18" t="n">
        <v>9048.91</v>
      </c>
      <c r="Z36" s="34" t="n">
        <v>9048.91</v>
      </c>
      <c r="AA36" s="18" t="n">
        <v>9048.91</v>
      </c>
      <c r="AB36" s="19" t="n">
        <v>8196.84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173491.69</v>
      </c>
      <c r="F37" s="34" t="n">
        <v>173491.69</v>
      </c>
      <c r="G37" s="18" t="n">
        <v>209931.87</v>
      </c>
      <c r="H37" s="18" t="n">
        <v>187266.79</v>
      </c>
      <c r="I37" s="18" t="n">
        <v>192773.87</v>
      </c>
      <c r="J37" s="18" t="n">
        <v>177065.86</v>
      </c>
      <c r="K37" s="34" t="n">
        <v>177065.86</v>
      </c>
      <c r="L37" s="18" t="n">
        <v>174944.64</v>
      </c>
      <c r="M37" s="18" t="n">
        <v>171344.41</v>
      </c>
      <c r="N37" s="18" t="n">
        <v>162998.36</v>
      </c>
      <c r="O37" s="18" t="n">
        <v>165547.65</v>
      </c>
      <c r="P37" s="34" t="n">
        <v>165547.65</v>
      </c>
      <c r="Q37" s="18" t="n">
        <v>135633.5</v>
      </c>
      <c r="R37" s="18" t="n">
        <v>129872.49</v>
      </c>
      <c r="S37" s="18" t="n">
        <v>125364.17</v>
      </c>
      <c r="T37" s="18" t="n">
        <v>128415.21</v>
      </c>
      <c r="U37" s="34" t="n">
        <v>128415.21</v>
      </c>
      <c r="V37" s="18" t="n">
        <v>112304.53</v>
      </c>
      <c r="W37" s="18" t="n">
        <v>100821.62</v>
      </c>
      <c r="X37" s="18" t="n">
        <v>101953.35</v>
      </c>
      <c r="Y37" s="18" t="n">
        <v>83205.39</v>
      </c>
      <c r="Z37" s="34" t="n">
        <v>83205.39</v>
      </c>
      <c r="AA37" s="18" t="n">
        <v>72168.74000000001</v>
      </c>
      <c r="AB37" s="19" t="n">
        <v>70909.85000000001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50655.19</v>
      </c>
      <c r="F38" s="34" t="n">
        <v>50655.19</v>
      </c>
      <c r="G38" s="18" t="n">
        <v>50655.19</v>
      </c>
      <c r="H38" s="18" t="n">
        <v>50655.19</v>
      </c>
      <c r="I38" s="18" t="n">
        <v>50655.19</v>
      </c>
      <c r="J38" s="18" t="n">
        <v>50655.19</v>
      </c>
      <c r="K38" s="34" t="n">
        <v>50655.19</v>
      </c>
      <c r="L38" s="18" t="n">
        <v>50655.19</v>
      </c>
      <c r="M38" s="18" t="n">
        <v>50655.19</v>
      </c>
      <c r="N38" s="18" t="n">
        <v>50655.19</v>
      </c>
      <c r="O38" s="18" t="n">
        <v>50655.19</v>
      </c>
      <c r="P38" s="34" t="n">
        <v>50655.19</v>
      </c>
      <c r="Q38" s="18" t="n">
        <v>50655.19</v>
      </c>
      <c r="R38" s="18" t="n">
        <v>50655.19</v>
      </c>
      <c r="S38" s="18" t="n">
        <v>50655.19</v>
      </c>
      <c r="T38" s="18" t="n">
        <v>50655.19</v>
      </c>
      <c r="U38" s="34" t="n">
        <v>50655.19</v>
      </c>
      <c r="V38" s="18" t="n">
        <v>50655.19</v>
      </c>
      <c r="W38" s="18" t="n">
        <v>50655.19</v>
      </c>
      <c r="X38" s="18" t="n">
        <v>50655.19</v>
      </c>
      <c r="Y38" s="18" t="n">
        <v>50655.19</v>
      </c>
      <c r="Z38" s="34" t="n">
        <v>50655.19</v>
      </c>
      <c r="AA38" s="18" t="n">
        <v>50655.19</v>
      </c>
      <c r="AB38" s="19" t="n">
        <v>39051.76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94821.45</v>
      </c>
      <c r="F39" s="34" t="n">
        <v>94821.45</v>
      </c>
      <c r="G39" s="18" t="n">
        <v>94821.45</v>
      </c>
      <c r="H39" s="18" t="n">
        <v>94821.45</v>
      </c>
      <c r="I39" s="18" t="n">
        <v>94821.45</v>
      </c>
      <c r="J39" s="18" t="n">
        <v>94821.45</v>
      </c>
      <c r="K39" s="34" t="n">
        <v>94821.45</v>
      </c>
      <c r="L39" s="18" t="n">
        <v>94821.45</v>
      </c>
      <c r="M39" s="18" t="n">
        <v>94821.45</v>
      </c>
      <c r="N39" s="18" t="n">
        <v>94821.45</v>
      </c>
      <c r="O39" s="18" t="n">
        <v>94821.45</v>
      </c>
      <c r="P39" s="34" t="n">
        <v>94821.45</v>
      </c>
      <c r="Q39" s="18" t="n">
        <v>94821.45</v>
      </c>
      <c r="R39" s="18" t="n">
        <v>94821.45</v>
      </c>
      <c r="S39" s="18" t="n">
        <v>94821.45</v>
      </c>
      <c r="T39" s="18" t="n">
        <v>94821.45</v>
      </c>
      <c r="U39" s="34" t="n">
        <v>94821.45</v>
      </c>
      <c r="V39" s="18" t="n">
        <v>94821.45</v>
      </c>
      <c r="W39" s="18" t="n">
        <v>94821.45</v>
      </c>
      <c r="X39" s="18" t="n">
        <v>94821.45</v>
      </c>
      <c r="Y39" s="18" t="n">
        <v>94821.45</v>
      </c>
      <c r="Z39" s="34" t="n">
        <v>94821.45</v>
      </c>
      <c r="AA39" s="18" t="n">
        <v>94821.45</v>
      </c>
      <c r="AB39" s="19" t="n">
        <v>94821.45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-74141.44</v>
      </c>
      <c r="F40" s="34" t="n">
        <v>-74141.44</v>
      </c>
      <c r="G40" s="18" t="n">
        <v>-74141.44</v>
      </c>
      <c r="H40" s="18" t="n">
        <v>-74141.44</v>
      </c>
      <c r="I40" s="18" t="n">
        <v>-74141.44</v>
      </c>
      <c r="J40" s="18" t="n">
        <v>-74141.44</v>
      </c>
      <c r="K40" s="34" t="n">
        <v>-74141.44</v>
      </c>
      <c r="L40" s="18" t="n">
        <v>-74141.44</v>
      </c>
      <c r="M40" s="18" t="n">
        <v>-74141.44</v>
      </c>
      <c r="N40" s="18" t="n">
        <v>-74141.44</v>
      </c>
      <c r="O40" s="18" t="n">
        <v>-74141.44</v>
      </c>
      <c r="P40" s="34" t="n">
        <v>-74141.44</v>
      </c>
      <c r="Q40" s="18" t="n">
        <v>-74895.09</v>
      </c>
      <c r="R40" s="18" t="n">
        <v>-74895.09</v>
      </c>
      <c r="S40" s="18" t="n">
        <v>-74895.09</v>
      </c>
      <c r="T40" s="18" t="n">
        <v>-74895.09</v>
      </c>
      <c r="U40" s="34" t="n">
        <v>-74895.09</v>
      </c>
      <c r="V40" s="18" t="n">
        <v>-74895.09</v>
      </c>
      <c r="W40" s="18" t="n">
        <v>-74895.09</v>
      </c>
      <c r="X40" s="18" t="n">
        <v>-74920.67</v>
      </c>
      <c r="Y40" s="18" t="n">
        <v>-73717.85000000001</v>
      </c>
      <c r="Z40" s="34" t="n">
        <v>-73717.85000000001</v>
      </c>
      <c r="AA40" s="18" t="n">
        <v>-72787.2</v>
      </c>
      <c r="AB40" s="19" t="n">
        <v>-60145.46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4546.15</v>
      </c>
      <c r="F41" s="34" t="n">
        <v>4546.15</v>
      </c>
      <c r="G41" s="18" t="n">
        <v>7144.48</v>
      </c>
      <c r="H41" s="18" t="n">
        <v>7854.87</v>
      </c>
      <c r="I41" s="18" t="n">
        <v>8532.190000000001</v>
      </c>
      <c r="J41" s="18" t="n">
        <v>7043.37</v>
      </c>
      <c r="K41" s="34" t="n">
        <v>7043.37</v>
      </c>
      <c r="L41" s="18" t="n">
        <v>7416.77</v>
      </c>
      <c r="M41" s="18" t="n">
        <v>7587.32</v>
      </c>
      <c r="N41" s="18" t="n">
        <v>7779.01</v>
      </c>
      <c r="O41" s="18" t="n">
        <v>48757.41</v>
      </c>
      <c r="P41" s="34" t="n">
        <v>48757.41</v>
      </c>
      <c r="Q41" s="18" t="n">
        <v>47655.73</v>
      </c>
      <c r="R41" s="18" t="n">
        <v>46854.59</v>
      </c>
      <c r="S41" s="18" t="n">
        <v>46841.2</v>
      </c>
      <c r="T41" s="18" t="n">
        <v>48735.4</v>
      </c>
      <c r="U41" s="34" t="n">
        <v>48735.4</v>
      </c>
      <c r="V41" s="18" t="n">
        <v>47554.68</v>
      </c>
      <c r="W41" s="18" t="n">
        <v>47542.6</v>
      </c>
      <c r="X41" s="18" t="n">
        <v>47502.18</v>
      </c>
      <c r="Y41" s="18" t="n">
        <v>48565.32</v>
      </c>
      <c r="Z41" s="34" t="n">
        <v>48565.32</v>
      </c>
      <c r="AA41" s="18" t="n">
        <v>47476.33</v>
      </c>
      <c r="AB41" s="19" t="n">
        <v>47778.48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96376.35000000001</v>
      </c>
      <c r="F42" s="34" t="n">
        <v>96376.35000000001</v>
      </c>
      <c r="G42" s="18" t="n">
        <v>95969.25999999999</v>
      </c>
      <c r="H42" s="18" t="n">
        <v>99814.59</v>
      </c>
      <c r="I42" s="18" t="n">
        <v>100585.13</v>
      </c>
      <c r="J42" s="18" t="n">
        <v>98704.81</v>
      </c>
      <c r="K42" s="34" t="n">
        <v>98704.81</v>
      </c>
      <c r="L42" s="18" t="n">
        <v>97240.57000000001</v>
      </c>
      <c r="M42" s="18" t="n">
        <v>95185.07000000001</v>
      </c>
      <c r="N42" s="18" t="n">
        <v>94412.03999999999</v>
      </c>
      <c r="O42" s="18" t="n">
        <v>90920.17999999999</v>
      </c>
      <c r="P42" s="34" t="n">
        <v>90920.17999999999</v>
      </c>
      <c r="Q42" s="18" t="n">
        <v>93327.91</v>
      </c>
      <c r="R42" s="18" t="n">
        <v>93423.37</v>
      </c>
      <c r="S42" s="18" t="n">
        <v>90271.46000000001</v>
      </c>
      <c r="T42" s="18" t="n">
        <v>82295.72</v>
      </c>
      <c r="U42" s="34" t="n">
        <v>82295.72</v>
      </c>
      <c r="V42" s="18" t="n">
        <v>83376.84</v>
      </c>
      <c r="W42" s="18" t="n">
        <v>58652.85</v>
      </c>
      <c r="X42" s="18" t="n">
        <v>41506.53</v>
      </c>
      <c r="Y42" s="18" t="n">
        <v>30940.06</v>
      </c>
      <c r="Z42" s="34" t="n">
        <v>30940.06</v>
      </c>
      <c r="AA42" s="18" t="n">
        <v>31353.08</v>
      </c>
      <c r="AB42" s="19" t="n">
        <v>31086.45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172257.7</v>
      </c>
      <c r="F43" s="34" t="n">
        <v>172257.7</v>
      </c>
      <c r="G43" s="18" t="n">
        <v>174448.94</v>
      </c>
      <c r="H43" s="18" t="n">
        <v>179004.66</v>
      </c>
      <c r="I43" s="18" t="n">
        <v>180452.52</v>
      </c>
      <c r="J43" s="18" t="n">
        <v>177083.38</v>
      </c>
      <c r="K43" s="34" t="n">
        <v>177083.38</v>
      </c>
      <c r="L43" s="18" t="n">
        <v>175992.54</v>
      </c>
      <c r="M43" s="18" t="n">
        <v>174107.59</v>
      </c>
      <c r="N43" s="18" t="n">
        <v>173526.24</v>
      </c>
      <c r="O43" s="18" t="n">
        <v>211012.79</v>
      </c>
      <c r="P43" s="34" t="n">
        <v>211012.79</v>
      </c>
      <c r="Q43" s="18" t="n">
        <v>211565.18</v>
      </c>
      <c r="R43" s="18" t="n">
        <v>210859.51</v>
      </c>
      <c r="S43" s="18" t="n">
        <v>207694.2</v>
      </c>
      <c r="T43" s="18" t="n">
        <v>201612.67</v>
      </c>
      <c r="U43" s="34" t="n">
        <v>201612.67</v>
      </c>
      <c r="V43" s="18" t="n">
        <v>201513.06</v>
      </c>
      <c r="W43" s="18" t="n">
        <v>176777</v>
      </c>
      <c r="X43" s="18" t="n">
        <v>159564.67</v>
      </c>
      <c r="Y43" s="18" t="n">
        <v>151264.16</v>
      </c>
      <c r="Z43" s="34" t="n">
        <v>151264.16</v>
      </c>
      <c r="AA43" s="18" t="n">
        <v>151518.85</v>
      </c>
      <c r="AB43" s="19" t="n">
        <v>152592.68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345749.39</v>
      </c>
      <c r="F44" s="34" t="n">
        <v>345749.39</v>
      </c>
      <c r="G44" s="18" t="n">
        <v>384380.8</v>
      </c>
      <c r="H44" s="18" t="n">
        <v>366271.45</v>
      </c>
      <c r="I44" s="18" t="n">
        <v>373226.39</v>
      </c>
      <c r="J44" s="18" t="n">
        <v>354149.24</v>
      </c>
      <c r="K44" s="34" t="n">
        <v>354149.24</v>
      </c>
      <c r="L44" s="18" t="n">
        <v>350937.17</v>
      </c>
      <c r="M44" s="18" t="n">
        <v>345452.01</v>
      </c>
      <c r="N44" s="18" t="n">
        <v>336524.6</v>
      </c>
      <c r="O44" s="18" t="n">
        <v>376560.43</v>
      </c>
      <c r="P44" s="34" t="n">
        <v>376560.43</v>
      </c>
      <c r="Q44" s="18" t="n">
        <v>347198.68</v>
      </c>
      <c r="R44" s="18" t="n">
        <v>340732</v>
      </c>
      <c r="S44" s="18" t="n">
        <v>333058.38</v>
      </c>
      <c r="T44" s="18" t="n">
        <v>330027.88</v>
      </c>
      <c r="U44" s="34" t="n">
        <v>330027.88</v>
      </c>
      <c r="V44" s="18" t="n">
        <v>313817.59</v>
      </c>
      <c r="W44" s="18" t="n">
        <v>277598.62</v>
      </c>
      <c r="X44" s="18" t="n">
        <v>261518.02</v>
      </c>
      <c r="Y44" s="18" t="n">
        <v>234469.55</v>
      </c>
      <c r="Z44" s="34" t="n">
        <v>234469.55</v>
      </c>
      <c r="AA44" s="18" t="n">
        <v>223687.59</v>
      </c>
      <c r="AB44" s="19" t="n">
        <v>223502.53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172257.7</v>
      </c>
      <c r="F45" s="34" t="n">
        <v>172257.7</v>
      </c>
      <c r="G45" s="18" t="n">
        <v>174448.94</v>
      </c>
      <c r="H45" s="18" t="n">
        <v>179004.66</v>
      </c>
      <c r="I45" s="18" t="n">
        <v>180452.52</v>
      </c>
      <c r="J45" s="18" t="n">
        <v>177083.38</v>
      </c>
      <c r="K45" s="34" t="n">
        <v>177083.38</v>
      </c>
      <c r="L45" s="18" t="n">
        <v>175992.54</v>
      </c>
      <c r="M45" s="18" t="n">
        <v>174107.59</v>
      </c>
      <c r="N45" s="18" t="n">
        <v>173526.24</v>
      </c>
      <c r="O45" s="18" t="n">
        <v>211012.79</v>
      </c>
      <c r="P45" s="34" t="n">
        <v>211012.79</v>
      </c>
      <c r="Q45" s="18" t="n">
        <v>211565.18</v>
      </c>
      <c r="R45" s="18" t="n">
        <v>210859.51</v>
      </c>
      <c r="S45" s="18" t="n">
        <v>207694.2</v>
      </c>
      <c r="T45" s="18" t="n">
        <v>201612.67</v>
      </c>
      <c r="U45" s="34" t="n">
        <v>201612.67</v>
      </c>
      <c r="V45" s="18" t="n">
        <v>201513.06</v>
      </c>
      <c r="W45" s="18" t="n">
        <v>176777</v>
      </c>
      <c r="X45" s="18" t="n">
        <v>159564.67</v>
      </c>
      <c r="Y45" s="18" t="n">
        <v>151264.16</v>
      </c>
      <c r="Z45" s="34" t="n">
        <v>151264.16</v>
      </c>
      <c r="AA45" s="18" t="n">
        <v>151518.85</v>
      </c>
      <c r="AB45" s="19" t="n">
        <v>152592.68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123111.23</v>
      </c>
      <c r="F46" s="34" t="n">
        <v>123111.23</v>
      </c>
      <c r="G46" s="18" t="n">
        <v>133569.84</v>
      </c>
      <c r="H46" s="18" t="n">
        <v>135397.01</v>
      </c>
      <c r="I46" s="18" t="n">
        <v>137473.49</v>
      </c>
      <c r="J46" s="18" t="n">
        <v>134858.31</v>
      </c>
      <c r="K46" s="34" t="n">
        <v>134858.31</v>
      </c>
      <c r="L46" s="18" t="n">
        <v>128932.39</v>
      </c>
      <c r="M46" s="18" t="n">
        <v>127423.32</v>
      </c>
      <c r="N46" s="18" t="n">
        <v>116614.56</v>
      </c>
      <c r="O46" s="18" t="n">
        <v>106407.62</v>
      </c>
      <c r="P46" s="34" t="n">
        <v>106407.62</v>
      </c>
      <c r="Q46" s="18" t="n">
        <v>88329.14</v>
      </c>
      <c r="R46" s="18" t="n">
        <v>81297.56</v>
      </c>
      <c r="S46" s="18" t="n">
        <v>76841.05</v>
      </c>
      <c r="T46" s="18" t="n">
        <v>75867.37</v>
      </c>
      <c r="U46" s="34" t="n">
        <v>75867.37</v>
      </c>
      <c r="V46" s="18" t="n">
        <v>67182.87</v>
      </c>
      <c r="W46" s="18" t="n">
        <v>51367.21</v>
      </c>
      <c r="X46" s="18" t="n">
        <v>47928.97</v>
      </c>
      <c r="Y46" s="18" t="n">
        <v>44448.39</v>
      </c>
      <c r="Z46" s="34" t="n">
        <v>44448.39</v>
      </c>
      <c r="AA46" s="18" t="n">
        <v>41196.26</v>
      </c>
      <c r="AB46" s="19" t="n">
        <v>38761.32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119750.66</v>
      </c>
      <c r="F47" s="34" t="n">
        <v>119750.66</v>
      </c>
      <c r="G47" s="18" t="n">
        <v>126557.61</v>
      </c>
      <c r="H47" s="18" t="n">
        <v>129709.26</v>
      </c>
      <c r="I47" s="18" t="n">
        <v>134121.86</v>
      </c>
      <c r="J47" s="18" t="n">
        <v>127987.2</v>
      </c>
      <c r="K47" s="34" t="n">
        <v>127987.2</v>
      </c>
      <c r="L47" s="18" t="n">
        <v>124071.63</v>
      </c>
      <c r="M47" s="18" t="n">
        <v>118984.8</v>
      </c>
      <c r="N47" s="18" t="n">
        <v>109847.61</v>
      </c>
      <c r="O47" s="18" t="n">
        <v>99761.63</v>
      </c>
      <c r="P47" s="34" t="n">
        <v>99761.63</v>
      </c>
      <c r="Q47" s="18" t="n">
        <v>81889.87</v>
      </c>
      <c r="R47" s="18" t="n">
        <v>77820.00999999999</v>
      </c>
      <c r="S47" s="18" t="n">
        <v>74409.95</v>
      </c>
      <c r="T47" s="18" t="n">
        <v>70417.74000000001</v>
      </c>
      <c r="U47" s="34" t="n">
        <v>70417.74000000001</v>
      </c>
      <c r="V47" s="18" t="n">
        <v>58625.23</v>
      </c>
      <c r="W47" s="18" t="n">
        <v>44808.59</v>
      </c>
      <c r="X47" s="18" t="n">
        <v>41662.78</v>
      </c>
      <c r="Y47" s="18" t="n">
        <v>37648.93</v>
      </c>
      <c r="Z47" s="34" t="n">
        <v>37648.93</v>
      </c>
      <c r="AA47" s="18" t="n">
        <v>37736.15</v>
      </c>
      <c r="AB47" s="19" t="n">
        <v>35976.13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5030.55</v>
      </c>
      <c r="F48" s="34" t="n">
        <v>5030.55</v>
      </c>
      <c r="G48" s="18" t="n">
        <v>8320.08</v>
      </c>
      <c r="H48" s="18" t="n">
        <v>7239.96</v>
      </c>
      <c r="I48" s="18" t="n">
        <v>4350.97</v>
      </c>
      <c r="J48" s="18" t="n">
        <v>7924.21</v>
      </c>
      <c r="K48" s="34" t="n">
        <v>7924.21</v>
      </c>
      <c r="L48" s="18" t="n">
        <v>5824.29</v>
      </c>
      <c r="M48" s="18" t="n">
        <v>9546.200000000001</v>
      </c>
      <c r="N48" s="18" t="n">
        <v>7684.14</v>
      </c>
      <c r="O48" s="18" t="n">
        <v>8278.74</v>
      </c>
      <c r="P48" s="34" t="n">
        <v>8278.74</v>
      </c>
      <c r="Q48" s="18" t="n">
        <v>6914.4</v>
      </c>
      <c r="R48" s="18" t="n">
        <v>4187.91</v>
      </c>
      <c r="S48" s="18" t="n">
        <v>3112.07</v>
      </c>
      <c r="T48" s="18" t="n">
        <v>6026.08</v>
      </c>
      <c r="U48" s="34" t="n">
        <v>6026.08</v>
      </c>
      <c r="V48" s="18" t="n">
        <v>8384.16</v>
      </c>
      <c r="W48" s="18" t="n">
        <v>6655.67</v>
      </c>
      <c r="X48" s="18" t="n">
        <v>6263.23</v>
      </c>
      <c r="Y48" s="18" t="n">
        <v>6802.96</v>
      </c>
      <c r="Z48" s="34" t="n">
        <v>6802.96</v>
      </c>
      <c r="AA48" s="18" t="n">
        <v>5211.13</v>
      </c>
      <c r="AB48" s="19" t="n">
        <v>2788.69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사채</t>
        </is>
      </c>
      <c r="F49" s="9" t="n"/>
      <c r="G49" s="18" t="n">
        <v>6083.08</v>
      </c>
      <c r="K49" s="9" t="n"/>
      <c r="P49" s="9" t="n"/>
      <c r="U49" s="9" t="n"/>
      <c r="Y49" s="18" t="n">
        <v>2594.46</v>
      </c>
      <c r="Z49" s="34" t="n">
        <v>2594.46</v>
      </c>
      <c r="AA49" s="18" t="n">
        <v>2184.36</v>
      </c>
      <c r="AB49" s="19" t="n">
        <v>2281.56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F50" s="9" t="n"/>
      <c r="G50" s="18" t="n">
        <v>1340.11</v>
      </c>
      <c r="K50" s="9" t="n"/>
      <c r="P50" s="9" t="n"/>
      <c r="U50" s="9" t="n"/>
      <c r="Y50" s="18" t="n">
        <v>2091.1</v>
      </c>
      <c r="Z50" s="34" t="n">
        <v>2091.1</v>
      </c>
      <c r="AA50" s="18" t="n">
        <v>1760.05</v>
      </c>
      <c r="AB50" s="19" t="n">
        <v>1985.46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F51" s="9" t="n"/>
      <c r="G51" s="18" t="n">
        <v>1340.11</v>
      </c>
      <c r="K51" s="9" t="n"/>
      <c r="M51" s="18" t="n">
        <v>354.22</v>
      </c>
      <c r="N51" s="18" t="n">
        <v>560.4</v>
      </c>
      <c r="O51" s="18" t="n">
        <v>526.39</v>
      </c>
      <c r="P51" s="34" t="n">
        <v>526.39</v>
      </c>
      <c r="Q51" s="18" t="n">
        <v>483.04</v>
      </c>
      <c r="R51" s="18" t="n">
        <v>483.54</v>
      </c>
      <c r="S51" s="18" t="n">
        <v>359.97</v>
      </c>
      <c r="T51" s="18" t="n">
        <v>321.04</v>
      </c>
      <c r="U51" s="34" t="n">
        <v>321.04</v>
      </c>
      <c r="V51" s="18" t="n">
        <v>292.37</v>
      </c>
      <c r="W51" s="18" t="n">
        <v>733.5599999999999</v>
      </c>
      <c r="X51" s="18" t="n">
        <v>747.88</v>
      </c>
      <c r="Y51" s="18" t="n">
        <v>2823.8</v>
      </c>
      <c r="Z51" s="34" t="n">
        <v>2823.8</v>
      </c>
      <c r="AA51" s="18" t="n">
        <v>1916.89</v>
      </c>
      <c r="AB51" s="19" t="n">
        <v>2110.56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매각예정비유동자산및처분자산</t>
        </is>
      </c>
      <c r="F52" s="9" t="n"/>
      <c r="I52" s="18" t="n">
        <v>2626.9</v>
      </c>
      <c r="J52" s="18" t="n">
        <v>2626.9</v>
      </c>
      <c r="K52" s="34" t="n">
        <v>2626.9</v>
      </c>
      <c r="M52" s="18" t="n">
        <v>6105.86</v>
      </c>
      <c r="N52" s="18" t="n">
        <v>6034.71</v>
      </c>
      <c r="O52" s="18" t="n">
        <v>5827.81</v>
      </c>
      <c r="P52" s="34" t="n">
        <v>5827.81</v>
      </c>
      <c r="S52" s="18" t="n">
        <v>10443.89</v>
      </c>
      <c r="T52" s="18" t="n">
        <v>14150.1</v>
      </c>
      <c r="U52" s="34" t="n">
        <v>14150.1</v>
      </c>
      <c r="V52" s="18" t="n">
        <v>10443.89</v>
      </c>
      <c r="W52" s="18" t="n">
        <v>44941.79</v>
      </c>
      <c r="X52" s="18" t="n">
        <v>44941.79</v>
      </c>
      <c r="Z52" s="9" t="n"/>
      <c r="AA52" s="18" t="n">
        <v>57409.48</v>
      </c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유동파생상품자산</t>
        </is>
      </c>
      <c r="F53" s="9" t="n"/>
      <c r="J53" s="18" t="n">
        <v>25.71</v>
      </c>
      <c r="K53" s="34" t="n">
        <v>25.71</v>
      </c>
      <c r="L53" s="18" t="n">
        <v>15.13</v>
      </c>
      <c r="M53" s="18" t="n">
        <v>6.98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J54" s="18" t="n">
        <v>25.71</v>
      </c>
      <c r="K54" s="34" t="n">
        <v>25.71</v>
      </c>
      <c r="L54" s="18" t="n">
        <v>15.13</v>
      </c>
      <c r="M54" s="18" t="n">
        <v>6.98</v>
      </c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계약부채</t>
        </is>
      </c>
      <c r="F55" s="9" t="n"/>
      <c r="K55" s="9" t="n"/>
      <c r="M55" s="18" t="n">
        <v>499.15</v>
      </c>
      <c r="N55" s="18" t="n">
        <v>88.59</v>
      </c>
      <c r="O55" s="18" t="n">
        <v>104.17</v>
      </c>
      <c r="P55" s="34" t="n">
        <v>104.17</v>
      </c>
      <c r="Q55" s="18" t="n">
        <v>237.37</v>
      </c>
      <c r="R55" s="18" t="n">
        <v>419.02</v>
      </c>
      <c r="S55" s="18" t="n">
        <v>1009.91</v>
      </c>
      <c r="T55" s="18" t="n">
        <v>847.89</v>
      </c>
      <c r="U55" s="34" t="n">
        <v>847.89</v>
      </c>
      <c r="V55" s="18" t="n">
        <v>158.87</v>
      </c>
      <c r="W55" s="18" t="n">
        <v>132.5</v>
      </c>
      <c r="X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단기금융부채(face)</t>
        </is>
      </c>
      <c r="F56" s="9" t="n"/>
      <c r="K56" s="9" t="n"/>
      <c r="M56" s="18" t="n">
        <v>96758.42</v>
      </c>
      <c r="N56" s="18" t="n">
        <v>96768.67999999999</v>
      </c>
      <c r="O56" s="18" t="n">
        <v>90823.85000000001</v>
      </c>
      <c r="P56" s="34" t="n">
        <v>90823.85000000001</v>
      </c>
      <c r="Q56" s="18" t="n">
        <v>79509.35000000001</v>
      </c>
      <c r="R56" s="18" t="n">
        <v>76160.89</v>
      </c>
      <c r="S56" s="18" t="n">
        <v>74341.05</v>
      </c>
      <c r="T56" s="18" t="n">
        <v>74617.37</v>
      </c>
      <c r="U56" s="34" t="n">
        <v>74617.37</v>
      </c>
      <c r="V56" s="18" t="n">
        <v>67182.87</v>
      </c>
      <c r="W56" s="18" t="n">
        <v>51367.21</v>
      </c>
      <c r="X56" s="18" t="n">
        <v>47928.97</v>
      </c>
      <c r="Y56" s="18" t="n">
        <v>41853.93</v>
      </c>
      <c r="Z56" s="34" t="n">
        <v>41853.93</v>
      </c>
      <c r="AA56" s="18" t="n">
        <v>39011.9</v>
      </c>
      <c r="AB56" s="19" t="n">
        <v>36479.76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M57" s="18" t="n">
        <v>16199.35</v>
      </c>
      <c r="N57" s="18" t="n">
        <v>14005.91</v>
      </c>
      <c r="O57" s="18" t="n">
        <v>11812.46</v>
      </c>
      <c r="P57" s="34" t="n">
        <v>11812.46</v>
      </c>
      <c r="Q57" s="18" t="n">
        <v>5833.33</v>
      </c>
      <c r="R57" s="18" t="n">
        <v>4166.67</v>
      </c>
      <c r="S57" s="18" t="n">
        <v>2500</v>
      </c>
      <c r="T57" s="18" t="n">
        <v>1250</v>
      </c>
      <c r="U57" s="34" t="n">
        <v>1250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비유동리스부채</t>
        </is>
      </c>
      <c r="F58" s="9" t="n"/>
      <c r="K58" s="9" t="n"/>
      <c r="M58" s="18" t="n">
        <v>354.22</v>
      </c>
      <c r="N58" s="18" t="n">
        <v>560.4</v>
      </c>
      <c r="O58" s="18" t="n">
        <v>526.39</v>
      </c>
      <c r="P58" s="34" t="n">
        <v>526.39</v>
      </c>
      <c r="Q58" s="18" t="n">
        <v>483.04</v>
      </c>
      <c r="R58" s="18" t="n">
        <v>483.54</v>
      </c>
      <c r="S58" s="18" t="n">
        <v>359.97</v>
      </c>
      <c r="T58" s="18" t="n">
        <v>321.04</v>
      </c>
      <c r="U58" s="34" t="n">
        <v>321.04</v>
      </c>
      <c r="V58" s="18" t="n">
        <v>292.37</v>
      </c>
      <c r="W58" s="18" t="n">
        <v>733.5599999999999</v>
      </c>
      <c r="X58" s="18" t="n">
        <v>747.88</v>
      </c>
      <c r="Y58" s="18" t="n">
        <v>732.7</v>
      </c>
      <c r="Z58" s="34" t="n">
        <v>732.7</v>
      </c>
      <c r="AA58" s="18" t="n">
        <v>156.84</v>
      </c>
      <c r="AB58" s="19" t="n">
        <v>125.1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당기법인세자산(선급법인세)</t>
        </is>
      </c>
      <c r="F59" s="9" t="n"/>
      <c r="K59" s="9" t="n"/>
      <c r="P59" s="9" t="n"/>
      <c r="Q59" s="18" t="n">
        <v>12.53</v>
      </c>
      <c r="S59" s="18" t="n">
        <v>32.69</v>
      </c>
      <c r="U59" s="9" t="n"/>
      <c r="V59" s="18" t="n">
        <v>4.94</v>
      </c>
      <c r="W59" s="18" t="n">
        <v>10.52</v>
      </c>
      <c r="X59" s="18" t="n">
        <v>30.76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기타유동금융자산</t>
        </is>
      </c>
      <c r="F60" s="9" t="n"/>
      <c r="K60" s="9" t="n"/>
      <c r="P60" s="9" t="n"/>
      <c r="U60" s="9" t="n"/>
      <c r="Y60" s="18" t="n">
        <v>3601.67</v>
      </c>
      <c r="Z60" s="34" t="n">
        <v>3601.67</v>
      </c>
      <c r="AB60" s="19" t="n">
        <v>8366.33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51883.53</v>
      </c>
      <c r="F61" s="9" t="n"/>
      <c r="G61" s="18" t="n">
        <v>55746</v>
      </c>
      <c r="H61" s="18" t="n">
        <v>56371.45</v>
      </c>
      <c r="I61" s="18" t="n">
        <v>56472.23</v>
      </c>
      <c r="J61" s="18" t="n">
        <v>55459.42</v>
      </c>
      <c r="K61" s="34" t="n">
        <v>224049.1</v>
      </c>
      <c r="L61" s="18" t="n">
        <v>50284.93</v>
      </c>
      <c r="M61" s="18" t="n">
        <v>52775.94</v>
      </c>
      <c r="N61" s="18" t="n">
        <v>48444.3</v>
      </c>
      <c r="O61" s="18" t="n">
        <v>49268.07</v>
      </c>
      <c r="P61" s="34" t="n">
        <v>200773.24</v>
      </c>
      <c r="Q61" s="18" t="n">
        <v>45210.88</v>
      </c>
      <c r="R61" s="18" t="n">
        <v>38518.6</v>
      </c>
      <c r="S61" s="18" t="n">
        <v>37240.63</v>
      </c>
      <c r="T61" s="18" t="n">
        <v>35576.7</v>
      </c>
      <c r="U61" s="34" t="n">
        <v>156546.81</v>
      </c>
      <c r="V61" s="18" t="n">
        <v>33853.53</v>
      </c>
      <c r="W61" s="18" t="n">
        <v>32115.92</v>
      </c>
      <c r="X61" s="18" t="n">
        <v>28205.9</v>
      </c>
      <c r="Y61" s="18" t="n">
        <v>19492.22</v>
      </c>
      <c r="Z61" s="34" t="n">
        <v>113667.57</v>
      </c>
      <c r="AA61" s="18" t="n">
        <v>20241.72</v>
      </c>
      <c r="AB61" s="19" t="n">
        <v>21329.93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43731.29</v>
      </c>
      <c r="F62" s="9" t="n"/>
      <c r="G62" s="18" t="n">
        <v>47864.32</v>
      </c>
      <c r="H62" s="18" t="n">
        <v>50643.76</v>
      </c>
      <c r="I62" s="18" t="n">
        <v>50333.72</v>
      </c>
      <c r="J62" s="18" t="n">
        <v>50180.28</v>
      </c>
      <c r="K62" s="34" t="n">
        <v>199022.08</v>
      </c>
      <c r="L62" s="18" t="n">
        <v>45954.85</v>
      </c>
      <c r="M62" s="18" t="n">
        <v>48088.05</v>
      </c>
      <c r="N62" s="18" t="n">
        <v>44268.21</v>
      </c>
      <c r="O62" s="18" t="n">
        <v>44828.23</v>
      </c>
      <c r="P62" s="34" t="n">
        <v>183139.34</v>
      </c>
      <c r="Q62" s="18" t="n">
        <v>39625.32</v>
      </c>
      <c r="R62" s="18" t="n">
        <v>34809.83</v>
      </c>
      <c r="S62" s="18" t="n">
        <v>34323.91</v>
      </c>
      <c r="T62" s="18" t="n">
        <v>33642.7</v>
      </c>
      <c r="U62" s="34" t="n">
        <v>142401.76</v>
      </c>
      <c r="V62" s="18" t="n">
        <v>33472.24</v>
      </c>
      <c r="W62" s="18" t="n">
        <v>33460.93</v>
      </c>
      <c r="X62" s="18" t="n">
        <v>33006.13</v>
      </c>
      <c r="Y62" s="18" t="n">
        <v>12164.53</v>
      </c>
      <c r="Z62" s="34" t="n">
        <v>112103.83</v>
      </c>
      <c r="AA62" s="18" t="n">
        <v>17826.89</v>
      </c>
      <c r="AB62" s="19" t="n">
        <v>18719.63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8152.22</v>
      </c>
      <c r="F63" s="9" t="n"/>
      <c r="G63" s="18" t="n">
        <v>7881.69</v>
      </c>
      <c r="H63" s="18" t="n">
        <v>5727.68</v>
      </c>
      <c r="I63" s="18" t="n">
        <v>6138.51</v>
      </c>
      <c r="J63" s="18" t="n">
        <v>5279.14</v>
      </c>
      <c r="K63" s="34" t="n">
        <v>25027.02</v>
      </c>
      <c r="L63" s="18" t="n">
        <v>4330.07</v>
      </c>
      <c r="M63" s="18" t="n">
        <v>4687.89</v>
      </c>
      <c r="N63" s="18" t="n">
        <v>4176.09</v>
      </c>
      <c r="O63" s="18" t="n">
        <v>4439.83</v>
      </c>
      <c r="P63" s="34" t="n">
        <v>17633.88</v>
      </c>
      <c r="Q63" s="18" t="n">
        <v>5585.56</v>
      </c>
      <c r="R63" s="18" t="n">
        <v>3708.77</v>
      </c>
      <c r="S63" s="18" t="n">
        <v>2916.72</v>
      </c>
      <c r="T63" s="18" t="n">
        <v>1934</v>
      </c>
      <c r="U63" s="34" t="n">
        <v>14145.05</v>
      </c>
      <c r="V63" s="18" t="n">
        <v>381.29</v>
      </c>
      <c r="W63" s="18" t="n">
        <v>-1345.01</v>
      </c>
      <c r="X63" s="18" t="n">
        <v>-4800.24</v>
      </c>
      <c r="Y63" s="18" t="n">
        <v>7327.69</v>
      </c>
      <c r="Z63" s="34" t="n">
        <v>1563.73</v>
      </c>
      <c r="AA63" s="18" t="n">
        <v>2414.82</v>
      </c>
      <c r="AB63" s="19" t="n">
        <v>2610.31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5201.47</v>
      </c>
      <c r="F64" s="9" t="n"/>
      <c r="G64" s="18" t="n">
        <v>6462.72</v>
      </c>
      <c r="H64" s="18" t="n">
        <v>4524.02</v>
      </c>
      <c r="I64" s="18" t="n">
        <v>5491.64</v>
      </c>
      <c r="J64" s="18" t="n">
        <v>4779.47</v>
      </c>
      <c r="K64" s="34" t="n">
        <v>21257.85</v>
      </c>
      <c r="L64" s="18" t="n">
        <v>4678.15</v>
      </c>
      <c r="M64" s="18" t="n">
        <v>4331.37</v>
      </c>
      <c r="N64" s="18" t="n">
        <v>3743.26</v>
      </c>
      <c r="O64" s="18" t="n">
        <v>4556.76</v>
      </c>
      <c r="P64" s="34" t="n">
        <v>17309.54</v>
      </c>
      <c r="Q64" s="18" t="n">
        <v>3362.2</v>
      </c>
      <c r="R64" s="18" t="n">
        <v>3164.76</v>
      </c>
      <c r="S64" s="18" t="n">
        <v>3510.4</v>
      </c>
      <c r="T64" s="18" t="n">
        <v>3836.76</v>
      </c>
      <c r="U64" s="34" t="n">
        <v>13874.12</v>
      </c>
      <c r="V64" s="18" t="n">
        <v>2977.76</v>
      </c>
      <c r="W64" s="18" t="n">
        <v>2676.3</v>
      </c>
      <c r="X64" s="18" t="n">
        <v>3306.37</v>
      </c>
      <c r="Y64" s="18" t="n">
        <v>9288.950000000001</v>
      </c>
      <c r="Z64" s="34" t="n">
        <v>18249.38</v>
      </c>
      <c r="AA64" s="18" t="n">
        <v>3041.26</v>
      </c>
      <c r="AB64" s="19" t="n">
        <v>1910.54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2950.75</v>
      </c>
      <c r="F65" s="9" t="n"/>
      <c r="G65" s="18" t="n">
        <v>1419.24</v>
      </c>
      <c r="H65" s="18" t="n">
        <v>1203.66</v>
      </c>
      <c r="I65" s="18" t="n">
        <v>646.87</v>
      </c>
      <c r="J65" s="18" t="n">
        <v>499.67</v>
      </c>
      <c r="K65" s="34" t="n">
        <v>3769.44</v>
      </c>
      <c r="L65" s="18" t="n">
        <v>-348.08</v>
      </c>
      <c r="M65" s="18" t="n">
        <v>356.52</v>
      </c>
      <c r="N65" s="18" t="n">
        <v>432.83</v>
      </c>
      <c r="O65" s="18" t="n">
        <v>-116.93</v>
      </c>
      <c r="P65" s="34" t="n">
        <v>324.34</v>
      </c>
      <c r="Q65" s="18" t="n">
        <v>2223.36</v>
      </c>
      <c r="R65" s="18" t="n">
        <v>544.01</v>
      </c>
      <c r="S65" s="18" t="n">
        <v>-593.6799999999999</v>
      </c>
      <c r="T65" s="18" t="n">
        <v>-1902.76</v>
      </c>
      <c r="U65" s="34" t="n">
        <v>270.93</v>
      </c>
      <c r="V65" s="18" t="n">
        <v>-2596.47</v>
      </c>
      <c r="W65" s="18" t="n">
        <v>-4021.31</v>
      </c>
      <c r="X65" s="18" t="n">
        <v>-8106.61</v>
      </c>
      <c r="Y65" s="18" t="n">
        <v>-1961.26</v>
      </c>
      <c r="Z65" s="34" t="n">
        <v>-16685.65</v>
      </c>
      <c r="AA65" s="18" t="n">
        <v>-626.4400000000001</v>
      </c>
      <c r="AB65" s="19" t="n">
        <v>699.77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661.25</v>
      </c>
      <c r="F66" s="9" t="n"/>
      <c r="G66" s="18" t="n">
        <v>737.49</v>
      </c>
      <c r="H66" s="18" t="n">
        <v>3789.74</v>
      </c>
      <c r="I66" s="18" t="n">
        <v>3039.55</v>
      </c>
      <c r="J66" s="18" t="n">
        <v>438.5</v>
      </c>
      <c r="K66" s="34" t="n">
        <v>8005.28</v>
      </c>
      <c r="L66" s="18" t="n">
        <v>1634.23</v>
      </c>
      <c r="M66" s="18" t="n">
        <v>1207.27</v>
      </c>
      <c r="N66" s="18" t="n">
        <v>1745.71</v>
      </c>
      <c r="O66" s="18" t="n">
        <v>689.8099999999999</v>
      </c>
      <c r="P66" s="34" t="n">
        <v>5277.02</v>
      </c>
      <c r="Q66" s="18" t="n">
        <v>1420.85</v>
      </c>
      <c r="R66" s="18" t="n">
        <v>917.27</v>
      </c>
      <c r="S66" s="18" t="n">
        <v>465.99</v>
      </c>
      <c r="T66" s="18" t="n">
        <v>1786.82</v>
      </c>
      <c r="U66" s="34" t="n">
        <v>4590.93</v>
      </c>
      <c r="V66" s="18" t="n">
        <v>807.09</v>
      </c>
      <c r="W66" s="18" t="n">
        <v>367.03</v>
      </c>
      <c r="X66" s="18" t="n">
        <v>454.64</v>
      </c>
      <c r="Y66" s="18" t="n">
        <v>526.98</v>
      </c>
      <c r="Z66" s="34" t="n">
        <v>2155.74</v>
      </c>
      <c r="AA66" s="18" t="n">
        <v>492.13</v>
      </c>
      <c r="AB66" s="19" t="n">
        <v>147.16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1083.27</v>
      </c>
      <c r="F67" s="9" t="n"/>
      <c r="G67" s="18" t="n">
        <v>2578.67</v>
      </c>
      <c r="H67" s="18" t="n">
        <v>2098.36</v>
      </c>
      <c r="I67" s="18" t="n">
        <v>3652.34</v>
      </c>
      <c r="J67" s="18" t="n">
        <v>3434.64</v>
      </c>
      <c r="K67" s="34" t="n">
        <v>11764.01</v>
      </c>
      <c r="L67" s="18" t="n">
        <v>2704.21</v>
      </c>
      <c r="M67" s="18" t="n">
        <v>3034.58</v>
      </c>
      <c r="N67" s="18" t="n">
        <v>2948.4</v>
      </c>
      <c r="O67" s="18" t="n">
        <v>2213.44</v>
      </c>
      <c r="P67" s="34" t="n">
        <v>10900.63</v>
      </c>
      <c r="Q67" s="18" t="n">
        <v>2148.99</v>
      </c>
      <c r="R67" s="18" t="n">
        <v>1741.5</v>
      </c>
      <c r="S67" s="18" t="n">
        <v>1703.68</v>
      </c>
      <c r="T67" s="18" t="n">
        <v>1841.65</v>
      </c>
      <c r="U67" s="34" t="n">
        <v>7435.82</v>
      </c>
      <c r="V67" s="18" t="n">
        <v>1338.2</v>
      </c>
      <c r="W67" s="18" t="n">
        <v>1547.25</v>
      </c>
      <c r="X67" s="18" t="n">
        <v>414.76</v>
      </c>
      <c r="Y67" s="18" t="n">
        <v>662.72</v>
      </c>
      <c r="Z67" s="34" t="n">
        <v>3962.93</v>
      </c>
      <c r="AA67" s="18" t="n">
        <v>808.63</v>
      </c>
      <c r="AB67" s="19" t="n">
        <v>841.87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181.44</v>
      </c>
      <c r="F68" s="9" t="n"/>
      <c r="G68" s="18" t="n">
        <v>554.5700000000001</v>
      </c>
      <c r="H68" s="18" t="n">
        <v>314.39</v>
      </c>
      <c r="I68" s="18" t="n">
        <v>220.51</v>
      </c>
      <c r="J68" s="18" t="n">
        <v>131.7</v>
      </c>
      <c r="K68" s="34" t="n">
        <v>1221.17</v>
      </c>
      <c r="L68" s="18" t="n">
        <v>2238.5</v>
      </c>
      <c r="M68" s="18" t="n">
        <v>225</v>
      </c>
      <c r="N68" s="18" t="n">
        <v>128.93</v>
      </c>
      <c r="O68" s="18" t="n">
        <v>1633.83</v>
      </c>
      <c r="P68" s="34" t="n">
        <v>4226.26</v>
      </c>
      <c r="Q68" s="18" t="n">
        <v>1601.66</v>
      </c>
      <c r="R68" s="18" t="n">
        <v>100.9</v>
      </c>
      <c r="S68" s="18" t="n">
        <v>93.79000000000001</v>
      </c>
      <c r="T68" s="18" t="n">
        <v>30.54</v>
      </c>
      <c r="U68" s="34" t="n">
        <v>1826.89</v>
      </c>
      <c r="V68" s="18" t="n">
        <v>5318.3</v>
      </c>
      <c r="W68" s="18" t="n">
        <v>224.54</v>
      </c>
      <c r="X68" s="18" t="n">
        <v>264.47</v>
      </c>
      <c r="Y68" s="18" t="n">
        <v>547.58</v>
      </c>
      <c r="Z68" s="34" t="n">
        <v>6354.89</v>
      </c>
      <c r="AA68" s="18" t="n">
        <v>1386.02</v>
      </c>
      <c r="AB68" s="19" t="n">
        <v>102.82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-850.84</v>
      </c>
      <c r="F69" s="9" t="n"/>
      <c r="G69" s="18" t="n">
        <v>3.16</v>
      </c>
      <c r="H69" s="18" t="n">
        <v>33.77</v>
      </c>
      <c r="I69" s="18" t="n">
        <v>13.18</v>
      </c>
      <c r="J69" s="18" t="n">
        <v>1206.33</v>
      </c>
      <c r="K69" s="34" t="n">
        <v>1256.44</v>
      </c>
      <c r="L69" s="18" t="n">
        <v>82.28</v>
      </c>
      <c r="M69" s="18" t="n">
        <v>181.46</v>
      </c>
      <c r="N69" s="18" t="n">
        <v>0.9399999999999999</v>
      </c>
      <c r="O69" s="18" t="n">
        <v>2652.22</v>
      </c>
      <c r="P69" s="34" t="n">
        <v>2916.9</v>
      </c>
      <c r="Q69" s="18" t="n">
        <v>11.39</v>
      </c>
      <c r="R69" s="18" t="n">
        <v>1.08</v>
      </c>
      <c r="S69" s="18" t="n">
        <v>0.39</v>
      </c>
      <c r="T69" s="18" t="n">
        <v>0.6899999999999999</v>
      </c>
      <c r="U69" s="34" t="n">
        <v>13.55</v>
      </c>
      <c r="V69" s="18" t="n">
        <v>149.82</v>
      </c>
      <c r="W69" s="18" t="n">
        <v>25506.88</v>
      </c>
      <c r="X69" s="18" t="n">
        <v>3555.21</v>
      </c>
      <c r="Y69" s="18" t="n">
        <v>22409.49</v>
      </c>
      <c r="Z69" s="34" t="n">
        <v>51621.4</v>
      </c>
      <c r="AA69" s="18" t="n">
        <v>114.57</v>
      </c>
      <c r="AB69" s="19" t="n">
        <v>27.81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5181.85</v>
      </c>
      <c r="F70" s="9" t="n"/>
      <c r="G70" s="18" t="n">
        <v>-399.85</v>
      </c>
      <c r="H70" s="18" t="n">
        <v>4627.43</v>
      </c>
      <c r="I70" s="18" t="n">
        <v>840.6900000000001</v>
      </c>
      <c r="J70" s="18" t="n">
        <v>-5903.81</v>
      </c>
      <c r="K70" s="34" t="n">
        <v>-835.54</v>
      </c>
      <c r="L70" s="18" t="n">
        <v>-948.3099999999999</v>
      </c>
      <c r="M70" s="18" t="n">
        <v>-1608.19</v>
      </c>
      <c r="N70" s="18" t="n">
        <v>-703.61</v>
      </c>
      <c r="O70" s="18" t="n">
        <v>-2632.28</v>
      </c>
      <c r="P70" s="34" t="n">
        <v>-5892.39</v>
      </c>
      <c r="Q70" s="18" t="n">
        <v>2671.11</v>
      </c>
      <c r="R70" s="18" t="n">
        <v>166.79</v>
      </c>
      <c r="S70" s="18" t="n">
        <v>-3215.82</v>
      </c>
      <c r="T70" s="18" t="n">
        <v>-7276.86</v>
      </c>
      <c r="U70" s="34" t="n">
        <v>-7654.78</v>
      </c>
      <c r="V70" s="18" t="n">
        <v>1249.22</v>
      </c>
      <c r="W70" s="18" t="n">
        <v>-30751.89</v>
      </c>
      <c r="X70" s="18" t="n">
        <v>-10955.44</v>
      </c>
      <c r="Y70" s="18" t="n">
        <v>-24564.06</v>
      </c>
      <c r="Z70" s="34" t="n">
        <v>-65022.17</v>
      </c>
      <c r="AA70" s="18" t="n">
        <v>-937.45</v>
      </c>
      <c r="AB70" s="19" t="n">
        <v>231.02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305.67</v>
      </c>
      <c r="F71" s="9" t="n"/>
      <c r="G71" s="18" t="n">
        <v>7.23</v>
      </c>
      <c r="H71" s="18" t="n">
        <v>726.47</v>
      </c>
      <c r="I71" s="18" t="n">
        <v>56.34</v>
      </c>
      <c r="J71" s="18" t="n">
        <v>-1298.04</v>
      </c>
      <c r="K71" s="34" t="n">
        <v>-508</v>
      </c>
      <c r="L71" s="18" t="n">
        <v>498.47</v>
      </c>
      <c r="M71" s="18" t="n">
        <v>421.01</v>
      </c>
      <c r="N71" s="18" t="n">
        <v>59.43</v>
      </c>
      <c r="O71" s="18" t="n">
        <v>-469.88</v>
      </c>
      <c r="P71" s="34" t="n">
        <v>509.03</v>
      </c>
      <c r="Q71" s="18" t="n">
        <v>241.53</v>
      </c>
      <c r="R71" s="18" t="n">
        <v>38.52</v>
      </c>
      <c r="S71" s="18" t="n">
        <v>-80.44</v>
      </c>
      <c r="T71" s="18" t="n">
        <v>903.96</v>
      </c>
      <c r="U71" s="34" t="n">
        <v>1103.57</v>
      </c>
      <c r="V71" s="18" t="n">
        <v>156.73</v>
      </c>
      <c r="W71" s="18" t="n">
        <v>-6051.84</v>
      </c>
      <c r="X71" s="18" t="n">
        <v>6054.52</v>
      </c>
      <c r="Y71" s="18" t="n">
        <v>-12852.17</v>
      </c>
      <c r="Z71" s="34" t="n">
        <v>-12692.76</v>
      </c>
      <c r="AA71" s="18" t="n">
        <v>-44.42</v>
      </c>
      <c r="AB71" s="19" t="n">
        <v>189.99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4876.18</v>
      </c>
      <c r="F72" s="9" t="n"/>
      <c r="G72" s="18" t="n">
        <v>-407.09</v>
      </c>
      <c r="H72" s="18" t="n">
        <v>3900.96</v>
      </c>
      <c r="I72" s="18" t="n">
        <v>784.36</v>
      </c>
      <c r="J72" s="18" t="n">
        <v>-4605.78</v>
      </c>
      <c r="K72" s="34" t="n">
        <v>-327.55</v>
      </c>
      <c r="L72" s="18" t="n">
        <v>-1446.78</v>
      </c>
      <c r="M72" s="18" t="n">
        <v>-2029.21</v>
      </c>
      <c r="N72" s="18" t="n">
        <v>-763.04</v>
      </c>
      <c r="O72" s="18" t="n">
        <v>-2162.41</v>
      </c>
      <c r="P72" s="34" t="n">
        <v>-6401.44</v>
      </c>
      <c r="Q72" s="18" t="n">
        <v>2429.59</v>
      </c>
      <c r="R72" s="18" t="n">
        <v>128.28</v>
      </c>
      <c r="S72" s="18" t="n">
        <v>-3135.39</v>
      </c>
      <c r="T72" s="18" t="n">
        <v>-8180.82</v>
      </c>
      <c r="U72" s="34" t="n">
        <v>-8758.34</v>
      </c>
      <c r="V72" s="18" t="n">
        <v>1092.48</v>
      </c>
      <c r="W72" s="18" t="n">
        <v>-24700.05</v>
      </c>
      <c r="X72" s="18" t="n">
        <v>-17009.95</v>
      </c>
      <c r="Y72" s="18" t="n">
        <v>-11711.9</v>
      </c>
      <c r="Z72" s="34" t="n">
        <v>-52329.42</v>
      </c>
      <c r="AA72" s="18" t="n">
        <v>-893.03</v>
      </c>
      <c r="AB72" s="19" t="n">
        <v>41.03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5274.04</v>
      </c>
      <c r="F73" s="9" t="n"/>
      <c r="G73" s="18" t="n">
        <v>2191.24</v>
      </c>
      <c r="H73" s="18" t="n">
        <v>4555.72</v>
      </c>
      <c r="I73" s="18" t="n">
        <v>1447.86</v>
      </c>
      <c r="J73" s="18" t="n">
        <v>-3369.14</v>
      </c>
      <c r="K73" s="34" t="n">
        <v>4825.68</v>
      </c>
      <c r="L73" s="18" t="n">
        <v>-1090.84</v>
      </c>
      <c r="M73" s="18" t="n">
        <v>-1884.95</v>
      </c>
      <c r="N73" s="18" t="n">
        <v>-581.35</v>
      </c>
      <c r="O73" s="18" t="n">
        <v>37486.55</v>
      </c>
      <c r="P73" s="34" t="n">
        <v>33929.41</v>
      </c>
      <c r="Q73" s="18" t="n">
        <v>-695.17</v>
      </c>
      <c r="R73" s="18" t="n">
        <v>-705.67</v>
      </c>
      <c r="S73" s="18" t="n">
        <v>-3165.31</v>
      </c>
      <c r="T73" s="18" t="n">
        <v>-4080.31</v>
      </c>
      <c r="U73" s="34" t="n">
        <v>-8646.459999999999</v>
      </c>
      <c r="V73" s="18" t="n">
        <v>-99.61</v>
      </c>
      <c r="W73" s="18" t="n">
        <v>-24736.07</v>
      </c>
      <c r="X73" s="18" t="n">
        <v>-17186.75</v>
      </c>
      <c r="Y73" s="18" t="n">
        <v>-9503.33</v>
      </c>
      <c r="Z73" s="34" t="n">
        <v>-51525.76</v>
      </c>
      <c r="AA73" s="18" t="n">
        <v>-675.97</v>
      </c>
      <c r="AB73" s="19" t="n">
        <v>35.53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-422.02</v>
      </c>
      <c r="F74" s="9" t="n"/>
      <c r="G74" s="18" t="n">
        <v>-1841.18</v>
      </c>
      <c r="H74" s="18" t="n">
        <v>1691.38</v>
      </c>
      <c r="I74" s="18" t="n">
        <v>-612.79</v>
      </c>
      <c r="J74" s="18" t="n">
        <v>-2996.14</v>
      </c>
      <c r="K74" s="34" t="n">
        <v>-3758.73</v>
      </c>
      <c r="L74" s="18" t="n">
        <v>-1069.98</v>
      </c>
      <c r="M74" s="18" t="n">
        <v>-1827.31</v>
      </c>
      <c r="N74" s="18" t="n">
        <v>-1202.69</v>
      </c>
      <c r="O74" s="18" t="n">
        <v>-1523.63</v>
      </c>
      <c r="P74" s="34" t="n">
        <v>-5623.61</v>
      </c>
      <c r="Q74" s="18" t="n">
        <v>-728.14</v>
      </c>
      <c r="R74" s="18" t="n">
        <v>-824.23</v>
      </c>
      <c r="S74" s="18" t="n">
        <v>-1237.69</v>
      </c>
      <c r="T74" s="18" t="n">
        <v>-54.83</v>
      </c>
      <c r="U74" s="34" t="n">
        <v>-2844.89</v>
      </c>
      <c r="V74" s="18" t="n">
        <v>-531.11</v>
      </c>
      <c r="W74" s="18" t="n">
        <v>-1180.22</v>
      </c>
      <c r="X74" s="18" t="n">
        <v>39.88</v>
      </c>
      <c r="Y74" s="18" t="n">
        <v>-135.74</v>
      </c>
      <c r="Z74" s="34" t="n">
        <v>-1807.19</v>
      </c>
      <c r="AA74" s="18" t="n">
        <v>-316.5</v>
      </c>
      <c r="AB74" s="19" t="n">
        <v>-694.71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1032.28</v>
      </c>
      <c r="F75" s="9" t="n"/>
      <c r="G75" s="18" t="n">
        <v>551.41</v>
      </c>
      <c r="H75" s="18" t="n">
        <v>280.62</v>
      </c>
      <c r="I75" s="18" t="n">
        <v>207.33</v>
      </c>
      <c r="J75" s="18" t="n">
        <v>-1074.63</v>
      </c>
      <c r="K75" s="34" t="n">
        <v>-35.27</v>
      </c>
      <c r="L75" s="18" t="n">
        <v>2156.22</v>
      </c>
      <c r="M75" s="18" t="n">
        <v>43.54</v>
      </c>
      <c r="N75" s="18" t="n">
        <v>127.99</v>
      </c>
      <c r="O75" s="18" t="n">
        <v>-1018.39</v>
      </c>
      <c r="P75" s="34" t="n">
        <v>1309.36</v>
      </c>
      <c r="Q75" s="18" t="n">
        <v>1590.27</v>
      </c>
      <c r="R75" s="18" t="n">
        <v>99.81999999999999</v>
      </c>
      <c r="S75" s="18" t="n">
        <v>93.40000000000001</v>
      </c>
      <c r="T75" s="18" t="n">
        <v>29.85</v>
      </c>
      <c r="U75" s="34" t="n">
        <v>1813.34</v>
      </c>
      <c r="V75" s="18" t="n">
        <v>5168.48</v>
      </c>
      <c r="W75" s="18" t="n">
        <v>-25282.34</v>
      </c>
      <c r="X75" s="18" t="n">
        <v>-3290.74</v>
      </c>
      <c r="Y75" s="18" t="n">
        <v>-21861.91</v>
      </c>
      <c r="Z75" s="34" t="n">
        <v>-45266.51</v>
      </c>
      <c r="AA75" s="18" t="n">
        <v>1271.45</v>
      </c>
      <c r="AB75" s="19" t="n">
        <v>75.01000000000001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(지배주주지분)당기순이익</t>
        </is>
      </c>
      <c r="E76" s="18" t="n">
        <v>4876.18</v>
      </c>
      <c r="F76" s="9" t="n"/>
      <c r="G76" s="18" t="n">
        <v>-407.09</v>
      </c>
      <c r="H76" s="18" t="n">
        <v>3900.96</v>
      </c>
      <c r="I76" s="18" t="n">
        <v>784.36</v>
      </c>
      <c r="J76" s="18" t="n">
        <v>-4605.78</v>
      </c>
      <c r="K76" s="34" t="n">
        <v>-327.55</v>
      </c>
      <c r="L76" s="18" t="n">
        <v>-1446.78</v>
      </c>
      <c r="M76" s="18" t="n">
        <v>-2029.21</v>
      </c>
      <c r="N76" s="18" t="n">
        <v>-763.04</v>
      </c>
      <c r="O76" s="18" t="n">
        <v>-2162.41</v>
      </c>
      <c r="P76" s="34" t="n">
        <v>-6401.44</v>
      </c>
      <c r="Q76" s="18" t="n">
        <v>2429.59</v>
      </c>
      <c r="R76" s="18" t="n">
        <v>128.28</v>
      </c>
      <c r="S76" s="18" t="n">
        <v>-3135.39</v>
      </c>
      <c r="T76" s="18" t="n">
        <v>-8180.82</v>
      </c>
      <c r="U76" s="34" t="n">
        <v>-8758.34</v>
      </c>
      <c r="V76" s="18" t="n">
        <v>1092.48</v>
      </c>
      <c r="W76" s="18" t="n">
        <v>-24700.05</v>
      </c>
      <c r="X76" s="18" t="n">
        <v>-17009.95</v>
      </c>
      <c r="Y76" s="18" t="n">
        <v>-11711.9</v>
      </c>
      <c r="Z76" s="34" t="n">
        <v>-52329.42</v>
      </c>
      <c r="AA76" s="18" t="n">
        <v>-893.03</v>
      </c>
      <c r="AB76" s="19" t="n">
        <v>41.03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4876.18</v>
      </c>
      <c r="F77" s="9" t="n"/>
      <c r="G77" s="18" t="n">
        <v>-407.09</v>
      </c>
      <c r="H77" s="18" t="n">
        <v>3900.96</v>
      </c>
      <c r="I77" s="18" t="n">
        <v>784.36</v>
      </c>
      <c r="J77" s="18" t="n">
        <v>-4605.78</v>
      </c>
      <c r="K77" s="34" t="n">
        <v>-327.55</v>
      </c>
      <c r="L77" s="18" t="n">
        <v>-1446.78</v>
      </c>
      <c r="M77" s="18" t="n">
        <v>-2029.21</v>
      </c>
      <c r="N77" s="18" t="n">
        <v>-763.04</v>
      </c>
      <c r="O77" s="18" t="n">
        <v>-2162.41</v>
      </c>
      <c r="P77" s="34" t="n">
        <v>-6401.44</v>
      </c>
      <c r="Q77" s="18" t="n">
        <v>2429.59</v>
      </c>
      <c r="R77" s="18" t="n">
        <v>128.28</v>
      </c>
      <c r="S77" s="18" t="n">
        <v>-3135.39</v>
      </c>
      <c r="T77" s="18" t="n">
        <v>-8180.82</v>
      </c>
      <c r="U77" s="34" t="n">
        <v>-8758.34</v>
      </c>
      <c r="V77" s="18" t="n">
        <v>1092.48</v>
      </c>
      <c r="W77" s="18" t="n">
        <v>-24700.05</v>
      </c>
      <c r="X77" s="18" t="n">
        <v>-17009.95</v>
      </c>
      <c r="Y77" s="18" t="n">
        <v>-11711.9</v>
      </c>
      <c r="Z77" s="34" t="n">
        <v>-52329.42</v>
      </c>
      <c r="AA77" s="18" t="n">
        <v>-893.03</v>
      </c>
      <c r="AB77" s="19" t="n">
        <v>41.03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4900.6</v>
      </c>
      <c r="F78" s="9" t="n"/>
      <c r="G78" s="18" t="n">
        <v>-5472.87</v>
      </c>
      <c r="H78" s="18" t="n">
        <v>-3322.08</v>
      </c>
      <c r="I78" s="18" t="n">
        <v>-1267.58</v>
      </c>
      <c r="J78" s="18" t="n">
        <v>3315.95</v>
      </c>
      <c r="K78" s="34" t="n">
        <v>-6746.58</v>
      </c>
      <c r="L78" s="18" t="n">
        <v>1180.7</v>
      </c>
      <c r="M78" s="18" t="n">
        <v>6600.66</v>
      </c>
      <c r="N78" s="18" t="n">
        <v>13006.7</v>
      </c>
      <c r="O78" s="18" t="n">
        <v>-37.7</v>
      </c>
      <c r="P78" s="34" t="n">
        <v>20750.36</v>
      </c>
      <c r="Q78" s="18" t="n">
        <v>-3425.49</v>
      </c>
      <c r="R78" s="18" t="n">
        <v>4795.15</v>
      </c>
      <c r="S78" s="18" t="n">
        <v>2539.58</v>
      </c>
      <c r="T78" s="18" t="n">
        <v>5207.68</v>
      </c>
      <c r="U78" s="34" t="n">
        <v>9116.92</v>
      </c>
      <c r="V78" s="18" t="n">
        <v>2835.96</v>
      </c>
      <c r="W78" s="18" t="n">
        <v>18758.56</v>
      </c>
      <c r="X78" s="18" t="n">
        <v>1624.34</v>
      </c>
      <c r="Y78" s="18" t="n">
        <v>2569.1</v>
      </c>
      <c r="Z78" s="34" t="n">
        <v>25787.96</v>
      </c>
      <c r="AA78" s="18" t="n">
        <v>-11839.71</v>
      </c>
      <c r="AB78" s="19" t="n">
        <v>2101.74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109.39</v>
      </c>
      <c r="F79" s="9" t="n"/>
      <c r="G79" s="18" t="n">
        <v>109.15</v>
      </c>
      <c r="H79" s="18" t="n">
        <v>114.35</v>
      </c>
      <c r="I79" s="18" t="n">
        <v>146.85</v>
      </c>
      <c r="J79" s="18" t="n">
        <v>141.81</v>
      </c>
      <c r="K79" s="34" t="n">
        <v>512.16</v>
      </c>
      <c r="L79" s="18" t="n">
        <v>146.61</v>
      </c>
      <c r="M79" s="18" t="n">
        <v>146.73</v>
      </c>
      <c r="N79" s="18" t="n">
        <v>376.91</v>
      </c>
      <c r="O79" s="18" t="n">
        <v>332.29</v>
      </c>
      <c r="P79" s="34" t="n">
        <v>1002.54</v>
      </c>
      <c r="Q79" s="18" t="n">
        <v>314.83</v>
      </c>
      <c r="R79" s="18" t="n">
        <v>-34.8</v>
      </c>
      <c r="S79" s="18" t="n">
        <v>98.08</v>
      </c>
      <c r="T79" s="18" t="n">
        <v>87.95</v>
      </c>
      <c r="U79" s="34" t="n">
        <v>466.06</v>
      </c>
      <c r="V79" s="18" t="n">
        <v>107.52</v>
      </c>
      <c r="W79" s="18" t="n">
        <v>107.02</v>
      </c>
      <c r="X79" s="18" t="n">
        <v>158.99</v>
      </c>
      <c r="Y79" s="18" t="n">
        <v>143.42</v>
      </c>
      <c r="Z79" s="34" t="n">
        <v>516.95</v>
      </c>
      <c r="AA79" s="18" t="n">
        <v>192.32</v>
      </c>
      <c r="AB79" s="19" t="n">
        <v>172.25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-779.99</v>
      </c>
      <c r="F80" s="9" t="n"/>
      <c r="G80" s="18" t="n">
        <v>-730.54</v>
      </c>
      <c r="H80" s="18" t="n">
        <v>-833.22</v>
      </c>
      <c r="I80" s="18" t="n">
        <v>-1057.94</v>
      </c>
      <c r="J80" s="18" t="n">
        <v>-1281.96</v>
      </c>
      <c r="K80" s="34" t="n">
        <v>-3903.66</v>
      </c>
      <c r="L80" s="18" t="n">
        <v>-1390.36</v>
      </c>
      <c r="M80" s="18" t="n">
        <v>-1411.54</v>
      </c>
      <c r="P80" s="9" t="n"/>
      <c r="Q80" s="18" t="n">
        <v>-1465.9</v>
      </c>
      <c r="R80" s="18" t="n">
        <v>-1316.44</v>
      </c>
      <c r="S80" s="18" t="n">
        <v>-1254.77</v>
      </c>
      <c r="T80" s="18" t="n">
        <v>-1145.46</v>
      </c>
      <c r="U80" s="34" t="n">
        <v>-5182.57</v>
      </c>
      <c r="V80" s="18" t="n">
        <v>-1065.06</v>
      </c>
      <c r="W80" s="18" t="n">
        <v>-840.14</v>
      </c>
      <c r="X80" s="18" t="n">
        <v>-635.33</v>
      </c>
      <c r="Z80" s="9" t="n"/>
      <c r="AA80" s="18" t="n">
        <v>-502.51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I81" s="18" t="n">
        <v>0</v>
      </c>
      <c r="J81" s="18" t="n">
        <v>0</v>
      </c>
      <c r="K81" s="9" t="n"/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-22.38</v>
      </c>
      <c r="F82" s="9" t="n"/>
      <c r="G82" s="18" t="n">
        <v>-285.77</v>
      </c>
      <c r="H82" s="18" t="n">
        <v>-345.78</v>
      </c>
      <c r="I82" s="18" t="n">
        <v>-294.09</v>
      </c>
      <c r="J82" s="18" t="n">
        <v>-25.08</v>
      </c>
      <c r="K82" s="34" t="n">
        <v>-950.72</v>
      </c>
      <c r="L82" s="18" t="n">
        <v>-674.7</v>
      </c>
      <c r="M82" s="18" t="n">
        <v>-387.04</v>
      </c>
      <c r="N82" s="18" t="n">
        <v>-37.61</v>
      </c>
      <c r="O82" s="18" t="n">
        <v>-20.09</v>
      </c>
      <c r="P82" s="34" t="n">
        <v>-1119.44</v>
      </c>
      <c r="Q82" s="18" t="n">
        <v>-12.53</v>
      </c>
      <c r="R82" s="18" t="n">
        <v>-16.33</v>
      </c>
      <c r="S82" s="18" t="n">
        <v>-5.25</v>
      </c>
      <c r="T82" s="18" t="n">
        <v>-2.34</v>
      </c>
      <c r="U82" s="34" t="n">
        <v>-36.45</v>
      </c>
      <c r="V82" s="18" t="n">
        <v>-111.83</v>
      </c>
      <c r="W82" s="18" t="n">
        <v>-135.02</v>
      </c>
      <c r="X82" s="18" t="n">
        <v>-20.24</v>
      </c>
      <c r="Y82" s="18" t="n">
        <v>-19.67</v>
      </c>
      <c r="Z82" s="34" t="n">
        <v>-286.76</v>
      </c>
      <c r="AA82" s="18" t="n">
        <v>11.91</v>
      </c>
      <c r="AB82" s="19" t="n">
        <v>-31.57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-923.7</v>
      </c>
      <c r="F83" s="9" t="n"/>
      <c r="G83" s="18" t="n">
        <v>-1419.38</v>
      </c>
      <c r="H83" s="18" t="n">
        <v>676.73</v>
      </c>
      <c r="I83" s="18" t="n">
        <v>-2235.12</v>
      </c>
      <c r="J83" s="18" t="n">
        <v>1257.76</v>
      </c>
      <c r="K83" s="34" t="n">
        <v>-1720.01</v>
      </c>
      <c r="L83" s="18" t="n">
        <v>3779.28</v>
      </c>
      <c r="M83" s="18" t="n">
        <v>-571.1799999999999</v>
      </c>
      <c r="N83" s="18" t="n">
        <v>-2267.87</v>
      </c>
      <c r="O83" s="18" t="n">
        <v>10141.98</v>
      </c>
      <c r="P83" s="34" t="n">
        <v>11082.21</v>
      </c>
      <c r="Q83" s="18" t="n">
        <v>3809.92</v>
      </c>
      <c r="R83" s="18" t="n">
        <v>-1718.38</v>
      </c>
      <c r="S83" s="18" t="n">
        <v>759.61</v>
      </c>
      <c r="T83" s="18" t="n">
        <v>-496.83</v>
      </c>
      <c r="U83" s="34" t="n">
        <v>2354.32</v>
      </c>
      <c r="V83" s="18" t="n">
        <v>9038.969999999999</v>
      </c>
      <c r="W83" s="18" t="n">
        <v>-4673.52</v>
      </c>
      <c r="X83" s="18" t="n">
        <v>1709</v>
      </c>
      <c r="Y83" s="18" t="n">
        <v>-1942.66</v>
      </c>
      <c r="Z83" s="34" t="n">
        <v>4131.79</v>
      </c>
      <c r="AA83" s="18" t="n">
        <v>11485.82</v>
      </c>
      <c r="AB83" s="19" t="n">
        <v>-68.66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978.84</v>
      </c>
      <c r="F84" s="9" t="n"/>
      <c r="G84" s="18" t="n">
        <v>209.25</v>
      </c>
      <c r="H84" s="18" t="n">
        <v>528.96</v>
      </c>
      <c r="I84" s="18" t="n">
        <v>659.55</v>
      </c>
      <c r="J84" s="18" t="n">
        <v>730.92</v>
      </c>
      <c r="K84" s="34" t="n">
        <v>2128.68</v>
      </c>
      <c r="L84" s="18" t="n">
        <v>635.15</v>
      </c>
      <c r="M84" s="18" t="n">
        <v>1209.09</v>
      </c>
      <c r="N84" s="18" t="n">
        <v>2217.01</v>
      </c>
      <c r="O84" s="18" t="n">
        <v>783.8099999999999</v>
      </c>
      <c r="P84" s="34" t="n">
        <v>4845.06</v>
      </c>
      <c r="Q84" s="18" t="n">
        <v>595.59</v>
      </c>
      <c r="R84" s="18" t="n">
        <v>206.33</v>
      </c>
      <c r="S84" s="18" t="n">
        <v>308.53</v>
      </c>
      <c r="T84" s="18" t="n">
        <v>415.98</v>
      </c>
      <c r="U84" s="34" t="n">
        <v>1526.43</v>
      </c>
      <c r="V84" s="18" t="n">
        <v>11.14</v>
      </c>
      <c r="W84" s="18" t="n">
        <v>663.52</v>
      </c>
      <c r="X84" s="18" t="n">
        <v>528.62</v>
      </c>
      <c r="Y84" s="18" t="n">
        <v>1448.69</v>
      </c>
      <c r="Z84" s="34" t="n">
        <v>2651.97</v>
      </c>
      <c r="AA84" s="18" t="n">
        <v>232.58</v>
      </c>
      <c r="AB84" s="19" t="n">
        <v>106.3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978.84</v>
      </c>
      <c r="F85" s="9" t="n"/>
      <c r="G85" s="18" t="n">
        <v>209.25</v>
      </c>
      <c r="H85" s="18" t="n">
        <v>528.96</v>
      </c>
      <c r="I85" s="18" t="n">
        <v>659.55</v>
      </c>
      <c r="J85" s="18" t="n">
        <v>730.92</v>
      </c>
      <c r="K85" s="34" t="n">
        <v>2128.68</v>
      </c>
      <c r="L85" s="18" t="n">
        <v>635.15</v>
      </c>
      <c r="M85" s="18" t="n">
        <v>1209.09</v>
      </c>
      <c r="N85" s="18" t="n">
        <v>2217.01</v>
      </c>
      <c r="O85" s="18" t="n">
        <v>783.8099999999999</v>
      </c>
      <c r="P85" s="34" t="n">
        <v>4845.06</v>
      </c>
      <c r="Q85" s="18" t="n">
        <v>595.59</v>
      </c>
      <c r="R85" s="18" t="n">
        <v>206.33</v>
      </c>
      <c r="S85" s="18" t="n">
        <v>308.53</v>
      </c>
      <c r="T85" s="18" t="n">
        <v>415.98</v>
      </c>
      <c r="U85" s="34" t="n">
        <v>1526.43</v>
      </c>
      <c r="V85" s="18" t="n">
        <v>11.14</v>
      </c>
      <c r="W85" s="18" t="n">
        <v>663.52</v>
      </c>
      <c r="X85" s="18" t="n">
        <v>528.62</v>
      </c>
      <c r="Y85" s="18" t="n">
        <v>1448.69</v>
      </c>
      <c r="Z85" s="34" t="n">
        <v>2651.97</v>
      </c>
      <c r="AA85" s="18" t="n">
        <v>232.58</v>
      </c>
      <c r="AB85" s="19" t="n">
        <v>106.3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0.7</v>
      </c>
      <c r="F86" s="9" t="n"/>
      <c r="G86" s="18" t="n">
        <v>261.82</v>
      </c>
      <c r="H86" s="18" t="n">
        <v>224.2</v>
      </c>
      <c r="I86" s="18" t="n">
        <v>13.63</v>
      </c>
      <c r="J86" s="18" t="n">
        <v>29.63</v>
      </c>
      <c r="K86" s="34" t="n">
        <v>529.28</v>
      </c>
      <c r="L86" s="18" t="n">
        <v>17.01</v>
      </c>
      <c r="M86" s="18" t="n">
        <v>350.82</v>
      </c>
      <c r="N86" s="18" t="n">
        <v>16.64</v>
      </c>
      <c r="O86" s="18" t="n">
        <v>2855.29</v>
      </c>
      <c r="P86" s="34" t="n">
        <v>3239.76</v>
      </c>
      <c r="Q86" s="18" t="n">
        <v>4.55</v>
      </c>
      <c r="R86" s="18" t="n">
        <v>0</v>
      </c>
      <c r="S86" s="18" t="n">
        <v>4.73</v>
      </c>
      <c r="T86" s="18" t="n">
        <v>0</v>
      </c>
      <c r="U86" s="34" t="n">
        <v>9.279999999999999</v>
      </c>
      <c r="V86" s="18" t="n">
        <v>143.34</v>
      </c>
      <c r="W86" s="18" t="n">
        <v>0</v>
      </c>
      <c r="X86" s="18" t="n">
        <v>2234.36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-7433.52</v>
      </c>
      <c r="F87" s="9" t="n"/>
      <c r="G87" s="18" t="n">
        <v>10581.18</v>
      </c>
      <c r="H87" s="18" t="n">
        <v>1275.86</v>
      </c>
      <c r="I87" s="18" t="n">
        <v>1170.91</v>
      </c>
      <c r="J87" s="18" t="n">
        <v>-947.83</v>
      </c>
      <c r="K87" s="34" t="n">
        <v>12080.12</v>
      </c>
      <c r="L87" s="18" t="n">
        <v>-6963.68</v>
      </c>
      <c r="M87" s="18" t="n">
        <v>-2511.58</v>
      </c>
      <c r="N87" s="18" t="n">
        <v>-12338.83</v>
      </c>
      <c r="O87" s="18" t="n">
        <v>-10182.59</v>
      </c>
      <c r="P87" s="34" t="n">
        <v>-31996.68</v>
      </c>
      <c r="Q87" s="18" t="n">
        <v>870.2</v>
      </c>
      <c r="R87" s="18" t="n">
        <v>-7508.03</v>
      </c>
      <c r="S87" s="18" t="n">
        <v>-4327.04</v>
      </c>
      <c r="T87" s="18" t="n">
        <v>-1764.65</v>
      </c>
      <c r="U87" s="34" t="n">
        <v>-12729.52</v>
      </c>
      <c r="V87" s="18" t="n">
        <v>-8829.4</v>
      </c>
      <c r="W87" s="18" t="n">
        <v>-15955.95</v>
      </c>
      <c r="X87" s="18" t="n">
        <v>-3717.59</v>
      </c>
      <c r="Y87" s="18" t="n">
        <v>23.73</v>
      </c>
      <c r="Z87" s="34" t="n">
        <v>-28479.21</v>
      </c>
      <c r="AA87" s="18" t="n">
        <v>-3065.49</v>
      </c>
      <c r="AB87" s="19" t="n">
        <v>-2628.08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19363.18</v>
      </c>
      <c r="F88" s="9" t="n"/>
      <c r="G88" s="18" t="n">
        <v>28319.17</v>
      </c>
      <c r="H88" s="18" t="n">
        <v>30135.12</v>
      </c>
      <c r="I88" s="18" t="n">
        <v>40081.76</v>
      </c>
      <c r="J88" s="18" t="n">
        <v>24856.99</v>
      </c>
      <c r="K88" s="34" t="n">
        <v>123393.04</v>
      </c>
      <c r="L88" s="18" t="n">
        <v>35583.45</v>
      </c>
      <c r="M88" s="18" t="n">
        <v>31812.81</v>
      </c>
      <c r="N88" s="18" t="n">
        <v>33491.87</v>
      </c>
      <c r="P88" s="9" t="n"/>
      <c r="Q88" s="18" t="n">
        <v>46519.49</v>
      </c>
      <c r="R88" s="18" t="n">
        <v>25903.68</v>
      </c>
      <c r="S88" s="18" t="n">
        <v>25150.09</v>
      </c>
      <c r="T88" s="18" t="n">
        <v>9197.84</v>
      </c>
      <c r="U88" s="34" t="n">
        <v>106771.1</v>
      </c>
      <c r="V88" s="18" t="n">
        <v>31081.56</v>
      </c>
      <c r="W88" s="18" t="n">
        <v>15595.48</v>
      </c>
      <c r="X88" s="18" t="n">
        <v>15708.1</v>
      </c>
      <c r="Y88" s="18" t="n">
        <v>7635.39</v>
      </c>
      <c r="Z88" s="34" t="n">
        <v>70020.53</v>
      </c>
      <c r="AA88" s="18" t="n">
        <v>12999.17</v>
      </c>
      <c r="AB88" s="19" t="n">
        <v>13837.93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J89" s="18" t="n">
        <v>0</v>
      </c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26745.67</v>
      </c>
      <c r="F90" s="9" t="n"/>
      <c r="G90" s="18" t="n">
        <v>24658.3</v>
      </c>
      <c r="H90" s="18" t="n">
        <v>26714.51</v>
      </c>
      <c r="I90" s="18" t="n">
        <v>43832.7</v>
      </c>
      <c r="J90" s="18" t="n">
        <v>22903.23</v>
      </c>
      <c r="K90" s="34" t="n">
        <v>118108.74</v>
      </c>
      <c r="L90" s="18" t="n">
        <v>42030.63</v>
      </c>
      <c r="M90" s="18" t="n">
        <v>31731.94</v>
      </c>
      <c r="N90" s="18" t="n">
        <v>35924.98</v>
      </c>
      <c r="P90" s="9" t="n"/>
      <c r="Q90" s="18" t="n">
        <v>43754.12</v>
      </c>
      <c r="R90" s="18" t="n">
        <v>30871.37</v>
      </c>
      <c r="S90" s="18" t="n">
        <v>28290</v>
      </c>
      <c r="T90" s="18" t="n">
        <v>10844.38</v>
      </c>
      <c r="U90" s="34" t="n">
        <v>113759.87</v>
      </c>
      <c r="V90" s="18" t="n">
        <v>39802.82</v>
      </c>
      <c r="W90" s="18" t="n">
        <v>31282</v>
      </c>
      <c r="X90" s="18" t="n">
        <v>19260.24</v>
      </c>
      <c r="Y90" s="18" t="n">
        <v>13655.29</v>
      </c>
      <c r="Z90" s="34" t="n">
        <v>104000.35</v>
      </c>
      <c r="AA90" s="18" t="n">
        <v>15926.44</v>
      </c>
      <c r="AB90" s="19" t="n">
        <v>16340.91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67.53</v>
      </c>
      <c r="F91" s="9" t="n"/>
      <c r="G91" s="18" t="n">
        <v>79.68000000000001</v>
      </c>
      <c r="H91" s="18" t="n">
        <v>193.26</v>
      </c>
      <c r="I91" s="18" t="n">
        <v>78.13</v>
      </c>
      <c r="J91" s="18" t="n">
        <v>87.63</v>
      </c>
      <c r="K91" s="34" t="n">
        <v>438.7</v>
      </c>
      <c r="L91" s="18" t="n">
        <v>79.19</v>
      </c>
      <c r="M91" s="18" t="n">
        <v>204.07</v>
      </c>
      <c r="N91" s="18" t="n">
        <v>89.26000000000001</v>
      </c>
      <c r="O91" s="18" t="n">
        <v>110.96</v>
      </c>
      <c r="P91" s="34" t="n">
        <v>483.48</v>
      </c>
      <c r="Q91" s="18" t="n">
        <v>99.03</v>
      </c>
      <c r="R91" s="18" t="n">
        <v>235.55</v>
      </c>
      <c r="S91" s="18" t="n">
        <v>132.45</v>
      </c>
      <c r="T91" s="18" t="n">
        <v>118.11</v>
      </c>
      <c r="U91" s="34" t="n">
        <v>585.14</v>
      </c>
      <c r="V91" s="18" t="n">
        <v>108.14</v>
      </c>
      <c r="W91" s="18" t="n">
        <v>269.42</v>
      </c>
      <c r="X91" s="18" t="n">
        <v>139.88</v>
      </c>
      <c r="Y91" s="18" t="n">
        <v>152.37</v>
      </c>
      <c r="Z91" s="34" t="n">
        <v>669.8099999999999</v>
      </c>
      <c r="AA91" s="18" t="n">
        <v>138.21</v>
      </c>
      <c r="AB91" s="19" t="n">
        <v>125.11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-3456.61</v>
      </c>
      <c r="F93" s="9" t="n"/>
      <c r="G93" s="18" t="n">
        <v>3688.93</v>
      </c>
      <c r="H93" s="18" t="n">
        <v>-1369.49</v>
      </c>
      <c r="I93" s="18" t="n">
        <v>-2331.79</v>
      </c>
      <c r="J93" s="18" t="n">
        <v>3625.88</v>
      </c>
      <c r="K93" s="34" t="n">
        <v>3613.53</v>
      </c>
      <c r="L93" s="18" t="n">
        <v>-2003.71</v>
      </c>
      <c r="M93" s="18" t="n">
        <v>3517.91</v>
      </c>
      <c r="N93" s="18" t="n">
        <v>-1599.99</v>
      </c>
      <c r="O93" s="18" t="n">
        <v>-78.31999999999999</v>
      </c>
      <c r="P93" s="34" t="n">
        <v>-164.11</v>
      </c>
      <c r="Q93" s="18" t="n">
        <v>1254.63</v>
      </c>
      <c r="R93" s="18" t="n">
        <v>-4431.26</v>
      </c>
      <c r="S93" s="18" t="n">
        <v>-1027.85</v>
      </c>
      <c r="T93" s="18" t="n">
        <v>2946.2</v>
      </c>
      <c r="U93" s="34" t="n">
        <v>-1258.28</v>
      </c>
      <c r="V93" s="18" t="n">
        <v>3045.54</v>
      </c>
      <c r="W93" s="18" t="n">
        <v>-1870.92</v>
      </c>
      <c r="X93" s="18" t="n">
        <v>-384.24</v>
      </c>
      <c r="Y93" s="18" t="n">
        <v>650.16</v>
      </c>
      <c r="Z93" s="34" t="n">
        <v>1440.54</v>
      </c>
      <c r="AA93" s="18" t="n">
        <v>-3419.38</v>
      </c>
      <c r="AB93" s="19" t="n">
        <v>-595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-3492.36</v>
      </c>
      <c r="F94" s="9" t="n"/>
      <c r="G94" s="18" t="n">
        <v>7012.23</v>
      </c>
      <c r="H94" s="18" t="n">
        <v>-1324.48</v>
      </c>
      <c r="I94" s="18" t="n">
        <v>-2336.12</v>
      </c>
      <c r="J94" s="18" t="n">
        <v>3493.77</v>
      </c>
      <c r="K94" s="34" t="n">
        <v>6845.4</v>
      </c>
      <c r="L94" s="18" t="n">
        <v>4845.63</v>
      </c>
      <c r="M94" s="18" t="n">
        <v>3585.91</v>
      </c>
      <c r="N94" s="18" t="n">
        <v>-1664.59</v>
      </c>
      <c r="O94" s="18" t="n">
        <v>-120.96</v>
      </c>
      <c r="P94" s="34" t="n">
        <v>6645.99</v>
      </c>
      <c r="Q94" s="18" t="n">
        <v>6439.27</v>
      </c>
      <c r="R94" s="18" t="n">
        <v>-2961.72</v>
      </c>
      <c r="S94" s="18" t="n">
        <v>-1046.45</v>
      </c>
      <c r="T94" s="18" t="n">
        <v>3018.53</v>
      </c>
      <c r="U94" s="34" t="n">
        <v>5449.63</v>
      </c>
      <c r="V94" s="18" t="n">
        <v>8557.639999999999</v>
      </c>
      <c r="W94" s="18" t="n">
        <v>-1999.02</v>
      </c>
      <c r="X94" s="18" t="n">
        <v>-292.43</v>
      </c>
      <c r="Y94" s="18" t="n">
        <v>533.27</v>
      </c>
      <c r="Z94" s="34" t="n">
        <v>6799.46</v>
      </c>
      <c r="AA94" s="18" t="n">
        <v>3460.11</v>
      </c>
      <c r="AB94" s="19" t="n">
        <v>-674.92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K95" s="9" t="n"/>
      <c r="P95" s="9" t="n"/>
      <c r="Q95" s="18" t="n">
        <v>753.65</v>
      </c>
      <c r="R95" s="18" t="n">
        <v>0</v>
      </c>
      <c r="S95" s="18" t="n">
        <v>0</v>
      </c>
      <c r="T95" s="18" t="n">
        <v>0</v>
      </c>
      <c r="U95" s="34" t="n">
        <v>753.65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0.0376</v>
      </c>
      <c r="F10" s="34" t="n"/>
      <c r="G10" s="18" t="n">
        <v>0.0152</v>
      </c>
      <c r="H10" s="18" t="n">
        <v>0.0169</v>
      </c>
      <c r="I10" s="18" t="n">
        <v>0.0102</v>
      </c>
      <c r="J10" s="18" t="n">
        <v>-0.0101</v>
      </c>
      <c r="K10" s="34">
        <f>SUM(G10:J10)</f>
        <v/>
      </c>
      <c r="L10" s="18" t="n">
        <v>-0.0229</v>
      </c>
      <c r="M10" s="18" t="n">
        <v>0.0178</v>
      </c>
      <c r="N10" s="18" t="n">
        <v>0.019</v>
      </c>
      <c r="O10" s="18" t="n">
        <v>-0.0075</v>
      </c>
      <c r="P10" s="34">
        <f>SUM(L10:O10)</f>
        <v/>
      </c>
      <c r="Q10" s="18" t="n">
        <v>0.031</v>
      </c>
      <c r="R10" s="18" t="n">
        <v>0.0216</v>
      </c>
      <c r="S10" s="18" t="n">
        <v>-0.0094</v>
      </c>
      <c r="T10" s="18" t="n">
        <v>-0.0221</v>
      </c>
      <c r="U10" s="34">
        <f>SUM(Q10:T10)</f>
        <v/>
      </c>
      <c r="V10" s="18" t="n">
        <v>-0.0142</v>
      </c>
      <c r="W10" s="18" t="n">
        <v>-0.0205</v>
      </c>
      <c r="X10" s="18" t="n">
        <v>-0.0634</v>
      </c>
      <c r="Y10" s="18" t="n">
        <v>-0.0232</v>
      </c>
      <c r="Z10" s="34">
        <f>SUM(V10:Y10)</f>
        <v/>
      </c>
      <c r="AA10" s="18" t="n">
        <v>-0.0149</v>
      </c>
      <c r="AB10" s="19" t="n">
        <v>0.0204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 t="n"/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 t="n"/>
      <c r="Z13" s="34">
        <f>SUM(V13:Y13)</f>
        <v/>
      </c>
      <c r="AA13" s="18">
        <f>IFERROR(VLOOKUP($D13,BS연결,MATCH(AA$1,BS연결H,0),0)/100,"")</f>
        <v/>
      </c>
      <c r="AB13" s="19" t="n"/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>
        <v>36.46</v>
      </c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/>
      <c r="P18" s="34">
        <f>SUM(L18:O18)</f>
        <v/>
      </c>
      <c r="Q18" s="18" t="n"/>
      <c r="R18" s="18" t="n"/>
      <c r="S18" s="18" t="n"/>
      <c r="T18" s="18" t="n">
        <v>-4.86</v>
      </c>
      <c r="U18" s="34">
        <f>SUM(Q18:T18)</f>
        <v/>
      </c>
      <c r="V18" s="18" t="n">
        <v>-1.56</v>
      </c>
      <c r="W18" s="18" t="n"/>
      <c r="X18" s="18" t="n"/>
      <c r="Y18" s="18" t="n">
        <v>0</v>
      </c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-26.76</v>
      </c>
      <c r="F28" s="34" t="n"/>
      <c r="G28" s="18" t="n">
        <v>-12.62</v>
      </c>
      <c r="H28" s="18" t="n">
        <v>-121.65</v>
      </c>
      <c r="I28" s="18" t="n">
        <v>24.42</v>
      </c>
      <c r="J28" s="18" t="n">
        <v>81.27</v>
      </c>
      <c r="K28" s="34">
        <f>SUM(G28:J28)</f>
        <v/>
      </c>
      <c r="L28" s="18" t="n">
        <v>-61.54</v>
      </c>
      <c r="M28" s="18" t="n">
        <v>201.09</v>
      </c>
      <c r="N28" s="18" t="n">
        <v>44.05</v>
      </c>
      <c r="O28" s="18" t="n">
        <v>62.19</v>
      </c>
      <c r="P28" s="34">
        <f>SUM(L28:O28)</f>
        <v/>
      </c>
      <c r="Q28" s="18" t="n">
        <v>-59.59</v>
      </c>
      <c r="R28" s="18" t="n">
        <v>122.72</v>
      </c>
      <c r="S28" s="18" t="n">
        <v>-192.96</v>
      </c>
      <c r="T28" s="18" t="n">
        <v>329.37</v>
      </c>
      <c r="U28" s="34">
        <f>SUM(Q28:T28)</f>
        <v/>
      </c>
      <c r="V28" s="18" t="n">
        <v>38.28</v>
      </c>
      <c r="W28" s="18" t="n">
        <v>373.29</v>
      </c>
      <c r="X28" s="18" t="n">
        <v>-0.34</v>
      </c>
      <c r="Y28" s="18" t="n">
        <v>3.01</v>
      </c>
      <c r="Z28" s="34">
        <f>SUM(V28:Y28)</f>
        <v/>
      </c>
      <c r="AA28" s="18" t="n">
        <v>-121.25</v>
      </c>
      <c r="AB28" s="19" t="n">
        <v>120.3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69.502</v>
      </c>
      <c r="F29" s="27">
        <f>E29</f>
        <v/>
      </c>
      <c r="G29" s="26" t="n">
        <v>69.502</v>
      </c>
      <c r="H29" s="26" t="n">
        <v>69.502</v>
      </c>
      <c r="I29" s="26" t="n">
        <v>69.502</v>
      </c>
      <c r="J29" s="26" t="n">
        <v>69.502</v>
      </c>
      <c r="K29" s="27">
        <f>J29</f>
        <v/>
      </c>
      <c r="L29" s="26" t="n">
        <v>69.502</v>
      </c>
      <c r="M29" s="26" t="n">
        <v>69.502</v>
      </c>
      <c r="N29" s="26" t="n">
        <v>69.502</v>
      </c>
      <c r="O29" s="26" t="n">
        <v>69.502</v>
      </c>
      <c r="P29" s="27">
        <f>O29</f>
        <v/>
      </c>
      <c r="Q29" s="26" t="n">
        <v>69.502</v>
      </c>
      <c r="R29" s="26" t="n">
        <v>68.17</v>
      </c>
      <c r="S29" s="26" t="n">
        <v>68.17</v>
      </c>
      <c r="T29" s="26" t="n">
        <v>68.17</v>
      </c>
      <c r="U29" s="27">
        <f>T29</f>
        <v/>
      </c>
      <c r="V29" s="26" t="n">
        <v>68.17</v>
      </c>
      <c r="W29" s="26" t="n">
        <v>68.17</v>
      </c>
      <c r="X29" s="26" t="n">
        <v>68.17</v>
      </c>
      <c r="Y29" s="26" t="n">
        <v>68.104</v>
      </c>
      <c r="Z29" s="27">
        <f>Y29</f>
        <v/>
      </c>
      <c r="AA29" s="26" t="n">
        <v>68.104</v>
      </c>
      <c r="AB29" s="28" t="n">
        <v>14.008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36.48</v>
      </c>
      <c r="J33" s="18" t="n"/>
      <c r="K33" s="34">
        <f>SUM(G33:J33)</f>
        <v/>
      </c>
      <c r="L33" s="18" t="n"/>
      <c r="M33" s="18" t="n"/>
      <c r="N33" s="18" t="n"/>
      <c r="O33" s="18" t="n"/>
      <c r="P33" s="34">
        <f>SUM(L33:O33)</f>
        <v/>
      </c>
      <c r="Q33" s="18" t="n"/>
      <c r="R33" s="18" t="n"/>
      <c r="S33" s="18" t="n"/>
      <c r="T33" s="18" t="n"/>
      <c r="U33" s="34">
        <f>SUM(Q33:T33)</f>
        <v/>
      </c>
      <c r="V33" s="18" t="n"/>
      <c r="W33" s="18" t="n"/>
      <c r="X33" s="18" t="n"/>
      <c r="Y33" s="18" t="n"/>
      <c r="Z33" s="34">
        <f>SUM(V33:Y33)</f>
        <v/>
      </c>
      <c r="AA33" s="18" t="n"/>
      <c r="AB33" s="19" t="n"/>
      <c r="AC33" s="20" t="n"/>
      <c r="AD33" s="20" t="n"/>
      <c r="AE33" s="35">
        <f>SUM(AA33:AD33)</f>
        <v/>
      </c>
      <c r="AF33" s="20" t="n"/>
      <c r="AG33" s="20" t="n"/>
      <c r="AH33" s="20" t="n"/>
      <c r="AI33" s="20" t="n"/>
      <c r="AJ33" s="35">
        <f>SUM(AF33:AI33)</f>
        <v/>
      </c>
      <c r="AK33" s="20" t="n"/>
      <c r="AL33" s="20" t="n"/>
      <c r="AM33" s="20" t="n"/>
      <c r="AN33" s="20" t="n"/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2.23</v>
      </c>
      <c r="F34" s="34" t="n">
        <v>2.21</v>
      </c>
      <c r="G34" s="18" t="n">
        <v>2.01</v>
      </c>
      <c r="H34" s="18" t="n">
        <v>1.93</v>
      </c>
      <c r="I34" s="18" t="n">
        <v>1.6</v>
      </c>
      <c r="J34" s="18" t="n">
        <v>1.46</v>
      </c>
      <c r="K34" s="34">
        <f>SUM(G34:J34)</f>
        <v/>
      </c>
      <c r="L34" s="18" t="n">
        <v>1.58</v>
      </c>
      <c r="M34" s="18" t="n">
        <v>1.56</v>
      </c>
      <c r="N34" s="18" t="n">
        <v>1.51</v>
      </c>
      <c r="O34" s="18" t="n">
        <v>1.02</v>
      </c>
      <c r="P34" s="34">
        <f>SUM(L34:O34)</f>
        <v/>
      </c>
      <c r="Q34" s="18" t="n">
        <v>0.96</v>
      </c>
      <c r="R34" s="18" t="n">
        <v>0.91</v>
      </c>
      <c r="S34" s="18" t="n">
        <v>0.89</v>
      </c>
      <c r="T34" s="18" t="n">
        <v>0.8</v>
      </c>
      <c r="U34" s="34">
        <f>SUM(Q34:T34)</f>
        <v/>
      </c>
      <c r="V34" s="18" t="n">
        <v>0.75</v>
      </c>
      <c r="W34" s="18" t="n">
        <v>1.01</v>
      </c>
      <c r="X34" s="18" t="n">
        <v>1.37</v>
      </c>
      <c r="Y34" s="18" t="n">
        <v>1.37</v>
      </c>
      <c r="Z34" s="34">
        <f>SUM(V34:Y34)</f>
        <v/>
      </c>
      <c r="AA34" s="18" t="n">
        <v>1.32</v>
      </c>
      <c r="AB34" s="19" t="n">
        <v>0.23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960.58</v>
      </c>
      <c r="F35" s="34" t="n"/>
      <c r="G35" s="18" t="n">
        <v>1145.8</v>
      </c>
      <c r="H35" s="18" t="n">
        <v>1208.24</v>
      </c>
      <c r="I35" s="18" t="n">
        <v>1677.22</v>
      </c>
      <c r="J35" s="18" t="n">
        <v>1242.42</v>
      </c>
      <c r="K35" s="34">
        <f>SUM(G35:J35)</f>
        <v/>
      </c>
      <c r="L35" s="18" t="n">
        <v>1231.72</v>
      </c>
      <c r="M35" s="18" t="n">
        <v>1327.06</v>
      </c>
      <c r="N35" s="18" t="n">
        <v>1338.8</v>
      </c>
      <c r="O35" s="18" t="n">
        <v>1102.52</v>
      </c>
      <c r="P35" s="34">
        <f>SUM(L35:O35)</f>
        <v/>
      </c>
      <c r="Q35" s="18" t="n">
        <v>1250.35</v>
      </c>
      <c r="R35" s="18" t="n">
        <v>1269.61</v>
      </c>
      <c r="S35" s="18" t="n">
        <v>1190.02</v>
      </c>
      <c r="T35" s="18" t="n">
        <v>1093.51</v>
      </c>
      <c r="U35" s="34">
        <f>SUM(Q35:T35)</f>
        <v/>
      </c>
      <c r="V35" s="18" t="n">
        <v>1109.85</v>
      </c>
      <c r="W35" s="18" t="n">
        <v>1162.82</v>
      </c>
      <c r="X35" s="18" t="n">
        <v>1098.95</v>
      </c>
      <c r="Y35" s="18" t="n">
        <v>963.22</v>
      </c>
      <c r="Z35" s="34">
        <f>SUM(V35:Y35)</f>
        <v/>
      </c>
      <c r="AA35" s="18" t="n">
        <v>964.25</v>
      </c>
      <c r="AB35" s="19" t="n">
        <v>1067.67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36.11</v>
      </c>
      <c r="F36" s="34" t="n"/>
      <c r="G36" s="18" t="n">
        <v>17.4</v>
      </c>
      <c r="H36" s="18" t="n">
        <v>20.4</v>
      </c>
      <c r="I36" s="18" t="n">
        <v>17.08</v>
      </c>
      <c r="J36" s="18" t="n">
        <v>-12.61</v>
      </c>
      <c r="K36" s="34">
        <f>SUM(G36:J36)</f>
        <v/>
      </c>
      <c r="L36" s="18" t="n">
        <v>-28.2</v>
      </c>
      <c r="M36" s="18" t="n">
        <v>23.57</v>
      </c>
      <c r="N36" s="18" t="n">
        <v>25.45</v>
      </c>
      <c r="O36" s="18" t="n">
        <v>-8.289999999999999</v>
      </c>
      <c r="P36" s="34">
        <f>SUM(L36:O36)</f>
        <v/>
      </c>
      <c r="Q36" s="18" t="n">
        <v>38.72</v>
      </c>
      <c r="R36" s="18" t="n">
        <v>27.44</v>
      </c>
      <c r="S36" s="18" t="n">
        <v>-11.21</v>
      </c>
      <c r="T36" s="18" t="n">
        <v>-24.22</v>
      </c>
      <c r="U36" s="34">
        <f>SUM(Q36:T36)</f>
        <v/>
      </c>
      <c r="V36" s="18" t="n">
        <v>-15.81</v>
      </c>
      <c r="W36" s="18" t="n">
        <v>-23.84</v>
      </c>
      <c r="X36" s="18" t="n">
        <v>-69.66</v>
      </c>
      <c r="Y36" s="18" t="n">
        <v>-22.38</v>
      </c>
      <c r="Z36" s="34">
        <f>SUM(V36:Y36)</f>
        <v/>
      </c>
      <c r="AA36" s="18" t="n">
        <v>-14.39</v>
      </c>
      <c r="AB36" s="19" t="n">
        <v>21.74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-991.4</v>
      </c>
    </row>
    <row r="30">
      <c r="C30" s="2" t="inlineStr">
        <is>
          <t>bps_latest</t>
        </is>
      </c>
      <c r="D30" t="n">
        <v>9785.9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0.21</v>
      </c>
    </row>
    <row r="33">
      <c r="C33" s="2" t="inlineStr">
        <is>
          <t>roe_fwd</t>
        </is>
      </c>
      <c r="D33" t="n">
        <v>-0.1013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