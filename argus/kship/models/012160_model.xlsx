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추정(실적 구간 갭필): 지배NI -116억 − (비영업손익 -237억 − 12분기 기준선 -33억) × (1 − 22.9%, 모델 세율(분기 유효세율이 0~35% 밖·세전 ≤ 0)) × 지배 비중 0.93(그 분기 지배NI/NI) = 30억 ÷ 유통주식수 — 일회성 여부·세효과는 주석 미확인(모델 추정); 보고 EPS -170.2원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실측(계정 매핑 없음(파생·부문·시세 행) — 모델값 직접) — = EPS(일회성 의심 없음)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44.4원(보고 -170.2원; 초과 비영업손익 -204억 × (1 − 세율 22.9%) × 지배 비중 0.93 = -146억 차감 — 추정, 조정EPS 행)</t>
        </is>
      </c>
    </row>
    <row r="34">
      <c r="A34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-0.045364107</v>
      </c>
      <c r="AD42" s="24" t="n">
        <v>-6.182432432</v>
      </c>
      <c r="AE42" s="25" t="n"/>
      <c r="AF42" s="24" t="n">
        <v>16.984732824</v>
      </c>
      <c r="AG42" s="24" t="n">
        <v>-88.172413793</v>
      </c>
      <c r="AH42" s="24" t="n">
        <v>0.066694456</v>
      </c>
      <c r="AI42" s="24" t="n">
        <v>0.074315515</v>
      </c>
      <c r="AJ42" s="25" t="n"/>
      <c r="AK42" s="24" t="n">
        <v>0.074278438</v>
      </c>
      <c r="AL42" s="24" t="n">
        <v>0.068433544</v>
      </c>
      <c r="AM42" s="24" t="n">
        <v>0.08167252799999999</v>
      </c>
      <c r="AN42" s="24" t="n">
        <v>0.08778317200000001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2200</v>
      </c>
      <c r="E46" s="2" t="inlineStr">
        <is>
          <t>원 — 네이버 정규장 종가(aik 확정종가 대조 · aik 2,105원)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1개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0.2291</v>
      </c>
      <c r="E53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0.07847519753849203</v>
      </c>
      <c r="E54" s="2" t="inlineStr">
        <is>
          <t>연결 — 판관비 = 매출액 × 판관비율(역산, 재현 오차 ≤ 0.05억 · 모델 assumptions 0.0785)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0.09303260255191062</v>
      </c>
      <c r="E56" s="2" t="inlineStr">
        <is>
          <t>연결 — 이자손익 = (전분기 이자발생자산 × 자산이자율 − 전분기 총차입금 × 부채이자율)/4(역산, 재현 오차 ≤ 0.05억 · 모델 assumptions 0.093)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0.05698268810235374</v>
      </c>
      <c r="E57" s="2" t="inlineStr">
        <is>
          <t>연결 — 같은 수식의 부채 쪽(총차입금 행이 없으면 0)(역산, 재현 오차 ≤ 0.05억 · 모델 assumptions 0.057)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7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7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7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7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Y39" s="18" t="n">
        <v>3161.72</v>
      </c>
      <c r="Z39" s="37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7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7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7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7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7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7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7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7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7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7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7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7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7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7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7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7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7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7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7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7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7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7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7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7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7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7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7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7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7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7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7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7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7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7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7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7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7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7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7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7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7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7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7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7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7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7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7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7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7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7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7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7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7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7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7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7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7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7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7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7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7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7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7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7" t="n">
        <v>186390.43</v>
      </c>
      <c r="V52" s="18" t="n">
        <v>176581.45</v>
      </c>
      <c r="W52" s="18" t="n">
        <v>145194.23</v>
      </c>
      <c r="X52" s="18" t="n">
        <v>142430.59</v>
      </c>
      <c r="Y52" s="18" t="n">
        <v>135856.67</v>
      </c>
      <c r="Z52" s="37" t="n">
        <v>135856.67</v>
      </c>
      <c r="AA52" s="18" t="n">
        <v>133943.07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7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7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7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7" t="n">
        <v>176438.23</v>
      </c>
      <c r="V53" s="18" t="n">
        <v>164277.89</v>
      </c>
      <c r="W53" s="18" t="n">
        <v>130807.78</v>
      </c>
      <c r="X53" s="18" t="n">
        <v>131231.26</v>
      </c>
      <c r="Y53" s="18" t="n">
        <v>124875.37</v>
      </c>
      <c r="Z53" s="37" t="n">
        <v>124875.37</v>
      </c>
      <c r="AA53" s="18" t="n">
        <v>125492.52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7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7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7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7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7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7" t="n">
        <v>2626.9</v>
      </c>
      <c r="M55" s="18" t="n">
        <v>4156.36</v>
      </c>
      <c r="N55" s="18" t="n">
        <v>4106.21</v>
      </c>
      <c r="O55" s="18" t="n">
        <v>22383.41</v>
      </c>
      <c r="P55" s="37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7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7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7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7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7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7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7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7" t="n">
        <v>139635.63</v>
      </c>
      <c r="T59" s="18" t="n">
        <v>143242.68</v>
      </c>
      <c r="U59" s="37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35700.62</v>
      </c>
      <c r="N60" s="18" t="n">
        <v>28203.59</v>
      </c>
      <c r="O60" s="18" t="n">
        <v>25039.89</v>
      </c>
      <c r="P60" s="37" t="n">
        <v>25039.89</v>
      </c>
      <c r="Q60" s="18" t="n">
        <v>17992.86</v>
      </c>
      <c r="R60" s="18" t="n">
        <v>10071.17</v>
      </c>
      <c r="S60" s="18" t="n">
        <v>8200.360000000001</v>
      </c>
      <c r="T60" s="18" t="n">
        <v>7416.94</v>
      </c>
      <c r="U60" s="37" t="n">
        <v>7416.94</v>
      </c>
      <c r="Y60" s="18" t="n">
        <v>2042.92</v>
      </c>
      <c r="Z60" s="37" t="n">
        <v>2042.92</v>
      </c>
      <c r="AB60" s="19" t="n">
        <v>1399.23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비유동리스부채</t>
        </is>
      </c>
      <c r="F61" s="9" t="n"/>
      <c r="K61" s="9" t="n"/>
      <c r="M61" s="18" t="n">
        <v>376.64</v>
      </c>
      <c r="N61" s="18" t="n">
        <v>565</v>
      </c>
      <c r="O61" s="18" t="n">
        <v>527.1900000000001</v>
      </c>
      <c r="P61" s="37" t="n">
        <v>527.1900000000001</v>
      </c>
      <c r="Q61" s="18" t="n">
        <v>1028.71</v>
      </c>
      <c r="R61" s="18" t="n">
        <v>814.12</v>
      </c>
      <c r="S61" s="18" t="n">
        <v>686.25</v>
      </c>
      <c r="T61" s="18" t="n">
        <v>651.5</v>
      </c>
      <c r="U61" s="37" t="n">
        <v>651.5</v>
      </c>
      <c r="Y61" s="18" t="n">
        <v>1070.62</v>
      </c>
      <c r="Z61" s="37" t="n">
        <v>1070.62</v>
      </c>
      <c r="AB61" s="19" t="n">
        <v>389.48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7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7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7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7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7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7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7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7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7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7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7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7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7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7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7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7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7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7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7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7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7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7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7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7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7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7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7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7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7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7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7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7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7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7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7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7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7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7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7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7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7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7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7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7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7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7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7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7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7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7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7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7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7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7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7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7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7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7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7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7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7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7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7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7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7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7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7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7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7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7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7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7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7" t="n">
        <v>2626.9</v>
      </c>
      <c r="M52" s="18" t="n">
        <v>6105.86</v>
      </c>
      <c r="N52" s="18" t="n">
        <v>6034.71</v>
      </c>
      <c r="O52" s="18" t="n">
        <v>5827.81</v>
      </c>
      <c r="P52" s="37" t="n">
        <v>5827.81</v>
      </c>
      <c r="S52" s="18" t="n">
        <v>10443.89</v>
      </c>
      <c r="T52" s="18" t="n">
        <v>14150.1</v>
      </c>
      <c r="U52" s="37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7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7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7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7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7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7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7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7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7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7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7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69.502</v>
      </c>
      <c r="F33" s="28">
        <f>E33</f>
        <v/>
      </c>
      <c r="G33" s="27" t="n">
        <v>69.502</v>
      </c>
      <c r="H33" s="27" t="n">
        <v>69.502</v>
      </c>
      <c r="I33" s="27" t="n">
        <v>69.502</v>
      </c>
      <c r="J33" s="27" t="n">
        <v>69.502</v>
      </c>
      <c r="K33" s="28">
        <f>J33</f>
        <v/>
      </c>
      <c r="L33" s="27" t="n">
        <v>69.502</v>
      </c>
      <c r="M33" s="27" t="n">
        <v>69.502</v>
      </c>
      <c r="N33" s="27" t="n">
        <v>69.502</v>
      </c>
      <c r="O33" s="27" t="n">
        <v>69.502</v>
      </c>
      <c r="P33" s="28">
        <f>O33</f>
        <v/>
      </c>
      <c r="Q33" s="27" t="n">
        <v>69.502</v>
      </c>
      <c r="R33" s="27" t="n">
        <v>68.17</v>
      </c>
      <c r="S33" s="27" t="n">
        <v>68.17</v>
      </c>
      <c r="T33" s="27" t="n">
        <v>68.17</v>
      </c>
      <c r="U33" s="28">
        <f>T33</f>
        <v/>
      </c>
      <c r="V33" s="27" t="n">
        <v>68.17</v>
      </c>
      <c r="W33" s="27" t="n">
        <v>68.17</v>
      </c>
      <c r="X33" s="27" t="n">
        <v>68.17</v>
      </c>
      <c r="Y33" s="27" t="n">
        <v>68.104</v>
      </c>
      <c r="Z33" s="28">
        <f>Y33</f>
        <v/>
      </c>
      <c r="AA33" s="27" t="n">
        <v>68.104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48.5</v>
      </c>
      <c r="F35" s="37" t="n"/>
      <c r="G35" s="18" t="n">
        <v>-5.9</v>
      </c>
      <c r="H35" s="18" t="n">
        <v>56.1</v>
      </c>
      <c r="I35" s="18" t="n">
        <v>11.3</v>
      </c>
      <c r="J35" s="18" t="n">
        <v>-66.3</v>
      </c>
      <c r="K35" s="37">
        <f>SUM(G35:J35)</f>
        <v/>
      </c>
      <c r="L35" s="18" t="n">
        <v>-20.8</v>
      </c>
      <c r="M35" s="18" t="n">
        <v>-29.2</v>
      </c>
      <c r="N35" s="18" t="n">
        <v>-10.8</v>
      </c>
      <c r="O35" s="18" t="n">
        <v>-31.3</v>
      </c>
      <c r="P35" s="37">
        <f>SUM(L35:O35)</f>
        <v/>
      </c>
      <c r="Q35" s="18" t="n">
        <v>35</v>
      </c>
      <c r="R35" s="18" t="n">
        <v>1.9</v>
      </c>
      <c r="S35" s="18" t="n">
        <v>-46</v>
      </c>
      <c r="T35" s="18" t="n">
        <v>-106.2</v>
      </c>
      <c r="U35" s="37">
        <f>SUM(Q35:T35)</f>
        <v/>
      </c>
      <c r="V35" s="18" t="n">
        <v>15.6</v>
      </c>
      <c r="W35" s="18" t="n">
        <v>-361.9</v>
      </c>
      <c r="X35" s="18" t="n">
        <v>-251.3</v>
      </c>
      <c r="Y35" s="20" t="n">
        <v>44.4</v>
      </c>
      <c r="Z35" s="37">
        <f>SUM(V35:Y35)</f>
        <v/>
      </c>
      <c r="AA35" s="18" t="n">
        <v>-13.1</v>
      </c>
      <c r="AB35" s="19" t="n">
        <v>2.9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IFERROR(변수!$D$46/AC36,"")</f>
        <v/>
      </c>
      <c r="AD39" s="39">
        <f>IFERROR(변수!$D$46/AD36,"")</f>
        <v/>
      </c>
      <c r="AE39" s="40">
        <f>AD39</f>
        <v/>
      </c>
      <c r="AF39" s="39">
        <f>IFERROR(변수!$D$46/AF36,"")</f>
        <v/>
      </c>
      <c r="AG39" s="39">
        <f>IFERROR(변수!$D$46/AG36,"")</f>
        <v/>
      </c>
      <c r="AH39" s="39">
        <f>IFERROR(변수!$D$46/AH36,"")</f>
        <v/>
      </c>
      <c r="AI39" s="39">
        <f>IFERROR(변수!$D$46/AI36,"")</f>
        <v/>
      </c>
      <c r="AJ39" s="40">
        <f>AI39</f>
        <v/>
      </c>
      <c r="AK39" s="39">
        <f>IFERROR(변수!$D$46/AK36,"")</f>
        <v/>
      </c>
      <c r="AL39" s="39">
        <f>IFERROR(변수!$D$46/AL36,"")</f>
        <v/>
      </c>
      <c r="AM39" s="39">
        <f>IFERROR(변수!$D$46/AM36,"")</f>
        <v/>
      </c>
      <c r="AN39" s="39">
        <f>IFERROR(변수!$D$46/AN36,"")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