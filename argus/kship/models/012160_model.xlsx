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모델값 역산(implied): v / 매출액
매출액 × 판관비율 7.85%(최근 4분기 중위)</t>
      </text>
    </comment>
    <comment ref="AD22" authorId="0" shapeId="0">
      <text>
        <t>모델값 역산(implied): v / 매출액
매출액 × 판관비율 7.85%(최근 4분기 중위)</t>
      </text>
    </comment>
    <comment ref="AF22" authorId="0" shapeId="0">
      <text>
        <t>모델값 역산(implied): v / 매출액
매출액 × 판관비율 7.85%(최근 4분기 중위)</t>
      </text>
    </comment>
    <comment ref="AG22" authorId="0" shapeId="0">
      <text>
        <t>모델값 역산(implied): v / 매출액
매출액 × 판관비율 7.85%(최근 4분기 중위)</t>
      </text>
    </comment>
    <comment ref="AH22" authorId="0" shapeId="0">
      <text>
        <t>모델값 역산(implied): v / 매출액
매출액 × 판관비율 7.85%(최근 4분기 중위)</t>
      </text>
    </comment>
    <comment ref="AI22" authorId="0" shapeId="0">
      <text>
        <t>모델값 역산(implied): v / 매출액
매출액 × 판관비율 7.85%(최근 4분기 중위)</t>
      </text>
    </comment>
    <comment ref="AK22" authorId="0" shapeId="0">
      <text>
        <t>모델값 역산(implied): v / 매출액
매출액 × 판관비율 7.85%(최근 4분기 중위)</t>
      </text>
    </comment>
    <comment ref="AL22" authorId="0" shapeId="0">
      <text>
        <t>모델값 역산(implied): v / 매출액
매출액 × 판관비율 7.85%(최근 4분기 중위)</t>
      </text>
    </comment>
    <comment ref="AM22" authorId="0" shapeId="0">
      <text>
        <t>모델값 역산(implied): v / 매출액
매출액 × 판관비율 7.85%(최근 4분기 중위)</t>
      </text>
    </comment>
    <comment ref="AN22" authorId="0" shapeId="0">
      <text>
        <t>모델값 역산(implied): v / 매출액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v / 전년동기 − 1
최근 8분기 OPM 중위 -1.8% 유지(클립 −20~40%)</t>
      </text>
    </comment>
    <comment ref="AD24" authorId="0" shapeId="0">
      <text>
        <t>모델값 역산(implied): v / 전년동기 − 1
최근 8분기 OPM 중위 -1.8% 유지(클립 −20~40%)</t>
      </text>
    </comment>
    <comment ref="AF24" authorId="0" shapeId="0">
      <text>
        <t>모델값 역산(implied): v / 전년동기 − 1
최근 8분기 OPM 중위 -1.8% 유지(클립 −20~40%)</t>
      </text>
    </comment>
    <comment ref="AG24" authorId="0" shapeId="0">
      <text>
        <t>모델값 역산(implied): v / 전년동기 − 1
최근 8분기 OPM 중위 -1.8% 유지(클립 −20~40%)</t>
      </text>
    </comment>
    <comment ref="AH24" authorId="0" shapeId="0">
      <text>
        <t>모델값 역산(implied): v / 전년동기 − 1
최근 8분기 OPM 중위 -1.8% 유지(클립 −20~40%)</t>
      </text>
    </comment>
    <comment ref="AI24" authorId="0" shapeId="0">
      <text>
        <t>모델값 역산(implied): v / 전년동기 − 1
최근 8분기 OPM 중위 -1.8% 유지(클립 −20~40%)</t>
      </text>
    </comment>
    <comment ref="AK24" authorId="0" shapeId="0">
      <text>
        <t>모델값 역산(implied): v / 전년동기 − 1
최근 8분기 OPM 중위 -1.8% 유지(클립 −20~40%)</t>
      </text>
    </comment>
    <comment ref="AL24" authorId="0" shapeId="0">
      <text>
        <t>모델값 역산(implied): v / 전년동기 − 1
최근 8분기 OPM 중위 -1.8% 유지(클립 −20~40%)</t>
      </text>
    </comment>
    <comment ref="AM24" authorId="0" shapeId="0">
      <text>
        <t>모델값 역산(implied): v / 전년동기 − 1
최근 8분기 OPM 중위 -1.8% 유지(클립 −20~40%)</t>
      </text>
    </comment>
    <comment ref="AN24" authorId="0" shapeId="0">
      <text>
        <t>모델값 역산(implied): v / 전년동기 − 1
최근 8분기 OPM 중위 -1.8% 유지(클립 −20~40%)</t>
      </text>
    </comment>
    <comment ref="AC25" authorId="0" shapeId="0">
      <text>
        <t>모델값 역산(implied): 모델 v 그대로
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1분기 &lt; 4 → 0) (항등식); 이자손익 = 이자발생자산 59억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1분기 &lt; 4 → 0) (항등식); 이자손익 = 이자발생자산 26억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1분기 &lt; 4 → 0) (항등식); 이자손익 = 이자발생자산 -8억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1분기 &lt; 4 → 0) (항등식); 이자손익 = 이자발생자산 -45억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1분기 &lt; 4 → 0) (항등식); 이자손익 = 이자발생자산 -82억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1분기 &lt; 4 → 0) (항등식); 이자손익 = 이자발생자산 -118억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1분기 &lt; 4 → 0) (항등식); 이자손익 = 이자발생자산 -154억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1분기 &lt; 4 → 0) (항등식); 이자손익 = 이자발생자산 -194억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1분기 &lt; 4 → 0) (항등식); 이자손익 = 이자발생자산 -234억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</t>
      </text>
    </comment>
    <comment ref="AC26" authorId="0" shapeId="0">
      <text>
        <t>모델값 역산(implied): 모델 v 그대로
이자발생자산 94억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D26" authorId="0" shapeId="0">
      <text>
        <t>모델값 역산(implied): 모델 v 그대로
이자발생자산 59억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F26" authorId="0" shapeId="0">
      <text>
        <t>모델값 역산(implied): 모델 v 그대로
이자발생자산 26억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G26" authorId="0" shapeId="0">
      <text>
        <t>모델값 역산(implied): 모델 v 그대로
이자발생자산 -8억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H26" authorId="0" shapeId="0">
      <text>
        <t>모델값 역산(implied): 모델 v 그대로
이자발생자산 -45억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I26" authorId="0" shapeId="0">
      <text>
        <t>모델값 역산(implied): 모델 v 그대로
이자발생자산 -82억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K26" authorId="0" shapeId="0">
      <text>
        <t>모델값 역산(implied): 모델 v 그대로
이자발생자산 -118억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L26" authorId="0" shapeId="0">
      <text>
        <t>모델값 역산(implied): 모델 v 그대로
이자발생자산 -154억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M26" authorId="0" shapeId="0">
      <text>
        <t>모델값 역산(implied): 모델 v 그대로
이자발생자산 -194억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N26" authorId="0" shapeId="0">
      <text>
        <t>모델값 역산(implied): 모델 v 그대로
이자발생자산 -234억 × 9.30%(CF 이자수취 ÷ 평균 이자발생자산(2025Q3~2026Q2; 주석 이자수익 1분기 &lt; 4)) − 총차입금 1234억 × 6.06%(CF 이자지급 ÷ 평균 총차입금(2025Q3~2026Q2; 주석 이자비용 1분기 &lt; 4))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G29" authorId="0" shapeId="0">
      <text>
        <t>모델값 역산(implied): v / 전년동기 − 1
잔차 실측 1분기 &lt; 4 → 0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32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-1.8% 유지(클립 −20~40%)
[yoy]</t>
      </text>
    </comment>
    <comment ref="AD10" authorId="0" shapeId="0">
      <text>
        <t>추정: 최근 8분기 OPM 중위 -1.8% 유지(클립 −20~40%)
[yoy]</t>
      </text>
    </comment>
    <comment ref="AF10" authorId="0" shapeId="0">
      <text>
        <t>추정: 최근 8분기 OPM 중위 -1.8% 유지(클립 −20~40%)
[yoy]</t>
      </text>
    </comment>
    <comment ref="AG10" authorId="0" shapeId="0">
      <text>
        <t>추정: 최근 8분기 OPM 중위 -1.8% 유지(클립 −20~40%)
[yoy]</t>
      </text>
    </comment>
    <comment ref="AH10" authorId="0" shapeId="0">
      <text>
        <t>추정: 최근 8분기 OPM 중위 -1.8% 유지(클립 −20~40%)
[yoy]</t>
      </text>
    </comment>
    <comment ref="AI10" authorId="0" shapeId="0">
      <text>
        <t>추정: 최근 8분기 OPM 중위 -1.8% 유지(클립 −20~40%)
[yoy]</t>
      </text>
    </comment>
    <comment ref="AK10" authorId="0" shapeId="0">
      <text>
        <t>추정: 최근 8분기 OPM 중위 -1.8% 유지(클립 −20~40%)
[yoy]</t>
      </text>
    </comment>
    <comment ref="AL10" authorId="0" shapeId="0">
      <text>
        <t>추정: 최근 8분기 OPM 중위 -1.8% 유지(클립 −20~40%)
[yoy]</t>
      </text>
    </comment>
    <comment ref="AM10" authorId="0" shapeId="0">
      <text>
        <t>추정: 최근 8분기 OPM 중위 -1.8% 유지(클립 −20~40%)
[yoy]</t>
      </text>
    </comment>
    <comment ref="AN10" authorId="0" shapeId="0">
      <text>
        <t>추정: 최근 8분기 OPM 중위 -1.8% 유지(클립 −20~40%)
[yoy]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59억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26억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-8억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-45억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-82억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-118억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-154억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-234억 × 9.30%(CF 이자수취 ÷ 평균 이자발생자산(2025Q3~2026Q2; 주석 이자수익 1분기 &lt; 4)) − 총차입금 1234억 × 6.06%(CF 이자지급 ÷ 평균 총차입금(2025Q3~2026Q2; 주석 이자비용 1분기 &lt; 4)) (연율) ÷ 4; 환율 효과는 환관련손익 행 별도
[abs]</t>
      </text>
    </comment>
    <comment ref="AC12" authorId="0" shapeId="0">
      <text>
        <t>추정: 이자발생자산 94억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D12" authorId="0" shapeId="0">
      <text>
        <t>추정: 이자발생자산 59억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F12" authorId="0" shapeId="0">
      <text>
        <t>추정: 이자발생자산 26억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G12" authorId="0" shapeId="0">
      <text>
        <t>추정: 이자발생자산 -8억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H12" authorId="0" shapeId="0">
      <text>
        <t>추정: 이자발생자산 -45억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I12" authorId="0" shapeId="0">
      <text>
        <t>추정: 이자발생자산 -82억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K12" authorId="0" shapeId="0">
      <text>
        <t>추정: 이자발생자산 -118억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L12" authorId="0" shapeId="0">
      <text>
        <t>추정: 이자발생자산 -154억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M12" authorId="0" shapeId="0">
      <text>
        <t>추정: 이자발생자산 -194억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AN12" authorId="0" shapeId="0">
      <text>
        <t>추정: 이자발생자산 -234억 × 9.30%(CF 이자수취 ÷ 평균 이자발생자산(2025Q3~2026Q2; 주석 이자수익 1분기 &lt; 4)) − 총차입금 1234억 × 6.06%(CF 이자지급 ÷ 평균 총차입금(2025Q3~2026Q2; 주석 이자비용 1분기 &lt; 4))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1분기 &lt; 4 → 0</t>
      </text>
    </comment>
    <comment ref="AD15" authorId="0" shapeId="0">
      <text>
        <t>추정(가정 셀 참조 불가 — 기준값 없음, 모델값 직접): 잔차 실측 1분기 &lt; 4 → 0</t>
      </text>
    </comment>
    <comment ref="AF15" authorId="0" shapeId="0">
      <text>
        <t>추정(가정 셀 참조 불가 — 기준값 없음, 모델값 직접): 잔차 실측 1분기 &lt; 4 → 0</t>
      </text>
    </comment>
    <comment ref="AG15" authorId="0" shapeId="0">
      <text>
        <t>추정: 잔차 실측 1분기 &lt; 4 → 0
[yoy]</t>
      </text>
    </comment>
    <comment ref="AH15" authorId="0" shapeId="0">
      <text>
        <t>추정(가정 셀 참조 불가 — 기준값 없음, 모델값 직접): 잔차 실측 1분기 &lt; 4 → 0</t>
      </text>
    </comment>
    <comment ref="AI15" authorId="0" shapeId="0">
      <text>
        <t>추정(가정 셀 참조 불가 — 기준값 없음, 모델값 직접): 잔차 실측 1분기 &lt; 4 → 0</t>
      </text>
    </comment>
    <comment ref="AK15" authorId="0" shapeId="0">
      <text>
        <t>추정(가정 셀 참조 불가 — 기준값 없음, 모델값 직접): 잔차 실측 1분기 &lt; 4 → 0</t>
      </text>
    </comment>
    <comment ref="AL15" authorId="0" shapeId="0">
      <text>
        <t>추정(가정 셀 참조 불가 — 기준값 없음, 모델값 직접): 잔차 실측 1분기 &lt; 4 → 0</t>
      </text>
    </comment>
    <comment ref="AM15" authorId="0" shapeId="0">
      <text>
        <t>추정(가정 셀 참조 불가 — 기준값 없음, 모델값 직접): 잔차 실측 1분기 &lt; 4 → 0</t>
      </text>
    </comment>
    <comment ref="AN15" authorId="0" shapeId="0">
      <text>
        <t>추정(가정 셀 참조 불가 — 기준값 없음, 모델값 직접): 잔차 실측 1분기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E22" authorId="0" shapeId="0">
      <text>
        <t>실측(계정 매핑 없음 — 모델값 직접) — fin.cons.is.중단사업이익</t>
      </text>
    </comment>
    <comment ref="T22" authorId="0" shapeId="0">
      <text>
        <t>실측(계정 매핑 없음 — 모델값 직접) — fin.cons.is.중단사업이익</t>
      </text>
    </comment>
    <comment ref="V22" authorId="0" shapeId="0">
      <text>
        <t>실측(계정 매핑 없음 — 모델값 직접) — fin.cons.is.중단사업이익</t>
      </text>
    </comment>
    <comment ref="Y22" authorId="0" shapeId="0">
      <text>
        <t>실측(계정 매핑 없음 — 모델값 직접) — fin.cons.is.중단사업이익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I37" authorId="0" shapeId="0">
      <text>
        <t>실측(계정 매핑 없음 — 모델값 직접) — 토스 일봉 분기 평균 ÷ TTM EPS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33억) → 지배NI -116억·EPS·FY2025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2253.3</v>
      </c>
      <c r="AC18" s="20" t="n">
        <v>2271.6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-0.101419</v>
      </c>
      <c r="AD21" s="24" t="n">
        <v>-0.10142</v>
      </c>
      <c r="AE21" s="25" t="n"/>
      <c r="AF21" s="24" t="n">
        <v>-0.101427</v>
      </c>
      <c r="AG21" s="24" t="n">
        <v>-0.101425</v>
      </c>
      <c r="AH21" s="24" t="n">
        <v>-0.050714</v>
      </c>
      <c r="AI21" s="24" t="n">
        <v>-0.05072</v>
      </c>
      <c r="AJ21" s="25" t="n"/>
      <c r="AK21" s="24" t="n">
        <v>-0.050701</v>
      </c>
      <c r="AL21" s="24" t="n">
        <v>-0.05071</v>
      </c>
      <c r="AM21" s="24" t="n">
        <v>-0.025357</v>
      </c>
      <c r="AN21" s="24" t="n">
        <v>-0.025352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0.078471</v>
      </c>
      <c r="AD22" s="24" t="n">
        <v>0.078472</v>
      </c>
      <c r="AE22" s="25">
        <f>IFERROR(subQ!AE8/subQ!AE5,"")</f>
        <v/>
      </c>
      <c r="AF22" s="24" t="n">
        <v>0.078481</v>
      </c>
      <c r="AG22" s="24" t="n">
        <v>0.07847800000000001</v>
      </c>
      <c r="AH22" s="24" t="n">
        <v>0.078471</v>
      </c>
      <c r="AI22" s="24" t="n">
        <v>0.07847800000000001</v>
      </c>
      <c r="AJ22" s="25">
        <f>IFERROR(subQ!AJ8/subQ!AJ5,"")</f>
        <v/>
      </c>
      <c r="AK22" s="24" t="n">
        <v>0.07847800000000001</v>
      </c>
      <c r="AL22" s="24" t="n">
        <v>0.078476</v>
      </c>
      <c r="AM22" s="24" t="n">
        <v>0.078476</v>
      </c>
      <c r="AN22" s="24" t="n">
        <v>0.078472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</v>
      </c>
      <c r="AD23" s="24" t="n">
        <v>-0.017712</v>
      </c>
      <c r="AE23" s="25">
        <f>IFERROR(subQ!AE9/subQ!AE5,"")</f>
        <v/>
      </c>
      <c r="AF23" s="24" t="n">
        <v>-0.017716</v>
      </c>
      <c r="AG23" s="24" t="n">
        <v>-0.017709</v>
      </c>
      <c r="AH23" s="24" t="n">
        <v>-0.017708</v>
      </c>
      <c r="AI23" s="24" t="n">
        <v>-0.017709</v>
      </c>
      <c r="AJ23" s="25">
        <f>IFERROR(subQ!AJ9/subQ!AJ5,"")</f>
        <v/>
      </c>
      <c r="AK23" s="24" t="n">
        <v>-0.017714</v>
      </c>
      <c r="AL23" s="24" t="n">
        <v>-0.017711</v>
      </c>
      <c r="AM23" s="24" t="n">
        <v>-0.017709</v>
      </c>
      <c r="AN23" s="24" t="n">
        <v>-0.017707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-0.72082</v>
      </c>
      <c r="AD24" s="24" t="n">
        <v>-0.237069</v>
      </c>
      <c r="AE24" s="25" t="n"/>
      <c r="AF24" s="24" t="n">
        <v>0.187919</v>
      </c>
      <c r="AG24" s="24" t="n">
        <v>-1.867647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-16.5</v>
      </c>
      <c r="AD25" s="29" t="n">
        <v>-17.31</v>
      </c>
      <c r="AE25" s="30">
        <f>subQ!AE11</f>
        <v/>
      </c>
      <c r="AF25" s="29" t="n">
        <v>-18.08</v>
      </c>
      <c r="AG25" s="29" t="n">
        <v>-18.88</v>
      </c>
      <c r="AH25" s="29" t="n">
        <v>-19.73</v>
      </c>
      <c r="AI25" s="29" t="n">
        <v>-20.59</v>
      </c>
      <c r="AJ25" s="30">
        <f>subQ!AJ11</f>
        <v/>
      </c>
      <c r="AK25" s="29" t="n">
        <v>-21.43</v>
      </c>
      <c r="AL25" s="29" t="n">
        <v>-22.28</v>
      </c>
      <c r="AM25" s="29" t="n">
        <v>-23.19</v>
      </c>
      <c r="AN25" s="29" t="n">
        <v>-24.12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-16.5</v>
      </c>
      <c r="AD26" s="29" t="n">
        <v>-17.31</v>
      </c>
      <c r="AE26" s="30">
        <f>subQ!AE12</f>
        <v/>
      </c>
      <c r="AF26" s="29" t="n">
        <v>-18.08</v>
      </c>
      <c r="AG26" s="29" t="n">
        <v>-18.88</v>
      </c>
      <c r="AH26" s="29" t="n">
        <v>-19.73</v>
      </c>
      <c r="AI26" s="29" t="n">
        <v>-20.59</v>
      </c>
      <c r="AJ26" s="30">
        <f>subQ!AJ12</f>
        <v/>
      </c>
      <c r="AK26" s="29" t="n">
        <v>-21.43</v>
      </c>
      <c r="AL26" s="29" t="n">
        <v>-22.28</v>
      </c>
      <c r="AM26" s="29" t="n">
        <v>-23.19</v>
      </c>
      <c r="AN26" s="29" t="n">
        <v>-24.12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31" t="n"/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-0.74</v>
      </c>
      <c r="AD31" s="29" t="n">
        <v>-0.74</v>
      </c>
      <c r="AE31" s="30">
        <f>subQ!AE17</f>
        <v/>
      </c>
      <c r="AF31" s="29" t="n">
        <v>-0.74</v>
      </c>
      <c r="AG31" s="29" t="n">
        <v>-0.74</v>
      </c>
      <c r="AH31" s="29" t="n">
        <v>-0.74</v>
      </c>
      <c r="AI31" s="29" t="n">
        <v>-0.74</v>
      </c>
      <c r="AJ31" s="30">
        <f>subQ!AJ17</f>
        <v/>
      </c>
      <c r="AK31" s="29" t="n">
        <v>-0.74</v>
      </c>
      <c r="AL31" s="29" t="n">
        <v>-0.74</v>
      </c>
      <c r="AM31" s="29" t="n">
        <v>-0.74</v>
      </c>
      <c r="AN31" s="29" t="n">
        <v>-0.74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-0</v>
      </c>
      <c r="AD32" s="24" t="n">
        <v>-0</v>
      </c>
      <c r="AE32" s="25">
        <f>IFERROR(subQ!AE19/subQ!AE18,"")</f>
        <v/>
      </c>
      <c r="AF32" s="24" t="n">
        <v>-0</v>
      </c>
      <c r="AG32" s="24" t="n">
        <v>-0</v>
      </c>
      <c r="AH32" s="24" t="n">
        <v>-0</v>
      </c>
      <c r="AI32" s="24" t="n">
        <v>-0</v>
      </c>
      <c r="AJ32" s="25">
        <f>IFERROR(subQ!AJ19/subQ!AJ18,"")</f>
        <v/>
      </c>
      <c r="AK32" s="24" t="n">
        <v>-0</v>
      </c>
      <c r="AL32" s="24" t="n">
        <v>-0</v>
      </c>
      <c r="AM32" s="24" t="n">
        <v>-0</v>
      </c>
      <c r="AN32" s="24" t="n">
        <v>-0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1e-06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-0.0019</v>
      </c>
      <c r="AD36" s="29" t="n">
        <v>-0</v>
      </c>
      <c r="AE36" s="30" t="n"/>
      <c r="AF36" s="29" t="n">
        <v>-0.01</v>
      </c>
      <c r="AG36" s="29" t="n">
        <v>0</v>
      </c>
      <c r="AH36" s="29" t="n">
        <v>0</v>
      </c>
      <c r="AI36" s="29" t="n">
        <v>-0</v>
      </c>
      <c r="AJ36" s="30" t="n"/>
      <c r="AK36" s="29" t="n">
        <v>0.01</v>
      </c>
      <c r="AL36" s="29" t="n">
        <v>0</v>
      </c>
      <c r="AM36" s="29" t="n">
        <v>0</v>
      </c>
      <c r="AN36" s="29" t="n">
        <v>-0.01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IFERROR(subQ!E26+subQ!G21-subQ!G26,"")</f>
        <v/>
      </c>
      <c r="H37" s="26">
        <f>IFERROR(subQ!G26+subQ!H21-subQ!H26,"")</f>
        <v/>
      </c>
      <c r="I37" s="26">
        <f>IFERROR(subQ!H26+subQ!I21-subQ!I26,"")</f>
        <v/>
      </c>
      <c r="J37" s="26">
        <f>IFERROR(subQ!I26+subQ!J21-subQ!J26,"")</f>
        <v/>
      </c>
      <c r="K37" s="27" t="n"/>
      <c r="L37" s="26">
        <f>IFERROR(subQ!J26+subQ!L21-subQ!L26,"")</f>
        <v/>
      </c>
      <c r="M37" s="26">
        <f>IFERROR(subQ!L26+subQ!M21-subQ!M26,"")</f>
        <v/>
      </c>
      <c r="N37" s="26">
        <f>IFERROR(subQ!M26+subQ!N21-subQ!N26,"")</f>
        <v/>
      </c>
      <c r="O37" s="26">
        <f>IFERROR(subQ!N26+subQ!O21-subQ!O26,"")</f>
        <v/>
      </c>
      <c r="P37" s="27" t="n"/>
      <c r="Q37" s="26">
        <f>IFERROR(subQ!O26+subQ!Q21-subQ!Q26,"")</f>
        <v/>
      </c>
      <c r="R37" s="26">
        <f>IFERROR(subQ!Q26+subQ!R21-subQ!R26,"")</f>
        <v/>
      </c>
      <c r="S37" s="26">
        <f>IFERROR(subQ!R26+subQ!S21-subQ!S26,"")</f>
        <v/>
      </c>
      <c r="T37" s="26">
        <f>IFERROR(subQ!S26+subQ!T21-subQ!T26,"")</f>
        <v/>
      </c>
      <c r="U37" s="27" t="n"/>
      <c r="V37" s="26">
        <f>IFERROR(subQ!T26+subQ!V21-subQ!V26,"")</f>
        <v/>
      </c>
      <c r="W37" s="26">
        <f>IFERROR(subQ!V26+subQ!W21-subQ!W26,"")</f>
        <v/>
      </c>
      <c r="X37" s="26">
        <f>IFERROR(subQ!W26+subQ!X21-subQ!X26,"")</f>
        <v/>
      </c>
      <c r="Y37" s="26">
        <f>IFERROR(subQ!X26+subQ!Y21-subQ!Y26,"")</f>
        <v/>
      </c>
      <c r="Z37" s="27" t="n"/>
      <c r="AA37" s="26">
        <f>IFERROR(subQ!Y26+subQ!AA21-subQ!AA26,"")</f>
        <v/>
      </c>
      <c r="AB37" s="28">
        <f>IFERROR(subQ!AA26+subQ!AB21-subQ!AB26,"")</f>
        <v/>
      </c>
      <c r="AC37" s="29" t="n">
        <v>0.0004</v>
      </c>
      <c r="AD37" s="29" t="n">
        <v>-0.01</v>
      </c>
      <c r="AE37" s="30" t="n"/>
      <c r="AF37" s="29" t="n">
        <v>0</v>
      </c>
      <c r="AG37" s="29" t="n">
        <v>0</v>
      </c>
      <c r="AH37" s="29" t="n">
        <v>0</v>
      </c>
      <c r="AI37" s="29" t="n">
        <v>-0</v>
      </c>
      <c r="AJ37" s="30" t="n"/>
      <c r="AK37" s="29" t="n">
        <v>0</v>
      </c>
      <c r="AL37" s="29" t="n">
        <v>0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2e-06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0.02982</v>
      </c>
      <c r="AD39" s="24" t="n">
        <v>0.027823</v>
      </c>
      <c r="AE39" s="25" t="n"/>
      <c r="AF39" s="24" t="n">
        <v>0.027719</v>
      </c>
      <c r="AG39" s="24" t="n">
        <v>0.028897</v>
      </c>
      <c r="AH39" s="24" t="n">
        <v>0.028438</v>
      </c>
      <c r="AI39" s="24" t="n">
        <v>0.026764</v>
      </c>
      <c r="AJ39" s="25" t="n"/>
      <c r="AK39" s="24" t="n">
        <v>0.026684</v>
      </c>
      <c r="AL39" s="24" t="n">
        <v>0.027703</v>
      </c>
      <c r="AM39" s="24" t="n">
        <v>0.027617</v>
      </c>
      <c r="AN39" s="24" t="n">
        <v>0.026165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-0.368844</v>
      </c>
      <c r="AD40" s="24" t="n">
        <v>-0.561501</v>
      </c>
      <c r="AE40" s="25" t="n"/>
      <c r="AF40" s="24" t="n">
        <v>-1.311205</v>
      </c>
      <c r="AG40" s="24" t="n">
        <v>4.51418</v>
      </c>
      <c r="AH40" s="24" t="n">
        <v>0.828936</v>
      </c>
      <c r="AI40" s="24" t="n">
        <v>0.438684</v>
      </c>
      <c r="AJ40" s="25" t="n"/>
      <c r="AK40" s="24" t="n">
        <v>0.312144</v>
      </c>
      <c r="AL40" s="24" t="n">
        <v>0.253562</v>
      </c>
      <c r="AM40" s="24" t="n">
        <v>0.207233</v>
      </c>
      <c r="AN40" s="24" t="n">
        <v>0.167123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31" t="n"/>
      <c r="AD46" s="31" t="n"/>
      <c r="AE46" s="25" t="n"/>
      <c r="AF46" s="31" t="n"/>
      <c r="AG46" s="31" t="n"/>
      <c r="AH46" s="31" t="n"/>
      <c r="AI46" s="31" t="n"/>
      <c r="AJ46" s="25" t="n"/>
      <c r="AK46" s="31" t="n"/>
      <c r="AL46" s="31" t="n"/>
      <c r="AM46" s="31" t="n"/>
      <c r="AN46" s="31" t="n"/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-0.8394160000000001</v>
      </c>
      <c r="AD47" s="24" t="n">
        <v>-0.8394160000000001</v>
      </c>
      <c r="AE47" s="25" t="n"/>
      <c r="AF47" s="24" t="n">
        <v>-0.825758</v>
      </c>
      <c r="AG47" s="24" t="n">
        <v>0</v>
      </c>
      <c r="AH47" s="24" t="n">
        <v>0.090909</v>
      </c>
      <c r="AI47" s="24" t="n">
        <v>0.136364</v>
      </c>
      <c r="AJ47" s="25" t="n"/>
      <c r="AK47" s="24" t="n">
        <v>0.130435</v>
      </c>
      <c r="AL47" s="24" t="n">
        <v>0.173913</v>
      </c>
      <c r="AM47" s="24" t="n">
        <v>0.166667</v>
      </c>
      <c r="AN47" s="24" t="n">
        <v>0.16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-0.017711</v>
      </c>
      <c r="AD49" s="24" t="n">
        <v>-0.017712</v>
      </c>
      <c r="AE49" s="25">
        <f>IFERROR(subQ!AE40/subQ!AE39,"")</f>
        <v/>
      </c>
      <c r="AF49" s="24" t="n">
        <v>-0.017716</v>
      </c>
      <c r="AG49" s="24" t="n">
        <v>-0.017709</v>
      </c>
      <c r="AH49" s="24" t="n">
        <v>-0.017708</v>
      </c>
      <c r="AI49" s="24" t="n">
        <v>-0.017709</v>
      </c>
      <c r="AJ49" s="25">
        <f>IFERROR(subQ!AJ40/subQ!AJ39,"")</f>
        <v/>
      </c>
      <c r="AK49" s="24" t="n">
        <v>-0.017714</v>
      </c>
      <c r="AL49" s="24" t="n">
        <v>-0.017711</v>
      </c>
      <c r="AM49" s="24" t="n">
        <v>-0.017709</v>
      </c>
      <c r="AN49" s="24" t="n">
        <v>-0.017707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2055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양(+)EPS 분기 1개 &lt; 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0.2291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0.0785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/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4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4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4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4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4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4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4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4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4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4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4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4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4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4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4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4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4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4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4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4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4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4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4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4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4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4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4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4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4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4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4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4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4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4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4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4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4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4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4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4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4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4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4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4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4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4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4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4" t="n">
        <v>39.9</v>
      </c>
      <c r="Q14" s="18" t="n">
        <v>19.95</v>
      </c>
      <c r="U14" s="9" t="n"/>
      <c r="Y14" s="18" t="n">
        <v>1921.1</v>
      </c>
      <c r="Z14" s="34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4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4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4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4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4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4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4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4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4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4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4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4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4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4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4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4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4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4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4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4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4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4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4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4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4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4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4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4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4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4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4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4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4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4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4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4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4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4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4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4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4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4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4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4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4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4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4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4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4" t="n">
        <v>139635.63</v>
      </c>
      <c r="Q25" s="18" t="n">
        <v>157505.16</v>
      </c>
      <c r="R25" s="18" t="n">
        <v>161240.51</v>
      </c>
      <c r="S25" s="18" t="n">
        <v>158662.39</v>
      </c>
      <c r="T25" s="18" t="n">
        <v>143242.68</v>
      </c>
      <c r="U25" s="34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4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4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4" t="n">
        <v>27062.47</v>
      </c>
      <c r="L26" s="18" t="n">
        <v>25903.52</v>
      </c>
      <c r="M26" s="18" t="n">
        <v>20868.81</v>
      </c>
      <c r="N26" s="18" t="n">
        <v>12462.14</v>
      </c>
      <c r="O26" s="18" t="n">
        <v>14106.92</v>
      </c>
      <c r="P26" s="34" t="n">
        <v>14106.92</v>
      </c>
      <c r="Q26" s="18" t="n">
        <v>12636.98</v>
      </c>
      <c r="R26" s="18" t="n">
        <v>11065.44</v>
      </c>
      <c r="S26" s="18" t="n">
        <v>9492.639999999999</v>
      </c>
      <c r="T26" s="18" t="n">
        <v>9730.809999999999</v>
      </c>
      <c r="U26" s="34" t="n">
        <v>9730.809999999999</v>
      </c>
      <c r="V26" s="18" t="n">
        <v>572.6</v>
      </c>
      <c r="Y26" s="18" t="n">
        <v>10484.18</v>
      </c>
      <c r="Z26" s="34" t="n">
        <v>10484.18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4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4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4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4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4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4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4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4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4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4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4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4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4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4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4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4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4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4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4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4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4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4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4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4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4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4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4" t="n">
        <v>4.67</v>
      </c>
      <c r="R32" s="18" t="n">
        <v>824.05</v>
      </c>
      <c r="S32" s="18" t="n">
        <v>156.2</v>
      </c>
      <c r="T32" s="18" t="n">
        <v>392.84</v>
      </c>
      <c r="U32" s="34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4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4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4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4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4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4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4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4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4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4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4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4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4" t="n">
        <v>1505.18</v>
      </c>
      <c r="L35" s="18" t="n">
        <v>1464.32</v>
      </c>
      <c r="O35" s="18" t="n">
        <v>1334.13</v>
      </c>
      <c r="P35" s="34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4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4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4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4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4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4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4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4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4" t="n">
        <v>30000</v>
      </c>
      <c r="L37" s="18" t="n">
        <v>30000</v>
      </c>
      <c r="M37" s="18" t="n">
        <v>10000</v>
      </c>
      <c r="O37" s="18" t="n">
        <v>10000</v>
      </c>
      <c r="P37" s="34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4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4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4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4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4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4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4" t="n">
        <v>651.5</v>
      </c>
      <c r="Y39" s="18" t="n">
        <v>3161.72</v>
      </c>
      <c r="Z39" s="34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4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4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4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4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4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4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4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4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4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4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4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4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4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4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4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4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4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4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4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4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4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4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4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4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4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4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4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4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4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4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4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4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4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4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4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4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4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4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4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4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4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4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4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4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4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4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4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4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4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4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4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4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4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4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4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4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4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4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4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4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4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4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4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4" t="n">
        <v>186390.43</v>
      </c>
      <c r="V52" s="18" t="n">
        <v>166581.45</v>
      </c>
      <c r="W52" s="18" t="n">
        <v>129194.23</v>
      </c>
      <c r="X52" s="18" t="n">
        <v>126430.59</v>
      </c>
      <c r="Y52" s="18" t="n">
        <v>135856.67</v>
      </c>
      <c r="Z52" s="34" t="n">
        <v>135856.67</v>
      </c>
      <c r="AA52" s="18" t="n">
        <v>117943.07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4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4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4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4" t="n">
        <v>176438.23</v>
      </c>
      <c r="V53" s="18" t="n">
        <v>154277.89</v>
      </c>
      <c r="W53" s="18" t="n">
        <v>114807.78</v>
      </c>
      <c r="X53" s="18" t="n">
        <v>115231.26</v>
      </c>
      <c r="Y53" s="18" t="n">
        <v>124875.37</v>
      </c>
      <c r="Z53" s="34" t="n">
        <v>124875.37</v>
      </c>
      <c r="AA53" s="18" t="n">
        <v>109492.52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4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4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4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4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4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4" t="n">
        <v>2626.9</v>
      </c>
      <c r="M55" s="18" t="n">
        <v>4156.36</v>
      </c>
      <c r="N55" s="18" t="n">
        <v>4106.21</v>
      </c>
      <c r="O55" s="18" t="n">
        <v>22383.41</v>
      </c>
      <c r="P55" s="34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4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4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4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4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4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4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4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4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4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4" t="n">
        <v>139635.63</v>
      </c>
      <c r="Q59" s="18" t="n">
        <v>157505.16</v>
      </c>
      <c r="R59" s="18" t="n">
        <v>161240.51</v>
      </c>
      <c r="S59" s="18" t="n">
        <v>158662.39</v>
      </c>
      <c r="T59" s="18" t="n">
        <v>143242.68</v>
      </c>
      <c r="U59" s="34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단기사채</t>
        </is>
      </c>
      <c r="F60" s="9" t="n"/>
      <c r="K60" s="9" t="n"/>
      <c r="M60" s="18" t="n">
        <v>20000</v>
      </c>
      <c r="N60" s="18" t="n">
        <v>20000</v>
      </c>
      <c r="O60" s="18" t="n">
        <v>20000</v>
      </c>
      <c r="P60" s="34" t="n">
        <v>20000</v>
      </c>
      <c r="Q60" s="18" t="n">
        <v>20000</v>
      </c>
      <c r="R60" s="18" t="n">
        <v>10000</v>
      </c>
      <c r="S60" s="18" t="n">
        <v>10000</v>
      </c>
      <c r="T60" s="18" t="n">
        <v>10000</v>
      </c>
      <c r="U60" s="34" t="n">
        <v>10000</v>
      </c>
      <c r="Y60" s="18" t="n">
        <v>16000</v>
      </c>
      <c r="Z60" s="34" t="n">
        <v>16000</v>
      </c>
      <c r="AB60" s="19" t="n">
        <v>8000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4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4" t="n">
        <v>7416.94</v>
      </c>
      <c r="Y61" s="18" t="n">
        <v>2042.92</v>
      </c>
      <c r="Z61" s="34" t="n">
        <v>2042.92</v>
      </c>
      <c r="AB61" s="19" t="n">
        <v>1399.23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비유동리스부채</t>
        </is>
      </c>
      <c r="F62" s="9" t="n"/>
      <c r="K62" s="9" t="n"/>
      <c r="M62" s="18" t="n">
        <v>376.64</v>
      </c>
      <c r="N62" s="18" t="n">
        <v>565</v>
      </c>
      <c r="O62" s="18" t="n">
        <v>527.1900000000001</v>
      </c>
      <c r="P62" s="34" t="n">
        <v>527.1900000000001</v>
      </c>
      <c r="Q62" s="18" t="n">
        <v>1028.71</v>
      </c>
      <c r="R62" s="18" t="n">
        <v>814.12</v>
      </c>
      <c r="S62" s="18" t="n">
        <v>686.25</v>
      </c>
      <c r="T62" s="18" t="n">
        <v>651.5</v>
      </c>
      <c r="U62" s="34" t="n">
        <v>651.5</v>
      </c>
      <c r="Y62" s="18" t="n">
        <v>1070.62</v>
      </c>
      <c r="Z62" s="34" t="n">
        <v>1070.62</v>
      </c>
      <c r="AB62" s="19" t="n">
        <v>389.48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기타비유동부채</t>
        </is>
      </c>
      <c r="F63" s="9" t="n"/>
      <c r="K63" s="9" t="n"/>
      <c r="N63" s="18" t="n">
        <v>14672.2</v>
      </c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R64" s="18" t="n">
        <v>417.74</v>
      </c>
      <c r="S64" s="18" t="n">
        <v>376.81</v>
      </c>
      <c r="T64" s="18" t="n">
        <v>48.77</v>
      </c>
      <c r="U64" s="34" t="n">
        <v>48.77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4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4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4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4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4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4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4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4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4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4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4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4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4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4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4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4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4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4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4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4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4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4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4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4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4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4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4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4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4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4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4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4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4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4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4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4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4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4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4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4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4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4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4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4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4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4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4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4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4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4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4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4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4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4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4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4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4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4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4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4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4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4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4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4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4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4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4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4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4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4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4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4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4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4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4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4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4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4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4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4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4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4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4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4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4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4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4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4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4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4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4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4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4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4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4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4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4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4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4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4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4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4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4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4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4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4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4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4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4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4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4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4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4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4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4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4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4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4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4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4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4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4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4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4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4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4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4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4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4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4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4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4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4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4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4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4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4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4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4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4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4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4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4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4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4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4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4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4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4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4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4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4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4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4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4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4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4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4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4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4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4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4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4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4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4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4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4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4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4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4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4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4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4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4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4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4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4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4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4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4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4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4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4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4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4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4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4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4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4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4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4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4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4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4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4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4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4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4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4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4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4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4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4" t="n">
        <v>39.9</v>
      </c>
      <c r="Q13" s="18" t="n">
        <v>19.95</v>
      </c>
      <c r="U13" s="9" t="n"/>
      <c r="Y13" s="18" t="n">
        <v>1376.35</v>
      </c>
      <c r="Z13" s="34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4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4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4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4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4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4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4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4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4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4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4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4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4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4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4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4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4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4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4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4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4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4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4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4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4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4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4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4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4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4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4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4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4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4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4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4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4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4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4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4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4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4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4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4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4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4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4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4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4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4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4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4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4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4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4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4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4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4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4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4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4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4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4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4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4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4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4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4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4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4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4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4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4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4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4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4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4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4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4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4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4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4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4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4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4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4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4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4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4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4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4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4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4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4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4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4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4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4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4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4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4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4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4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4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4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4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4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4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4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4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4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4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4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4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4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4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4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4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4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4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4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4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4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4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4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4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4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4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4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4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4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4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4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4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4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4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4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4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4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4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4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4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4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4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4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4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4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4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4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4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4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4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4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4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4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4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4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4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4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4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4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4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4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4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4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4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4" t="n">
        <v>2626.9</v>
      </c>
      <c r="M52" s="18" t="n">
        <v>6105.86</v>
      </c>
      <c r="N52" s="18" t="n">
        <v>6034.71</v>
      </c>
      <c r="O52" s="18" t="n">
        <v>5827.81</v>
      </c>
      <c r="P52" s="34" t="n">
        <v>5827.81</v>
      </c>
      <c r="S52" s="18" t="n">
        <v>10443.89</v>
      </c>
      <c r="T52" s="18" t="n">
        <v>14150.1</v>
      </c>
      <c r="U52" s="34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4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4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4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4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4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4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4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4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4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4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4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4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4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4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4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4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4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4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4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4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4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4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4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4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4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4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4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4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4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4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4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4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4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4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4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4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4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4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4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4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4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4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4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4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4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-850.84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4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4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4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4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4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4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4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4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4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4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4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4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4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4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4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4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4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4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4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4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4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4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4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4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1032.28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4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4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4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4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4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4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4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4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4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4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4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4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4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4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4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4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4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4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4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4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4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4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4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4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4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4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4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4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4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4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4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4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4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4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4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4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4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4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4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4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4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4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4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4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4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4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4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4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4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4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4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4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4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4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4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4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4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4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4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4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4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4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4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4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0.0376</v>
      </c>
      <c r="F10" s="34" t="n"/>
      <c r="G10" s="18" t="n">
        <v>0.0152</v>
      </c>
      <c r="H10" s="18" t="n">
        <v>0.0169</v>
      </c>
      <c r="I10" s="18" t="n">
        <v>0.0102</v>
      </c>
      <c r="J10" s="18" t="n">
        <v>-0.0101</v>
      </c>
      <c r="K10" s="34">
        <f>SUM(G10:J10)</f>
        <v/>
      </c>
      <c r="L10" s="18" t="n">
        <v>-0.0229</v>
      </c>
      <c r="M10" s="18" t="n">
        <v>0.0178</v>
      </c>
      <c r="N10" s="18" t="n">
        <v>0.019</v>
      </c>
      <c r="O10" s="18" t="n">
        <v>-0.0075</v>
      </c>
      <c r="P10" s="34">
        <f>SUM(L10:O10)</f>
        <v/>
      </c>
      <c r="Q10" s="18" t="n">
        <v>0.031</v>
      </c>
      <c r="R10" s="18" t="n">
        <v>0.0216</v>
      </c>
      <c r="S10" s="18" t="n">
        <v>-0.0094</v>
      </c>
      <c r="T10" s="18" t="n">
        <v>-0.0221</v>
      </c>
      <c r="U10" s="34">
        <f>SUM(Q10:T10)</f>
        <v/>
      </c>
      <c r="V10" s="18" t="n">
        <v>-0.0142</v>
      </c>
      <c r="W10" s="18" t="n">
        <v>-0.0205</v>
      </c>
      <c r="X10" s="18" t="n">
        <v>-0.0634</v>
      </c>
      <c r="Y10" s="18" t="n">
        <v>-0.0232</v>
      </c>
      <c r="Z10" s="34">
        <f>SUM(V10:Y10)</f>
        <v/>
      </c>
      <c r="AA10" s="18" t="n">
        <v>-0.0149</v>
      </c>
      <c r="AB10" s="19" t="n">
        <v>0.0204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3.65</v>
      </c>
      <c r="H13" s="18" t="n">
        <v>10.16</v>
      </c>
      <c r="I13" s="18" t="n">
        <v>14.42</v>
      </c>
      <c r="J13" s="18" t="n">
        <v>-21.27</v>
      </c>
      <c r="K13" s="34">
        <f>SUM(G13:J13)</f>
        <v/>
      </c>
      <c r="L13" s="18" t="n">
        <v>7.19</v>
      </c>
      <c r="M13" s="18" t="n">
        <v>-2.42</v>
      </c>
      <c r="N13" s="18" t="n">
        <v>2.05</v>
      </c>
      <c r="O13" s="18" t="n">
        <v>-4.07</v>
      </c>
      <c r="P13" s="34">
        <f>SUM(L13:O13)</f>
        <v/>
      </c>
      <c r="Q13" s="18" t="n">
        <v>5.21</v>
      </c>
      <c r="R13" s="18" t="n">
        <v>2.3</v>
      </c>
      <c r="S13" s="18" t="n">
        <v>-3.49</v>
      </c>
      <c r="T13" s="18" t="n">
        <v>13.43</v>
      </c>
      <c r="U13" s="34">
        <f>SUM(Q13:T13)</f>
        <v/>
      </c>
      <c r="V13" s="18" t="n">
        <v>2.77</v>
      </c>
      <c r="W13" s="18" t="n">
        <v>-9.83</v>
      </c>
      <c r="X13" s="18" t="n">
        <v>6.31</v>
      </c>
      <c r="Y13" s="18" t="n">
        <v>3.54</v>
      </c>
      <c r="Z13" s="34">
        <f>SUM(V13:Y13)</f>
        <v/>
      </c>
      <c r="AA13" s="18" t="n"/>
      <c r="AB13" s="19" t="n">
        <v>0.42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 t="n">
        <v>0</v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-13.83</v>
      </c>
      <c r="H14" s="18" t="n">
        <v>30.5</v>
      </c>
      <c r="I14" s="18" t="n">
        <v>11.91</v>
      </c>
      <c r="J14" s="18" t="n">
        <v>12.51</v>
      </c>
      <c r="K14" s="34">
        <f>SUM(G14:J14)</f>
        <v/>
      </c>
      <c r="L14" s="18" t="n">
        <v>0.73</v>
      </c>
      <c r="M14" s="18" t="n">
        <v>4.31</v>
      </c>
      <c r="N14" s="18" t="n">
        <v>11.86</v>
      </c>
      <c r="O14" s="18" t="n">
        <v>5.71</v>
      </c>
      <c r="P14" s="34">
        <f>SUM(L14:O14)</f>
        <v/>
      </c>
      <c r="Q14" s="18" t="n">
        <v>-0.24</v>
      </c>
      <c r="R14" s="18" t="n">
        <v>2.25</v>
      </c>
      <c r="S14" s="18" t="n">
        <v>0.85</v>
      </c>
      <c r="T14" s="18" t="n">
        <v>-3.02</v>
      </c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>
        <v>-2.25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>
        <v>-0.93</v>
      </c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4">
        <f>SUM(V17:Y17)</f>
        <v/>
      </c>
      <c r="AA17" s="18">
        <f>IFERROR(VLOOKUP($D17,BS연결,MATCH(AA$1,BS연결H,0),0)/100,"")</f>
        <v/>
      </c>
      <c r="AB17" s="19" t="n"/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>
        <v>36.46</v>
      </c>
      <c r="F22" s="34" t="n"/>
      <c r="G22" s="18" t="n"/>
      <c r="H22" s="18" t="n"/>
      <c r="I22" s="18" t="n"/>
      <c r="J22" s="18" t="n"/>
      <c r="K22" s="34">
        <f>SUM(G22:J22)</f>
        <v/>
      </c>
      <c r="L22" s="18" t="n"/>
      <c r="M22" s="18" t="n"/>
      <c r="N22" s="18" t="n"/>
      <c r="O22" s="18" t="n"/>
      <c r="P22" s="34">
        <f>SUM(L22:O22)</f>
        <v/>
      </c>
      <c r="Q22" s="18" t="n"/>
      <c r="R22" s="18" t="n"/>
      <c r="S22" s="18" t="n"/>
      <c r="T22" s="18" t="n">
        <v>-4.86</v>
      </c>
      <c r="U22" s="34">
        <f>SUM(Q22:T22)</f>
        <v/>
      </c>
      <c r="V22" s="18" t="n">
        <v>-1.56</v>
      </c>
      <c r="W22" s="18" t="n"/>
      <c r="X22" s="18" t="n"/>
      <c r="Y22" s="18" t="n">
        <v>0</v>
      </c>
      <c r="Z22" s="34">
        <f>SUM(V22:Y22)</f>
        <v/>
      </c>
      <c r="AA22" s="18" t="n"/>
      <c r="AB22" s="19" t="n"/>
      <c r="AC22" s="20" t="n"/>
      <c r="AD22" s="20" t="n"/>
      <c r="AE22" s="35">
        <f>SUM(AA22:AD22)</f>
        <v/>
      </c>
      <c r="AF22" s="20" t="n"/>
      <c r="AG22" s="20" t="n"/>
      <c r="AH22" s="20" t="n"/>
      <c r="AI22" s="20" t="n"/>
      <c r="AJ22" s="35">
        <f>SUM(AF22:AI22)</f>
        <v/>
      </c>
      <c r="AK22" s="20" t="n"/>
      <c r="AL22" s="20" t="n"/>
      <c r="AM22" s="20" t="n"/>
      <c r="AN22" s="20" t="n"/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5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5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IFERROR(AB26+AC21-변수!AC37,"")</f>
        <v/>
      </c>
      <c r="AD26" s="20">
        <f>IFERROR(AC26+AD21-변수!AD37,"")</f>
        <v/>
      </c>
      <c r="AE26" s="35">
        <f>AD26</f>
        <v/>
      </c>
      <c r="AF26" s="20">
        <f>IFERROR(AD26+AF21-변수!AF37,"")</f>
        <v/>
      </c>
      <c r="AG26" s="20">
        <f>IFERROR(AF26+AG21-변수!AG37,"")</f>
        <v/>
      </c>
      <c r="AH26" s="20">
        <f>IFERROR(AG26+AH21-변수!AH37,"")</f>
        <v/>
      </c>
      <c r="AI26" s="20">
        <f>IFERROR(AH26+AI21-변수!AI37,"")</f>
        <v/>
      </c>
      <c r="AJ26" s="35">
        <f>AI26</f>
        <v/>
      </c>
      <c r="AK26" s="20">
        <f>IFERROR(AI26+AK21-변수!AK37,"")</f>
        <v/>
      </c>
      <c r="AL26" s="20">
        <f>IFERROR(AK26+AL21-변수!AL37,"")</f>
        <v/>
      </c>
      <c r="AM26" s="20">
        <f>IFERROR(AL26+AM21-변수!AM37,"")</f>
        <v/>
      </c>
      <c r="AN26" s="20">
        <f>IFERROR(AM26+AN21-변수!AN37,"")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-26.76</v>
      </c>
      <c r="F32" s="34" t="n"/>
      <c r="G32" s="18" t="n">
        <v>-12.62</v>
      </c>
      <c r="H32" s="18" t="n">
        <v>-121.65</v>
      </c>
      <c r="I32" s="18" t="n">
        <v>24.42</v>
      </c>
      <c r="J32" s="18" t="n">
        <v>81.27</v>
      </c>
      <c r="K32" s="34">
        <f>SUM(G32:J32)</f>
        <v/>
      </c>
      <c r="L32" s="18" t="n">
        <v>-61.54</v>
      </c>
      <c r="M32" s="18" t="n">
        <v>201.09</v>
      </c>
      <c r="N32" s="18" t="n">
        <v>44.05</v>
      </c>
      <c r="O32" s="18" t="n">
        <v>62.19</v>
      </c>
      <c r="P32" s="34">
        <f>SUM(L32:O32)</f>
        <v/>
      </c>
      <c r="Q32" s="18" t="n">
        <v>-59.59</v>
      </c>
      <c r="R32" s="18" t="n">
        <v>122.72</v>
      </c>
      <c r="S32" s="18" t="n">
        <v>-192.96</v>
      </c>
      <c r="T32" s="18" t="n">
        <v>329.37</v>
      </c>
      <c r="U32" s="34">
        <f>SUM(Q32:T32)</f>
        <v/>
      </c>
      <c r="V32" s="18" t="n">
        <v>38.28</v>
      </c>
      <c r="W32" s="18" t="n">
        <v>373.29</v>
      </c>
      <c r="X32" s="18" t="n">
        <v>-0.34</v>
      </c>
      <c r="Y32" s="18" t="n">
        <v>3.01</v>
      </c>
      <c r="Z32" s="34">
        <f>SUM(V32:Y32)</f>
        <v/>
      </c>
      <c r="AA32" s="18" t="n">
        <v>-121.25</v>
      </c>
      <c r="AB32" s="19" t="n">
        <v>120.3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69.502</v>
      </c>
      <c r="F33" s="27">
        <f>E33</f>
        <v/>
      </c>
      <c r="G33" s="26" t="n">
        <v>69.502</v>
      </c>
      <c r="H33" s="26" t="n">
        <v>69.502</v>
      </c>
      <c r="I33" s="26" t="n">
        <v>69.502</v>
      </c>
      <c r="J33" s="26" t="n">
        <v>69.502</v>
      </c>
      <c r="K33" s="27">
        <f>J33</f>
        <v/>
      </c>
      <c r="L33" s="26" t="n">
        <v>69.502</v>
      </c>
      <c r="M33" s="26" t="n">
        <v>69.502</v>
      </c>
      <c r="N33" s="26" t="n">
        <v>69.502</v>
      </c>
      <c r="O33" s="26" t="n">
        <v>69.502</v>
      </c>
      <c r="P33" s="27">
        <f>O33</f>
        <v/>
      </c>
      <c r="Q33" s="26" t="n">
        <v>69.502</v>
      </c>
      <c r="R33" s="26" t="n">
        <v>68.17</v>
      </c>
      <c r="S33" s="26" t="n">
        <v>68.17</v>
      </c>
      <c r="T33" s="26" t="n">
        <v>68.17</v>
      </c>
      <c r="U33" s="27">
        <f>T33</f>
        <v/>
      </c>
      <c r="V33" s="26" t="n">
        <v>68.17</v>
      </c>
      <c r="W33" s="26" t="n">
        <v>68.17</v>
      </c>
      <c r="X33" s="26" t="n">
        <v>68.17</v>
      </c>
      <c r="Y33" s="26" t="n">
        <v>68.104</v>
      </c>
      <c r="Z33" s="27">
        <f>Y33</f>
        <v/>
      </c>
      <c r="AA33" s="26" t="n">
        <v>68.104</v>
      </c>
      <c r="AB33" s="28" t="n">
        <v>14.008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4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4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4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4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4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5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5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8" t="n"/>
      <c r="S36" s="18" t="n"/>
      <c r="T36" s="18" t="n">
        <v>0</v>
      </c>
      <c r="U36" s="34">
        <f>SUM(Q36:T36)</f>
        <v/>
      </c>
      <c r="V36" s="18" t="n"/>
      <c r="W36" s="18" t="n"/>
      <c r="X36" s="18" t="n"/>
      <c r="Y36" s="18" t="n">
        <v>0</v>
      </c>
      <c r="Z36" s="34">
        <f>SUM(V36:Y36)</f>
        <v/>
      </c>
      <c r="AA36" s="18" t="n"/>
      <c r="AB36" s="19" t="n"/>
      <c r="AC36" s="20" t="n"/>
      <c r="AD36" s="20" t="n">
        <v>0</v>
      </c>
      <c r="AE36" s="35">
        <f>SUM(AA36:AD36)</f>
        <v/>
      </c>
      <c r="AF36" s="20" t="n"/>
      <c r="AG36" s="20" t="n"/>
      <c r="AH36" s="20" t="n"/>
      <c r="AI36" s="20" t="n">
        <v>0</v>
      </c>
      <c r="AJ36" s="35">
        <f>SUM(AF36:AI36)</f>
        <v/>
      </c>
      <c r="AK36" s="20" t="n"/>
      <c r="AL36" s="20" t="n"/>
      <c r="AM36" s="20" t="n"/>
      <c r="AN36" s="20" t="n">
        <v>0</v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>
        <v>36.48</v>
      </c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 t="n"/>
      <c r="AD37" s="20" t="n"/>
      <c r="AE37" s="35">
        <f>SUM(AA37:AD37)</f>
        <v/>
      </c>
      <c r="AF37" s="20" t="n"/>
      <c r="AG37" s="20" t="n"/>
      <c r="AH37" s="20" t="n"/>
      <c r="AI37" s="20" t="n"/>
      <c r="AJ37" s="35">
        <f>SUM(AF37:AI37)</f>
        <v/>
      </c>
      <c r="AK37" s="20" t="n"/>
      <c r="AL37" s="20" t="n"/>
      <c r="AM37" s="20" t="n"/>
      <c r="AN37" s="20" t="n"/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2.23</v>
      </c>
      <c r="F38" s="34" t="n">
        <v>2.21</v>
      </c>
      <c r="G38" s="18" t="n">
        <v>2.01</v>
      </c>
      <c r="H38" s="18" t="n">
        <v>1.93</v>
      </c>
      <c r="I38" s="18" t="n">
        <v>1.6</v>
      </c>
      <c r="J38" s="18" t="n">
        <v>1.46</v>
      </c>
      <c r="K38" s="34">
        <f>SUM(G38:J38)</f>
        <v/>
      </c>
      <c r="L38" s="18" t="n">
        <v>1.58</v>
      </c>
      <c r="M38" s="18" t="n">
        <v>1.56</v>
      </c>
      <c r="N38" s="18" t="n">
        <v>1.51</v>
      </c>
      <c r="O38" s="18" t="n">
        <v>1.02</v>
      </c>
      <c r="P38" s="34">
        <f>SUM(L38:O38)</f>
        <v/>
      </c>
      <c r="Q38" s="18" t="n">
        <v>0.96</v>
      </c>
      <c r="R38" s="18" t="n">
        <v>0.91</v>
      </c>
      <c r="S38" s="18" t="n">
        <v>0.89</v>
      </c>
      <c r="T38" s="18" t="n">
        <v>0.8</v>
      </c>
      <c r="U38" s="34">
        <f>SUM(Q38:T38)</f>
        <v/>
      </c>
      <c r="V38" s="18" t="n">
        <v>0.75</v>
      </c>
      <c r="W38" s="18" t="n">
        <v>1.01</v>
      </c>
      <c r="X38" s="18" t="n">
        <v>1.37</v>
      </c>
      <c r="Y38" s="18" t="n">
        <v>1.37</v>
      </c>
      <c r="Z38" s="34">
        <f>SUM(V38:Y38)</f>
        <v/>
      </c>
      <c r="AA38" s="18" t="n">
        <v>1.32</v>
      </c>
      <c r="AB38" s="19" t="n">
        <v>0.23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960.58</v>
      </c>
      <c r="F39" s="34" t="n"/>
      <c r="G39" s="18" t="n">
        <v>1145.8</v>
      </c>
      <c r="H39" s="18" t="n">
        <v>1208.24</v>
      </c>
      <c r="I39" s="18" t="n">
        <v>1677.22</v>
      </c>
      <c r="J39" s="18" t="n">
        <v>1242.42</v>
      </c>
      <c r="K39" s="34">
        <f>SUM(G39:J39)</f>
        <v/>
      </c>
      <c r="L39" s="18" t="n">
        <v>1231.72</v>
      </c>
      <c r="M39" s="18" t="n">
        <v>1327.06</v>
      </c>
      <c r="N39" s="18" t="n">
        <v>1338.8</v>
      </c>
      <c r="O39" s="18" t="n">
        <v>1102.52</v>
      </c>
      <c r="P39" s="34">
        <f>SUM(L39:O39)</f>
        <v/>
      </c>
      <c r="Q39" s="18" t="n">
        <v>1250.35</v>
      </c>
      <c r="R39" s="18" t="n">
        <v>1269.61</v>
      </c>
      <c r="S39" s="18" t="n">
        <v>1190.02</v>
      </c>
      <c r="T39" s="18" t="n">
        <v>1093.51</v>
      </c>
      <c r="U39" s="34">
        <f>SUM(Q39:T39)</f>
        <v/>
      </c>
      <c r="V39" s="18" t="n">
        <v>1109.85</v>
      </c>
      <c r="W39" s="18" t="n">
        <v>1162.82</v>
      </c>
      <c r="X39" s="18" t="n">
        <v>1098.95</v>
      </c>
      <c r="Y39" s="18" t="n">
        <v>963.22</v>
      </c>
      <c r="Z39" s="34">
        <f>SUM(V39:Y39)</f>
        <v/>
      </c>
      <c r="AA39" s="18" t="n">
        <v>964.25</v>
      </c>
      <c r="AB39" s="19" t="n">
        <v>1067.67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36.11</v>
      </c>
      <c r="F40" s="34" t="n"/>
      <c r="G40" s="18" t="n">
        <v>17.4</v>
      </c>
      <c r="H40" s="18" t="n">
        <v>20.4</v>
      </c>
      <c r="I40" s="18" t="n">
        <v>17.08</v>
      </c>
      <c r="J40" s="18" t="n">
        <v>-12.61</v>
      </c>
      <c r="K40" s="34">
        <f>SUM(G40:J40)</f>
        <v/>
      </c>
      <c r="L40" s="18" t="n">
        <v>-28.2</v>
      </c>
      <c r="M40" s="18" t="n">
        <v>23.57</v>
      </c>
      <c r="N40" s="18" t="n">
        <v>25.45</v>
      </c>
      <c r="O40" s="18" t="n">
        <v>-8.289999999999999</v>
      </c>
      <c r="P40" s="34">
        <f>SUM(L40:O40)</f>
        <v/>
      </c>
      <c r="Q40" s="18" t="n">
        <v>38.72</v>
      </c>
      <c r="R40" s="18" t="n">
        <v>27.44</v>
      </c>
      <c r="S40" s="18" t="n">
        <v>-11.21</v>
      </c>
      <c r="T40" s="18" t="n">
        <v>-24.22</v>
      </c>
      <c r="U40" s="34">
        <f>SUM(Q40:T40)</f>
        <v/>
      </c>
      <c r="V40" s="18" t="n">
        <v>-15.81</v>
      </c>
      <c r="W40" s="18" t="n">
        <v>-23.84</v>
      </c>
      <c r="X40" s="18" t="n">
        <v>-69.66</v>
      </c>
      <c r="Y40" s="18" t="n">
        <v>-22.38</v>
      </c>
      <c r="Z40" s="34">
        <f>SUM(V40:Y40)</f>
        <v/>
      </c>
      <c r="AA40" s="18" t="n">
        <v>-14.39</v>
      </c>
      <c r="AB40" s="19" t="n">
        <v>21.74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1">
        <f>IFERROR(AC21/AC5,"")</f>
        <v/>
      </c>
      <c r="AD43" s="31">
        <f>IFERROR(AD21/AD5,"")</f>
        <v/>
      </c>
      <c r="AE43" s="25">
        <f>IFERROR(AE21/AE5,"")</f>
        <v/>
      </c>
      <c r="AF43" s="31">
        <f>IFERROR(AF21/AF5,"")</f>
        <v/>
      </c>
      <c r="AG43" s="31">
        <f>IFERROR(AG21/AG5,"")</f>
        <v/>
      </c>
      <c r="AH43" s="31">
        <f>IFERROR(AH21/AH5,"")</f>
        <v/>
      </c>
      <c r="AI43" s="31">
        <f>IFERROR(AI21/AI5,"")</f>
        <v/>
      </c>
      <c r="AJ43" s="25">
        <f>IFERROR(AJ21/AJ5,"")</f>
        <v/>
      </c>
      <c r="AK43" s="31">
        <f>IFERROR(AK21/AK5,"")</f>
        <v/>
      </c>
      <c r="AL43" s="31">
        <f>IFERROR(AL21/AL5,"")</f>
        <v/>
      </c>
      <c r="AM43" s="31">
        <f>IFERROR(AM21/AM5,"")</f>
        <v/>
      </c>
      <c r="AN43" s="31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2">
        <f>IFERROR(W21/S21-1,"")</f>
        <v/>
      </c>
      <c r="X45" s="31">
        <f>IFERROR(X21/T21-1,"")</f>
        <v/>
      </c>
      <c r="Y45" s="31">
        <f>IFERROR(Y21/U21-1,"")</f>
        <v/>
      </c>
      <c r="Z45" s="31">
        <f>IFERROR(Z21/V21-1,"")</f>
        <v/>
      </c>
      <c r="AA45" s="31">
        <f>IFERROR(AA21/W21-1,"")</f>
        <v/>
      </c>
      <c r="AB45" s="31">
        <f>IFERROR(AB21/X21-1,"")</f>
        <v/>
      </c>
      <c r="AC45" s="31">
        <f>IFERROR(AC21/Y21-1,"")</f>
        <v/>
      </c>
      <c r="AD45" s="31">
        <f>IFERROR(AD21/Z21-1,"")</f>
        <v/>
      </c>
      <c r="AE45" s="31">
        <f>IFERROR(AE21/AA21-1,"")</f>
        <v/>
      </c>
      <c r="AF45" s="31">
        <f>IFERROR(AF21/AB21-1,"")</f>
        <v/>
      </c>
      <c r="AG45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2">
        <f>IFERROR(I21/H21-1,"")</f>
        <v/>
      </c>
      <c r="J45" s="31">
        <f>IFERROR(J21/I21-1,"")</f>
        <v/>
      </c>
      <c r="K45" s="31">
        <f>IFERROR(K21/J21-1,"")</f>
        <v/>
      </c>
      <c r="L45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-991.4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-0.1013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