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G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H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I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J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L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M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N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O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Q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R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S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T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V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W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X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Y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A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Y35" authorId="0" shapeId="0">
      <text>
        <t>조정EPS 산식(모델 추정, 일회성 여부·세효과 주석 미확인): 지배NI − 초과 비영업손익 -204억 × (1 − 세율 22.9% [모델 세율(분기 유효세율이 0~35% 밖·세전 ≤ 0)]) × 지배 비중 0.9315 [그 분기 지배NI/NI] = 30억 ÷ 유통주식수 · 초과 = 비영업손익 -237억 − 12분기 기준선 -33억 · 보고 EPS -851원(EPS 행 불변) · 상수 -156.9·0.9315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-851→조정 222원)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주식수 사건 환산: 2026Q2 1/5 수동(복합 사건)(eps_reported 교차검증 confirmed) → 사건 전 실적 18분기의 주식수·EPS·BPS·DPS 를 비율 환산(IAS 33.64; 셀 kind estimate, basis 에 원주식수·비율)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221.9원(보고 -851.1원; 초과 비영업손익 -204억 × (1 − 세율 22.9%) × 지배 비중 0.93 = -146억 차감 — 추정, 조정EPS 행)</t>
        </is>
      </c>
    </row>
    <row r="35">
      <c r="A35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2430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2181.9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2200</v>
      </c>
      <c r="E45" s="2" t="inlineStr">
        <is>
          <t>원 — 네이버 정규장 종가(aik 확정종가 대조 · aik 2,205원)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20261014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1개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0.2291</v>
      </c>
      <c r="E52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0.07847519753849203</v>
      </c>
      <c r="E53" s="2" t="inlineStr">
        <is>
          <t>연결 — 판관비 = 매출액 × 판관비율(역산, 재현 오차 ≤ 0.05억 · 모델 assumptions 0.0785)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0.09303260255191062</v>
      </c>
      <c r="E55" s="2" t="inlineStr">
        <is>
          <t>연결 — 이자손익 = (전분기 이자발생자산 × 자산이자율 − 전분기 총차입금 × 부채이자율)/4(역산, 재현 오차 ≤ 0.05억 · 모델 assumptions 0.093)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0.05698268810235374</v>
      </c>
      <c r="E56" s="2" t="inlineStr">
        <is>
          <t>연결 — 같은 수식의 부채 쪽(총차입금 행이 없으면 0)(역산, 재현 오차 ≤ 0.05억 · 모델 assumptions 0.057)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1183.41</v>
      </c>
      <c r="F30" s="37" t="n">
        <v>1183.41</v>
      </c>
      <c r="G30" s="18" t="n">
        <v>986.04</v>
      </c>
      <c r="H30" s="18" t="n">
        <v>1208.14</v>
      </c>
      <c r="I30" s="18" t="n">
        <v>1078.99</v>
      </c>
      <c r="J30" s="18" t="n">
        <v>1148.65</v>
      </c>
      <c r="K30" s="37" t="n">
        <v>1148.65</v>
      </c>
      <c r="L30" s="18" t="n">
        <v>1161.74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1216.17</v>
      </c>
      <c r="W30" s="18" t="n">
        <v>1838.53</v>
      </c>
      <c r="X30" s="18" t="n">
        <v>1821.37</v>
      </c>
      <c r="Y30" s="18" t="n">
        <v>1931.05</v>
      </c>
      <c r="Z30" s="37" t="n">
        <v>1931.05</v>
      </c>
      <c r="AA30" s="18" t="n">
        <v>1024.27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2467.42</v>
      </c>
      <c r="F39" s="37" t="n">
        <v>2467.42</v>
      </c>
      <c r="G39" s="18" t="n">
        <v>4380.62</v>
      </c>
      <c r="H39" s="18" t="n">
        <v>681.84</v>
      </c>
      <c r="I39" s="18" t="n">
        <v>609.52</v>
      </c>
      <c r="J39" s="18" t="n">
        <v>594.9</v>
      </c>
      <c r="K39" s="37" t="n">
        <v>594.9</v>
      </c>
      <c r="L39" s="18" t="n">
        <v>576.04</v>
      </c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V39" s="18" t="n">
        <v>613.85</v>
      </c>
      <c r="W39" s="18" t="n">
        <v>1108.98</v>
      </c>
      <c r="X39" s="18" t="n">
        <v>1109</v>
      </c>
      <c r="Y39" s="18" t="n">
        <v>3161.72</v>
      </c>
      <c r="Z39" s="37" t="n">
        <v>3161.72</v>
      </c>
      <c r="AA39" s="18" t="n">
        <v>2206.1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539.6799999999999</v>
      </c>
      <c r="F40" s="37" t="n">
        <v>539.6799999999999</v>
      </c>
      <c r="G40" s="18" t="n">
        <v>440.08</v>
      </c>
      <c r="H40" s="18" t="n">
        <v>681.84</v>
      </c>
      <c r="I40" s="18" t="n">
        <v>609.52</v>
      </c>
      <c r="J40" s="18" t="n">
        <v>594.9</v>
      </c>
      <c r="K40" s="37" t="n">
        <v>594.9</v>
      </c>
      <c r="L40" s="18" t="n">
        <v>576.04</v>
      </c>
      <c r="M40" s="18" t="n">
        <v>376.64</v>
      </c>
      <c r="N40" s="18" t="n">
        <v>565</v>
      </c>
      <c r="O40" s="18" t="n">
        <v>527.1900000000001</v>
      </c>
      <c r="P40" s="37" t="n">
        <v>527.1900000000001</v>
      </c>
      <c r="Q40" s="18" t="n">
        <v>1028.71</v>
      </c>
      <c r="R40" s="18" t="n">
        <v>814.12</v>
      </c>
      <c r="S40" s="18" t="n">
        <v>686.25</v>
      </c>
      <c r="T40" s="18" t="n">
        <v>651.5</v>
      </c>
      <c r="U40" s="37" t="n">
        <v>651.5</v>
      </c>
      <c r="V40" s="18" t="n">
        <v>613.85</v>
      </c>
      <c r="W40" s="18" t="n">
        <v>1108.98</v>
      </c>
      <c r="X40" s="18" t="n">
        <v>1109</v>
      </c>
      <c r="Y40" s="18" t="n">
        <v>1070.62</v>
      </c>
      <c r="Z40" s="37" t="n">
        <v>1070.62</v>
      </c>
      <c r="AA40" s="18" t="n">
        <v>446.05</v>
      </c>
      <c r="AB40" s="19" t="n">
        <v>389.48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6523.25</v>
      </c>
      <c r="F41" s="37" t="n">
        <v>6523.25</v>
      </c>
      <c r="G41" s="18" t="n">
        <v>7047.83</v>
      </c>
      <c r="H41" s="18" t="n">
        <v>7607.14</v>
      </c>
      <c r="I41" s="18" t="n">
        <v>7892.69</v>
      </c>
      <c r="J41" s="18" t="n">
        <v>5165.28</v>
      </c>
      <c r="K41" s="37" t="n">
        <v>5165.28</v>
      </c>
      <c r="L41" s="18" t="n">
        <v>5179.48</v>
      </c>
      <c r="M41" s="18" t="n">
        <v>4948.89</v>
      </c>
      <c r="N41" s="18" t="n">
        <v>5146.41</v>
      </c>
      <c r="O41" s="18" t="n">
        <v>5863.45</v>
      </c>
      <c r="P41" s="37" t="n">
        <v>5863.45</v>
      </c>
      <c r="Q41" s="18" t="n">
        <v>6367.1</v>
      </c>
      <c r="R41" s="18" t="n">
        <v>6962.3</v>
      </c>
      <c r="S41" s="18" t="n">
        <v>7706.65</v>
      </c>
      <c r="T41" s="18" t="n">
        <v>9427.280000000001</v>
      </c>
      <c r="U41" s="37" t="n">
        <v>9427.280000000001</v>
      </c>
      <c r="V41" s="18" t="n">
        <v>9537.120000000001</v>
      </c>
      <c r="W41" s="18" t="n">
        <v>9608.67</v>
      </c>
      <c r="X41" s="18" t="n">
        <v>8794.92</v>
      </c>
      <c r="Y41" s="18" t="n">
        <v>7894.87</v>
      </c>
      <c r="Z41" s="37" t="n">
        <v>7894.87</v>
      </c>
      <c r="AA41" s="18" t="n">
        <v>8259.379999999999</v>
      </c>
      <c r="AB41" s="19" t="n">
        <v>8944.84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13326.19</v>
      </c>
      <c r="F42" s="37" t="n">
        <v>13326.19</v>
      </c>
      <c r="G42" s="18" t="n">
        <v>12648.92</v>
      </c>
      <c r="H42" s="18" t="n">
        <v>12775.08</v>
      </c>
      <c r="I42" s="18" t="n">
        <v>12429.39</v>
      </c>
      <c r="J42" s="18" t="n">
        <v>11620.34</v>
      </c>
      <c r="K42" s="37" t="n">
        <v>11620.34</v>
      </c>
      <c r="L42" s="18" t="n">
        <v>11502.21</v>
      </c>
      <c r="M42" s="18" t="n">
        <v>12054.79</v>
      </c>
      <c r="N42" s="18" t="n">
        <v>11954.55</v>
      </c>
      <c r="O42" s="18" t="n">
        <v>21317.29</v>
      </c>
      <c r="P42" s="37" t="n">
        <v>21317.29</v>
      </c>
      <c r="Q42" s="18" t="n">
        <v>22023.49</v>
      </c>
      <c r="R42" s="18" t="n">
        <v>20964.84</v>
      </c>
      <c r="S42" s="18" t="n">
        <v>21523.47</v>
      </c>
      <c r="T42" s="18" t="n">
        <v>21557.75</v>
      </c>
      <c r="U42" s="37" t="n">
        <v>21557.75</v>
      </c>
      <c r="V42" s="18" t="n">
        <v>21483.76</v>
      </c>
      <c r="W42" s="18" t="n">
        <v>15376.15</v>
      </c>
      <c r="X42" s="18" t="n">
        <v>21335.78</v>
      </c>
      <c r="Y42" s="18" t="n">
        <v>9327.68</v>
      </c>
      <c r="Z42" s="37" t="n">
        <v>9327.68</v>
      </c>
      <c r="AA42" s="18" t="n">
        <v>9333.32</v>
      </c>
      <c r="AB42" s="19" t="n">
        <v>8486.889999999999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321035.33</v>
      </c>
      <c r="F43" s="37" t="n">
        <v>321035.33</v>
      </c>
      <c r="G43" s="18" t="n">
        <v>334699.39</v>
      </c>
      <c r="H43" s="18" t="n">
        <v>354840.75</v>
      </c>
      <c r="I43" s="18" t="n">
        <v>331296.83</v>
      </c>
      <c r="J43" s="18" t="n">
        <v>337528.2</v>
      </c>
      <c r="K43" s="37" t="n">
        <v>337528.2</v>
      </c>
      <c r="L43" s="18" t="n">
        <v>333859.99</v>
      </c>
      <c r="M43" s="18" t="n">
        <v>332449.41</v>
      </c>
      <c r="N43" s="18" t="n">
        <v>324460.11</v>
      </c>
      <c r="O43" s="18" t="n">
        <v>314231.67</v>
      </c>
      <c r="P43" s="37" t="n">
        <v>314231.67</v>
      </c>
      <c r="Q43" s="18" t="n">
        <v>331641.19</v>
      </c>
      <c r="R43" s="18" t="n">
        <v>323626.02</v>
      </c>
      <c r="S43" s="18" t="n">
        <v>307995.67</v>
      </c>
      <c r="T43" s="18" t="n">
        <v>296559.02</v>
      </c>
      <c r="U43" s="37" t="n">
        <v>296559.02</v>
      </c>
      <c r="V43" s="18" t="n">
        <v>272758.3</v>
      </c>
      <c r="W43" s="18" t="n">
        <v>257982.26</v>
      </c>
      <c r="X43" s="18" t="n">
        <v>257074.87</v>
      </c>
      <c r="Y43" s="18" t="n">
        <v>235496.43</v>
      </c>
      <c r="Z43" s="37" t="n">
        <v>235496.43</v>
      </c>
      <c r="AA43" s="18" t="n">
        <v>225778.49</v>
      </c>
      <c r="AB43" s="19" t="n">
        <v>225399.79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165883.99</v>
      </c>
      <c r="F44" s="37" t="n">
        <v>165883.99</v>
      </c>
      <c r="G44" s="18" t="n">
        <v>168075.23</v>
      </c>
      <c r="H44" s="18" t="n">
        <v>172630.95</v>
      </c>
      <c r="I44" s="18" t="n">
        <v>174078.82</v>
      </c>
      <c r="J44" s="18" t="n">
        <v>170709.67</v>
      </c>
      <c r="K44" s="37" t="n">
        <v>170709.67</v>
      </c>
      <c r="L44" s="18" t="n">
        <v>169618.83</v>
      </c>
      <c r="M44" s="18" t="n">
        <v>167823.36</v>
      </c>
      <c r="N44" s="18" t="n">
        <v>157866.81</v>
      </c>
      <c r="O44" s="18" t="n">
        <v>194622.28</v>
      </c>
      <c r="P44" s="37" t="n">
        <v>194622.28</v>
      </c>
      <c r="Q44" s="18" t="n">
        <v>196002.83</v>
      </c>
      <c r="R44" s="18" t="n">
        <v>195297.16</v>
      </c>
      <c r="S44" s="18" t="n">
        <v>192131.85</v>
      </c>
      <c r="T44" s="18" t="n">
        <v>186050.32</v>
      </c>
      <c r="U44" s="37" t="n">
        <v>186050.32</v>
      </c>
      <c r="V44" s="18" t="n">
        <v>186022.66</v>
      </c>
      <c r="W44" s="18" t="n">
        <v>161286.6</v>
      </c>
      <c r="X44" s="18" t="n">
        <v>143803.29</v>
      </c>
      <c r="Y44" s="18" t="n">
        <v>135773.77</v>
      </c>
      <c r="Z44" s="37" t="n">
        <v>135773.77</v>
      </c>
      <c r="AA44" s="18" t="n">
        <v>136005.2</v>
      </c>
      <c r="AB44" s="19" t="n">
        <v>137079.04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50655.19</v>
      </c>
      <c r="F45" s="37" t="n">
        <v>50655.19</v>
      </c>
      <c r="G45" s="18" t="n">
        <v>50655.19</v>
      </c>
      <c r="H45" s="18" t="n">
        <v>50655.19</v>
      </c>
      <c r="I45" s="18" t="n">
        <v>50655.19</v>
      </c>
      <c r="J45" s="18" t="n">
        <v>50655.19</v>
      </c>
      <c r="K45" s="37" t="n">
        <v>50655.19</v>
      </c>
      <c r="L45" s="18" t="n">
        <v>50655.19</v>
      </c>
      <c r="M45" s="18" t="n">
        <v>50655.19</v>
      </c>
      <c r="N45" s="18" t="n">
        <v>50655.19</v>
      </c>
      <c r="O45" s="18" t="n">
        <v>50655.19</v>
      </c>
      <c r="P45" s="37" t="n">
        <v>50655.19</v>
      </c>
      <c r="Q45" s="18" t="n">
        <v>50655.19</v>
      </c>
      <c r="R45" s="18" t="n">
        <v>50655.19</v>
      </c>
      <c r="S45" s="18" t="n">
        <v>50655.19</v>
      </c>
      <c r="T45" s="18" t="n">
        <v>50655.19</v>
      </c>
      <c r="U45" s="37" t="n">
        <v>50655.19</v>
      </c>
      <c r="V45" s="18" t="n">
        <v>50655.19</v>
      </c>
      <c r="W45" s="18" t="n">
        <v>50655.19</v>
      </c>
      <c r="X45" s="18" t="n">
        <v>50655.19</v>
      </c>
      <c r="Y45" s="18" t="n">
        <v>50655.19</v>
      </c>
      <c r="Z45" s="37" t="n">
        <v>50655.19</v>
      </c>
      <c r="AA45" s="18" t="n">
        <v>50655.19</v>
      </c>
      <c r="AB45" s="19" t="n">
        <v>39051.76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94821.45</v>
      </c>
      <c r="F46" s="37" t="n">
        <v>94821.45</v>
      </c>
      <c r="G46" s="18" t="n">
        <v>94821.45</v>
      </c>
      <c r="H46" s="18" t="n">
        <v>94821.45</v>
      </c>
      <c r="I46" s="18" t="n">
        <v>94821.45</v>
      </c>
      <c r="J46" s="18" t="n">
        <v>94821.45</v>
      </c>
      <c r="K46" s="37" t="n">
        <v>94821.45</v>
      </c>
      <c r="L46" s="18" t="n">
        <v>94821.45</v>
      </c>
      <c r="M46" s="18" t="n">
        <v>94821.45</v>
      </c>
      <c r="N46" s="18" t="n">
        <v>94821.45</v>
      </c>
      <c r="O46" s="18" t="n">
        <v>94821.45</v>
      </c>
      <c r="P46" s="37" t="n">
        <v>94821.45</v>
      </c>
      <c r="Q46" s="18" t="n">
        <v>94821.45</v>
      </c>
      <c r="R46" s="18" t="n">
        <v>94821.45</v>
      </c>
      <c r="S46" s="18" t="n">
        <v>94821.45</v>
      </c>
      <c r="T46" s="18" t="n">
        <v>94821.45</v>
      </c>
      <c r="U46" s="37" t="n">
        <v>94821.45</v>
      </c>
      <c r="V46" s="18" t="n">
        <v>94821.45</v>
      </c>
      <c r="W46" s="18" t="n">
        <v>94821.45</v>
      </c>
      <c r="X46" s="18" t="n">
        <v>94821.45</v>
      </c>
      <c r="Y46" s="18" t="n">
        <v>94821.45</v>
      </c>
      <c r="Z46" s="37" t="n">
        <v>94821.45</v>
      </c>
      <c r="AA46" s="18" t="n">
        <v>94821.45</v>
      </c>
      <c r="AB46" s="19" t="n">
        <v>94821.45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-77423.44</v>
      </c>
      <c r="F47" s="37" t="n">
        <v>-77423.44</v>
      </c>
      <c r="G47" s="18" t="n">
        <v>-74723.81</v>
      </c>
      <c r="H47" s="18" t="n">
        <v>-74723.81</v>
      </c>
      <c r="I47" s="18" t="n">
        <v>-74723.81</v>
      </c>
      <c r="J47" s="18" t="n">
        <v>-74729.72</v>
      </c>
      <c r="K47" s="37" t="n">
        <v>-74729.72</v>
      </c>
      <c r="L47" s="18" t="n">
        <v>-74729.72</v>
      </c>
      <c r="M47" s="18" t="n">
        <v>-74501.11</v>
      </c>
      <c r="N47" s="18" t="n">
        <v>-83426.32000000001</v>
      </c>
      <c r="O47" s="18" t="n">
        <v>-87597</v>
      </c>
      <c r="P47" s="37" t="n">
        <v>-87597</v>
      </c>
      <c r="Q47" s="18" t="n">
        <v>-87522.50999999999</v>
      </c>
      <c r="R47" s="18" t="n">
        <v>-88575.44</v>
      </c>
      <c r="S47" s="18" t="n">
        <v>-88575.44</v>
      </c>
      <c r="T47" s="18" t="n">
        <v>-84643.55</v>
      </c>
      <c r="U47" s="37" t="n">
        <v>-84643.55</v>
      </c>
      <c r="V47" s="18" t="n">
        <v>-84643.55</v>
      </c>
      <c r="W47" s="18" t="n">
        <v>-84643.55</v>
      </c>
      <c r="X47" s="18" t="n">
        <v>-84947.25999999999</v>
      </c>
      <c r="Y47" s="18" t="n">
        <v>-83592.16</v>
      </c>
      <c r="Z47" s="37" t="n">
        <v>-83592.16</v>
      </c>
      <c r="AA47" s="18" t="n">
        <v>-82661.50999999999</v>
      </c>
      <c r="AB47" s="19" t="n">
        <v>-70019.77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1454.45</v>
      </c>
      <c r="F48" s="37" t="n">
        <v>1454.45</v>
      </c>
      <c r="G48" s="18" t="n">
        <v>1353.14</v>
      </c>
      <c r="H48" s="18" t="n">
        <v>2063.54</v>
      </c>
      <c r="I48" s="18" t="n">
        <v>2740.85</v>
      </c>
      <c r="J48" s="18" t="n">
        <v>1257.95</v>
      </c>
      <c r="K48" s="37" t="n">
        <v>1257.95</v>
      </c>
      <c r="L48" s="18" t="n">
        <v>1631.35</v>
      </c>
      <c r="M48" s="18" t="n">
        <v>1662.76</v>
      </c>
      <c r="N48" s="18" t="n">
        <v>1391.88</v>
      </c>
      <c r="O48" s="18" t="n">
        <v>45822.47</v>
      </c>
      <c r="P48" s="37" t="n">
        <v>45822.47</v>
      </c>
      <c r="Q48" s="18" t="n">
        <v>44720.79</v>
      </c>
      <c r="R48" s="18" t="n">
        <v>44972.59</v>
      </c>
      <c r="S48" s="18" t="n">
        <v>44959.2</v>
      </c>
      <c r="T48" s="18" t="n">
        <v>41978.19</v>
      </c>
      <c r="U48" s="37" t="n">
        <v>41978.19</v>
      </c>
      <c r="V48" s="18" t="n">
        <v>40897.29</v>
      </c>
      <c r="W48" s="18" t="n">
        <v>40857.34</v>
      </c>
      <c r="X48" s="18" t="n">
        <v>40816.92</v>
      </c>
      <c r="Y48" s="18" t="n">
        <v>42005.92</v>
      </c>
      <c r="Z48" s="37" t="n">
        <v>42005.92</v>
      </c>
      <c r="AA48" s="18" t="n">
        <v>40893.68</v>
      </c>
      <c r="AB48" s="19" t="n">
        <v>41195.83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96376.35000000001</v>
      </c>
      <c r="F49" s="37" t="n">
        <v>96376.35000000001</v>
      </c>
      <c r="G49" s="18" t="n">
        <v>95969.25999999999</v>
      </c>
      <c r="H49" s="18" t="n">
        <v>99814.59</v>
      </c>
      <c r="I49" s="18" t="n">
        <v>100585.13</v>
      </c>
      <c r="J49" s="18" t="n">
        <v>98704.81</v>
      </c>
      <c r="K49" s="37" t="n">
        <v>98704.81</v>
      </c>
      <c r="L49" s="18" t="n">
        <v>97240.57000000001</v>
      </c>
      <c r="M49" s="18" t="n">
        <v>95185.07000000001</v>
      </c>
      <c r="N49" s="18" t="n">
        <v>94424.62</v>
      </c>
      <c r="O49" s="18" t="n">
        <v>90920.17999999999</v>
      </c>
      <c r="P49" s="37" t="n">
        <v>90920.17999999999</v>
      </c>
      <c r="Q49" s="18" t="n">
        <v>93327.91</v>
      </c>
      <c r="R49" s="18" t="n">
        <v>93423.37</v>
      </c>
      <c r="S49" s="18" t="n">
        <v>90271.46000000001</v>
      </c>
      <c r="T49" s="18" t="n">
        <v>83239.03999999999</v>
      </c>
      <c r="U49" s="37" t="n">
        <v>83239.03999999999</v>
      </c>
      <c r="V49" s="18" t="n">
        <v>84292.28</v>
      </c>
      <c r="W49" s="18" t="n">
        <v>59596.16</v>
      </c>
      <c r="X49" s="18" t="n">
        <v>42457</v>
      </c>
      <c r="Y49" s="18" t="n">
        <v>31883.37</v>
      </c>
      <c r="Z49" s="37" t="n">
        <v>31883.37</v>
      </c>
      <c r="AA49" s="18" t="n">
        <v>32296.4</v>
      </c>
      <c r="AB49" s="19" t="n">
        <v>32029.77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32041.73</v>
      </c>
      <c r="F50" s="37" t="n">
        <v>32041.73</v>
      </c>
      <c r="G50" s="18" t="n">
        <v>28662.77</v>
      </c>
      <c r="H50" s="18" t="n">
        <v>30372.03</v>
      </c>
      <c r="I50" s="18" t="n">
        <v>30805.91</v>
      </c>
      <c r="J50" s="18" t="n">
        <v>27446.62</v>
      </c>
      <c r="K50" s="37" t="n">
        <v>27446.62</v>
      </c>
      <c r="L50" s="18" t="n">
        <v>24738.86</v>
      </c>
      <c r="M50" s="18" t="n">
        <v>22246.68</v>
      </c>
      <c r="N50" s="18" t="n">
        <v>31901.02</v>
      </c>
      <c r="O50" s="18" t="n">
        <v>35248.88</v>
      </c>
      <c r="P50" s="37" t="n">
        <v>35248.88</v>
      </c>
      <c r="Q50" s="18" t="n">
        <v>34495.95</v>
      </c>
      <c r="R50" s="18" t="n">
        <v>37104.96</v>
      </c>
      <c r="S50" s="18" t="n">
        <v>36021.68</v>
      </c>
      <c r="T50" s="18" t="n">
        <v>30786.76</v>
      </c>
      <c r="U50" s="37" t="n">
        <v>30786.76</v>
      </c>
      <c r="V50" s="18" t="n">
        <v>30325.99</v>
      </c>
      <c r="W50" s="18" t="n">
        <v>30019.42</v>
      </c>
      <c r="X50" s="18" t="n">
        <v>29786.14</v>
      </c>
      <c r="Y50" s="18" t="n">
        <v>28557.09</v>
      </c>
      <c r="Z50" s="37" t="n">
        <v>28557.09</v>
      </c>
      <c r="AA50" s="18" t="n">
        <v>27838.7</v>
      </c>
      <c r="AB50" s="19" t="n">
        <v>28025.78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197925.73</v>
      </c>
      <c r="F51" s="37" t="n">
        <v>197925.73</v>
      </c>
      <c r="G51" s="18" t="n">
        <v>196738</v>
      </c>
      <c r="H51" s="18" t="n">
        <v>203002.98</v>
      </c>
      <c r="I51" s="18" t="n">
        <v>204884.72</v>
      </c>
      <c r="J51" s="18" t="n">
        <v>198156.3</v>
      </c>
      <c r="K51" s="37" t="n">
        <v>198156.3</v>
      </c>
      <c r="L51" s="18" t="n">
        <v>194357.69</v>
      </c>
      <c r="M51" s="18" t="n">
        <v>190070.04</v>
      </c>
      <c r="N51" s="18" t="n">
        <v>189767.84</v>
      </c>
      <c r="O51" s="18" t="n">
        <v>229871.16</v>
      </c>
      <c r="P51" s="37" t="n">
        <v>229871.16</v>
      </c>
      <c r="Q51" s="18" t="n">
        <v>230498.78</v>
      </c>
      <c r="R51" s="18" t="n">
        <v>232402.12</v>
      </c>
      <c r="S51" s="18" t="n">
        <v>228153.53</v>
      </c>
      <c r="T51" s="18" t="n">
        <v>216837.08</v>
      </c>
      <c r="U51" s="37" t="n">
        <v>216837.08</v>
      </c>
      <c r="V51" s="18" t="n">
        <v>216348.65</v>
      </c>
      <c r="W51" s="18" t="n">
        <v>191306.02</v>
      </c>
      <c r="X51" s="18" t="n">
        <v>173589.43</v>
      </c>
      <c r="Y51" s="18" t="n">
        <v>164330.86</v>
      </c>
      <c r="Z51" s="37" t="n">
        <v>164330.86</v>
      </c>
      <c r="AA51" s="18" t="n">
        <v>163843.91</v>
      </c>
      <c r="AB51" s="19" t="n">
        <v>165104.81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518961.06</v>
      </c>
      <c r="F52" s="37" t="n">
        <v>518961.06</v>
      </c>
      <c r="G52" s="18" t="n">
        <v>531437.39</v>
      </c>
      <c r="H52" s="18" t="n">
        <v>557843.74</v>
      </c>
      <c r="I52" s="18" t="n">
        <v>536181.5600000001</v>
      </c>
      <c r="J52" s="18" t="n">
        <v>535684.5</v>
      </c>
      <c r="K52" s="37" t="n">
        <v>535684.5</v>
      </c>
      <c r="L52" s="18" t="n">
        <v>528217.6899999999</v>
      </c>
      <c r="M52" s="18" t="n">
        <v>522519.45</v>
      </c>
      <c r="N52" s="18" t="n">
        <v>514227.95</v>
      </c>
      <c r="O52" s="18" t="n">
        <v>544102.83</v>
      </c>
      <c r="P52" s="37" t="n">
        <v>544102.83</v>
      </c>
      <c r="Q52" s="18" t="n">
        <v>562139.97</v>
      </c>
      <c r="R52" s="18" t="n">
        <v>556028.14</v>
      </c>
      <c r="S52" s="18" t="n">
        <v>536149.2</v>
      </c>
      <c r="T52" s="18" t="n">
        <v>513396.1</v>
      </c>
      <c r="U52" s="37" t="n">
        <v>513396.1</v>
      </c>
      <c r="V52" s="18" t="n">
        <v>489106.95</v>
      </c>
      <c r="W52" s="18" t="n">
        <v>449288.28</v>
      </c>
      <c r="X52" s="18" t="n">
        <v>430664.3</v>
      </c>
      <c r="Y52" s="18" t="n">
        <v>399827.28</v>
      </c>
      <c r="Z52" s="37" t="n">
        <v>399827.28</v>
      </c>
      <c r="AA52" s="18" t="n">
        <v>389622.4</v>
      </c>
      <c r="AB52" s="19" t="n">
        <v>390504.61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222246.57</v>
      </c>
      <c r="F53" s="37" t="n">
        <v>222246.57</v>
      </c>
      <c r="G53" s="18" t="n">
        <v>228266.28</v>
      </c>
      <c r="H53" s="18" t="n">
        <v>250696.87</v>
      </c>
      <c r="I53" s="18" t="n">
        <v>240951.23</v>
      </c>
      <c r="J53" s="18" t="n">
        <v>247619.33</v>
      </c>
      <c r="K53" s="37" t="n">
        <v>247619.33</v>
      </c>
      <c r="L53" s="18" t="n">
        <v>235104.04</v>
      </c>
      <c r="M53" s="18" t="n">
        <v>235094.13</v>
      </c>
      <c r="N53" s="18" t="n">
        <v>212697.07</v>
      </c>
      <c r="O53" s="18" t="n">
        <v>208782.44</v>
      </c>
      <c r="P53" s="37" t="n">
        <v>208782.44</v>
      </c>
      <c r="Q53" s="18" t="n">
        <v>218135</v>
      </c>
      <c r="R53" s="18" t="n">
        <v>208377.12</v>
      </c>
      <c r="S53" s="18" t="n">
        <v>202355.39</v>
      </c>
      <c r="T53" s="18" t="n">
        <v>186390.43</v>
      </c>
      <c r="U53" s="37" t="n">
        <v>186390.43</v>
      </c>
      <c r="V53" s="18" t="n">
        <v>176581.45</v>
      </c>
      <c r="W53" s="18" t="n">
        <v>145194.23</v>
      </c>
      <c r="X53" s="18" t="n">
        <v>142430.59</v>
      </c>
      <c r="Y53" s="18" t="n">
        <v>135856.67</v>
      </c>
      <c r="Z53" s="37" t="n">
        <v>135856.67</v>
      </c>
      <c r="AA53" s="18" t="n">
        <v>133943.07</v>
      </c>
      <c r="AB53" s="19" t="n">
        <v>123354.72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210104.63</v>
      </c>
      <c r="F54" s="37" t="n">
        <v>210104.63</v>
      </c>
      <c r="G54" s="18" t="n">
        <v>214070.13</v>
      </c>
      <c r="H54" s="18" t="n">
        <v>230031.8</v>
      </c>
      <c r="I54" s="18" t="n">
        <v>229784.97</v>
      </c>
      <c r="J54" s="18" t="n">
        <v>229851.84</v>
      </c>
      <c r="K54" s="37" t="n">
        <v>229851.84</v>
      </c>
      <c r="L54" s="18" t="n">
        <v>227113.53</v>
      </c>
      <c r="M54" s="18" t="n">
        <v>222379.06</v>
      </c>
      <c r="N54" s="18" t="n">
        <v>200844.49</v>
      </c>
      <c r="O54" s="18" t="n">
        <v>198049.35</v>
      </c>
      <c r="P54" s="37" t="n">
        <v>198049.35</v>
      </c>
      <c r="Q54" s="18" t="n">
        <v>207134.41</v>
      </c>
      <c r="R54" s="18" t="n">
        <v>199877.46</v>
      </c>
      <c r="S54" s="18" t="n">
        <v>193635.57</v>
      </c>
      <c r="T54" s="18" t="n">
        <v>176438.23</v>
      </c>
      <c r="U54" s="37" t="n">
        <v>176438.23</v>
      </c>
      <c r="V54" s="18" t="n">
        <v>164277.89</v>
      </c>
      <c r="W54" s="18" t="n">
        <v>130807.78</v>
      </c>
      <c r="X54" s="18" t="n">
        <v>131231.26</v>
      </c>
      <c r="Y54" s="18" t="n">
        <v>124875.37</v>
      </c>
      <c r="Z54" s="37" t="n">
        <v>124875.37</v>
      </c>
      <c r="AA54" s="18" t="n">
        <v>125492.52</v>
      </c>
      <c r="AB54" s="19" t="n">
        <v>116464.98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14642.92</v>
      </c>
      <c r="F55" s="37" t="n">
        <v>14642.92</v>
      </c>
      <c r="G55" s="18" t="n">
        <v>16338</v>
      </c>
      <c r="H55" s="18" t="n">
        <v>23384.28</v>
      </c>
      <c r="I55" s="18" t="n">
        <v>13335.6</v>
      </c>
      <c r="J55" s="18" t="n">
        <v>19003.59</v>
      </c>
      <c r="K55" s="37" t="n">
        <v>19003.59</v>
      </c>
      <c r="L55" s="18" t="n">
        <v>9140.040000000001</v>
      </c>
      <c r="M55" s="18" t="n">
        <v>14011.75</v>
      </c>
      <c r="N55" s="18" t="n">
        <v>12773.77</v>
      </c>
      <c r="O55" s="18" t="n">
        <v>12367.84</v>
      </c>
      <c r="P55" s="37" t="n">
        <v>12367.84</v>
      </c>
      <c r="Q55" s="18" t="n">
        <v>11493.05</v>
      </c>
      <c r="R55" s="18" t="n">
        <v>9227.91</v>
      </c>
      <c r="S55" s="18" t="n">
        <v>9419.99</v>
      </c>
      <c r="T55" s="18" t="n">
        <v>10552.35</v>
      </c>
      <c r="U55" s="37" t="n">
        <v>10552.35</v>
      </c>
      <c r="V55" s="18" t="n">
        <v>12157.36</v>
      </c>
      <c r="W55" s="18" t="n">
        <v>14512.67</v>
      </c>
      <c r="X55" s="18" t="n">
        <v>11228.98</v>
      </c>
      <c r="Y55" s="18" t="n">
        <v>11020.75</v>
      </c>
      <c r="Z55" s="37" t="n">
        <v>11020.75</v>
      </c>
      <c r="AA55" s="18" t="n">
        <v>10241.86</v>
      </c>
      <c r="AB55" s="19" t="n">
        <v>9416.059999999999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I56" s="18" t="n">
        <v>2626.9</v>
      </c>
      <c r="J56" s="18" t="n">
        <v>2626.9</v>
      </c>
      <c r="K56" s="37" t="n">
        <v>2626.9</v>
      </c>
      <c r="M56" s="18" t="n">
        <v>4156.36</v>
      </c>
      <c r="N56" s="18" t="n">
        <v>4106.21</v>
      </c>
      <c r="O56" s="18" t="n">
        <v>22383.41</v>
      </c>
      <c r="P56" s="37" t="n">
        <v>22383.41</v>
      </c>
      <c r="Q56" s="18" t="n">
        <v>17434.8</v>
      </c>
      <c r="R56" s="18" t="n">
        <v>17434.8</v>
      </c>
      <c r="S56" s="18" t="n">
        <v>27878.69</v>
      </c>
      <c r="T56" s="18" t="n">
        <v>14698.12</v>
      </c>
      <c r="U56" s="37" t="n">
        <v>14698.12</v>
      </c>
      <c r="V56" s="18" t="n">
        <v>10756.11</v>
      </c>
      <c r="W56" s="18" t="n">
        <v>45254.01</v>
      </c>
      <c r="X56" s="18" t="n">
        <v>45254.01</v>
      </c>
      <c r="Y56" s="18" t="n">
        <v>67853.37</v>
      </c>
      <c r="Z56" s="37" t="n">
        <v>67853.37</v>
      </c>
      <c r="AA56" s="18" t="n">
        <v>57409.48</v>
      </c>
      <c r="AB56" s="19" t="n">
        <v>57409.48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단기금융자산</t>
        </is>
      </c>
      <c r="F58" s="9" t="n"/>
      <c r="J58" s="18" t="n">
        <v>459.39</v>
      </c>
      <c r="K58" s="37" t="n">
        <v>459.39</v>
      </c>
      <c r="L58" s="18" t="n">
        <v>94.51000000000001</v>
      </c>
      <c r="M58" s="18" t="n">
        <v>62.65</v>
      </c>
      <c r="N58" s="18" t="n">
        <v>110.07</v>
      </c>
      <c r="O58" s="18" t="n">
        <v>39.44</v>
      </c>
      <c r="P58" s="37" t="n">
        <v>39.44</v>
      </c>
      <c r="Q58" s="18" t="n">
        <v>23.34</v>
      </c>
      <c r="R58" s="18" t="n">
        <v>1.39</v>
      </c>
      <c r="S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계약부채</t>
        </is>
      </c>
      <c r="F59" s="9" t="n"/>
      <c r="K59" s="9" t="n"/>
      <c r="M59" s="18" t="n">
        <v>499.15</v>
      </c>
      <c r="N59" s="18" t="n">
        <v>88.59</v>
      </c>
      <c r="O59" s="18" t="n">
        <v>1023.79</v>
      </c>
      <c r="P59" s="37" t="n">
        <v>1023.79</v>
      </c>
      <c r="Q59" s="18" t="n">
        <v>281.53</v>
      </c>
      <c r="R59" s="18" t="n">
        <v>435.1</v>
      </c>
      <c r="S59" s="18" t="n">
        <v>1043.4</v>
      </c>
      <c r="T59" s="18" t="n">
        <v>880.67</v>
      </c>
      <c r="U59" s="37" t="n">
        <v>880.67</v>
      </c>
      <c r="V59" s="18" t="n">
        <v>204.88</v>
      </c>
      <c r="W59" s="18" t="n">
        <v>147.7</v>
      </c>
      <c r="X59" s="18" t="n">
        <v>25.92</v>
      </c>
      <c r="Y59" s="18" t="n">
        <v>0.8100000000000001</v>
      </c>
      <c r="Z59" s="37" t="n">
        <v>0.8100000000000001</v>
      </c>
      <c r="AA59" s="18" t="n">
        <v>35.06</v>
      </c>
      <c r="AB59" s="19" t="n">
        <v>101.36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M60" s="18" t="n">
        <v>148524.7</v>
      </c>
      <c r="N60" s="18" t="n">
        <v>152031.34</v>
      </c>
      <c r="O60" s="18" t="n">
        <v>139635.63</v>
      </c>
      <c r="P60" s="37" t="n">
        <v>139635.63</v>
      </c>
      <c r="T60" s="18" t="n">
        <v>143242.68</v>
      </c>
      <c r="U60" s="37" t="n">
        <v>143242.68</v>
      </c>
      <c r="Z60" s="9" t="n"/>
      <c r="AB60" s="19" t="n">
        <v>97273.92999999999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7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7" t="n">
        <v>7416.94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519.11</v>
      </c>
      <c r="F28" s="37" t="n">
        <v>519.11</v>
      </c>
      <c r="G28" s="18" t="n">
        <v>432.37</v>
      </c>
      <c r="H28" s="18" t="n">
        <v>788.86</v>
      </c>
      <c r="I28" s="18" t="n">
        <v>716.84</v>
      </c>
      <c r="J28" s="18" t="n">
        <v>829.05</v>
      </c>
      <c r="K28" s="37" t="n">
        <v>829.05</v>
      </c>
      <c r="L28" s="18" t="n">
        <v>867.86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219.71</v>
      </c>
      <c r="F35" s="37" t="n">
        <v>219.71</v>
      </c>
      <c r="G35" s="18" t="n">
        <v>191.7</v>
      </c>
      <c r="H35" s="18" t="n">
        <v>496.6</v>
      </c>
      <c r="I35" s="18" t="n">
        <v>474.65</v>
      </c>
      <c r="J35" s="18" t="n">
        <v>503.67</v>
      </c>
      <c r="K35" s="37" t="n">
        <v>503.67</v>
      </c>
      <c r="L35" s="18" t="n">
        <v>507.06</v>
      </c>
      <c r="M35" s="18" t="n">
        <v>354.22</v>
      </c>
      <c r="N35" s="18" t="n">
        <v>560.4</v>
      </c>
      <c r="O35" s="18" t="n">
        <v>526.39</v>
      </c>
      <c r="P35" s="37" t="n">
        <v>526.39</v>
      </c>
      <c r="Q35" s="18" t="n">
        <v>483.04</v>
      </c>
      <c r="R35" s="18" t="n">
        <v>483.54</v>
      </c>
      <c r="S35" s="18" t="n">
        <v>359.97</v>
      </c>
      <c r="T35" s="18" t="n">
        <v>321.04</v>
      </c>
      <c r="U35" s="37" t="n">
        <v>321.04</v>
      </c>
      <c r="V35" s="18" t="n">
        <v>292.37</v>
      </c>
      <c r="W35" s="18" t="n">
        <v>733.5599999999999</v>
      </c>
      <c r="X35" s="18" t="n">
        <v>747.88</v>
      </c>
      <c r="Y35" s="18" t="n">
        <v>732.7</v>
      </c>
      <c r="Z35" s="37" t="n">
        <v>732.7</v>
      </c>
      <c r="AA35" s="18" t="n">
        <v>156.84</v>
      </c>
      <c r="AB35" s="19" t="n">
        <v>125.1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219.71</v>
      </c>
      <c r="F36" s="37" t="n">
        <v>219.71</v>
      </c>
      <c r="G36" s="18" t="n">
        <v>1531.81</v>
      </c>
      <c r="H36" s="18" t="n">
        <v>496.6</v>
      </c>
      <c r="I36" s="18" t="n">
        <v>474.65</v>
      </c>
      <c r="J36" s="18" t="n">
        <v>503.67</v>
      </c>
      <c r="K36" s="37" t="n">
        <v>503.67</v>
      </c>
      <c r="L36" s="18" t="n">
        <v>507.06</v>
      </c>
      <c r="M36" s="18" t="n">
        <v>354.22</v>
      </c>
      <c r="N36" s="18" t="n">
        <v>560.4</v>
      </c>
      <c r="O36" s="18" t="n">
        <v>526.39</v>
      </c>
      <c r="P36" s="37" t="n">
        <v>526.39</v>
      </c>
      <c r="Q36" s="18" t="n">
        <v>483.04</v>
      </c>
      <c r="R36" s="18" t="n">
        <v>483.54</v>
      </c>
      <c r="S36" s="18" t="n">
        <v>359.97</v>
      </c>
      <c r="T36" s="18" t="n">
        <v>321.04</v>
      </c>
      <c r="U36" s="37" t="n">
        <v>321.04</v>
      </c>
      <c r="V36" s="18" t="n">
        <v>292.37</v>
      </c>
      <c r="W36" s="18" t="n">
        <v>733.5599999999999</v>
      </c>
      <c r="X36" s="18" t="n">
        <v>747.88</v>
      </c>
      <c r="Y36" s="18" t="n">
        <v>2823.8</v>
      </c>
      <c r="Z36" s="37" t="n">
        <v>2823.8</v>
      </c>
      <c r="AA36" s="18" t="n">
        <v>1916.89</v>
      </c>
      <c r="AB36" s="19" t="n">
        <v>2110.56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6132.63</v>
      </c>
      <c r="F37" s="37" t="n">
        <v>6132.63</v>
      </c>
      <c r="G37" s="18" t="n">
        <v>6637.91</v>
      </c>
      <c r="H37" s="18" t="n">
        <v>7171.06</v>
      </c>
      <c r="I37" s="18" t="n">
        <v>7482.27</v>
      </c>
      <c r="J37" s="18" t="n">
        <v>4775.05</v>
      </c>
      <c r="K37" s="37" t="n">
        <v>4775.05</v>
      </c>
      <c r="L37" s="18" t="n">
        <v>4739.98</v>
      </c>
      <c r="M37" s="18" t="n">
        <v>4868.53</v>
      </c>
      <c r="N37" s="18" t="n">
        <v>5146.41</v>
      </c>
      <c r="O37" s="18" t="n">
        <v>5863.45</v>
      </c>
      <c r="P37" s="37" t="n">
        <v>5863.45</v>
      </c>
      <c r="Q37" s="18" t="n">
        <v>2135.54</v>
      </c>
      <c r="R37" s="18" t="n">
        <v>2423.84</v>
      </c>
      <c r="S37" s="18" t="n">
        <v>2725.84</v>
      </c>
      <c r="T37" s="18" t="n">
        <v>5638.04</v>
      </c>
      <c r="U37" s="37" t="n">
        <v>5638.04</v>
      </c>
      <c r="V37" s="18" t="n">
        <v>5441.07</v>
      </c>
      <c r="W37" s="18" t="n">
        <v>5080.83</v>
      </c>
      <c r="X37" s="18" t="n">
        <v>3778.42</v>
      </c>
      <c r="Y37" s="18" t="n">
        <v>2474.33</v>
      </c>
      <c r="Z37" s="37" t="n">
        <v>2474.33</v>
      </c>
      <c r="AA37" s="18" t="n">
        <v>2186.12</v>
      </c>
      <c r="AB37" s="19" t="n">
        <v>2339.13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11116.36</v>
      </c>
      <c r="F38" s="37" t="n">
        <v>11116.36</v>
      </c>
      <c r="G38" s="18" t="n">
        <v>10576.49</v>
      </c>
      <c r="H38" s="18" t="n">
        <v>10840.04</v>
      </c>
      <c r="I38" s="18" t="n">
        <v>10631.75</v>
      </c>
      <c r="J38" s="18" t="n">
        <v>10029.25</v>
      </c>
      <c r="K38" s="37" t="n">
        <v>10029.25</v>
      </c>
      <c r="L38" s="18" t="n">
        <v>10048.51</v>
      </c>
      <c r="M38" s="18" t="n">
        <v>10546.53</v>
      </c>
      <c r="N38" s="18" t="n">
        <v>10528.54</v>
      </c>
      <c r="O38" s="18" t="n">
        <v>20117.68</v>
      </c>
      <c r="P38" s="37" t="n">
        <v>20117.68</v>
      </c>
      <c r="Q38" s="18" t="n">
        <v>20904.17</v>
      </c>
      <c r="R38" s="18" t="n">
        <v>20265.25</v>
      </c>
      <c r="S38" s="18" t="n">
        <v>20904.17</v>
      </c>
      <c r="T38" s="18" t="n">
        <v>20983.01</v>
      </c>
      <c r="U38" s="37" t="n">
        <v>20983.01</v>
      </c>
      <c r="V38" s="18" t="n">
        <v>20983.01</v>
      </c>
      <c r="W38" s="18" t="n">
        <v>14949.4</v>
      </c>
      <c r="X38" s="18" t="n">
        <v>20983.01</v>
      </c>
      <c r="Y38" s="18" t="n">
        <v>9048.91</v>
      </c>
      <c r="Z38" s="37" t="n">
        <v>9048.91</v>
      </c>
      <c r="AA38" s="18" t="n">
        <v>9048.91</v>
      </c>
      <c r="AB38" s="19" t="n">
        <v>8196.84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173491.69</v>
      </c>
      <c r="F39" s="37" t="n">
        <v>173491.69</v>
      </c>
      <c r="G39" s="18" t="n">
        <v>209931.87</v>
      </c>
      <c r="H39" s="18" t="n">
        <v>187266.79</v>
      </c>
      <c r="I39" s="18" t="n">
        <v>192773.87</v>
      </c>
      <c r="J39" s="18" t="n">
        <v>177065.86</v>
      </c>
      <c r="K39" s="37" t="n">
        <v>177065.86</v>
      </c>
      <c r="L39" s="18" t="n">
        <v>174944.64</v>
      </c>
      <c r="M39" s="18" t="n">
        <v>171344.41</v>
      </c>
      <c r="N39" s="18" t="n">
        <v>162998.36</v>
      </c>
      <c r="O39" s="18" t="n">
        <v>165547.65</v>
      </c>
      <c r="P39" s="37" t="n">
        <v>165547.65</v>
      </c>
      <c r="Q39" s="18" t="n">
        <v>135633.5</v>
      </c>
      <c r="R39" s="18" t="n">
        <v>129872.49</v>
      </c>
      <c r="S39" s="18" t="n">
        <v>125364.17</v>
      </c>
      <c r="T39" s="18" t="n">
        <v>128415.21</v>
      </c>
      <c r="U39" s="37" t="n">
        <v>128415.21</v>
      </c>
      <c r="V39" s="18" t="n">
        <v>112304.53</v>
      </c>
      <c r="W39" s="18" t="n">
        <v>100821.62</v>
      </c>
      <c r="X39" s="18" t="n">
        <v>101953.35</v>
      </c>
      <c r="Y39" s="18" t="n">
        <v>83205.39</v>
      </c>
      <c r="Z39" s="37" t="n">
        <v>83205.39</v>
      </c>
      <c r="AA39" s="18" t="n">
        <v>72168.74000000001</v>
      </c>
      <c r="AB39" s="19" t="n">
        <v>70909.85000000001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50655.19</v>
      </c>
      <c r="F40" s="37" t="n">
        <v>50655.19</v>
      </c>
      <c r="G40" s="18" t="n">
        <v>50655.19</v>
      </c>
      <c r="H40" s="18" t="n">
        <v>50655.19</v>
      </c>
      <c r="I40" s="18" t="n">
        <v>50655.19</v>
      </c>
      <c r="J40" s="18" t="n">
        <v>50655.19</v>
      </c>
      <c r="K40" s="37" t="n">
        <v>50655.19</v>
      </c>
      <c r="L40" s="18" t="n">
        <v>50655.19</v>
      </c>
      <c r="M40" s="18" t="n">
        <v>50655.19</v>
      </c>
      <c r="N40" s="18" t="n">
        <v>50655.19</v>
      </c>
      <c r="O40" s="18" t="n">
        <v>50655.19</v>
      </c>
      <c r="P40" s="37" t="n">
        <v>50655.19</v>
      </c>
      <c r="Q40" s="18" t="n">
        <v>50655.19</v>
      </c>
      <c r="R40" s="18" t="n">
        <v>50655.19</v>
      </c>
      <c r="S40" s="18" t="n">
        <v>50655.19</v>
      </c>
      <c r="T40" s="18" t="n">
        <v>50655.19</v>
      </c>
      <c r="U40" s="37" t="n">
        <v>50655.19</v>
      </c>
      <c r="V40" s="18" t="n">
        <v>50655.19</v>
      </c>
      <c r="W40" s="18" t="n">
        <v>50655.19</v>
      </c>
      <c r="X40" s="18" t="n">
        <v>50655.19</v>
      </c>
      <c r="Y40" s="18" t="n">
        <v>50655.19</v>
      </c>
      <c r="Z40" s="37" t="n">
        <v>50655.19</v>
      </c>
      <c r="AA40" s="18" t="n">
        <v>50655.19</v>
      </c>
      <c r="AB40" s="19" t="n">
        <v>39051.76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94821.45</v>
      </c>
      <c r="F41" s="37" t="n">
        <v>94821.45</v>
      </c>
      <c r="G41" s="18" t="n">
        <v>94821.45</v>
      </c>
      <c r="H41" s="18" t="n">
        <v>94821.45</v>
      </c>
      <c r="I41" s="18" t="n">
        <v>94821.45</v>
      </c>
      <c r="J41" s="18" t="n">
        <v>94821.45</v>
      </c>
      <c r="K41" s="37" t="n">
        <v>94821.45</v>
      </c>
      <c r="L41" s="18" t="n">
        <v>94821.45</v>
      </c>
      <c r="M41" s="18" t="n">
        <v>94821.45</v>
      </c>
      <c r="N41" s="18" t="n">
        <v>94821.45</v>
      </c>
      <c r="O41" s="18" t="n">
        <v>94821.45</v>
      </c>
      <c r="P41" s="37" t="n">
        <v>94821.45</v>
      </c>
      <c r="Q41" s="18" t="n">
        <v>94821.45</v>
      </c>
      <c r="R41" s="18" t="n">
        <v>94821.45</v>
      </c>
      <c r="S41" s="18" t="n">
        <v>94821.45</v>
      </c>
      <c r="T41" s="18" t="n">
        <v>94821.45</v>
      </c>
      <c r="U41" s="37" t="n">
        <v>94821.45</v>
      </c>
      <c r="V41" s="18" t="n">
        <v>94821.45</v>
      </c>
      <c r="W41" s="18" t="n">
        <v>94821.45</v>
      </c>
      <c r="X41" s="18" t="n">
        <v>94821.45</v>
      </c>
      <c r="Y41" s="18" t="n">
        <v>94821.45</v>
      </c>
      <c r="Z41" s="37" t="n">
        <v>94821.45</v>
      </c>
      <c r="AA41" s="18" t="n">
        <v>94821.45</v>
      </c>
      <c r="AB41" s="19" t="n">
        <v>94821.45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-74141.44</v>
      </c>
      <c r="F42" s="37" t="n">
        <v>-74141.44</v>
      </c>
      <c r="G42" s="18" t="n">
        <v>-74141.44</v>
      </c>
      <c r="H42" s="18" t="n">
        <v>-74141.44</v>
      </c>
      <c r="I42" s="18" t="n">
        <v>-74141.44</v>
      </c>
      <c r="J42" s="18" t="n">
        <v>-74141.44</v>
      </c>
      <c r="K42" s="37" t="n">
        <v>-74141.44</v>
      </c>
      <c r="L42" s="18" t="n">
        <v>-74141.44</v>
      </c>
      <c r="M42" s="18" t="n">
        <v>-74141.44</v>
      </c>
      <c r="N42" s="18" t="n">
        <v>-74141.44</v>
      </c>
      <c r="O42" s="18" t="n">
        <v>-74141.44</v>
      </c>
      <c r="P42" s="37" t="n">
        <v>-74141.44</v>
      </c>
      <c r="Q42" s="18" t="n">
        <v>-74895.09</v>
      </c>
      <c r="R42" s="18" t="n">
        <v>-74895.09</v>
      </c>
      <c r="S42" s="18" t="n">
        <v>-74895.09</v>
      </c>
      <c r="T42" s="18" t="n">
        <v>-74895.09</v>
      </c>
      <c r="U42" s="37" t="n">
        <v>-74895.09</v>
      </c>
      <c r="V42" s="18" t="n">
        <v>-74895.09</v>
      </c>
      <c r="W42" s="18" t="n">
        <v>-74895.09</v>
      </c>
      <c r="X42" s="18" t="n">
        <v>-74920.67</v>
      </c>
      <c r="Y42" s="18" t="n">
        <v>-73717.85000000001</v>
      </c>
      <c r="Z42" s="37" t="n">
        <v>-73717.85000000001</v>
      </c>
      <c r="AA42" s="18" t="n">
        <v>-72787.2</v>
      </c>
      <c r="AB42" s="19" t="n">
        <v>-60145.46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4546.15</v>
      </c>
      <c r="F43" s="37" t="n">
        <v>4546.15</v>
      </c>
      <c r="G43" s="18" t="n">
        <v>7144.48</v>
      </c>
      <c r="H43" s="18" t="n">
        <v>7854.87</v>
      </c>
      <c r="I43" s="18" t="n">
        <v>8532.190000000001</v>
      </c>
      <c r="J43" s="18" t="n">
        <v>7043.37</v>
      </c>
      <c r="K43" s="37" t="n">
        <v>7043.37</v>
      </c>
      <c r="L43" s="18" t="n">
        <v>7416.77</v>
      </c>
      <c r="M43" s="18" t="n">
        <v>7587.32</v>
      </c>
      <c r="N43" s="18" t="n">
        <v>7779.01</v>
      </c>
      <c r="O43" s="18" t="n">
        <v>48757.41</v>
      </c>
      <c r="P43" s="37" t="n">
        <v>48757.41</v>
      </c>
      <c r="Q43" s="18" t="n">
        <v>47655.73</v>
      </c>
      <c r="R43" s="18" t="n">
        <v>46854.59</v>
      </c>
      <c r="S43" s="18" t="n">
        <v>46841.2</v>
      </c>
      <c r="T43" s="18" t="n">
        <v>48735.4</v>
      </c>
      <c r="U43" s="37" t="n">
        <v>48735.4</v>
      </c>
      <c r="V43" s="18" t="n">
        <v>47554.68</v>
      </c>
      <c r="W43" s="18" t="n">
        <v>47542.6</v>
      </c>
      <c r="X43" s="18" t="n">
        <v>47502.18</v>
      </c>
      <c r="Y43" s="18" t="n">
        <v>48565.32</v>
      </c>
      <c r="Z43" s="37" t="n">
        <v>48565.32</v>
      </c>
      <c r="AA43" s="18" t="n">
        <v>47476.33</v>
      </c>
      <c r="AB43" s="19" t="n">
        <v>47778.48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96376.35000000001</v>
      </c>
      <c r="F44" s="37" t="n">
        <v>96376.35000000001</v>
      </c>
      <c r="G44" s="18" t="n">
        <v>95969.25999999999</v>
      </c>
      <c r="H44" s="18" t="n">
        <v>99814.59</v>
      </c>
      <c r="I44" s="18" t="n">
        <v>100585.13</v>
      </c>
      <c r="J44" s="18" t="n">
        <v>98704.81</v>
      </c>
      <c r="K44" s="37" t="n">
        <v>98704.81</v>
      </c>
      <c r="L44" s="18" t="n">
        <v>97240.57000000001</v>
      </c>
      <c r="M44" s="18" t="n">
        <v>95185.07000000001</v>
      </c>
      <c r="N44" s="18" t="n">
        <v>94412.03999999999</v>
      </c>
      <c r="O44" s="18" t="n">
        <v>90920.17999999999</v>
      </c>
      <c r="P44" s="37" t="n">
        <v>90920.17999999999</v>
      </c>
      <c r="Q44" s="18" t="n">
        <v>93327.91</v>
      </c>
      <c r="R44" s="18" t="n">
        <v>93423.37</v>
      </c>
      <c r="S44" s="18" t="n">
        <v>90271.46000000001</v>
      </c>
      <c r="T44" s="18" t="n">
        <v>82295.72</v>
      </c>
      <c r="U44" s="37" t="n">
        <v>82295.72</v>
      </c>
      <c r="V44" s="18" t="n">
        <v>83376.84</v>
      </c>
      <c r="W44" s="18" t="n">
        <v>58652.85</v>
      </c>
      <c r="X44" s="18" t="n">
        <v>41506.53</v>
      </c>
      <c r="Y44" s="18" t="n">
        <v>30940.06</v>
      </c>
      <c r="Z44" s="37" t="n">
        <v>30940.06</v>
      </c>
      <c r="AA44" s="18" t="n">
        <v>31353.08</v>
      </c>
      <c r="AB44" s="19" t="n">
        <v>31086.45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345749.39</v>
      </c>
      <c r="F46" s="37" t="n">
        <v>345749.39</v>
      </c>
      <c r="G46" s="18" t="n">
        <v>384380.8</v>
      </c>
      <c r="H46" s="18" t="n">
        <v>366271.45</v>
      </c>
      <c r="I46" s="18" t="n">
        <v>373226.39</v>
      </c>
      <c r="J46" s="18" t="n">
        <v>354149.24</v>
      </c>
      <c r="K46" s="37" t="n">
        <v>354149.24</v>
      </c>
      <c r="L46" s="18" t="n">
        <v>350937.17</v>
      </c>
      <c r="M46" s="18" t="n">
        <v>345452.01</v>
      </c>
      <c r="N46" s="18" t="n">
        <v>336524.6</v>
      </c>
      <c r="O46" s="18" t="n">
        <v>376560.43</v>
      </c>
      <c r="P46" s="37" t="n">
        <v>376560.43</v>
      </c>
      <c r="Q46" s="18" t="n">
        <v>347198.68</v>
      </c>
      <c r="R46" s="18" t="n">
        <v>340732</v>
      </c>
      <c r="S46" s="18" t="n">
        <v>333058.38</v>
      </c>
      <c r="T46" s="18" t="n">
        <v>330027.88</v>
      </c>
      <c r="U46" s="37" t="n">
        <v>330027.88</v>
      </c>
      <c r="V46" s="18" t="n">
        <v>313817.59</v>
      </c>
      <c r="W46" s="18" t="n">
        <v>277598.62</v>
      </c>
      <c r="X46" s="18" t="n">
        <v>261518.02</v>
      </c>
      <c r="Y46" s="18" t="n">
        <v>234469.55</v>
      </c>
      <c r="Z46" s="37" t="n">
        <v>234469.55</v>
      </c>
      <c r="AA46" s="18" t="n">
        <v>223687.59</v>
      </c>
      <c r="AB46" s="19" t="n">
        <v>223502.53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172257.7</v>
      </c>
      <c r="F47" s="37" t="n">
        <v>172257.7</v>
      </c>
      <c r="G47" s="18" t="n">
        <v>174448.94</v>
      </c>
      <c r="H47" s="18" t="n">
        <v>179004.66</v>
      </c>
      <c r="I47" s="18" t="n">
        <v>180452.52</v>
      </c>
      <c r="J47" s="18" t="n">
        <v>177083.38</v>
      </c>
      <c r="K47" s="37" t="n">
        <v>177083.38</v>
      </c>
      <c r="L47" s="18" t="n">
        <v>175992.54</v>
      </c>
      <c r="M47" s="18" t="n">
        <v>174107.59</v>
      </c>
      <c r="N47" s="18" t="n">
        <v>173526.24</v>
      </c>
      <c r="O47" s="18" t="n">
        <v>211012.79</v>
      </c>
      <c r="P47" s="37" t="n">
        <v>211012.79</v>
      </c>
      <c r="Q47" s="18" t="n">
        <v>211565.18</v>
      </c>
      <c r="R47" s="18" t="n">
        <v>210859.51</v>
      </c>
      <c r="S47" s="18" t="n">
        <v>207694.2</v>
      </c>
      <c r="T47" s="18" t="n">
        <v>201612.67</v>
      </c>
      <c r="U47" s="37" t="n">
        <v>201612.67</v>
      </c>
      <c r="V47" s="18" t="n">
        <v>201513.06</v>
      </c>
      <c r="W47" s="18" t="n">
        <v>176777</v>
      </c>
      <c r="X47" s="18" t="n">
        <v>159564.67</v>
      </c>
      <c r="Y47" s="18" t="n">
        <v>151264.16</v>
      </c>
      <c r="Z47" s="37" t="n">
        <v>151264.16</v>
      </c>
      <c r="AA47" s="18" t="n">
        <v>151518.85</v>
      </c>
      <c r="AB47" s="19" t="n">
        <v>152592.68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123111.23</v>
      </c>
      <c r="F48" s="37" t="n">
        <v>123111.23</v>
      </c>
      <c r="G48" s="18" t="n">
        <v>133569.84</v>
      </c>
      <c r="H48" s="18" t="n">
        <v>135397.01</v>
      </c>
      <c r="I48" s="18" t="n">
        <v>137473.49</v>
      </c>
      <c r="J48" s="18" t="n">
        <v>134858.31</v>
      </c>
      <c r="K48" s="37" t="n">
        <v>134858.31</v>
      </c>
      <c r="L48" s="18" t="n">
        <v>128932.39</v>
      </c>
      <c r="M48" s="18" t="n">
        <v>127423.32</v>
      </c>
      <c r="N48" s="18" t="n">
        <v>116614.56</v>
      </c>
      <c r="O48" s="18" t="n">
        <v>106407.62</v>
      </c>
      <c r="P48" s="37" t="n">
        <v>106407.62</v>
      </c>
      <c r="Q48" s="18" t="n">
        <v>88329.14</v>
      </c>
      <c r="R48" s="18" t="n">
        <v>81297.56</v>
      </c>
      <c r="S48" s="18" t="n">
        <v>76841.05</v>
      </c>
      <c r="T48" s="18" t="n">
        <v>75867.37</v>
      </c>
      <c r="U48" s="37" t="n">
        <v>75867.37</v>
      </c>
      <c r="V48" s="18" t="n">
        <v>67182.87</v>
      </c>
      <c r="W48" s="18" t="n">
        <v>51367.21</v>
      </c>
      <c r="X48" s="18" t="n">
        <v>47928.97</v>
      </c>
      <c r="Y48" s="18" t="n">
        <v>44448.39</v>
      </c>
      <c r="Z48" s="37" t="n">
        <v>44448.39</v>
      </c>
      <c r="AA48" s="18" t="n">
        <v>41196.26</v>
      </c>
      <c r="AB48" s="19" t="n">
        <v>38761.32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119750.66</v>
      </c>
      <c r="F49" s="37" t="n">
        <v>119750.66</v>
      </c>
      <c r="G49" s="18" t="n">
        <v>126557.61</v>
      </c>
      <c r="H49" s="18" t="n">
        <v>129709.26</v>
      </c>
      <c r="I49" s="18" t="n">
        <v>134121.86</v>
      </c>
      <c r="J49" s="18" t="n">
        <v>127987.2</v>
      </c>
      <c r="K49" s="37" t="n">
        <v>127987.2</v>
      </c>
      <c r="L49" s="18" t="n">
        <v>124071.63</v>
      </c>
      <c r="M49" s="18" t="n">
        <v>118984.8</v>
      </c>
      <c r="N49" s="18" t="n">
        <v>109847.61</v>
      </c>
      <c r="O49" s="18" t="n">
        <v>99761.63</v>
      </c>
      <c r="P49" s="37" t="n">
        <v>99761.63</v>
      </c>
      <c r="Q49" s="18" t="n">
        <v>81889.87</v>
      </c>
      <c r="R49" s="18" t="n">
        <v>77820.00999999999</v>
      </c>
      <c r="S49" s="18" t="n">
        <v>74409.95</v>
      </c>
      <c r="T49" s="18" t="n">
        <v>70417.74000000001</v>
      </c>
      <c r="U49" s="37" t="n">
        <v>70417.74000000001</v>
      </c>
      <c r="V49" s="18" t="n">
        <v>58625.23</v>
      </c>
      <c r="W49" s="18" t="n">
        <v>44808.59</v>
      </c>
      <c r="X49" s="18" t="n">
        <v>41662.78</v>
      </c>
      <c r="Y49" s="18" t="n">
        <v>37648.93</v>
      </c>
      <c r="Z49" s="37" t="n">
        <v>37648.93</v>
      </c>
      <c r="AA49" s="18" t="n">
        <v>37736.15</v>
      </c>
      <c r="AB49" s="19" t="n">
        <v>35976.13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5030.55</v>
      </c>
      <c r="F50" s="37" t="n">
        <v>5030.55</v>
      </c>
      <c r="G50" s="18" t="n">
        <v>8320.08</v>
      </c>
      <c r="H50" s="18" t="n">
        <v>7239.96</v>
      </c>
      <c r="I50" s="18" t="n">
        <v>4350.97</v>
      </c>
      <c r="J50" s="18" t="n">
        <v>7924.21</v>
      </c>
      <c r="K50" s="37" t="n">
        <v>7924.21</v>
      </c>
      <c r="L50" s="18" t="n">
        <v>5824.29</v>
      </c>
      <c r="M50" s="18" t="n">
        <v>9546.200000000001</v>
      </c>
      <c r="N50" s="18" t="n">
        <v>7684.14</v>
      </c>
      <c r="O50" s="18" t="n">
        <v>8278.74</v>
      </c>
      <c r="P50" s="37" t="n">
        <v>8278.74</v>
      </c>
      <c r="Q50" s="18" t="n">
        <v>6914.4</v>
      </c>
      <c r="R50" s="18" t="n">
        <v>4187.91</v>
      </c>
      <c r="S50" s="18" t="n">
        <v>3112.07</v>
      </c>
      <c r="T50" s="18" t="n">
        <v>6026.08</v>
      </c>
      <c r="U50" s="37" t="n">
        <v>6026.08</v>
      </c>
      <c r="V50" s="18" t="n">
        <v>8384.16</v>
      </c>
      <c r="W50" s="18" t="n">
        <v>6655.67</v>
      </c>
      <c r="X50" s="18" t="n">
        <v>6263.23</v>
      </c>
      <c r="Y50" s="18" t="n">
        <v>6802.96</v>
      </c>
      <c r="Z50" s="37" t="n">
        <v>6802.96</v>
      </c>
      <c r="AA50" s="18" t="n">
        <v>5211.13</v>
      </c>
      <c r="AB50" s="19" t="n">
        <v>2788.69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G51" s="18" t="n">
        <v>6083.08</v>
      </c>
      <c r="K51" s="9" t="n"/>
      <c r="P51" s="9" t="n"/>
      <c r="U51" s="9" t="n"/>
      <c r="Y51" s="18" t="n">
        <v>2594.46</v>
      </c>
      <c r="Z51" s="37" t="n">
        <v>2594.46</v>
      </c>
      <c r="AA51" s="18" t="n">
        <v>2184.36</v>
      </c>
      <c r="AB51" s="19" t="n">
        <v>2281.56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F52" s="9" t="n"/>
      <c r="G52" s="18" t="n">
        <v>1340.11</v>
      </c>
      <c r="K52" s="9" t="n"/>
      <c r="P52" s="9" t="n"/>
      <c r="U52" s="9" t="n"/>
      <c r="Y52" s="18" t="n">
        <v>2091.1</v>
      </c>
      <c r="Z52" s="37" t="n">
        <v>2091.1</v>
      </c>
      <c r="AA52" s="18" t="n">
        <v>1760.05</v>
      </c>
      <c r="AB52" s="19" t="n">
        <v>1985.46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I53" s="18" t="n">
        <v>2626.9</v>
      </c>
      <c r="J53" s="18" t="n">
        <v>2626.9</v>
      </c>
      <c r="K53" s="37" t="n">
        <v>2626.9</v>
      </c>
      <c r="M53" s="18" t="n">
        <v>6105.86</v>
      </c>
      <c r="N53" s="18" t="n">
        <v>6034.71</v>
      </c>
      <c r="O53" s="18" t="n">
        <v>5827.81</v>
      </c>
      <c r="P53" s="37" t="n">
        <v>5827.81</v>
      </c>
      <c r="S53" s="18" t="n">
        <v>10443.89</v>
      </c>
      <c r="T53" s="18" t="n">
        <v>14150.1</v>
      </c>
      <c r="U53" s="37" t="n">
        <v>14150.1</v>
      </c>
      <c r="V53" s="18" t="n">
        <v>10443.89</v>
      </c>
      <c r="W53" s="18" t="n">
        <v>44941.79</v>
      </c>
      <c r="X53" s="18" t="n">
        <v>44941.79</v>
      </c>
      <c r="Z53" s="9" t="n"/>
      <c r="AA53" s="18" t="n">
        <v>57409.48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유동파생상품자산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J55" s="18" t="n">
        <v>25.71</v>
      </c>
      <c r="K55" s="37" t="n">
        <v>25.71</v>
      </c>
      <c r="L55" s="18" t="n">
        <v>15.13</v>
      </c>
      <c r="M55" s="18" t="n">
        <v>6.98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M56" s="18" t="n">
        <v>499.15</v>
      </c>
      <c r="N56" s="18" t="n">
        <v>88.59</v>
      </c>
      <c r="O56" s="18" t="n">
        <v>104.17</v>
      </c>
      <c r="P56" s="37" t="n">
        <v>104.17</v>
      </c>
      <c r="Q56" s="18" t="n">
        <v>237.37</v>
      </c>
      <c r="R56" s="18" t="n">
        <v>419.02</v>
      </c>
      <c r="S56" s="18" t="n">
        <v>1009.91</v>
      </c>
      <c r="T56" s="18" t="n">
        <v>847.89</v>
      </c>
      <c r="U56" s="37" t="n">
        <v>847.89</v>
      </c>
      <c r="V56" s="18" t="n">
        <v>158.87</v>
      </c>
      <c r="W56" s="18" t="n">
        <v>132.5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96758.42</v>
      </c>
      <c r="N57" s="18" t="n">
        <v>96768.67999999999</v>
      </c>
      <c r="O57" s="18" t="n">
        <v>90823.85000000001</v>
      </c>
      <c r="P57" s="37" t="n">
        <v>90823.85000000001</v>
      </c>
      <c r="Q57" s="18" t="n">
        <v>79509.35000000001</v>
      </c>
      <c r="R57" s="18" t="n">
        <v>76160.89</v>
      </c>
      <c r="S57" s="18" t="n">
        <v>74341.05</v>
      </c>
      <c r="T57" s="18" t="n">
        <v>74617.37</v>
      </c>
      <c r="U57" s="37" t="n">
        <v>74617.37</v>
      </c>
      <c r="V57" s="18" t="n">
        <v>67182.87</v>
      </c>
      <c r="W57" s="18" t="n">
        <v>51367.21</v>
      </c>
      <c r="X57" s="18" t="n">
        <v>47928.97</v>
      </c>
      <c r="Y57" s="18" t="n">
        <v>41853.93</v>
      </c>
      <c r="Z57" s="37" t="n">
        <v>41853.93</v>
      </c>
      <c r="AA57" s="18" t="n">
        <v>39011.9</v>
      </c>
      <c r="AB57" s="19" t="n">
        <v>36479.76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16199.35</v>
      </c>
      <c r="N58" s="18" t="n">
        <v>14005.91</v>
      </c>
      <c r="O58" s="18" t="n">
        <v>11812.46</v>
      </c>
      <c r="P58" s="37" t="n">
        <v>11812.46</v>
      </c>
      <c r="Q58" s="18" t="n">
        <v>5833.33</v>
      </c>
      <c r="R58" s="18" t="n">
        <v>4166.67</v>
      </c>
      <c r="S58" s="18" t="n">
        <v>2500</v>
      </c>
      <c r="T58" s="18" t="n">
        <v>1250</v>
      </c>
      <c r="U58" s="37" t="n">
        <v>1250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13.9003692</v>
      </c>
      <c r="F33" s="28">
        <f>E33</f>
        <v/>
      </c>
      <c r="G33" s="32" t="n">
        <v>13.9003692</v>
      </c>
      <c r="H33" s="32" t="n">
        <v>13.9003692</v>
      </c>
      <c r="I33" s="32" t="n">
        <v>13.9003692</v>
      </c>
      <c r="J33" s="32" t="n">
        <v>13.9003692</v>
      </c>
      <c r="K33" s="28">
        <f>J33</f>
        <v/>
      </c>
      <c r="L33" s="32" t="n">
        <v>13.9003692</v>
      </c>
      <c r="M33" s="32" t="n">
        <v>13.9003692</v>
      </c>
      <c r="N33" s="32" t="n">
        <v>13.9003692</v>
      </c>
      <c r="O33" s="32" t="n">
        <v>13.9003692</v>
      </c>
      <c r="P33" s="28">
        <f>O33</f>
        <v/>
      </c>
      <c r="Q33" s="32" t="n">
        <v>13.9003692</v>
      </c>
      <c r="R33" s="32" t="n">
        <v>13.6340606</v>
      </c>
      <c r="S33" s="32" t="n">
        <v>13.6340606</v>
      </c>
      <c r="T33" s="32" t="n">
        <v>13.6340606</v>
      </c>
      <c r="U33" s="28">
        <f>T33</f>
        <v/>
      </c>
      <c r="V33" s="32" t="n">
        <v>13.6340606</v>
      </c>
      <c r="W33" s="32" t="n">
        <v>13.6340606</v>
      </c>
      <c r="X33" s="32" t="n">
        <v>13.6340606</v>
      </c>
      <c r="Y33" s="32" t="n">
        <v>13.6207034</v>
      </c>
      <c r="Z33" s="28">
        <f>Y33</f>
        <v/>
      </c>
      <c r="AA33" s="32" t="n">
        <v>13.6207034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20">
        <f>IFERROR((Y21-(-156.9)*(0.9315))*100/Y33,"")</f>
        <v/>
      </c>
      <c r="Z35" s="37">
        <f>SUM(V35:Y35)</f>
        <v/>
      </c>
      <c r="AA35" s="18">
        <f>IFERROR(AA34,"")</f>
        <v/>
      </c>
      <c r="AB35" s="19">
        <f>IFERROR(AB34,"")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