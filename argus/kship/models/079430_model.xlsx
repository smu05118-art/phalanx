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분기" sheetId="6" state="visible" r:id="rId6"/>
    <sheet name="연간예상" sheetId="7" state="visible" r:id="rId7"/>
    <sheet name="TP" sheetId="8" state="visible" r:id="rId8"/>
    <sheet name="외화" sheetId="9" state="visible" r:id="rId9"/>
  </sheets>
  <definedNames>
    <definedName name="변수H">변수!$C$1:$AO$1</definedName>
    <definedName name="환율">변수!$C$6:$AO$13</definedName>
    <definedName name="BS연결H">BS연결!$C$1:$AO$1</definedName>
    <definedName name="BS연결">BS연결!$C$5:$AO$107</definedName>
    <definedName name="BS별도H">BS별도!$C$1:$AO$1</definedName>
    <definedName name="BS별도">BS별도!$C$5:$AO$94</definedName>
    <definedName name="SUBQH">subQ!$A$1:$AO$1</definedName>
    <definedName name="subQ">subQ!$A$5:$AO$42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3" fontId="0" fillId="0" borderId="1" pivotButton="0" quotePrefix="0" xfId="0"/>
    <xf numFmtId="3" fontId="0" fillId="5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1" fillId="5" borderId="0" pivotButton="0" quotePrefix="0" xfId="0"/>
    <xf numFmtId="164" fontId="0" fillId="6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4" fontId="0" fillId="5" borderId="0" pivotButton="0" quotePrefix="0" xfId="0"/>
    <xf numFmtId="165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1" fillId="5" borderId="0" pivotButton="0" quotePrefix="0" xfId="0"/>
    <xf numFmtId="4" fontId="0" fillId="5" borderId="0" pivotButton="0" quotePrefix="0" xfId="0"/>
    <xf numFmtId="4" fontId="1" fillId="5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kship</author>
  </authors>
  <commentList>
    <comment ref="AC6" authorId="0" shapeId="0">
      <text>
        <t>모델 assumptions.fx — 가정 — 마지막 ECB 관측치를 2028Q4 까지 평평하게 둔다. 선도환율·컨센서스 아님.</t>
      </text>
    </comment>
    <comment ref="AD6" authorId="0" shapeId="0">
      <text>
        <t>모델 assumptions.fx — 가정 — 마지막 ECB 관측치를 2028Q4 까지 평평하게 둔다. 선도환율·컨센서스 아님.</t>
      </text>
    </comment>
    <comment ref="AF6" authorId="0" shapeId="0">
      <text>
        <t>모델 assumptions.fx — 가정 — 마지막 ECB 관측치를 2028Q4 까지 평평하게 둔다. 선도환율·컨센서스 아님.</t>
      </text>
    </comment>
    <comment ref="AG6" authorId="0" shapeId="0">
      <text>
        <t>모델 assumptions.fx — 가정 — 마지막 ECB 관측치를 2028Q4 까지 평평하게 둔다. 선도환율·컨센서스 아님.</t>
      </text>
    </comment>
    <comment ref="AH6" authorId="0" shapeId="0">
      <text>
        <t>모델 assumptions.fx — 가정 — 마지막 ECB 관측치를 2028Q4 까지 평평하게 둔다. 선도환율·컨센서스 아님.</t>
      </text>
    </comment>
    <comment ref="AI6" authorId="0" shapeId="0">
      <text>
        <t>모델 assumptions.fx — 가정 — 마지막 ECB 관측치를 2028Q4 까지 평평하게 둔다. 선도환율·컨센서스 아님.</t>
      </text>
    </comment>
    <comment ref="AK6" authorId="0" shapeId="0">
      <text>
        <t>모델 assumptions.fx — 가정 — 마지막 ECB 관측치를 2028Q4 까지 평평하게 둔다. 선도환율·컨센서스 아님.</t>
      </text>
    </comment>
    <comment ref="AL6" authorId="0" shapeId="0">
      <text>
        <t>모델 assumptions.fx — 가정 — 마지막 ECB 관측치를 2028Q4 까지 평평하게 둔다. 선도환율·컨센서스 아님.</t>
      </text>
    </comment>
    <comment ref="AM6" authorId="0" shapeId="0">
      <text>
        <t>모델 assumptions.fx — 가정 — 마지막 ECB 관측치를 2028Q4 까지 평평하게 둔다. 선도환율·컨센서스 아님.</t>
      </text>
    </comment>
    <comment ref="AN6" authorId="0" shapeId="0">
      <text>
        <t>모델 assumptions.fx — 가정 — 마지막 ECB 관측치를 2028Q4 까지 평평하게 둔다. 선도환율·컨센서스 아님.</t>
      </text>
    </comment>
    <comment ref="AC7" authorId="0" shapeId="0">
      <text>
        <t>모델 assumptions.fx — 가정 — 마지막 ECB 관측치를 2028Q4 까지 평평하게 둔다. 선도환율·컨센서스 아님.</t>
      </text>
    </comment>
    <comment ref="AD7" authorId="0" shapeId="0">
      <text>
        <t>모델 assumptions.fx — 가정 — 마지막 ECB 관측치를 2028Q4 까지 평평하게 둔다. 선도환율·컨센서스 아님.</t>
      </text>
    </comment>
    <comment ref="AF7" authorId="0" shapeId="0">
      <text>
        <t>모델 assumptions.fx — 가정 — 마지막 ECB 관측치를 2028Q4 까지 평평하게 둔다. 선도환율·컨센서스 아님.</t>
      </text>
    </comment>
    <comment ref="AG7" authorId="0" shapeId="0">
      <text>
        <t>모델 assumptions.fx — 가정 — 마지막 ECB 관측치를 2028Q4 까지 평평하게 둔다. 선도환율·컨센서스 아님.</t>
      </text>
    </comment>
    <comment ref="AH7" authorId="0" shapeId="0">
      <text>
        <t>모델 assumptions.fx — 가정 — 마지막 ECB 관측치를 2028Q4 까지 평평하게 둔다. 선도환율·컨센서스 아님.</t>
      </text>
    </comment>
    <comment ref="AI7" authorId="0" shapeId="0">
      <text>
        <t>모델 assumptions.fx — 가정 — 마지막 ECB 관측치를 2028Q4 까지 평평하게 둔다. 선도환율·컨센서스 아님.</t>
      </text>
    </comment>
    <comment ref="AK7" authorId="0" shapeId="0">
      <text>
        <t>모델 assumptions.fx — 가정 — 마지막 ECB 관측치를 2028Q4 까지 평평하게 둔다. 선도환율·컨센서스 아님.</t>
      </text>
    </comment>
    <comment ref="AL7" authorId="0" shapeId="0">
      <text>
        <t>모델 assumptions.fx — 가정 — 마지막 ECB 관측치를 2028Q4 까지 평평하게 둔다. 선도환율·컨센서스 아님.</t>
      </text>
    </comment>
    <comment ref="AM7" authorId="0" shapeId="0">
      <text>
        <t>모델 assumptions.fx — 가정 — 마지막 ECB 관측치를 2028Q4 까지 평평하게 둔다. 선도환율·컨센서스 아님.</t>
      </text>
    </comment>
    <comment ref="AN7" authorId="0" shapeId="0">
      <text>
        <t>모델 assumptions.fx — 가정 — 마지막 ECB 관측치를 2028Q4 까지 평평하게 둔다. 선도환율·컨센서스 아님.</t>
      </text>
    </comment>
    <comment ref="AD8" authorId="0" shapeId="0">
      <text>
        <t>fx.json quarters(partial — 분기 진행 중 실측 평균)</t>
      </text>
    </comment>
    <comment ref="AF8" authorId="0" shapeId="0">
      <text>
        <t>fx.json forward(flat_last_end) — 가정</t>
      </text>
    </comment>
    <comment ref="AG8" authorId="0" shapeId="0">
      <text>
        <t>fx.json forward(flat_last_end) — 가정</t>
      </text>
    </comment>
    <comment ref="AH8" authorId="0" shapeId="0">
      <text>
        <t>fx.json forward(flat_last_end) — 가정</t>
      </text>
    </comment>
    <comment ref="AI8" authorId="0" shapeId="0">
      <text>
        <t>fx.json forward(flat_last_end) — 가정</t>
      </text>
    </comment>
    <comment ref="AK8" authorId="0" shapeId="0">
      <text>
        <t>fx.json forward(flat_last_end) — 가정</t>
      </text>
    </comment>
    <comment ref="AL8" authorId="0" shapeId="0">
      <text>
        <t>fx.json forward(flat_last_end) — 가정</t>
      </text>
    </comment>
    <comment ref="AM8" authorId="0" shapeId="0">
      <text>
        <t>fx.json forward(flat_last_end) — 가정</t>
      </text>
    </comment>
    <comment ref="AN8" authorId="0" shapeId="0">
      <text>
        <t>fx.json forward(flat_last_end) — 가정</t>
      </text>
    </comment>
    <comment ref="AD9" authorId="0" shapeId="0">
      <text>
        <t>fx.json quarters(partial — 분기 진행 중 실측 평균)</t>
      </text>
    </comment>
    <comment ref="AF9" authorId="0" shapeId="0">
      <text>
        <t>fx.json forward(flat_last_end) — 가정</t>
      </text>
    </comment>
    <comment ref="AG9" authorId="0" shapeId="0">
      <text>
        <t>fx.json forward(flat_last_end) — 가정</t>
      </text>
    </comment>
    <comment ref="AH9" authorId="0" shapeId="0">
      <text>
        <t>fx.json forward(flat_last_end) — 가정</t>
      </text>
    </comment>
    <comment ref="AI9" authorId="0" shapeId="0">
      <text>
        <t>fx.json forward(flat_last_end) — 가정</t>
      </text>
    </comment>
    <comment ref="AK9" authorId="0" shapeId="0">
      <text>
        <t>fx.json forward(flat_last_end) — 가정</t>
      </text>
    </comment>
    <comment ref="AL9" authorId="0" shapeId="0">
      <text>
        <t>fx.json forward(flat_last_end) — 가정</t>
      </text>
    </comment>
    <comment ref="AM9" authorId="0" shapeId="0">
      <text>
        <t>fx.json forward(flat_last_end) — 가정</t>
      </text>
    </comment>
    <comment ref="AN9" authorId="0" shapeId="0">
      <text>
        <t>fx.json forward(flat_last_end) — 가정</t>
      </text>
    </comment>
    <comment ref="AD10" authorId="0" shapeId="0">
      <text>
        <t>fx.json quarters(partial — 분기 진행 중 실측 평균)</t>
      </text>
    </comment>
    <comment ref="AF10" authorId="0" shapeId="0">
      <text>
        <t>fx.json forward(flat_last_end) — 가정</t>
      </text>
    </comment>
    <comment ref="AG10" authorId="0" shapeId="0">
      <text>
        <t>fx.json forward(flat_last_end) — 가정</t>
      </text>
    </comment>
    <comment ref="AH10" authorId="0" shapeId="0">
      <text>
        <t>fx.json forward(flat_last_end) — 가정</t>
      </text>
    </comment>
    <comment ref="AI10" authorId="0" shapeId="0">
      <text>
        <t>fx.json forward(flat_last_end) — 가정</t>
      </text>
    </comment>
    <comment ref="AK10" authorId="0" shapeId="0">
      <text>
        <t>fx.json forward(flat_last_end) — 가정</t>
      </text>
    </comment>
    <comment ref="AL10" authorId="0" shapeId="0">
      <text>
        <t>fx.json forward(flat_last_end) — 가정</t>
      </text>
    </comment>
    <comment ref="AM10" authorId="0" shapeId="0">
      <text>
        <t>fx.json forward(flat_last_end) — 가정</t>
      </text>
    </comment>
    <comment ref="AN10" authorId="0" shapeId="0">
      <text>
        <t>fx.json forward(flat_last_end) — 가정</t>
      </text>
    </comment>
    <comment ref="AD11" authorId="0" shapeId="0">
      <text>
        <t>fx.json quarters(partial — 분기 진행 중 실측 평균)</t>
      </text>
    </comment>
    <comment ref="AF11" authorId="0" shapeId="0">
      <text>
        <t>fx.json forward(flat_last_end) — 가정</t>
      </text>
    </comment>
    <comment ref="AG11" authorId="0" shapeId="0">
      <text>
        <t>fx.json forward(flat_last_end) — 가정</t>
      </text>
    </comment>
    <comment ref="AH11" authorId="0" shapeId="0">
      <text>
        <t>fx.json forward(flat_last_end) — 가정</t>
      </text>
    </comment>
    <comment ref="AI11" authorId="0" shapeId="0">
      <text>
        <t>fx.json forward(flat_last_end) — 가정</t>
      </text>
    </comment>
    <comment ref="AK11" authorId="0" shapeId="0">
      <text>
        <t>fx.json forward(flat_last_end) — 가정</t>
      </text>
    </comment>
    <comment ref="AL11" authorId="0" shapeId="0">
      <text>
        <t>fx.json forward(flat_last_end) — 가정</t>
      </text>
    </comment>
    <comment ref="AM11" authorId="0" shapeId="0">
      <text>
        <t>fx.json forward(flat_last_end) — 가정</t>
      </text>
    </comment>
    <comment ref="AN11" authorId="0" shapeId="0">
      <text>
        <t>fx.json forward(flat_last_end) — 가정</t>
      </text>
    </comment>
    <comment ref="AD12" authorId="0" shapeId="0">
      <text>
        <t>fx.json quarters(partial — 분기 진행 중 실측 평균)</t>
      </text>
    </comment>
    <comment ref="AF12" authorId="0" shapeId="0">
      <text>
        <t>fx.json forward(flat_last_end) — 가정</t>
      </text>
    </comment>
    <comment ref="AG12" authorId="0" shapeId="0">
      <text>
        <t>fx.json forward(flat_last_end) — 가정</t>
      </text>
    </comment>
    <comment ref="AH12" authorId="0" shapeId="0">
      <text>
        <t>fx.json forward(flat_last_end) — 가정</t>
      </text>
    </comment>
    <comment ref="AI12" authorId="0" shapeId="0">
      <text>
        <t>fx.json forward(flat_last_end) — 가정</t>
      </text>
    </comment>
    <comment ref="AK12" authorId="0" shapeId="0">
      <text>
        <t>fx.json forward(flat_last_end) — 가정</t>
      </text>
    </comment>
    <comment ref="AL12" authorId="0" shapeId="0">
      <text>
        <t>fx.json forward(flat_last_end) — 가정</t>
      </text>
    </comment>
    <comment ref="AM12" authorId="0" shapeId="0">
      <text>
        <t>fx.json forward(flat_last_end) — 가정</t>
      </text>
    </comment>
    <comment ref="AN12" authorId="0" shapeId="0">
      <text>
        <t>fx.json forward(flat_last_end) — 가정</t>
      </text>
    </comment>
    <comment ref="AD13" authorId="0" shapeId="0">
      <text>
        <t>fx.json quarters(partial — 분기 진행 중 실측 평균)</t>
      </text>
    </comment>
    <comment ref="AF13" authorId="0" shapeId="0">
      <text>
        <t>fx.json forward(flat_last_end) — 가정</t>
      </text>
    </comment>
    <comment ref="AG13" authorId="0" shapeId="0">
      <text>
        <t>fx.json forward(flat_last_end) — 가정</t>
      </text>
    </comment>
    <comment ref="AH13" authorId="0" shapeId="0">
      <text>
        <t>fx.json forward(flat_last_end) — 가정</t>
      </text>
    </comment>
    <comment ref="AI13" authorId="0" shapeId="0">
      <text>
        <t>fx.json forward(flat_last_end) — 가정</t>
      </text>
    </comment>
    <comment ref="AK13" authorId="0" shapeId="0">
      <text>
        <t>fx.json forward(flat_last_end) — 가정</t>
      </text>
    </comment>
    <comment ref="AL13" authorId="0" shapeId="0">
      <text>
        <t>fx.json forward(flat_last_end) — 가정</t>
      </text>
    </comment>
    <comment ref="AM13" authorId="0" shapeId="0">
      <text>
        <t>fx.json forward(flat_last_end) — 가정</t>
      </text>
    </comment>
    <comment ref="AN13" authorId="0" shapeId="0">
      <text>
        <t>fx.json forward(flat_last_end) — 가정</t>
      </text>
    </comment>
    <comment ref="AD15" authorId="0" shapeId="0">
      <text>
        <t>분기 진행 중(partial) — aikstockdata/토스 일봉</t>
      </text>
    </comment>
    <comment ref="AD16" authorId="0" shapeId="0">
      <text>
        <t>분기 진행 중(partial) — aikstockdata/토스 일봉</t>
      </text>
    </comment>
    <comment ref="AD17" authorId="0" shapeId="0">
      <text>
        <t>분기 진행 중(partial) — aikstockdata/토스 일봉</t>
      </text>
    </comment>
    <comment ref="AD18" authorId="0" shapeId="0">
      <text>
        <t>분기 진행 중(partial) — aikstockdata/토스 일봉</t>
      </text>
    </comment>
    <comment ref="AC21" authorId="0" shapeId="0">
      <text>
        <t>모델값 역산(implied): v / 전년동기 − 1
전년동기 × (1+-16.8%) — g=최근 4분기 합 YoY -16.8% 클립(−30~+50%), 연차별 절반 감쇠(가정)</t>
      </text>
    </comment>
    <comment ref="AD21" authorId="0" shapeId="0">
      <text>
        <t>모델값 역산(implied): v / 전년동기 − 1
전년동기 × (1+-16.8%) — g=최근 4분기 합 YoY -16.8% 클립(−30~+50%), 연차별 절반 감쇠(가정)</t>
      </text>
    </comment>
    <comment ref="AF21" authorId="0" shapeId="0">
      <text>
        <t>모델값 역산(implied): v / 전년동기 − 1
전년동기 × (1+-16.8%) — g=최근 4분기 합 YoY -16.8% 클립(−30~+50%), 연차별 절반 감쇠(가정)</t>
      </text>
    </comment>
    <comment ref="AG21" authorId="0" shapeId="0">
      <text>
        <t>모델값 역산(implied): v / 전년동기 − 1
전년동기 × (1+-16.8%) — g=최근 4분기 합 YoY -16.8% 클립(−30~+50%), 연차별 절반 감쇠(가정)</t>
      </text>
    </comment>
    <comment ref="AH21" authorId="0" shapeId="0">
      <text>
        <t>모델값 역산(implied): v / 전년동기 − 1
전년동기 × (1+-8.4%) — g=최근 4분기 합 YoY -16.8% 클립(−30~+50%), 연차별 절반 감쇠(가정)</t>
      </text>
    </comment>
    <comment ref="AI21" authorId="0" shapeId="0">
      <text>
        <t>모델값 역산(implied): v / 전년동기 − 1
전년동기 × (1+-8.4%) — g=최근 4분기 합 YoY -16.8% 클립(−30~+50%), 연차별 절반 감쇠(가정)</t>
      </text>
    </comment>
    <comment ref="AK21" authorId="0" shapeId="0">
      <text>
        <t>모델값 역산(implied): v / 전년동기 − 1
전년동기 × (1+-8.4%) — g=최근 4분기 합 YoY -16.8% 클립(−30~+50%), 연차별 절반 감쇠(가정)</t>
      </text>
    </comment>
    <comment ref="AL21" authorId="0" shapeId="0">
      <text>
        <t>모델값 역산(implied): v / 전년동기 − 1
전년동기 × (1+-8.4%) — g=최근 4분기 합 YoY -16.8% 클립(−30~+50%), 연차별 절반 감쇠(가정)</t>
      </text>
    </comment>
    <comment ref="AM21" authorId="0" shapeId="0">
      <text>
        <t>모델값 역산(implied): v / 전년동기 − 1
전년동기 × (1+-4.2%) — g=최근 4분기 합 YoY -16.8% 클립(−30~+50%), 연차별 절반 감쇠(가정)</t>
      </text>
    </comment>
    <comment ref="AN21" authorId="0" shapeId="0">
      <text>
        <t>모델값 역산(implied): v / 전년동기 − 1
전년동기 × (1+-4.2%) — g=최근 4분기 합 YoY -16.8% 클립(−30~+50%), 연차별 절반 감쇠(가정)</t>
      </text>
    </comment>
    <comment ref="AC22" authorId="0" shapeId="0">
      <text>
        <t>3절 스칼라 '판관비율' 참조 — 숫자로 덮어쓰면 이 분기만 바뀐다
매출액 × 판관비율 16.37%(최근 4분기 중위)</t>
      </text>
    </comment>
    <comment ref="AD22" authorId="0" shapeId="0">
      <text>
        <t>3절 스칼라 '판관비율' 참조 — 숫자로 덮어쓰면 이 분기만 바뀐다
매출액 × 판관비율 16.37%(최근 4분기 중위)</t>
      </text>
    </comment>
    <comment ref="AF22" authorId="0" shapeId="0">
      <text>
        <t>3절 스칼라 '판관비율' 참조 — 숫자로 덮어쓰면 이 분기만 바뀐다
매출액 × 판관비율 16.37%(최근 4분기 중위)</t>
      </text>
    </comment>
    <comment ref="AG22" authorId="0" shapeId="0">
      <text>
        <t>3절 스칼라 '판관비율' 참조 — 숫자로 덮어쓰면 이 분기만 바뀐다
매출액 × 판관비율 16.37%(최근 4분기 중위)</t>
      </text>
    </comment>
    <comment ref="AH22" authorId="0" shapeId="0">
      <text>
        <t>3절 스칼라 '판관비율' 참조 — 숫자로 덮어쓰면 이 분기만 바뀐다
매출액 × 판관비율 16.37%(최근 4분기 중위)</t>
      </text>
    </comment>
    <comment ref="AI22" authorId="0" shapeId="0">
      <text>
        <t>3절 스칼라 '판관비율' 참조 — 숫자로 덮어쓰면 이 분기만 바뀐다
매출액 × 판관비율 16.37%(최근 4분기 중위)</t>
      </text>
    </comment>
    <comment ref="AK22" authorId="0" shapeId="0">
      <text>
        <t>3절 스칼라 '판관비율' 참조 — 숫자로 덮어쓰면 이 분기만 바뀐다
매출액 × 판관비율 16.37%(최근 4분기 중위)</t>
      </text>
    </comment>
    <comment ref="AL22" authorId="0" shapeId="0">
      <text>
        <t>3절 스칼라 '판관비율' 참조 — 숫자로 덮어쓰면 이 분기만 바뀐다
매출액 × 판관비율 16.37%(최근 4분기 중위)</t>
      </text>
    </comment>
    <comment ref="AM22" authorId="0" shapeId="0">
      <text>
        <t>3절 스칼라 '판관비율' 참조 — 숫자로 덮어쓰면 이 분기만 바뀐다
매출액 × 판관비율 16.37%(최근 4분기 중위)</t>
      </text>
    </comment>
    <comment ref="AN22" authorId="0" shapeId="0">
      <text>
        <t>3절 스칼라 '판관비율' 참조 — 숫자로 덮어쓰면 이 분기만 바뀐다
매출액 × 판관비율 16.37%(최근 4분기 중위)</t>
      </text>
    </comment>
    <comment ref="AC23" authorId="0" shapeId="0">
      <text>
        <t>모델값 역산(implied): v / 매출액
매출액 × OPM(최근 8분기 OPM 중위 1.2% 유지(클립 −20~40%))</t>
      </text>
    </comment>
    <comment ref="AD23" authorId="0" shapeId="0">
      <text>
        <t>모델값 역산(implied): v / 매출액
매출액 × OPM(최근 8분기 OPM 중위 1.2% 유지(클립 −20~40%))</t>
      </text>
    </comment>
    <comment ref="AF23" authorId="0" shapeId="0">
      <text>
        <t>모델값 역산(implied): v / 매출액
매출액 × OPM(최근 8분기 OPM 중위 1.2% 유지(클립 −20~40%))</t>
      </text>
    </comment>
    <comment ref="AG23" authorId="0" shapeId="0">
      <text>
        <t>모델값 역산(implied): v / 매출액
매출액 × OPM(최근 8분기 OPM 중위 1.2% 유지(클립 −20~40%))</t>
      </text>
    </comment>
    <comment ref="AH23" authorId="0" shapeId="0">
      <text>
        <t>모델값 역산(implied): v / 매출액
매출액 × OPM(최근 8분기 OPM 중위 1.2% 유지(클립 −20~40%))</t>
      </text>
    </comment>
    <comment ref="AI23" authorId="0" shapeId="0">
      <text>
        <t>모델값 역산(implied): v / 매출액
매출액 × OPM(최근 8분기 OPM 중위 1.2% 유지(클립 −20~40%))</t>
      </text>
    </comment>
    <comment ref="AK23" authorId="0" shapeId="0">
      <text>
        <t>모델값 역산(implied): v / 매출액
매출액 × OPM(최근 8분기 OPM 중위 1.2% 유지(클립 −20~40%))</t>
      </text>
    </comment>
    <comment ref="AL23" authorId="0" shapeId="0">
      <text>
        <t>모델값 역산(implied): v / 매출액
매출액 × OPM(최근 8분기 OPM 중위 1.2% 유지(클립 −20~40%))</t>
      </text>
    </comment>
    <comment ref="AM23" authorId="0" shapeId="0">
      <text>
        <t>모델값 역산(implied): v / 매출액
매출액 × OPM(최근 8분기 OPM 중위 1.2% 유지(클립 −20~40%))</t>
      </text>
    </comment>
    <comment ref="AN23" authorId="0" shapeId="0">
      <text>
        <t>모델값 역산(implied): v / 매출액
매출액 × OPM(최근 8분기 OPM 중위 1.2% 유지(클립 −20~40%))</t>
      </text>
    </comment>
    <comment ref="AC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D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F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G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H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I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K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L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M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N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C25" authorId="0" shapeId="0">
      <text>
        <t>모델값 역산(implied): 모델 v 그대로
파생상품 평가·거래손익 0 가정</t>
      </text>
    </comment>
    <comment ref="AD25" authorId="0" shapeId="0">
      <text>
        <t>모델값 역산(implied): 모델 v 그대로
파생상품 평가·거래손익 0 가정</t>
      </text>
    </comment>
    <comment ref="AF25" authorId="0" shapeId="0">
      <text>
        <t>모델값 역산(implied): 모델 v 그대로
파생상품 평가·거래손익 0 가정</t>
      </text>
    </comment>
    <comment ref="AG25" authorId="0" shapeId="0">
      <text>
        <t>모델값 역산(implied): 모델 v 그대로
파생상품 평가·거래손익 0 가정</t>
      </text>
    </comment>
    <comment ref="AH25" authorId="0" shapeId="0">
      <text>
        <t>모델값 역산(implied): 모델 v 그대로
파생상품 평가·거래손익 0 가정</t>
      </text>
    </comment>
    <comment ref="AI25" authorId="0" shapeId="0">
      <text>
        <t>모델값 역산(implied): 모델 v 그대로
파생상품 평가·거래손익 0 가정</t>
      </text>
    </comment>
    <comment ref="AK25" authorId="0" shapeId="0">
      <text>
        <t>모델값 역산(implied): 모델 v 그대로
파생상품 평가·거래손익 0 가정</t>
      </text>
    </comment>
    <comment ref="AL25" authorId="0" shapeId="0">
      <text>
        <t>모델값 역산(implied): 모델 v 그대로
파생상품 평가·거래손익 0 가정</t>
      </text>
    </comment>
    <comment ref="AM25" authorId="0" shapeId="0">
      <text>
        <t>모델값 역산(implied): 모델 v 그대로
파생상품 평가·거래손익 0 가정</t>
      </text>
    </comment>
    <comment ref="AN25" authorId="0" shapeId="0">
      <text>
        <t>모델값 역산(implied): 모델 v 그대로
파생상품 평가·거래손익 0 가정</t>
      </text>
    </comment>
    <comment ref="AC26" authorId="0" shapeId="0">
      <text>
        <t>모델값 역산(implied): 모델 v 그대로
최근 4분기(2025Q3~2026Q2) 잔차 중위</t>
      </text>
    </comment>
    <comment ref="AD26" authorId="0" shapeId="0">
      <text>
        <t>모델값 역산(implied): 모델 v 그대로
최근 4분기(2025Q3~2026Q2) 잔차 중위</t>
      </text>
    </comment>
    <comment ref="AF26" authorId="0" shapeId="0">
      <text>
        <t>모델값 역산(implied): 모델 v 그대로
최근 4분기(2025Q3~2026Q2) 잔차 중위</t>
      </text>
    </comment>
    <comment ref="AG26" authorId="0" shapeId="0">
      <text>
        <t>모델값 역산(implied): 모델 v 그대로
최근 4분기(2025Q3~2026Q2) 잔차 중위</t>
      </text>
    </comment>
    <comment ref="AH26" authorId="0" shapeId="0">
      <text>
        <t>모델값 역산(implied): 모델 v 그대로
최근 4분기(2025Q3~2026Q2) 잔차 중위</t>
      </text>
    </comment>
    <comment ref="AI26" authorId="0" shapeId="0">
      <text>
        <t>모델값 역산(implied): 모델 v 그대로
최근 4분기(2025Q3~2026Q2) 잔차 중위</t>
      </text>
    </comment>
    <comment ref="AK26" authorId="0" shapeId="0">
      <text>
        <t>모델값 역산(implied): 모델 v 그대로
최근 4분기(2025Q3~2026Q2) 잔차 중위</t>
      </text>
    </comment>
    <comment ref="AL26" authorId="0" shapeId="0">
      <text>
        <t>모델값 역산(implied): 모델 v 그대로
최근 4분기(2025Q3~2026Q2) 잔차 중위</t>
      </text>
    </comment>
    <comment ref="AM26" authorId="0" shapeId="0">
      <text>
        <t>모델값 역산(implied): 모델 v 그대로
최근 4분기(2025Q3~2026Q2) 잔차 중위</t>
      </text>
    </comment>
    <comment ref="AN26" authorId="0" shapeId="0">
      <text>
        <t>모델값 역산(implied): 모델 v 그대로
최근 4분기(2025Q3~2026Q2) 잔차 중위</t>
      </text>
    </comment>
    <comment ref="AC27" authorId="0" shapeId="0">
      <text>
        <t>모델값 역산(implied): 모델 v 그대로
일회성 미가정 → 0</t>
      </text>
    </comment>
    <comment ref="AD27" authorId="0" shapeId="0">
      <text>
        <t>모델값 역산(implied): 모델 v 그대로
일회성 미가정 → 0</t>
      </text>
    </comment>
    <comment ref="AF27" authorId="0" shapeId="0">
      <text>
        <t>모델값 역산(implied): 모델 v 그대로
일회성 미가정 → 0</t>
      </text>
    </comment>
    <comment ref="AG27" authorId="0" shapeId="0">
      <text>
        <t>모델값 역산(implied): 모델 v 그대로
일회성 미가정 → 0</t>
      </text>
    </comment>
    <comment ref="AH27" authorId="0" shapeId="0">
      <text>
        <t>모델값 역산(implied): 모델 v 그대로
일회성 미가정 → 0</t>
      </text>
    </comment>
    <comment ref="AI27" authorId="0" shapeId="0">
      <text>
        <t>모델값 역산(implied): 모델 v 그대로
일회성 미가정 → 0</t>
      </text>
    </comment>
    <comment ref="AK27" authorId="0" shapeId="0">
      <text>
        <t>모델값 역산(implied): 모델 v 그대로
일회성 미가정 → 0</t>
      </text>
    </comment>
    <comment ref="AL27" authorId="0" shapeId="0">
      <text>
        <t>모델값 역산(implied): 모델 v 그대로
일회성 미가정 → 0</t>
      </text>
    </comment>
    <comment ref="AM27" authorId="0" shapeId="0">
      <text>
        <t>모델값 역산(implied): 모델 v 그대로
일회성 미가정 → 0</t>
      </text>
    </comment>
    <comment ref="AN27" authorId="0" shapeId="0">
      <text>
        <t>모델값 역산(implied): 모델 v 그대로
일회성 미가정 → 0</t>
      </text>
    </comment>
    <comment ref="AC28" authorId="0" shapeId="0">
      <text>
        <t>3절 스칼라 '세율' 참조 — 숫자로 덮어쓰면 이 분기만 바뀐다
max(세전, 0) × 세율 24.3%(최근 12분기 유효세율 177.6% 가 5~27% 밖 → 클립 대신 최근 8분기 중 세전 &gt; 0 인 7분기(2024Q3~2026Q2)의 법인세/세전 중위 24.3%)</t>
      </text>
    </comment>
    <comment ref="AD28" authorId="0" shapeId="0">
      <text>
        <t>3절 스칼라 '세율' 참조 — 숫자로 덮어쓰면 이 분기만 바뀐다
max(세전, 0) × 세율 24.3%(최근 12분기 유효세율 177.6% 가 5~27% 밖 → 클립 대신 최근 8분기 중 세전 &gt; 0 인 7분기(2024Q3~2026Q2)의 법인세/세전 중위 24.3%)</t>
      </text>
    </comment>
    <comment ref="AF28" authorId="0" shapeId="0">
      <text>
        <t>3절 스칼라 '세율' 참조 — 숫자로 덮어쓰면 이 분기만 바뀐다
max(세전, 0) × 세율 24.3%(최근 12분기 유효세율 177.6% 가 5~27% 밖 → 클립 대신 최근 8분기 중 세전 &gt; 0 인 7분기(2024Q3~2026Q2)의 법인세/세전 중위 24.3%)</t>
      </text>
    </comment>
    <comment ref="AG28" authorId="0" shapeId="0">
      <text>
        <t>3절 스칼라 '세율' 참조 — 숫자로 덮어쓰면 이 분기만 바뀐다
max(세전, 0) × 세율 24.3%(최근 12분기 유효세율 177.6% 가 5~27% 밖 → 클립 대신 최근 8분기 중 세전 &gt; 0 인 7분기(2024Q3~2026Q2)의 법인세/세전 중위 24.3%)</t>
      </text>
    </comment>
    <comment ref="AH28" authorId="0" shapeId="0">
      <text>
        <t>3절 스칼라 '세율' 참조 — 숫자로 덮어쓰면 이 분기만 바뀐다
max(세전, 0) × 세율 24.3%(최근 12분기 유효세율 177.6% 가 5~27% 밖 → 클립 대신 최근 8분기 중 세전 &gt; 0 인 7분기(2024Q3~2026Q2)의 법인세/세전 중위 24.3%)</t>
      </text>
    </comment>
    <comment ref="AI28" authorId="0" shapeId="0">
      <text>
        <t>3절 스칼라 '세율' 참조 — 숫자로 덮어쓰면 이 분기만 바뀐다
max(세전, 0) × 세율 24.3%(최근 12분기 유효세율 177.6% 가 5~27% 밖 → 클립 대신 최근 8분기 중 세전 &gt; 0 인 7분기(2024Q3~2026Q2)의 법인세/세전 중위 24.3%)</t>
      </text>
    </comment>
    <comment ref="AK28" authorId="0" shapeId="0">
      <text>
        <t>3절 스칼라 '세율' 참조 — 숫자로 덮어쓰면 이 분기만 바뀐다
max(세전, 0) × 세율 24.3%(최근 12분기 유효세율 177.6% 가 5~27% 밖 → 클립 대신 최근 8분기 중 세전 &gt; 0 인 7분기(2024Q3~2026Q2)의 법인세/세전 중위 24.3%)</t>
      </text>
    </comment>
    <comment ref="AL28" authorId="0" shapeId="0">
      <text>
        <t>3절 스칼라 '세율' 참조 — 숫자로 덮어쓰면 이 분기만 바뀐다
max(세전, 0) × 세율 24.3%(최근 12분기 유효세율 177.6% 가 5~27% 밖 → 클립 대신 최근 8분기 중 세전 &gt; 0 인 7분기(2024Q3~2026Q2)의 법인세/세전 중위 24.3%)</t>
      </text>
    </comment>
    <comment ref="AM28" authorId="0" shapeId="0">
      <text>
        <t>3절 스칼라 '세율' 참조 — 숫자로 덮어쓰면 이 분기만 바뀐다
max(세전, 0) × 세율 24.3%(최근 12분기 유효세율 177.6% 가 5~27% 밖 → 클립 대신 최근 8분기 중 세전 &gt; 0 인 7분기(2024Q3~2026Q2)의 법인세/세전 중위 24.3%)</t>
      </text>
    </comment>
    <comment ref="AN28" authorId="0" shapeId="0">
      <text>
        <t>3절 스칼라 '세율' 참조 — 숫자로 덮어쓰면 이 분기만 바뀐다
max(세전, 0) × 세율 24.3%(최근 12분기 유효세율 177.6% 가 5~27% 밖 → 클립 대신 최근 8분기 중 세전 &gt; 0 인 7분기(2024Q3~2026Q2)의 법인세/세전 중위 24.3%)</t>
      </text>
    </comment>
    <comment ref="AC29" authorId="0" shapeId="0">
      <text>
        <t>3절 스칼라 '지배주주비중' 참조 — 숫자로 덮어쓰면 이 분기만 바뀐다
당기순이익 × (1 − 비지배 비중 0.0%, 최근 8분기 실측)</t>
      </text>
    </comment>
    <comment ref="AD29" authorId="0" shapeId="0">
      <text>
        <t>3절 스칼라 '지배주주비중' 참조 — 숫자로 덮어쓰면 이 분기만 바뀐다
당기순이익 × (1 − 비지배 비중 0.0%, 최근 8분기 실측)</t>
      </text>
    </comment>
    <comment ref="AF29" authorId="0" shapeId="0">
      <text>
        <t>3절 스칼라 '지배주주비중' 참조 — 숫자로 덮어쓰면 이 분기만 바뀐다
당기순이익 × (1 − 비지배 비중 0.0%, 최근 8분기 실측)</t>
      </text>
    </comment>
    <comment ref="AG29" authorId="0" shapeId="0">
      <text>
        <t>3절 스칼라 '지배주주비중' 참조 — 숫자로 덮어쓰면 이 분기만 바뀐다
당기순이익 × (1 − 비지배 비중 0.0%, 최근 8분기 실측)</t>
      </text>
    </comment>
    <comment ref="AH29" authorId="0" shapeId="0">
      <text>
        <t>3절 스칼라 '지배주주비중' 참조 — 숫자로 덮어쓰면 이 분기만 바뀐다
당기순이익 × (1 − 비지배 비중 0.0%, 최근 8분기 실측)</t>
      </text>
    </comment>
    <comment ref="AI29" authorId="0" shapeId="0">
      <text>
        <t>3절 스칼라 '지배주주비중' 참조 — 숫자로 덮어쓰면 이 분기만 바뀐다
당기순이익 × (1 − 비지배 비중 0.0%, 최근 8분기 실측)</t>
      </text>
    </comment>
    <comment ref="AK29" authorId="0" shapeId="0">
      <text>
        <t>3절 스칼라 '지배주주비중' 참조 — 숫자로 덮어쓰면 이 분기만 바뀐다
당기순이익 × (1 − 비지배 비중 0.0%, 최근 8분기 실측)</t>
      </text>
    </comment>
    <comment ref="AL29" authorId="0" shapeId="0">
      <text>
        <t>3절 스칼라 '지배주주비중' 참조 — 숫자로 덮어쓰면 이 분기만 바뀐다
당기순이익 × (1 − 비지배 비중 0.0%, 최근 8분기 실측)</t>
      </text>
    </comment>
    <comment ref="AM29" authorId="0" shapeId="0">
      <text>
        <t>3절 스칼라 '지배주주비중' 참조 — 숫자로 덮어쓰면 이 분기만 바뀐다
당기순이익 × (1 − 비지배 비중 0.0%, 최근 8분기 실측)</t>
      </text>
    </comment>
    <comment ref="AN29" authorId="0" shapeId="0">
      <text>
        <t>3절 스칼라 '지배주주비중' 참조 — 숫자로 덮어쓰면 이 분기만 바뀐다
당기순이익 × (1 − 비지배 비중 0.0%, 최근 8분기 실측)</t>
      </text>
    </comment>
    <comment ref="AC31" authorId="0" shapeId="0">
      <text>
        <t>모델값 역산(implied): 전분기(시트값) + 당기순이익(시트 수식값) − v
전분기 + 당기순이익 − 배당(Q2 지급 가정)</t>
      </text>
    </comment>
    <comment ref="AD31" authorId="0" shapeId="0">
      <text>
        <t>모델값 역산(implied): 전분기(시트값) + 당기순이익(시트 수식값) − v
전분기 + 당기순이익 − 배당(Q2 지급 가정)</t>
      </text>
    </comment>
    <comment ref="AF31" authorId="0" shapeId="0">
      <text>
        <t>모델값 역산(implied): 전분기(시트값) + 당기순이익(시트 수식값) − v
전분기 + 당기순이익 − 배당(Q2 지급 가정)</t>
      </text>
    </comment>
    <comment ref="AG31" authorId="0" shapeId="0">
      <text>
        <t>모델값 역산(implied): 전분기(시트값) + 당기순이익(시트 수식값) − v
전분기 + 당기순이익 − 배당(Q2 지급 가정)</t>
      </text>
    </comment>
    <comment ref="AH31" authorId="0" shapeId="0">
      <text>
        <t>모델값 역산(implied): 전분기(시트값) + 당기순이익(시트 수식값) − v
전분기 + 당기순이익 − 배당(Q2 지급 가정)</t>
      </text>
    </comment>
    <comment ref="AI31" authorId="0" shapeId="0">
      <text>
        <t>모델값 역산(implied): 전분기(시트값) + 당기순이익(시트 수식값) − v
전분기 + 당기순이익 − 배당(Q2 지급 가정)</t>
      </text>
    </comment>
    <comment ref="AK31" authorId="0" shapeId="0">
      <text>
        <t>모델값 역산(implied): 전분기(시트값) + 당기순이익(시트 수식값) − v
전분기 + 당기순이익 − 배당(Q2 지급 가정)</t>
      </text>
    </comment>
    <comment ref="AL31" authorId="0" shapeId="0">
      <text>
        <t>모델값 역산(implied): 전분기(시트값) + 당기순이익(시트 수식값) − v
전분기 + 당기순이익 − 배당(Q2 지급 가정)</t>
      </text>
    </comment>
    <comment ref="AM31" authorId="0" shapeId="0">
      <text>
        <t>모델값 역산(implied): 전분기(시트값) + 당기순이익(시트 수식값) − v
전분기 + 당기순이익 − 배당(Q2 지급 가정)</t>
      </text>
    </comment>
    <comment ref="AN31" authorId="0" shapeId="0">
      <text>
        <t>모델값 역산(implied): 전분기(시트값) + 당기순이익(시트 수식값) − v
전분기 + 당기순이익 − 배당(Q2 지급 가정)</t>
      </text>
    </comment>
    <comment ref="AC32" authorId="0" shapeId="0">
      <text>
        <t>모델값 역산(implied): 전분기(시트값) + 지배주주순이익(시트 수식값) − v
전분기 + 지배주주순이익 − 배당</t>
      </text>
    </comment>
    <comment ref="AD32" authorId="0" shapeId="0">
      <text>
        <t>모델값 역산(implied): 전분기(시트값) + 지배주주순이익(시트 수식값) − v
전분기 + 지배주주순이익 − 배당</t>
      </text>
    </comment>
    <comment ref="AF32" authorId="0" shapeId="0">
      <text>
        <t>모델값 역산(implied): 전분기(시트값) + 지배주주순이익(시트 수식값) − v
전분기 + 지배주주순이익 − 배당</t>
      </text>
    </comment>
    <comment ref="AG32" authorId="0" shapeId="0">
      <text>
        <t>모델값 역산(implied): 전분기(시트값) + 지배주주순이익(시트 수식값) − v
전분기 + 지배주주순이익 − 배당</t>
      </text>
    </comment>
    <comment ref="AH32" authorId="0" shapeId="0">
      <text>
        <t>모델값 역산(implied): 전분기(시트값) + 지배주주순이익(시트 수식값) − v
전분기 + 지배주주순이익 − 배당</t>
      </text>
    </comment>
    <comment ref="AI32" authorId="0" shapeId="0">
      <text>
        <t>모델값 역산(implied): 전분기(시트값) + 지배주주순이익(시트 수식값) − v
전분기 + 지배주주순이익 − 배당</t>
      </text>
    </comment>
    <comment ref="AK32" authorId="0" shapeId="0">
      <text>
        <t>모델값 역산(implied): 전분기(시트값) + 지배주주순이익(시트 수식값) − v
전분기 + 지배주주순이익 − 배당</t>
      </text>
    </comment>
    <comment ref="AL32" authorId="0" shapeId="0">
      <text>
        <t>모델값 역산(implied): 전분기(시트값) + 지배주주순이익(시트 수식값) − v
전분기 + 지배주주순이익 − 배당</t>
      </text>
    </comment>
    <comment ref="AM32" authorId="0" shapeId="0">
      <text>
        <t>모델값 역산(implied): 전분기(시트값) + 지배주주순이익(시트 수식값) − v
전분기 + 지배주주순이익 − 배당</t>
      </text>
    </comment>
    <comment ref="AN32" authorId="0" shapeId="0">
      <text>
        <t>모델값 역산(implied): 전분기(시트값) + 지배주주순이익(시트 수식값) − v
전분기 + 지배주주순이익 − 배당</t>
      </text>
    </comment>
    <comment ref="AC35" authorId="0" shapeId="0">
      <text>
        <t>모델값 역산(implied): v / 전분기 − 1
전분기 + FCF 근사 — 순차입금 롤과 같은 가정</t>
      </text>
    </comment>
    <comment ref="AD35" authorId="0" shapeId="0">
      <text>
        <t>모델값 역산(implied): v / 전분기 − 1
전분기 + FCF 근사 — 순차입금 롤과 같은 가정</t>
      </text>
    </comment>
    <comment ref="AF35" authorId="0" shapeId="0">
      <text>
        <t>모델값 역산(implied): v / 전분기 − 1
전분기 + FCF 근사 — 순차입금 롤과 같은 가정</t>
      </text>
    </comment>
    <comment ref="AG35" authorId="0" shapeId="0">
      <text>
        <t>모델값 역산(implied): v / 전분기 − 1
전분기 + FCF 근사 — 순차입금 롤과 같은 가정</t>
      </text>
    </comment>
    <comment ref="AH35" authorId="0" shapeId="0">
      <text>
        <t>모델값 역산(implied): v / 전분기 − 1
전분기 + FCF 근사 — 순차입금 롤과 같은 가정</t>
      </text>
    </comment>
    <comment ref="AI35" authorId="0" shapeId="0">
      <text>
        <t>모델값 역산(implied): v / 전분기 − 1
전분기 + FCF 근사 — 순차입금 롤과 같은 가정</t>
      </text>
    </comment>
    <comment ref="AK35" authorId="0" shapeId="0">
      <text>
        <t>모델값 역산(implied): v / 전분기 − 1
전분기 + FCF 근사 — 순차입금 롤과 같은 가정</t>
      </text>
    </comment>
    <comment ref="AL35" authorId="0" shapeId="0">
      <text>
        <t>모델값 역산(implied): v / 전분기 − 1
전분기 + FCF 근사 — 순차입금 롤과 같은 가정</t>
      </text>
    </comment>
    <comment ref="AM35" authorId="0" shapeId="0">
      <text>
        <t>모델값 역산(implied): v / 전분기 − 1
전분기 + FCF 근사 — 순차입금 롤과 같은 가정</t>
      </text>
    </comment>
    <comment ref="AN35" authorId="0" shapeId="0">
      <text>
        <t>모델값 역산(implied): v / 전분기 − 1
전분기 + FCF 근사 — 순차입금 롤과 같은 가정</t>
      </text>
    </comment>
    <comment ref="AC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D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F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G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H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I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K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L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M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N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C39" authorId="0" shapeId="0">
      <text>
        <t>모델값 역산(implied): v / 전분기 − 1
유통주식수 유지 — fin.shares.common_outstanding(2026Q2)</t>
      </text>
    </comment>
    <comment ref="AD39" authorId="0" shapeId="0">
      <text>
        <t>모델값 역산(implied): v / 전분기 − 1
유통주식수 유지 — fin.shares.common_outstanding(2026Q2)</t>
      </text>
    </comment>
    <comment ref="AF39" authorId="0" shapeId="0">
      <text>
        <t>모델값 역산(implied): v / 전분기 − 1
유통주식수 유지 — fin.shares.common_outstanding(2026Q2)</t>
      </text>
    </comment>
    <comment ref="AG39" authorId="0" shapeId="0">
      <text>
        <t>모델값 역산(implied): v / 전분기 − 1
유통주식수 유지 — fin.shares.common_outstanding(2026Q2)</t>
      </text>
    </comment>
    <comment ref="AH39" authorId="0" shapeId="0">
      <text>
        <t>모델값 역산(implied): v / 전분기 − 1
유통주식수 유지 — fin.shares.common_outstanding(2026Q2)</t>
      </text>
    </comment>
    <comment ref="AI39" authorId="0" shapeId="0">
      <text>
        <t>모델값 역산(implied): v / 전분기 − 1
유통주식수 유지 — fin.shares.common_outstanding(2026Q2)</t>
      </text>
    </comment>
    <comment ref="AK39" authorId="0" shapeId="0">
      <text>
        <t>모델값 역산(implied): v / 전분기 − 1
유통주식수 유지 — fin.shares.common_outstanding(2026Q2)</t>
      </text>
    </comment>
    <comment ref="AL39" authorId="0" shapeId="0">
      <text>
        <t>모델값 역산(implied): v / 전분기 − 1
유통주식수 유지 — fin.shares.common_outstanding(2026Q2)</t>
      </text>
    </comment>
    <comment ref="AM39" authorId="0" shapeId="0">
      <text>
        <t>모델값 역산(implied): v / 전분기 − 1
유통주식수 유지 — fin.shares.common_outstanding(2026Q2)</t>
      </text>
    </comment>
    <comment ref="AN39" authorId="0" shapeId="0">
      <text>
        <t>모델값 역산(implied): v / 전분기 − 1
유통주식수 유지 — fin.shares.common_outstanding(2026Q2)</t>
      </text>
    </comment>
    <comment ref="AD40" authorId="0" shapeId="0">
      <text>
        <t>모델값 역산(implied): 모델 v 그대로
직전 결산 DPS 130원 유지</t>
      </text>
    </comment>
    <comment ref="AI40" authorId="0" shapeId="0">
      <text>
        <t>모델값 역산(implied): 모델 v 그대로
직전 결산 DPS 130원 유지</t>
      </text>
    </comment>
    <comment ref="AN40" authorId="0" shapeId="0">
      <text>
        <t>모델값 역산(implied): 모델 v 그대로
직전 결산 DPS 130원 유지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AC5" authorId="0" shapeId="0">
      <text>
        <t>추정: 전년동기 × (1+-16.8%) — g=최근 4분기 합 YoY -16.8% 클립(−30~+50%), 연차별 절반 감쇠(가정)
[yoy]</t>
      </text>
    </comment>
    <comment ref="AD5" authorId="0" shapeId="0">
      <text>
        <t>추정: 전년동기 × (1+-16.8%) — g=최근 4분기 합 YoY -16.8% 클립(−30~+50%), 연차별 절반 감쇠(가정)
[yoy]</t>
      </text>
    </comment>
    <comment ref="AF5" authorId="0" shapeId="0">
      <text>
        <t>추정: 전년동기 × (1+-16.8%) — g=최근 4분기 합 YoY -16.8% 클립(−30~+50%), 연차별 절반 감쇠(가정)
[yoy]</t>
      </text>
    </comment>
    <comment ref="AG5" authorId="0" shapeId="0">
      <text>
        <t>추정: 전년동기 × (1+-16.8%) — g=최근 4분기 합 YoY -16.8% 클립(−30~+50%), 연차별 절반 감쇠(가정)
[yoy]</t>
      </text>
    </comment>
    <comment ref="AH5" authorId="0" shapeId="0">
      <text>
        <t>추정: 전년동기 × (1+-8.4%) — g=최근 4분기 합 YoY -16.8% 클립(−30~+50%), 연차별 절반 감쇠(가정)
[yoy]</t>
      </text>
    </comment>
    <comment ref="AI5" authorId="0" shapeId="0">
      <text>
        <t>추정: 전년동기 × (1+-8.4%) — g=최근 4분기 합 YoY -16.8% 클립(−30~+50%), 연차별 절반 감쇠(가정)
[yoy]</t>
      </text>
    </comment>
    <comment ref="AK5" authorId="0" shapeId="0">
      <text>
        <t>추정: 전년동기 × (1+-8.4%) — g=최근 4분기 합 YoY -16.8% 클립(−30~+50%), 연차별 절반 감쇠(가정)
[yoy]</t>
      </text>
    </comment>
    <comment ref="AL5" authorId="0" shapeId="0">
      <text>
        <t>추정: 전년동기 × (1+-8.4%) — g=최근 4분기 합 YoY -16.8% 클립(−30~+50%), 연차별 절반 감쇠(가정)
[yoy]</t>
      </text>
    </comment>
    <comment ref="AM5" authorId="0" shapeId="0">
      <text>
        <t>추정: 전년동기 × (1+-4.2%) — g=최근 4분기 합 YoY -16.8% 클립(−30~+50%), 연차별 절반 감쇠(가정)
[yoy]</t>
      </text>
    </comment>
    <comment ref="AN5" authorId="0" shapeId="0">
      <text>
        <t>추정: 전년동기 × (1+-4.2%) — g=최근 4분기 합 YoY -16.8% 클립(−30~+50%), 연차별 절반 감쇠(가정)
[yoy]</t>
      </text>
    </comment>
    <comment ref="AC6" authorId="0" shapeId="0">
      <text>
        <t>추정: 매출액 − 매출총이익(항등식)
[identity]</t>
      </text>
    </comment>
    <comment ref="AD6" authorId="0" shapeId="0">
      <text>
        <t>추정: 매출액 − 매출총이익(항등식)
[identity]</t>
      </text>
    </comment>
    <comment ref="AF6" authorId="0" shapeId="0">
      <text>
        <t>추정: 매출액 − 매출총이익(항등식)
[identity]</t>
      </text>
    </comment>
    <comment ref="AG6" authorId="0" shapeId="0">
      <text>
        <t>추정: 매출액 − 매출총이익(항등식)
[identity]</t>
      </text>
    </comment>
    <comment ref="AH6" authorId="0" shapeId="0">
      <text>
        <t>추정: 매출액 − 매출총이익(항등식)
[identity]</t>
      </text>
    </comment>
    <comment ref="AI6" authorId="0" shapeId="0">
      <text>
        <t>추정: 매출액 − 매출총이익(항등식)
[identity]</t>
      </text>
    </comment>
    <comment ref="AK6" authorId="0" shapeId="0">
      <text>
        <t>추정: 매출액 − 매출총이익(항등식)
[identity]</t>
      </text>
    </comment>
    <comment ref="AL6" authorId="0" shapeId="0">
      <text>
        <t>추정: 매출액 − 매출총이익(항등식)
[identity]</t>
      </text>
    </comment>
    <comment ref="AM6" authorId="0" shapeId="0">
      <text>
        <t>추정: 매출액 − 매출총이익(항등식)
[identity]</t>
      </text>
    </comment>
    <comment ref="AN6" authorId="0" shapeId="0">
      <text>
        <t>추정: 매출액 − 매출총이익(항등식)
[identity]</t>
      </text>
    </comment>
    <comment ref="AC7" authorId="0" shapeId="0">
      <text>
        <t>추정: 영업이익 + 판관비 − 기타영업손익(항등식)
[identity]</t>
      </text>
    </comment>
    <comment ref="AD7" authorId="0" shapeId="0">
      <text>
        <t>추정: 영업이익 + 판관비 − 기타영업손익(항등식)
[identity]</t>
      </text>
    </comment>
    <comment ref="AF7" authorId="0" shapeId="0">
      <text>
        <t>추정: 영업이익 + 판관비 − 기타영업손익(항등식)
[identity]</t>
      </text>
    </comment>
    <comment ref="AG7" authorId="0" shapeId="0">
      <text>
        <t>추정: 영업이익 + 판관비 − 기타영업손익(항등식)
[identity]</t>
      </text>
    </comment>
    <comment ref="AH7" authorId="0" shapeId="0">
      <text>
        <t>추정: 영업이익 + 판관비 − 기타영업손익(항등식)
[identity]</t>
      </text>
    </comment>
    <comment ref="AI7" authorId="0" shapeId="0">
      <text>
        <t>추정: 영업이익 + 판관비 − 기타영업손익(항등식)
[identity]</t>
      </text>
    </comment>
    <comment ref="AK7" authorId="0" shapeId="0">
      <text>
        <t>추정: 영업이익 + 판관비 − 기타영업손익(항등식)
[identity]</t>
      </text>
    </comment>
    <comment ref="AL7" authorId="0" shapeId="0">
      <text>
        <t>추정: 영업이익 + 판관비 − 기타영업손익(항등식)
[identity]</t>
      </text>
    </comment>
    <comment ref="AM7" authorId="0" shapeId="0">
      <text>
        <t>추정: 영업이익 + 판관비 − 기타영업손익(항등식)
[identity]</t>
      </text>
    </comment>
    <comment ref="AN7" authorId="0" shapeId="0">
      <text>
        <t>추정: 영업이익 + 판관비 − 기타영업손익(항등식)
[identity]</t>
      </text>
    </comment>
    <comment ref="AC8" authorId="0" shapeId="0">
      <text>
        <t>추정: 매출액 × 판관비율 16.37%(최근 4분기 중위)
[ratio]</t>
      </text>
    </comment>
    <comment ref="AD8" authorId="0" shapeId="0">
      <text>
        <t>추정: 매출액 × 판관비율 16.37%(최근 4분기 중위)
[ratio]</t>
      </text>
    </comment>
    <comment ref="AF8" authorId="0" shapeId="0">
      <text>
        <t>추정: 매출액 × 판관비율 16.37%(최근 4분기 중위)
[ratio]</t>
      </text>
    </comment>
    <comment ref="AG8" authorId="0" shapeId="0">
      <text>
        <t>추정: 매출액 × 판관비율 16.37%(최근 4분기 중위)
[ratio]</t>
      </text>
    </comment>
    <comment ref="AH8" authorId="0" shapeId="0">
      <text>
        <t>추정: 매출액 × 판관비율 16.37%(최근 4분기 중위)
[ratio]</t>
      </text>
    </comment>
    <comment ref="AI8" authorId="0" shapeId="0">
      <text>
        <t>추정: 매출액 × 판관비율 16.37%(최근 4분기 중위)
[ratio]</t>
      </text>
    </comment>
    <comment ref="AK8" authorId="0" shapeId="0">
      <text>
        <t>추정: 매출액 × 판관비율 16.37%(최근 4분기 중위)
[ratio]</t>
      </text>
    </comment>
    <comment ref="AL8" authorId="0" shapeId="0">
      <text>
        <t>추정: 매출액 × 판관비율 16.37%(최근 4분기 중위)
[ratio]</t>
      </text>
    </comment>
    <comment ref="AM8" authorId="0" shapeId="0">
      <text>
        <t>추정: 매출액 × 판관비율 16.37%(최근 4분기 중위)
[ratio]</t>
      </text>
    </comment>
    <comment ref="AN8" authorId="0" shapeId="0">
      <text>
        <t>추정: 매출액 × 판관비율 16.37%(최근 4분기 중위)
[ratio]</t>
      </text>
    </comment>
    <comment ref="AC9" authorId="0" shapeId="0">
      <text>
        <t>추정: 매출액 × OPM(최근 8분기 OPM 중위 1.2% 유지(클립 −20~40%))
[ratio]</t>
      </text>
    </comment>
    <comment ref="AD9" authorId="0" shapeId="0">
      <text>
        <t>추정: 매출액 × OPM(최근 8분기 OPM 중위 1.2% 유지(클립 −20~40%))
[ratio]</t>
      </text>
    </comment>
    <comment ref="AF9" authorId="0" shapeId="0">
      <text>
        <t>추정: 매출액 × OPM(최근 8분기 OPM 중위 1.2% 유지(클립 −20~40%))
[ratio]</t>
      </text>
    </comment>
    <comment ref="AG9" authorId="0" shapeId="0">
      <text>
        <t>추정: 매출액 × OPM(최근 8분기 OPM 중위 1.2% 유지(클립 −20~40%))
[ratio]</t>
      </text>
    </comment>
    <comment ref="AH9" authorId="0" shapeId="0">
      <text>
        <t>추정: 매출액 × OPM(최근 8분기 OPM 중위 1.2% 유지(클립 −20~40%))
[ratio]</t>
      </text>
    </comment>
    <comment ref="AI9" authorId="0" shapeId="0">
      <text>
        <t>추정: 매출액 × OPM(최근 8분기 OPM 중위 1.2% 유지(클립 −20~40%))
[ratio]</t>
      </text>
    </comment>
    <comment ref="AK9" authorId="0" shapeId="0">
      <text>
        <t>추정: 매출액 × OPM(최근 8분기 OPM 중위 1.2% 유지(클립 −20~40%))
[ratio]</t>
      </text>
    </comment>
    <comment ref="AL9" authorId="0" shapeId="0">
      <text>
        <t>추정: 매출액 × OPM(최근 8분기 OPM 중위 1.2% 유지(클립 −20~40%))
[ratio]</t>
      </text>
    </comment>
    <comment ref="AM9" authorId="0" shapeId="0">
      <text>
        <t>추정: 매출액 × OPM(최근 8분기 OPM 중위 1.2% 유지(클립 −20~40%))
[ratio]</t>
      </text>
    </comment>
    <comment ref="AN9" authorId="0" shapeId="0">
      <text>
        <t>추정: 매출액 × OPM(최근 8분기 OPM 중위 1.2% 유지(클립 −20~40%))
[ratio]</t>
      </text>
    </comment>
    <comment ref="AC10" authorId="0" shapeId="0">
      <text>
        <t>추정: 최근 8분기 OPM 중위 1.2% 유지(클립 −20~40%)
[divide]</t>
      </text>
    </comment>
    <comment ref="AD10" authorId="0" shapeId="0">
      <text>
        <t>추정: 최근 8분기 OPM 중위 1.2% 유지(클립 −20~40%)
[divide]</t>
      </text>
    </comment>
    <comment ref="AF10" authorId="0" shapeId="0">
      <text>
        <t>추정: 최근 8분기 OPM 중위 1.2% 유지(클립 −20~40%)
[divide]</t>
      </text>
    </comment>
    <comment ref="AG10" authorId="0" shapeId="0">
      <text>
        <t>추정: 최근 8분기 OPM 중위 1.2% 유지(클립 −20~40%)
[divide]</t>
      </text>
    </comment>
    <comment ref="AH10" authorId="0" shapeId="0">
      <text>
        <t>추정: 최근 8분기 OPM 중위 1.2% 유지(클립 −20~40%)
[divide]</t>
      </text>
    </comment>
    <comment ref="AI10" authorId="0" shapeId="0">
      <text>
        <t>추정: 최근 8분기 OPM 중위 1.2% 유지(클립 −20~40%)
[divide]</t>
      </text>
    </comment>
    <comment ref="AK10" authorId="0" shapeId="0">
      <text>
        <t>추정: 최근 8분기 OPM 중위 1.2% 유지(클립 −20~40%)
[divide]</t>
      </text>
    </comment>
    <comment ref="AL10" authorId="0" shapeId="0">
      <text>
        <t>추정: 최근 8분기 OPM 중위 1.2% 유지(클립 −20~40%)
[divide]</t>
      </text>
    </comment>
    <comment ref="AM10" authorId="0" shapeId="0">
      <text>
        <t>추정: 최근 8분기 OPM 중위 1.2% 유지(클립 −20~40%)
[divide]</t>
      </text>
    </comment>
    <comment ref="AN10" authorId="0" shapeId="0">
      <text>
        <t>추정: 최근 8분기 OPM 중위 1.2% 유지(클립 −20~40%)
[divide]</t>
      </text>
    </comment>
    <comment ref="AC11" authorId="0" shapeId="0">
      <text>
        <t>추정: 이자손익 + 외환손익 0 + 파생상품손익 0 + 기타금융손익 +0.00억(최근 4분기(2025Q3~2026Q2) 잔차 중위) (항등식); 이자손익 = 이자발생자산 900억 × 2.27%(주석 이자수익 ÷ 평균 이자발생자산(2025Q3~2026Q2)) − 총차입금 0억 × 4.70%(CF 이자지급 ÷ 평균 총차입금(2022Q3~2023Q2; 주석 이자비용 11분기 &lt; 4)) (연율) ÷ 4; 환율 효과는 환관련손익 행 별도
[identity]</t>
      </text>
    </comment>
    <comment ref="AD11" authorId="0" shapeId="0">
      <text>
        <t>추정: 이자손익 + 외환손익 0 + 파생상품손익 0 + 기타금융손익 +0.00억(최근 4분기(2025Q3~2026Q2) 잔차 중위) (항등식); 이자손익 = 이자발생자산 929억 × 2.27%(주석 이자수익 ÷ 평균 이자발생자산(2025Q3~2026Q2)) − 총차입금 0억 × 4.70%(CF 이자지급 ÷ 평균 총차입금(2022Q3~2023Q2; 주석 이자비용 11분기 &lt; 4)) (연율) ÷ 4; 환율 효과는 환관련손익 행 별도
[identity]</t>
      </text>
    </comment>
    <comment ref="AF11" authorId="0" shapeId="0">
      <text>
        <t>추정: 이자손익 + 외환손익 0 + 파생상품손익 0 + 기타금융손익 +0.00억(최근 4분기(2025Q3~2026Q2) 잔차 중위) (항등식); 이자손익 = 이자발생자산 960억 × 2.27%(주석 이자수익 ÷ 평균 이자발생자산(2025Q3~2026Q2)) − 총차입금 0억 × 4.70%(CF 이자지급 ÷ 평균 총차입금(2022Q3~2023Q2; 주석 이자비용 11분기 &lt; 4)) (연율) ÷ 4; 환율 효과는 환관련손익 행 별도
[identity]</t>
      </text>
    </comment>
    <comment ref="AG11" authorId="0" shapeId="0">
      <text>
        <t>추정: 이자손익 + 외환손익 0 + 파생상품손익 0 + 기타금융손익 +0.00억(최근 4분기(2025Q3~2026Q2) 잔차 중위) (항등식); 이자손익 = 이자발생자산 990억 × 2.27%(주석 이자수익 ÷ 평균 이자발생자산(2025Q3~2026Q2)) − 총차입금 0억 × 4.70%(CF 이자지급 ÷ 평균 총차입금(2022Q3~2023Q2; 주석 이자비용 11분기 &lt; 4)) (연율) ÷ 4; 환율 효과는 환관련손익 행 별도
[identity]</t>
      </text>
    </comment>
    <comment ref="AH11" authorId="0" shapeId="0">
      <text>
        <t>추정: 이자손익 + 외환손익 0 + 파생상품손익 0 + 기타금융손익 +0.00억(최근 4분기(2025Q3~2026Q2) 잔차 중위) (항등식); 이자손익 = 이자발생자산 996억 × 2.27%(주석 이자수익 ÷ 평균 이자발생자산(2025Q3~2026Q2)) − 총차입금 0억 × 4.70%(CF 이자지급 ÷ 평균 총차입금(2022Q3~2023Q2; 주석 이자비용 11분기 &lt; 4)) (연율) ÷ 4; 환율 효과는 환관련손익 행 별도
[identity]</t>
      </text>
    </comment>
    <comment ref="AI11" authorId="0" shapeId="0">
      <text>
        <t>추정: 이자손익 + 외환손익 0 + 파생상품손익 0 + 기타금융손익 +0.00억(최근 4분기(2025Q3~2026Q2) 잔차 중위) (항등식); 이자손익 = 이자발생자산 1023억 × 2.27%(주석 이자수익 ÷ 평균 이자발생자산(2025Q3~2026Q2)) − 총차입금 0억 × 4.70%(CF 이자지급 ÷ 평균 총차입금(2022Q3~2023Q2; 주석 이자비용 11분기 &lt; 4)) (연율) ÷ 4; 환율 효과는 환관련손익 행 별도
[identity]</t>
      </text>
    </comment>
    <comment ref="AK11" authorId="0" shapeId="0">
      <text>
        <t>추정: 이자손익 + 외환손익 0 + 파생상품손익 0 + 기타금융손익 +0.00억(최근 4분기(2025Q3~2026Q2) 잔차 중위) (항등식); 이자손익 = 이자발생자산 1051억 × 2.27%(주석 이자수익 ÷ 평균 이자발생자산(2025Q3~2026Q2)) − 총차입금 0억 × 4.70%(CF 이자지급 ÷ 평균 총차입금(2022Q3~2023Q2; 주석 이자비용 11분기 &lt; 4)) (연율) ÷ 4; 환율 효과는 환관련손익 행 별도
[identity]</t>
      </text>
    </comment>
    <comment ref="AL11" authorId="0" shapeId="0">
      <text>
        <t>추정: 이자손익 + 외환손익 0 + 파생상품손익 0 + 기타금융손익 +0.00억(최근 4분기(2025Q3~2026Q2) 잔차 중위) (항등식); 이자손익 = 이자발생자산 1080억 × 2.27%(주석 이자수익 ÷ 평균 이자발생자산(2025Q3~2026Q2)) − 총차입금 0억 × 4.70%(CF 이자지급 ÷ 평균 총차입금(2022Q3~2023Q2; 주석 이자비용 11분기 &lt; 4)) (연율) ÷ 4; 환율 효과는 환관련손익 행 별도
[identity]</t>
      </text>
    </comment>
    <comment ref="AM11" authorId="0" shapeId="0">
      <text>
        <t>추정: 이자손익 + 외환손익 0 + 파생상품손익 0 + 기타금융손익 +0.00억(최근 4분기(2025Q3~2026Q2) 잔차 중위) (항등식); 이자손익 = 이자발생자산 1083억 × 2.27%(주석 이자수익 ÷ 평균 이자발생자산(2025Q3~2026Q2)) − 총차입금 0억 × 4.70%(CF 이자지급 ÷ 평균 총차입금(2022Q3~2023Q2; 주석 이자비용 11분기 &lt; 4)) (연율) ÷ 4; 환율 효과는 환관련손익 행 별도
[identity]</t>
      </text>
    </comment>
    <comment ref="AN11" authorId="0" shapeId="0">
      <text>
        <t>추정: 이자손익 + 외환손익 0 + 파생상품손익 0 + 기타금융손익 +0.00억(최근 4분기(2025Q3~2026Q2) 잔차 중위) (항등식); 이자손익 = 이자발생자산 1110억 × 2.27%(주석 이자수익 ÷ 평균 이자발생자산(2025Q3~2026Q2)) − 총차입금 0억 × 4.70%(CF 이자지급 ÷ 평균 총차입금(2022Q3~2023Q2; 주석 이자비용 11분기 &lt; 4)) (연율) ÷ 4; 환율 효과는 환관련손익 행 별도
[identity]</t>
      </text>
    </comment>
    <comment ref="AC12" authorId="0" shapeId="0">
      <text>
        <t>추정: 이자발생자산 900억 × 2.27%(주석 이자수익 ÷ 평균 이자발생자산(2025Q3~2026Q2)) − 총차입금 0억 × 4.70%(CF 이자지급 ÷ 평균 총차입금(2022Q3~2023Q2; 주석 이자비용 11분기 &lt; 4)) (연율) ÷ 4
[interest]</t>
      </text>
    </comment>
    <comment ref="AD12" authorId="0" shapeId="0">
      <text>
        <t>추정: 이자발생자산 929억 × 2.27%(주석 이자수익 ÷ 평균 이자발생자산(2025Q3~2026Q2)) − 총차입금 0억 × 4.70%(CF 이자지급 ÷ 평균 총차입금(2022Q3~2023Q2; 주석 이자비용 11분기 &lt; 4)) (연율) ÷ 4
[interest]</t>
      </text>
    </comment>
    <comment ref="AF12" authorId="0" shapeId="0">
      <text>
        <t>추정: 이자발생자산 960억 × 2.27%(주석 이자수익 ÷ 평균 이자발생자산(2025Q3~2026Q2)) − 총차입금 0억 × 4.70%(CF 이자지급 ÷ 평균 총차입금(2022Q3~2023Q2; 주석 이자비용 11분기 &lt; 4)) (연율) ÷ 4
[interest]</t>
      </text>
    </comment>
    <comment ref="AG12" authorId="0" shapeId="0">
      <text>
        <t>추정: 이자발생자산 990억 × 2.27%(주석 이자수익 ÷ 평균 이자발생자산(2025Q3~2026Q2)) − 총차입금 0억 × 4.70%(CF 이자지급 ÷ 평균 총차입금(2022Q3~2023Q2; 주석 이자비용 11분기 &lt; 4)) (연율) ÷ 4
[interest]</t>
      </text>
    </comment>
    <comment ref="AH12" authorId="0" shapeId="0">
      <text>
        <t>추정: 이자발생자산 996억 × 2.27%(주석 이자수익 ÷ 평균 이자발생자산(2025Q3~2026Q2)) − 총차입금 0억 × 4.70%(CF 이자지급 ÷ 평균 총차입금(2022Q3~2023Q2; 주석 이자비용 11분기 &lt; 4)) (연율) ÷ 4
[interest]</t>
      </text>
    </comment>
    <comment ref="AI12" authorId="0" shapeId="0">
      <text>
        <t>추정: 이자발생자산 1023억 × 2.27%(주석 이자수익 ÷ 평균 이자발생자산(2025Q3~2026Q2)) − 총차입금 0억 × 4.70%(CF 이자지급 ÷ 평균 총차입금(2022Q3~2023Q2; 주석 이자비용 11분기 &lt; 4)) (연율) ÷ 4
[interest]</t>
      </text>
    </comment>
    <comment ref="AK12" authorId="0" shapeId="0">
      <text>
        <t>추정: 이자발생자산 1051억 × 2.27%(주석 이자수익 ÷ 평균 이자발생자산(2025Q3~2026Q2)) − 총차입금 0억 × 4.70%(CF 이자지급 ÷ 평균 총차입금(2022Q3~2023Q2; 주석 이자비용 11분기 &lt; 4)) (연율) ÷ 4
[interest]</t>
      </text>
    </comment>
    <comment ref="AL12" authorId="0" shapeId="0">
      <text>
        <t>추정: 이자발생자산 1080억 × 2.27%(주석 이자수익 ÷ 평균 이자발생자산(2025Q3~2026Q2)) − 총차입금 0억 × 4.70%(CF 이자지급 ÷ 평균 총차입금(2022Q3~2023Q2; 주석 이자비용 11분기 &lt; 4)) (연율) ÷ 4
[interest]</t>
      </text>
    </comment>
    <comment ref="AM12" authorId="0" shapeId="0">
      <text>
        <t>추정: 이자발생자산 1083억 × 2.27%(주석 이자수익 ÷ 평균 이자발생자산(2025Q3~2026Q2)) − 총차입금 0억 × 4.70%(CF 이자지급 ÷ 평균 총차입금(2022Q3~2023Q2; 주석 이자비용 11분기 &lt; 4)) (연율) ÷ 4
[interest]</t>
      </text>
    </comment>
    <comment ref="AN12" authorId="0" shapeId="0">
      <text>
        <t>추정: 이자발생자산 1110억 × 2.27%(주석 이자수익 ÷ 평균 이자발생자산(2025Q3~2026Q2)) − 총차입금 0억 × 4.70%(CF 이자지급 ÷ 평균 총차입금(2022Q3~2023Q2; 주석 이자비용 11분기 &lt; 4)) (연율) ÷ 4
[interest]</t>
      </text>
    </comment>
    <comment ref="G13" authorId="0" shapeId="0">
      <text>
        <t>BS 계정 합·차: +외환차익 -외환차손 +외화환산이익 -외화환산손실</t>
      </text>
    </comment>
    <comment ref="H13" authorId="0" shapeId="0">
      <text>
        <t>BS 계정 합·차: +외환차익 -외환차손 +외화환산이익 -외화환산손실</t>
      </text>
    </comment>
    <comment ref="I13" authorId="0" shapeId="0">
      <text>
        <t>BS 계정 합·차: +외환차익 -외환차손 +외화환산이익 -외화환산손실</t>
      </text>
    </comment>
    <comment ref="J13" authorId="0" shapeId="0">
      <text>
        <t>BS 계정 합·차: +외환차익 -외환차손 +외화환산이익 -외화환산손실</t>
      </text>
    </comment>
    <comment ref="L13" authorId="0" shapeId="0">
      <text>
        <t>BS 계정 합·차: +외환차익 -외환차손 +외화환산이익 -외화환산손실</t>
      </text>
    </comment>
    <comment ref="N13" authorId="0" shapeId="0">
      <text>
        <t>BS 계정 합·차: +외환차익 -외환차손 +외화환산이익 -외화환산손실</t>
      </text>
    </comment>
    <comment ref="O13" authorId="0" shapeId="0">
      <text>
        <t>BS 계정 합·차: +외환차익 -외환차손 +외화환산이익 -외화환산손실</t>
      </text>
    </comment>
    <comment ref="Q13" authorId="0" shapeId="0">
      <text>
        <t>BS 계정 합·차: +외환차익 -외환차손 +외화환산이익 -외화환산손실</t>
      </text>
    </comment>
    <comment ref="S13" authorId="0" shapeId="0">
      <text>
        <t>BS 계정 합·차: +외환차익 -외환차손 +외화환산이익 -외화환산손실</t>
      </text>
    </comment>
    <comment ref="T13" authorId="0" shapeId="0">
      <text>
        <t>BS 계정 합·차: +외환차익 -외환차손 +외화환산이익 -외화환산손실</t>
      </text>
    </comment>
    <comment ref="V13" authorId="0" shapeId="0">
      <text>
        <t>BS 계정 합·차: +외환차익 -외환차손 +외화환산이익 -외화환산손실</t>
      </text>
    </comment>
    <comment ref="W13" authorId="0" shapeId="0">
      <text>
        <t>BS 계정 합·차: +외환차익 -외환차손 +외화환산이익 -외화환산손실</t>
      </text>
    </comment>
    <comment ref="X13" authorId="0" shapeId="0">
      <text>
        <t>BS 계정 합·차: +외환차익 -외환차손 +외화환산이익 -외화환산손실</t>
      </text>
    </comment>
    <comment ref="Y13" authorId="0" shapeId="0">
      <text>
        <t>BS 계정 합·차: +외환차익 -외환차손 +외화환산이익 -외화환산손실</t>
      </text>
    </comment>
    <comment ref="AA13" authorId="0" shapeId="0">
      <text>
        <t>BS 계정 합·차: +외환차익 -외환차손 +외화환산이익 -외화환산손실</t>
      </text>
    </comment>
    <comment ref="AB13" authorId="0" shapeId="0">
      <text>
        <t>BS 계정 합·차: +외환차익 -외환차손 +외화환산이익 -외화환산손실</t>
      </text>
    </comment>
    <comment ref="AC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D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F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G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H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I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K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L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M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N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V14" authorId="0" shapeId="0">
      <text>
        <t>BS 계정 합·차: +파생상품이익 -파생상품손실</t>
      </text>
    </comment>
    <comment ref="W14" authorId="0" shapeId="0">
      <text>
        <t>BS 계정 합·차: +파생상품이익 -파생상품손실</t>
      </text>
    </comment>
    <comment ref="X14" authorId="0" shapeId="0">
      <text>
        <t>BS 계정 합·차: +파생상품이익 -파생상품손실</t>
      </text>
    </comment>
    <comment ref="Y14" authorId="0" shapeId="0">
      <text>
        <t>BS 계정 합·차: +파생상품이익 -파생상품손실</t>
      </text>
    </comment>
    <comment ref="AA14" authorId="0" shapeId="0">
      <text>
        <t>BS 계정 합·차: +파생상품이익 -파생상품손실</t>
      </text>
    </comment>
    <comment ref="AB14" authorId="0" shapeId="0">
      <text>
        <t>BS 계정 합·차: +파생상품이익 -파생상품손실</t>
      </text>
    </comment>
    <comment ref="AC14" authorId="0" shapeId="0">
      <text>
        <t>추정: 파생상품 평가·거래손익 0 가정
[abs]</t>
      </text>
    </comment>
    <comment ref="AD14" authorId="0" shapeId="0">
      <text>
        <t>추정: 파생상품 평가·거래손익 0 가정
[abs]</t>
      </text>
    </comment>
    <comment ref="AF14" authorId="0" shapeId="0">
      <text>
        <t>추정: 파생상품 평가·거래손익 0 가정
[abs]</t>
      </text>
    </comment>
    <comment ref="AG14" authorId="0" shapeId="0">
      <text>
        <t>추정: 파생상품 평가·거래손익 0 가정
[abs]</t>
      </text>
    </comment>
    <comment ref="AH14" authorId="0" shapeId="0">
      <text>
        <t>추정: 파생상품 평가·거래손익 0 가정
[abs]</t>
      </text>
    </comment>
    <comment ref="AI14" authorId="0" shapeId="0">
      <text>
        <t>추정: 파생상품 평가·거래손익 0 가정
[abs]</t>
      </text>
    </comment>
    <comment ref="AK14" authorId="0" shapeId="0">
      <text>
        <t>추정: 파생상품 평가·거래손익 0 가정
[abs]</t>
      </text>
    </comment>
    <comment ref="AL14" authorId="0" shapeId="0">
      <text>
        <t>추정: 파생상품 평가·거래손익 0 가정
[abs]</t>
      </text>
    </comment>
    <comment ref="AM14" authorId="0" shapeId="0">
      <text>
        <t>추정: 파생상품 평가·거래손익 0 가정
[abs]</t>
      </text>
    </comment>
    <comment ref="AN14" authorId="0" shapeId="0">
      <text>
        <t>추정: 파생상품 평가·거래손익 0 가정
[abs]</t>
      </text>
    </comment>
    <comment ref="AC15" authorId="0" shapeId="0">
      <text>
        <t>추정: 최근 4분기(2025Q3~2026Q2) 잔차 중위
[abs]</t>
      </text>
    </comment>
    <comment ref="AD15" authorId="0" shapeId="0">
      <text>
        <t>추정: 최근 4분기(2025Q3~2026Q2) 잔차 중위
[abs]</t>
      </text>
    </comment>
    <comment ref="AF15" authorId="0" shapeId="0">
      <text>
        <t>추정: 최근 4분기(2025Q3~2026Q2) 잔차 중위
[abs]</t>
      </text>
    </comment>
    <comment ref="AG15" authorId="0" shapeId="0">
      <text>
        <t>추정: 최근 4분기(2025Q3~2026Q2) 잔차 중위
[abs]</t>
      </text>
    </comment>
    <comment ref="AH15" authorId="0" shapeId="0">
      <text>
        <t>추정: 최근 4분기(2025Q3~2026Q2) 잔차 중위
[abs]</t>
      </text>
    </comment>
    <comment ref="AI15" authorId="0" shapeId="0">
      <text>
        <t>추정: 최근 4분기(2025Q3~2026Q2) 잔차 중위
[abs]</t>
      </text>
    </comment>
    <comment ref="AK15" authorId="0" shapeId="0">
      <text>
        <t>추정: 최근 4분기(2025Q3~2026Q2) 잔차 중위
[abs]</t>
      </text>
    </comment>
    <comment ref="AL15" authorId="0" shapeId="0">
      <text>
        <t>추정: 최근 4분기(2025Q3~2026Q2) 잔차 중위
[abs]</t>
      </text>
    </comment>
    <comment ref="AM15" authorId="0" shapeId="0">
      <text>
        <t>추정: 최근 4분기(2025Q3~2026Q2) 잔차 중위
[abs]</t>
      </text>
    </comment>
    <comment ref="AN15" authorId="0" shapeId="0">
      <text>
        <t>추정: 최근 4분기(2025Q3~2026Q2) 잔차 중위
[abs]</t>
      </text>
    </comment>
    <comment ref="AC16" authorId="0" shapeId="0">
      <text>
        <t>추정: 일회성 미가정 → 0
[abs]</t>
      </text>
    </comment>
    <comment ref="AD16" authorId="0" shapeId="0">
      <text>
        <t>추정: 일회성 미가정 → 0
[abs]</t>
      </text>
    </comment>
    <comment ref="AF16" authorId="0" shapeId="0">
      <text>
        <t>추정: 일회성 미가정 → 0
[abs]</t>
      </text>
    </comment>
    <comment ref="AG16" authorId="0" shapeId="0">
      <text>
        <t>추정: 일회성 미가정 → 0
[abs]</t>
      </text>
    </comment>
    <comment ref="AH16" authorId="0" shapeId="0">
      <text>
        <t>추정: 일회성 미가정 → 0
[abs]</t>
      </text>
    </comment>
    <comment ref="AI16" authorId="0" shapeId="0">
      <text>
        <t>추정: 일회성 미가정 → 0
[abs]</t>
      </text>
    </comment>
    <comment ref="AK16" authorId="0" shapeId="0">
      <text>
        <t>추정: 일회성 미가정 → 0
[abs]</t>
      </text>
    </comment>
    <comment ref="AL16" authorId="0" shapeId="0">
      <text>
        <t>추정: 일회성 미가정 → 0
[abs]</t>
      </text>
    </comment>
    <comment ref="AM16" authorId="0" shapeId="0">
      <text>
        <t>추정: 일회성 미가정 → 0
[abs]</t>
      </text>
    </comment>
    <comment ref="AN16" authorId="0" shapeId="0">
      <text>
        <t>추정: 일회성 미가정 → 0
[abs]</t>
      </text>
    </comment>
    <comment ref="AC17" authorId="0" shapeId="0">
      <text>
        <t>추정: 영업이익 + 금융손익 + 기타영업외 + 지분법 + 환관련(항등식)
[identity]</t>
      </text>
    </comment>
    <comment ref="AD17" authorId="0" shapeId="0">
      <text>
        <t>추정: 영업이익 + 금융손익 + 기타영업외 + 지분법 + 환관련(항등식)
[identity]</t>
      </text>
    </comment>
    <comment ref="AF17" authorId="0" shapeId="0">
      <text>
        <t>추정: 영업이익 + 금융손익 + 기타영업외 + 지분법 + 환관련(항등식)
[identity]</t>
      </text>
    </comment>
    <comment ref="AG17" authorId="0" shapeId="0">
      <text>
        <t>추정: 영업이익 + 금융손익 + 기타영업외 + 지분법 + 환관련(항등식)
[identity]</t>
      </text>
    </comment>
    <comment ref="AH17" authorId="0" shapeId="0">
      <text>
        <t>추정: 영업이익 + 금융손익 + 기타영업외 + 지분법 + 환관련(항등식)
[identity]</t>
      </text>
    </comment>
    <comment ref="AI17" authorId="0" shapeId="0">
      <text>
        <t>추정: 영업이익 + 금융손익 + 기타영업외 + 지분법 + 환관련(항등식)
[identity]</t>
      </text>
    </comment>
    <comment ref="AK17" authorId="0" shapeId="0">
      <text>
        <t>추정: 영업이익 + 금융손익 + 기타영업외 + 지분법 + 환관련(항등식)
[identity]</t>
      </text>
    </comment>
    <comment ref="AL17" authorId="0" shapeId="0">
      <text>
        <t>추정: 영업이익 + 금융손익 + 기타영업외 + 지분법 + 환관련(항등식)
[identity]</t>
      </text>
    </comment>
    <comment ref="AM17" authorId="0" shapeId="0">
      <text>
        <t>추정: 영업이익 + 금융손익 + 기타영업외 + 지분법 + 환관련(항등식)
[identity]</t>
      </text>
    </comment>
    <comment ref="AN17" authorId="0" shapeId="0">
      <text>
        <t>추정: 영업이익 + 금융손익 + 기타영업외 + 지분법 + 환관련(항등식)
[identity]</t>
      </text>
    </comment>
    <comment ref="AC18" authorId="0" shapeId="0">
      <text>
        <t>추정: max(세전, 0) × 세율 24.3%(최근 12분기 유효세율 177.6% 가 5~27% 밖 → 클립 대신 최근 8분기 중 세전 &gt; 0 인 7분기(2024Q3~2026Q2)의 법인세/세전 중위 24.3%)
[tax]</t>
      </text>
    </comment>
    <comment ref="AD18" authorId="0" shapeId="0">
      <text>
        <t>추정: max(세전, 0) × 세율 24.3%(최근 12분기 유효세율 177.6% 가 5~27% 밖 → 클립 대신 최근 8분기 중 세전 &gt; 0 인 7분기(2024Q3~2026Q2)의 법인세/세전 중위 24.3%)
[tax]</t>
      </text>
    </comment>
    <comment ref="AF18" authorId="0" shapeId="0">
      <text>
        <t>추정: max(세전, 0) × 세율 24.3%(최근 12분기 유효세율 177.6% 가 5~27% 밖 → 클립 대신 최근 8분기 중 세전 &gt; 0 인 7분기(2024Q3~2026Q2)의 법인세/세전 중위 24.3%)
[tax]</t>
      </text>
    </comment>
    <comment ref="AG18" authorId="0" shapeId="0">
      <text>
        <t>추정: max(세전, 0) × 세율 24.3%(최근 12분기 유효세율 177.6% 가 5~27% 밖 → 클립 대신 최근 8분기 중 세전 &gt; 0 인 7분기(2024Q3~2026Q2)의 법인세/세전 중위 24.3%)
[tax]</t>
      </text>
    </comment>
    <comment ref="AH18" authorId="0" shapeId="0">
      <text>
        <t>추정: max(세전, 0) × 세율 24.3%(최근 12분기 유효세율 177.6% 가 5~27% 밖 → 클립 대신 최근 8분기 중 세전 &gt; 0 인 7분기(2024Q3~2026Q2)의 법인세/세전 중위 24.3%)
[tax]</t>
      </text>
    </comment>
    <comment ref="AI18" authorId="0" shapeId="0">
      <text>
        <t>추정: max(세전, 0) × 세율 24.3%(최근 12분기 유효세율 177.6% 가 5~27% 밖 → 클립 대신 최근 8분기 중 세전 &gt; 0 인 7분기(2024Q3~2026Q2)의 법인세/세전 중위 24.3%)
[tax]</t>
      </text>
    </comment>
    <comment ref="AK18" authorId="0" shapeId="0">
      <text>
        <t>추정: max(세전, 0) × 세율 24.3%(최근 12분기 유효세율 177.6% 가 5~27% 밖 → 클립 대신 최근 8분기 중 세전 &gt; 0 인 7분기(2024Q3~2026Q2)의 법인세/세전 중위 24.3%)
[tax]</t>
      </text>
    </comment>
    <comment ref="AL18" authorId="0" shapeId="0">
      <text>
        <t>추정: max(세전, 0) × 세율 24.3%(최근 12분기 유효세율 177.6% 가 5~27% 밖 → 클립 대신 최근 8분기 중 세전 &gt; 0 인 7분기(2024Q3~2026Q2)의 법인세/세전 중위 24.3%)
[tax]</t>
      </text>
    </comment>
    <comment ref="AM18" authorId="0" shapeId="0">
      <text>
        <t>추정: max(세전, 0) × 세율 24.3%(최근 12분기 유효세율 177.6% 가 5~27% 밖 → 클립 대신 최근 8분기 중 세전 &gt; 0 인 7분기(2024Q3~2026Q2)의 법인세/세전 중위 24.3%)
[tax]</t>
      </text>
    </comment>
    <comment ref="AN18" authorId="0" shapeId="0">
      <text>
        <t>추정: max(세전, 0) × 세율 24.3%(최근 12분기 유효세율 177.6% 가 5~27% 밖 → 클립 대신 최근 8분기 중 세전 &gt; 0 인 7분기(2024Q3~2026Q2)의 법인세/세전 중위 24.3%)
[tax]</t>
      </text>
    </comment>
    <comment ref="AC19" authorId="0" shapeId="0">
      <text>
        <t>추정: 세전이익 − 법인세비용(항등식)
[identity]</t>
      </text>
    </comment>
    <comment ref="AD19" authorId="0" shapeId="0">
      <text>
        <t>추정: 세전이익 − 법인세비용(항등식)
[identity]</t>
      </text>
    </comment>
    <comment ref="AF19" authorId="0" shapeId="0">
      <text>
        <t>추정: 세전이익 − 법인세비용(항등식)
[identity]</t>
      </text>
    </comment>
    <comment ref="AG19" authorId="0" shapeId="0">
      <text>
        <t>추정: 세전이익 − 법인세비용(항등식)
[identity]</t>
      </text>
    </comment>
    <comment ref="AH19" authorId="0" shapeId="0">
      <text>
        <t>추정: 세전이익 − 법인세비용(항등식)
[identity]</t>
      </text>
    </comment>
    <comment ref="AI19" authorId="0" shapeId="0">
      <text>
        <t>추정: 세전이익 − 법인세비용(항등식)
[identity]</t>
      </text>
    </comment>
    <comment ref="AK19" authorId="0" shapeId="0">
      <text>
        <t>추정: 세전이익 − 법인세비용(항등식)
[identity]</t>
      </text>
    </comment>
    <comment ref="AL19" authorId="0" shapeId="0">
      <text>
        <t>추정: 세전이익 − 법인세비용(항등식)
[identity]</t>
      </text>
    </comment>
    <comment ref="AM19" authorId="0" shapeId="0">
      <text>
        <t>추정: 세전이익 − 법인세비용(항등식)
[identity]</t>
      </text>
    </comment>
    <comment ref="AN19" authorId="0" shapeId="0">
      <text>
        <t>추정: 세전이익 − 법인세비용(항등식)
[identity]</t>
      </text>
    </comment>
    <comment ref="AC20" authorId="0" shapeId="0">
      <text>
        <t>추정: 당기순이익 × (1 − 비지배 비중 0.0%, 최근 8분기 실측)
[ratio]</t>
      </text>
    </comment>
    <comment ref="AD20" authorId="0" shapeId="0">
      <text>
        <t>추정: 당기순이익 × (1 − 비지배 비중 0.0%, 최근 8분기 실측)
[ratio]</t>
      </text>
    </comment>
    <comment ref="AF20" authorId="0" shapeId="0">
      <text>
        <t>추정: 당기순이익 × (1 − 비지배 비중 0.0%, 최근 8분기 실측)
[ratio]</t>
      </text>
    </comment>
    <comment ref="AG20" authorId="0" shapeId="0">
      <text>
        <t>추정: 당기순이익 × (1 − 비지배 비중 0.0%, 최근 8분기 실측)
[ratio]</t>
      </text>
    </comment>
    <comment ref="AH20" authorId="0" shapeId="0">
      <text>
        <t>추정: 당기순이익 × (1 − 비지배 비중 0.0%, 최근 8분기 실측)
[ratio]</t>
      </text>
    </comment>
    <comment ref="AI20" authorId="0" shapeId="0">
      <text>
        <t>추정: 당기순이익 × (1 − 비지배 비중 0.0%, 최근 8분기 실측)
[ratio]</t>
      </text>
    </comment>
    <comment ref="AK20" authorId="0" shapeId="0">
      <text>
        <t>추정: 당기순이익 × (1 − 비지배 비중 0.0%, 최근 8분기 실측)
[ratio]</t>
      </text>
    </comment>
    <comment ref="AL20" authorId="0" shapeId="0">
      <text>
        <t>추정: 당기순이익 × (1 − 비지배 비중 0.0%, 최근 8분기 실측)
[ratio]</t>
      </text>
    </comment>
    <comment ref="AM20" authorId="0" shapeId="0">
      <text>
        <t>추정: 당기순이익 × (1 − 비지배 비중 0.0%, 최근 8분기 실측)
[ratio]</t>
      </text>
    </comment>
    <comment ref="AN20" authorId="0" shapeId="0">
      <text>
        <t>추정: 당기순이익 × (1 − 비지배 비중 0.0%, 최근 8분기 실측)
[ratio]</t>
      </text>
    </comment>
    <comment ref="AC23" authorId="0" shapeId="0">
      <text>
        <t>추정: 전분기 + 당기순이익 − 배당(Q2 지급 가정)
[roll]</t>
      </text>
    </comment>
    <comment ref="AD23" authorId="0" shapeId="0">
      <text>
        <t>추정: 전분기 + 당기순이익 − 배당(Q2 지급 가정)
[roll]</t>
      </text>
    </comment>
    <comment ref="AF23" authorId="0" shapeId="0">
      <text>
        <t>추정: 전분기 + 당기순이익 − 배당(Q2 지급 가정)
[roll]</t>
      </text>
    </comment>
    <comment ref="AG23" authorId="0" shapeId="0">
      <text>
        <t>추정: 전분기 + 당기순이익 − 배당(Q2 지급 가정)
[roll]</t>
      </text>
    </comment>
    <comment ref="AH23" authorId="0" shapeId="0">
      <text>
        <t>추정: 전분기 + 당기순이익 − 배당(Q2 지급 가정)
[roll]</t>
      </text>
    </comment>
    <comment ref="AI23" authorId="0" shapeId="0">
      <text>
        <t>추정: 전분기 + 당기순이익 − 배당(Q2 지급 가정)
[roll]</t>
      </text>
    </comment>
    <comment ref="AK23" authorId="0" shapeId="0">
      <text>
        <t>추정: 전분기 + 당기순이익 − 배당(Q2 지급 가정)
[roll]</t>
      </text>
    </comment>
    <comment ref="AL23" authorId="0" shapeId="0">
      <text>
        <t>추정: 전분기 + 당기순이익 − 배당(Q2 지급 가정)
[roll]</t>
      </text>
    </comment>
    <comment ref="AM23" authorId="0" shapeId="0">
      <text>
        <t>추정: 전분기 + 당기순이익 − 배당(Q2 지급 가정)
[roll]</t>
      </text>
    </comment>
    <comment ref="AN23" authorId="0" shapeId="0">
      <text>
        <t>추정: 전분기 + 당기순이익 − 배당(Q2 지급 가정)
[roll]</t>
      </text>
    </comment>
    <comment ref="AC24" authorId="0" shapeId="0">
      <text>
        <t>추정: 전분기 + 지배주주순이익 − 배당
[roll]</t>
      </text>
    </comment>
    <comment ref="AD24" authorId="0" shapeId="0">
      <text>
        <t>추정: 전분기 + 지배주주순이익 − 배당
[roll]</t>
      </text>
    </comment>
    <comment ref="AF24" authorId="0" shapeId="0">
      <text>
        <t>추정: 전분기 + 지배주주순이익 − 배당
[roll]</t>
      </text>
    </comment>
    <comment ref="AG24" authorId="0" shapeId="0">
      <text>
        <t>추정: 전분기 + 지배주주순이익 − 배당
[roll]</t>
      </text>
    </comment>
    <comment ref="AH24" authorId="0" shapeId="0">
      <text>
        <t>추정: 전분기 + 지배주주순이익 − 배당
[roll]</t>
      </text>
    </comment>
    <comment ref="AI24" authorId="0" shapeId="0">
      <text>
        <t>추정: 전분기 + 지배주주순이익 − 배당
[roll]</t>
      </text>
    </comment>
    <comment ref="AK24" authorId="0" shapeId="0">
      <text>
        <t>추정: 전분기 + 지배주주순이익 − 배당
[roll]</t>
      </text>
    </comment>
    <comment ref="AL24" authorId="0" shapeId="0">
      <text>
        <t>추정: 전분기 + 지배주주순이익 − 배당
[roll]</t>
      </text>
    </comment>
    <comment ref="AM24" authorId="0" shapeId="0">
      <text>
        <t>추정: 전분기 + 지배주주순이익 − 배당
[roll]</t>
      </text>
    </comment>
    <comment ref="AN24" authorId="0" shapeId="0">
      <text>
        <t>추정: 전분기 + 지배주주순이익 − 배당
[roll]</t>
      </text>
    </comment>
    <comment ref="AC27" authorId="0" shapeId="0">
      <text>
        <t>추정: 전분기 + FCF 근사 — 순차입금 롤과 같은 가정
[qoq]</t>
      </text>
    </comment>
    <comment ref="AD27" authorId="0" shapeId="0">
      <text>
        <t>추정: 전분기 + FCF 근사 — 순차입금 롤과 같은 가정
[qoq]</t>
      </text>
    </comment>
    <comment ref="AF27" authorId="0" shapeId="0">
      <text>
        <t>추정: 전분기 + FCF 근사 — 순차입금 롤과 같은 가정
[qoq]</t>
      </text>
    </comment>
    <comment ref="AG27" authorId="0" shapeId="0">
      <text>
        <t>추정: 전분기 + FCF 근사 — 순차입금 롤과 같은 가정
[qoq]</t>
      </text>
    </comment>
    <comment ref="AH27" authorId="0" shapeId="0">
      <text>
        <t>추정: 전분기 + FCF 근사 — 순차입금 롤과 같은 가정
[qoq]</t>
      </text>
    </comment>
    <comment ref="AI27" authorId="0" shapeId="0">
      <text>
        <t>추정: 전분기 + FCF 근사 — 순차입금 롤과 같은 가정
[qoq]</t>
      </text>
    </comment>
    <comment ref="AK27" authorId="0" shapeId="0">
      <text>
        <t>추정: 전분기 + FCF 근사 — 순차입금 롤과 같은 가정
[qoq]</t>
      </text>
    </comment>
    <comment ref="AL27" authorId="0" shapeId="0">
      <text>
        <t>추정: 전분기 + FCF 근사 — 순차입금 롤과 같은 가정
[qoq]</t>
      </text>
    </comment>
    <comment ref="AM27" authorId="0" shapeId="0">
      <text>
        <t>추정: 전분기 + FCF 근사 — 순차입금 롤과 같은 가정
[qoq]</t>
      </text>
    </comment>
    <comment ref="AN27" authorId="0" shapeId="0">
      <text>
        <t>추정: 전분기 + FCF 근사 — 순차입금 롤과 같은 가정
[qoq]</t>
      </text>
    </comment>
    <comment ref="AC29" authorId="0" shapeId="0">
      <text>
        <t>추정: 최근 4분기(2025Q3~2026Q2) CAPEX 중위 유지 — 순차입금 롤에 미반영(감가상각비 없음 → CAPEX≈감가 가정)
[yoy]</t>
      </text>
    </comment>
    <comment ref="AD29" authorId="0" shapeId="0">
      <text>
        <t>추정: 최근 4분기(2025Q3~2026Q2) CAPEX 중위 유지 — 순차입금 롤에 미반영(감가상각비 없음 → CAPEX≈감가 가정)
[yoy]</t>
      </text>
    </comment>
    <comment ref="AF29" authorId="0" shapeId="0">
      <text>
        <t>추정: 최근 4분기(2025Q3~2026Q2) CAPEX 중위 유지 — 순차입금 롤에 미반영(감가상각비 없음 → CAPEX≈감가 가정)
[yoy]</t>
      </text>
    </comment>
    <comment ref="AG29" authorId="0" shapeId="0">
      <text>
        <t>추정: 최근 4분기(2025Q3~2026Q2) CAPEX 중위 유지 — 순차입금 롤에 미반영(감가상각비 없음 → CAPEX≈감가 가정)
[yoy]</t>
      </text>
    </comment>
    <comment ref="AH29" authorId="0" shapeId="0">
      <text>
        <t>추정: 최근 4분기(2025Q3~2026Q2) CAPEX 중위 유지 — 순차입금 롤에 미반영(감가상각비 없음 → CAPEX≈감가 가정)
[yoy]</t>
      </text>
    </comment>
    <comment ref="AI29" authorId="0" shapeId="0">
      <text>
        <t>추정: 최근 4분기(2025Q3~2026Q2) CAPEX 중위 유지 — 순차입금 롤에 미반영(감가상각비 없음 → CAPEX≈감가 가정)
[yoy]</t>
      </text>
    </comment>
    <comment ref="AK29" authorId="0" shapeId="0">
      <text>
        <t>추정: 최근 4분기(2025Q3~2026Q2) CAPEX 중위 유지 — 순차입금 롤에 미반영(감가상각비 없음 → CAPEX≈감가 가정)
[yoy]</t>
      </text>
    </comment>
    <comment ref="AL29" authorId="0" shapeId="0">
      <text>
        <t>추정: 최근 4분기(2025Q3~2026Q2) CAPEX 중위 유지 — 순차입금 롤에 미반영(감가상각비 없음 → CAPEX≈감가 가정)
[yoy]</t>
      </text>
    </comment>
    <comment ref="AM29" authorId="0" shapeId="0">
      <text>
        <t>추정: 최근 4분기(2025Q3~2026Q2) CAPEX 중위 유지 — 순차입금 롤에 미반영(감가상각비 없음 → CAPEX≈감가 가정)
[yoy]</t>
      </text>
    </comment>
    <comment ref="AN29" authorId="0" shapeId="0">
      <text>
        <t>추정: 최근 4분기(2025Q3~2026Q2) CAPEX 중위 유지 — 순차입금 롤에 미반영(감가상각비 없음 → CAPEX≈감가 가정)
[yoy]</t>
      </text>
    </comment>
    <comment ref="E31" authorId="0" shapeId="0">
      <text>
        <t>실측(계정 매핑 없음(파생·부문·시세 행) — 모델값 직접) — fin.shares.common_outstanding</t>
      </text>
    </comment>
    <comment ref="G31" authorId="0" shapeId="0">
      <text>
        <t>실측(계정 매핑 없음(파생·부문·시세 행) — 모델값 직접) — fin.shares.common_outstanding</t>
      </text>
    </comment>
    <comment ref="H31" authorId="0" shapeId="0">
      <text>
        <t>실측(계정 매핑 없음(파생·부문·시세 행) — 모델값 직접) — fin.shares.common_outstanding</t>
      </text>
    </comment>
    <comment ref="I31" authorId="0" shapeId="0">
      <text>
        <t>실측(계정 매핑 없음(파생·부문·시세 행) — 모델값 직접) — fin.shares.common_outstanding</t>
      </text>
    </comment>
    <comment ref="J31" authorId="0" shapeId="0">
      <text>
        <t>실측(계정 매핑 없음(파생·부문·시세 행) — 모델값 직접) — fin.shares.common_outstanding</t>
      </text>
    </comment>
    <comment ref="L31" authorId="0" shapeId="0">
      <text>
        <t>실측(계정 매핑 없음(파생·부문·시세 행) — 모델값 직접) — fin.shares.common_outstanding</t>
      </text>
    </comment>
    <comment ref="M31" authorId="0" shapeId="0">
      <text>
        <t>실측(계정 매핑 없음(파생·부문·시세 행) — 모델값 직접) — fin.shares.common_outstanding</t>
      </text>
    </comment>
    <comment ref="N31" authorId="0" shapeId="0">
      <text>
        <t>실측(계정 매핑 없음(파생·부문·시세 행) — 모델값 직접) — fin.shares.common_outstanding</t>
      </text>
    </comment>
    <comment ref="O31" authorId="0" shapeId="0">
      <text>
        <t>실측(계정 매핑 없음(파생·부문·시세 행) — 모델값 직접) — fin.shares.common_outstanding</t>
      </text>
    </comment>
    <comment ref="Q31" authorId="0" shapeId="0">
      <text>
        <t>실측(계정 매핑 없음(파생·부문·시세 행) — 모델값 직접) — fin.shares.common_outstanding</t>
      </text>
    </comment>
    <comment ref="R31" authorId="0" shapeId="0">
      <text>
        <t>실측(계정 매핑 없음(파생·부문·시세 행) — 모델값 직접) — fin.shares.common_outstanding</t>
      </text>
    </comment>
    <comment ref="S31" authorId="0" shapeId="0">
      <text>
        <t>실측(계정 매핑 없음(파생·부문·시세 행) — 모델값 직접) — fin.shares.common_outstanding</t>
      </text>
    </comment>
    <comment ref="T31" authorId="0" shapeId="0">
      <text>
        <t>실측(계정 매핑 없음(파생·부문·시세 행) — 모델값 직접) — fin.shares.common_outstanding</t>
      </text>
    </comment>
    <comment ref="V31" authorId="0" shapeId="0">
      <text>
        <t>실측(계정 매핑 없음(파생·부문·시세 행) — 모델값 직접) — fin.shares.common_outstanding</t>
      </text>
    </comment>
    <comment ref="W31" authorId="0" shapeId="0">
      <text>
        <t>실측(계정 매핑 없음(파생·부문·시세 행) — 모델값 직접) — fin.shares.common_outstanding</t>
      </text>
    </comment>
    <comment ref="X31" authorId="0" shapeId="0">
      <text>
        <t>실측(계정 매핑 없음(파생·부문·시세 행) — 모델값 직접) — fin.shares.common_outstanding</t>
      </text>
    </comment>
    <comment ref="Y31" authorId="0" shapeId="0">
      <text>
        <t>실측(계정 매핑 없음(파생·부문·시세 행) — 모델값 직접) — fin.shares.common_outstanding</t>
      </text>
    </comment>
    <comment ref="AA31" authorId="0" shapeId="0">
      <text>
        <t>실측(계정 매핑 없음(파생·부문·시세 행) — 모델값 직접) — fin.shares.common_outstanding</t>
      </text>
    </comment>
    <comment ref="AB31" authorId="0" shapeId="0">
      <text>
        <t>실측(계정 매핑 없음(파생·부문·시세 행) — 모델값 직접) — fin.shares.common_outstanding</t>
      </text>
    </comment>
    <comment ref="AC31" authorId="0" shapeId="0">
      <text>
        <t>추정: 유통주식수 유지 — fin.shares.common_outstanding(2026Q2)
[qoq]</t>
      </text>
    </comment>
    <comment ref="AD31" authorId="0" shapeId="0">
      <text>
        <t>추정: 유통주식수 유지 — fin.shares.common_outstanding(2026Q2)
[qoq]</t>
      </text>
    </comment>
    <comment ref="AF31" authorId="0" shapeId="0">
      <text>
        <t>추정: 유통주식수 유지 — fin.shares.common_outstanding(2026Q2)
[qoq]</t>
      </text>
    </comment>
    <comment ref="AG31" authorId="0" shapeId="0">
      <text>
        <t>추정: 유통주식수 유지 — fin.shares.common_outstanding(2026Q2)
[qoq]</t>
      </text>
    </comment>
    <comment ref="AH31" authorId="0" shapeId="0">
      <text>
        <t>추정: 유통주식수 유지 — fin.shares.common_outstanding(2026Q2)
[qoq]</t>
      </text>
    </comment>
    <comment ref="AI31" authorId="0" shapeId="0">
      <text>
        <t>추정: 유통주식수 유지 — fin.shares.common_outstanding(2026Q2)
[qoq]</t>
      </text>
    </comment>
    <comment ref="AK31" authorId="0" shapeId="0">
      <text>
        <t>추정: 유통주식수 유지 — fin.shares.common_outstanding(2026Q2)
[qoq]</t>
      </text>
    </comment>
    <comment ref="AL31" authorId="0" shapeId="0">
      <text>
        <t>추정: 유통주식수 유지 — fin.shares.common_outstanding(2026Q2)
[qoq]</t>
      </text>
    </comment>
    <comment ref="AM31" authorId="0" shapeId="0">
      <text>
        <t>추정: 유통주식수 유지 — fin.shares.common_outstanding(2026Q2)
[qoq]</t>
      </text>
    </comment>
    <comment ref="AN31" authorId="0" shapeId="0">
      <text>
        <t>추정: 유통주식수 유지 — fin.shares.common_outstanding(2026Q2)
[qoq]</t>
      </text>
    </comment>
    <comment ref="AC32" authorId="0" shapeId="0">
      <text>
        <t>추정: 지배주주순이익 ÷ 유통주식수
[per_share]</t>
      </text>
    </comment>
    <comment ref="AD32" authorId="0" shapeId="0">
      <text>
        <t>추정: 지배주주순이익 ÷ 유통주식수
[per_share]</t>
      </text>
    </comment>
    <comment ref="AF32" authorId="0" shapeId="0">
      <text>
        <t>추정: 지배주주순이익 ÷ 유통주식수
[per_share]</t>
      </text>
    </comment>
    <comment ref="AG32" authorId="0" shapeId="0">
      <text>
        <t>추정: 지배주주순이익 ÷ 유통주식수
[per_share]</t>
      </text>
    </comment>
    <comment ref="AH32" authorId="0" shapeId="0">
      <text>
        <t>추정: 지배주주순이익 ÷ 유통주식수
[per_share]</t>
      </text>
    </comment>
    <comment ref="AI32" authorId="0" shapeId="0">
      <text>
        <t>추정: 지배주주순이익 ÷ 유통주식수
[per_share]</t>
      </text>
    </comment>
    <comment ref="AK32" authorId="0" shapeId="0">
      <text>
        <t>추정: 지배주주순이익 ÷ 유통주식수
[per_share]</t>
      </text>
    </comment>
    <comment ref="AL32" authorId="0" shapeId="0">
      <text>
        <t>추정: 지배주주순이익 ÷ 유통주식수
[per_share]</t>
      </text>
    </comment>
    <comment ref="AM32" authorId="0" shapeId="0">
      <text>
        <t>추정: 지배주주순이익 ÷ 유통주식수
[per_share]</t>
      </text>
    </comment>
    <comment ref="AN32" authorId="0" shapeId="0">
      <text>
        <t>추정: 지배주주순이익 ÷ 유통주식수
[per_share]</t>
      </text>
    </comment>
    <comment ref="AC33" authorId="0" shapeId="0">
      <text>
        <t>추정: 지배주주지분 ÷ 유통주식수
[per_share]</t>
      </text>
    </comment>
    <comment ref="AD33" authorId="0" shapeId="0">
      <text>
        <t>추정: 지배주주지분 ÷ 유통주식수
[per_share]</t>
      </text>
    </comment>
    <comment ref="AF33" authorId="0" shapeId="0">
      <text>
        <t>추정: 지배주주지분 ÷ 유통주식수
[per_share]</t>
      </text>
    </comment>
    <comment ref="AG33" authorId="0" shapeId="0">
      <text>
        <t>추정: 지배주주지분 ÷ 유통주식수
[per_share]</t>
      </text>
    </comment>
    <comment ref="AH33" authorId="0" shapeId="0">
      <text>
        <t>추정: 지배주주지분 ÷ 유통주식수
[per_share]</t>
      </text>
    </comment>
    <comment ref="AI33" authorId="0" shapeId="0">
      <text>
        <t>추정: 지배주주지분 ÷ 유통주식수
[per_share]</t>
      </text>
    </comment>
    <comment ref="AK33" authorId="0" shapeId="0">
      <text>
        <t>추정: 지배주주지분 ÷ 유통주식수
[per_share]</t>
      </text>
    </comment>
    <comment ref="AL33" authorId="0" shapeId="0">
      <text>
        <t>추정: 지배주주지분 ÷ 유통주식수
[per_share]</t>
      </text>
    </comment>
    <comment ref="AM33" authorId="0" shapeId="0">
      <text>
        <t>추정: 지배주주지분 ÷ 유통주식수
[per_share]</t>
      </text>
    </comment>
    <comment ref="AN33" authorId="0" shapeId="0">
      <text>
        <t>추정: 지배주주지분 ÷ 유통주식수
[per_share]</t>
      </text>
    </comment>
    <comment ref="E34" authorId="0" shapeId="0">
      <text>
        <t>실측(계정 매핑 없음(파생·부문·시세 행) — 모델값 직접) — fin.dividend.dps_common(연간, Q4 에 표기)</t>
      </text>
    </comment>
    <comment ref="F34" authorId="0" shapeId="0">
      <text>
        <t>연간(actual) — 분기 미완 연도, 모델 a 값 직접</t>
      </text>
    </comment>
    <comment ref="J34" authorId="0" shapeId="0">
      <text>
        <t>실측(계정 매핑 없음(파생·부문·시세 행) — 모델값 직접) — fin.dividend.dps_common(연간, Q4 에 표기)</t>
      </text>
    </comment>
    <comment ref="O34" authorId="0" shapeId="0">
      <text>
        <t>실측(계정 매핑 없음(파생·부문·시세 행) — 모델값 직접) — fin.dividend.dps_common(연간, Q4 에 표기)</t>
      </text>
    </comment>
    <comment ref="T34" authorId="0" shapeId="0">
      <text>
        <t>실측(계정 매핑 없음(파생·부문·시세 행) — 모델값 직접) — fin.dividend.dps_common(연간, Q4 에 표기)</t>
      </text>
    </comment>
    <comment ref="Y34" authorId="0" shapeId="0">
      <text>
        <t>실측(계정 매핑 없음(파생·부문·시세 행) — 모델값 직접) — fin.dividend.dps_common(연간, Q4 에 표기)</t>
      </text>
    </comment>
    <comment ref="AD34" authorId="0" shapeId="0">
      <text>
        <t>추정: 직전 결산 DPS 130원 유지
[abs]</t>
      </text>
    </comment>
    <comment ref="AI34" authorId="0" shapeId="0">
      <text>
        <t>추정: 직전 결산 DPS 130원 유지
[abs]</t>
      </text>
    </comment>
    <comment ref="AN34" authorId="0" shapeId="0">
      <text>
        <t>추정: 직전 결산 DPS 130원 유지
[abs]</t>
      </text>
    </comment>
    <comment ref="AC35" authorId="0" shapeId="0">
      <text>
        <t>추정: 현재 종가 ÷ TTM EPS(추정 포함)
[valuation]</t>
      </text>
    </comment>
    <comment ref="AD35" authorId="0" shapeId="0">
      <text>
        <t>추정: 현재 종가 ÷ TTM EPS(추정 포함)
[valuation]</t>
      </text>
    </comment>
    <comment ref="AF35" authorId="0" shapeId="0">
      <text>
        <t>추정: 현재 종가 ÷ TTM EPS(추정 포함)
[valuation]</t>
      </text>
    </comment>
    <comment ref="AG35" authorId="0" shapeId="0">
      <text>
        <t>추정: 현재 종가 ÷ TTM EPS(추정 포함)
[valuation]</t>
      </text>
    </comment>
    <comment ref="AH35" authorId="0" shapeId="0">
      <text>
        <t>추정: 현재 종가 ÷ TTM EPS(추정 포함)
[valuation]</t>
      </text>
    </comment>
    <comment ref="AI35" authorId="0" shapeId="0">
      <text>
        <t>추정: 현재 종가 ÷ TTM EPS(추정 포함)
[valuation]</t>
      </text>
    </comment>
    <comment ref="AK35" authorId="0" shapeId="0">
      <text>
        <t>추정: 현재 종가 ÷ TTM EPS(추정 포함)
[valuation]</t>
      </text>
    </comment>
    <comment ref="AL35" authorId="0" shapeId="0">
      <text>
        <t>추정: 현재 종가 ÷ TTM EPS(추정 포함)
[valuation]</t>
      </text>
    </comment>
    <comment ref="AM35" authorId="0" shapeId="0">
      <text>
        <t>추정: 현재 종가 ÷ TTM EPS(추정 포함)
[valuation]</t>
      </text>
    </comment>
    <comment ref="AN35" authorId="0" shapeId="0">
      <text>
        <t>추정: 현재 종가 ÷ TTM EPS(추정 포함)
[valuation]</t>
      </text>
    </comment>
    <comment ref="AC36" authorId="0" shapeId="0">
      <text>
        <t>추정: 현재 종가 ÷ BPS(추정 포함)
[valuation]</t>
      </text>
    </comment>
    <comment ref="AD36" authorId="0" shapeId="0">
      <text>
        <t>추정: 현재 종가 ÷ BPS(추정 포함)
[valuation]</t>
      </text>
    </comment>
    <comment ref="AF36" authorId="0" shapeId="0">
      <text>
        <t>추정: 현재 종가 ÷ BPS(추정 포함)
[valuation]</t>
      </text>
    </comment>
    <comment ref="AG36" authorId="0" shapeId="0">
      <text>
        <t>추정: 현재 종가 ÷ BPS(추정 포함)
[valuation]</t>
      </text>
    </comment>
    <comment ref="AH36" authorId="0" shapeId="0">
      <text>
        <t>추정: 현재 종가 ÷ BPS(추정 포함)
[valuation]</t>
      </text>
    </comment>
    <comment ref="AI36" authorId="0" shapeId="0">
      <text>
        <t>추정: 현재 종가 ÷ BPS(추정 포함)
[valuation]</t>
      </text>
    </comment>
    <comment ref="AK36" authorId="0" shapeId="0">
      <text>
        <t>추정: 현재 종가 ÷ BPS(추정 포함)
[valuation]</t>
      </text>
    </comment>
    <comment ref="AL36" authorId="0" shapeId="0">
      <text>
        <t>추정: 현재 종가 ÷ BPS(추정 포함)
[valuation]</t>
      </text>
    </comment>
    <comment ref="AM36" authorId="0" shapeId="0">
      <text>
        <t>추정: 현재 종가 ÷ BPS(추정 포함)
[valuation]</t>
      </text>
    </comment>
    <comment ref="AN36" authorId="0" shapeId="0">
      <text>
        <t>추정: 현재 종가 ÷ BPS(추정 포함)
[valuation]</t>
      </text>
    </comment>
    <comment ref="E37" authorId="0" shapeId="0">
      <text>
        <t>실측(계정 매핑 없음(파생·부문·시세 행) — 모델값 직접) — = 매출액(부문 미분리)</t>
      </text>
    </comment>
    <comment ref="G37" authorId="0" shapeId="0">
      <text>
        <t>실측(계정 매핑 없음(파생·부문·시세 행) — 모델값 직접) — = 매출액(부문 미분리)</t>
      </text>
    </comment>
    <comment ref="H37" authorId="0" shapeId="0">
      <text>
        <t>실측(계정 매핑 없음(파생·부문·시세 행) — 모델값 직접) — = 매출액(부문 미분리)</t>
      </text>
    </comment>
    <comment ref="I37" authorId="0" shapeId="0">
      <text>
        <t>실측(계정 매핑 없음(파생·부문·시세 행) — 모델값 직접) — = 매출액(부문 미분리)</t>
      </text>
    </comment>
    <comment ref="J37" authorId="0" shapeId="0">
      <text>
        <t>실측(계정 매핑 없음(파생·부문·시세 행) — 모델값 직접) — = 매출액(부문 미분리)</t>
      </text>
    </comment>
    <comment ref="L37" authorId="0" shapeId="0">
      <text>
        <t>실측(계정 매핑 없음(파생·부문·시세 행) — 모델값 직접) — = 매출액(부문 미분리)</t>
      </text>
    </comment>
    <comment ref="M37" authorId="0" shapeId="0">
      <text>
        <t>실측(계정 매핑 없음(파생·부문·시세 행) — 모델값 직접) — = 매출액(부문 미분리)</t>
      </text>
    </comment>
    <comment ref="N37" authorId="0" shapeId="0">
      <text>
        <t>실측(계정 매핑 없음(파생·부문·시세 행) — 모델값 직접) — = 매출액(부문 미분리)</t>
      </text>
    </comment>
    <comment ref="O37" authorId="0" shapeId="0">
      <text>
        <t>실측(계정 매핑 없음(파생·부문·시세 행) — 모델값 직접) — = 매출액(부문 미분리)</t>
      </text>
    </comment>
    <comment ref="Q37" authorId="0" shapeId="0">
      <text>
        <t>실측(계정 매핑 없음(파생·부문·시세 행) — 모델값 직접) — = 매출액(부문 미분리)</t>
      </text>
    </comment>
    <comment ref="R37" authorId="0" shapeId="0">
      <text>
        <t>실측(계정 매핑 없음(파생·부문·시세 행) — 모델값 직접) — = 매출액(부문 미분리)</t>
      </text>
    </comment>
    <comment ref="S37" authorId="0" shapeId="0">
      <text>
        <t>실측(계정 매핑 없음(파생·부문·시세 행) — 모델값 직접) — = 매출액(부문 미분리)</t>
      </text>
    </comment>
    <comment ref="T37" authorId="0" shapeId="0">
      <text>
        <t>실측(계정 매핑 없음(파생·부문·시세 행) — 모델값 직접) — = 매출액(부문 미분리)</t>
      </text>
    </comment>
    <comment ref="V37" authorId="0" shapeId="0">
      <text>
        <t>실측(계정 매핑 없음(파생·부문·시세 행) — 모델값 직접) — = 매출액(부문 미분리)</t>
      </text>
    </comment>
    <comment ref="W37" authorId="0" shapeId="0">
      <text>
        <t>실측(계정 매핑 없음(파생·부문·시세 행) — 모델값 직접) — = 매출액(부문 미분리)</t>
      </text>
    </comment>
    <comment ref="X37" authorId="0" shapeId="0">
      <text>
        <t>실측(계정 매핑 없음(파생·부문·시세 행) — 모델값 직접) — = 매출액(부문 미분리)</t>
      </text>
    </comment>
    <comment ref="Y37" authorId="0" shapeId="0">
      <text>
        <t>실측(계정 매핑 없음(파생·부문·시세 행) — 모델값 직접) — = 매출액(부문 미분리)</t>
      </text>
    </comment>
    <comment ref="AA37" authorId="0" shapeId="0">
      <text>
        <t>실측(계정 매핑 없음(파생·부문·시세 행) — 모델값 직접) — = 매출액(부문 미분리)</t>
      </text>
    </comment>
    <comment ref="AB37" authorId="0" shapeId="0">
      <text>
        <t>실측(계정 매핑 없음(파생·부문·시세 행) — 모델값 직접) — = 매출액(부문 미분리)</t>
      </text>
    </comment>
    <comment ref="AC37" authorId="0" shapeId="0">
      <text>
        <t>추정: = 매출액 추정(부문 미분리)
[identity]</t>
      </text>
    </comment>
    <comment ref="AD37" authorId="0" shapeId="0">
      <text>
        <t>추정: = 매출액 추정(부문 미분리)
[identity]</t>
      </text>
    </comment>
    <comment ref="AF37" authorId="0" shapeId="0">
      <text>
        <t>추정: = 매출액 추정(부문 미분리)
[identity]</t>
      </text>
    </comment>
    <comment ref="AG37" authorId="0" shapeId="0">
      <text>
        <t>추정: = 매출액 추정(부문 미분리)
[identity]</t>
      </text>
    </comment>
    <comment ref="AH37" authorId="0" shapeId="0">
      <text>
        <t>추정: = 매출액 추정(부문 미분리)
[identity]</t>
      </text>
    </comment>
    <comment ref="AI37" authorId="0" shapeId="0">
      <text>
        <t>추정: = 매출액 추정(부문 미분리)
[identity]</t>
      </text>
    </comment>
    <comment ref="AK37" authorId="0" shapeId="0">
      <text>
        <t>추정: = 매출액 추정(부문 미분리)
[identity]</t>
      </text>
    </comment>
    <comment ref="AL37" authorId="0" shapeId="0">
      <text>
        <t>추정: = 매출액 추정(부문 미분리)
[identity]</t>
      </text>
    </comment>
    <comment ref="AM37" authorId="0" shapeId="0">
      <text>
        <t>추정: = 매출액 추정(부문 미분리)
[identity]</t>
      </text>
    </comment>
    <comment ref="AN37" authorId="0" shapeId="0">
      <text>
        <t>추정: = 매출액 추정(부문 미분리)
[identity]</t>
      </text>
    </comment>
    <comment ref="E38" authorId="0" shapeId="0">
      <text>
        <t>실측(계정 매핑 없음(파생·부문·시세 행) — 모델값 직접) — = 영업이익(부문 미분리)</t>
      </text>
    </comment>
    <comment ref="G38" authorId="0" shapeId="0">
      <text>
        <t>실측(계정 매핑 없음(파생·부문·시세 행) — 모델값 직접) — = 영업이익(부문 미분리)</t>
      </text>
    </comment>
    <comment ref="H38" authorId="0" shapeId="0">
      <text>
        <t>실측(계정 매핑 없음(파생·부문·시세 행) — 모델값 직접) — = 영업이익(부문 미분리)</t>
      </text>
    </comment>
    <comment ref="I38" authorId="0" shapeId="0">
      <text>
        <t>실측(계정 매핑 없음(파생·부문·시세 행) — 모델값 직접) — = 영업이익(부문 미분리)</t>
      </text>
    </comment>
    <comment ref="J38" authorId="0" shapeId="0">
      <text>
        <t>실측(계정 매핑 없음(파생·부문·시세 행) — 모델값 직접) — = 영업이익(부문 미분리)</t>
      </text>
    </comment>
    <comment ref="L38" authorId="0" shapeId="0">
      <text>
        <t>실측(계정 매핑 없음(파생·부문·시세 행) — 모델값 직접) — = 영업이익(부문 미분리)</t>
      </text>
    </comment>
    <comment ref="M38" authorId="0" shapeId="0">
      <text>
        <t>실측(계정 매핑 없음(파생·부문·시세 행) — 모델값 직접) — = 영업이익(부문 미분리)</t>
      </text>
    </comment>
    <comment ref="N38" authorId="0" shapeId="0">
      <text>
        <t>실측(계정 매핑 없음(파생·부문·시세 행) — 모델값 직접) — = 영업이익(부문 미분리)</t>
      </text>
    </comment>
    <comment ref="O38" authorId="0" shapeId="0">
      <text>
        <t>실측(계정 매핑 없음(파생·부문·시세 행) — 모델값 직접) — = 영업이익(부문 미분리)</t>
      </text>
    </comment>
    <comment ref="Q38" authorId="0" shapeId="0">
      <text>
        <t>실측(계정 매핑 없음(파생·부문·시세 행) — 모델값 직접) — = 영업이익(부문 미분리)</t>
      </text>
    </comment>
    <comment ref="R38" authorId="0" shapeId="0">
      <text>
        <t>실측(계정 매핑 없음(파생·부문·시세 행) — 모델값 직접) — = 영업이익(부문 미분리)</t>
      </text>
    </comment>
    <comment ref="S38" authorId="0" shapeId="0">
      <text>
        <t>실측(계정 매핑 없음(파생·부문·시세 행) — 모델값 직접) — = 영업이익(부문 미분리)</t>
      </text>
    </comment>
    <comment ref="T38" authorId="0" shapeId="0">
      <text>
        <t>실측(계정 매핑 없음(파생·부문·시세 행) — 모델값 직접) — = 영업이익(부문 미분리)</t>
      </text>
    </comment>
    <comment ref="V38" authorId="0" shapeId="0">
      <text>
        <t>실측(계정 매핑 없음(파생·부문·시세 행) — 모델값 직접) — = 영업이익(부문 미분리)</t>
      </text>
    </comment>
    <comment ref="W38" authorId="0" shapeId="0">
      <text>
        <t>실측(계정 매핑 없음(파생·부문·시세 행) — 모델값 직접) — = 영업이익(부문 미분리)</t>
      </text>
    </comment>
    <comment ref="X38" authorId="0" shapeId="0">
      <text>
        <t>실측(계정 매핑 없음(파생·부문·시세 행) — 모델값 직접) — = 영업이익(부문 미분리)</t>
      </text>
    </comment>
    <comment ref="Y38" authorId="0" shapeId="0">
      <text>
        <t>실측(계정 매핑 없음(파생·부문·시세 행) — 모델값 직접) — = 영업이익(부문 미분리)</t>
      </text>
    </comment>
    <comment ref="AA38" authorId="0" shapeId="0">
      <text>
        <t>실측(계정 매핑 없음(파생·부문·시세 행) — 모델값 직접) — = 영업이익(부문 미분리)</t>
      </text>
    </comment>
    <comment ref="AB38" authorId="0" shapeId="0">
      <text>
        <t>실측(계정 매핑 없음(파생·부문·시세 행) — 모델값 직접) — = 영업이익(부문 미분리)</t>
      </text>
    </comment>
    <comment ref="AC38" authorId="0" shapeId="0">
      <text>
        <t>추정: = 매출액 × OPM(부문 미분리)
[identity]</t>
      </text>
    </comment>
    <comment ref="AD38" authorId="0" shapeId="0">
      <text>
        <t>추정: = 매출액 × OPM(부문 미분리)
[identity]</t>
      </text>
    </comment>
    <comment ref="AF38" authorId="0" shapeId="0">
      <text>
        <t>추정: = 매출액 × OPM(부문 미분리)
[identity]</t>
      </text>
    </comment>
    <comment ref="AG38" authorId="0" shapeId="0">
      <text>
        <t>추정: = 매출액 × OPM(부문 미분리)
[identity]</t>
      </text>
    </comment>
    <comment ref="AH38" authorId="0" shapeId="0">
      <text>
        <t>추정: = 매출액 × OPM(부문 미분리)
[identity]</t>
      </text>
    </comment>
    <comment ref="AI38" authorId="0" shapeId="0">
      <text>
        <t>추정: = 매출액 × OPM(부문 미분리)
[identity]</t>
      </text>
    </comment>
    <comment ref="AK38" authorId="0" shapeId="0">
      <text>
        <t>추정: = 매출액 × OPM(부문 미분리)
[identity]</t>
      </text>
    </comment>
    <comment ref="AL38" authorId="0" shapeId="0">
      <text>
        <t>추정: = 매출액 × OPM(부문 미분리)
[identity]</t>
      </text>
    </comment>
    <comment ref="AM38" authorId="0" shapeId="0">
      <text>
        <t>추정: = 매출액 × OPM(부문 미분리)
[identity]</t>
      </text>
    </comment>
    <comment ref="AN38" authorId="0" shapeId="0">
      <text>
        <t>추정: = 매출액 × OPM(부문 미분리)
[identity]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현대리바트(079430) 실적 모델 — ARGUS 한국조선</t>
        </is>
      </c>
    </row>
    <row r="2">
      <c r="A2" t="inlineStr">
        <is>
          <t>기준 분기 2026Q2 · 마지막 실적 2026Q2 · 생성 2026-10-11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24.29% — 법인세 = MAX(세전,0) × 세율, 추정 전 분기 연결(Σ법인세/Σmax(세전,0) 역산, 재현 오차 ≤ 0.05억). 모델 가정 24.29% · 근거: 최근 12분기 유효세율 177.6% 가 5~27% 밖 → 클립 대신 최근 8분기 중 세전 &gt; 0 인 7분기(2024Q3~2026Q2)의 법인세/세전 중위 24.3%</t>
        </is>
      </c>
    </row>
    <row r="23">
      <c r="A23" t="inlineStr">
        <is>
          <t>· 판관비율 16.37% — 판관비 = 매출액 × 판관비율, 추정 전 분기 연결</t>
        </is>
      </c>
    </row>
    <row r="24">
      <c r="A24" t="inlineStr">
        <is>
          <t>· 지배주주 비중 100.0% — 지배주주순이익 = 당기순이익 × 비중, 추정 전 분기 연결</t>
        </is>
      </c>
    </row>
    <row r="25">
      <c r="A25" t="inlineStr">
        <is>
          <t>· 이자율 자산 2.27% / 부채 0.00% — 이자손익 = (전분기 이자발생자산 × 자산이자율 − 전분기 총차입금 × 부채이자율)/4, 최소자승 역산(모델 assumptions [0.0227, 0.047] 는 4자리 반올림이라 그대로 쓰면 ±1억 어긋남) · 출처: {"asset": "주석 이자수익 ÷ 평균 이자발생자산(2025Q3~2026Q2)", "debt": "CF 이자지급 ÷ 평균 총차입금(2022Q3~2023Q2; 주석 이자비용 11분기 &lt; 4)"}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연결된 가정: 세율, 판관비율, 지배주주비중, 이자율 · 연결 안 된 가정(모델값·분기별 역산 그대로): 없음</t>
        </is>
      </c>
    </row>
    <row r="28">
      <c r="A28" t="inlineStr">
        <is>
          <t>· 밸류에이션 — PER 밴드 12.8/16.0/30.0배(hist_quarterly(분기 평균가 ÷ TTM EPS, 8분기, 25/50/75 백분위) · 캡 5~30배 적용(원값 12.8/16.0/56.4)) · COE 9.0% · 12M fwd EPS 가중 0.5(가정). 모델 산출값 구간이며 추천이 아니다</t>
        </is>
      </c>
    </row>
    <row r="29">
      <c r="A29" t="inlineStr"/>
    </row>
    <row r="30">
      <c r="A30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1">
      <c r="A31" t="inlineStr">
        <is>
          <t>재현: cd argus/kship/tools &amp;&amp; python3 kship_model_xlsx.py --model assets/models/079430.json --verify   (모델 json 부터: kship_model.py --build --all --xlsx · xlsx 58사 일괄: kship_model_xlsx.py --all --verify)</t>
        </is>
      </c>
    </row>
    <row r="32">
      <c r="A32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3">
      <c r="A33" t="inlineStr">
        <is>
          <t>한계: 모델 quality.warnings — 매출 드라이버 폴백(고객 연동 격자 상관 0.53 가 단일 검정 5% 임계 r 0.71 미달(n=8, n_eff=8) (suppliers_mentions·시차 1·YoY·창 8)): 전년동기 × (1+g) 추세 / 이자발생자산 이자율: 주석 연율 2.3% 가 CF 연율 1.0% 의 2.3배 — 최근 4분기 연속 주석이라 유지(차입금 외 이자 포함 가능 — 주석 확인). 클립 조건: stale 또는 &gt; 20% / 감가상각비가 face·CF 에 없음(주석 미파싱) → EBITDA·EV/EBITDA 미산출 / 금융손익 실적→추정 단절: 최근 4분기 실적 +1/-0/+8/-3(중위 +1억) → 추정 2026Q3 +5억(차 +5억, +871%) — 추정은 이자손익 + 기타금융 중위, 외환·파생 평가손익 0 가정(환율 효과는 환관련손익 행). 값은 바꾸지 않음 — 지배NI·EPS 해석 시 참고</t>
        </is>
      </c>
    </row>
    <row r="34">
      <c r="A34" t="inlineStr">
        <is>
          <t>백테스트: {"freeze": "2025Q2", "horizon": 4, "revenue_wape_pct": 53.5, "op_wape_pct": 159.0, "n": 4, "note": "단일 회사 4분기 — 통계 아님", "driver_at_freeze": "customer_yard_revenue_weighted", "selection_oos_at_freeze": {"freeze": "2024Q2", "n": 4, "wape_link": 9.8, "wape_trend": 25.5, "adopted": true, "decision": "adopted"},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5265.44, "rev_act": 3406.55, "op_pred": 68.09, "op_act": 37.37}, {"q": "2025Q4", "rev_pred": 5473.11, "rev_act": 3579.2, "op_pred": 70.77, "op_act": -26.11}, {"q": "2026Q1", "rev_pred": 5550.01, "rev_act": 3559.35, "op_pred": 71.77, "op_act": 10.53}, {"q": "2026Q2", "rev_pred": 5627.6, "rev_act": 3731.33, "op_pred": 72.77, "op_act": 55.59}]}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8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C1" s="2" t="inlineStr">
        <is>
          <t>이름: 변수H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F5" s="9" t="n"/>
      <c r="K5" s="9" t="n"/>
      <c r="P5" s="9" t="n"/>
      <c r="U5" s="9" t="n"/>
      <c r="Z5" s="9" t="n"/>
      <c r="AB5" s="5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1183.5</v>
      </c>
      <c r="F6" s="14" t="n">
        <v>1145.51</v>
      </c>
      <c r="G6" s="13" t="n">
        <v>1205.78</v>
      </c>
      <c r="H6" s="13" t="n">
        <v>1262.09</v>
      </c>
      <c r="I6" s="13" t="n">
        <v>1341.93</v>
      </c>
      <c r="J6" s="13" t="n">
        <v>1360.12</v>
      </c>
      <c r="K6" s="14" t="n">
        <v>1292.98</v>
      </c>
      <c r="L6" s="13" t="n">
        <v>1276.95</v>
      </c>
      <c r="M6" s="13" t="n">
        <v>1315.69</v>
      </c>
      <c r="N6" s="13" t="n">
        <v>1313.62</v>
      </c>
      <c r="O6" s="13" t="n">
        <v>1322.01</v>
      </c>
      <c r="P6" s="14" t="n">
        <v>1306.85</v>
      </c>
      <c r="Q6" s="13" t="n">
        <v>1330.14</v>
      </c>
      <c r="R6" s="13" t="n">
        <v>1371.28</v>
      </c>
      <c r="S6" s="13" t="n">
        <v>1356.22</v>
      </c>
      <c r="T6" s="13" t="n">
        <v>1396.3</v>
      </c>
      <c r="U6" s="14" t="n">
        <v>1363.53</v>
      </c>
      <c r="V6" s="13" t="n">
        <v>1452.28</v>
      </c>
      <c r="W6" s="13" t="n">
        <v>1398.52</v>
      </c>
      <c r="X6" s="13" t="n">
        <v>1386.95</v>
      </c>
      <c r="Y6" s="13" t="n">
        <v>1449.19</v>
      </c>
      <c r="Z6" s="14" t="n">
        <v>1421.52</v>
      </c>
      <c r="AA6" s="13" t="n">
        <v>1466.12</v>
      </c>
      <c r="AB6" s="15" t="n">
        <v>1501.75</v>
      </c>
      <c r="AC6" s="16" t="n">
        <v>1418.75</v>
      </c>
      <c r="AD6" s="16" t="n">
        <v>1345.14</v>
      </c>
      <c r="AE6" s="17" t="n">
        <v>1457.21</v>
      </c>
      <c r="AF6" s="16" t="n">
        <v>1341.49</v>
      </c>
      <c r="AG6" s="16" t="n">
        <v>1341.49</v>
      </c>
      <c r="AH6" s="16" t="n">
        <v>1341.49</v>
      </c>
      <c r="AI6" s="16" t="n">
        <v>1341.49</v>
      </c>
      <c r="AJ6" s="11" t="n"/>
      <c r="AK6" s="16" t="n">
        <v>1341.49</v>
      </c>
      <c r="AL6" s="16" t="n">
        <v>1341.49</v>
      </c>
      <c r="AM6" s="16" t="n">
        <v>1341.49</v>
      </c>
      <c r="AN6" s="16" t="n">
        <v>1341.49</v>
      </c>
      <c r="AO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1188.75</v>
      </c>
      <c r="F7" s="14" t="n">
        <v>1188.75</v>
      </c>
      <c r="G7" s="13" t="n">
        <v>1213.74</v>
      </c>
      <c r="H7" s="13" t="n">
        <v>1301.24</v>
      </c>
      <c r="I7" s="13" t="n">
        <v>1436.9</v>
      </c>
      <c r="J7" s="13" t="n">
        <v>1260.16</v>
      </c>
      <c r="K7" s="14" t="n">
        <v>1260.16</v>
      </c>
      <c r="L7" s="13" t="n">
        <v>1305.99</v>
      </c>
      <c r="M7" s="13" t="n">
        <v>1321.44</v>
      </c>
      <c r="N7" s="13" t="n">
        <v>1345.35</v>
      </c>
      <c r="O7" s="13" t="n">
        <v>1297.43</v>
      </c>
      <c r="P7" s="14" t="n">
        <v>1297.43</v>
      </c>
      <c r="Q7" s="13" t="n">
        <v>1349.25</v>
      </c>
      <c r="R7" s="13" t="n">
        <v>1377.73</v>
      </c>
      <c r="S7" s="13" t="n">
        <v>1312.17</v>
      </c>
      <c r="T7" s="13" t="n">
        <v>1474.78</v>
      </c>
      <c r="U7" s="14" t="n">
        <v>1474.78</v>
      </c>
      <c r="V7" s="13" t="n">
        <v>1474.54</v>
      </c>
      <c r="W7" s="13" t="n">
        <v>1355.13</v>
      </c>
      <c r="X7" s="13" t="n">
        <v>1403.67</v>
      </c>
      <c r="Y7" s="13" t="n">
        <v>1444.2</v>
      </c>
      <c r="Z7" s="14" t="n">
        <v>1444.2</v>
      </c>
      <c r="AA7" s="13" t="n">
        <v>1524.8</v>
      </c>
      <c r="AB7" s="15" t="n">
        <v>1550.89</v>
      </c>
      <c r="AC7" s="16" t="n">
        <v>1355.4</v>
      </c>
      <c r="AD7" s="16" t="n">
        <v>1341.49</v>
      </c>
      <c r="AE7" s="17" t="n">
        <v>1341.49</v>
      </c>
      <c r="AF7" s="16" t="n">
        <v>1341.49</v>
      </c>
      <c r="AG7" s="16" t="n">
        <v>1341.49</v>
      </c>
      <c r="AH7" s="16" t="n">
        <v>1341.49</v>
      </c>
      <c r="AI7" s="16" t="n">
        <v>1341.49</v>
      </c>
      <c r="AJ7" s="11" t="n"/>
      <c r="AK7" s="16" t="n">
        <v>1341.49</v>
      </c>
      <c r="AL7" s="16" t="n">
        <v>1341.49</v>
      </c>
      <c r="AM7" s="16" t="n">
        <v>1341.49</v>
      </c>
      <c r="AN7" s="16" t="n">
        <v>1341.49</v>
      </c>
      <c r="AO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1041.02</v>
      </c>
      <c r="F8" s="14" t="n">
        <v>1042.74</v>
      </c>
      <c r="G8" s="13" t="n">
        <v>1036.79</v>
      </c>
      <c r="H8" s="13" t="n">
        <v>972.23</v>
      </c>
      <c r="I8" s="13" t="n">
        <v>970.61</v>
      </c>
      <c r="J8" s="13" t="n">
        <v>961.03</v>
      </c>
      <c r="K8" s="14" t="n">
        <v>985.1</v>
      </c>
      <c r="L8" s="13" t="n">
        <v>964.89</v>
      </c>
      <c r="M8" s="13" t="n">
        <v>957.36</v>
      </c>
      <c r="N8" s="13" t="n">
        <v>909</v>
      </c>
      <c r="O8" s="13" t="n">
        <v>893.22</v>
      </c>
      <c r="P8" s="14" t="n">
        <v>931.11</v>
      </c>
      <c r="Q8" s="13" t="n">
        <v>896.29</v>
      </c>
      <c r="R8" s="13" t="n">
        <v>880.14</v>
      </c>
      <c r="S8" s="13" t="n">
        <v>909.35</v>
      </c>
      <c r="T8" s="13" t="n">
        <v>917.25</v>
      </c>
      <c r="U8" s="14" t="n">
        <v>900.92</v>
      </c>
      <c r="V8" s="13" t="n">
        <v>952.59</v>
      </c>
      <c r="W8" s="13" t="n">
        <v>967.92</v>
      </c>
      <c r="X8" s="13" t="n">
        <v>940.3200000000001</v>
      </c>
      <c r="Y8" s="13" t="n">
        <v>940.77</v>
      </c>
      <c r="Z8" s="14" t="n">
        <v>950.17</v>
      </c>
      <c r="AA8" s="13" t="n">
        <v>934.39</v>
      </c>
      <c r="AB8" s="15" t="n">
        <v>942.16</v>
      </c>
      <c r="AC8" s="16" t="n">
        <v>890.41</v>
      </c>
      <c r="AD8" s="16" t="n">
        <v>850.79</v>
      </c>
      <c r="AE8" s="17" t="n">
        <v>919.21</v>
      </c>
      <c r="AF8" s="16" t="n">
        <v>847.7</v>
      </c>
      <c r="AG8" s="16" t="n">
        <v>847.7</v>
      </c>
      <c r="AH8" s="16" t="n">
        <v>847.7</v>
      </c>
      <c r="AI8" s="16" t="n">
        <v>847.7</v>
      </c>
      <c r="AJ8" s="11" t="n"/>
      <c r="AK8" s="16" t="n">
        <v>847.7</v>
      </c>
      <c r="AL8" s="16" t="n">
        <v>847.7</v>
      </c>
      <c r="AM8" s="16" t="n">
        <v>847.7</v>
      </c>
      <c r="AN8" s="16" t="n">
        <v>847.7</v>
      </c>
      <c r="AO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1032.62</v>
      </c>
      <c r="F9" s="14" t="n">
        <v>1032.62</v>
      </c>
      <c r="G9" s="13" t="n">
        <v>996.83</v>
      </c>
      <c r="H9" s="13" t="n">
        <v>954.9</v>
      </c>
      <c r="I9" s="13" t="n">
        <v>993.29</v>
      </c>
      <c r="J9" s="13" t="n">
        <v>955.54</v>
      </c>
      <c r="K9" s="14" t="n">
        <v>955.54</v>
      </c>
      <c r="L9" s="13" t="n">
        <v>980.62</v>
      </c>
      <c r="M9" s="13" t="n">
        <v>913.67</v>
      </c>
      <c r="N9" s="13" t="n">
        <v>901.47</v>
      </c>
      <c r="O9" s="13" t="n">
        <v>917.04</v>
      </c>
      <c r="P9" s="14" t="n">
        <v>917.04</v>
      </c>
      <c r="Q9" s="13" t="n">
        <v>892.42</v>
      </c>
      <c r="R9" s="13" t="n">
        <v>857.76</v>
      </c>
      <c r="S9" s="13" t="n">
        <v>919.21</v>
      </c>
      <c r="T9" s="13" t="n">
        <v>939.65</v>
      </c>
      <c r="U9" s="14" t="n">
        <v>939.65</v>
      </c>
      <c r="V9" s="13" t="n">
        <v>986.84</v>
      </c>
      <c r="W9" s="13" t="n">
        <v>938.85</v>
      </c>
      <c r="X9" s="13" t="n">
        <v>948.49</v>
      </c>
      <c r="Y9" s="13" t="n">
        <v>921.8099999999999</v>
      </c>
      <c r="Z9" s="14" t="n">
        <v>921.8099999999999</v>
      </c>
      <c r="AA9" s="13" t="n">
        <v>955.99</v>
      </c>
      <c r="AB9" s="15" t="n">
        <v>954.75</v>
      </c>
      <c r="AC9" s="16" t="n">
        <v>863.3099999999999</v>
      </c>
      <c r="AD9" s="16" t="n">
        <v>847.7</v>
      </c>
      <c r="AE9" s="17" t="n">
        <v>847.7</v>
      </c>
      <c r="AF9" s="16" t="n">
        <v>847.7</v>
      </c>
      <c r="AG9" s="16" t="n">
        <v>847.7</v>
      </c>
      <c r="AH9" s="16" t="n">
        <v>847.7</v>
      </c>
      <c r="AI9" s="16" t="n">
        <v>847.7</v>
      </c>
      <c r="AJ9" s="11" t="n"/>
      <c r="AK9" s="16" t="n">
        <v>847.7</v>
      </c>
      <c r="AL9" s="16" t="n">
        <v>847.7</v>
      </c>
      <c r="AM9" s="16" t="n">
        <v>847.7</v>
      </c>
      <c r="AN9" s="16" t="n">
        <v>847.7</v>
      </c>
      <c r="AO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1353.32</v>
      </c>
      <c r="F10" s="14" t="n">
        <v>1354.06</v>
      </c>
      <c r="G10" s="13" t="n">
        <v>1352.29</v>
      </c>
      <c r="H10" s="13" t="n">
        <v>1343.31</v>
      </c>
      <c r="I10" s="13" t="n">
        <v>1350.63</v>
      </c>
      <c r="J10" s="13" t="n">
        <v>1386.07</v>
      </c>
      <c r="K10" s="14" t="n">
        <v>1358.07</v>
      </c>
      <c r="L10" s="13" t="n">
        <v>1369.93</v>
      </c>
      <c r="M10" s="13" t="n">
        <v>1432.41</v>
      </c>
      <c r="N10" s="13" t="n">
        <v>1429.41</v>
      </c>
      <c r="O10" s="13" t="n">
        <v>1420.91</v>
      </c>
      <c r="P10" s="14" t="n">
        <v>1412.88</v>
      </c>
      <c r="Q10" s="13" t="n">
        <v>1444.21</v>
      </c>
      <c r="R10" s="13" t="n">
        <v>1476.42</v>
      </c>
      <c r="S10" s="13" t="n">
        <v>1489.3</v>
      </c>
      <c r="T10" s="13" t="n">
        <v>1490.78</v>
      </c>
      <c r="U10" s="14" t="n">
        <v>1475.4</v>
      </c>
      <c r="V10" s="13" t="n">
        <v>1528.33</v>
      </c>
      <c r="W10" s="13" t="n">
        <v>1585.13</v>
      </c>
      <c r="X10" s="13" t="n">
        <v>1620.04</v>
      </c>
      <c r="Y10" s="13" t="n">
        <v>1686.02</v>
      </c>
      <c r="Z10" s="14" t="n">
        <v>1605.45</v>
      </c>
      <c r="AA10" s="13" t="n">
        <v>1715.47</v>
      </c>
      <c r="AB10" s="15" t="n">
        <v>1746.09</v>
      </c>
      <c r="AC10" s="16" t="n">
        <v>1631.97</v>
      </c>
      <c r="AD10" s="16" t="n">
        <v>1509.74</v>
      </c>
      <c r="AE10" s="17" t="n">
        <v>1689.95</v>
      </c>
      <c r="AF10" s="16" t="n">
        <v>1503.27</v>
      </c>
      <c r="AG10" s="16" t="n">
        <v>1503.27</v>
      </c>
      <c r="AH10" s="16" t="n">
        <v>1503.27</v>
      </c>
      <c r="AI10" s="16" t="n">
        <v>1503.27</v>
      </c>
      <c r="AJ10" s="11" t="n"/>
      <c r="AK10" s="16" t="n">
        <v>1503.27</v>
      </c>
      <c r="AL10" s="16" t="n">
        <v>1503.27</v>
      </c>
      <c r="AM10" s="16" t="n">
        <v>1503.27</v>
      </c>
      <c r="AN10" s="16" t="n">
        <v>1503.27</v>
      </c>
      <c r="AO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1346.38</v>
      </c>
      <c r="F11" s="14" t="n">
        <v>1346.38</v>
      </c>
      <c r="G11" s="13" t="n">
        <v>1347.37</v>
      </c>
      <c r="H11" s="13" t="n">
        <v>1351.6</v>
      </c>
      <c r="I11" s="13" t="n">
        <v>1400.62</v>
      </c>
      <c r="J11" s="13" t="n">
        <v>1344.08</v>
      </c>
      <c r="K11" s="14" t="n">
        <v>1344.08</v>
      </c>
      <c r="L11" s="13" t="n">
        <v>1420.26</v>
      </c>
      <c r="M11" s="13" t="n">
        <v>1435.88</v>
      </c>
      <c r="N11" s="13" t="n">
        <v>1425.26</v>
      </c>
      <c r="O11" s="13" t="n">
        <v>1433.66</v>
      </c>
      <c r="P11" s="14" t="n">
        <v>1433.66</v>
      </c>
      <c r="Q11" s="13" t="n">
        <v>1458.68</v>
      </c>
      <c r="R11" s="13" t="n">
        <v>1474.86</v>
      </c>
      <c r="S11" s="13" t="n">
        <v>1469.1</v>
      </c>
      <c r="T11" s="13" t="n">
        <v>1532.14</v>
      </c>
      <c r="U11" s="14" t="n">
        <v>1532.14</v>
      </c>
      <c r="V11" s="13" t="n">
        <v>1594.72</v>
      </c>
      <c r="W11" s="13" t="n">
        <v>1588.22</v>
      </c>
      <c r="X11" s="13" t="n">
        <v>1648.04</v>
      </c>
      <c r="Y11" s="13" t="n">
        <v>1696.94</v>
      </c>
      <c r="Z11" s="14" t="n">
        <v>1696.94</v>
      </c>
      <c r="AA11" s="13" t="n">
        <v>1753.21</v>
      </c>
      <c r="AB11" s="15" t="n">
        <v>1767.09</v>
      </c>
      <c r="AC11" s="16" t="n">
        <v>1539.06</v>
      </c>
      <c r="AD11" s="16" t="n">
        <v>1503.27</v>
      </c>
      <c r="AE11" s="17" t="n">
        <v>1503.27</v>
      </c>
      <c r="AF11" s="16" t="n">
        <v>1503.27</v>
      </c>
      <c r="AG11" s="16" t="n">
        <v>1503.27</v>
      </c>
      <c r="AH11" s="16" t="n">
        <v>1503.27</v>
      </c>
      <c r="AI11" s="16" t="n">
        <v>1503.27</v>
      </c>
      <c r="AJ11" s="11" t="n"/>
      <c r="AK11" s="16" t="n">
        <v>1503.27</v>
      </c>
      <c r="AL11" s="16" t="n">
        <v>1503.27</v>
      </c>
      <c r="AM11" s="16" t="n">
        <v>1503.27</v>
      </c>
      <c r="AN11" s="16" t="n">
        <v>1503.27</v>
      </c>
      <c r="AO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185.14</v>
      </c>
      <c r="F12" s="14" t="n">
        <v>177.65</v>
      </c>
      <c r="G12" s="13" t="n">
        <v>189.93</v>
      </c>
      <c r="H12" s="13" t="n">
        <v>190.76</v>
      </c>
      <c r="I12" s="13" t="n">
        <v>195.79</v>
      </c>
      <c r="J12" s="13" t="n">
        <v>191.09</v>
      </c>
      <c r="K12" s="14" t="n">
        <v>191.93</v>
      </c>
      <c r="L12" s="13" t="n">
        <v>186.59</v>
      </c>
      <c r="M12" s="13" t="n">
        <v>187.45</v>
      </c>
      <c r="N12" s="13" t="n">
        <v>181.28</v>
      </c>
      <c r="O12" s="13" t="n">
        <v>182.86</v>
      </c>
      <c r="P12" s="14" t="n">
        <v>184.52</v>
      </c>
      <c r="Q12" s="13" t="n">
        <v>185.04</v>
      </c>
      <c r="R12" s="13" t="n">
        <v>189.35</v>
      </c>
      <c r="S12" s="13" t="n">
        <v>189.24</v>
      </c>
      <c r="T12" s="13" t="n">
        <v>194.24</v>
      </c>
      <c r="U12" s="14" t="n">
        <v>189.49</v>
      </c>
      <c r="V12" s="13" t="n">
        <v>199.63</v>
      </c>
      <c r="W12" s="13" t="n">
        <v>193.41</v>
      </c>
      <c r="X12" s="13" t="n">
        <v>193.79</v>
      </c>
      <c r="Y12" s="13" t="n">
        <v>204.38</v>
      </c>
      <c r="Z12" s="14" t="n">
        <v>197.8</v>
      </c>
      <c r="AA12" s="13" t="n">
        <v>211.75</v>
      </c>
      <c r="AB12" s="15" t="n">
        <v>220.8</v>
      </c>
      <c r="AC12" s="16" t="n">
        <v>210.43</v>
      </c>
      <c r="AD12" s="16" t="n">
        <v>200.69</v>
      </c>
      <c r="AE12" s="17" t="n">
        <v>213.75</v>
      </c>
      <c r="AF12" s="16" t="n">
        <v>200.46</v>
      </c>
      <c r="AG12" s="16" t="n">
        <v>200.46</v>
      </c>
      <c r="AH12" s="16" t="n">
        <v>200.46</v>
      </c>
      <c r="AI12" s="16" t="n">
        <v>200.46</v>
      </c>
      <c r="AJ12" s="11" t="n"/>
      <c r="AK12" s="16" t="n">
        <v>200.46</v>
      </c>
      <c r="AL12" s="16" t="n">
        <v>200.46</v>
      </c>
      <c r="AM12" s="16" t="n">
        <v>200.46</v>
      </c>
      <c r="AN12" s="16" t="n">
        <v>200.46</v>
      </c>
      <c r="AO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187.13</v>
      </c>
      <c r="F13" s="14" t="n">
        <v>187.13</v>
      </c>
      <c r="G13" s="13" t="n">
        <v>191.38</v>
      </c>
      <c r="H13" s="13" t="n">
        <v>194.13</v>
      </c>
      <c r="I13" s="13" t="n">
        <v>201.92</v>
      </c>
      <c r="J13" s="13" t="n">
        <v>182.67</v>
      </c>
      <c r="K13" s="14" t="n">
        <v>182.67</v>
      </c>
      <c r="L13" s="13" t="n">
        <v>189.97</v>
      </c>
      <c r="M13" s="13" t="n">
        <v>181.8</v>
      </c>
      <c r="N13" s="13" t="n">
        <v>184.26</v>
      </c>
      <c r="O13" s="13" t="n">
        <v>182.61</v>
      </c>
      <c r="P13" s="14" t="n">
        <v>182.61</v>
      </c>
      <c r="Q13" s="13" t="n">
        <v>186.66</v>
      </c>
      <c r="R13" s="13" t="n">
        <v>189.7</v>
      </c>
      <c r="S13" s="13" t="n">
        <v>187.12</v>
      </c>
      <c r="T13" s="13" t="n">
        <v>202.04</v>
      </c>
      <c r="U13" s="14" t="n">
        <v>202.04</v>
      </c>
      <c r="V13" s="13" t="n">
        <v>203.3</v>
      </c>
      <c r="W13" s="13" t="n">
        <v>189.14</v>
      </c>
      <c r="X13" s="13" t="n">
        <v>197.16</v>
      </c>
      <c r="Y13" s="13" t="n">
        <v>206.28</v>
      </c>
      <c r="Z13" s="14" t="n">
        <v>206.28</v>
      </c>
      <c r="AA13" s="13" t="n">
        <v>220.97</v>
      </c>
      <c r="AB13" s="15" t="n">
        <v>228.56</v>
      </c>
      <c r="AC13" s="16" t="n">
        <v>202.16</v>
      </c>
      <c r="AD13" s="16" t="n">
        <v>200.46</v>
      </c>
      <c r="AE13" s="17" t="n">
        <v>200.46</v>
      </c>
      <c r="AF13" s="16" t="n">
        <v>200.46</v>
      </c>
      <c r="AG13" s="16" t="n">
        <v>200.46</v>
      </c>
      <c r="AH13" s="16" t="n">
        <v>200.46</v>
      </c>
      <c r="AI13" s="16" t="n">
        <v>200.46</v>
      </c>
      <c r="AJ13" s="11" t="n"/>
      <c r="AK13" s="16" t="n">
        <v>200.46</v>
      </c>
      <c r="AL13" s="16" t="n">
        <v>200.46</v>
      </c>
      <c r="AM13" s="16" t="n">
        <v>200.46</v>
      </c>
      <c r="AN13" s="16" t="n">
        <v>200.46</v>
      </c>
      <c r="AO13" s="11" t="n"/>
    </row>
    <row r="14">
      <c r="B14" s="1" t="inlineStr">
        <is>
          <t>1b. 종가</t>
        </is>
      </c>
      <c r="F14" s="9" t="n"/>
      <c r="K14" s="9" t="n"/>
      <c r="P14" s="9" t="n"/>
      <c r="U14" s="9" t="n"/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s="12" t="inlineStr">
        <is>
          <t>price_close_end</t>
        </is>
      </c>
      <c r="C15" t="inlineStr">
        <is>
          <t>종가(기말)</t>
        </is>
      </c>
      <c r="E15" s="18" t="n">
        <v>15150</v>
      </c>
      <c r="F15" s="9" t="n"/>
      <c r="G15" s="18" t="n">
        <v>15950</v>
      </c>
      <c r="H15" s="18" t="n">
        <v>10950</v>
      </c>
      <c r="I15" s="18" t="n">
        <v>9210</v>
      </c>
      <c r="J15" s="18" t="n">
        <v>8590</v>
      </c>
      <c r="K15" s="9" t="n"/>
      <c r="L15" s="18" t="n">
        <v>7910</v>
      </c>
      <c r="M15" s="18" t="n">
        <v>8650</v>
      </c>
      <c r="N15" s="18" t="n">
        <v>8990</v>
      </c>
      <c r="O15" s="18" t="n">
        <v>7760</v>
      </c>
      <c r="P15" s="9" t="n"/>
      <c r="Q15" s="18" t="n">
        <v>7670</v>
      </c>
      <c r="R15" s="18" t="n">
        <v>9220</v>
      </c>
      <c r="S15" s="18" t="n">
        <v>7990</v>
      </c>
      <c r="T15" s="18" t="n">
        <v>7630</v>
      </c>
      <c r="U15" s="9" t="n"/>
      <c r="V15" s="18" t="n">
        <v>6910</v>
      </c>
      <c r="W15" s="18" t="n">
        <v>7880</v>
      </c>
      <c r="X15" s="18" t="n">
        <v>7070</v>
      </c>
      <c r="Y15" s="18" t="n">
        <v>6890</v>
      </c>
      <c r="Z15" s="9" t="n"/>
      <c r="AA15" s="18" t="n">
        <v>6810</v>
      </c>
      <c r="AB15" s="19" t="n">
        <v>5780</v>
      </c>
      <c r="AC15" s="20" t="n">
        <v>5730</v>
      </c>
      <c r="AD15" s="20" t="n">
        <v>5560</v>
      </c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s="12" t="inlineStr">
        <is>
          <t>price_high</t>
        </is>
      </c>
      <c r="C16" t="inlineStr">
        <is>
          <t>종가(최고)</t>
        </is>
      </c>
      <c r="E16" s="18" t="n">
        <v>17500</v>
      </c>
      <c r="F16" s="9" t="n"/>
      <c r="G16" s="18" t="n">
        <v>17800</v>
      </c>
      <c r="H16" s="18" t="n">
        <v>17000</v>
      </c>
      <c r="I16" s="18" t="n">
        <v>11950</v>
      </c>
      <c r="J16" s="18" t="n">
        <v>11750</v>
      </c>
      <c r="K16" s="9" t="n"/>
      <c r="L16" s="18" t="n">
        <v>9730</v>
      </c>
      <c r="M16" s="18" t="n">
        <v>10010</v>
      </c>
      <c r="N16" s="18" t="n">
        <v>9200</v>
      </c>
      <c r="O16" s="18" t="n">
        <v>9650</v>
      </c>
      <c r="P16" s="9" t="n"/>
      <c r="Q16" s="18" t="n">
        <v>9080</v>
      </c>
      <c r="R16" s="18" t="n">
        <v>11800</v>
      </c>
      <c r="S16" s="18" t="n">
        <v>10810</v>
      </c>
      <c r="T16" s="18" t="n">
        <v>9360</v>
      </c>
      <c r="U16" s="9" t="n"/>
      <c r="V16" s="18" t="n">
        <v>7990</v>
      </c>
      <c r="W16" s="18" t="n">
        <v>8420</v>
      </c>
      <c r="X16" s="18" t="n">
        <v>8610</v>
      </c>
      <c r="Y16" s="18" t="n">
        <v>7170</v>
      </c>
      <c r="Z16" s="9" t="n"/>
      <c r="AA16" s="18" t="n">
        <v>8900</v>
      </c>
      <c r="AB16" s="19" t="n">
        <v>9300</v>
      </c>
      <c r="AC16" s="20" t="n">
        <v>6290</v>
      </c>
      <c r="AD16" s="20" t="n">
        <v>5800</v>
      </c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s="12" t="inlineStr">
        <is>
          <t>price_low</t>
        </is>
      </c>
      <c r="C17" t="inlineStr">
        <is>
          <t>종가(최저)</t>
        </is>
      </c>
      <c r="E17" s="18" t="n">
        <v>13300</v>
      </c>
      <c r="F17" s="9" t="n"/>
      <c r="G17" s="18" t="n">
        <v>12500</v>
      </c>
      <c r="H17" s="18" t="n">
        <v>10150</v>
      </c>
      <c r="I17" s="18" t="n">
        <v>9020</v>
      </c>
      <c r="J17" s="18" t="n">
        <v>8210</v>
      </c>
      <c r="K17" s="9" t="n"/>
      <c r="L17" s="18" t="n">
        <v>7630</v>
      </c>
      <c r="M17" s="18" t="n">
        <v>7700</v>
      </c>
      <c r="N17" s="18" t="n">
        <v>6600</v>
      </c>
      <c r="O17" s="18" t="n">
        <v>7600</v>
      </c>
      <c r="P17" s="9" t="n"/>
      <c r="Q17" s="18" t="n">
        <v>6840</v>
      </c>
      <c r="R17" s="18" t="n">
        <v>7160</v>
      </c>
      <c r="S17" s="18" t="n">
        <v>7690</v>
      </c>
      <c r="T17" s="18" t="n">
        <v>7060</v>
      </c>
      <c r="U17" s="9" t="n"/>
      <c r="V17" s="18" t="n">
        <v>6900</v>
      </c>
      <c r="W17" s="18" t="n">
        <v>6590</v>
      </c>
      <c r="X17" s="18" t="n">
        <v>7040</v>
      </c>
      <c r="Y17" s="18" t="n">
        <v>5980</v>
      </c>
      <c r="Z17" s="9" t="n"/>
      <c r="AA17" s="18" t="n">
        <v>6330</v>
      </c>
      <c r="AB17" s="19" t="n">
        <v>5420</v>
      </c>
      <c r="AC17" s="20" t="n">
        <v>5100</v>
      </c>
      <c r="AD17" s="20" t="n">
        <v>5520</v>
      </c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s="12" t="inlineStr">
        <is>
          <t>price_avg</t>
        </is>
      </c>
      <c r="C18" t="inlineStr">
        <is>
          <t>종가(평균)</t>
        </is>
      </c>
      <c r="E18" s="18" t="n">
        <v>15515.9</v>
      </c>
      <c r="F18" s="9" t="n"/>
      <c r="G18" s="18" t="n">
        <v>14335.6</v>
      </c>
      <c r="H18" s="18" t="n">
        <v>13646.8</v>
      </c>
      <c r="I18" s="18" t="n">
        <v>10967.5</v>
      </c>
      <c r="J18" s="18" t="n">
        <v>9196.5</v>
      </c>
      <c r="K18" s="9" t="n"/>
      <c r="L18" s="18" t="n">
        <v>8797.6</v>
      </c>
      <c r="M18" s="18" t="n">
        <v>8121.8</v>
      </c>
      <c r="N18" s="18" t="n">
        <v>8094.2</v>
      </c>
      <c r="O18" s="18" t="n">
        <v>8076.2</v>
      </c>
      <c r="P18" s="9" t="n"/>
      <c r="Q18" s="18" t="n">
        <v>7589.3</v>
      </c>
      <c r="R18" s="18" t="n">
        <v>8743.799999999999</v>
      </c>
      <c r="S18" s="18" t="n">
        <v>8906.6</v>
      </c>
      <c r="T18" s="18" t="n">
        <v>7951.6</v>
      </c>
      <c r="U18" s="9" t="n"/>
      <c r="V18" s="18" t="n">
        <v>7493.1</v>
      </c>
      <c r="W18" s="18" t="n">
        <v>7575.8</v>
      </c>
      <c r="X18" s="18" t="n">
        <v>7612.3</v>
      </c>
      <c r="Y18" s="18" t="n">
        <v>6535.6</v>
      </c>
      <c r="Z18" s="9" t="n"/>
      <c r="AA18" s="18" t="n">
        <v>6910.8</v>
      </c>
      <c r="AB18" s="19" t="n">
        <v>6866.4</v>
      </c>
      <c r="AC18" s="20" t="n">
        <v>5830.8</v>
      </c>
      <c r="AD18" s="20" t="n">
        <v>5640</v>
      </c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F19" s="9" t="n"/>
      <c r="K19" s="9" t="n"/>
      <c r="P19" s="9" t="n"/>
      <c r="U19" s="9" t="n"/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F20" s="9" t="n"/>
      <c r="K20" s="9" t="n"/>
      <c r="P20" s="9" t="n"/>
      <c r="U20" s="9" t="n"/>
      <c r="Z20" s="9" t="n"/>
      <c r="AB20" s="5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s="12" t="inlineStr">
        <is>
          <t>drv:매출액</t>
        </is>
      </c>
      <c r="B21" s="2" t="inlineStr">
        <is>
          <t>yoy</t>
        </is>
      </c>
      <c r="C21" t="inlineStr">
        <is>
          <t>매출액 YoY</t>
        </is>
      </c>
      <c r="E21" s="21" t="n"/>
      <c r="F21" s="22" t="n"/>
      <c r="G21" s="21" t="n"/>
      <c r="H21" s="21" t="n"/>
      <c r="I21" s="21" t="n"/>
      <c r="J21" s="21">
        <f>IFERROR(subQ!J5/subQ!E5-1,"")</f>
        <v/>
      </c>
      <c r="K21" s="22" t="n"/>
      <c r="L21" s="21">
        <f>IFERROR(subQ!L5/subQ!G5-1,"")</f>
        <v/>
      </c>
      <c r="M21" s="21">
        <f>IFERROR(subQ!M5/subQ!H5-1,"")</f>
        <v/>
      </c>
      <c r="N21" s="21">
        <f>IFERROR(subQ!N5/subQ!I5-1,"")</f>
        <v/>
      </c>
      <c r="O21" s="21">
        <f>IFERROR(subQ!O5/subQ!J5-1,"")</f>
        <v/>
      </c>
      <c r="P21" s="22" t="n"/>
      <c r="Q21" s="21">
        <f>IFERROR(subQ!Q5/subQ!L5-1,"")</f>
        <v/>
      </c>
      <c r="R21" s="21">
        <f>IFERROR(subQ!R5/subQ!M5-1,"")</f>
        <v/>
      </c>
      <c r="S21" s="21">
        <f>IFERROR(subQ!S5/subQ!N5-1,"")</f>
        <v/>
      </c>
      <c r="T21" s="21">
        <f>IFERROR(subQ!T5/subQ!O5-1,"")</f>
        <v/>
      </c>
      <c r="U21" s="22" t="n"/>
      <c r="V21" s="21">
        <f>IFERROR(subQ!V5/subQ!Q5-1,"")</f>
        <v/>
      </c>
      <c r="W21" s="21">
        <f>IFERROR(subQ!W5/subQ!R5-1,"")</f>
        <v/>
      </c>
      <c r="X21" s="21">
        <f>IFERROR(subQ!X5/subQ!S5-1,"")</f>
        <v/>
      </c>
      <c r="Y21" s="21">
        <f>IFERROR(subQ!Y5/subQ!T5-1,"")</f>
        <v/>
      </c>
      <c r="Z21" s="22" t="n"/>
      <c r="AA21" s="21">
        <f>IFERROR(subQ!AA5/subQ!V5-1,"")</f>
        <v/>
      </c>
      <c r="AB21" s="23">
        <f>IFERROR(subQ!AB5/subQ!W5-1,"")</f>
        <v/>
      </c>
      <c r="AC21" s="24" t="n">
        <v>-0.16830273</v>
      </c>
      <c r="AD21" s="24" t="n">
        <v>-0.168302694</v>
      </c>
      <c r="AE21" s="25" t="n"/>
      <c r="AF21" s="24" t="n">
        <v>-0.168304043</v>
      </c>
      <c r="AG21" s="24" t="n">
        <v>-0.168302811</v>
      </c>
      <c r="AH21" s="24" t="n">
        <v>-0.08415160100000001</v>
      </c>
      <c r="AI21" s="24" t="n">
        <v>-0.084150483</v>
      </c>
      <c r="AJ21" s="25" t="n"/>
      <c r="AK21" s="24" t="n">
        <v>-0.08415025499999999</v>
      </c>
      <c r="AL21" s="24" t="n">
        <v>-0.084151269</v>
      </c>
      <c r="AM21" s="24" t="n">
        <v>-0.042076461</v>
      </c>
      <c r="AN21" s="24" t="n">
        <v>-0.042078854</v>
      </c>
      <c r="AO21" s="25" t="n"/>
    </row>
    <row r="22">
      <c r="A22" s="12" t="inlineStr">
        <is>
          <t>drv:판관비</t>
        </is>
      </c>
      <c r="B22" s="2" t="inlineStr">
        <is>
          <t>ratio</t>
        </is>
      </c>
      <c r="C22" t="inlineStr">
        <is>
          <t>판관비율(/매출)</t>
        </is>
      </c>
      <c r="E22" s="21">
        <f>IFERROR(subQ!E8/subQ!E5,"")</f>
        <v/>
      </c>
      <c r="F22" s="22">
        <f>IFERROR(subQ!F8/subQ!F5,"")</f>
        <v/>
      </c>
      <c r="G22" s="21">
        <f>IFERROR(subQ!G8/subQ!G5,"")</f>
        <v/>
      </c>
      <c r="H22" s="21">
        <f>IFERROR(subQ!H8/subQ!H5,"")</f>
        <v/>
      </c>
      <c r="I22" s="21">
        <f>IFERROR(subQ!I8/subQ!I5,"")</f>
        <v/>
      </c>
      <c r="J22" s="21">
        <f>IFERROR(subQ!J8/subQ!J5,"")</f>
        <v/>
      </c>
      <c r="K22" s="22">
        <f>IFERROR(subQ!K8/subQ!K5,"")</f>
        <v/>
      </c>
      <c r="L22" s="21">
        <f>IFERROR(subQ!L8/subQ!L5,"")</f>
        <v/>
      </c>
      <c r="M22" s="21">
        <f>IFERROR(subQ!M8/subQ!M5,"")</f>
        <v/>
      </c>
      <c r="N22" s="21">
        <f>IFERROR(subQ!N8/subQ!N5,"")</f>
        <v/>
      </c>
      <c r="O22" s="21">
        <f>IFERROR(subQ!O8/subQ!O5,"")</f>
        <v/>
      </c>
      <c r="P22" s="22">
        <f>IFERROR(subQ!P8/subQ!P5,"")</f>
        <v/>
      </c>
      <c r="Q22" s="21">
        <f>IFERROR(subQ!Q8/subQ!Q5,"")</f>
        <v/>
      </c>
      <c r="R22" s="21">
        <f>IFERROR(subQ!R8/subQ!R5,"")</f>
        <v/>
      </c>
      <c r="S22" s="21">
        <f>IFERROR(subQ!S8/subQ!S5,"")</f>
        <v/>
      </c>
      <c r="T22" s="21">
        <f>IFERROR(subQ!T8/subQ!T5,"")</f>
        <v/>
      </c>
      <c r="U22" s="22">
        <f>IFERROR(subQ!U8/subQ!U5,"")</f>
        <v/>
      </c>
      <c r="V22" s="21">
        <f>IFERROR(subQ!V8/subQ!V5,"")</f>
        <v/>
      </c>
      <c r="W22" s="21">
        <f>IFERROR(subQ!W8/subQ!W5,"")</f>
        <v/>
      </c>
      <c r="X22" s="21">
        <f>IFERROR(subQ!X8/subQ!X5,"")</f>
        <v/>
      </c>
      <c r="Y22" s="21">
        <f>IFERROR(subQ!Y8/subQ!Y5,"")</f>
        <v/>
      </c>
      <c r="Z22" s="22">
        <f>IFERROR(subQ!Z8/subQ!Z5,"")</f>
        <v/>
      </c>
      <c r="AA22" s="21">
        <f>IFERROR(subQ!AA8/subQ!AA5,"")</f>
        <v/>
      </c>
      <c r="AB22" s="23">
        <f>IFERROR(subQ!AB8/subQ!AB5,"")</f>
        <v/>
      </c>
      <c r="AC22" s="26">
        <f>$D$51</f>
        <v/>
      </c>
      <c r="AD22" s="26">
        <f>$D$51</f>
        <v/>
      </c>
      <c r="AE22" s="25">
        <f>IFERROR(subQ!AE8/subQ!AE5,"")</f>
        <v/>
      </c>
      <c r="AF22" s="26">
        <f>$D$51</f>
        <v/>
      </c>
      <c r="AG22" s="26">
        <f>$D$51</f>
        <v/>
      </c>
      <c r="AH22" s="26">
        <f>$D$51</f>
        <v/>
      </c>
      <c r="AI22" s="26">
        <f>$D$51</f>
        <v/>
      </c>
      <c r="AJ22" s="25">
        <f>IFERROR(subQ!AJ8/subQ!AJ5,"")</f>
        <v/>
      </c>
      <c r="AK22" s="26">
        <f>$D$51</f>
        <v/>
      </c>
      <c r="AL22" s="26">
        <f>$D$51</f>
        <v/>
      </c>
      <c r="AM22" s="26">
        <f>$D$51</f>
        <v/>
      </c>
      <c r="AN22" s="26">
        <f>$D$51</f>
        <v/>
      </c>
      <c r="AO22" s="25">
        <f>IFERROR(subQ!AO8/subQ!AO5,"")</f>
        <v/>
      </c>
    </row>
    <row r="23">
      <c r="A23" s="12" t="inlineStr">
        <is>
          <t>drv:영업이익</t>
        </is>
      </c>
      <c r="B23" s="2" t="inlineStr">
        <is>
          <t>ratio</t>
        </is>
      </c>
      <c r="C23" t="inlineStr">
        <is>
          <t>영업이익률(OPM)</t>
        </is>
      </c>
      <c r="E23" s="21">
        <f>IFERROR(subQ!E9/subQ!E5,"")</f>
        <v/>
      </c>
      <c r="F23" s="22">
        <f>IFERROR(subQ!F9/subQ!F5,"")</f>
        <v/>
      </c>
      <c r="G23" s="21">
        <f>IFERROR(subQ!G9/subQ!G5,"")</f>
        <v/>
      </c>
      <c r="H23" s="21">
        <f>IFERROR(subQ!H9/subQ!H5,"")</f>
        <v/>
      </c>
      <c r="I23" s="21">
        <f>IFERROR(subQ!I9/subQ!I5,"")</f>
        <v/>
      </c>
      <c r="J23" s="21">
        <f>IFERROR(subQ!J9/subQ!J5,"")</f>
        <v/>
      </c>
      <c r="K23" s="22">
        <f>IFERROR(subQ!K9/subQ!K5,"")</f>
        <v/>
      </c>
      <c r="L23" s="21">
        <f>IFERROR(subQ!L9/subQ!L5,"")</f>
        <v/>
      </c>
      <c r="M23" s="21">
        <f>IFERROR(subQ!M9/subQ!M5,"")</f>
        <v/>
      </c>
      <c r="N23" s="21">
        <f>IFERROR(subQ!N9/subQ!N5,"")</f>
        <v/>
      </c>
      <c r="O23" s="21">
        <f>IFERROR(subQ!O9/subQ!O5,"")</f>
        <v/>
      </c>
      <c r="P23" s="22">
        <f>IFERROR(subQ!P9/subQ!P5,"")</f>
        <v/>
      </c>
      <c r="Q23" s="21">
        <f>IFERROR(subQ!Q9/subQ!Q5,"")</f>
        <v/>
      </c>
      <c r="R23" s="21">
        <f>IFERROR(subQ!R9/subQ!R5,"")</f>
        <v/>
      </c>
      <c r="S23" s="21">
        <f>IFERROR(subQ!S9/subQ!S5,"")</f>
        <v/>
      </c>
      <c r="T23" s="21">
        <f>IFERROR(subQ!T9/subQ!T5,"")</f>
        <v/>
      </c>
      <c r="U23" s="22">
        <f>IFERROR(subQ!U9/subQ!U5,"")</f>
        <v/>
      </c>
      <c r="V23" s="21">
        <f>IFERROR(subQ!V9/subQ!V5,"")</f>
        <v/>
      </c>
      <c r="W23" s="21">
        <f>IFERROR(subQ!W9/subQ!W5,"")</f>
        <v/>
      </c>
      <c r="X23" s="21">
        <f>IFERROR(subQ!X9/subQ!X5,"")</f>
        <v/>
      </c>
      <c r="Y23" s="21">
        <f>IFERROR(subQ!Y9/subQ!Y5,"")</f>
        <v/>
      </c>
      <c r="Z23" s="22">
        <f>IFERROR(subQ!Z9/subQ!Z5,"")</f>
        <v/>
      </c>
      <c r="AA23" s="21">
        <f>IFERROR(subQ!AA9/subQ!AA5,"")</f>
        <v/>
      </c>
      <c r="AB23" s="23">
        <f>IFERROR(subQ!AB9/subQ!AB5,"")</f>
        <v/>
      </c>
      <c r="AC23" s="24" t="n">
        <v>0.01168282</v>
      </c>
      <c r="AD23" s="24" t="n">
        <v>0.011683648</v>
      </c>
      <c r="AE23" s="25">
        <f>IFERROR(subQ!AE9/subQ!AE5,"")</f>
        <v/>
      </c>
      <c r="AF23" s="24" t="n">
        <v>0.011681249</v>
      </c>
      <c r="AG23" s="24" t="n">
        <v>0.011680963</v>
      </c>
      <c r="AH23" s="24" t="n">
        <v>0.011681054</v>
      </c>
      <c r="AI23" s="24" t="n">
        <v>0.011682457</v>
      </c>
      <c r="AJ23" s="25">
        <f>IFERROR(subQ!AJ9/subQ!AJ5,"")</f>
        <v/>
      </c>
      <c r="AK23" s="24" t="n">
        <v>0.011681217</v>
      </c>
      <c r="AL23" s="24" t="n">
        <v>0.011681133</v>
      </c>
      <c r="AM23" s="24" t="n">
        <v>0.011683202</v>
      </c>
      <c r="AN23" s="24" t="n">
        <v>0.011682538</v>
      </c>
      <c r="AO23" s="25">
        <f>IFERROR(subQ!AO9/subQ!AO5,"")</f>
        <v/>
      </c>
    </row>
    <row r="24">
      <c r="A24" s="12" t="inlineStr">
        <is>
          <t>drv:외환손익</t>
        </is>
      </c>
      <c r="B24" s="2" t="inlineStr">
        <is>
          <t>abs</t>
        </is>
      </c>
      <c r="C24" t="inlineStr">
        <is>
          <t>외환손익 (가정, 억원)</t>
        </is>
      </c>
      <c r="E24" s="27">
        <f>subQ!E13</f>
        <v/>
      </c>
      <c r="F24" s="28">
        <f>subQ!F13</f>
        <v/>
      </c>
      <c r="G24" s="27">
        <f>subQ!G13</f>
        <v/>
      </c>
      <c r="H24" s="27">
        <f>subQ!H13</f>
        <v/>
      </c>
      <c r="I24" s="27">
        <f>subQ!I13</f>
        <v/>
      </c>
      <c r="J24" s="27">
        <f>subQ!J13</f>
        <v/>
      </c>
      <c r="K24" s="28">
        <f>subQ!K13</f>
        <v/>
      </c>
      <c r="L24" s="27">
        <f>subQ!L13</f>
        <v/>
      </c>
      <c r="M24" s="27">
        <f>subQ!M13</f>
        <v/>
      </c>
      <c r="N24" s="27">
        <f>subQ!N13</f>
        <v/>
      </c>
      <c r="O24" s="27">
        <f>subQ!O13</f>
        <v/>
      </c>
      <c r="P24" s="28">
        <f>subQ!P13</f>
        <v/>
      </c>
      <c r="Q24" s="27">
        <f>subQ!Q13</f>
        <v/>
      </c>
      <c r="R24" s="27">
        <f>subQ!R13</f>
        <v/>
      </c>
      <c r="S24" s="27">
        <f>subQ!S13</f>
        <v/>
      </c>
      <c r="T24" s="27">
        <f>subQ!T13</f>
        <v/>
      </c>
      <c r="U24" s="28">
        <f>subQ!U13</f>
        <v/>
      </c>
      <c r="V24" s="27">
        <f>subQ!V13</f>
        <v/>
      </c>
      <c r="W24" s="27">
        <f>subQ!W13</f>
        <v/>
      </c>
      <c r="X24" s="27">
        <f>subQ!X13</f>
        <v/>
      </c>
      <c r="Y24" s="27">
        <f>subQ!Y13</f>
        <v/>
      </c>
      <c r="Z24" s="28">
        <f>subQ!Z13</f>
        <v/>
      </c>
      <c r="AA24" s="27">
        <f>subQ!AA13</f>
        <v/>
      </c>
      <c r="AB24" s="29">
        <f>subQ!AB13</f>
        <v/>
      </c>
      <c r="AC24" s="30" t="n">
        <v>0</v>
      </c>
      <c r="AD24" s="30" t="n">
        <v>0</v>
      </c>
      <c r="AE24" s="31">
        <f>subQ!AE13</f>
        <v/>
      </c>
      <c r="AF24" s="30" t="n">
        <v>0</v>
      </c>
      <c r="AG24" s="30" t="n">
        <v>0</v>
      </c>
      <c r="AH24" s="30" t="n">
        <v>0</v>
      </c>
      <c r="AI24" s="30" t="n">
        <v>0</v>
      </c>
      <c r="AJ24" s="31">
        <f>subQ!AJ13</f>
        <v/>
      </c>
      <c r="AK24" s="30" t="n">
        <v>0</v>
      </c>
      <c r="AL24" s="30" t="n">
        <v>0</v>
      </c>
      <c r="AM24" s="30" t="n">
        <v>0</v>
      </c>
      <c r="AN24" s="30" t="n">
        <v>0</v>
      </c>
      <c r="AO24" s="31">
        <f>subQ!AO13</f>
        <v/>
      </c>
    </row>
    <row r="25">
      <c r="A25" s="12" t="inlineStr">
        <is>
          <t>drv:파생상품손익</t>
        </is>
      </c>
      <c r="B25" s="2" t="inlineStr">
        <is>
          <t>abs</t>
        </is>
      </c>
      <c r="C25" t="inlineStr">
        <is>
          <t>파생상품손익 (가정, 억원)</t>
        </is>
      </c>
      <c r="E25" s="27">
        <f>subQ!E14</f>
        <v/>
      </c>
      <c r="F25" s="28">
        <f>subQ!F14</f>
        <v/>
      </c>
      <c r="G25" s="27">
        <f>subQ!G14</f>
        <v/>
      </c>
      <c r="H25" s="27">
        <f>subQ!H14</f>
        <v/>
      </c>
      <c r="I25" s="27">
        <f>subQ!I14</f>
        <v/>
      </c>
      <c r="J25" s="27">
        <f>subQ!J14</f>
        <v/>
      </c>
      <c r="K25" s="28">
        <f>subQ!K14</f>
        <v/>
      </c>
      <c r="L25" s="27">
        <f>subQ!L14</f>
        <v/>
      </c>
      <c r="M25" s="27">
        <f>subQ!M14</f>
        <v/>
      </c>
      <c r="N25" s="27">
        <f>subQ!N14</f>
        <v/>
      </c>
      <c r="O25" s="27">
        <f>subQ!O14</f>
        <v/>
      </c>
      <c r="P25" s="28">
        <f>subQ!P14</f>
        <v/>
      </c>
      <c r="Q25" s="27">
        <f>subQ!Q14</f>
        <v/>
      </c>
      <c r="R25" s="27">
        <f>subQ!R14</f>
        <v/>
      </c>
      <c r="S25" s="27">
        <f>subQ!S14</f>
        <v/>
      </c>
      <c r="T25" s="27">
        <f>subQ!T14</f>
        <v/>
      </c>
      <c r="U25" s="28">
        <f>subQ!U14</f>
        <v/>
      </c>
      <c r="V25" s="27">
        <f>subQ!V14</f>
        <v/>
      </c>
      <c r="W25" s="27">
        <f>subQ!W14</f>
        <v/>
      </c>
      <c r="X25" s="27">
        <f>subQ!X14</f>
        <v/>
      </c>
      <c r="Y25" s="27">
        <f>subQ!Y14</f>
        <v/>
      </c>
      <c r="Z25" s="28">
        <f>subQ!Z14</f>
        <v/>
      </c>
      <c r="AA25" s="27">
        <f>subQ!AA14</f>
        <v/>
      </c>
      <c r="AB25" s="29">
        <f>subQ!AB14</f>
        <v/>
      </c>
      <c r="AC25" s="30" t="n">
        <v>0</v>
      </c>
      <c r="AD25" s="30" t="n">
        <v>0</v>
      </c>
      <c r="AE25" s="31">
        <f>subQ!AE14</f>
        <v/>
      </c>
      <c r="AF25" s="30" t="n">
        <v>0</v>
      </c>
      <c r="AG25" s="30" t="n">
        <v>0</v>
      </c>
      <c r="AH25" s="30" t="n">
        <v>0</v>
      </c>
      <c r="AI25" s="30" t="n">
        <v>0</v>
      </c>
      <c r="AJ25" s="31">
        <f>subQ!AJ14</f>
        <v/>
      </c>
      <c r="AK25" s="30" t="n">
        <v>0</v>
      </c>
      <c r="AL25" s="30" t="n">
        <v>0</v>
      </c>
      <c r="AM25" s="30" t="n">
        <v>0</v>
      </c>
      <c r="AN25" s="30" t="n">
        <v>0</v>
      </c>
      <c r="AO25" s="31">
        <f>subQ!AO14</f>
        <v/>
      </c>
    </row>
    <row r="26">
      <c r="A26" s="12" t="inlineStr">
        <is>
          <t>drv:기타금융손익</t>
        </is>
      </c>
      <c r="B26" s="2" t="inlineStr">
        <is>
          <t>abs</t>
        </is>
      </c>
      <c r="C26" t="inlineStr">
        <is>
          <t>기타금융손익 (가정, 억원)</t>
        </is>
      </c>
      <c r="E26" s="27">
        <f>subQ!E15</f>
        <v/>
      </c>
      <c r="F26" s="28">
        <f>subQ!F15</f>
        <v/>
      </c>
      <c r="G26" s="27">
        <f>subQ!G15</f>
        <v/>
      </c>
      <c r="H26" s="27">
        <f>subQ!H15</f>
        <v/>
      </c>
      <c r="I26" s="27">
        <f>subQ!I15</f>
        <v/>
      </c>
      <c r="J26" s="27">
        <f>subQ!J15</f>
        <v/>
      </c>
      <c r="K26" s="28">
        <f>subQ!K15</f>
        <v/>
      </c>
      <c r="L26" s="27">
        <f>subQ!L15</f>
        <v/>
      </c>
      <c r="M26" s="27">
        <f>subQ!M15</f>
        <v/>
      </c>
      <c r="N26" s="27">
        <f>subQ!N15</f>
        <v/>
      </c>
      <c r="O26" s="27">
        <f>subQ!O15</f>
        <v/>
      </c>
      <c r="P26" s="28">
        <f>subQ!P15</f>
        <v/>
      </c>
      <c r="Q26" s="27">
        <f>subQ!Q15</f>
        <v/>
      </c>
      <c r="R26" s="27">
        <f>subQ!R15</f>
        <v/>
      </c>
      <c r="S26" s="27">
        <f>subQ!S15</f>
        <v/>
      </c>
      <c r="T26" s="27">
        <f>subQ!T15</f>
        <v/>
      </c>
      <c r="U26" s="28">
        <f>subQ!U15</f>
        <v/>
      </c>
      <c r="V26" s="27">
        <f>subQ!V15</f>
        <v/>
      </c>
      <c r="W26" s="27">
        <f>subQ!W15</f>
        <v/>
      </c>
      <c r="X26" s="27">
        <f>subQ!X15</f>
        <v/>
      </c>
      <c r="Y26" s="27">
        <f>subQ!Y15</f>
        <v/>
      </c>
      <c r="Z26" s="28">
        <f>subQ!Z15</f>
        <v/>
      </c>
      <c r="AA26" s="27">
        <f>subQ!AA15</f>
        <v/>
      </c>
      <c r="AB26" s="29">
        <f>subQ!AB15</f>
        <v/>
      </c>
      <c r="AC26" s="30" t="n">
        <v>0</v>
      </c>
      <c r="AD26" s="30" t="n">
        <v>0</v>
      </c>
      <c r="AE26" s="31">
        <f>subQ!AE15</f>
        <v/>
      </c>
      <c r="AF26" s="30" t="n">
        <v>0</v>
      </c>
      <c r="AG26" s="30" t="n">
        <v>0</v>
      </c>
      <c r="AH26" s="30" t="n">
        <v>0</v>
      </c>
      <c r="AI26" s="30" t="n">
        <v>0</v>
      </c>
      <c r="AJ26" s="31">
        <f>subQ!AJ15</f>
        <v/>
      </c>
      <c r="AK26" s="30" t="n">
        <v>0</v>
      </c>
      <c r="AL26" s="30" t="n">
        <v>0</v>
      </c>
      <c r="AM26" s="30" t="n">
        <v>0</v>
      </c>
      <c r="AN26" s="30" t="n">
        <v>0</v>
      </c>
      <c r="AO26" s="31">
        <f>subQ!AO15</f>
        <v/>
      </c>
    </row>
    <row r="27">
      <c r="A27" s="12" t="inlineStr">
        <is>
          <t>drv:기타영업외손익</t>
        </is>
      </c>
      <c r="B27" s="2" t="inlineStr">
        <is>
          <t>abs</t>
        </is>
      </c>
      <c r="C27" t="inlineStr">
        <is>
          <t>기타영업외손익 (가정, 억원)</t>
        </is>
      </c>
      <c r="E27" s="27">
        <f>subQ!E16</f>
        <v/>
      </c>
      <c r="F27" s="28">
        <f>subQ!F16</f>
        <v/>
      </c>
      <c r="G27" s="27">
        <f>subQ!G16</f>
        <v/>
      </c>
      <c r="H27" s="27">
        <f>subQ!H16</f>
        <v/>
      </c>
      <c r="I27" s="27">
        <f>subQ!I16</f>
        <v/>
      </c>
      <c r="J27" s="27">
        <f>subQ!J16</f>
        <v/>
      </c>
      <c r="K27" s="28">
        <f>subQ!K16</f>
        <v/>
      </c>
      <c r="L27" s="27">
        <f>subQ!L16</f>
        <v/>
      </c>
      <c r="M27" s="27">
        <f>subQ!M16</f>
        <v/>
      </c>
      <c r="N27" s="27">
        <f>subQ!N16</f>
        <v/>
      </c>
      <c r="O27" s="27">
        <f>subQ!O16</f>
        <v/>
      </c>
      <c r="P27" s="28">
        <f>subQ!P16</f>
        <v/>
      </c>
      <c r="Q27" s="27">
        <f>subQ!Q16</f>
        <v/>
      </c>
      <c r="R27" s="27">
        <f>subQ!R16</f>
        <v/>
      </c>
      <c r="S27" s="27">
        <f>subQ!S16</f>
        <v/>
      </c>
      <c r="T27" s="27">
        <f>subQ!T16</f>
        <v/>
      </c>
      <c r="U27" s="28">
        <f>subQ!U16</f>
        <v/>
      </c>
      <c r="V27" s="27">
        <f>subQ!V16</f>
        <v/>
      </c>
      <c r="W27" s="27">
        <f>subQ!W16</f>
        <v/>
      </c>
      <c r="X27" s="27">
        <f>subQ!X16</f>
        <v/>
      </c>
      <c r="Y27" s="27">
        <f>subQ!Y16</f>
        <v/>
      </c>
      <c r="Z27" s="28">
        <f>subQ!Z16</f>
        <v/>
      </c>
      <c r="AA27" s="27">
        <f>subQ!AA16</f>
        <v/>
      </c>
      <c r="AB27" s="29">
        <f>subQ!AB16</f>
        <v/>
      </c>
      <c r="AC27" s="30" t="n">
        <v>0</v>
      </c>
      <c r="AD27" s="30" t="n">
        <v>0</v>
      </c>
      <c r="AE27" s="31">
        <f>subQ!AE16</f>
        <v/>
      </c>
      <c r="AF27" s="30" t="n">
        <v>0</v>
      </c>
      <c r="AG27" s="30" t="n">
        <v>0</v>
      </c>
      <c r="AH27" s="30" t="n">
        <v>0</v>
      </c>
      <c r="AI27" s="30" t="n">
        <v>0</v>
      </c>
      <c r="AJ27" s="31">
        <f>subQ!AJ16</f>
        <v/>
      </c>
      <c r="AK27" s="30" t="n">
        <v>0</v>
      </c>
      <c r="AL27" s="30" t="n">
        <v>0</v>
      </c>
      <c r="AM27" s="30" t="n">
        <v>0</v>
      </c>
      <c r="AN27" s="30" t="n">
        <v>0</v>
      </c>
      <c r="AO27" s="31">
        <f>subQ!AO16</f>
        <v/>
      </c>
    </row>
    <row r="28">
      <c r="A28" s="12" t="inlineStr">
        <is>
          <t>drv:법인세비용</t>
        </is>
      </c>
      <c r="B28" s="2" t="inlineStr">
        <is>
          <t>tax</t>
        </is>
      </c>
      <c r="C28" t="inlineStr">
        <is>
          <t>법인세율(/세전) — 법인세 = MAX(세전,0) × 세율</t>
        </is>
      </c>
      <c r="E28" s="21">
        <f>IFERROR(subQ!E18/subQ!E17,"")</f>
        <v/>
      </c>
      <c r="F28" s="22">
        <f>IFERROR(subQ!F18/subQ!F17,"")</f>
        <v/>
      </c>
      <c r="G28" s="21">
        <f>IFERROR(subQ!G18/subQ!G17,"")</f>
        <v/>
      </c>
      <c r="H28" s="21">
        <f>IFERROR(subQ!H18/subQ!H17,"")</f>
        <v/>
      </c>
      <c r="I28" s="21">
        <f>IFERROR(subQ!I18/subQ!I17,"")</f>
        <v/>
      </c>
      <c r="J28" s="21">
        <f>IFERROR(subQ!J18/subQ!J17,"")</f>
        <v/>
      </c>
      <c r="K28" s="22">
        <f>IFERROR(subQ!K18/subQ!K17,"")</f>
        <v/>
      </c>
      <c r="L28" s="21">
        <f>IFERROR(subQ!L18/subQ!L17,"")</f>
        <v/>
      </c>
      <c r="M28" s="21">
        <f>IFERROR(subQ!M18/subQ!M17,"")</f>
        <v/>
      </c>
      <c r="N28" s="21">
        <f>IFERROR(subQ!N18/subQ!N17,"")</f>
        <v/>
      </c>
      <c r="O28" s="21">
        <f>IFERROR(subQ!O18/subQ!O17,"")</f>
        <v/>
      </c>
      <c r="P28" s="22">
        <f>IFERROR(subQ!P18/subQ!P17,"")</f>
        <v/>
      </c>
      <c r="Q28" s="21">
        <f>IFERROR(subQ!Q18/subQ!Q17,"")</f>
        <v/>
      </c>
      <c r="R28" s="21">
        <f>IFERROR(subQ!R18/subQ!R17,"")</f>
        <v/>
      </c>
      <c r="S28" s="21">
        <f>IFERROR(subQ!S18/subQ!S17,"")</f>
        <v/>
      </c>
      <c r="T28" s="21">
        <f>IFERROR(subQ!T18/subQ!T17,"")</f>
        <v/>
      </c>
      <c r="U28" s="22">
        <f>IFERROR(subQ!U18/subQ!U17,"")</f>
        <v/>
      </c>
      <c r="V28" s="21">
        <f>IFERROR(subQ!V18/subQ!V17,"")</f>
        <v/>
      </c>
      <c r="W28" s="21">
        <f>IFERROR(subQ!W18/subQ!W17,"")</f>
        <v/>
      </c>
      <c r="X28" s="21">
        <f>IFERROR(subQ!X18/subQ!X17,"")</f>
        <v/>
      </c>
      <c r="Y28" s="21">
        <f>IFERROR(subQ!Y18/subQ!Y17,"")</f>
        <v/>
      </c>
      <c r="Z28" s="22">
        <f>IFERROR(subQ!Z18/subQ!Z17,"")</f>
        <v/>
      </c>
      <c r="AA28" s="21">
        <f>IFERROR(subQ!AA18/subQ!AA17,"")</f>
        <v/>
      </c>
      <c r="AB28" s="23">
        <f>IFERROR(subQ!AB18/subQ!AB17,"")</f>
        <v/>
      </c>
      <c r="AC28" s="26">
        <f>$D$50</f>
        <v/>
      </c>
      <c r="AD28" s="26">
        <f>$D$50</f>
        <v/>
      </c>
      <c r="AE28" s="25">
        <f>IFERROR(subQ!AE18/subQ!AE17,"")</f>
        <v/>
      </c>
      <c r="AF28" s="26">
        <f>$D$50</f>
        <v/>
      </c>
      <c r="AG28" s="26">
        <f>$D$50</f>
        <v/>
      </c>
      <c r="AH28" s="26">
        <f>$D$50</f>
        <v/>
      </c>
      <c r="AI28" s="26">
        <f>$D$50</f>
        <v/>
      </c>
      <c r="AJ28" s="25">
        <f>IFERROR(subQ!AJ18/subQ!AJ17,"")</f>
        <v/>
      </c>
      <c r="AK28" s="26">
        <f>$D$50</f>
        <v/>
      </c>
      <c r="AL28" s="26">
        <f>$D$50</f>
        <v/>
      </c>
      <c r="AM28" s="26">
        <f>$D$50</f>
        <v/>
      </c>
      <c r="AN28" s="26">
        <f>$D$50</f>
        <v/>
      </c>
      <c r="AO28" s="25">
        <f>IFERROR(subQ!AO18/subQ!AO17,"")</f>
        <v/>
      </c>
    </row>
    <row r="29">
      <c r="A29" s="12" t="inlineStr">
        <is>
          <t>drv:지배주주순이익</t>
        </is>
      </c>
      <c r="B29" s="2" t="inlineStr">
        <is>
          <t>ratio</t>
        </is>
      </c>
      <c r="C29" t="inlineStr">
        <is>
          <t>지배주주 비중(/당기순이익)</t>
        </is>
      </c>
      <c r="E29" s="21">
        <f>IFERROR(subQ!E20/subQ!E19,"")</f>
        <v/>
      </c>
      <c r="F29" s="22">
        <f>IFERROR(subQ!F20/subQ!F19,"")</f>
        <v/>
      </c>
      <c r="G29" s="21">
        <f>IFERROR(subQ!G20/subQ!G19,"")</f>
        <v/>
      </c>
      <c r="H29" s="21">
        <f>IFERROR(subQ!H20/subQ!H19,"")</f>
        <v/>
      </c>
      <c r="I29" s="21">
        <f>IFERROR(subQ!I20/subQ!I19,"")</f>
        <v/>
      </c>
      <c r="J29" s="21">
        <f>IFERROR(subQ!J20/subQ!J19,"")</f>
        <v/>
      </c>
      <c r="K29" s="22">
        <f>IFERROR(subQ!K20/subQ!K19,"")</f>
        <v/>
      </c>
      <c r="L29" s="21">
        <f>IFERROR(subQ!L20/subQ!L19,"")</f>
        <v/>
      </c>
      <c r="M29" s="21">
        <f>IFERROR(subQ!M20/subQ!M19,"")</f>
        <v/>
      </c>
      <c r="N29" s="21">
        <f>IFERROR(subQ!N20/subQ!N19,"")</f>
        <v/>
      </c>
      <c r="O29" s="21">
        <f>IFERROR(subQ!O20/subQ!O19,"")</f>
        <v/>
      </c>
      <c r="P29" s="22">
        <f>IFERROR(subQ!P20/subQ!P19,"")</f>
        <v/>
      </c>
      <c r="Q29" s="21">
        <f>IFERROR(subQ!Q20/subQ!Q19,"")</f>
        <v/>
      </c>
      <c r="R29" s="21">
        <f>IFERROR(subQ!R20/subQ!R19,"")</f>
        <v/>
      </c>
      <c r="S29" s="21">
        <f>IFERROR(subQ!S20/subQ!S19,"")</f>
        <v/>
      </c>
      <c r="T29" s="21">
        <f>IFERROR(subQ!T20/subQ!T19,"")</f>
        <v/>
      </c>
      <c r="U29" s="22">
        <f>IFERROR(subQ!U20/subQ!U19,"")</f>
        <v/>
      </c>
      <c r="V29" s="21">
        <f>IFERROR(subQ!V20/subQ!V19,"")</f>
        <v/>
      </c>
      <c r="W29" s="21">
        <f>IFERROR(subQ!W20/subQ!W19,"")</f>
        <v/>
      </c>
      <c r="X29" s="21">
        <f>IFERROR(subQ!X20/subQ!X19,"")</f>
        <v/>
      </c>
      <c r="Y29" s="21">
        <f>IFERROR(subQ!Y20/subQ!Y19,"")</f>
        <v/>
      </c>
      <c r="Z29" s="22">
        <f>IFERROR(subQ!Z20/subQ!Z19,"")</f>
        <v/>
      </c>
      <c r="AA29" s="21">
        <f>IFERROR(subQ!AA20/subQ!AA19,"")</f>
        <v/>
      </c>
      <c r="AB29" s="23">
        <f>IFERROR(subQ!AB20/subQ!AB19,"")</f>
        <v/>
      </c>
      <c r="AC29" s="26">
        <f>$D$52</f>
        <v/>
      </c>
      <c r="AD29" s="26">
        <f>$D$52</f>
        <v/>
      </c>
      <c r="AE29" s="25">
        <f>IFERROR(subQ!AE20/subQ!AE19,"")</f>
        <v/>
      </c>
      <c r="AF29" s="26">
        <f>$D$52</f>
        <v/>
      </c>
      <c r="AG29" s="26">
        <f>$D$52</f>
        <v/>
      </c>
      <c r="AH29" s="26">
        <f>$D$52</f>
        <v/>
      </c>
      <c r="AI29" s="26">
        <f>$D$52</f>
        <v/>
      </c>
      <c r="AJ29" s="25">
        <f>IFERROR(subQ!AJ20/subQ!AJ19,"")</f>
        <v/>
      </c>
      <c r="AK29" s="26">
        <f>$D$52</f>
        <v/>
      </c>
      <c r="AL29" s="26">
        <f>$D$52</f>
        <v/>
      </c>
      <c r="AM29" s="26">
        <f>$D$52</f>
        <v/>
      </c>
      <c r="AN29" s="26">
        <f>$D$52</f>
        <v/>
      </c>
      <c r="AO29" s="25">
        <f>IFERROR(subQ!AO20/subQ!AO19,"")</f>
        <v/>
      </c>
    </row>
    <row r="30">
      <c r="A30" s="12" t="inlineStr">
        <is>
          <t>drv:부채총계</t>
        </is>
      </c>
      <c r="B30" s="2" t="inlineStr">
        <is>
          <t>qoq</t>
        </is>
      </c>
      <c r="C30" t="inlineStr">
        <is>
          <t>부채총계 QoQ</t>
        </is>
      </c>
      <c r="E30" s="21" t="n"/>
      <c r="F30" s="22" t="n"/>
      <c r="G30" s="21">
        <f>IFERROR(subQ!G22/subQ!E22-1,"")</f>
        <v/>
      </c>
      <c r="H30" s="21">
        <f>IFERROR(subQ!H22/subQ!G22-1,"")</f>
        <v/>
      </c>
      <c r="I30" s="21">
        <f>IFERROR(subQ!I22/subQ!H22-1,"")</f>
        <v/>
      </c>
      <c r="J30" s="21">
        <f>IFERROR(subQ!J22/subQ!I22-1,"")</f>
        <v/>
      </c>
      <c r="K30" s="22" t="n"/>
      <c r="L30" s="21">
        <f>IFERROR(subQ!L22/subQ!J22-1,"")</f>
        <v/>
      </c>
      <c r="M30" s="21">
        <f>IFERROR(subQ!M22/subQ!L22-1,"")</f>
        <v/>
      </c>
      <c r="N30" s="21">
        <f>IFERROR(subQ!N22/subQ!M22-1,"")</f>
        <v/>
      </c>
      <c r="O30" s="21">
        <f>IFERROR(subQ!O22/subQ!N22-1,"")</f>
        <v/>
      </c>
      <c r="P30" s="22" t="n"/>
      <c r="Q30" s="21">
        <f>IFERROR(subQ!Q22/subQ!O22-1,"")</f>
        <v/>
      </c>
      <c r="R30" s="21">
        <f>IFERROR(subQ!R22/subQ!Q22-1,"")</f>
        <v/>
      </c>
      <c r="S30" s="21">
        <f>IFERROR(subQ!S22/subQ!R22-1,"")</f>
        <v/>
      </c>
      <c r="T30" s="21">
        <f>IFERROR(subQ!T22/subQ!S22-1,"")</f>
        <v/>
      </c>
      <c r="U30" s="22" t="n"/>
      <c r="V30" s="21">
        <f>IFERROR(subQ!V22/subQ!T22-1,"")</f>
        <v/>
      </c>
      <c r="W30" s="21">
        <f>IFERROR(subQ!W22/subQ!V22-1,"")</f>
        <v/>
      </c>
      <c r="X30" s="21">
        <f>IFERROR(subQ!X22/subQ!W22-1,"")</f>
        <v/>
      </c>
      <c r="Y30" s="21">
        <f>IFERROR(subQ!Y22/subQ!X22-1,"")</f>
        <v/>
      </c>
      <c r="Z30" s="22" t="n"/>
      <c r="AA30" s="21">
        <f>IFERROR(subQ!AA22/subQ!Y22-1,"")</f>
        <v/>
      </c>
      <c r="AB30" s="23">
        <f>IFERROR(subQ!AB22/subQ!AA22-1,"")</f>
        <v/>
      </c>
      <c r="AC30" s="32" t="n"/>
      <c r="AD30" s="32" t="n"/>
      <c r="AE30" s="25" t="n"/>
      <c r="AF30" s="32" t="n"/>
      <c r="AG30" s="32" t="n"/>
      <c r="AH30" s="32" t="n"/>
      <c r="AI30" s="32" t="n"/>
      <c r="AJ30" s="25" t="n"/>
      <c r="AK30" s="32" t="n"/>
      <c r="AL30" s="32" t="n"/>
      <c r="AM30" s="32" t="n"/>
      <c r="AN30" s="32" t="n"/>
      <c r="AO30" s="25" t="n"/>
    </row>
    <row r="31">
      <c r="A31" s="12" t="inlineStr">
        <is>
          <t>drv:자본총계</t>
        </is>
      </c>
      <c r="B31" s="2" t="inlineStr">
        <is>
          <t>roll</t>
        </is>
      </c>
      <c r="C31" t="inlineStr">
        <is>
          <t>자본총계 기타변동(배당 등, 억원)</t>
        </is>
      </c>
      <c r="E31" s="27" t="n"/>
      <c r="F31" s="28" t="n"/>
      <c r="G31" s="27">
        <f>IFERROR(subQ!E23+subQ!G19-subQ!G23,"")</f>
        <v/>
      </c>
      <c r="H31" s="27">
        <f>IFERROR(subQ!G23+subQ!H19-subQ!H23,"")</f>
        <v/>
      </c>
      <c r="I31" s="27">
        <f>IFERROR(subQ!H23+subQ!I19-subQ!I23,"")</f>
        <v/>
      </c>
      <c r="J31" s="27">
        <f>IFERROR(subQ!I23+subQ!J19-subQ!J23,"")</f>
        <v/>
      </c>
      <c r="K31" s="28" t="n"/>
      <c r="L31" s="27">
        <f>IFERROR(subQ!J23+subQ!L19-subQ!L23,"")</f>
        <v/>
      </c>
      <c r="M31" s="27">
        <f>IFERROR(subQ!L23+subQ!M19-subQ!M23,"")</f>
        <v/>
      </c>
      <c r="N31" s="27">
        <f>IFERROR(subQ!M23+subQ!N19-subQ!N23,"")</f>
        <v/>
      </c>
      <c r="O31" s="27">
        <f>IFERROR(subQ!N23+subQ!O19-subQ!O23,"")</f>
        <v/>
      </c>
      <c r="P31" s="28" t="n"/>
      <c r="Q31" s="27">
        <f>IFERROR(subQ!O23+subQ!Q19-subQ!Q23,"")</f>
        <v/>
      </c>
      <c r="R31" s="27">
        <f>IFERROR(subQ!Q23+subQ!R19-subQ!R23,"")</f>
        <v/>
      </c>
      <c r="S31" s="27">
        <f>IFERROR(subQ!R23+subQ!S19-subQ!S23,"")</f>
        <v/>
      </c>
      <c r="T31" s="27">
        <f>IFERROR(subQ!S23+subQ!T19-subQ!T23,"")</f>
        <v/>
      </c>
      <c r="U31" s="28" t="n"/>
      <c r="V31" s="27">
        <f>IFERROR(subQ!T23+subQ!V19-subQ!V23,"")</f>
        <v/>
      </c>
      <c r="W31" s="27">
        <f>IFERROR(subQ!V23+subQ!W19-subQ!W23,"")</f>
        <v/>
      </c>
      <c r="X31" s="27">
        <f>IFERROR(subQ!W23+subQ!X19-subQ!X23,"")</f>
        <v/>
      </c>
      <c r="Y31" s="27">
        <f>IFERROR(subQ!X23+subQ!Y19-subQ!Y23,"")</f>
        <v/>
      </c>
      <c r="Z31" s="28" t="n"/>
      <c r="AA31" s="27">
        <f>IFERROR(subQ!Y23+subQ!AA19-subQ!AA23,"")</f>
        <v/>
      </c>
      <c r="AB31" s="29">
        <f>IFERROR(subQ!AA23+subQ!AB19-subQ!AB23,"")</f>
        <v/>
      </c>
      <c r="AC31" s="30" t="n">
        <v>0.005754465</v>
      </c>
      <c r="AD31" s="30" t="n">
        <v>-0.002606911</v>
      </c>
      <c r="AE31" s="31" t="n"/>
      <c r="AF31" s="30" t="n">
        <v>-0.00403701</v>
      </c>
      <c r="AG31" s="30" t="n">
        <v>26.150262994</v>
      </c>
      <c r="AH31" s="30" t="n">
        <v>-0.003289889</v>
      </c>
      <c r="AI31" s="30" t="n">
        <v>-0.000619259</v>
      </c>
      <c r="AJ31" s="31" t="n"/>
      <c r="AK31" s="30" t="n">
        <v>-0.004711348</v>
      </c>
      <c r="AL31" s="30" t="n">
        <v>26.145833236</v>
      </c>
      <c r="AM31" s="30" t="n">
        <v>0.00172711</v>
      </c>
      <c r="AN31" s="30" t="n">
        <v>-0.00113153</v>
      </c>
      <c r="AO31" s="31" t="n"/>
    </row>
    <row r="32">
      <c r="A32" s="12" t="inlineStr">
        <is>
          <t>drv:지배주주지분</t>
        </is>
      </c>
      <c r="B32" s="2" t="inlineStr">
        <is>
          <t>roll</t>
        </is>
      </c>
      <c r="C32" t="inlineStr">
        <is>
          <t>지배주주지분 기타변동(배당 등, 억원)</t>
        </is>
      </c>
      <c r="E32" s="27" t="n"/>
      <c r="F32" s="28" t="n"/>
      <c r="G32" s="27">
        <f>IFERROR(subQ!E24+subQ!G20-subQ!G24,"")</f>
        <v/>
      </c>
      <c r="H32" s="27">
        <f>IFERROR(subQ!G24+subQ!H20-subQ!H24,"")</f>
        <v/>
      </c>
      <c r="I32" s="27">
        <f>IFERROR(subQ!H24+subQ!I20-subQ!I24,"")</f>
        <v/>
      </c>
      <c r="J32" s="27">
        <f>IFERROR(subQ!I24+subQ!J20-subQ!J24,"")</f>
        <v/>
      </c>
      <c r="K32" s="28" t="n"/>
      <c r="L32" s="27">
        <f>IFERROR(subQ!J24+subQ!L20-subQ!L24,"")</f>
        <v/>
      </c>
      <c r="M32" s="27">
        <f>IFERROR(subQ!L24+subQ!M20-subQ!M24,"")</f>
        <v/>
      </c>
      <c r="N32" s="27">
        <f>IFERROR(subQ!M24+subQ!N20-subQ!N24,"")</f>
        <v/>
      </c>
      <c r="O32" s="27">
        <f>IFERROR(subQ!N24+subQ!O20-subQ!O24,"")</f>
        <v/>
      </c>
      <c r="P32" s="28" t="n"/>
      <c r="Q32" s="27">
        <f>IFERROR(subQ!O24+subQ!Q20-subQ!Q24,"")</f>
        <v/>
      </c>
      <c r="R32" s="27">
        <f>IFERROR(subQ!Q24+subQ!R20-subQ!R24,"")</f>
        <v/>
      </c>
      <c r="S32" s="27">
        <f>IFERROR(subQ!R24+subQ!S20-subQ!S24,"")</f>
        <v/>
      </c>
      <c r="T32" s="27">
        <f>IFERROR(subQ!S24+subQ!T20-subQ!T24,"")</f>
        <v/>
      </c>
      <c r="U32" s="28" t="n"/>
      <c r="V32" s="27">
        <f>IFERROR(subQ!T24+subQ!V20-subQ!V24,"")</f>
        <v/>
      </c>
      <c r="W32" s="27">
        <f>IFERROR(subQ!V24+subQ!W20-subQ!W24,"")</f>
        <v/>
      </c>
      <c r="X32" s="27">
        <f>IFERROR(subQ!W24+subQ!X20-subQ!X24,"")</f>
        <v/>
      </c>
      <c r="Y32" s="27">
        <f>IFERROR(subQ!X24+subQ!Y20-subQ!Y24,"")</f>
        <v/>
      </c>
      <c r="Z32" s="28" t="n"/>
      <c r="AA32" s="27">
        <f>IFERROR(subQ!Y24+subQ!AA20-subQ!AA24,"")</f>
        <v/>
      </c>
      <c r="AB32" s="29">
        <f>IFERROR(subQ!AA24+subQ!AB20-subQ!AB24,"")</f>
        <v/>
      </c>
      <c r="AC32" s="30" t="n">
        <v>0.005754465</v>
      </c>
      <c r="AD32" s="30" t="n">
        <v>-0.002606911</v>
      </c>
      <c r="AE32" s="31" t="n"/>
      <c r="AF32" s="30" t="n">
        <v>-0.00403701</v>
      </c>
      <c r="AG32" s="30" t="n">
        <v>26.150262994</v>
      </c>
      <c r="AH32" s="30" t="n">
        <v>-0.003289889</v>
      </c>
      <c r="AI32" s="30" t="n">
        <v>-0.000619259</v>
      </c>
      <c r="AJ32" s="31" t="n"/>
      <c r="AK32" s="30" t="n">
        <v>-0.004711348</v>
      </c>
      <c r="AL32" s="30" t="n">
        <v>26.145833236</v>
      </c>
      <c r="AM32" s="30" t="n">
        <v>0.00172711</v>
      </c>
      <c r="AN32" s="30" t="n">
        <v>-0.00113153</v>
      </c>
      <c r="AO32" s="31" t="n"/>
    </row>
    <row r="33">
      <c r="A33" s="12" t="inlineStr">
        <is>
          <t>drv:총차입금</t>
        </is>
      </c>
      <c r="B33" s="2" t="inlineStr">
        <is>
          <t>qoq</t>
        </is>
      </c>
      <c r="C33" t="inlineStr">
        <is>
          <t>총차입금 QoQ</t>
        </is>
      </c>
      <c r="E33" s="21" t="n"/>
      <c r="F33" s="22" t="n"/>
      <c r="G33" s="21">
        <f>IFERROR(subQ!G25/subQ!E25-1,"")</f>
        <v/>
      </c>
      <c r="H33" s="21">
        <f>IFERROR(subQ!H25/subQ!G25-1,"")</f>
        <v/>
      </c>
      <c r="I33" s="21">
        <f>IFERROR(subQ!I25/subQ!H25-1,"")</f>
        <v/>
      </c>
      <c r="J33" s="21">
        <f>IFERROR(subQ!J25/subQ!I25-1,"")</f>
        <v/>
      </c>
      <c r="K33" s="22" t="n"/>
      <c r="L33" s="21">
        <f>IFERROR(subQ!L25/subQ!J25-1,"")</f>
        <v/>
      </c>
      <c r="M33" s="21">
        <f>IFERROR(subQ!M25/subQ!L25-1,"")</f>
        <v/>
      </c>
      <c r="N33" s="21">
        <f>IFERROR(subQ!N25/subQ!M25-1,"")</f>
        <v/>
      </c>
      <c r="O33" s="21">
        <f>IFERROR(subQ!O25/subQ!N25-1,"")</f>
        <v/>
      </c>
      <c r="P33" s="22" t="n"/>
      <c r="Q33" s="21">
        <f>IFERROR(subQ!Q25/subQ!O25-1,"")</f>
        <v/>
      </c>
      <c r="R33" s="21">
        <f>IFERROR(subQ!R25/subQ!Q25-1,"")</f>
        <v/>
      </c>
      <c r="S33" s="21">
        <f>IFERROR(subQ!S25/subQ!R25-1,"")</f>
        <v/>
      </c>
      <c r="T33" s="21">
        <f>IFERROR(subQ!T25/subQ!S25-1,"")</f>
        <v/>
      </c>
      <c r="U33" s="22" t="n"/>
      <c r="V33" s="21">
        <f>IFERROR(subQ!V25/subQ!T25-1,"")</f>
        <v/>
      </c>
      <c r="W33" s="21">
        <f>IFERROR(subQ!W25/subQ!V25-1,"")</f>
        <v/>
      </c>
      <c r="X33" s="21">
        <f>IFERROR(subQ!X25/subQ!W25-1,"")</f>
        <v/>
      </c>
      <c r="Y33" s="21">
        <f>IFERROR(subQ!Y25/subQ!X25-1,"")</f>
        <v/>
      </c>
      <c r="Z33" s="22" t="n"/>
      <c r="AA33" s="21">
        <f>IFERROR(subQ!AA25/subQ!Y25-1,"")</f>
        <v/>
      </c>
      <c r="AB33" s="23">
        <f>IFERROR(subQ!AB25/subQ!AA25-1,"")</f>
        <v/>
      </c>
      <c r="AC33" s="32" t="n"/>
      <c r="AD33" s="32" t="n"/>
      <c r="AE33" s="25" t="n"/>
      <c r="AF33" s="32" t="n"/>
      <c r="AG33" s="32" t="n"/>
      <c r="AH33" s="32" t="n"/>
      <c r="AI33" s="32" t="n"/>
      <c r="AJ33" s="25" t="n"/>
      <c r="AK33" s="32" t="n"/>
      <c r="AL33" s="32" t="n"/>
      <c r="AM33" s="32" t="n"/>
      <c r="AN33" s="32" t="n"/>
      <c r="AO33" s="25" t="n"/>
    </row>
    <row r="34">
      <c r="A34" s="12" t="inlineStr">
        <is>
          <t>drv:순차입금</t>
        </is>
      </c>
      <c r="B34" s="2" t="inlineStr">
        <is>
          <t>qoq</t>
        </is>
      </c>
      <c r="C34" t="inlineStr">
        <is>
          <t>순차입금 QoQ</t>
        </is>
      </c>
      <c r="E34" s="21" t="n"/>
      <c r="F34" s="22" t="n"/>
      <c r="G34" s="21">
        <f>IFERROR(subQ!G26/subQ!E26-1,"")</f>
        <v/>
      </c>
      <c r="H34" s="21">
        <f>IFERROR(subQ!H26/subQ!G26-1,"")</f>
        <v/>
      </c>
      <c r="I34" s="21">
        <f>IFERROR(subQ!I26/subQ!H26-1,"")</f>
        <v/>
      </c>
      <c r="J34" s="21">
        <f>IFERROR(subQ!J26/subQ!I26-1,"")</f>
        <v/>
      </c>
      <c r="K34" s="22" t="n"/>
      <c r="L34" s="21">
        <f>IFERROR(subQ!L26/subQ!J26-1,"")</f>
        <v/>
      </c>
      <c r="M34" s="21">
        <f>IFERROR(subQ!M26/subQ!L26-1,"")</f>
        <v/>
      </c>
      <c r="N34" s="21">
        <f>IFERROR(subQ!N26/subQ!M26-1,"")</f>
        <v/>
      </c>
      <c r="O34" s="21">
        <f>IFERROR(subQ!O26/subQ!N26-1,"")</f>
        <v/>
      </c>
      <c r="P34" s="22" t="n"/>
      <c r="Q34" s="21">
        <f>IFERROR(subQ!Q26/subQ!O26-1,"")</f>
        <v/>
      </c>
      <c r="R34" s="21">
        <f>IFERROR(subQ!R26/subQ!Q26-1,"")</f>
        <v/>
      </c>
      <c r="S34" s="21">
        <f>IFERROR(subQ!S26/subQ!R26-1,"")</f>
        <v/>
      </c>
      <c r="T34" s="21">
        <f>IFERROR(subQ!T26/subQ!S26-1,"")</f>
        <v/>
      </c>
      <c r="U34" s="22" t="n"/>
      <c r="V34" s="21">
        <f>IFERROR(subQ!V26/subQ!T26-1,"")</f>
        <v/>
      </c>
      <c r="W34" s="21">
        <f>IFERROR(subQ!W26/subQ!V26-1,"")</f>
        <v/>
      </c>
      <c r="X34" s="21">
        <f>IFERROR(subQ!X26/subQ!W26-1,"")</f>
        <v/>
      </c>
      <c r="Y34" s="21">
        <f>IFERROR(subQ!Y26/subQ!X26-1,"")</f>
        <v/>
      </c>
      <c r="Z34" s="22" t="n"/>
      <c r="AA34" s="21">
        <f>IFERROR(subQ!AA26/subQ!Y26-1,"")</f>
        <v/>
      </c>
      <c r="AB34" s="23">
        <f>IFERROR(subQ!AB26/subQ!AA26-1,"")</f>
        <v/>
      </c>
      <c r="AC34" s="32" t="n"/>
      <c r="AD34" s="32" t="n"/>
      <c r="AE34" s="25" t="n"/>
      <c r="AF34" s="32" t="n"/>
      <c r="AG34" s="32" t="n"/>
      <c r="AH34" s="32" t="n"/>
      <c r="AI34" s="32" t="n"/>
      <c r="AJ34" s="25" t="n"/>
      <c r="AK34" s="32" t="n"/>
      <c r="AL34" s="32" t="n"/>
      <c r="AM34" s="32" t="n"/>
      <c r="AN34" s="32" t="n"/>
      <c r="AO34" s="25" t="n"/>
    </row>
    <row r="35">
      <c r="A35" s="12" t="inlineStr">
        <is>
          <t>drv:이자발생자산</t>
        </is>
      </c>
      <c r="B35" s="2" t="inlineStr">
        <is>
          <t>qoq</t>
        </is>
      </c>
      <c r="C35" t="inlineStr">
        <is>
          <t>이자발생자산 QoQ</t>
        </is>
      </c>
      <c r="E35" s="21" t="n"/>
      <c r="F35" s="22" t="n"/>
      <c r="G35" s="21">
        <f>IFERROR(subQ!G27/subQ!E27-1,"")</f>
        <v/>
      </c>
      <c r="H35" s="21">
        <f>IFERROR(subQ!H27/subQ!G27-1,"")</f>
        <v/>
      </c>
      <c r="I35" s="21">
        <f>IFERROR(subQ!I27/subQ!H27-1,"")</f>
        <v/>
      </c>
      <c r="J35" s="21">
        <f>IFERROR(subQ!J27/subQ!I27-1,"")</f>
        <v/>
      </c>
      <c r="K35" s="22" t="n"/>
      <c r="L35" s="21">
        <f>IFERROR(subQ!L27/subQ!J27-1,"")</f>
        <v/>
      </c>
      <c r="M35" s="21">
        <f>IFERROR(subQ!M27/subQ!L27-1,"")</f>
        <v/>
      </c>
      <c r="N35" s="21">
        <f>IFERROR(subQ!N27/subQ!M27-1,"")</f>
        <v/>
      </c>
      <c r="O35" s="21">
        <f>IFERROR(subQ!O27/subQ!N27-1,"")</f>
        <v/>
      </c>
      <c r="P35" s="22" t="n"/>
      <c r="Q35" s="21">
        <f>IFERROR(subQ!Q27/subQ!O27-1,"")</f>
        <v/>
      </c>
      <c r="R35" s="21">
        <f>IFERROR(subQ!R27/subQ!Q27-1,"")</f>
        <v/>
      </c>
      <c r="S35" s="21">
        <f>IFERROR(subQ!S27/subQ!R27-1,"")</f>
        <v/>
      </c>
      <c r="T35" s="21">
        <f>IFERROR(subQ!T27/subQ!S27-1,"")</f>
        <v/>
      </c>
      <c r="U35" s="22" t="n"/>
      <c r="V35" s="21">
        <f>IFERROR(subQ!V27/subQ!T27-1,"")</f>
        <v/>
      </c>
      <c r="W35" s="21">
        <f>IFERROR(subQ!W27/subQ!V27-1,"")</f>
        <v/>
      </c>
      <c r="X35" s="21">
        <f>IFERROR(subQ!X27/subQ!W27-1,"")</f>
        <v/>
      </c>
      <c r="Y35" s="21">
        <f>IFERROR(subQ!Y27/subQ!X27-1,"")</f>
        <v/>
      </c>
      <c r="Z35" s="22" t="n"/>
      <c r="AA35" s="21">
        <f>IFERROR(subQ!AA27/subQ!Y27-1,"")</f>
        <v/>
      </c>
      <c r="AB35" s="23">
        <f>IFERROR(subQ!AB27/subQ!AA27-1,"")</f>
        <v/>
      </c>
      <c r="AC35" s="24" t="n">
        <v>0.032111391</v>
      </c>
      <c r="AD35" s="24" t="n">
        <v>0.032623198</v>
      </c>
      <c r="AE35" s="25" t="n"/>
      <c r="AF35" s="24" t="n">
        <v>0.031571708</v>
      </c>
      <c r="AG35" s="24" t="n">
        <v>0.005595847</v>
      </c>
      <c r="AH35" s="24" t="n">
        <v>0.027341396</v>
      </c>
      <c r="AI35" s="24" t="n">
        <v>0.02786523</v>
      </c>
      <c r="AJ35" s="25" t="n"/>
      <c r="AK35" s="24" t="n">
        <v>0.027100297</v>
      </c>
      <c r="AL35" s="24" t="n">
        <v>0.003352566</v>
      </c>
      <c r="AM35" s="24" t="n">
        <v>0.024580253</v>
      </c>
      <c r="AN35" s="24" t="n">
        <v>0.025098647</v>
      </c>
      <c r="AO35" s="25" t="n"/>
    </row>
    <row r="36">
      <c r="A36" s="12" t="inlineStr">
        <is>
          <t>drv:현금및현금성자산</t>
        </is>
      </c>
      <c r="B36" s="2" t="inlineStr">
        <is>
          <t>qoq</t>
        </is>
      </c>
      <c r="C36" t="inlineStr">
        <is>
          <t>현금및현금성자산 QoQ</t>
        </is>
      </c>
      <c r="E36" s="21" t="n"/>
      <c r="F36" s="22" t="n"/>
      <c r="G36" s="21">
        <f>IFERROR(subQ!G28/subQ!E28-1,"")</f>
        <v/>
      </c>
      <c r="H36" s="21">
        <f>IFERROR(subQ!H28/subQ!G28-1,"")</f>
        <v/>
      </c>
      <c r="I36" s="21">
        <f>IFERROR(subQ!I28/subQ!H28-1,"")</f>
        <v/>
      </c>
      <c r="J36" s="21">
        <f>IFERROR(subQ!J28/subQ!I28-1,"")</f>
        <v/>
      </c>
      <c r="K36" s="22" t="n"/>
      <c r="L36" s="21">
        <f>IFERROR(subQ!L28/subQ!J28-1,"")</f>
        <v/>
      </c>
      <c r="M36" s="21">
        <f>IFERROR(subQ!M28/subQ!L28-1,"")</f>
        <v/>
      </c>
      <c r="N36" s="21">
        <f>IFERROR(subQ!N28/subQ!M28-1,"")</f>
        <v/>
      </c>
      <c r="O36" s="21">
        <f>IFERROR(subQ!O28/subQ!N28-1,"")</f>
        <v/>
      </c>
      <c r="P36" s="22" t="n"/>
      <c r="Q36" s="21">
        <f>IFERROR(subQ!Q28/subQ!O28-1,"")</f>
        <v/>
      </c>
      <c r="R36" s="21">
        <f>IFERROR(subQ!R28/subQ!Q28-1,"")</f>
        <v/>
      </c>
      <c r="S36" s="21">
        <f>IFERROR(subQ!S28/subQ!R28-1,"")</f>
        <v/>
      </c>
      <c r="T36" s="21">
        <f>IFERROR(subQ!T28/subQ!S28-1,"")</f>
        <v/>
      </c>
      <c r="U36" s="22" t="n"/>
      <c r="V36" s="21">
        <f>IFERROR(subQ!V28/subQ!T28-1,"")</f>
        <v/>
      </c>
      <c r="W36" s="21">
        <f>IFERROR(subQ!W28/subQ!V28-1,"")</f>
        <v/>
      </c>
      <c r="X36" s="21">
        <f>IFERROR(subQ!X28/subQ!W28-1,"")</f>
        <v/>
      </c>
      <c r="Y36" s="21">
        <f>IFERROR(subQ!Y28/subQ!X28-1,"")</f>
        <v/>
      </c>
      <c r="Z36" s="22" t="n"/>
      <c r="AA36" s="21">
        <f>IFERROR(subQ!AA28/subQ!Y28-1,"")</f>
        <v/>
      </c>
      <c r="AB36" s="23">
        <f>IFERROR(subQ!AB28/subQ!AA28-1,"")</f>
        <v/>
      </c>
      <c r="AC36" s="32" t="n"/>
      <c r="AD36" s="32" t="n"/>
      <c r="AE36" s="25" t="n"/>
      <c r="AF36" s="32" t="n"/>
      <c r="AG36" s="32" t="n"/>
      <c r="AH36" s="32" t="n"/>
      <c r="AI36" s="32" t="n"/>
      <c r="AJ36" s="25" t="n"/>
      <c r="AK36" s="32" t="n"/>
      <c r="AL36" s="32" t="n"/>
      <c r="AM36" s="32" t="n"/>
      <c r="AN36" s="32" t="n"/>
      <c r="AO36" s="25" t="n"/>
    </row>
    <row r="37">
      <c r="A37" s="12" t="inlineStr">
        <is>
          <t>drv:CAPEX</t>
        </is>
      </c>
      <c r="B37" s="2" t="inlineStr">
        <is>
          <t>yoy</t>
        </is>
      </c>
      <c r="C37" t="inlineStr">
        <is>
          <t>CAPEX YoY</t>
        </is>
      </c>
      <c r="E37" s="21" t="n"/>
      <c r="F37" s="22" t="n"/>
      <c r="G37" s="21" t="n"/>
      <c r="H37" s="21" t="n"/>
      <c r="I37" s="21" t="n"/>
      <c r="J37" s="21">
        <f>IFERROR(subQ!J29/subQ!E29-1,"")</f>
        <v/>
      </c>
      <c r="K37" s="22" t="n"/>
      <c r="L37" s="21">
        <f>IFERROR(subQ!L29/subQ!G29-1,"")</f>
        <v/>
      </c>
      <c r="M37" s="21">
        <f>IFERROR(subQ!M29/subQ!H29-1,"")</f>
        <v/>
      </c>
      <c r="N37" s="21">
        <f>IFERROR(subQ!N29/subQ!I29-1,"")</f>
        <v/>
      </c>
      <c r="O37" s="21">
        <f>IFERROR(subQ!O29/subQ!J29-1,"")</f>
        <v/>
      </c>
      <c r="P37" s="22" t="n"/>
      <c r="Q37" s="21">
        <f>IFERROR(subQ!Q29/subQ!L29-1,"")</f>
        <v/>
      </c>
      <c r="R37" s="21">
        <f>IFERROR(subQ!R29/subQ!M29-1,"")</f>
        <v/>
      </c>
      <c r="S37" s="21">
        <f>IFERROR(subQ!S29/subQ!N29-1,"")</f>
        <v/>
      </c>
      <c r="T37" s="21">
        <f>IFERROR(subQ!T29/subQ!O29-1,"")</f>
        <v/>
      </c>
      <c r="U37" s="22" t="n"/>
      <c r="V37" s="21">
        <f>IFERROR(subQ!V29/subQ!Q29-1,"")</f>
        <v/>
      </c>
      <c r="W37" s="21">
        <f>IFERROR(subQ!W29/subQ!R29-1,"")</f>
        <v/>
      </c>
      <c r="X37" s="21">
        <f>IFERROR(subQ!X29/subQ!S29-1,"")</f>
        <v/>
      </c>
      <c r="Y37" s="21">
        <f>IFERROR(subQ!Y29/subQ!T29-1,"")</f>
        <v/>
      </c>
      <c r="Z37" s="22" t="n"/>
      <c r="AA37" s="21">
        <f>IFERROR(subQ!AA29/subQ!V29-1,"")</f>
        <v/>
      </c>
      <c r="AB37" s="23">
        <f>IFERROR(subQ!AB29/subQ!W29-1,"")</f>
        <v/>
      </c>
      <c r="AC37" s="24" t="n">
        <v>-0.473700007</v>
      </c>
      <c r="AD37" s="24" t="n">
        <v>-0.219872129</v>
      </c>
      <c r="AE37" s="25" t="n"/>
      <c r="AF37" s="24" t="n">
        <v>0.392631251</v>
      </c>
      <c r="AG37" s="24" t="n">
        <v>0.813816033</v>
      </c>
      <c r="AH37" s="24" t="n">
        <v>0</v>
      </c>
      <c r="AI37" s="24" t="n">
        <v>0</v>
      </c>
      <c r="AJ37" s="25" t="n"/>
      <c r="AK37" s="24" t="n">
        <v>0</v>
      </c>
      <c r="AL37" s="24" t="n">
        <v>0</v>
      </c>
      <c r="AM37" s="24" t="n">
        <v>0</v>
      </c>
      <c r="AN37" s="24" t="n">
        <v>0</v>
      </c>
      <c r="AO37" s="25" t="n"/>
    </row>
    <row r="38">
      <c r="A38" s="12" t="inlineStr">
        <is>
          <t>drv:영업활동현금흐름</t>
        </is>
      </c>
      <c r="B38" s="2" t="inlineStr">
        <is>
          <t>yoy</t>
        </is>
      </c>
      <c r="C38" t="inlineStr">
        <is>
          <t>영업활동현금흐름 YoY</t>
        </is>
      </c>
      <c r="E38" s="21" t="n"/>
      <c r="F38" s="22" t="n"/>
      <c r="G38" s="21" t="n"/>
      <c r="H38" s="21" t="n"/>
      <c r="I38" s="21" t="n"/>
      <c r="J38" s="21">
        <f>IFERROR(subQ!J30/subQ!E30-1,"")</f>
        <v/>
      </c>
      <c r="K38" s="22" t="n"/>
      <c r="L38" s="21">
        <f>IFERROR(subQ!L30/subQ!G30-1,"")</f>
        <v/>
      </c>
      <c r="M38" s="21">
        <f>IFERROR(subQ!M30/subQ!H30-1,"")</f>
        <v/>
      </c>
      <c r="N38" s="21">
        <f>IFERROR(subQ!N30/subQ!I30-1,"")</f>
        <v/>
      </c>
      <c r="O38" s="21">
        <f>IFERROR(subQ!O30/subQ!J30-1,"")</f>
        <v/>
      </c>
      <c r="P38" s="22" t="n"/>
      <c r="Q38" s="21">
        <f>IFERROR(subQ!Q30/subQ!L30-1,"")</f>
        <v/>
      </c>
      <c r="R38" s="21">
        <f>IFERROR(subQ!R30/subQ!M30-1,"")</f>
        <v/>
      </c>
      <c r="S38" s="21">
        <f>IFERROR(subQ!S30/subQ!N30-1,"")</f>
        <v/>
      </c>
      <c r="T38" s="21">
        <f>IFERROR(subQ!T30/subQ!O30-1,"")</f>
        <v/>
      </c>
      <c r="U38" s="22" t="n"/>
      <c r="V38" s="21">
        <f>IFERROR(subQ!V30/subQ!Q30-1,"")</f>
        <v/>
      </c>
      <c r="W38" s="21">
        <f>IFERROR(subQ!W30/subQ!R30-1,"")</f>
        <v/>
      </c>
      <c r="X38" s="21">
        <f>IFERROR(subQ!X30/subQ!S30-1,"")</f>
        <v/>
      </c>
      <c r="Y38" s="21">
        <f>IFERROR(subQ!Y30/subQ!T30-1,"")</f>
        <v/>
      </c>
      <c r="Z38" s="22" t="n"/>
      <c r="AA38" s="21">
        <f>IFERROR(subQ!AA30/subQ!V30-1,"")</f>
        <v/>
      </c>
      <c r="AB38" s="23">
        <f>IFERROR(subQ!AB30/subQ!W30-1,"")</f>
        <v/>
      </c>
      <c r="AC38" s="32" t="n"/>
      <c r="AD38" s="32" t="n"/>
      <c r="AE38" s="25" t="n"/>
      <c r="AF38" s="32" t="n"/>
      <c r="AG38" s="32" t="n"/>
      <c r="AH38" s="32" t="n"/>
      <c r="AI38" s="32" t="n"/>
      <c r="AJ38" s="25" t="n"/>
      <c r="AK38" s="32" t="n"/>
      <c r="AL38" s="32" t="n"/>
      <c r="AM38" s="32" t="n"/>
      <c r="AN38" s="32" t="n"/>
      <c r="AO38" s="25" t="n"/>
    </row>
    <row r="39">
      <c r="A39" s="12" t="inlineStr">
        <is>
          <t>drv:주식수</t>
        </is>
      </c>
      <c r="B39" s="2" t="inlineStr">
        <is>
          <t>qoq</t>
        </is>
      </c>
      <c r="C39" t="inlineStr">
        <is>
          <t>주식수 QoQ</t>
        </is>
      </c>
      <c r="E39" s="21" t="n"/>
      <c r="F39" s="22" t="n"/>
      <c r="G39" s="21">
        <f>IFERROR(subQ!G31/subQ!E31-1,"")</f>
        <v/>
      </c>
      <c r="H39" s="21">
        <f>IFERROR(subQ!H31/subQ!G31-1,"")</f>
        <v/>
      </c>
      <c r="I39" s="21">
        <f>IFERROR(subQ!I31/subQ!H31-1,"")</f>
        <v/>
      </c>
      <c r="J39" s="21">
        <f>IFERROR(subQ!J31/subQ!I31-1,"")</f>
        <v/>
      </c>
      <c r="K39" s="22" t="n"/>
      <c r="L39" s="21">
        <f>IFERROR(subQ!L31/subQ!J31-1,"")</f>
        <v/>
      </c>
      <c r="M39" s="21">
        <f>IFERROR(subQ!M31/subQ!L31-1,"")</f>
        <v/>
      </c>
      <c r="N39" s="21">
        <f>IFERROR(subQ!N31/subQ!M31-1,"")</f>
        <v/>
      </c>
      <c r="O39" s="21">
        <f>IFERROR(subQ!O31/subQ!N31-1,"")</f>
        <v/>
      </c>
      <c r="P39" s="22" t="n"/>
      <c r="Q39" s="21">
        <f>IFERROR(subQ!Q31/subQ!O31-1,"")</f>
        <v/>
      </c>
      <c r="R39" s="21">
        <f>IFERROR(subQ!R31/subQ!Q31-1,"")</f>
        <v/>
      </c>
      <c r="S39" s="21">
        <f>IFERROR(subQ!S31/subQ!R31-1,"")</f>
        <v/>
      </c>
      <c r="T39" s="21">
        <f>IFERROR(subQ!T31/subQ!S31-1,"")</f>
        <v/>
      </c>
      <c r="U39" s="22" t="n"/>
      <c r="V39" s="21">
        <f>IFERROR(subQ!V31/subQ!T31-1,"")</f>
        <v/>
      </c>
      <c r="W39" s="21">
        <f>IFERROR(subQ!W31/subQ!V31-1,"")</f>
        <v/>
      </c>
      <c r="X39" s="21">
        <f>IFERROR(subQ!X31/subQ!W31-1,"")</f>
        <v/>
      </c>
      <c r="Y39" s="21">
        <f>IFERROR(subQ!Y31/subQ!X31-1,"")</f>
        <v/>
      </c>
      <c r="Z39" s="22" t="n"/>
      <c r="AA39" s="21">
        <f>IFERROR(subQ!AA31/subQ!Y31-1,"")</f>
        <v/>
      </c>
      <c r="AB39" s="23">
        <f>IFERROR(subQ!AB31/subQ!AA31-1,"")</f>
        <v/>
      </c>
      <c r="AC39" s="24" t="n">
        <v>0</v>
      </c>
      <c r="AD39" s="24" t="n">
        <v>0</v>
      </c>
      <c r="AE39" s="25" t="n"/>
      <c r="AF39" s="24" t="n">
        <v>0</v>
      </c>
      <c r="AG39" s="24" t="n">
        <v>0</v>
      </c>
      <c r="AH39" s="24" t="n">
        <v>0</v>
      </c>
      <c r="AI39" s="24" t="n">
        <v>0</v>
      </c>
      <c r="AJ39" s="25" t="n"/>
      <c r="AK39" s="24" t="n">
        <v>0</v>
      </c>
      <c r="AL39" s="24" t="n">
        <v>0</v>
      </c>
      <c r="AM39" s="24" t="n">
        <v>0</v>
      </c>
      <c r="AN39" s="24" t="n">
        <v>0</v>
      </c>
      <c r="AO39" s="25" t="n"/>
    </row>
    <row r="40">
      <c r="A40" s="12" t="inlineStr">
        <is>
          <t>drv:DPS</t>
        </is>
      </c>
      <c r="B40" s="2" t="inlineStr">
        <is>
          <t>abs</t>
        </is>
      </c>
      <c r="C40" t="inlineStr">
        <is>
          <t>DPS (가정, 원)</t>
        </is>
      </c>
      <c r="E40" s="27">
        <f>subQ!E34</f>
        <v/>
      </c>
      <c r="F40" s="28">
        <f>subQ!F34</f>
        <v/>
      </c>
      <c r="G40" s="27">
        <f>subQ!G34</f>
        <v/>
      </c>
      <c r="H40" s="27">
        <f>subQ!H34</f>
        <v/>
      </c>
      <c r="I40" s="27">
        <f>subQ!I34</f>
        <v/>
      </c>
      <c r="J40" s="27">
        <f>subQ!J34</f>
        <v/>
      </c>
      <c r="K40" s="28">
        <f>subQ!K34</f>
        <v/>
      </c>
      <c r="L40" s="27">
        <f>subQ!L34</f>
        <v/>
      </c>
      <c r="M40" s="27">
        <f>subQ!M34</f>
        <v/>
      </c>
      <c r="N40" s="27">
        <f>subQ!N34</f>
        <v/>
      </c>
      <c r="O40" s="27">
        <f>subQ!O34</f>
        <v/>
      </c>
      <c r="P40" s="28">
        <f>subQ!P34</f>
        <v/>
      </c>
      <c r="Q40" s="27">
        <f>subQ!Q34</f>
        <v/>
      </c>
      <c r="R40" s="27">
        <f>subQ!R34</f>
        <v/>
      </c>
      <c r="S40" s="27">
        <f>subQ!S34</f>
        <v/>
      </c>
      <c r="T40" s="27">
        <f>subQ!T34</f>
        <v/>
      </c>
      <c r="U40" s="28">
        <f>subQ!U34</f>
        <v/>
      </c>
      <c r="V40" s="27">
        <f>subQ!V34</f>
        <v/>
      </c>
      <c r="W40" s="27">
        <f>subQ!W34</f>
        <v/>
      </c>
      <c r="X40" s="27">
        <f>subQ!X34</f>
        <v/>
      </c>
      <c r="Y40" s="27">
        <f>subQ!Y34</f>
        <v/>
      </c>
      <c r="Z40" s="28">
        <f>subQ!Z34</f>
        <v/>
      </c>
      <c r="AA40" s="27">
        <f>subQ!AA34</f>
        <v/>
      </c>
      <c r="AB40" s="29">
        <f>subQ!AB34</f>
        <v/>
      </c>
      <c r="AC40" s="33" t="n"/>
      <c r="AD40" s="30" t="n">
        <v>130</v>
      </c>
      <c r="AE40" s="31">
        <f>subQ!AE34</f>
        <v/>
      </c>
      <c r="AF40" s="33" t="n"/>
      <c r="AG40" s="33" t="n"/>
      <c r="AH40" s="33" t="n"/>
      <c r="AI40" s="30" t="n">
        <v>130</v>
      </c>
      <c r="AJ40" s="31">
        <f>subQ!AJ34</f>
        <v/>
      </c>
      <c r="AK40" s="33" t="n"/>
      <c r="AL40" s="33" t="n"/>
      <c r="AM40" s="33" t="n"/>
      <c r="AN40" s="30" t="n">
        <v>130</v>
      </c>
      <c r="AO40" s="31">
        <f>subQ!AO34</f>
        <v/>
      </c>
    </row>
    <row r="41">
      <c r="F41" s="9" t="n"/>
      <c r="K41" s="9" t="n"/>
      <c r="P41" s="9" t="n"/>
      <c r="U41" s="9" t="n"/>
      <c r="Z41" s="9" t="n"/>
      <c r="AB41" s="5" t="n"/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B42" s="1" t="inlineStr">
        <is>
          <t>3. 밸류에이션·스칼라</t>
        </is>
      </c>
      <c r="C42" s="2" t="inlineStr">
        <is>
          <t>노란 셀 = 가정. '연결' 표시는 추정 전 분기 수식이 이 셀을 참조한다는 뜻</t>
        </is>
      </c>
      <c r="F42" s="9" t="n"/>
      <c r="K42" s="9" t="n"/>
      <c r="P42" s="9" t="n"/>
      <c r="U42" s="9" t="n"/>
      <c r="Z42" s="9" t="n"/>
      <c r="AB42" s="5" t="n"/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s="12" t="inlineStr">
        <is>
          <t>sc:종가</t>
        </is>
      </c>
      <c r="C43" t="inlineStr">
        <is>
          <t>종가</t>
        </is>
      </c>
      <c r="D43" s="34" t="n">
        <v>5560</v>
      </c>
      <c r="E43" s="2" t="inlineStr">
        <is>
          <t>원 — 네이버 정규장 종가(aik 확정종가 대조 · aik 5,570원)</t>
        </is>
      </c>
      <c r="F43" s="9" t="n"/>
      <c r="K43" s="9" t="n"/>
      <c r="P43" s="9" t="n"/>
      <c r="U43" s="9" t="n"/>
      <c r="Z43" s="9" t="n"/>
      <c r="AB43" s="5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s="12" t="inlineStr">
        <is>
          <t>sc:기준일</t>
        </is>
      </c>
      <c r="C44" t="inlineStr">
        <is>
          <t>기준일</t>
        </is>
      </c>
      <c r="D44" s="35" t="inlineStr">
        <is>
          <t>20261008</t>
        </is>
      </c>
      <c r="E44" s="2" t="inlineStr">
        <is>
          <t>종가 기준일</t>
        </is>
      </c>
      <c r="F44" s="9" t="n"/>
      <c r="K44" s="9" t="n"/>
      <c r="P44" s="9" t="n"/>
      <c r="U44" s="9" t="n"/>
      <c r="Z44" s="9" t="n"/>
      <c r="AB44" s="5" t="n"/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s="12" t="inlineStr">
        <is>
          <t>sc:COE</t>
        </is>
      </c>
      <c r="C45" t="inlineStr">
        <is>
          <t>COE</t>
        </is>
      </c>
      <c r="D45" s="24" t="n">
        <v>0.09</v>
      </c>
      <c r="E45" s="2" t="inlineStr">
        <is>
          <t>자기자본비용(가정) — TP 적정 PBR = ROE/COE</t>
        </is>
      </c>
      <c r="F45" s="9" t="n"/>
      <c r="K45" s="9" t="n"/>
      <c r="P45" s="9" t="n"/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s="12" t="inlineStr">
        <is>
          <t>sc:PER_lo</t>
        </is>
      </c>
      <c r="C46" t="inlineStr">
        <is>
          <t>PER_lo</t>
        </is>
      </c>
      <c r="D46" s="30" t="n">
        <v>12.8</v>
      </c>
      <c r="E46" s="2" t="inlineStr">
        <is>
          <t>PER 밴드 하단(배) — hist_quarterly(분기 평균가 ÷ TTM EPS, 8분기, 25/50/75 백분위) · 캡 5~30배 적용(원값 12.8/16.0/56.4)</t>
        </is>
      </c>
      <c r="F46" s="9" t="n"/>
      <c r="K46" s="9" t="n"/>
      <c r="P46" s="9" t="n"/>
      <c r="U46" s="9" t="n"/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s="12" t="inlineStr">
        <is>
          <t>sc:PER_mid</t>
        </is>
      </c>
      <c r="C47" t="inlineStr">
        <is>
          <t>PER_mid</t>
        </is>
      </c>
      <c r="D47" s="30" t="n">
        <v>16</v>
      </c>
      <c r="E47" s="2" t="inlineStr">
        <is>
          <t>PER 밴드 중단(배)</t>
        </is>
      </c>
      <c r="F47" s="9" t="n"/>
      <c r="K47" s="9" t="n"/>
      <c r="P47" s="9" t="n"/>
      <c r="U47" s="9" t="n"/>
      <c r="Z47" s="9" t="n"/>
      <c r="AB47" s="5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s="12" t="inlineStr">
        <is>
          <t>sc:PER_hi</t>
        </is>
      </c>
      <c r="C48" t="inlineStr">
        <is>
          <t>PER_hi</t>
        </is>
      </c>
      <c r="D48" s="30" t="n">
        <v>30</v>
      </c>
      <c r="E48" s="2" t="inlineStr">
        <is>
          <t>PER 밴드 상단(배)</t>
        </is>
      </c>
      <c r="F48" s="9" t="n"/>
      <c r="K48" s="9" t="n"/>
      <c r="P48" s="9" t="n"/>
      <c r="U48" s="9" t="n"/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s="12" t="inlineStr">
        <is>
          <t>sc:EPS_Y1가중</t>
        </is>
      </c>
      <c r="C49" t="inlineStr">
        <is>
          <t>EPS_Y1가중</t>
        </is>
      </c>
      <c r="D49" s="24" t="n">
        <v>0.5</v>
      </c>
      <c r="E49" s="2" t="inlineStr">
        <is>
          <t>12M fwd EPS = FY(last_actual연도)E × w + FY+1E × (1−w) — 기준 분기 2Q 이면 0.5(가정)</t>
        </is>
      </c>
      <c r="F49" s="9" t="n"/>
      <c r="K49" s="9" t="n"/>
      <c r="P49" s="9" t="n"/>
      <c r="U49" s="9" t="n"/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s="12" t="inlineStr">
        <is>
          <t>sc:세율</t>
        </is>
      </c>
      <c r="C50" t="inlineStr">
        <is>
          <t>세율</t>
        </is>
      </c>
      <c r="D50" s="36" t="n">
        <v>0.2428780513303016</v>
      </c>
      <c r="E50" s="2" t="inlineStr">
        <is>
          <t>연결 — 법인세 = MAX(세전,0) × 세율(역산, 재현 오차 ≤ 0.05억 · 모델 assumptions 0.2429) · 최근 12분기 유효세율 177.6% 가 5~27% 밖 → 클립 대신 최근 8분기 중 세전 &gt; 0 인 7분기(2024Q3~2026Q2)의 법인세/세전 중위 24.3%</t>
        </is>
      </c>
      <c r="F50" s="9" t="n"/>
      <c r="K50" s="9" t="n"/>
      <c r="P50" s="9" t="n"/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s="12" t="inlineStr">
        <is>
          <t>sc:판관비율</t>
        </is>
      </c>
      <c r="C51" t="inlineStr">
        <is>
          <t>판관비율</t>
        </is>
      </c>
      <c r="D51" s="36" t="n">
        <v>0.1636509049798943</v>
      </c>
      <c r="E51" s="2" t="inlineStr">
        <is>
          <t>연결 — 판관비 = 매출액 × 판관비율(역산, 재현 오차 ≤ 0.05억 · 모델 assumptions 0.1637)</t>
        </is>
      </c>
      <c r="F51" s="9" t="n"/>
      <c r="K51" s="9" t="n"/>
      <c r="P51" s="9" t="n"/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s="12" t="inlineStr">
        <is>
          <t>sc:지배주주비중</t>
        </is>
      </c>
      <c r="C52" t="inlineStr">
        <is>
          <t>지배주주비중</t>
        </is>
      </c>
      <c r="D52" s="36" t="n">
        <v>1</v>
      </c>
      <c r="E52" s="2" t="inlineStr">
        <is>
          <t>연결 — 지배주주순이익 = 당기순이익 × 비중(역산, 재현 오차 ≤ 0.05억)</t>
        </is>
      </c>
      <c r="F52" s="9" t="n"/>
      <c r="K52" s="9" t="n"/>
      <c r="P52" s="9" t="n"/>
      <c r="U52" s="9" t="n"/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s="12" t="inlineStr">
        <is>
          <t>sc:이자율_자산</t>
        </is>
      </c>
      <c r="C53" t="inlineStr">
        <is>
          <t>이자율_자산</t>
        </is>
      </c>
      <c r="D53" s="36" t="n">
        <v>0.02265093829907016</v>
      </c>
      <c r="E53" s="2" t="inlineStr">
        <is>
          <t>연결 — 이자손익 = (전분기 이자발생자산 × 자산이자율 − 전분기 총차입금 × 부채이자율)/4(역산, 재현 오차 ≤ 0.05억 · 모델 assumptions 0.0227)</t>
        </is>
      </c>
      <c r="F53" s="9" t="n"/>
      <c r="K53" s="9" t="n"/>
      <c r="P53" s="9" t="n"/>
      <c r="U53" s="9" t="n"/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s="12" t="inlineStr">
        <is>
          <t>sc:이자율_부채</t>
        </is>
      </c>
      <c r="C54" t="inlineStr">
        <is>
          <t>이자율_부채</t>
        </is>
      </c>
      <c r="D54" s="36" t="n">
        <v>0</v>
      </c>
      <c r="E54" s="2" t="inlineStr">
        <is>
          <t>연결 — 같은 수식의 부채 쪽(총차입금 행이 없으면 0)(역산, 재현 오차 ≤ 0.05억 · 모델 assumptions 0.047)</t>
        </is>
      </c>
      <c r="F54" s="9" t="n"/>
      <c r="K54" s="9" t="n"/>
      <c r="P54" s="9" t="n"/>
      <c r="U54" s="9" t="n"/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s="12" t="inlineStr">
        <is>
          <t>sc:배당성향</t>
        </is>
      </c>
      <c r="C55" t="inlineStr">
        <is>
          <t>배당성향</t>
        </is>
      </c>
      <c r="D55" s="24" t="n">
        <v>0.353</v>
      </c>
      <c r="E55" s="2" t="inlineStr">
        <is>
          <t>배당성향(참고 — 모델은 직전 DPS 유지·Q2 지급 가정)</t>
        </is>
      </c>
      <c r="F55" s="9" t="n"/>
      <c r="K55" s="9" t="n"/>
      <c r="P55" s="9" t="n"/>
      <c r="U55" s="9" t="n"/>
      <c r="Z55" s="9" t="n"/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s="12" t="inlineStr">
        <is>
          <t>sc:외화순노출_백만$</t>
        </is>
      </c>
      <c r="C56" t="inlineStr">
        <is>
          <t>외화순노출_백만$</t>
        </is>
      </c>
      <c r="D56" s="30" t="n"/>
      <c r="E56" s="2" t="inlineStr">
        <is>
          <t>외화 순노출 × Δ기말환율 (외화 시트 방식) — 외화 순노출 미공시(face) → 0 + 표기</t>
        </is>
      </c>
      <c r="F56" s="9" t="n"/>
      <c r="K56" s="9" t="n"/>
      <c r="P56" s="9" t="n"/>
      <c r="U56" s="9" t="n"/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s="12" t="inlineStr">
        <is>
          <t>sc:헤지비율</t>
        </is>
      </c>
      <c r="C57" t="inlineStr">
        <is>
          <t>헤지비율</t>
        </is>
      </c>
      <c r="D57" s="24" t="n"/>
      <c r="E57" s="2" t="inlineStr">
        <is>
          <t>sls 없음</t>
        </is>
      </c>
      <c r="F57" s="9" t="n"/>
      <c r="K57" s="9" t="n"/>
      <c r="P57" s="9" t="n"/>
      <c r="U57" s="9" t="n"/>
      <c r="Z57" s="9" t="n"/>
      <c r="AB57" s="5" t="n"/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s="12" t="inlineStr">
        <is>
          <t>sc:헤지환율_약정</t>
        </is>
      </c>
      <c r="C58" t="inlineStr">
        <is>
          <t>헤지환율_약정</t>
        </is>
      </c>
      <c r="D58" s="16" t="n"/>
      <c r="E58" s="2" t="inlineStr">
        <is>
          <t>sls 없음</t>
        </is>
      </c>
      <c r="F58" s="9" t="n"/>
      <c r="K58" s="9" t="n"/>
      <c r="P58" s="9" t="n"/>
      <c r="U58" s="9" t="n"/>
      <c r="Z58" s="9" t="n"/>
      <c r="AB58" s="5" t="n"/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0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AB2" s="5" t="n"/>
    </row>
    <row r="3">
      <c r="B3" t="inlineStr">
        <is>
          <t>현대리바트(연)</t>
        </is>
      </c>
      <c r="C3" s="2" t="inlineStr">
        <is>
          <t>UPDATE: 26-10-11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430586.11</v>
      </c>
      <c r="F5" s="37" t="n">
        <v>430586.11</v>
      </c>
      <c r="G5" s="18" t="n">
        <v>385413.14</v>
      </c>
      <c r="H5" s="18" t="n">
        <v>407344.29</v>
      </c>
      <c r="I5" s="18" t="n">
        <v>440514.04</v>
      </c>
      <c r="J5" s="18" t="n">
        <v>452085.67</v>
      </c>
      <c r="K5" s="37" t="n">
        <v>452085.67</v>
      </c>
      <c r="L5" s="18" t="n">
        <v>436815.13</v>
      </c>
      <c r="M5" s="18" t="n">
        <v>469370.3</v>
      </c>
      <c r="N5" s="18" t="n">
        <v>530911.66</v>
      </c>
      <c r="O5" s="18" t="n">
        <v>511898.83</v>
      </c>
      <c r="P5" s="37" t="n">
        <v>511898.83</v>
      </c>
      <c r="Q5" s="18" t="n">
        <v>563551.1800000001</v>
      </c>
      <c r="R5" s="18" t="n">
        <v>541852.46</v>
      </c>
      <c r="S5" s="18" t="n">
        <v>529131.27</v>
      </c>
      <c r="T5" s="18" t="n">
        <v>478301.94</v>
      </c>
      <c r="U5" s="37" t="n">
        <v>478301.94</v>
      </c>
      <c r="V5" s="18" t="n">
        <v>474362.69</v>
      </c>
      <c r="W5" s="18" t="n">
        <v>461003.21</v>
      </c>
      <c r="X5" s="18" t="n">
        <v>414269.07</v>
      </c>
      <c r="Y5" s="18" t="n">
        <v>405941.23</v>
      </c>
      <c r="Z5" s="37" t="n">
        <v>405941.23</v>
      </c>
      <c r="AA5" s="18" t="n">
        <v>455561.55</v>
      </c>
      <c r="AB5" s="19" t="n">
        <v>479386.76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14279.25</v>
      </c>
      <c r="F6" s="37" t="n">
        <v>14279.25</v>
      </c>
      <c r="G6" s="18" t="n">
        <v>10698.94</v>
      </c>
      <c r="H6" s="18" t="n">
        <v>10653.03</v>
      </c>
      <c r="I6" s="18" t="n">
        <v>12545.3</v>
      </c>
      <c r="J6" s="18" t="n">
        <v>14896.6</v>
      </c>
      <c r="K6" s="37" t="n">
        <v>14896.6</v>
      </c>
      <c r="L6" s="18" t="n">
        <v>18605.43</v>
      </c>
      <c r="M6" s="18" t="n">
        <v>14313.62</v>
      </c>
      <c r="N6" s="18" t="n">
        <v>15942.53</v>
      </c>
      <c r="O6" s="18" t="n">
        <v>21158.75</v>
      </c>
      <c r="P6" s="37" t="n">
        <v>21158.75</v>
      </c>
      <c r="Q6" s="18" t="n">
        <v>9048.059999999999</v>
      </c>
      <c r="R6" s="18" t="n">
        <v>10907</v>
      </c>
      <c r="S6" s="18" t="n">
        <v>58103.82</v>
      </c>
      <c r="T6" s="18" t="n">
        <v>19122.66</v>
      </c>
      <c r="U6" s="37" t="n">
        <v>19122.66</v>
      </c>
      <c r="V6" s="18" t="n">
        <v>20019.41</v>
      </c>
      <c r="W6" s="18" t="n">
        <v>32250.37</v>
      </c>
      <c r="X6" s="18" t="n">
        <v>17318.76</v>
      </c>
      <c r="Y6" s="18" t="n">
        <v>18308.94</v>
      </c>
      <c r="Z6" s="37" t="n">
        <v>18308.94</v>
      </c>
      <c r="AA6" s="18" t="n">
        <v>32198.25</v>
      </c>
      <c r="AB6" s="19" t="n">
        <v>62336.58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매출채권및기타채권</t>
        </is>
      </c>
      <c r="E7" s="18" t="n">
        <v>237036.37</v>
      </c>
      <c r="F7" s="37" t="n">
        <v>237036.37</v>
      </c>
      <c r="G7" s="18" t="n">
        <v>209882</v>
      </c>
      <c r="H7" s="18" t="n">
        <v>203970.25</v>
      </c>
      <c r="I7" s="18" t="n">
        <v>211829.17</v>
      </c>
      <c r="J7" s="18" t="n">
        <v>246854.8</v>
      </c>
      <c r="K7" s="37" t="n">
        <v>246854.8</v>
      </c>
      <c r="L7" s="18" t="n">
        <v>232002.24</v>
      </c>
      <c r="M7" s="18" t="n">
        <v>245614.88</v>
      </c>
      <c r="N7" s="18" t="n">
        <v>293236.36</v>
      </c>
      <c r="O7" s="18" t="n">
        <v>258609.36</v>
      </c>
      <c r="P7" s="37" t="n">
        <v>258609.36</v>
      </c>
      <c r="Q7" s="18" t="n">
        <v>332543.86</v>
      </c>
      <c r="R7" s="18" t="n">
        <v>315666.75</v>
      </c>
      <c r="S7" s="18" t="n">
        <v>253078.1</v>
      </c>
      <c r="T7" s="18" t="n">
        <v>223102.42</v>
      </c>
      <c r="U7" s="37" t="n">
        <v>223102.42</v>
      </c>
      <c r="V7" s="18" t="n">
        <v>241887.88</v>
      </c>
      <c r="W7" s="18" t="n">
        <v>236415.49</v>
      </c>
      <c r="X7" s="18" t="n">
        <v>213746.8</v>
      </c>
      <c r="Y7" s="18" t="n">
        <v>201881.38</v>
      </c>
      <c r="Z7" s="37" t="n">
        <v>201881.38</v>
      </c>
      <c r="AA7" s="18" t="n">
        <v>222690.27</v>
      </c>
      <c r="AB7" s="19" t="n">
        <v>222573.88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단기금융상품</t>
        </is>
      </c>
      <c r="E8" s="18" t="n">
        <v>8951.379999999999</v>
      </c>
      <c r="F8" s="37" t="n">
        <v>8951.379999999999</v>
      </c>
      <c r="G8" s="18" t="n">
        <v>8030.93</v>
      </c>
      <c r="H8" s="18" t="n">
        <v>7744.57</v>
      </c>
      <c r="I8" s="18" t="n">
        <v>7767.15</v>
      </c>
      <c r="J8" s="18" t="n">
        <v>7814.4</v>
      </c>
      <c r="K8" s="37" t="n">
        <v>7814.4</v>
      </c>
      <c r="L8" s="18" t="n">
        <v>5942.95</v>
      </c>
      <c r="M8" s="18" t="n">
        <v>5600.21</v>
      </c>
      <c r="N8" s="18" t="n">
        <v>5786.41</v>
      </c>
      <c r="O8" s="18" t="n">
        <v>5611.67</v>
      </c>
      <c r="P8" s="37" t="n">
        <v>5611.67</v>
      </c>
      <c r="Q8" s="18" t="n">
        <v>5536.68</v>
      </c>
      <c r="R8" s="18" t="n">
        <v>9005.57</v>
      </c>
      <c r="S8" s="18" t="n">
        <v>9295.65</v>
      </c>
      <c r="U8" s="9" t="n"/>
      <c r="Z8" s="9" t="n"/>
      <c r="AB8" s="5" t="n"/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단기금융자산</t>
        </is>
      </c>
      <c r="E9" s="18" t="n">
        <v>8951.379999999999</v>
      </c>
      <c r="F9" s="37" t="n">
        <v>8951.379999999999</v>
      </c>
      <c r="G9" s="18" t="n">
        <v>8030.93</v>
      </c>
      <c r="H9" s="18" t="n">
        <v>7744.57</v>
      </c>
      <c r="I9" s="18" t="n">
        <v>7767.15</v>
      </c>
      <c r="J9" s="18" t="n">
        <v>7814.4</v>
      </c>
      <c r="K9" s="37" t="n">
        <v>7814.4</v>
      </c>
      <c r="L9" s="18" t="n">
        <v>5942.95</v>
      </c>
      <c r="M9" s="18" t="n">
        <v>5600.21</v>
      </c>
      <c r="N9" s="18" t="n">
        <v>5786.41</v>
      </c>
      <c r="O9" s="18" t="n">
        <v>5611.67</v>
      </c>
      <c r="P9" s="37" t="n">
        <v>5611.67</v>
      </c>
      <c r="Q9" s="18" t="n">
        <v>5536.68</v>
      </c>
      <c r="R9" s="18" t="n">
        <v>9005.57</v>
      </c>
      <c r="S9" s="18" t="n">
        <v>9295.65</v>
      </c>
      <c r="U9" s="9" t="n"/>
      <c r="Z9" s="9" t="n"/>
      <c r="AB9" s="5" t="n"/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재고자산</t>
        </is>
      </c>
      <c r="E10" s="18" t="n">
        <v>142534.05</v>
      </c>
      <c r="F10" s="37" t="n">
        <v>142534.05</v>
      </c>
      <c r="G10" s="18" t="n">
        <v>132502.7</v>
      </c>
      <c r="H10" s="18" t="n">
        <v>153985.32</v>
      </c>
      <c r="I10" s="18" t="n">
        <v>164842.44</v>
      </c>
      <c r="J10" s="18" t="n">
        <v>162300.13</v>
      </c>
      <c r="K10" s="37" t="n">
        <v>162300.13</v>
      </c>
      <c r="L10" s="18" t="n">
        <v>166069.26</v>
      </c>
      <c r="M10" s="18" t="n">
        <v>189425.39</v>
      </c>
      <c r="N10" s="18" t="n">
        <v>203940.53</v>
      </c>
      <c r="O10" s="18" t="n">
        <v>213456.76</v>
      </c>
      <c r="P10" s="37" t="n">
        <v>213456.76</v>
      </c>
      <c r="Q10" s="18" t="n">
        <v>204099.94</v>
      </c>
      <c r="R10" s="18" t="n">
        <v>193026.95</v>
      </c>
      <c r="S10" s="18" t="n">
        <v>199808.92</v>
      </c>
      <c r="T10" s="18" t="n">
        <v>219376.94</v>
      </c>
      <c r="U10" s="37" t="n">
        <v>219376.94</v>
      </c>
      <c r="V10" s="18" t="n">
        <v>193972.96</v>
      </c>
      <c r="W10" s="18" t="n">
        <v>174032.45</v>
      </c>
      <c r="X10" s="18" t="n">
        <v>166883.51</v>
      </c>
      <c r="Y10" s="18" t="n">
        <v>165047.7</v>
      </c>
      <c r="Z10" s="37" t="n">
        <v>165047.7</v>
      </c>
      <c r="AA10" s="18" t="n">
        <v>153733.69</v>
      </c>
      <c r="AB10" s="19" t="n">
        <v>154965.33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당기법인세자산(선급법인세)</t>
        </is>
      </c>
      <c r="E11" s="18" t="n">
        <v>62.9</v>
      </c>
      <c r="F11" s="37" t="n">
        <v>62.9</v>
      </c>
      <c r="G11" s="18" t="n">
        <v>33.31</v>
      </c>
      <c r="H11" s="18" t="n">
        <v>0.09</v>
      </c>
      <c r="I11" s="18" t="n">
        <v>45.29</v>
      </c>
      <c r="J11" s="18" t="n">
        <v>1844.5</v>
      </c>
      <c r="K11" s="37" t="n">
        <v>1844.5</v>
      </c>
      <c r="L11" s="18" t="n">
        <v>1854.79</v>
      </c>
      <c r="M11" s="18" t="n">
        <v>75.97</v>
      </c>
      <c r="N11" s="18" t="n">
        <v>61.12</v>
      </c>
      <c r="O11" s="18" t="n">
        <v>75.13</v>
      </c>
      <c r="P11" s="37" t="n">
        <v>75.13</v>
      </c>
      <c r="Q11" s="18" t="n">
        <v>203.19</v>
      </c>
      <c r="R11" s="18" t="n">
        <v>177.59</v>
      </c>
      <c r="S11" s="18" t="n">
        <v>47.63</v>
      </c>
      <c r="T11" s="18" t="n">
        <v>174.2</v>
      </c>
      <c r="U11" s="37" t="n">
        <v>174.2</v>
      </c>
      <c r="V11" s="18" t="n">
        <v>169.1</v>
      </c>
      <c r="W11" s="18" t="n">
        <v>37.52</v>
      </c>
      <c r="X11" s="18" t="n">
        <v>36.48</v>
      </c>
      <c r="Y11" s="18" t="n">
        <v>197.21</v>
      </c>
      <c r="Z11" s="37" t="n">
        <v>197.21</v>
      </c>
      <c r="AA11" s="18" t="n">
        <v>40.84</v>
      </c>
      <c r="AB11" s="19" t="n">
        <v>40.84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계약자산</t>
        </is>
      </c>
      <c r="E12" s="18" t="n">
        <v>60.09</v>
      </c>
      <c r="F12" s="37" t="n">
        <v>60.09</v>
      </c>
      <c r="G12" s="18" t="n">
        <v>61.37</v>
      </c>
      <c r="H12" s="18" t="n">
        <v>139.5</v>
      </c>
      <c r="I12" s="18" t="n">
        <v>19992.29</v>
      </c>
      <c r="J12" s="18" t="n">
        <v>6794.99</v>
      </c>
      <c r="K12" s="37" t="n">
        <v>6794.99</v>
      </c>
      <c r="L12" s="18" t="n">
        <v>5784.06</v>
      </c>
      <c r="M12" s="18" t="n">
        <v>5839.42</v>
      </c>
      <c r="N12" s="18" t="n">
        <v>6533.31</v>
      </c>
      <c r="O12" s="18" t="n">
        <v>6260.07</v>
      </c>
      <c r="P12" s="37" t="n">
        <v>6260.07</v>
      </c>
      <c r="Q12" s="18" t="n">
        <v>4268.77</v>
      </c>
      <c r="R12" s="18" t="n">
        <v>4369.59</v>
      </c>
      <c r="S12" s="18" t="n">
        <v>2145.51</v>
      </c>
      <c r="U12" s="9" t="n"/>
      <c r="Z12" s="9" t="n"/>
      <c r="AB12" s="5" t="n"/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기타유동자산</t>
        </is>
      </c>
      <c r="E13" s="18" t="n">
        <v>27662.06</v>
      </c>
      <c r="F13" s="37" t="n">
        <v>27662.06</v>
      </c>
      <c r="G13" s="18" t="n">
        <v>24203.9</v>
      </c>
      <c r="H13" s="18" t="n">
        <v>30851.52</v>
      </c>
      <c r="I13" s="18" t="n">
        <v>23492.4</v>
      </c>
      <c r="J13" s="18" t="n">
        <v>11580.25</v>
      </c>
      <c r="K13" s="37" t="n">
        <v>11580.25</v>
      </c>
      <c r="L13" s="18" t="n">
        <v>6556.4</v>
      </c>
      <c r="M13" s="18" t="n">
        <v>8500.799999999999</v>
      </c>
      <c r="N13" s="18" t="n">
        <v>5411.4</v>
      </c>
      <c r="O13" s="18" t="n">
        <v>6727.08</v>
      </c>
      <c r="P13" s="37" t="n">
        <v>6727.08</v>
      </c>
      <c r="Q13" s="18" t="n">
        <v>7850.68</v>
      </c>
      <c r="R13" s="18" t="n">
        <v>8699.01</v>
      </c>
      <c r="S13" s="18" t="n">
        <v>6651.64</v>
      </c>
      <c r="T13" s="18" t="n">
        <v>6201.62</v>
      </c>
      <c r="U13" s="37" t="n">
        <v>6201.62</v>
      </c>
      <c r="V13" s="18" t="n">
        <v>7492.2</v>
      </c>
      <c r="W13" s="18" t="n">
        <v>6306.17</v>
      </c>
      <c r="X13" s="18" t="n">
        <v>5606.12</v>
      </c>
      <c r="Y13" s="18" t="n">
        <v>5956.56</v>
      </c>
      <c r="Z13" s="37" t="n">
        <v>5956.56</v>
      </c>
      <c r="AA13" s="18" t="n">
        <v>10597.22</v>
      </c>
      <c r="AB13" s="19" t="n">
        <v>10886.75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비유동자산</t>
        </is>
      </c>
      <c r="E14" s="18" t="n">
        <v>433062.39</v>
      </c>
      <c r="F14" s="37" t="n">
        <v>433062.39</v>
      </c>
      <c r="G14" s="18" t="n">
        <v>432150.86</v>
      </c>
      <c r="H14" s="18" t="n">
        <v>432157.5</v>
      </c>
      <c r="I14" s="18" t="n">
        <v>426520.87</v>
      </c>
      <c r="J14" s="18" t="n">
        <v>402073.66</v>
      </c>
      <c r="K14" s="37" t="n">
        <v>402073.66</v>
      </c>
      <c r="L14" s="18" t="n">
        <v>401198.54</v>
      </c>
      <c r="M14" s="18" t="n">
        <v>396144.87</v>
      </c>
      <c r="N14" s="18" t="n">
        <v>392192.79</v>
      </c>
      <c r="O14" s="18" t="n">
        <v>387562.5</v>
      </c>
      <c r="P14" s="37" t="n">
        <v>387562.5</v>
      </c>
      <c r="Q14" s="18" t="n">
        <v>374788.61</v>
      </c>
      <c r="R14" s="18" t="n">
        <v>367200.51</v>
      </c>
      <c r="S14" s="18" t="n">
        <v>361682.64</v>
      </c>
      <c r="T14" s="18" t="n">
        <v>380084.48</v>
      </c>
      <c r="U14" s="37" t="n">
        <v>380084.48</v>
      </c>
      <c r="V14" s="18" t="n">
        <v>369347.4</v>
      </c>
      <c r="W14" s="18" t="n">
        <v>364279.11</v>
      </c>
      <c r="X14" s="18" t="n">
        <v>362951.51</v>
      </c>
      <c r="Y14" s="18" t="n">
        <v>367314.96</v>
      </c>
      <c r="Z14" s="37" t="n">
        <v>367314.96</v>
      </c>
      <c r="AA14" s="18" t="n">
        <v>341816.4</v>
      </c>
      <c r="AB14" s="19" t="n">
        <v>343547.33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장기금융자산</t>
        </is>
      </c>
      <c r="E15" s="18" t="n">
        <v>35192.68</v>
      </c>
      <c r="F15" s="37" t="n">
        <v>35192.68</v>
      </c>
      <c r="G15" s="18" t="n">
        <v>35435.37</v>
      </c>
      <c r="H15" s="18" t="n">
        <v>35549.11</v>
      </c>
      <c r="I15" s="18" t="n">
        <v>34977.93</v>
      </c>
      <c r="J15" s="18" t="n">
        <v>33986.41</v>
      </c>
      <c r="K15" s="37" t="n">
        <v>33986.41</v>
      </c>
      <c r="L15" s="18" t="n">
        <v>37722.94</v>
      </c>
      <c r="M15" s="18" t="n">
        <v>38048.65</v>
      </c>
      <c r="N15" s="18" t="n">
        <v>36781.44</v>
      </c>
      <c r="O15" s="18" t="n">
        <v>36992.7</v>
      </c>
      <c r="P15" s="37" t="n">
        <v>36992.7</v>
      </c>
      <c r="Q15" s="18" t="n">
        <v>34034.56</v>
      </c>
      <c r="R15" s="18" t="n">
        <v>30238.61</v>
      </c>
      <c r="S15" s="18" t="n">
        <v>30007.66</v>
      </c>
      <c r="T15" s="18" t="n">
        <v>29972.42</v>
      </c>
      <c r="U15" s="37" t="n">
        <v>29972.42</v>
      </c>
      <c r="V15" s="18" t="n">
        <v>29803.19</v>
      </c>
      <c r="W15" s="18" t="n">
        <v>28198.72</v>
      </c>
      <c r="X15" s="18" t="n">
        <v>28653.21</v>
      </c>
      <c r="Y15" s="18" t="n">
        <v>23857.62</v>
      </c>
      <c r="Z15" s="37" t="n">
        <v>23857.62</v>
      </c>
      <c r="AA15" s="18" t="n">
        <v>21910.97</v>
      </c>
      <c r="AB15" s="19" t="n">
        <v>27711.84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투자자산</t>
        </is>
      </c>
      <c r="E16" s="18" t="n">
        <v>35192.68</v>
      </c>
      <c r="F16" s="37" t="n">
        <v>35192.68</v>
      </c>
      <c r="G16" s="18" t="n">
        <v>35435.37</v>
      </c>
      <c r="H16" s="18" t="n">
        <v>35549.11</v>
      </c>
      <c r="I16" s="18" t="n">
        <v>34977.93</v>
      </c>
      <c r="J16" s="18" t="n">
        <v>33986.41</v>
      </c>
      <c r="K16" s="37" t="n">
        <v>33986.41</v>
      </c>
      <c r="L16" s="18" t="n">
        <v>37722.94</v>
      </c>
      <c r="M16" s="18" t="n">
        <v>38048.65</v>
      </c>
      <c r="N16" s="18" t="n">
        <v>36781.44</v>
      </c>
      <c r="O16" s="18" t="n">
        <v>36992.7</v>
      </c>
      <c r="P16" s="37" t="n">
        <v>36992.7</v>
      </c>
      <c r="Q16" s="18" t="n">
        <v>34034.56</v>
      </c>
      <c r="R16" s="18" t="n">
        <v>30238.61</v>
      </c>
      <c r="S16" s="18" t="n">
        <v>30007.66</v>
      </c>
      <c r="T16" s="18" t="n">
        <v>29972.42</v>
      </c>
      <c r="U16" s="37" t="n">
        <v>29972.42</v>
      </c>
      <c r="V16" s="18" t="n">
        <v>29803.19</v>
      </c>
      <c r="W16" s="18" t="n">
        <v>28198.72</v>
      </c>
      <c r="X16" s="18" t="n">
        <v>28653.21</v>
      </c>
      <c r="Y16" s="18" t="n">
        <v>23857.62</v>
      </c>
      <c r="Z16" s="37" t="n">
        <v>23857.62</v>
      </c>
      <c r="AA16" s="18" t="n">
        <v>21910.97</v>
      </c>
      <c r="AB16" s="19" t="n">
        <v>27711.84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유형자산</t>
        </is>
      </c>
      <c r="E17" s="18" t="n">
        <v>365549.02</v>
      </c>
      <c r="F17" s="37" t="n">
        <v>365549.02</v>
      </c>
      <c r="G17" s="18" t="n">
        <v>366408.14</v>
      </c>
      <c r="H17" s="18" t="n">
        <v>366399.19</v>
      </c>
      <c r="I17" s="18" t="n">
        <v>361565.09</v>
      </c>
      <c r="J17" s="18" t="n">
        <v>322241.77</v>
      </c>
      <c r="K17" s="37" t="n">
        <v>322241.77</v>
      </c>
      <c r="L17" s="18" t="n">
        <v>319797.9</v>
      </c>
      <c r="M17" s="18" t="n">
        <v>315197.55</v>
      </c>
      <c r="N17" s="18" t="n">
        <v>313694.09</v>
      </c>
      <c r="O17" s="18" t="n">
        <v>302201.42</v>
      </c>
      <c r="P17" s="37" t="n">
        <v>302201.42</v>
      </c>
      <c r="Q17" s="18" t="n">
        <v>297181.71</v>
      </c>
      <c r="R17" s="18" t="n">
        <v>296479.32</v>
      </c>
      <c r="S17" s="18" t="n">
        <v>293717.9</v>
      </c>
      <c r="T17" s="18" t="n">
        <v>289575.46</v>
      </c>
      <c r="U17" s="37" t="n">
        <v>289575.46</v>
      </c>
      <c r="V17" s="18" t="n">
        <v>286014.41</v>
      </c>
      <c r="W17" s="18" t="n">
        <v>284320.95</v>
      </c>
      <c r="X17" s="18" t="n">
        <v>285179.85</v>
      </c>
      <c r="Y17" s="18" t="n">
        <v>279921.36</v>
      </c>
      <c r="Z17" s="37" t="n">
        <v>279921.36</v>
      </c>
      <c r="AA17" s="18" t="n">
        <v>276407.37</v>
      </c>
      <c r="AB17" s="19" t="n">
        <v>274244.31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투자부동산</t>
        </is>
      </c>
      <c r="E18" s="18" t="n">
        <v>1301.84</v>
      </c>
      <c r="F18" s="37" t="n">
        <v>1301.84</v>
      </c>
      <c r="G18" s="18" t="n">
        <v>1293.31</v>
      </c>
      <c r="H18" s="18" t="n">
        <v>910.47</v>
      </c>
      <c r="I18" s="18" t="n">
        <v>904.72</v>
      </c>
      <c r="J18" s="18" t="n">
        <v>898.97</v>
      </c>
      <c r="K18" s="37" t="n">
        <v>898.97</v>
      </c>
      <c r="L18" s="18" t="n">
        <v>893.21</v>
      </c>
      <c r="M18" s="18" t="n">
        <v>2008.17</v>
      </c>
      <c r="N18" s="18" t="n">
        <v>1994.65</v>
      </c>
      <c r="O18" s="18" t="n">
        <v>1981.13</v>
      </c>
      <c r="P18" s="37" t="n">
        <v>1981.13</v>
      </c>
      <c r="Q18" s="18" t="n">
        <v>1967.62</v>
      </c>
      <c r="R18" s="18" t="n">
        <v>1954.1</v>
      </c>
      <c r="S18" s="18" t="n">
        <v>1940.58</v>
      </c>
      <c r="T18" s="18" t="n">
        <v>1927.06</v>
      </c>
      <c r="U18" s="37" t="n">
        <v>1927.06</v>
      </c>
      <c r="V18" s="18" t="n">
        <v>1913.55</v>
      </c>
      <c r="W18" s="18" t="n">
        <v>1900.03</v>
      </c>
      <c r="X18" s="18" t="n">
        <v>1886.51</v>
      </c>
      <c r="Y18" s="18" t="n">
        <v>1873</v>
      </c>
      <c r="Z18" s="37" t="n">
        <v>1873</v>
      </c>
      <c r="AA18" s="18" t="n">
        <v>1859.48</v>
      </c>
      <c r="AB18" s="19" t="n">
        <v>1845.96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무형자산</t>
        </is>
      </c>
      <c r="E19" s="18" t="n">
        <v>27998.83</v>
      </c>
      <c r="F19" s="37" t="n">
        <v>27998.83</v>
      </c>
      <c r="G19" s="18" t="n">
        <v>27756.45</v>
      </c>
      <c r="H19" s="18" t="n">
        <v>27514.06</v>
      </c>
      <c r="I19" s="18" t="n">
        <v>27271.68</v>
      </c>
      <c r="J19" s="18" t="n">
        <v>27029.29</v>
      </c>
      <c r="K19" s="37" t="n">
        <v>27029.29</v>
      </c>
      <c r="L19" s="18" t="n">
        <v>26786.91</v>
      </c>
      <c r="M19" s="18" t="n">
        <v>26544.53</v>
      </c>
      <c r="N19" s="18" t="n">
        <v>26302.14</v>
      </c>
      <c r="O19" s="18" t="n">
        <v>27081.76</v>
      </c>
      <c r="P19" s="37" t="n">
        <v>27081.76</v>
      </c>
      <c r="Q19" s="18" t="n">
        <v>26839.38</v>
      </c>
      <c r="R19" s="18" t="n">
        <v>26596.99</v>
      </c>
      <c r="S19" s="18" t="n">
        <v>26354.61</v>
      </c>
      <c r="U19" s="9" t="n"/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이연법인세자산</t>
        </is>
      </c>
      <c r="E20" s="18" t="n">
        <v>119.66</v>
      </c>
      <c r="F20" s="37" t="n">
        <v>119.66</v>
      </c>
      <c r="G20" s="18" t="n">
        <v>139.56</v>
      </c>
      <c r="H20" s="18" t="n">
        <v>167.8</v>
      </c>
      <c r="I20" s="18" t="n">
        <v>202.69</v>
      </c>
      <c r="J20" s="18" t="n">
        <v>6873.3</v>
      </c>
      <c r="K20" s="37" t="n">
        <v>6873.3</v>
      </c>
      <c r="L20" s="18" t="n">
        <v>8439.76</v>
      </c>
      <c r="M20" s="18" t="n">
        <v>7889.3</v>
      </c>
      <c r="N20" s="18" t="n">
        <v>7729.01</v>
      </c>
      <c r="O20" s="18" t="n">
        <v>13866.9</v>
      </c>
      <c r="P20" s="37" t="n">
        <v>13866.9</v>
      </c>
      <c r="Q20" s="18" t="n">
        <v>12612.71</v>
      </c>
      <c r="R20" s="18" t="n">
        <v>10885.33</v>
      </c>
      <c r="S20" s="18" t="n">
        <v>9404.42</v>
      </c>
      <c r="T20" s="18" t="n">
        <v>11037.56</v>
      </c>
      <c r="U20" s="37" t="n">
        <v>11037.56</v>
      </c>
      <c r="V20" s="18" t="n">
        <v>9838.98</v>
      </c>
      <c r="W20" s="18" t="n">
        <v>9710.299999999999</v>
      </c>
      <c r="X20" s="18" t="n">
        <v>8837.620000000001</v>
      </c>
      <c r="Y20" s="18" t="n">
        <v>8997.84</v>
      </c>
      <c r="Z20" s="37" t="n">
        <v>8997.84</v>
      </c>
      <c r="AA20" s="18" t="n">
        <v>8831.940000000001</v>
      </c>
      <c r="AB20" s="19" t="n">
        <v>8209.84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기타비유동자산</t>
        </is>
      </c>
      <c r="E21" s="18" t="n">
        <v>1808.5</v>
      </c>
      <c r="F21" s="37" t="n">
        <v>1808.5</v>
      </c>
      <c r="G21" s="18" t="n">
        <v>18.86</v>
      </c>
      <c r="H21" s="18" t="n">
        <v>18.1</v>
      </c>
      <c r="I21" s="18" t="n">
        <v>18.56</v>
      </c>
      <c r="J21" s="18" t="n">
        <v>9505.719999999999</v>
      </c>
      <c r="K21" s="37" t="n">
        <v>9505.719999999999</v>
      </c>
      <c r="L21" s="18" t="n">
        <v>7557.82</v>
      </c>
      <c r="M21" s="18" t="n">
        <v>6456.67</v>
      </c>
      <c r="N21" s="18" t="n">
        <v>5691.47</v>
      </c>
      <c r="O21" s="18" t="n">
        <v>5438.59</v>
      </c>
      <c r="P21" s="37" t="n">
        <v>5438.59</v>
      </c>
      <c r="Q21" s="18" t="n">
        <v>2152.63</v>
      </c>
      <c r="R21" s="18" t="n">
        <v>1046.17</v>
      </c>
      <c r="S21" s="18" t="n">
        <v>257.46</v>
      </c>
      <c r="T21" s="18" t="n">
        <v>2.09</v>
      </c>
      <c r="U21" s="37" t="n">
        <v>2.09</v>
      </c>
      <c r="Z21" s="9" t="n"/>
      <c r="AB21" s="5" t="n"/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자산총계</t>
        </is>
      </c>
      <c r="E22" s="18" t="n">
        <v>863648.5</v>
      </c>
      <c r="F22" s="37" t="n">
        <v>863648.5</v>
      </c>
      <c r="G22" s="18" t="n">
        <v>817564</v>
      </c>
      <c r="H22" s="18" t="n">
        <v>839501.79</v>
      </c>
      <c r="I22" s="18" t="n">
        <v>867034.91</v>
      </c>
      <c r="J22" s="18" t="n">
        <v>854159.33</v>
      </c>
      <c r="K22" s="37" t="n">
        <v>854159.33</v>
      </c>
      <c r="L22" s="18" t="n">
        <v>838013.67</v>
      </c>
      <c r="M22" s="18" t="n">
        <v>865515.17</v>
      </c>
      <c r="N22" s="18" t="n">
        <v>923104.45</v>
      </c>
      <c r="O22" s="18" t="n">
        <v>899461.3199999999</v>
      </c>
      <c r="P22" s="37" t="n">
        <v>899461.3199999999</v>
      </c>
      <c r="Q22" s="18" t="n">
        <v>938339.78</v>
      </c>
      <c r="R22" s="18" t="n">
        <v>909052.97</v>
      </c>
      <c r="S22" s="18" t="n">
        <v>890813.9</v>
      </c>
      <c r="U22" s="9" t="n"/>
      <c r="Z22" s="9" t="n"/>
      <c r="AB22" s="5" t="n"/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유동부채</t>
        </is>
      </c>
      <c r="E23" s="18" t="n">
        <v>320525.54</v>
      </c>
      <c r="F23" s="37" t="n">
        <v>320525.54</v>
      </c>
      <c r="G23" s="18" t="n">
        <v>272846.15</v>
      </c>
      <c r="H23" s="18" t="n">
        <v>294374.53</v>
      </c>
      <c r="I23" s="18" t="n">
        <v>322671.77</v>
      </c>
      <c r="J23" s="18" t="n">
        <v>374995.67</v>
      </c>
      <c r="K23" s="37" t="n">
        <v>374995.67</v>
      </c>
      <c r="L23" s="18" t="n">
        <v>367884.75</v>
      </c>
      <c r="M23" s="18" t="n">
        <v>395847.62</v>
      </c>
      <c r="N23" s="18" t="n">
        <v>453378.85</v>
      </c>
      <c r="O23" s="18" t="n">
        <v>454030.88</v>
      </c>
      <c r="P23" s="37" t="n">
        <v>454030.88</v>
      </c>
      <c r="Q23" s="18" t="n">
        <v>498240.96</v>
      </c>
      <c r="R23" s="18" t="n">
        <v>443428.67</v>
      </c>
      <c r="S23" s="18" t="n">
        <v>417432.52</v>
      </c>
      <c r="T23" s="18" t="n">
        <v>386392.17</v>
      </c>
      <c r="U23" s="37" t="n">
        <v>386392.17</v>
      </c>
      <c r="V23" s="18" t="n">
        <v>369742.09</v>
      </c>
      <c r="W23" s="18" t="n">
        <v>372215.97</v>
      </c>
      <c r="X23" s="18" t="n">
        <v>330022.48</v>
      </c>
      <c r="Y23" s="18" t="n">
        <v>329975.03</v>
      </c>
      <c r="Z23" s="37" t="n">
        <v>329975.03</v>
      </c>
      <c r="AA23" s="18" t="n">
        <v>316255.87</v>
      </c>
      <c r="AB23" s="19" t="n">
        <v>319157.98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매입채무및기타채무</t>
        </is>
      </c>
      <c r="E24" s="18" t="n">
        <v>212254.17</v>
      </c>
      <c r="F24" s="37" t="n">
        <v>212254.17</v>
      </c>
      <c r="G24" s="18" t="n">
        <v>192043.44</v>
      </c>
      <c r="H24" s="18" t="n">
        <v>205094.65</v>
      </c>
      <c r="I24" s="18" t="n">
        <v>188587.42</v>
      </c>
      <c r="J24" s="18" t="n">
        <v>201387.12</v>
      </c>
      <c r="K24" s="37" t="n">
        <v>201387.12</v>
      </c>
      <c r="L24" s="18" t="n">
        <v>211795.1</v>
      </c>
      <c r="M24" s="18" t="n">
        <v>235150.9</v>
      </c>
      <c r="N24" s="18" t="n">
        <v>238064.63</v>
      </c>
      <c r="O24" s="18" t="n">
        <v>270930.14</v>
      </c>
      <c r="P24" s="37" t="n">
        <v>270930.14</v>
      </c>
      <c r="Q24" s="18" t="n">
        <v>278019.12</v>
      </c>
      <c r="R24" s="18" t="n">
        <v>265178.01</v>
      </c>
      <c r="S24" s="18" t="n">
        <v>257210.89</v>
      </c>
      <c r="T24" s="18" t="n">
        <v>244666.17</v>
      </c>
      <c r="U24" s="37" t="n">
        <v>244666.17</v>
      </c>
      <c r="V24" s="18" t="n">
        <v>219497.1</v>
      </c>
      <c r="W24" s="18" t="n">
        <v>228269.98</v>
      </c>
      <c r="X24" s="18" t="n">
        <v>184971.26</v>
      </c>
      <c r="Y24" s="18" t="n">
        <v>188794.21</v>
      </c>
      <c r="Z24" s="37" t="n">
        <v>188794.21</v>
      </c>
      <c r="AA24" s="18" t="n">
        <v>176848.17</v>
      </c>
      <c r="AB24" s="19" t="n">
        <v>204927.73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단기차입금</t>
        </is>
      </c>
      <c r="E25" s="18" t="n">
        <v>34471.7</v>
      </c>
      <c r="F25" s="37" t="n">
        <v>34471.7</v>
      </c>
      <c r="G25" s="18" t="n">
        <v>24161.19</v>
      </c>
      <c r="H25" s="18" t="n">
        <v>31728.61</v>
      </c>
      <c r="I25" s="18" t="n">
        <v>54195.75</v>
      </c>
      <c r="J25" s="18" t="n">
        <v>110019.58</v>
      </c>
      <c r="K25" s="37" t="n">
        <v>110019.58</v>
      </c>
      <c r="L25" s="18" t="n">
        <v>107559.93</v>
      </c>
      <c r="M25" s="18" t="n">
        <v>111575.32</v>
      </c>
      <c r="N25" s="18" t="n">
        <v>170590.04</v>
      </c>
      <c r="O25" s="18" t="n">
        <v>138808.86</v>
      </c>
      <c r="P25" s="37" t="n">
        <v>138808.86</v>
      </c>
      <c r="Q25" s="18" t="n">
        <v>153989.08</v>
      </c>
      <c r="R25" s="18" t="n">
        <v>112119.71</v>
      </c>
      <c r="S25" s="18" t="n">
        <v>111842.2</v>
      </c>
      <c r="U25" s="9" t="n"/>
      <c r="Z25" s="9" t="n"/>
      <c r="AB25" s="5" t="n"/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단기금융부채(face)</t>
        </is>
      </c>
      <c r="E26" s="18" t="n">
        <v>34471.7</v>
      </c>
      <c r="F26" s="37" t="n">
        <v>34471.7</v>
      </c>
      <c r="G26" s="18" t="n">
        <v>24161.19</v>
      </c>
      <c r="H26" s="18" t="n">
        <v>31728.61</v>
      </c>
      <c r="I26" s="18" t="n">
        <v>54195.75</v>
      </c>
      <c r="J26" s="18" t="n">
        <v>110019.58</v>
      </c>
      <c r="K26" s="37" t="n">
        <v>110019.58</v>
      </c>
      <c r="L26" s="18" t="n">
        <v>107559.93</v>
      </c>
      <c r="M26" s="18" t="n">
        <v>111575.32</v>
      </c>
      <c r="N26" s="18" t="n">
        <v>170590.04</v>
      </c>
      <c r="O26" s="18" t="n">
        <v>138808.86</v>
      </c>
      <c r="P26" s="37" t="n">
        <v>138808.86</v>
      </c>
      <c r="Q26" s="18" t="n">
        <v>153989.08</v>
      </c>
      <c r="R26" s="18" t="n">
        <v>112119.71</v>
      </c>
      <c r="S26" s="18" t="n">
        <v>111842.2</v>
      </c>
      <c r="U26" s="9" t="n"/>
      <c r="Z26" s="9" t="n"/>
      <c r="AB26" s="5" t="n"/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기타유동부채</t>
        </is>
      </c>
      <c r="E27" s="18" t="n">
        <v>2818.96</v>
      </c>
      <c r="F27" s="37" t="n">
        <v>2818.96</v>
      </c>
      <c r="G27" s="18" t="n">
        <v>2104.93</v>
      </c>
      <c r="H27" s="18" t="n">
        <v>1114.5</v>
      </c>
      <c r="I27" s="18" t="n">
        <v>1167.92</v>
      </c>
      <c r="J27" s="18" t="n">
        <v>1809.07</v>
      </c>
      <c r="K27" s="37" t="n">
        <v>1809.07</v>
      </c>
      <c r="L27" s="18" t="n">
        <v>854.5599999999999</v>
      </c>
      <c r="M27" s="18" t="n">
        <v>872.52</v>
      </c>
      <c r="N27" s="18" t="n">
        <v>1258.77</v>
      </c>
      <c r="O27" s="18" t="n">
        <v>2288.57</v>
      </c>
      <c r="P27" s="37" t="n">
        <v>2288.57</v>
      </c>
      <c r="Q27" s="18" t="n">
        <v>2172.26</v>
      </c>
      <c r="R27" s="18" t="n">
        <v>4155.89</v>
      </c>
      <c r="S27" s="18" t="n">
        <v>1672.32</v>
      </c>
      <c r="T27" s="18" t="n">
        <v>2189.16</v>
      </c>
      <c r="U27" s="37" t="n">
        <v>2189.16</v>
      </c>
      <c r="V27" s="18" t="n">
        <v>4379.82</v>
      </c>
      <c r="W27" s="18" t="n">
        <v>3280.87</v>
      </c>
      <c r="X27" s="18" t="n">
        <v>3053.23</v>
      </c>
      <c r="Y27" s="18" t="n">
        <v>3352.75</v>
      </c>
      <c r="Z27" s="37" t="n">
        <v>3352.75</v>
      </c>
      <c r="AA27" s="18" t="n">
        <v>2922.05</v>
      </c>
      <c r="AB27" s="19" t="n">
        <v>1700.28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계약부채</t>
        </is>
      </c>
      <c r="E28" s="18" t="n">
        <v>53733.13</v>
      </c>
      <c r="F28" s="37" t="n">
        <v>53733.13</v>
      </c>
      <c r="G28" s="18" t="n">
        <v>35663.58</v>
      </c>
      <c r="H28" s="18" t="n">
        <v>37324.4</v>
      </c>
      <c r="I28" s="18" t="n">
        <v>60740.46</v>
      </c>
      <c r="J28" s="18" t="n">
        <v>39202.65</v>
      </c>
      <c r="K28" s="37" t="n">
        <v>39202.65</v>
      </c>
      <c r="L28" s="18" t="n">
        <v>28157.45</v>
      </c>
      <c r="M28" s="18" t="n">
        <v>30136.41</v>
      </c>
      <c r="N28" s="18" t="n">
        <v>26094.72</v>
      </c>
      <c r="O28" s="18" t="n">
        <v>24946.51</v>
      </c>
      <c r="P28" s="37" t="n">
        <v>24946.51</v>
      </c>
      <c r="Q28" s="18" t="n">
        <v>39856.15</v>
      </c>
      <c r="R28" s="18" t="n">
        <v>40819.64</v>
      </c>
      <c r="S28" s="18" t="n">
        <v>28235.66</v>
      </c>
      <c r="T28" s="18" t="n">
        <v>35628.21</v>
      </c>
      <c r="U28" s="37" t="n">
        <v>35628.21</v>
      </c>
      <c r="V28" s="18" t="n">
        <v>25298.9</v>
      </c>
      <c r="W28" s="18" t="n">
        <v>19976.68</v>
      </c>
      <c r="X28" s="18" t="n">
        <v>18582.45</v>
      </c>
      <c r="Y28" s="18" t="n">
        <v>21159.5</v>
      </c>
      <c r="Z28" s="37" t="n">
        <v>21159.5</v>
      </c>
      <c r="AA28" s="18" t="n">
        <v>26899.75</v>
      </c>
      <c r="AB28" s="19" t="n">
        <v>38711.05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당기법인세부채(미지급법인세)</t>
        </is>
      </c>
      <c r="E29" s="18" t="n">
        <v>707.79</v>
      </c>
      <c r="F29" s="37" t="n">
        <v>707.79</v>
      </c>
      <c r="G29" s="18" t="n">
        <v>1445.75</v>
      </c>
      <c r="H29" s="18" t="n">
        <v>1377.23</v>
      </c>
      <c r="I29" s="18" t="n">
        <v>194.8</v>
      </c>
      <c r="J29" s="18" t="n">
        <v>0</v>
      </c>
      <c r="K29" s="37" t="n">
        <v>0</v>
      </c>
      <c r="L29" s="18" t="n">
        <v>3.18</v>
      </c>
      <c r="M29" s="18" t="n">
        <v>13.26</v>
      </c>
      <c r="N29" s="18" t="n">
        <v>2.53</v>
      </c>
      <c r="O29" s="18" t="n">
        <v>83.40000000000001</v>
      </c>
      <c r="P29" s="37" t="n">
        <v>83.40000000000001</v>
      </c>
      <c r="Q29" s="18" t="n">
        <v>358.64</v>
      </c>
      <c r="R29" s="18" t="n">
        <v>359.91</v>
      </c>
      <c r="S29" s="18" t="n">
        <v>297.11</v>
      </c>
      <c r="T29" s="18" t="n">
        <v>42.49</v>
      </c>
      <c r="U29" s="37" t="n">
        <v>42.49</v>
      </c>
      <c r="V29" s="18" t="n">
        <v>394.92</v>
      </c>
      <c r="W29" s="18" t="n">
        <v>446.03</v>
      </c>
      <c r="X29" s="18" t="n">
        <v>244.23</v>
      </c>
      <c r="Y29" s="18" t="n">
        <v>78.34999999999999</v>
      </c>
      <c r="Z29" s="37" t="n">
        <v>78.34999999999999</v>
      </c>
      <c r="AA29" s="18" t="n">
        <v>252.5</v>
      </c>
      <c r="AB29" s="19" t="n">
        <v>522.27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단기충당부채</t>
        </is>
      </c>
      <c r="E30" s="18" t="n">
        <v>2740.18</v>
      </c>
      <c r="F30" s="37" t="n">
        <v>2740.18</v>
      </c>
      <c r="G30" s="18" t="n">
        <v>3172.77</v>
      </c>
      <c r="H30" s="18" t="n">
        <v>3192.44</v>
      </c>
      <c r="I30" s="18" t="n">
        <v>3558.4</v>
      </c>
      <c r="J30" s="18" t="n">
        <v>9051.049999999999</v>
      </c>
      <c r="K30" s="37" t="n">
        <v>9051.049999999999</v>
      </c>
      <c r="L30" s="18" t="n">
        <v>6452.14</v>
      </c>
      <c r="M30" s="18" t="n">
        <v>5059.29</v>
      </c>
      <c r="N30" s="18" t="n">
        <v>4560.31</v>
      </c>
      <c r="O30" s="18" t="n">
        <v>4823.74</v>
      </c>
      <c r="P30" s="37" t="n">
        <v>4823.74</v>
      </c>
      <c r="Q30" s="18" t="n">
        <v>12132.79</v>
      </c>
      <c r="R30" s="18" t="n">
        <v>8355.23</v>
      </c>
      <c r="S30" s="18" t="n">
        <v>5157.5</v>
      </c>
      <c r="T30" s="18" t="n">
        <v>5921.23</v>
      </c>
      <c r="U30" s="37" t="n">
        <v>5921.23</v>
      </c>
      <c r="V30" s="18" t="n">
        <v>4937.72</v>
      </c>
      <c r="W30" s="18" t="n">
        <v>4856.03</v>
      </c>
      <c r="X30" s="18" t="n">
        <v>4679.6</v>
      </c>
      <c r="Y30" s="18" t="n">
        <v>3733.71</v>
      </c>
      <c r="Z30" s="37" t="n">
        <v>3733.71</v>
      </c>
      <c r="AA30" s="18" t="n">
        <v>3279.59</v>
      </c>
      <c r="AB30" s="19" t="n">
        <v>3127.38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비유동부채</t>
        </is>
      </c>
      <c r="E31" s="18" t="n">
        <v>54065.48</v>
      </c>
      <c r="F31" s="37" t="n">
        <v>54065.48</v>
      </c>
      <c r="G31" s="18" t="n">
        <v>55641.18</v>
      </c>
      <c r="H31" s="18" t="n">
        <v>56665.08</v>
      </c>
      <c r="I31" s="18" t="n">
        <v>55049.42</v>
      </c>
      <c r="J31" s="18" t="n">
        <v>40630.56</v>
      </c>
      <c r="K31" s="37" t="n">
        <v>40630.56</v>
      </c>
      <c r="L31" s="18" t="n">
        <v>38393.4</v>
      </c>
      <c r="M31" s="18" t="n">
        <v>36097.74</v>
      </c>
      <c r="N31" s="18" t="n">
        <v>36318.52</v>
      </c>
      <c r="O31" s="18" t="n">
        <v>43073.63</v>
      </c>
      <c r="P31" s="37" t="n">
        <v>43073.63</v>
      </c>
      <c r="Q31" s="18" t="n">
        <v>32988.15</v>
      </c>
      <c r="R31" s="18" t="n">
        <v>52856.45</v>
      </c>
      <c r="S31" s="18" t="n">
        <v>56331.03</v>
      </c>
      <c r="T31" s="18" t="n">
        <v>60250.5</v>
      </c>
      <c r="U31" s="37" t="n">
        <v>60250.5</v>
      </c>
      <c r="V31" s="18" t="n">
        <v>58386.12</v>
      </c>
      <c r="W31" s="18" t="n">
        <v>37522.79</v>
      </c>
      <c r="X31" s="18" t="n">
        <v>28517.56</v>
      </c>
      <c r="Y31" s="18" t="n">
        <v>25209.48</v>
      </c>
      <c r="Z31" s="37" t="n">
        <v>25209.48</v>
      </c>
      <c r="AA31" s="18" t="n">
        <v>64089.26</v>
      </c>
      <c r="AB31" s="19" t="n">
        <v>83113.67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장기차입금</t>
        </is>
      </c>
      <c r="E32" s="18" t="n">
        <v>628.01</v>
      </c>
      <c r="F32" s="37" t="n">
        <v>628.01</v>
      </c>
      <c r="G32" s="18" t="n">
        <v>276.18</v>
      </c>
      <c r="H32" s="18" t="n">
        <v>377.77</v>
      </c>
      <c r="I32" s="18" t="n">
        <v>323.23</v>
      </c>
      <c r="J32" s="18" t="n">
        <v>229.69</v>
      </c>
      <c r="K32" s="37" t="n">
        <v>229.69</v>
      </c>
      <c r="L32" s="18" t="n">
        <v>546.2</v>
      </c>
      <c r="M32" s="18" t="n">
        <v>528.01</v>
      </c>
      <c r="N32" s="18" t="n">
        <v>583.71</v>
      </c>
      <c r="O32" s="18" t="n">
        <v>591.98</v>
      </c>
      <c r="P32" s="37" t="n">
        <v>591.98</v>
      </c>
      <c r="Q32" s="18" t="n">
        <v>177.04</v>
      </c>
      <c r="R32" s="18" t="n">
        <v>20272.17</v>
      </c>
      <c r="S32" s="18" t="n">
        <v>24227.3</v>
      </c>
      <c r="U32" s="9" t="n"/>
      <c r="Z32" s="9" t="n"/>
      <c r="AB32" s="5" t="n"/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장기금융부채(face)</t>
        </is>
      </c>
      <c r="E33" s="18" t="n">
        <v>628.01</v>
      </c>
      <c r="F33" s="37" t="n">
        <v>628.01</v>
      </c>
      <c r="G33" s="18" t="n">
        <v>276.18</v>
      </c>
      <c r="H33" s="18" t="n">
        <v>377.77</v>
      </c>
      <c r="I33" s="18" t="n">
        <v>323.23</v>
      </c>
      <c r="J33" s="18" t="n">
        <v>229.69</v>
      </c>
      <c r="K33" s="37" t="n">
        <v>229.69</v>
      </c>
      <c r="L33" s="18" t="n">
        <v>546.2</v>
      </c>
      <c r="M33" s="18" t="n">
        <v>528.01</v>
      </c>
      <c r="N33" s="18" t="n">
        <v>583.71</v>
      </c>
      <c r="O33" s="18" t="n">
        <v>591.98</v>
      </c>
      <c r="P33" s="37" t="n">
        <v>591.98</v>
      </c>
      <c r="Q33" s="18" t="n">
        <v>177.04</v>
      </c>
      <c r="R33" s="18" t="n">
        <v>20272.17</v>
      </c>
      <c r="S33" s="18" t="n">
        <v>24227.3</v>
      </c>
      <c r="U33" s="9" t="n"/>
      <c r="Z33" s="9" t="n"/>
      <c r="AB33" s="5" t="n"/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장기충당부채</t>
        </is>
      </c>
      <c r="E34" s="18" t="n">
        <v>2782.97</v>
      </c>
      <c r="F34" s="37" t="n">
        <v>2782.97</v>
      </c>
      <c r="G34" s="18" t="n">
        <v>2687.59</v>
      </c>
      <c r="H34" s="18" t="n">
        <v>2938.46</v>
      </c>
      <c r="I34" s="18" t="n">
        <v>2917.45</v>
      </c>
      <c r="J34" s="18" t="n">
        <v>2853.05</v>
      </c>
      <c r="K34" s="37" t="n">
        <v>2853.05</v>
      </c>
      <c r="L34" s="18" t="n">
        <v>2767.81</v>
      </c>
      <c r="M34" s="18" t="n">
        <v>2855.78</v>
      </c>
      <c r="N34" s="18" t="n">
        <v>2750.14</v>
      </c>
      <c r="O34" s="18" t="n">
        <v>10851.49</v>
      </c>
      <c r="P34" s="37" t="n">
        <v>10851.49</v>
      </c>
      <c r="Q34" s="18" t="n">
        <v>3014.42</v>
      </c>
      <c r="R34" s="18" t="n">
        <v>3074.15</v>
      </c>
      <c r="S34" s="18" t="n">
        <v>3071.4</v>
      </c>
      <c r="T34" s="18" t="n">
        <v>3155.88</v>
      </c>
      <c r="U34" s="37" t="n">
        <v>3155.88</v>
      </c>
      <c r="V34" s="18" t="n">
        <v>3109.87</v>
      </c>
      <c r="W34" s="18" t="n">
        <v>3321.85</v>
      </c>
      <c r="X34" s="18" t="n">
        <v>3396.67</v>
      </c>
      <c r="Y34" s="18" t="n">
        <v>3013.64</v>
      </c>
      <c r="Z34" s="37" t="n">
        <v>3013.64</v>
      </c>
      <c r="AA34" s="18" t="n">
        <v>2950.24</v>
      </c>
      <c r="AB34" s="19" t="n">
        <v>2735.44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이연법인세부채</t>
        </is>
      </c>
      <c r="E35" s="18" t="n">
        <v>7795.07</v>
      </c>
      <c r="F35" s="37" t="n">
        <v>7795.07</v>
      </c>
      <c r="G35" s="18" t="n">
        <v>7408.92</v>
      </c>
      <c r="H35" s="18" t="n">
        <v>6914.44</v>
      </c>
      <c r="I35" s="18" t="n">
        <v>6562.99</v>
      </c>
      <c r="J35" s="18" t="n">
        <v>0</v>
      </c>
      <c r="K35" s="37" t="n">
        <v>0</v>
      </c>
      <c r="L35" s="18" t="n">
        <v>0</v>
      </c>
      <c r="M35" s="18" t="n">
        <v>0</v>
      </c>
      <c r="N35" s="18" t="n">
        <v>0</v>
      </c>
      <c r="O35" s="18" t="n">
        <v>0</v>
      </c>
      <c r="P35" s="37" t="n">
        <v>0</v>
      </c>
      <c r="Q35" s="18" t="n">
        <v>0</v>
      </c>
      <c r="R35" s="18" t="n">
        <v>0</v>
      </c>
      <c r="S35" s="18" t="n">
        <v>0</v>
      </c>
      <c r="U35" s="9" t="n"/>
      <c r="Z35" s="9" t="n"/>
      <c r="AB35" s="5" t="n"/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기타비유동부채</t>
        </is>
      </c>
      <c r="E36" s="18" t="n">
        <v>1107.41</v>
      </c>
      <c r="F36" s="37" t="n">
        <v>1107.41</v>
      </c>
      <c r="G36" s="18" t="n">
        <v>1081.45</v>
      </c>
      <c r="H36" s="18" t="n">
        <v>1037.66</v>
      </c>
      <c r="I36" s="18" t="n">
        <v>1110.65</v>
      </c>
      <c r="J36" s="18" t="n">
        <v>1175.81</v>
      </c>
      <c r="K36" s="37" t="n">
        <v>1175.81</v>
      </c>
      <c r="L36" s="18" t="n">
        <v>1249.6</v>
      </c>
      <c r="M36" s="18" t="n">
        <v>1260.48</v>
      </c>
      <c r="N36" s="18" t="n">
        <v>1279.18</v>
      </c>
      <c r="O36" s="18" t="n">
        <v>1410.78</v>
      </c>
      <c r="P36" s="37" t="n">
        <v>1410.78</v>
      </c>
      <c r="Q36" s="18" t="n">
        <v>1413.37</v>
      </c>
      <c r="R36" s="18" t="n">
        <v>1423.17</v>
      </c>
      <c r="S36" s="18" t="n">
        <v>1432.7</v>
      </c>
      <c r="T36" s="18" t="n">
        <v>1750.34</v>
      </c>
      <c r="U36" s="37" t="n">
        <v>1750.34</v>
      </c>
      <c r="V36" s="18" t="n">
        <v>1811.24</v>
      </c>
      <c r="W36" s="18" t="n">
        <v>1746.52</v>
      </c>
      <c r="X36" s="18" t="n">
        <v>1871.23</v>
      </c>
      <c r="Y36" s="18" t="n">
        <v>2330.66</v>
      </c>
      <c r="Z36" s="37" t="n">
        <v>2330.66</v>
      </c>
      <c r="AA36" s="18" t="n">
        <v>2370.62</v>
      </c>
      <c r="AB36" s="19" t="n">
        <v>2395.89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부채총계</t>
        </is>
      </c>
      <c r="E37" s="18" t="n">
        <v>374591.02</v>
      </c>
      <c r="F37" s="37" t="n">
        <v>374591.02</v>
      </c>
      <c r="G37" s="18" t="n">
        <v>328487.33</v>
      </c>
      <c r="H37" s="18" t="n">
        <v>351039.6</v>
      </c>
      <c r="I37" s="18" t="n">
        <v>377721.19</v>
      </c>
      <c r="J37" s="18" t="n">
        <v>415626.22</v>
      </c>
      <c r="K37" s="37" t="n">
        <v>415626.22</v>
      </c>
      <c r="L37" s="18" t="n">
        <v>406278.15</v>
      </c>
      <c r="M37" s="18" t="n">
        <v>431945.35</v>
      </c>
      <c r="N37" s="18" t="n">
        <v>489697.37</v>
      </c>
      <c r="O37" s="18" t="n">
        <v>497104.51</v>
      </c>
      <c r="P37" s="37" t="n">
        <v>497104.51</v>
      </c>
      <c r="Q37" s="18" t="n">
        <v>531229.11</v>
      </c>
      <c r="R37" s="18" t="n">
        <v>496285.12</v>
      </c>
      <c r="S37" s="18" t="n">
        <v>473763.55</v>
      </c>
      <c r="U37" s="9" t="n"/>
      <c r="Z37" s="9" t="n"/>
      <c r="AB37" s="5" t="n"/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지배주주지분</t>
        </is>
      </c>
      <c r="E38" s="18" t="n">
        <v>489057.48</v>
      </c>
      <c r="F38" s="37" t="n">
        <v>489057.48</v>
      </c>
      <c r="G38" s="18" t="n">
        <v>489076.67</v>
      </c>
      <c r="H38" s="18" t="n">
        <v>488462.18</v>
      </c>
      <c r="I38" s="18" t="n">
        <v>489313.72</v>
      </c>
      <c r="J38" s="18" t="n">
        <v>438533.11</v>
      </c>
      <c r="K38" s="37" t="n">
        <v>438533.11</v>
      </c>
      <c r="L38" s="18" t="n">
        <v>431735.52</v>
      </c>
      <c r="M38" s="18" t="n">
        <v>433569.82</v>
      </c>
      <c r="N38" s="18" t="n">
        <v>433407.08</v>
      </c>
      <c r="O38" s="18" t="n">
        <v>402356.81</v>
      </c>
      <c r="P38" s="37" t="n">
        <v>402356.81</v>
      </c>
      <c r="Q38" s="18" t="n">
        <v>407110.67</v>
      </c>
      <c r="R38" s="18" t="n">
        <v>412767.85</v>
      </c>
      <c r="S38" s="18" t="n">
        <v>417050.36</v>
      </c>
      <c r="T38" s="18" t="n">
        <v>411743.74</v>
      </c>
      <c r="U38" s="37" t="n">
        <v>411743.74</v>
      </c>
      <c r="V38" s="18" t="n">
        <v>415581.89</v>
      </c>
      <c r="W38" s="18" t="n">
        <v>415543.55</v>
      </c>
      <c r="X38" s="18" t="n">
        <v>418680.54</v>
      </c>
      <c r="Y38" s="18" t="n">
        <v>418071.67</v>
      </c>
      <c r="Z38" s="37" t="n">
        <v>418071.67</v>
      </c>
      <c r="AA38" s="18" t="n">
        <v>417032.82</v>
      </c>
      <c r="AB38" s="19" t="n">
        <v>420662.43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자본금</t>
        </is>
      </c>
      <c r="E39" s="18" t="n">
        <v>20535.28</v>
      </c>
      <c r="F39" s="37" t="n">
        <v>20535.28</v>
      </c>
      <c r="G39" s="18" t="n">
        <v>20535.28</v>
      </c>
      <c r="H39" s="18" t="n">
        <v>20535.28</v>
      </c>
      <c r="I39" s="18" t="n">
        <v>20535.28</v>
      </c>
      <c r="J39" s="18" t="n">
        <v>20535.28</v>
      </c>
      <c r="K39" s="37" t="n">
        <v>20535.28</v>
      </c>
      <c r="L39" s="18" t="n">
        <v>20535.28</v>
      </c>
      <c r="M39" s="18" t="n">
        <v>20535.28</v>
      </c>
      <c r="N39" s="18" t="n">
        <v>20535.28</v>
      </c>
      <c r="O39" s="18" t="n">
        <v>20535.28</v>
      </c>
      <c r="P39" s="37" t="n">
        <v>20535.28</v>
      </c>
      <c r="Q39" s="18" t="n">
        <v>20535.28</v>
      </c>
      <c r="R39" s="18" t="n">
        <v>20535.28</v>
      </c>
      <c r="S39" s="18" t="n">
        <v>20535.28</v>
      </c>
      <c r="T39" s="18" t="n">
        <v>20535.28</v>
      </c>
      <c r="U39" s="37" t="n">
        <v>20535.28</v>
      </c>
      <c r="V39" s="18" t="n">
        <v>20535.28</v>
      </c>
      <c r="W39" s="18" t="n">
        <v>20535.28</v>
      </c>
      <c r="X39" s="18" t="n">
        <v>20535.28</v>
      </c>
      <c r="Y39" s="18" t="n">
        <v>20535.28</v>
      </c>
      <c r="Z39" s="37" t="n">
        <v>20535.28</v>
      </c>
      <c r="AA39" s="18" t="n">
        <v>20535.28</v>
      </c>
      <c r="AB39" s="19" t="n">
        <v>20535.28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자본잉여금</t>
        </is>
      </c>
      <c r="E40" s="18" t="n">
        <v>101695.16</v>
      </c>
      <c r="F40" s="37" t="n">
        <v>101695.16</v>
      </c>
      <c r="G40" s="18" t="n">
        <v>101695.16</v>
      </c>
      <c r="H40" s="18" t="n">
        <v>101695.16</v>
      </c>
      <c r="I40" s="18" t="n">
        <v>101695.16</v>
      </c>
      <c r="J40" s="18" t="n">
        <v>101695.16</v>
      </c>
      <c r="K40" s="37" t="n">
        <v>101695.16</v>
      </c>
      <c r="L40" s="18" t="n">
        <v>101695.16</v>
      </c>
      <c r="M40" s="18" t="n">
        <v>101695.16</v>
      </c>
      <c r="N40" s="18" t="n">
        <v>101695.16</v>
      </c>
      <c r="O40" s="18" t="n">
        <v>101695.16</v>
      </c>
      <c r="P40" s="37" t="n">
        <v>101695.16</v>
      </c>
      <c r="Q40" s="18" t="n">
        <v>101695.16</v>
      </c>
      <c r="R40" s="18" t="n">
        <v>101695.16</v>
      </c>
      <c r="S40" s="18" t="n">
        <v>101695.16</v>
      </c>
      <c r="T40" s="18" t="n">
        <v>101695.16</v>
      </c>
      <c r="U40" s="37" t="n">
        <v>101695.16</v>
      </c>
      <c r="V40" s="18" t="n">
        <v>101695.16</v>
      </c>
      <c r="W40" s="18" t="n">
        <v>101695.16</v>
      </c>
      <c r="X40" s="18" t="n">
        <v>101695.16</v>
      </c>
      <c r="Y40" s="18" t="n">
        <v>101695.16</v>
      </c>
      <c r="Z40" s="37" t="n">
        <v>101695.16</v>
      </c>
      <c r="AA40" s="18" t="n">
        <v>101695.16</v>
      </c>
      <c r="AB40" s="19" t="n">
        <v>101695.16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기타자본</t>
        </is>
      </c>
      <c r="E41" s="18" t="n">
        <v>-3428.12</v>
      </c>
      <c r="F41" s="37" t="n">
        <v>-3428.12</v>
      </c>
      <c r="G41" s="18" t="n">
        <v>-3428.12</v>
      </c>
      <c r="H41" s="18" t="n">
        <v>-3428.12</v>
      </c>
      <c r="I41" s="18" t="n">
        <v>-3428.12</v>
      </c>
      <c r="J41" s="18" t="n">
        <v>-3428.12</v>
      </c>
      <c r="K41" s="37" t="n">
        <v>-3428.12</v>
      </c>
      <c r="L41" s="18" t="n">
        <v>-3428.12</v>
      </c>
      <c r="M41" s="18" t="n">
        <v>-3428.12</v>
      </c>
      <c r="N41" s="18" t="n">
        <v>-3428.12</v>
      </c>
      <c r="O41" s="18" t="n">
        <v>-3428.12</v>
      </c>
      <c r="P41" s="37" t="n">
        <v>-3428.12</v>
      </c>
      <c r="Q41" s="18" t="n">
        <v>-3428.12</v>
      </c>
      <c r="R41" s="18" t="n">
        <v>-3428.12</v>
      </c>
      <c r="S41" s="18" t="n">
        <v>-3428.12</v>
      </c>
      <c r="T41" s="18" t="n">
        <v>-3428.12</v>
      </c>
      <c r="U41" s="37" t="n">
        <v>-3428.12</v>
      </c>
      <c r="V41" s="18" t="n">
        <v>-3428.12</v>
      </c>
      <c r="W41" s="18" t="n">
        <v>-3428.12</v>
      </c>
      <c r="X41" s="18" t="n">
        <v>-3428.12</v>
      </c>
      <c r="Y41" s="18" t="n">
        <v>-3428.12</v>
      </c>
      <c r="Z41" s="37" t="n">
        <v>-3428.12</v>
      </c>
      <c r="AA41" s="18" t="n">
        <v>-3428.12</v>
      </c>
      <c r="AB41" s="19" t="n">
        <v>0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기타포괄이익누계액</t>
        </is>
      </c>
      <c r="E42" s="18" t="n">
        <v>406.65</v>
      </c>
      <c r="F42" s="37" t="n">
        <v>406.65</v>
      </c>
      <c r="G42" s="18" t="n">
        <v>430.45</v>
      </c>
      <c r="H42" s="18" t="n">
        <v>532.98</v>
      </c>
      <c r="I42" s="18" t="n">
        <v>839.48</v>
      </c>
      <c r="J42" s="18" t="n">
        <v>418.07</v>
      </c>
      <c r="K42" s="37" t="n">
        <v>418.07</v>
      </c>
      <c r="L42" s="18" t="n">
        <v>572.28</v>
      </c>
      <c r="M42" s="18" t="n">
        <v>490.81</v>
      </c>
      <c r="N42" s="18" t="n">
        <v>505.45</v>
      </c>
      <c r="O42" s="18" t="n">
        <v>382.17</v>
      </c>
      <c r="P42" s="37" t="n">
        <v>382.17</v>
      </c>
      <c r="Q42" s="18" t="n">
        <v>404.86</v>
      </c>
      <c r="R42" s="18" t="n">
        <v>446.62</v>
      </c>
      <c r="S42" s="18" t="n">
        <v>519.65</v>
      </c>
      <c r="T42" s="18" t="n">
        <v>865.73</v>
      </c>
      <c r="U42" s="37" t="n">
        <v>865.73</v>
      </c>
      <c r="V42" s="18" t="n">
        <v>804.71</v>
      </c>
      <c r="W42" s="18" t="n">
        <v>167.49</v>
      </c>
      <c r="X42" s="18" t="n">
        <v>320.95</v>
      </c>
      <c r="Y42" s="18" t="n">
        <v>630.9400000000001</v>
      </c>
      <c r="Z42" s="37" t="n">
        <v>630.9400000000001</v>
      </c>
      <c r="AA42" s="18" t="n">
        <v>1017.21</v>
      </c>
      <c r="AB42" s="19" t="n">
        <v>1145.84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이익잉여금</t>
        </is>
      </c>
      <c r="E43" s="18" t="n">
        <v>369848.5</v>
      </c>
      <c r="F43" s="37" t="n">
        <v>369848.5</v>
      </c>
      <c r="G43" s="18" t="n">
        <v>369843.9</v>
      </c>
      <c r="H43" s="18" t="n">
        <v>369126.88</v>
      </c>
      <c r="I43" s="18" t="n">
        <v>369671.92</v>
      </c>
      <c r="J43" s="18" t="n">
        <v>319312.71</v>
      </c>
      <c r="K43" s="37" t="n">
        <v>319312.71</v>
      </c>
      <c r="L43" s="18" t="n">
        <v>312360.92</v>
      </c>
      <c r="M43" s="18" t="n">
        <v>314276.68</v>
      </c>
      <c r="N43" s="18" t="n">
        <v>314099.31</v>
      </c>
      <c r="O43" s="18" t="n">
        <v>283172.31</v>
      </c>
      <c r="P43" s="37" t="n">
        <v>283172.31</v>
      </c>
      <c r="Q43" s="18" t="n">
        <v>287903.48</v>
      </c>
      <c r="R43" s="18" t="n">
        <v>293518.91</v>
      </c>
      <c r="S43" s="18" t="n">
        <v>297728.38</v>
      </c>
      <c r="T43" s="18" t="n">
        <v>292075.69</v>
      </c>
      <c r="U43" s="37" t="n">
        <v>292075.69</v>
      </c>
      <c r="V43" s="18" t="n">
        <v>295974.85</v>
      </c>
      <c r="W43" s="18" t="n">
        <v>296573.74</v>
      </c>
      <c r="X43" s="18" t="n">
        <v>299557.26</v>
      </c>
      <c r="Y43" s="18" t="n">
        <v>298638.41</v>
      </c>
      <c r="Z43" s="37" t="n">
        <v>298638.41</v>
      </c>
      <c r="AA43" s="18" t="n">
        <v>297213.28</v>
      </c>
      <c r="AB43" s="19" t="n">
        <v>297286.15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자본총계</t>
        </is>
      </c>
      <c r="E44" s="18" t="n">
        <v>489057.48</v>
      </c>
      <c r="F44" s="37" t="n">
        <v>489057.48</v>
      </c>
      <c r="G44" s="18" t="n">
        <v>489076.67</v>
      </c>
      <c r="H44" s="18" t="n">
        <v>488462.18</v>
      </c>
      <c r="I44" s="18" t="n">
        <v>489313.72</v>
      </c>
      <c r="J44" s="18" t="n">
        <v>438533.11</v>
      </c>
      <c r="K44" s="37" t="n">
        <v>438533.11</v>
      </c>
      <c r="L44" s="18" t="n">
        <v>431735.52</v>
      </c>
      <c r="M44" s="18" t="n">
        <v>433569.82</v>
      </c>
      <c r="N44" s="18" t="n">
        <v>433407.08</v>
      </c>
      <c r="O44" s="18" t="n">
        <v>402356.81</v>
      </c>
      <c r="P44" s="37" t="n">
        <v>402356.81</v>
      </c>
      <c r="Q44" s="18" t="n">
        <v>407110.67</v>
      </c>
      <c r="R44" s="18" t="n">
        <v>412767.85</v>
      </c>
      <c r="S44" s="18" t="n">
        <v>417050.36</v>
      </c>
      <c r="T44" s="18" t="n">
        <v>411743.74</v>
      </c>
      <c r="U44" s="37" t="n">
        <v>411743.74</v>
      </c>
      <c r="V44" s="18" t="n">
        <v>415581.89</v>
      </c>
      <c r="W44" s="18" t="n">
        <v>415543.55</v>
      </c>
      <c r="X44" s="18" t="n">
        <v>418680.54</v>
      </c>
      <c r="Y44" s="18" t="n">
        <v>418071.67</v>
      </c>
      <c r="Z44" s="37" t="n">
        <v>418071.67</v>
      </c>
      <c r="AA44" s="18" t="n">
        <v>417032.82</v>
      </c>
      <c r="AB44" s="19" t="n">
        <v>420662.43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부채와자본총계</t>
        </is>
      </c>
      <c r="E45" s="18" t="n">
        <v>863648.5</v>
      </c>
      <c r="F45" s="37" t="n">
        <v>863648.5</v>
      </c>
      <c r="G45" s="18" t="n">
        <v>817564</v>
      </c>
      <c r="H45" s="18" t="n">
        <v>839501.79</v>
      </c>
      <c r="I45" s="18" t="n">
        <v>867034.91</v>
      </c>
      <c r="J45" s="18" t="n">
        <v>854159.33</v>
      </c>
      <c r="K45" s="37" t="n">
        <v>854159.33</v>
      </c>
      <c r="L45" s="18" t="n">
        <v>838013.67</v>
      </c>
      <c r="M45" s="18" t="n">
        <v>865515.17</v>
      </c>
      <c r="N45" s="18" t="n">
        <v>923104.45</v>
      </c>
      <c r="O45" s="18" t="n">
        <v>899461.3199999999</v>
      </c>
      <c r="P45" s="37" t="n">
        <v>899461.3199999999</v>
      </c>
      <c r="Q45" s="18" t="n">
        <v>938339.78</v>
      </c>
      <c r="R45" s="18" t="n">
        <v>909052.97</v>
      </c>
      <c r="S45" s="18" t="n">
        <v>890813.9</v>
      </c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총차입금</t>
        </is>
      </c>
      <c r="E46" s="18" t="n">
        <v>35099.71</v>
      </c>
      <c r="F46" s="37" t="n">
        <v>35099.71</v>
      </c>
      <c r="G46" s="18" t="n">
        <v>24437.37</v>
      </c>
      <c r="H46" s="18" t="n">
        <v>32106.38</v>
      </c>
      <c r="I46" s="18" t="n">
        <v>54518.98</v>
      </c>
      <c r="J46" s="18" t="n">
        <v>110249.27</v>
      </c>
      <c r="K46" s="37" t="n">
        <v>110249.27</v>
      </c>
      <c r="L46" s="18" t="n">
        <v>108106.13</v>
      </c>
      <c r="M46" s="18" t="n">
        <v>112103.33</v>
      </c>
      <c r="N46" s="18" t="n">
        <v>171173.75</v>
      </c>
      <c r="O46" s="18" t="n">
        <v>139400.84</v>
      </c>
      <c r="P46" s="37" t="n">
        <v>139400.84</v>
      </c>
      <c r="Q46" s="18" t="n">
        <v>154166.12</v>
      </c>
      <c r="R46" s="18" t="n">
        <v>132391.88</v>
      </c>
      <c r="S46" s="18" t="n">
        <v>136069.5</v>
      </c>
      <c r="U46" s="9" t="n"/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순차입금</t>
        </is>
      </c>
      <c r="E47" s="18" t="n">
        <v>11869.08</v>
      </c>
      <c r="F47" s="37" t="n">
        <v>11869.08</v>
      </c>
      <c r="G47" s="18" t="n">
        <v>5707.5</v>
      </c>
      <c r="H47" s="18" t="n">
        <v>13708.78</v>
      </c>
      <c r="I47" s="18" t="n">
        <v>34206.53</v>
      </c>
      <c r="J47" s="18" t="n">
        <v>87538.27</v>
      </c>
      <c r="K47" s="37" t="n">
        <v>87538.27</v>
      </c>
      <c r="L47" s="18" t="n">
        <v>83557.75</v>
      </c>
      <c r="M47" s="18" t="n">
        <v>92189.5</v>
      </c>
      <c r="N47" s="18" t="n">
        <v>149444.81</v>
      </c>
      <c r="O47" s="18" t="n">
        <v>112630.42</v>
      </c>
      <c r="P47" s="37" t="n">
        <v>112630.42</v>
      </c>
      <c r="Q47" s="18" t="n">
        <v>139581.38</v>
      </c>
      <c r="R47" s="18" t="n">
        <v>112479.31</v>
      </c>
      <c r="S47" s="18" t="n">
        <v>68670.03</v>
      </c>
      <c r="U47" s="9" t="n"/>
      <c r="Z47" s="9" t="n"/>
      <c r="AB47" s="5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이자발생자산</t>
        </is>
      </c>
      <c r="E48" s="18" t="n">
        <v>58423.31</v>
      </c>
      <c r="F48" s="37" t="n">
        <v>58423.31</v>
      </c>
      <c r="G48" s="18" t="n">
        <v>54165.24</v>
      </c>
      <c r="H48" s="18" t="n">
        <v>53946.71</v>
      </c>
      <c r="I48" s="18" t="n">
        <v>55290.38</v>
      </c>
      <c r="J48" s="18" t="n">
        <v>56697.41</v>
      </c>
      <c r="K48" s="37" t="n">
        <v>56697.41</v>
      </c>
      <c r="L48" s="18" t="n">
        <v>62271.32</v>
      </c>
      <c r="M48" s="18" t="n">
        <v>57962.48</v>
      </c>
      <c r="N48" s="18" t="n">
        <v>58510.38</v>
      </c>
      <c r="O48" s="18" t="n">
        <v>63763.12</v>
      </c>
      <c r="P48" s="37" t="n">
        <v>63763.12</v>
      </c>
      <c r="Q48" s="18" t="n">
        <v>48619.3</v>
      </c>
      <c r="R48" s="18" t="n">
        <v>50151.18</v>
      </c>
      <c r="S48" s="18" t="n">
        <v>97407.13</v>
      </c>
      <c r="T48" s="18" t="n">
        <v>49095.08</v>
      </c>
      <c r="U48" s="37" t="n">
        <v>49095.08</v>
      </c>
      <c r="V48" s="18" t="n">
        <v>49822.6</v>
      </c>
      <c r="W48" s="18" t="n">
        <v>60449.09</v>
      </c>
      <c r="X48" s="18" t="n">
        <v>45971.97</v>
      </c>
      <c r="Y48" s="18" t="n">
        <v>42166.56</v>
      </c>
      <c r="Z48" s="37" t="n">
        <v>42166.56</v>
      </c>
      <c r="AA48" s="18" t="n">
        <v>54109.22</v>
      </c>
      <c r="AB48" s="19" t="n">
        <v>90048.42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확정급여부채</t>
        </is>
      </c>
      <c r="F49" s="9" t="n"/>
      <c r="G49" s="18" t="n">
        <v>2125.59</v>
      </c>
      <c r="H49" s="18" t="n">
        <v>3506.51</v>
      </c>
      <c r="I49" s="18" t="n">
        <v>4753.9</v>
      </c>
      <c r="J49" s="18" t="n">
        <v>0</v>
      </c>
      <c r="K49" s="37" t="n">
        <v>0</v>
      </c>
      <c r="L49" s="18" t="n">
        <v>0</v>
      </c>
      <c r="M49" s="18" t="n">
        <v>0</v>
      </c>
      <c r="N49" s="18" t="n">
        <v>0</v>
      </c>
      <c r="P49" s="9" t="n"/>
      <c r="S49" s="18" t="n">
        <v>143.49</v>
      </c>
      <c r="T49" s="18" t="n">
        <v>32.18</v>
      </c>
      <c r="U49" s="37" t="n">
        <v>32.18</v>
      </c>
      <c r="V49" s="18" t="n">
        <v>236.31</v>
      </c>
      <c r="W49" s="18" t="n">
        <v>395.33</v>
      </c>
      <c r="X49" s="18" t="n">
        <v>1135.56</v>
      </c>
      <c r="Z49" s="9" t="n"/>
      <c r="AB49" s="19" t="n">
        <v>28.61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유동리스부채</t>
        </is>
      </c>
      <c r="F50" s="9" t="n"/>
      <c r="K50" s="9" t="n"/>
      <c r="O50" s="18" t="n">
        <v>12149.65</v>
      </c>
      <c r="P50" s="37" t="n">
        <v>12149.65</v>
      </c>
      <c r="Q50" s="18" t="n">
        <v>11712.93</v>
      </c>
      <c r="R50" s="18" t="n">
        <v>12440.27</v>
      </c>
      <c r="S50" s="18" t="n">
        <v>13016.84</v>
      </c>
      <c r="T50" s="18" t="n">
        <v>12863.34</v>
      </c>
      <c r="U50" s="37" t="n">
        <v>12863.34</v>
      </c>
      <c r="V50" s="18" t="n">
        <v>12380.73</v>
      </c>
      <c r="W50" s="18" t="n">
        <v>12014.42</v>
      </c>
      <c r="X50" s="18" t="n">
        <v>12150.44</v>
      </c>
      <c r="Y50" s="18" t="n">
        <v>11227.59</v>
      </c>
      <c r="Z50" s="37" t="n">
        <v>11227.59</v>
      </c>
      <c r="AA50" s="18" t="n">
        <v>11184.55</v>
      </c>
      <c r="AB50" s="19" t="n">
        <v>11480.96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리스부채</t>
        </is>
      </c>
      <c r="F51" s="9" t="n"/>
      <c r="K51" s="9" t="n"/>
      <c r="O51" s="18" t="n">
        <v>41244.88</v>
      </c>
      <c r="P51" s="37" t="n">
        <v>41244.88</v>
      </c>
      <c r="Q51" s="18" t="n">
        <v>38815.65</v>
      </c>
      <c r="R51" s="18" t="n">
        <v>39412.88</v>
      </c>
      <c r="S51" s="18" t="n">
        <v>39442.78</v>
      </c>
      <c r="T51" s="18" t="n">
        <v>37063.78</v>
      </c>
      <c r="U51" s="37" t="n">
        <v>37063.78</v>
      </c>
      <c r="V51" s="18" t="n">
        <v>34590.38</v>
      </c>
      <c r="W51" s="18" t="n">
        <v>33097.99</v>
      </c>
      <c r="X51" s="18" t="n">
        <v>33344.73</v>
      </c>
      <c r="Y51" s="18" t="n">
        <v>30145.75</v>
      </c>
      <c r="Z51" s="37" t="n">
        <v>30145.75</v>
      </c>
      <c r="AA51" s="18" t="n">
        <v>29119.28</v>
      </c>
      <c r="AB51" s="19" t="n">
        <v>28510.62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단기금융부채</t>
        </is>
      </c>
      <c r="F52" s="9" t="n"/>
      <c r="K52" s="9" t="n"/>
      <c r="O52" s="18" t="n">
        <v>12149.65</v>
      </c>
      <c r="P52" s="37" t="n">
        <v>12149.65</v>
      </c>
      <c r="Q52" s="18" t="n">
        <v>11712.93</v>
      </c>
      <c r="R52" s="18" t="n">
        <v>12440.27</v>
      </c>
      <c r="S52" s="18" t="n">
        <v>13016.84</v>
      </c>
      <c r="T52" s="18" t="n">
        <v>94600.99000000001</v>
      </c>
      <c r="U52" s="37" t="n">
        <v>94600.99000000001</v>
      </c>
      <c r="V52" s="18" t="n">
        <v>112294.86</v>
      </c>
      <c r="W52" s="18" t="n">
        <v>114122.67</v>
      </c>
      <c r="X52" s="18" t="n">
        <v>117805.88</v>
      </c>
      <c r="Y52" s="18" t="n">
        <v>112856.51</v>
      </c>
      <c r="Z52" s="37" t="n">
        <v>112856.51</v>
      </c>
      <c r="AA52" s="18" t="n">
        <v>99188.62</v>
      </c>
      <c r="AB52" s="19" t="n">
        <v>63305.55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비유동리스부채</t>
        </is>
      </c>
      <c r="F53" s="9" t="n"/>
      <c r="K53" s="9" t="n"/>
      <c r="O53" s="18" t="n">
        <v>29095.23</v>
      </c>
      <c r="P53" s="37" t="n">
        <v>29095.23</v>
      </c>
      <c r="Q53" s="18" t="n">
        <v>27102.72</v>
      </c>
      <c r="R53" s="18" t="n">
        <v>26972.61</v>
      </c>
      <c r="S53" s="18" t="n">
        <v>26425.94</v>
      </c>
      <c r="T53" s="18" t="n">
        <v>24200.44</v>
      </c>
      <c r="U53" s="37" t="n">
        <v>24200.44</v>
      </c>
      <c r="V53" s="18" t="n">
        <v>22209.65</v>
      </c>
      <c r="W53" s="18" t="n">
        <v>21083.57</v>
      </c>
      <c r="X53" s="18" t="n">
        <v>21194.29</v>
      </c>
      <c r="Y53" s="18" t="n">
        <v>18918.16</v>
      </c>
      <c r="Z53" s="37" t="n">
        <v>18918.16</v>
      </c>
      <c r="AA53" s="18" t="n">
        <v>17934.73</v>
      </c>
      <c r="AB53" s="19" t="n">
        <v>17029.66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장기금융부채</t>
        </is>
      </c>
      <c r="F54" s="9" t="n"/>
      <c r="K54" s="9" t="n"/>
      <c r="O54" s="18" t="n">
        <v>29095.23</v>
      </c>
      <c r="P54" s="37" t="n">
        <v>29095.23</v>
      </c>
      <c r="Q54" s="18" t="n">
        <v>27102.72</v>
      </c>
      <c r="R54" s="18" t="n">
        <v>26972.61</v>
      </c>
      <c r="S54" s="18" t="n">
        <v>26425.94</v>
      </c>
      <c r="T54" s="18" t="n">
        <v>54320.69</v>
      </c>
      <c r="U54" s="37" t="n">
        <v>54320.69</v>
      </c>
      <c r="V54" s="18" t="n">
        <v>52308.07</v>
      </c>
      <c r="W54" s="18" t="n">
        <v>31235.67</v>
      </c>
      <c r="X54" s="18" t="n">
        <v>21377.76</v>
      </c>
      <c r="Y54" s="18" t="n">
        <v>19161.04</v>
      </c>
      <c r="Z54" s="37" t="n">
        <v>19161.04</v>
      </c>
      <c r="AA54" s="18" t="n">
        <v>58053.8</v>
      </c>
      <c r="AB54" s="19" t="n">
        <v>77247.42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기타유동금융자산</t>
        </is>
      </c>
      <c r="F55" s="9" t="n"/>
      <c r="K55" s="9" t="n"/>
      <c r="P55" s="9" t="n"/>
      <c r="T55" s="18" t="n">
        <v>10324.1</v>
      </c>
      <c r="U55" s="37" t="n">
        <v>10324.1</v>
      </c>
      <c r="V55" s="18" t="n">
        <v>10514.81</v>
      </c>
      <c r="W55" s="18" t="n">
        <v>11961.21</v>
      </c>
      <c r="X55" s="18" t="n">
        <v>10677.39</v>
      </c>
      <c r="Y55" s="18" t="n">
        <v>14549.44</v>
      </c>
      <c r="Z55" s="37" t="n">
        <v>14549.44</v>
      </c>
      <c r="AA55" s="18" t="n">
        <v>36301.28</v>
      </c>
      <c r="AB55" s="19" t="n">
        <v>28583.37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장기매출채권및기타채권</t>
        </is>
      </c>
      <c r="F56" s="9" t="n"/>
      <c r="K56" s="9" t="n"/>
      <c r="P56" s="9" t="n"/>
      <c r="T56" s="18" t="n">
        <v>16338.41</v>
      </c>
      <c r="U56" s="37" t="n">
        <v>16338.41</v>
      </c>
      <c r="V56" s="18" t="n">
        <v>13951.11</v>
      </c>
      <c r="W56" s="18" t="n">
        <v>12584.33</v>
      </c>
      <c r="X56" s="18" t="n">
        <v>13009.25</v>
      </c>
      <c r="Y56" s="18" t="n">
        <v>14129.7</v>
      </c>
      <c r="Z56" s="37" t="n">
        <v>14129.7</v>
      </c>
      <c r="AA56" s="18" t="n">
        <v>1884.18</v>
      </c>
      <c r="AB56" s="19" t="n">
        <v>2414.84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기타유동금융부채</t>
        </is>
      </c>
      <c r="F57" s="9" t="n"/>
      <c r="K57" s="9" t="n"/>
      <c r="P57" s="9" t="n"/>
      <c r="T57" s="18" t="n">
        <v>81737.64999999999</v>
      </c>
      <c r="U57" s="37" t="n">
        <v>81737.64999999999</v>
      </c>
      <c r="V57" s="18" t="n">
        <v>99914.13</v>
      </c>
      <c r="W57" s="18" t="n">
        <v>102108.25</v>
      </c>
      <c r="X57" s="18" t="n">
        <v>105655.44</v>
      </c>
      <c r="Y57" s="18" t="n">
        <v>101628.92</v>
      </c>
      <c r="Z57" s="37" t="n">
        <v>101628.92</v>
      </c>
      <c r="AA57" s="18" t="n">
        <v>88004.07000000001</v>
      </c>
      <c r="AB57" s="19" t="n">
        <v>51824.59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기타비유동금융부채</t>
        </is>
      </c>
      <c r="F58" s="9" t="n"/>
      <c r="K58" s="9" t="n"/>
      <c r="P58" s="9" t="n"/>
      <c r="T58" s="18" t="n">
        <v>30120.25</v>
      </c>
      <c r="U58" s="37" t="n">
        <v>30120.25</v>
      </c>
      <c r="V58" s="18" t="n">
        <v>30098.42</v>
      </c>
      <c r="W58" s="18" t="n">
        <v>10152.1</v>
      </c>
      <c r="X58" s="18" t="n">
        <v>183.47</v>
      </c>
      <c r="Y58" s="18" t="n">
        <v>242.88</v>
      </c>
      <c r="Z58" s="37" t="n">
        <v>242.88</v>
      </c>
      <c r="AA58" s="18" t="n">
        <v>40119.07</v>
      </c>
      <c r="AB58" s="19" t="n">
        <v>60217.76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비지배주주지분</t>
        </is>
      </c>
      <c r="F59" s="9" t="n"/>
      <c r="K59" s="9" t="n"/>
      <c r="P59" s="9" t="n"/>
      <c r="T59" s="18" t="n">
        <v>0</v>
      </c>
      <c r="U59" s="37" t="n">
        <v>0</v>
      </c>
      <c r="Z59" s="9" t="n"/>
      <c r="AB59" s="5" t="n"/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매출액(수익)</t>
        </is>
      </c>
      <c r="E60" s="18" t="n">
        <v>371878.68</v>
      </c>
      <c r="F60" s="9" t="n"/>
      <c r="G60" s="18" t="n">
        <v>368754.95</v>
      </c>
      <c r="H60" s="18" t="n">
        <v>360072.1</v>
      </c>
      <c r="I60" s="18" t="n">
        <v>364281.71</v>
      </c>
      <c r="J60" s="18" t="n">
        <v>402592.35</v>
      </c>
      <c r="K60" s="37" t="n">
        <v>1495701.11</v>
      </c>
      <c r="L60" s="18" t="n">
        <v>370218.98</v>
      </c>
      <c r="M60" s="18" t="n">
        <v>398671.34</v>
      </c>
      <c r="N60" s="18" t="n">
        <v>396614.25</v>
      </c>
      <c r="O60" s="18" t="n">
        <v>420200.37</v>
      </c>
      <c r="P60" s="37" t="n">
        <v>1585704.94</v>
      </c>
      <c r="Q60" s="18" t="n">
        <v>504787.43</v>
      </c>
      <c r="R60" s="18" t="n">
        <v>496957.05</v>
      </c>
      <c r="S60" s="18" t="n">
        <v>454114.68</v>
      </c>
      <c r="T60" s="18" t="n">
        <v>414797.84</v>
      </c>
      <c r="U60" s="37" t="n">
        <v>1870657</v>
      </c>
      <c r="V60" s="18" t="n">
        <v>437760.42</v>
      </c>
      <c r="W60" s="18" t="n">
        <v>409870.55</v>
      </c>
      <c r="X60" s="18" t="n">
        <v>340655.2</v>
      </c>
      <c r="Y60" s="18" t="n">
        <v>357919.88</v>
      </c>
      <c r="Z60" s="37" t="n">
        <v>1546206.05</v>
      </c>
      <c r="AA60" s="18" t="n">
        <v>355935.36</v>
      </c>
      <c r="AB60" s="19" t="n">
        <v>373133.4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매출원가</t>
        </is>
      </c>
      <c r="E61" s="18" t="n">
        <v>308261.66</v>
      </c>
      <c r="F61" s="9" t="n"/>
      <c r="G61" s="18" t="n">
        <v>305509.61</v>
      </c>
      <c r="H61" s="18" t="n">
        <v>300475.38</v>
      </c>
      <c r="I61" s="18" t="n">
        <v>303416.33</v>
      </c>
      <c r="J61" s="18" t="n">
        <v>372721.91</v>
      </c>
      <c r="K61" s="37" t="n">
        <v>1282123.23</v>
      </c>
      <c r="L61" s="18" t="n">
        <v>320220.84</v>
      </c>
      <c r="M61" s="18" t="n">
        <v>337334.19</v>
      </c>
      <c r="N61" s="18" t="n">
        <v>332290.86</v>
      </c>
      <c r="O61" s="18" t="n">
        <v>371958.05</v>
      </c>
      <c r="P61" s="37" t="n">
        <v>1361803.94</v>
      </c>
      <c r="Q61" s="18" t="n">
        <v>433314.47</v>
      </c>
      <c r="R61" s="18" t="n">
        <v>424748.49</v>
      </c>
      <c r="S61" s="18" t="n">
        <v>381817.74</v>
      </c>
      <c r="T61" s="18" t="n">
        <v>345557.7</v>
      </c>
      <c r="U61" s="37" t="n">
        <v>1585438.4</v>
      </c>
      <c r="V61" s="18" t="n">
        <v>361613.8</v>
      </c>
      <c r="W61" s="18" t="n">
        <v>336420.78</v>
      </c>
      <c r="X61" s="18" t="n">
        <v>270841.4</v>
      </c>
      <c r="Y61" s="18" t="n">
        <v>309239.3</v>
      </c>
      <c r="Z61" s="37" t="n">
        <v>1278115.28</v>
      </c>
      <c r="AA61" s="18" t="n">
        <v>293723.68</v>
      </c>
      <c r="AB61" s="19" t="n">
        <v>309561.68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매출총이익</t>
        </is>
      </c>
      <c r="E62" s="18" t="n">
        <v>63617.02</v>
      </c>
      <c r="F62" s="9" t="n"/>
      <c r="G62" s="18" t="n">
        <v>63245.34</v>
      </c>
      <c r="H62" s="18" t="n">
        <v>59596.71</v>
      </c>
      <c r="I62" s="18" t="n">
        <v>60865.38</v>
      </c>
      <c r="J62" s="18" t="n">
        <v>29870.44</v>
      </c>
      <c r="K62" s="37" t="n">
        <v>213577.87</v>
      </c>
      <c r="L62" s="18" t="n">
        <v>49998.14</v>
      </c>
      <c r="M62" s="18" t="n">
        <v>61337.15</v>
      </c>
      <c r="N62" s="18" t="n">
        <v>64323.39</v>
      </c>
      <c r="O62" s="18" t="n">
        <v>48242.32</v>
      </c>
      <c r="P62" s="37" t="n">
        <v>223901</v>
      </c>
      <c r="Q62" s="18" t="n">
        <v>71472.96000000001</v>
      </c>
      <c r="R62" s="18" t="n">
        <v>72208.56</v>
      </c>
      <c r="S62" s="18" t="n">
        <v>72296.94</v>
      </c>
      <c r="T62" s="18" t="n">
        <v>69240.14</v>
      </c>
      <c r="U62" s="37" t="n">
        <v>285218.6</v>
      </c>
      <c r="V62" s="18" t="n">
        <v>76146.62</v>
      </c>
      <c r="W62" s="18" t="n">
        <v>73449.75999999999</v>
      </c>
      <c r="X62" s="18" t="n">
        <v>69813.8</v>
      </c>
      <c r="Y62" s="18" t="n">
        <v>48680.58</v>
      </c>
      <c r="Z62" s="37" t="n">
        <v>268090.76</v>
      </c>
      <c r="AA62" s="18" t="n">
        <v>62211.67</v>
      </c>
      <c r="AB62" s="19" t="n">
        <v>63571.72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판관비</t>
        </is>
      </c>
      <c r="E63" s="18" t="n">
        <v>62289.75</v>
      </c>
      <c r="F63" s="9" t="n"/>
      <c r="G63" s="18" t="n">
        <v>60329.67</v>
      </c>
      <c r="H63" s="18" t="n">
        <v>59882.58</v>
      </c>
      <c r="I63" s="18" t="n">
        <v>60355.25</v>
      </c>
      <c r="J63" s="18" t="n">
        <v>60905.7</v>
      </c>
      <c r="K63" s="37" t="n">
        <v>241473.2</v>
      </c>
      <c r="L63" s="18" t="n">
        <v>57603.07</v>
      </c>
      <c r="M63" s="18" t="n">
        <v>57861.25</v>
      </c>
      <c r="N63" s="18" t="n">
        <v>63074.58</v>
      </c>
      <c r="O63" s="18" t="n">
        <v>65214.23</v>
      </c>
      <c r="P63" s="37" t="n">
        <v>243753.13</v>
      </c>
      <c r="Q63" s="18" t="n">
        <v>64674.16</v>
      </c>
      <c r="R63" s="18" t="n">
        <v>64038.49</v>
      </c>
      <c r="S63" s="18" t="n">
        <v>62533.12</v>
      </c>
      <c r="T63" s="18" t="n">
        <v>69936.28</v>
      </c>
      <c r="U63" s="37" t="n">
        <v>261182.05</v>
      </c>
      <c r="V63" s="18" t="n">
        <v>66634.87</v>
      </c>
      <c r="W63" s="18" t="n">
        <v>68369.92999999999</v>
      </c>
      <c r="X63" s="18" t="n">
        <v>66076.66</v>
      </c>
      <c r="Y63" s="18" t="n">
        <v>51291.95</v>
      </c>
      <c r="Z63" s="37" t="n">
        <v>252373.41</v>
      </c>
      <c r="AA63" s="18" t="n">
        <v>61159.14</v>
      </c>
      <c r="AB63" s="19" t="n">
        <v>58013.19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영업이익</t>
        </is>
      </c>
      <c r="E64" s="18" t="n">
        <v>1327.27</v>
      </c>
      <c r="F64" s="9" t="n"/>
      <c r="G64" s="18" t="n">
        <v>2915.68</v>
      </c>
      <c r="H64" s="18" t="n">
        <v>-285.87</v>
      </c>
      <c r="I64" s="18" t="n">
        <v>510.13</v>
      </c>
      <c r="J64" s="18" t="n">
        <v>-31035.26</v>
      </c>
      <c r="K64" s="37" t="n">
        <v>-27895.32</v>
      </c>
      <c r="L64" s="18" t="n">
        <v>-7604.93</v>
      </c>
      <c r="M64" s="18" t="n">
        <v>3475.9</v>
      </c>
      <c r="N64" s="18" t="n">
        <v>1248.81</v>
      </c>
      <c r="O64" s="18" t="n">
        <v>-16971.91</v>
      </c>
      <c r="P64" s="37" t="n">
        <v>-19852.13</v>
      </c>
      <c r="Q64" s="18" t="n">
        <v>6798.8</v>
      </c>
      <c r="R64" s="18" t="n">
        <v>8170.07</v>
      </c>
      <c r="S64" s="18" t="n">
        <v>9763.82</v>
      </c>
      <c r="T64" s="18" t="n">
        <v>-696.14</v>
      </c>
      <c r="U64" s="37" t="n">
        <v>24036.55</v>
      </c>
      <c r="V64" s="18" t="n">
        <v>9511.74</v>
      </c>
      <c r="W64" s="18" t="n">
        <v>5079.83</v>
      </c>
      <c r="X64" s="18" t="n">
        <v>3737.14</v>
      </c>
      <c r="Y64" s="18" t="n">
        <v>-2611.37</v>
      </c>
      <c r="Z64" s="37" t="n">
        <v>15717.34</v>
      </c>
      <c r="AA64" s="18" t="n">
        <v>1052.53</v>
      </c>
      <c r="AB64" s="19" t="n">
        <v>5558.53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기타영업외수익</t>
        </is>
      </c>
      <c r="E65" s="18" t="n">
        <v>178.86</v>
      </c>
      <c r="F65" s="9" t="n"/>
      <c r="G65" s="18" t="n">
        <v>199.15</v>
      </c>
      <c r="H65" s="18" t="n">
        <v>144.43</v>
      </c>
      <c r="I65" s="18" t="n">
        <v>129.56</v>
      </c>
      <c r="J65" s="18" t="n">
        <v>40.09</v>
      </c>
      <c r="K65" s="37" t="n">
        <v>513.23</v>
      </c>
      <c r="L65" s="18" t="n">
        <v>149.73</v>
      </c>
      <c r="M65" s="18" t="n">
        <v>133.12</v>
      </c>
      <c r="N65" s="18" t="n">
        <v>198.96</v>
      </c>
      <c r="O65" s="18" t="n">
        <v>349.13</v>
      </c>
      <c r="P65" s="37" t="n">
        <v>830.9400000000001</v>
      </c>
      <c r="Q65" s="18" t="n">
        <v>255.29</v>
      </c>
      <c r="R65" s="18" t="n">
        <v>314.35</v>
      </c>
      <c r="S65" s="18" t="n">
        <v>148.27</v>
      </c>
      <c r="T65" s="18" t="n">
        <v>225.29</v>
      </c>
      <c r="U65" s="37" t="n">
        <v>943.2</v>
      </c>
      <c r="V65" s="18" t="n">
        <v>272.48</v>
      </c>
      <c r="W65" s="18" t="n">
        <v>303.74</v>
      </c>
      <c r="X65" s="18" t="n">
        <v>162.38</v>
      </c>
      <c r="Y65" s="18" t="n">
        <v>304.76</v>
      </c>
      <c r="Z65" s="37" t="n">
        <v>1043.36</v>
      </c>
      <c r="AA65" s="18" t="n">
        <v>408.7</v>
      </c>
      <c r="AB65" s="19" t="n">
        <v>430.75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기타영업외비용</t>
        </is>
      </c>
      <c r="E66" s="18" t="n">
        <v>466.84</v>
      </c>
      <c r="F66" s="9" t="n"/>
      <c r="G66" s="18" t="n">
        <v>428.6</v>
      </c>
      <c r="H66" s="18" t="n">
        <v>169.21</v>
      </c>
      <c r="I66" s="18" t="n">
        <v>132.46</v>
      </c>
      <c r="J66" s="18" t="n">
        <v>30964.76</v>
      </c>
      <c r="K66" s="37" t="n">
        <v>31695.03</v>
      </c>
      <c r="L66" s="18" t="n">
        <v>497.31</v>
      </c>
      <c r="M66" s="18" t="n">
        <v>82.59</v>
      </c>
      <c r="N66" s="18" t="n">
        <v>-9.130000000000001</v>
      </c>
      <c r="O66" s="18" t="n">
        <v>14556.91</v>
      </c>
      <c r="P66" s="37" t="n">
        <v>15127.68</v>
      </c>
      <c r="Q66" s="18" t="n">
        <v>46.97</v>
      </c>
      <c r="R66" s="18" t="n">
        <v>63.57</v>
      </c>
      <c r="S66" s="18" t="n">
        <v>70.61</v>
      </c>
      <c r="T66" s="18" t="n">
        <v>186.13</v>
      </c>
      <c r="U66" s="37" t="n">
        <v>367.28</v>
      </c>
      <c r="V66" s="18" t="n">
        <v>36.59</v>
      </c>
      <c r="W66" s="18" t="n">
        <v>464.92</v>
      </c>
      <c r="X66" s="18" t="n">
        <v>65.34999999999999</v>
      </c>
      <c r="Y66" s="18" t="n">
        <v>1514.03</v>
      </c>
      <c r="Z66" s="37" t="n">
        <v>2080.89</v>
      </c>
      <c r="AA66" s="18" t="n">
        <v>66.08</v>
      </c>
      <c r="AB66" s="19" t="n">
        <v>842.14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금융수익</t>
        </is>
      </c>
      <c r="E67" s="18" t="n">
        <v>378.38</v>
      </c>
      <c r="F67" s="9" t="n"/>
      <c r="G67" s="18" t="n">
        <v>1424.07</v>
      </c>
      <c r="H67" s="18" t="n">
        <v>2590.55</v>
      </c>
      <c r="I67" s="18" t="n">
        <v>5450.18</v>
      </c>
      <c r="J67" s="18" t="n">
        <v>-1554.6</v>
      </c>
      <c r="K67" s="37" t="n">
        <v>7910.2</v>
      </c>
      <c r="L67" s="18" t="n">
        <v>2041.24</v>
      </c>
      <c r="M67" s="18" t="n">
        <v>1766.21</v>
      </c>
      <c r="N67" s="18" t="n">
        <v>1530.33</v>
      </c>
      <c r="O67" s="18" t="n">
        <v>-749.66</v>
      </c>
      <c r="P67" s="37" t="n">
        <v>4588.12</v>
      </c>
      <c r="Q67" s="18" t="n">
        <v>2325.18</v>
      </c>
      <c r="R67" s="18" t="n">
        <v>2061.65</v>
      </c>
      <c r="S67" s="18" t="n">
        <v>-1443.16</v>
      </c>
      <c r="T67" s="18" t="n">
        <v>4152.18</v>
      </c>
      <c r="U67" s="37" t="n">
        <v>7095.85</v>
      </c>
      <c r="V67" s="18" t="n">
        <v>844.91</v>
      </c>
      <c r="W67" s="18" t="n">
        <v>1174.92</v>
      </c>
      <c r="X67" s="18" t="n">
        <v>527.5599999999999</v>
      </c>
      <c r="Y67" s="18" t="n">
        <v>1426.27</v>
      </c>
      <c r="Z67" s="37" t="n">
        <v>3973.66</v>
      </c>
      <c r="AA67" s="18" t="n">
        <v>2573.56</v>
      </c>
      <c r="AB67" s="19" t="n">
        <v>2001.61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금융비용</t>
        </is>
      </c>
      <c r="E68" s="18" t="n">
        <v>644.05</v>
      </c>
      <c r="F68" s="9" t="n"/>
      <c r="G68" s="18" t="n">
        <v>1341.34</v>
      </c>
      <c r="H68" s="18" t="n">
        <v>3014.36</v>
      </c>
      <c r="I68" s="18" t="n">
        <v>5077.67</v>
      </c>
      <c r="J68" s="18" t="n">
        <v>5368.15</v>
      </c>
      <c r="K68" s="37" t="n">
        <v>14801.52</v>
      </c>
      <c r="L68" s="18" t="n">
        <v>2398.07</v>
      </c>
      <c r="M68" s="18" t="n">
        <v>2868.4</v>
      </c>
      <c r="N68" s="18" t="n">
        <v>2917.42</v>
      </c>
      <c r="O68" s="18" t="n">
        <v>2848.17</v>
      </c>
      <c r="P68" s="37" t="n">
        <v>11032.06</v>
      </c>
      <c r="Q68" s="18" t="n">
        <v>2951.06</v>
      </c>
      <c r="R68" s="18" t="n">
        <v>2996.86</v>
      </c>
      <c r="S68" s="18" t="n">
        <v>2511.45</v>
      </c>
      <c r="T68" s="18" t="n">
        <v>3023.89</v>
      </c>
      <c r="U68" s="37" t="n">
        <v>11483.26</v>
      </c>
      <c r="V68" s="18" t="n">
        <v>2403.46</v>
      </c>
      <c r="W68" s="18" t="n">
        <v>5239.1</v>
      </c>
      <c r="X68" s="18" t="n">
        <v>396.2</v>
      </c>
      <c r="Y68" s="18" t="n">
        <v>1452.59</v>
      </c>
      <c r="Z68" s="37" t="n">
        <v>9491.35</v>
      </c>
      <c r="AA68" s="18" t="n">
        <v>1746.51</v>
      </c>
      <c r="AB68" s="19" t="n">
        <v>2312.31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법인세비용차감전계속사업이익</t>
        </is>
      </c>
      <c r="E69" s="18" t="n">
        <v>773.62</v>
      </c>
      <c r="F69" s="9" t="n"/>
      <c r="G69" s="18" t="n">
        <v>2768.95</v>
      </c>
      <c r="H69" s="18" t="n">
        <v>-734.47</v>
      </c>
      <c r="I69" s="18" t="n">
        <v>879.74</v>
      </c>
      <c r="J69" s="18" t="n">
        <v>-68882.67999999999</v>
      </c>
      <c r="K69" s="37" t="n">
        <v>-65968.46000000001</v>
      </c>
      <c r="L69" s="18" t="n">
        <v>-8309.35</v>
      </c>
      <c r="M69" s="18" t="n">
        <v>2424.24</v>
      </c>
      <c r="N69" s="18" t="n">
        <v>69.81</v>
      </c>
      <c r="O69" s="18" t="n">
        <v>-34777.51</v>
      </c>
      <c r="P69" s="37" t="n">
        <v>-40592.81</v>
      </c>
      <c r="Q69" s="18" t="n">
        <v>6381.23</v>
      </c>
      <c r="R69" s="18" t="n">
        <v>7485.63</v>
      </c>
      <c r="S69" s="18" t="n">
        <v>5886.86</v>
      </c>
      <c r="T69" s="18" t="n">
        <v>471.3</v>
      </c>
      <c r="U69" s="37" t="n">
        <v>20225.02</v>
      </c>
      <c r="V69" s="18" t="n">
        <v>8189.08</v>
      </c>
      <c r="W69" s="18" t="n">
        <v>854.48</v>
      </c>
      <c r="X69" s="18" t="n">
        <v>3965.53</v>
      </c>
      <c r="Y69" s="18" t="n">
        <v>-3846.95</v>
      </c>
      <c r="Z69" s="37" t="n">
        <v>9162.139999999999</v>
      </c>
      <c r="AA69" s="18" t="n">
        <v>2222.19</v>
      </c>
      <c r="AB69" s="19" t="n">
        <v>4836.44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법인세비용</t>
        </is>
      </c>
      <c r="E70" s="18" t="n">
        <v>-729.61</v>
      </c>
      <c r="F70" s="9" t="n"/>
      <c r="G70" s="18" t="n">
        <v>646.58</v>
      </c>
      <c r="H70" s="18" t="n">
        <v>-124.59</v>
      </c>
      <c r="I70" s="18" t="n">
        <v>249.21</v>
      </c>
      <c r="J70" s="18" t="n">
        <v>-15968.61</v>
      </c>
      <c r="K70" s="37" t="n">
        <v>-15197.41</v>
      </c>
      <c r="L70" s="18" t="n">
        <v>-1468.5</v>
      </c>
      <c r="M70" s="18" t="n">
        <v>415.97</v>
      </c>
      <c r="N70" s="18" t="n">
        <v>185.89</v>
      </c>
      <c r="O70" s="18" t="n">
        <v>-5590.63</v>
      </c>
      <c r="P70" s="37" t="n">
        <v>-6457.27</v>
      </c>
      <c r="Q70" s="18" t="n">
        <v>1697.04</v>
      </c>
      <c r="R70" s="18" t="n">
        <v>1736.4</v>
      </c>
      <c r="S70" s="18" t="n">
        <v>1663.95</v>
      </c>
      <c r="T70" s="18" t="n">
        <v>-51.32</v>
      </c>
      <c r="U70" s="37" t="n">
        <v>5046.07</v>
      </c>
      <c r="V70" s="18" t="n">
        <v>1632.67</v>
      </c>
      <c r="W70" s="18" t="n">
        <v>236.4</v>
      </c>
      <c r="X70" s="18" t="n">
        <v>963.12</v>
      </c>
      <c r="Y70" s="18" t="n">
        <v>-1077.13</v>
      </c>
      <c r="Z70" s="37" t="n">
        <v>1755.06</v>
      </c>
      <c r="AA70" s="18" t="n">
        <v>607.67</v>
      </c>
      <c r="AB70" s="19" t="n">
        <v>1082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당기순이익</t>
        </is>
      </c>
      <c r="E71" s="18" t="n">
        <v>1503.23</v>
      </c>
      <c r="F71" s="9" t="n"/>
      <c r="G71" s="18" t="n">
        <v>2122.37</v>
      </c>
      <c r="H71" s="18" t="n">
        <v>-609.88</v>
      </c>
      <c r="I71" s="18" t="n">
        <v>630.53</v>
      </c>
      <c r="J71" s="18" t="n">
        <v>-52914.06</v>
      </c>
      <c r="K71" s="37" t="n">
        <v>-50771.04</v>
      </c>
      <c r="L71" s="18" t="n">
        <v>-6840.85</v>
      </c>
      <c r="M71" s="18" t="n">
        <v>2008.28</v>
      </c>
      <c r="N71" s="18" t="n">
        <v>-116.08</v>
      </c>
      <c r="O71" s="18" t="n">
        <v>-29186.88</v>
      </c>
      <c r="P71" s="37" t="n">
        <v>-34135.53</v>
      </c>
      <c r="Q71" s="18" t="n">
        <v>4684.19</v>
      </c>
      <c r="R71" s="18" t="n">
        <v>5749.23</v>
      </c>
      <c r="S71" s="18" t="n">
        <v>4222.91</v>
      </c>
      <c r="T71" s="18" t="n">
        <v>522.62</v>
      </c>
      <c r="U71" s="37" t="n">
        <v>15178.95</v>
      </c>
      <c r="V71" s="18" t="n">
        <v>6556.42</v>
      </c>
      <c r="W71" s="18" t="n">
        <v>618.09</v>
      </c>
      <c r="X71" s="18" t="n">
        <v>3002.4</v>
      </c>
      <c r="Y71" s="18" t="n">
        <v>-2769.82</v>
      </c>
      <c r="Z71" s="37" t="n">
        <v>7407.09</v>
      </c>
      <c r="AA71" s="18" t="n">
        <v>1614.52</v>
      </c>
      <c r="AB71" s="19" t="n">
        <v>3754.44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총포괄손익</t>
        </is>
      </c>
      <c r="E72" s="18" t="n">
        <v>-23.72</v>
      </c>
      <c r="F72" s="9" t="n"/>
      <c r="G72" s="18" t="n">
        <v>2030.62</v>
      </c>
      <c r="H72" s="18" t="n">
        <v>-614.49</v>
      </c>
      <c r="I72" s="18" t="n">
        <v>851.53</v>
      </c>
      <c r="J72" s="18" t="n">
        <v>-50780.61</v>
      </c>
      <c r="K72" s="37" t="n">
        <v>-48512.95</v>
      </c>
      <c r="L72" s="18" t="n">
        <v>-6797.59</v>
      </c>
      <c r="M72" s="18" t="n">
        <v>1834.3</v>
      </c>
      <c r="N72" s="18" t="n">
        <v>-162.74</v>
      </c>
      <c r="O72" s="18" t="n">
        <v>-31050.27</v>
      </c>
      <c r="P72" s="37" t="n">
        <v>-36176.3</v>
      </c>
      <c r="Q72" s="18" t="n">
        <v>4753.86</v>
      </c>
      <c r="R72" s="18" t="n">
        <v>5657.18</v>
      </c>
      <c r="S72" s="18" t="n">
        <v>4282.5</v>
      </c>
      <c r="T72" s="18" t="n">
        <v>-5306.62</v>
      </c>
      <c r="U72" s="37" t="n">
        <v>9386.92</v>
      </c>
      <c r="V72" s="18" t="n">
        <v>6452.99</v>
      </c>
      <c r="W72" s="18" t="n">
        <v>-38.33</v>
      </c>
      <c r="X72" s="18" t="n">
        <v>3136.99</v>
      </c>
      <c r="Y72" s="18" t="n">
        <v>-608.86</v>
      </c>
      <c r="Z72" s="37" t="n">
        <v>8942.790000000001</v>
      </c>
      <c r="AA72" s="18" t="n">
        <v>1575.99</v>
      </c>
      <c r="AB72" s="19" t="n">
        <v>3629.62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(지배주주지분)당기순이익</t>
        </is>
      </c>
      <c r="E73" s="18" t="n">
        <v>1503.23</v>
      </c>
      <c r="F73" s="9" t="n"/>
      <c r="G73" s="18" t="n">
        <v>2122.37</v>
      </c>
      <c r="H73" s="18" t="n">
        <v>-609.88</v>
      </c>
      <c r="I73" s="18" t="n">
        <v>630.53</v>
      </c>
      <c r="J73" s="18" t="n">
        <v>-52914.06</v>
      </c>
      <c r="K73" s="37" t="n">
        <v>-50771.04</v>
      </c>
      <c r="L73" s="18" t="n">
        <v>-6840.85</v>
      </c>
      <c r="M73" s="18" t="n">
        <v>2008.28</v>
      </c>
      <c r="N73" s="18" t="n">
        <v>-116.08</v>
      </c>
      <c r="O73" s="18" t="n">
        <v>-29186.88</v>
      </c>
      <c r="P73" s="37" t="n">
        <v>-34135.53</v>
      </c>
      <c r="Q73" s="18" t="n">
        <v>4684.19</v>
      </c>
      <c r="R73" s="18" t="n">
        <v>5749.23</v>
      </c>
      <c r="S73" s="18" t="n">
        <v>4222.91</v>
      </c>
      <c r="T73" s="18" t="n">
        <v>522.62</v>
      </c>
      <c r="U73" s="37" t="n">
        <v>15178.95</v>
      </c>
      <c r="V73" s="18" t="n">
        <v>6556.42</v>
      </c>
      <c r="W73" s="18" t="n">
        <v>618.09</v>
      </c>
      <c r="X73" s="18" t="n">
        <v>3002.4</v>
      </c>
      <c r="Y73" s="18" t="n">
        <v>-2769.82</v>
      </c>
      <c r="Z73" s="37" t="n">
        <v>7407.09</v>
      </c>
      <c r="AA73" s="18" t="n">
        <v>1614.52</v>
      </c>
      <c r="AB73" s="19" t="n">
        <v>3754.44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금융손익</t>
        </is>
      </c>
      <c r="E74" s="18" t="n">
        <v>-265.67</v>
      </c>
      <c r="F74" s="9" t="n"/>
      <c r="G74" s="18" t="n">
        <v>82.73</v>
      </c>
      <c r="H74" s="18" t="n">
        <v>-423.81</v>
      </c>
      <c r="I74" s="18" t="n">
        <v>372.51</v>
      </c>
      <c r="J74" s="18" t="n">
        <v>-6922.75</v>
      </c>
      <c r="K74" s="37" t="n">
        <v>-6891.32</v>
      </c>
      <c r="L74" s="18" t="n">
        <v>-356.83</v>
      </c>
      <c r="M74" s="18" t="n">
        <v>-1102.19</v>
      </c>
      <c r="N74" s="18" t="n">
        <v>-1387.09</v>
      </c>
      <c r="O74" s="18" t="n">
        <v>-3597.83</v>
      </c>
      <c r="P74" s="37" t="n">
        <v>-6443.94</v>
      </c>
      <c r="Q74" s="18" t="n">
        <v>-625.88</v>
      </c>
      <c r="R74" s="18" t="n">
        <v>-935.21</v>
      </c>
      <c r="S74" s="18" t="n">
        <v>-3954.61</v>
      </c>
      <c r="T74" s="18" t="n">
        <v>1128.29</v>
      </c>
      <c r="U74" s="37" t="n">
        <v>-4387.41</v>
      </c>
      <c r="V74" s="18" t="n">
        <v>-1558.55</v>
      </c>
      <c r="W74" s="18" t="n">
        <v>-4064.18</v>
      </c>
      <c r="X74" s="18" t="n">
        <v>131.36</v>
      </c>
      <c r="Y74" s="18" t="n">
        <v>-26.32</v>
      </c>
      <c r="Z74" s="37" t="n">
        <v>-5517.69</v>
      </c>
      <c r="AA74" s="18" t="n">
        <v>827.05</v>
      </c>
      <c r="AB74" s="19" t="n">
        <v>-310.7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기타영업외손익</t>
        </is>
      </c>
      <c r="E75" s="18" t="n">
        <v>-287.98</v>
      </c>
      <c r="F75" s="9" t="n"/>
      <c r="G75" s="18" t="n">
        <v>-229.45</v>
      </c>
      <c r="H75" s="18" t="n">
        <v>-24.78</v>
      </c>
      <c r="I75" s="18" t="n">
        <v>-2.9</v>
      </c>
      <c r="J75" s="18" t="n">
        <v>-30924.67</v>
      </c>
      <c r="K75" s="37" t="n">
        <v>-31181.8</v>
      </c>
      <c r="L75" s="18" t="n">
        <v>-347.58</v>
      </c>
      <c r="M75" s="18" t="n">
        <v>50.53</v>
      </c>
      <c r="N75" s="18" t="n">
        <v>208.09</v>
      </c>
      <c r="O75" s="18" t="n">
        <v>-14207.78</v>
      </c>
      <c r="P75" s="37" t="n">
        <v>-14296.74</v>
      </c>
      <c r="Q75" s="18" t="n">
        <v>208.32</v>
      </c>
      <c r="R75" s="18" t="n">
        <v>250.78</v>
      </c>
      <c r="S75" s="18" t="n">
        <v>77.66</v>
      </c>
      <c r="T75" s="18" t="n">
        <v>39.16</v>
      </c>
      <c r="U75" s="37" t="n">
        <v>575.92</v>
      </c>
      <c r="V75" s="18" t="n">
        <v>235.89</v>
      </c>
      <c r="W75" s="18" t="n">
        <v>-161.18</v>
      </c>
      <c r="X75" s="18" t="n">
        <v>97.03</v>
      </c>
      <c r="Y75" s="18" t="n">
        <v>-1209.27</v>
      </c>
      <c r="Z75" s="37" t="n">
        <v>-1037.53</v>
      </c>
      <c r="AA75" s="18" t="n">
        <v>342.62</v>
      </c>
      <c r="AB75" s="19" t="n">
        <v>-411.39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계속사업이익</t>
        </is>
      </c>
      <c r="E76" s="18" t="n">
        <v>1503.23</v>
      </c>
      <c r="F76" s="9" t="n"/>
      <c r="G76" s="18" t="n">
        <v>2122.37</v>
      </c>
      <c r="H76" s="18" t="n">
        <v>-609.88</v>
      </c>
      <c r="I76" s="18" t="n">
        <v>630.53</v>
      </c>
      <c r="J76" s="18" t="n">
        <v>-52914.06</v>
      </c>
      <c r="K76" s="37" t="n">
        <v>-50771.04</v>
      </c>
      <c r="L76" s="18" t="n">
        <v>-6840.85</v>
      </c>
      <c r="M76" s="18" t="n">
        <v>2008.28</v>
      </c>
      <c r="N76" s="18" t="n">
        <v>-116.08</v>
      </c>
      <c r="O76" s="18" t="n">
        <v>-29186.88</v>
      </c>
      <c r="P76" s="37" t="n">
        <v>-34135.53</v>
      </c>
      <c r="Q76" s="18" t="n">
        <v>4684.19</v>
      </c>
      <c r="R76" s="18" t="n">
        <v>5749.23</v>
      </c>
      <c r="S76" s="18" t="n">
        <v>4222.91</v>
      </c>
      <c r="T76" s="18" t="n">
        <v>522.62</v>
      </c>
      <c r="U76" s="37" t="n">
        <v>15178.95</v>
      </c>
      <c r="V76" s="18" t="n">
        <v>6556.42</v>
      </c>
      <c r="W76" s="18" t="n">
        <v>618.09</v>
      </c>
      <c r="X76" s="18" t="n">
        <v>3002.4</v>
      </c>
      <c r="Y76" s="18" t="n">
        <v>-2769.82</v>
      </c>
      <c r="Z76" s="37" t="n">
        <v>7407.09</v>
      </c>
      <c r="AA76" s="18" t="n">
        <v>1614.52</v>
      </c>
      <c r="AB76" s="19" t="n">
        <v>3754.44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이자수익</t>
        </is>
      </c>
      <c r="F77" s="9" t="n"/>
      <c r="G77" s="18" t="n">
        <v>208.38</v>
      </c>
      <c r="H77" s="18" t="n">
        <v>250.03</v>
      </c>
      <c r="I77" s="18" t="n">
        <v>221.66</v>
      </c>
      <c r="J77" s="18" t="n">
        <v>251.91</v>
      </c>
      <c r="K77" s="37" t="n">
        <v>931.98</v>
      </c>
      <c r="L77" s="18" t="n">
        <v>221.29</v>
      </c>
      <c r="M77" s="18" t="n">
        <v>242.3</v>
      </c>
      <c r="N77" s="18" t="n">
        <v>249.02</v>
      </c>
      <c r="O77" s="18" t="n">
        <v>132.37</v>
      </c>
      <c r="P77" s="37" t="n">
        <v>844.98</v>
      </c>
      <c r="Q77" s="18" t="n">
        <v>240.06</v>
      </c>
      <c r="R77" s="18" t="n">
        <v>269.78</v>
      </c>
      <c r="S77" s="18" t="n">
        <v>266.3</v>
      </c>
      <c r="T77" s="18" t="n">
        <v>335</v>
      </c>
      <c r="U77" s="37" t="n">
        <v>1111.14</v>
      </c>
      <c r="V77" s="18" t="n">
        <v>270.81</v>
      </c>
      <c r="W77" s="18" t="n">
        <v>294.41</v>
      </c>
      <c r="X77" s="18" t="n">
        <v>255.58</v>
      </c>
      <c r="Y77" s="18" t="n">
        <v>246.9</v>
      </c>
      <c r="Z77" s="37" t="n">
        <v>1067.7</v>
      </c>
      <c r="AA77" s="18" t="n">
        <v>260.7</v>
      </c>
      <c r="AB77" s="19" t="n">
        <v>552.33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이자비용</t>
        </is>
      </c>
      <c r="F78" s="9" t="n"/>
      <c r="G78" s="18" t="n">
        <v>346.42</v>
      </c>
      <c r="H78" s="18" t="n">
        <v>375.25</v>
      </c>
      <c r="I78" s="18" t="n">
        <v>728.05</v>
      </c>
      <c r="J78" s="18" t="n">
        <v>1098.63</v>
      </c>
      <c r="K78" s="37" t="n">
        <v>2548.35</v>
      </c>
      <c r="L78" s="18" t="n">
        <v>1430.43</v>
      </c>
      <c r="M78" s="18" t="n">
        <v>1645.8</v>
      </c>
      <c r="N78" s="18" t="n">
        <v>1977.19</v>
      </c>
      <c r="O78" s="18" t="n">
        <v>2473.18</v>
      </c>
      <c r="P78" s="37" t="n">
        <v>7526.6</v>
      </c>
      <c r="Q78" s="18" t="n">
        <v>2127.18</v>
      </c>
      <c r="R78" s="18" t="n">
        <v>2173.95</v>
      </c>
      <c r="S78" s="18" t="n">
        <v>2265.13</v>
      </c>
      <c r="T78" s="18" t="n">
        <v>1833.19</v>
      </c>
      <c r="U78" s="37" t="n">
        <v>8399.450000000001</v>
      </c>
      <c r="V78" s="18" t="n">
        <v>1762.94</v>
      </c>
      <c r="W78" s="18" t="n">
        <v>1641.54</v>
      </c>
      <c r="X78" s="18" t="n">
        <v>1156.97</v>
      </c>
      <c r="Y78" s="18" t="n">
        <v>1150.98</v>
      </c>
      <c r="Z78" s="37" t="n">
        <v>5712.43</v>
      </c>
      <c r="AA78" s="18" t="n">
        <v>1144.78</v>
      </c>
      <c r="AB78" s="19" t="n">
        <v>1301.1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외환차익</t>
        </is>
      </c>
      <c r="F79" s="9" t="n"/>
      <c r="G79" s="18" t="n">
        <v>401.18</v>
      </c>
      <c r="H79" s="18" t="n">
        <v>870.77</v>
      </c>
      <c r="I79" s="18" t="n">
        <v>1592.18</v>
      </c>
      <c r="J79" s="18" t="n">
        <v>2136.56</v>
      </c>
      <c r="K79" s="37" t="n">
        <v>5000.69</v>
      </c>
      <c r="L79" s="18" t="n">
        <v>746.04</v>
      </c>
      <c r="N79" s="18" t="n">
        <v>387.74</v>
      </c>
      <c r="O79" s="18" t="n">
        <v>550.26</v>
      </c>
      <c r="P79" s="9" t="n"/>
      <c r="Q79" s="18" t="n">
        <v>506.06</v>
      </c>
      <c r="S79" s="18" t="n">
        <v>266.5</v>
      </c>
      <c r="T79" s="18" t="n">
        <v>319.9</v>
      </c>
      <c r="U79" s="9" t="n"/>
      <c r="V79" s="18" t="n">
        <v>353.48</v>
      </c>
      <c r="W79" s="18" t="n">
        <v>340.21</v>
      </c>
      <c r="X79" s="18" t="n">
        <v>484.91</v>
      </c>
      <c r="Y79" s="18" t="n">
        <v>762.3099999999999</v>
      </c>
      <c r="Z79" s="37" t="n">
        <v>1940.91</v>
      </c>
      <c r="AA79" s="18" t="n">
        <v>955.3</v>
      </c>
      <c r="AB79" s="19" t="n">
        <v>493.61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외환차손</t>
        </is>
      </c>
      <c r="F80" s="9" t="n"/>
      <c r="G80" s="18" t="n">
        <v>675.48</v>
      </c>
      <c r="H80" s="18" t="n">
        <v>1355.95</v>
      </c>
      <c r="I80" s="18" t="n">
        <v>2090.13</v>
      </c>
      <c r="J80" s="18" t="n">
        <v>2530.12</v>
      </c>
      <c r="K80" s="37" t="n">
        <v>6651.68</v>
      </c>
      <c r="L80" s="18" t="n">
        <v>747.36</v>
      </c>
      <c r="M80" s="18" t="n">
        <v>597.1</v>
      </c>
      <c r="N80" s="18" t="n">
        <v>520.95</v>
      </c>
      <c r="O80" s="18" t="n">
        <v>466.28</v>
      </c>
      <c r="P80" s="37" t="n">
        <v>2331.69</v>
      </c>
      <c r="Q80" s="18" t="n">
        <v>347.13</v>
      </c>
      <c r="R80" s="18" t="n">
        <v>403.47</v>
      </c>
      <c r="S80" s="18" t="n">
        <v>337.91</v>
      </c>
      <c r="T80" s="18" t="n">
        <v>692.91</v>
      </c>
      <c r="U80" s="37" t="n">
        <v>1781.42</v>
      </c>
      <c r="V80" s="18" t="n">
        <v>438.45</v>
      </c>
      <c r="W80" s="18" t="n">
        <v>563.3099999999999</v>
      </c>
      <c r="X80" s="18" t="n">
        <v>1365.47</v>
      </c>
      <c r="Y80" s="18" t="n">
        <v>659.89</v>
      </c>
      <c r="Z80" s="37" t="n">
        <v>3027.12</v>
      </c>
      <c r="AA80" s="18" t="n">
        <v>439.34</v>
      </c>
      <c r="AB80" s="19" t="n">
        <v>643.11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외화환산이익</t>
        </is>
      </c>
      <c r="F81" s="9" t="n"/>
      <c r="G81" s="18" t="n">
        <v>802.04</v>
      </c>
      <c r="H81" s="18" t="n">
        <v>1464.79</v>
      </c>
      <c r="I81" s="18" t="n">
        <v>3634.8</v>
      </c>
      <c r="J81" s="18" t="n">
        <v>-3943.07</v>
      </c>
      <c r="K81" s="37" t="n">
        <v>1958.56</v>
      </c>
      <c r="L81" s="18" t="n">
        <v>1073.91</v>
      </c>
      <c r="M81" s="18" t="n">
        <v>891.65</v>
      </c>
      <c r="N81" s="18" t="n">
        <v>893.5599999999999</v>
      </c>
      <c r="O81" s="18" t="n">
        <v>-1437.59</v>
      </c>
      <c r="P81" s="37" t="n">
        <v>1421.53</v>
      </c>
      <c r="Q81" s="18" t="n">
        <v>1579.07</v>
      </c>
      <c r="R81" s="18" t="n">
        <v>1346.39</v>
      </c>
      <c r="S81" s="18" t="n">
        <v>-1975.96</v>
      </c>
      <c r="T81" s="18" t="n">
        <v>3497.28</v>
      </c>
      <c r="U81" s="37" t="n">
        <v>4446.78</v>
      </c>
      <c r="V81" s="18" t="n">
        <v>180.7</v>
      </c>
      <c r="W81" s="18" t="n">
        <v>538.65</v>
      </c>
      <c r="X81" s="18" t="n">
        <v>-262.97</v>
      </c>
      <c r="Y81" s="18" t="n">
        <v>270.51</v>
      </c>
      <c r="Z81" s="37" t="n">
        <v>726.89</v>
      </c>
      <c r="AA81" s="18" t="n">
        <v>1180.87</v>
      </c>
      <c r="AB81" s="19" t="n">
        <v>866.6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외화환산손실</t>
        </is>
      </c>
      <c r="F82" s="9" t="n"/>
      <c r="G82" s="18" t="n">
        <v>319.44</v>
      </c>
      <c r="H82" s="18" t="n">
        <v>1044.86</v>
      </c>
      <c r="I82" s="18" t="n">
        <v>2046.47</v>
      </c>
      <c r="J82" s="18" t="n">
        <v>1739.4</v>
      </c>
      <c r="K82" s="37" t="n">
        <v>5150.17</v>
      </c>
      <c r="L82" s="18" t="n">
        <v>220.28</v>
      </c>
      <c r="M82" s="18" t="n">
        <v>625.49</v>
      </c>
      <c r="N82" s="18" t="n">
        <v>419.29</v>
      </c>
      <c r="O82" s="18" t="n">
        <v>-101.14</v>
      </c>
      <c r="P82" s="37" t="n">
        <v>1163.92</v>
      </c>
      <c r="Q82" s="18" t="n">
        <v>458.68</v>
      </c>
      <c r="R82" s="18" t="n">
        <v>410.46</v>
      </c>
      <c r="S82" s="18" t="n">
        <v>-91.59</v>
      </c>
      <c r="T82" s="18" t="n">
        <v>497.79</v>
      </c>
      <c r="U82" s="37" t="n">
        <v>1275.34</v>
      </c>
      <c r="V82" s="18" t="n">
        <v>193.49</v>
      </c>
      <c r="W82" s="18" t="n">
        <v>2921.98</v>
      </c>
      <c r="X82" s="18" t="n">
        <v>-2117.5</v>
      </c>
      <c r="Y82" s="18" t="n">
        <v>-455.43</v>
      </c>
      <c r="Z82" s="37" t="n">
        <v>542.54</v>
      </c>
      <c r="AA82" s="18" t="n">
        <v>150.62</v>
      </c>
      <c r="AB82" s="19" t="n">
        <v>223.98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이자손익</t>
        </is>
      </c>
      <c r="F83" s="9" t="n"/>
      <c r="G83" s="18" t="n">
        <v>-138.04</v>
      </c>
      <c r="H83" s="18" t="n">
        <v>-125.22</v>
      </c>
      <c r="I83" s="18" t="n">
        <v>-506.39</v>
      </c>
      <c r="J83" s="18" t="n">
        <v>-846.72</v>
      </c>
      <c r="K83" s="37" t="n">
        <v>-1616.37</v>
      </c>
      <c r="L83" s="18" t="n">
        <v>-1209.14</v>
      </c>
      <c r="M83" s="18" t="n">
        <v>-1403.5</v>
      </c>
      <c r="N83" s="18" t="n">
        <v>-1728.17</v>
      </c>
      <c r="O83" s="18" t="n">
        <v>-2340.81</v>
      </c>
      <c r="P83" s="37" t="n">
        <v>-6681.62</v>
      </c>
      <c r="Q83" s="18" t="n">
        <v>-1887.12</v>
      </c>
      <c r="R83" s="18" t="n">
        <v>-1904.17</v>
      </c>
      <c r="S83" s="18" t="n">
        <v>-1998.83</v>
      </c>
      <c r="T83" s="18" t="n">
        <v>-1498.19</v>
      </c>
      <c r="U83" s="37" t="n">
        <v>-7288.31</v>
      </c>
      <c r="V83" s="18" t="n">
        <v>-1492.13</v>
      </c>
      <c r="W83" s="18" t="n">
        <v>-1347.13</v>
      </c>
      <c r="X83" s="18" t="n">
        <v>-901.39</v>
      </c>
      <c r="Y83" s="18" t="n">
        <v>-904.08</v>
      </c>
      <c r="Z83" s="37" t="n">
        <v>-4644.73</v>
      </c>
      <c r="AA83" s="18" t="n">
        <v>-884.08</v>
      </c>
      <c r="AB83" s="19" t="n">
        <v>-748.77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파생상품손실</t>
        </is>
      </c>
      <c r="F84" s="9" t="n"/>
      <c r="H84" s="18" t="n">
        <v>237.5</v>
      </c>
      <c r="I84" s="18" t="n">
        <v>213.02</v>
      </c>
      <c r="J84" s="18" t="n">
        <v>0</v>
      </c>
      <c r="K84" s="9" t="n"/>
      <c r="P84" s="9" t="n"/>
      <c r="Q84" s="18" t="n">
        <v>18.07</v>
      </c>
      <c r="R84" s="18" t="n">
        <v>8.970000000000001</v>
      </c>
      <c r="S84" s="18" t="n">
        <v>0</v>
      </c>
      <c r="T84" s="18" t="n">
        <v>0</v>
      </c>
      <c r="U84" s="37" t="n">
        <v>27.04</v>
      </c>
      <c r="V84" s="18" t="n">
        <v>8.57</v>
      </c>
      <c r="W84" s="18" t="n">
        <v>112.27</v>
      </c>
      <c r="X84" s="18" t="n">
        <v>-8.74</v>
      </c>
      <c r="Y84" s="18" t="n">
        <v>97.14</v>
      </c>
      <c r="Z84" s="37" t="n">
        <v>209.24</v>
      </c>
      <c r="AA84" s="18" t="n">
        <v>11.77</v>
      </c>
      <c r="AB84" s="19" t="n">
        <v>26.66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(비지배주주지분)당기순이익</t>
        </is>
      </c>
      <c r="F85" s="9" t="n"/>
      <c r="K85" s="9" t="n"/>
      <c r="L85" s="18" t="n">
        <v>0</v>
      </c>
      <c r="M85" s="18" t="n">
        <v>0</v>
      </c>
      <c r="P85" s="9" t="n"/>
      <c r="U85" s="9" t="n"/>
      <c r="Z85" s="9" t="n"/>
      <c r="AB85" s="5" t="n"/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배당금수익</t>
        </is>
      </c>
      <c r="F86" s="9" t="n"/>
      <c r="K86" s="9" t="n"/>
      <c r="M86" s="18" t="n">
        <v>15.13</v>
      </c>
      <c r="N86" s="18" t="n">
        <v>0</v>
      </c>
      <c r="O86" s="18" t="n">
        <v>0</v>
      </c>
      <c r="P86" s="9" t="n"/>
      <c r="R86" s="18" t="n">
        <v>22.4</v>
      </c>
      <c r="S86" s="18" t="n">
        <v>0</v>
      </c>
      <c r="T86" s="18" t="n">
        <v>0</v>
      </c>
      <c r="U86" s="9" t="n"/>
      <c r="V86" s="18" t="n">
        <v>0</v>
      </c>
      <c r="W86" s="18" t="n">
        <v>25.82</v>
      </c>
      <c r="X86" s="18" t="n">
        <v>0</v>
      </c>
      <c r="Y86" s="18" t="n">
        <v>0</v>
      </c>
      <c r="Z86" s="37" t="n">
        <v>25.82</v>
      </c>
      <c r="AA86" s="18" t="n">
        <v>3.83</v>
      </c>
      <c r="AB86" s="19" t="n">
        <v>51.8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파생상품이익</t>
        </is>
      </c>
      <c r="F87" s="9" t="n"/>
      <c r="K87" s="9" t="n"/>
      <c r="M87" s="18" t="n">
        <v>6.75</v>
      </c>
      <c r="N87" s="18" t="n">
        <v>0</v>
      </c>
      <c r="O87" s="18" t="n">
        <v>5.31</v>
      </c>
      <c r="P87" s="9" t="n"/>
      <c r="U87" s="9" t="n"/>
      <c r="V87" s="18" t="n">
        <v>39.91</v>
      </c>
      <c r="W87" s="18" t="n">
        <v>-24.16</v>
      </c>
      <c r="X87" s="18" t="n">
        <v>50.03</v>
      </c>
      <c r="Y87" s="18" t="n">
        <v>146.56</v>
      </c>
      <c r="Z87" s="37" t="n">
        <v>212.34</v>
      </c>
      <c r="AA87" s="18" t="n">
        <v>153.39</v>
      </c>
      <c r="AB87" s="19" t="n">
        <v>86.73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영업활동으로인한현금흐름</t>
        </is>
      </c>
      <c r="E88" s="18" t="n">
        <v>-2577.4</v>
      </c>
      <c r="F88" s="9" t="n"/>
      <c r="G88" s="18" t="n">
        <v>16441.59</v>
      </c>
      <c r="H88" s="18" t="n">
        <v>2262.41</v>
      </c>
      <c r="I88" s="18" t="n">
        <v>-14492.06</v>
      </c>
      <c r="J88" s="18" t="n">
        <v>-46878.96</v>
      </c>
      <c r="K88" s="37" t="n">
        <v>-42667.02</v>
      </c>
      <c r="L88" s="18" t="n">
        <v>13932.01</v>
      </c>
      <c r="M88" s="18" t="n">
        <v>-2616.03</v>
      </c>
      <c r="N88" s="18" t="n">
        <v>-51713.01</v>
      </c>
      <c r="O88" s="18" t="n">
        <v>43150.59</v>
      </c>
      <c r="P88" s="37" t="n">
        <v>2753.56</v>
      </c>
      <c r="Q88" s="18" t="n">
        <v>-25950.23</v>
      </c>
      <c r="R88" s="18" t="n">
        <v>28484.94</v>
      </c>
      <c r="S88" s="18" t="n">
        <v>47711.35</v>
      </c>
      <c r="T88" s="18" t="n">
        <v>-9662.969999999999</v>
      </c>
      <c r="U88" s="37" t="n">
        <v>40583.09</v>
      </c>
      <c r="V88" s="18" t="n">
        <v>-8473.1</v>
      </c>
      <c r="W88" s="18" t="n">
        <v>38044.93</v>
      </c>
      <c r="X88" s="18" t="n">
        <v>-1743.32</v>
      </c>
      <c r="Y88" s="18" t="n">
        <v>10126.43</v>
      </c>
      <c r="Z88" s="37" t="n">
        <v>37954.94</v>
      </c>
      <c r="AA88" s="18" t="n">
        <v>14629.84</v>
      </c>
      <c r="AB88" s="19" t="n">
        <v>48186.66</v>
      </c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이자수취(CF)</t>
        </is>
      </c>
      <c r="E89" s="18" t="n">
        <v>32.28</v>
      </c>
      <c r="F89" s="9" t="n"/>
      <c r="G89" s="18" t="n">
        <v>32.36</v>
      </c>
      <c r="H89" s="18" t="n">
        <v>59.05</v>
      </c>
      <c r="I89" s="18" t="n">
        <v>30.39</v>
      </c>
      <c r="J89" s="18" t="n">
        <v>57.84</v>
      </c>
      <c r="K89" s="37" t="n">
        <v>179.64</v>
      </c>
      <c r="L89" s="18" t="n">
        <v>38.97</v>
      </c>
      <c r="M89" s="18" t="n">
        <v>77.16</v>
      </c>
      <c r="N89" s="18" t="n">
        <v>44.23</v>
      </c>
      <c r="O89" s="18" t="n">
        <v>44.89</v>
      </c>
      <c r="P89" s="37" t="n">
        <v>205.25</v>
      </c>
      <c r="Q89" s="18" t="n">
        <v>64.25</v>
      </c>
      <c r="R89" s="18" t="n">
        <v>149.1</v>
      </c>
      <c r="S89" s="18" t="n">
        <v>67.36</v>
      </c>
      <c r="U89" s="9" t="n"/>
      <c r="V89" s="18" t="n">
        <v>71.53</v>
      </c>
      <c r="W89" s="18" t="n">
        <v>151.72</v>
      </c>
      <c r="X89" s="18" t="n">
        <v>70.05</v>
      </c>
      <c r="Y89" s="18" t="n">
        <v>65.65000000000001</v>
      </c>
      <c r="Z89" s="37" t="n">
        <v>358.95</v>
      </c>
      <c r="AA89" s="18" t="n">
        <v>87.93000000000001</v>
      </c>
      <c r="AB89" s="19" t="n">
        <v>359.44</v>
      </c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이자지급(CF)</t>
        </is>
      </c>
      <c r="E90" s="18" t="n">
        <v>-365.16</v>
      </c>
      <c r="F90" s="9" t="n"/>
      <c r="G90" s="18" t="n">
        <v>-424.32</v>
      </c>
      <c r="H90" s="18" t="n">
        <v>-578.8</v>
      </c>
      <c r="I90" s="18" t="n">
        <v>-590.15</v>
      </c>
      <c r="J90" s="18" t="n">
        <v>-931.92</v>
      </c>
      <c r="K90" s="37" t="n">
        <v>-2525.19</v>
      </c>
      <c r="L90" s="18" t="n">
        <v>-1408.9</v>
      </c>
      <c r="M90" s="18" t="n">
        <v>-1588.87</v>
      </c>
      <c r="P90" s="9" t="n"/>
      <c r="U90" s="9" t="n"/>
      <c r="Z90" s="9" t="n"/>
      <c r="AB90" s="5" t="n"/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법인세납부(CF)</t>
        </is>
      </c>
      <c r="E91" s="18" t="n">
        <v>9.369999999999999</v>
      </c>
      <c r="F91" s="9" t="n"/>
      <c r="G91" s="18" t="n">
        <v>-251.31</v>
      </c>
      <c r="H91" s="18" t="n">
        <v>-387.37</v>
      </c>
      <c r="I91" s="18" t="n">
        <v>-1831.93</v>
      </c>
      <c r="J91" s="18" t="n">
        <v>-0.79</v>
      </c>
      <c r="K91" s="37" t="n">
        <v>-2471.4</v>
      </c>
      <c r="L91" s="18" t="n">
        <v>-73.22</v>
      </c>
      <c r="M91" s="18" t="n">
        <v>1946.85</v>
      </c>
      <c r="N91" s="18" t="n">
        <v>-13.1</v>
      </c>
      <c r="O91" s="18" t="n">
        <v>-41.43</v>
      </c>
      <c r="P91" s="37" t="n">
        <v>1819.1</v>
      </c>
      <c r="Q91" s="18" t="n">
        <v>-136.41</v>
      </c>
      <c r="R91" s="18" t="n">
        <v>-87.41</v>
      </c>
      <c r="S91" s="18" t="n">
        <v>-62.83</v>
      </c>
      <c r="U91" s="9" t="n"/>
      <c r="V91" s="18" t="n">
        <v>-54.87</v>
      </c>
      <c r="W91" s="18" t="n">
        <v>71.12</v>
      </c>
      <c r="X91" s="18" t="n">
        <v>-268.28</v>
      </c>
      <c r="Y91" s="18" t="n">
        <v>23.18</v>
      </c>
      <c r="Z91" s="37" t="n">
        <v>-228.85</v>
      </c>
      <c r="AA91" s="18" t="n">
        <v>47.06</v>
      </c>
      <c r="AB91" s="19" t="n">
        <v>-105.09</v>
      </c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투자활동으로인한현금흐름</t>
        </is>
      </c>
      <c r="E92" s="18" t="n">
        <v>-3569.55</v>
      </c>
      <c r="F92" s="9" t="n"/>
      <c r="G92" s="18" t="n">
        <v>-3725.1</v>
      </c>
      <c r="H92" s="18" t="n">
        <v>-6078.95</v>
      </c>
      <c r="I92" s="18" t="n">
        <v>-2654.62</v>
      </c>
      <c r="J92" s="18" t="n">
        <v>-2843.22</v>
      </c>
      <c r="K92" s="37" t="n">
        <v>-15301.89</v>
      </c>
      <c r="L92" s="18" t="n">
        <v>-4838.45</v>
      </c>
      <c r="M92" s="18" t="n">
        <v>-2116.5</v>
      </c>
      <c r="N92" s="18" t="n">
        <v>-2076.94</v>
      </c>
      <c r="O92" s="18" t="n">
        <v>-2786.99</v>
      </c>
      <c r="P92" s="37" t="n">
        <v>-11818.88</v>
      </c>
      <c r="Q92" s="18" t="n">
        <v>2475.9</v>
      </c>
      <c r="R92" s="18" t="n">
        <v>-1622.19</v>
      </c>
      <c r="S92" s="18" t="n">
        <v>-976.47</v>
      </c>
      <c r="T92" s="18" t="n">
        <v>-2017.33</v>
      </c>
      <c r="U92" s="37" t="n">
        <v>-2140.09</v>
      </c>
      <c r="V92" s="18" t="n">
        <v>-2807.31</v>
      </c>
      <c r="W92" s="18" t="n">
        <v>-4371.89</v>
      </c>
      <c r="X92" s="18" t="n">
        <v>-3681.16</v>
      </c>
      <c r="Y92" s="18" t="n">
        <v>-2002.61</v>
      </c>
      <c r="Z92" s="37" t="n">
        <v>-12862.97</v>
      </c>
      <c r="AA92" s="18" t="n">
        <v>-21668.37</v>
      </c>
      <c r="AB92" s="19" t="n">
        <v>125.68</v>
      </c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유형자산의감소</t>
        </is>
      </c>
      <c r="E93" s="18" t="n">
        <v>39.71</v>
      </c>
      <c r="F93" s="9" t="n"/>
      <c r="G93" s="18" t="n">
        <v>859.58</v>
      </c>
      <c r="I93" s="18" t="n">
        <v>6.18</v>
      </c>
      <c r="J93" s="18" t="n">
        <v>48.68</v>
      </c>
      <c r="K93" s="9" t="n"/>
      <c r="L93" s="18" t="n">
        <v>35.85</v>
      </c>
      <c r="M93" s="18" t="n">
        <v>11.21</v>
      </c>
      <c r="N93" s="18" t="n">
        <v>2.36</v>
      </c>
      <c r="O93" s="18" t="n">
        <v>38.13</v>
      </c>
      <c r="P93" s="37" t="n">
        <v>87.55</v>
      </c>
      <c r="S93" s="18" t="n">
        <v>54.18</v>
      </c>
      <c r="T93" s="18" t="n">
        <v>112.69</v>
      </c>
      <c r="U93" s="9" t="n"/>
      <c r="V93" s="18" t="n">
        <v>15.29</v>
      </c>
      <c r="W93" s="18" t="n">
        <v>585.7</v>
      </c>
      <c r="X93" s="18" t="n">
        <v>37.7</v>
      </c>
      <c r="Y93" s="18" t="n">
        <v>43.35</v>
      </c>
      <c r="Z93" s="37" t="n">
        <v>682.04</v>
      </c>
      <c r="AA93" s="18" t="n">
        <v>1.27</v>
      </c>
      <c r="AB93" s="19" t="n">
        <v>1.64</v>
      </c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유형자산의증가</t>
        </is>
      </c>
      <c r="E94" s="18" t="n">
        <v>5488.89</v>
      </c>
      <c r="F94" s="9" t="n"/>
      <c r="G94" s="18" t="n">
        <v>5364.98</v>
      </c>
      <c r="H94" s="18" t="n">
        <v>5376.94</v>
      </c>
      <c r="I94" s="18" t="n">
        <v>3297.9</v>
      </c>
      <c r="J94" s="18" t="n">
        <v>4010.47</v>
      </c>
      <c r="K94" s="37" t="n">
        <v>18050.29</v>
      </c>
      <c r="L94" s="18" t="n">
        <v>4705.3</v>
      </c>
      <c r="M94" s="18" t="n">
        <v>1746.6</v>
      </c>
      <c r="N94" s="18" t="n">
        <v>3375.87</v>
      </c>
      <c r="O94" s="18" t="n">
        <v>1764.25</v>
      </c>
      <c r="P94" s="37" t="n">
        <v>11592.02</v>
      </c>
      <c r="Q94" s="18" t="n">
        <v>621.15</v>
      </c>
      <c r="R94" s="18" t="n">
        <v>1363.81</v>
      </c>
      <c r="S94" s="18" t="n">
        <v>1075.21</v>
      </c>
      <c r="U94" s="9" t="n"/>
      <c r="V94" s="18" t="n">
        <v>2857.41</v>
      </c>
      <c r="W94" s="18" t="n">
        <v>5186.91</v>
      </c>
      <c r="X94" s="18" t="n">
        <v>4664.64</v>
      </c>
      <c r="Y94" s="18" t="n">
        <v>3146.92</v>
      </c>
      <c r="Z94" s="37" t="n">
        <v>15855.88</v>
      </c>
      <c r="AA94" s="18" t="n">
        <v>1762.85</v>
      </c>
      <c r="AB94" s="19" t="n">
        <v>1353.5</v>
      </c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CAPEX</t>
        </is>
      </c>
      <c r="E95" s="18" t="n">
        <v>5488.89</v>
      </c>
      <c r="F95" s="9" t="n"/>
      <c r="G95" s="18" t="n">
        <v>5364.98</v>
      </c>
      <c r="H95" s="18" t="n">
        <v>5376.94</v>
      </c>
      <c r="I95" s="18" t="n">
        <v>3297.9</v>
      </c>
      <c r="J95" s="18" t="n">
        <v>4010.47</v>
      </c>
      <c r="K95" s="37" t="n">
        <v>18050.29</v>
      </c>
      <c r="L95" s="18" t="n">
        <v>4705.3</v>
      </c>
      <c r="M95" s="18" t="n">
        <v>1746.6</v>
      </c>
      <c r="N95" s="18" t="n">
        <v>3375.87</v>
      </c>
      <c r="O95" s="18" t="n">
        <v>2786.25</v>
      </c>
      <c r="P95" s="37" t="n">
        <v>12614.02</v>
      </c>
      <c r="Q95" s="18" t="n">
        <v>621.15</v>
      </c>
      <c r="R95" s="18" t="n">
        <v>1363.81</v>
      </c>
      <c r="S95" s="18" t="n">
        <v>1075.21</v>
      </c>
      <c r="U95" s="9" t="n"/>
      <c r="V95" s="18" t="n">
        <v>2857.41</v>
      </c>
      <c r="W95" s="18" t="n">
        <v>5186.91</v>
      </c>
      <c r="X95" s="18" t="n">
        <v>4664.64</v>
      </c>
      <c r="Y95" s="18" t="n">
        <v>3146.92</v>
      </c>
      <c r="Z95" s="37" t="n">
        <v>15855.88</v>
      </c>
      <c r="AA95" s="18" t="n">
        <v>1762.85</v>
      </c>
      <c r="AB95" s="19" t="n">
        <v>1353.5</v>
      </c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  <row r="96">
      <c r="A96" t="n">
        <v>1</v>
      </c>
      <c r="C96" t="inlineStr">
        <is>
          <t>재무활동으로인한현금흐름</t>
        </is>
      </c>
      <c r="E96" s="18" t="n">
        <v>9400.950000000001</v>
      </c>
      <c r="F96" s="9" t="n"/>
      <c r="G96" s="18" t="n">
        <v>-16267.93</v>
      </c>
      <c r="H96" s="18" t="n">
        <v>3699.99</v>
      </c>
      <c r="I96" s="18" t="n">
        <v>18973.28</v>
      </c>
      <c r="J96" s="18" t="n">
        <v>52215.73</v>
      </c>
      <c r="K96" s="37" t="n">
        <v>58621.07</v>
      </c>
      <c r="L96" s="18" t="n">
        <v>-5475.32</v>
      </c>
      <c r="M96" s="18" t="n">
        <v>608.64</v>
      </c>
      <c r="N96" s="18" t="n">
        <v>55401.75</v>
      </c>
      <c r="O96" s="18" t="n">
        <v>-35205.63</v>
      </c>
      <c r="P96" s="37" t="n">
        <v>15329.44</v>
      </c>
      <c r="Q96" s="18" t="n">
        <v>11315.08</v>
      </c>
      <c r="R96" s="18" t="n">
        <v>-25049.62</v>
      </c>
      <c r="S96" s="18" t="n">
        <v>462.88</v>
      </c>
      <c r="T96" s="18" t="n">
        <v>-27498.13</v>
      </c>
      <c r="U96" s="37" t="n">
        <v>-40769.79</v>
      </c>
      <c r="V96" s="18" t="n">
        <v>12152.9</v>
      </c>
      <c r="W96" s="18" t="n">
        <v>-21045.43</v>
      </c>
      <c r="X96" s="18" t="n">
        <v>-9728.709999999999</v>
      </c>
      <c r="Y96" s="18" t="n">
        <v>-7227.42</v>
      </c>
      <c r="Z96" s="37" t="n">
        <v>-25848.66</v>
      </c>
      <c r="AA96" s="18" t="n">
        <v>20590.9</v>
      </c>
      <c r="AB96" s="19" t="n">
        <v>-19145.47</v>
      </c>
      <c r="AC96" s="10" t="n"/>
      <c r="AD96" s="10" t="n"/>
      <c r="AE96" s="11" t="n"/>
      <c r="AF96" s="10" t="n"/>
      <c r="AG96" s="10" t="n"/>
      <c r="AH96" s="10" t="n"/>
      <c r="AI96" s="10" t="n"/>
      <c r="AJ96" s="11" t="n"/>
      <c r="AK96" s="10" t="n"/>
      <c r="AL96" s="10" t="n"/>
      <c r="AM96" s="10" t="n"/>
      <c r="AN96" s="10" t="n"/>
      <c r="AO96" s="11" t="n"/>
    </row>
    <row r="97">
      <c r="A97" t="n">
        <v>1</v>
      </c>
      <c r="C97" t="inlineStr">
        <is>
          <t>단기차입금의증가</t>
        </is>
      </c>
      <c r="E97" s="18" t="n">
        <v>62561.58</v>
      </c>
      <c r="F97" s="9" t="n"/>
      <c r="G97" s="18" t="n">
        <v>17667.22</v>
      </c>
      <c r="H97" s="18" t="n">
        <v>63492.54</v>
      </c>
      <c r="I97" s="18" t="n">
        <v>147268.35</v>
      </c>
      <c r="J97" s="18" t="n">
        <v>218270.02</v>
      </c>
      <c r="K97" s="37" t="n">
        <v>446698.13</v>
      </c>
      <c r="L97" s="18" t="n">
        <v>206880.38</v>
      </c>
      <c r="M97" s="18" t="n">
        <v>189389.38</v>
      </c>
      <c r="N97" s="18" t="n">
        <v>379244.75</v>
      </c>
      <c r="O97" s="18" t="n">
        <v>277533.57</v>
      </c>
      <c r="P97" s="37" t="n">
        <v>1053048.08</v>
      </c>
      <c r="Q97" s="18" t="n">
        <v>371083.14</v>
      </c>
      <c r="R97" s="18" t="n">
        <v>209022.73</v>
      </c>
      <c r="S97" s="18" t="n">
        <v>372295</v>
      </c>
      <c r="T97" s="18" t="n">
        <v>172687.99</v>
      </c>
      <c r="U97" s="37" t="n">
        <v>1125088.86</v>
      </c>
      <c r="V97" s="18" t="n">
        <v>225527</v>
      </c>
      <c r="W97" s="18" t="n">
        <v>206144.61</v>
      </c>
      <c r="X97" s="18" t="n">
        <v>185039.98</v>
      </c>
      <c r="Y97" s="18" t="n">
        <v>156129.55</v>
      </c>
      <c r="Z97" s="37" t="n">
        <v>772841.14</v>
      </c>
      <c r="AA97" s="18" t="n">
        <v>105334</v>
      </c>
      <c r="AB97" s="19" t="n">
        <v>44127.75</v>
      </c>
      <c r="AC97" s="10" t="n"/>
      <c r="AD97" s="10" t="n"/>
      <c r="AE97" s="11" t="n"/>
      <c r="AF97" s="10" t="n"/>
      <c r="AG97" s="10" t="n"/>
      <c r="AH97" s="10" t="n"/>
      <c r="AI97" s="10" t="n"/>
      <c r="AJ97" s="11" t="n"/>
      <c r="AK97" s="10" t="n"/>
      <c r="AL97" s="10" t="n"/>
      <c r="AM97" s="10" t="n"/>
      <c r="AN97" s="10" t="n"/>
      <c r="AO97" s="11" t="n"/>
    </row>
    <row r="98">
      <c r="A98" t="n">
        <v>1</v>
      </c>
      <c r="C98" t="inlineStr">
        <is>
          <t>단기차입금의감소</t>
        </is>
      </c>
      <c r="E98" s="18" t="n">
        <v>49532.2</v>
      </c>
      <c r="F98" s="9" t="n"/>
      <c r="G98" s="18" t="n">
        <v>30314</v>
      </c>
      <c r="H98" s="18" t="n">
        <v>54166</v>
      </c>
      <c r="I98" s="18" t="n">
        <v>124625.48</v>
      </c>
      <c r="J98" s="18" t="n">
        <v>162472.68</v>
      </c>
      <c r="K98" s="37" t="n">
        <v>371578.16</v>
      </c>
      <c r="L98" s="18" t="n">
        <v>209043.44</v>
      </c>
      <c r="M98" s="18" t="n">
        <v>185400.94</v>
      </c>
      <c r="N98" s="18" t="n">
        <v>320174.84</v>
      </c>
      <c r="O98" s="18" t="n">
        <v>309306.22</v>
      </c>
      <c r="P98" s="37" t="n">
        <v>1023925.44</v>
      </c>
      <c r="Q98" s="18" t="n">
        <v>356360.71</v>
      </c>
      <c r="R98" s="18" t="n">
        <v>250759.23</v>
      </c>
      <c r="S98" s="18" t="n">
        <v>372610</v>
      </c>
      <c r="T98" s="18" t="n">
        <v>202913.64</v>
      </c>
      <c r="U98" s="37" t="n">
        <v>1182643.58</v>
      </c>
      <c r="V98" s="18" t="n">
        <v>209997</v>
      </c>
      <c r="W98" s="18" t="n">
        <v>220923.51</v>
      </c>
      <c r="X98" s="18" t="n">
        <v>191449.01</v>
      </c>
      <c r="Y98" s="18" t="n">
        <v>160210.3</v>
      </c>
      <c r="Z98" s="37" t="n">
        <v>782579.8199999999</v>
      </c>
      <c r="AA98" s="18" t="n">
        <v>121566.9</v>
      </c>
      <c r="AB98" s="19" t="n">
        <v>57643.01</v>
      </c>
      <c r="AC98" s="10" t="n"/>
      <c r="AD98" s="10" t="n"/>
      <c r="AE98" s="11" t="n"/>
      <c r="AF98" s="10" t="n"/>
      <c r="AG98" s="10" t="n"/>
      <c r="AH98" s="10" t="n"/>
      <c r="AI98" s="10" t="n"/>
      <c r="AJ98" s="11" t="n"/>
      <c r="AK98" s="10" t="n"/>
      <c r="AL98" s="10" t="n"/>
      <c r="AM98" s="10" t="n"/>
      <c r="AN98" s="10" t="n"/>
      <c r="AO98" s="11" t="n"/>
    </row>
    <row r="99">
      <c r="A99" t="n">
        <v>1</v>
      </c>
      <c r="C99" t="inlineStr">
        <is>
          <t>장기차입금의감소</t>
        </is>
      </c>
      <c r="E99" s="18" t="n">
        <v>0</v>
      </c>
      <c r="F99" s="9" t="n"/>
      <c r="K99" s="9" t="n"/>
      <c r="L99" s="18" t="n">
        <v>0</v>
      </c>
      <c r="M99" s="18" t="n">
        <v>0</v>
      </c>
      <c r="P99" s="9" t="n"/>
      <c r="Q99" s="18" t="n">
        <v>0</v>
      </c>
      <c r="R99" s="18" t="n">
        <v>0</v>
      </c>
      <c r="S99" s="18" t="n">
        <v>0</v>
      </c>
      <c r="U99" s="9" t="n"/>
      <c r="Z99" s="9" t="n"/>
      <c r="AB99" s="5" t="n"/>
      <c r="AC99" s="10" t="n"/>
      <c r="AD99" s="10" t="n"/>
      <c r="AE99" s="11" t="n"/>
      <c r="AF99" s="10" t="n"/>
      <c r="AG99" s="10" t="n"/>
      <c r="AH99" s="10" t="n"/>
      <c r="AI99" s="10" t="n"/>
      <c r="AJ99" s="11" t="n"/>
      <c r="AK99" s="10" t="n"/>
      <c r="AL99" s="10" t="n"/>
      <c r="AM99" s="10" t="n"/>
      <c r="AN99" s="10" t="n"/>
      <c r="AO99" s="11" t="n"/>
    </row>
    <row r="100">
      <c r="A100" t="n">
        <v>1</v>
      </c>
      <c r="C100" t="inlineStr">
        <is>
          <t>배당금지급</t>
        </is>
      </c>
      <c r="E100" s="18" t="n">
        <v>0</v>
      </c>
      <c r="F100" s="9" t="n"/>
      <c r="I100" s="18" t="n">
        <v>0</v>
      </c>
      <c r="J100" s="18" t="n">
        <v>0</v>
      </c>
      <c r="K100" s="9" t="n"/>
      <c r="L100" s="18" t="n">
        <v>0</v>
      </c>
      <c r="M100" s="18" t="n">
        <v>0</v>
      </c>
      <c r="N100" s="18" t="n">
        <v>0</v>
      </c>
      <c r="P100" s="9" t="n"/>
      <c r="Q100" s="18" t="n">
        <v>0</v>
      </c>
      <c r="R100" s="18" t="n">
        <v>0</v>
      </c>
      <c r="S100" s="18" t="n">
        <v>0</v>
      </c>
      <c r="U100" s="9" t="n"/>
      <c r="X100" s="18" t="n">
        <v>0</v>
      </c>
      <c r="Y100" s="18" t="n">
        <v>0</v>
      </c>
      <c r="Z100" s="9" t="n"/>
      <c r="AB100" s="5" t="n"/>
      <c r="AC100" s="10" t="n"/>
      <c r="AD100" s="10" t="n"/>
      <c r="AE100" s="11" t="n"/>
      <c r="AF100" s="10" t="n"/>
      <c r="AG100" s="10" t="n"/>
      <c r="AH100" s="10" t="n"/>
      <c r="AI100" s="10" t="n"/>
      <c r="AJ100" s="11" t="n"/>
      <c r="AK100" s="10" t="n"/>
      <c r="AL100" s="10" t="n"/>
      <c r="AM100" s="10" t="n"/>
      <c r="AN100" s="10" t="n"/>
      <c r="AO100" s="11" t="n"/>
    </row>
    <row r="101">
      <c r="A101" t="n">
        <v>1</v>
      </c>
      <c r="C101" t="inlineStr">
        <is>
          <t>리스부채의상환</t>
        </is>
      </c>
      <c r="E101" s="18" t="n">
        <v>3628.43</v>
      </c>
      <c r="F101" s="9" t="n"/>
      <c r="G101" s="18" t="n">
        <v>3621.15</v>
      </c>
      <c r="H101" s="18" t="n">
        <v>3651.13</v>
      </c>
      <c r="I101" s="18" t="n">
        <v>3648.59</v>
      </c>
      <c r="J101" s="18" t="n">
        <v>3531.61</v>
      </c>
      <c r="K101" s="37" t="n">
        <v>14452.48</v>
      </c>
      <c r="L101" s="18" t="n">
        <v>3368.66</v>
      </c>
      <c r="M101" s="18" t="n">
        <v>3369.8</v>
      </c>
      <c r="N101" s="18" t="n">
        <v>3668.16</v>
      </c>
      <c r="O101" s="18" t="n">
        <v>3433.22</v>
      </c>
      <c r="P101" s="37" t="n">
        <v>13839.84</v>
      </c>
      <c r="Q101" s="18" t="n">
        <v>3387.36</v>
      </c>
      <c r="R101" s="18" t="n">
        <v>3283.11</v>
      </c>
      <c r="S101" s="18" t="n">
        <v>3207.11</v>
      </c>
      <c r="U101" s="9" t="n"/>
      <c r="V101" s="18" t="n">
        <v>3390.1</v>
      </c>
      <c r="W101" s="18" t="n">
        <v>3321.23</v>
      </c>
      <c r="X101" s="18" t="n">
        <v>3276.64</v>
      </c>
      <c r="Y101" s="18" t="n">
        <v>3146.66</v>
      </c>
      <c r="Z101" s="37" t="n">
        <v>13134.63</v>
      </c>
      <c r="AA101" s="18" t="n">
        <v>3106.03</v>
      </c>
      <c r="AB101" s="19" t="n">
        <v>3045.63</v>
      </c>
      <c r="AC101" s="10" t="n"/>
      <c r="AD101" s="10" t="n"/>
      <c r="AE101" s="11" t="n"/>
      <c r="AF101" s="10" t="n"/>
      <c r="AG101" s="10" t="n"/>
      <c r="AH101" s="10" t="n"/>
      <c r="AI101" s="10" t="n"/>
      <c r="AJ101" s="11" t="n"/>
      <c r="AK101" s="10" t="n"/>
      <c r="AL101" s="10" t="n"/>
      <c r="AM101" s="10" t="n"/>
      <c r="AN101" s="10" t="n"/>
      <c r="AO101" s="11" t="n"/>
    </row>
    <row r="102">
      <c r="A102" t="n">
        <v>1</v>
      </c>
      <c r="C102" t="inlineStr">
        <is>
          <t>현금및현금성자산의증감</t>
        </is>
      </c>
      <c r="E102" s="18" t="n">
        <v>3209.43</v>
      </c>
      <c r="F102" s="9" t="n"/>
      <c r="G102" s="18" t="n">
        <v>-3580.31</v>
      </c>
      <c r="H102" s="18" t="n">
        <v>-45.9</v>
      </c>
      <c r="I102" s="18" t="n">
        <v>1892.26</v>
      </c>
      <c r="J102" s="18" t="n">
        <v>2351.3</v>
      </c>
      <c r="K102" s="37" t="n">
        <v>617.35</v>
      </c>
      <c r="L102" s="18" t="n">
        <v>3708.83</v>
      </c>
      <c r="M102" s="18" t="n">
        <v>-4291.8</v>
      </c>
      <c r="N102" s="18" t="n">
        <v>1628.91</v>
      </c>
      <c r="O102" s="18" t="n">
        <v>5216.22</v>
      </c>
      <c r="P102" s="37" t="n">
        <v>6262.16</v>
      </c>
      <c r="Q102" s="18" t="n">
        <v>-12110.69</v>
      </c>
      <c r="R102" s="18" t="n">
        <v>1858.93</v>
      </c>
      <c r="S102" s="18" t="n">
        <v>47196.83</v>
      </c>
      <c r="T102" s="18" t="n">
        <v>-38981.17</v>
      </c>
      <c r="U102" s="37" t="n">
        <v>-2036.1</v>
      </c>
      <c r="V102" s="18" t="n">
        <v>896.75</v>
      </c>
      <c r="W102" s="18" t="n">
        <v>12230.97</v>
      </c>
      <c r="X102" s="18" t="n">
        <v>-14931.62</v>
      </c>
      <c r="Y102" s="18" t="n">
        <v>990.1900000000001</v>
      </c>
      <c r="Z102" s="37" t="n">
        <v>-813.71</v>
      </c>
      <c r="AA102" s="18" t="n">
        <v>13889.31</v>
      </c>
      <c r="AB102" s="19" t="n">
        <v>30138.33</v>
      </c>
      <c r="AC102" s="10" t="n"/>
      <c r="AD102" s="10" t="n"/>
      <c r="AE102" s="11" t="n"/>
      <c r="AF102" s="10" t="n"/>
      <c r="AG102" s="10" t="n"/>
      <c r="AH102" s="10" t="n"/>
      <c r="AI102" s="10" t="n"/>
      <c r="AJ102" s="11" t="n"/>
      <c r="AK102" s="10" t="n"/>
      <c r="AL102" s="10" t="n"/>
      <c r="AM102" s="10" t="n"/>
      <c r="AN102" s="10" t="n"/>
      <c r="AO102" s="11" t="n"/>
    </row>
    <row r="103">
      <c r="A103" t="n">
        <v>1</v>
      </c>
      <c r="C103" t="inlineStr">
        <is>
          <t>기말현금및현금성자산</t>
        </is>
      </c>
      <c r="E103" s="18" t="n">
        <v>3209.44</v>
      </c>
      <c r="F103" s="9" t="n"/>
      <c r="G103" s="18" t="n">
        <v>10698.94</v>
      </c>
      <c r="H103" s="18" t="n">
        <v>-45.91</v>
      </c>
      <c r="I103" s="18" t="n">
        <v>1892.27</v>
      </c>
      <c r="J103" s="18" t="n">
        <v>2351.3</v>
      </c>
      <c r="K103" s="37" t="n">
        <v>14896.6</v>
      </c>
      <c r="L103" s="18" t="n">
        <v>18605.43</v>
      </c>
      <c r="M103" s="18" t="n">
        <v>-4291.81</v>
      </c>
      <c r="N103" s="18" t="n">
        <v>1628.91</v>
      </c>
      <c r="O103" s="18" t="n">
        <v>5216.22</v>
      </c>
      <c r="P103" s="37" t="n">
        <v>21158.75</v>
      </c>
      <c r="Q103" s="18" t="n">
        <v>9048.059999999999</v>
      </c>
      <c r="R103" s="18" t="n">
        <v>1858.94</v>
      </c>
      <c r="S103" s="18" t="n">
        <v>47196.82</v>
      </c>
      <c r="T103" s="18" t="n">
        <v>-38981.16</v>
      </c>
      <c r="U103" s="37" t="n">
        <v>19122.66</v>
      </c>
      <c r="V103" s="18" t="n">
        <v>20019.41</v>
      </c>
      <c r="W103" s="18" t="n">
        <v>12230.96</v>
      </c>
      <c r="X103" s="18" t="n">
        <v>-14931.61</v>
      </c>
      <c r="Y103" s="18" t="n">
        <v>990.1799999999999</v>
      </c>
      <c r="Z103" s="37" t="n">
        <v>18308.94</v>
      </c>
      <c r="AA103" s="18" t="n">
        <v>32198.25</v>
      </c>
      <c r="AB103" s="19" t="n">
        <v>30138.33</v>
      </c>
      <c r="AC103" s="10" t="n"/>
      <c r="AD103" s="10" t="n"/>
      <c r="AE103" s="11" t="n"/>
      <c r="AF103" s="10" t="n"/>
      <c r="AG103" s="10" t="n"/>
      <c r="AH103" s="10" t="n"/>
      <c r="AI103" s="10" t="n"/>
      <c r="AJ103" s="11" t="n"/>
      <c r="AK103" s="10" t="n"/>
      <c r="AL103" s="10" t="n"/>
      <c r="AM103" s="10" t="n"/>
      <c r="AN103" s="10" t="n"/>
      <c r="AO103" s="11" t="n"/>
    </row>
    <row r="104">
      <c r="A104" t="n">
        <v>1</v>
      </c>
      <c r="C104" t="inlineStr">
        <is>
          <t>무형자산의감소</t>
        </is>
      </c>
      <c r="F104" s="9" t="n"/>
      <c r="K104" s="9" t="n"/>
      <c r="L104" s="18" t="n">
        <v>0</v>
      </c>
      <c r="M104" s="18" t="n">
        <v>0</v>
      </c>
      <c r="N104" s="18" t="n">
        <v>0</v>
      </c>
      <c r="P104" s="9" t="n"/>
      <c r="Q104" s="18" t="n">
        <v>0</v>
      </c>
      <c r="R104" s="18" t="n">
        <v>0</v>
      </c>
      <c r="S104" s="18" t="n">
        <v>0</v>
      </c>
      <c r="U104" s="9" t="n"/>
      <c r="Z104" s="9" t="n"/>
      <c r="AB104" s="5" t="n"/>
      <c r="AC104" s="10" t="n"/>
      <c r="AD104" s="10" t="n"/>
      <c r="AE104" s="11" t="n"/>
      <c r="AF104" s="10" t="n"/>
      <c r="AG104" s="10" t="n"/>
      <c r="AH104" s="10" t="n"/>
      <c r="AI104" s="10" t="n"/>
      <c r="AJ104" s="11" t="n"/>
      <c r="AK104" s="10" t="n"/>
      <c r="AL104" s="10" t="n"/>
      <c r="AM104" s="10" t="n"/>
      <c r="AN104" s="10" t="n"/>
      <c r="AO104" s="11" t="n"/>
    </row>
    <row r="105">
      <c r="A105" t="n">
        <v>1</v>
      </c>
      <c r="C105" t="inlineStr">
        <is>
          <t>배당금수취(CF)</t>
        </is>
      </c>
      <c r="F105" s="9" t="n"/>
      <c r="K105" s="9" t="n"/>
      <c r="O105" s="18" t="n">
        <v>0</v>
      </c>
      <c r="P105" s="9" t="n"/>
      <c r="Q105" s="18" t="n">
        <v>0</v>
      </c>
      <c r="R105" s="18" t="n">
        <v>22.4</v>
      </c>
      <c r="S105" s="18" t="n">
        <v>0</v>
      </c>
      <c r="U105" s="9" t="n"/>
      <c r="X105" s="18" t="n">
        <v>0</v>
      </c>
      <c r="Y105" s="18" t="n">
        <v>0</v>
      </c>
      <c r="Z105" s="9" t="n"/>
      <c r="AA105" s="18" t="n">
        <v>3.82</v>
      </c>
      <c r="AB105" s="19" t="n">
        <v>51.8</v>
      </c>
      <c r="AC105" s="10" t="n"/>
      <c r="AD105" s="10" t="n"/>
      <c r="AE105" s="11" t="n"/>
      <c r="AF105" s="10" t="n"/>
      <c r="AG105" s="10" t="n"/>
      <c r="AH105" s="10" t="n"/>
      <c r="AI105" s="10" t="n"/>
      <c r="AJ105" s="11" t="n"/>
      <c r="AK105" s="10" t="n"/>
      <c r="AL105" s="10" t="n"/>
      <c r="AM105" s="10" t="n"/>
      <c r="AN105" s="10" t="n"/>
      <c r="AO105" s="11" t="n"/>
    </row>
    <row r="106">
      <c r="A106" t="n">
        <v>1</v>
      </c>
      <c r="C106" t="inlineStr">
        <is>
          <t>무형자산의증가</t>
        </is>
      </c>
      <c r="F106" s="9" t="n"/>
      <c r="K106" s="9" t="n"/>
      <c r="P106" s="9" t="n"/>
      <c r="Q106" s="18" t="n">
        <v>0</v>
      </c>
      <c r="R106" s="18" t="n">
        <v>0</v>
      </c>
      <c r="S106" s="18" t="n">
        <v>0</v>
      </c>
      <c r="U106" s="9" t="n"/>
      <c r="Z106" s="9" t="n"/>
      <c r="AB106" s="5" t="n"/>
      <c r="AC106" s="10" t="n"/>
      <c r="AD106" s="10" t="n"/>
      <c r="AE106" s="11" t="n"/>
      <c r="AF106" s="10" t="n"/>
      <c r="AG106" s="10" t="n"/>
      <c r="AH106" s="10" t="n"/>
      <c r="AI106" s="10" t="n"/>
      <c r="AJ106" s="11" t="n"/>
      <c r="AK106" s="10" t="n"/>
      <c r="AL106" s="10" t="n"/>
      <c r="AM106" s="10" t="n"/>
      <c r="AN106" s="10" t="n"/>
      <c r="AO106" s="11" t="n"/>
    </row>
    <row r="107">
      <c r="A107" t="n">
        <v>1</v>
      </c>
      <c r="C107" t="inlineStr">
        <is>
          <t>장기차입금의증가</t>
        </is>
      </c>
      <c r="F107" s="9" t="n"/>
      <c r="K107" s="9" t="n"/>
      <c r="P107" s="9" t="n"/>
      <c r="S107" s="18" t="n">
        <v>4000</v>
      </c>
      <c r="T107" s="18" t="n">
        <v>6000</v>
      </c>
      <c r="U107" s="9" t="n"/>
      <c r="Y107" s="18" t="n">
        <v>0</v>
      </c>
      <c r="Z107" s="9" t="n"/>
      <c r="AA107" s="18" t="n">
        <v>40000</v>
      </c>
      <c r="AB107" s="19" t="n">
        <v>0</v>
      </c>
      <c r="AC107" s="10" t="n"/>
      <c r="AD107" s="10" t="n"/>
      <c r="AE107" s="11" t="n"/>
      <c r="AF107" s="10" t="n"/>
      <c r="AG107" s="10" t="n"/>
      <c r="AH107" s="10" t="n"/>
      <c r="AI107" s="10" t="n"/>
      <c r="AJ107" s="11" t="n"/>
      <c r="AK107" s="10" t="n"/>
      <c r="AL107" s="10" t="n"/>
      <c r="AM107" s="10" t="n"/>
      <c r="AN107" s="10" t="n"/>
      <c r="AO107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9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AB2" s="5" t="n"/>
    </row>
    <row r="3">
      <c r="B3" t="inlineStr">
        <is>
          <t>현대리바트(별)</t>
        </is>
      </c>
      <c r="C3" s="2" t="inlineStr">
        <is>
          <t>UPDATE: 26-10-11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422929.92</v>
      </c>
      <c r="F5" s="37" t="n">
        <v>422929.92</v>
      </c>
      <c r="G5" s="18" t="n">
        <v>378492.77</v>
      </c>
      <c r="H5" s="18" t="n">
        <v>398793.92</v>
      </c>
      <c r="I5" s="18" t="n">
        <v>432112.23</v>
      </c>
      <c r="J5" s="18" t="n">
        <v>447441.04</v>
      </c>
      <c r="K5" s="37" t="n">
        <v>447441.04</v>
      </c>
      <c r="L5" s="18" t="n">
        <v>429806.46</v>
      </c>
      <c r="M5" s="18" t="n">
        <v>463656.89</v>
      </c>
      <c r="N5" s="18" t="n">
        <v>524621.11</v>
      </c>
      <c r="O5" s="18" t="n">
        <v>503826.87</v>
      </c>
      <c r="P5" s="37" t="n">
        <v>503826.87</v>
      </c>
      <c r="Q5" s="18" t="n">
        <v>554212.11</v>
      </c>
      <c r="R5" s="18" t="n">
        <v>533385.99</v>
      </c>
      <c r="S5" s="18" t="n">
        <v>520419.39</v>
      </c>
      <c r="T5" s="18" t="n">
        <v>469657</v>
      </c>
      <c r="U5" s="37" t="n">
        <v>469657</v>
      </c>
      <c r="V5" s="18" t="n">
        <v>463387.66</v>
      </c>
      <c r="W5" s="18" t="n">
        <v>449884.57</v>
      </c>
      <c r="X5" s="18" t="n">
        <v>403310.62</v>
      </c>
      <c r="Y5" s="18" t="n">
        <v>398061.05</v>
      </c>
      <c r="Z5" s="37" t="n">
        <v>398061.05</v>
      </c>
      <c r="AA5" s="18" t="n">
        <v>444422.27</v>
      </c>
      <c r="AB5" s="19" t="n">
        <v>469415.94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8495.23</v>
      </c>
      <c r="F6" s="37" t="n">
        <v>8495.23</v>
      </c>
      <c r="G6" s="18" t="n">
        <v>6265.28</v>
      </c>
      <c r="H6" s="18" t="n">
        <v>5593.66</v>
      </c>
      <c r="I6" s="18" t="n">
        <v>7340.08</v>
      </c>
      <c r="J6" s="18" t="n">
        <v>11240.16</v>
      </c>
      <c r="K6" s="37" t="n">
        <v>11240.16</v>
      </c>
      <c r="L6" s="18" t="n">
        <v>15404.67</v>
      </c>
      <c r="M6" s="18" t="n">
        <v>10282.32</v>
      </c>
      <c r="N6" s="18" t="n">
        <v>12635.2</v>
      </c>
      <c r="O6" s="18" t="n">
        <v>18108.25</v>
      </c>
      <c r="P6" s="37" t="n">
        <v>18108.25</v>
      </c>
      <c r="Q6" s="18" t="n">
        <v>5709.74</v>
      </c>
      <c r="R6" s="18" t="n">
        <v>6891.07</v>
      </c>
      <c r="S6" s="18" t="n">
        <v>53508.92</v>
      </c>
      <c r="T6" s="18" t="n">
        <v>13963.04</v>
      </c>
      <c r="U6" s="37" t="n">
        <v>13963.04</v>
      </c>
      <c r="V6" s="18" t="n">
        <v>13764.41</v>
      </c>
      <c r="W6" s="18" t="n">
        <v>24215.67</v>
      </c>
      <c r="X6" s="18" t="n">
        <v>9389.26</v>
      </c>
      <c r="Y6" s="18" t="n">
        <v>12866.58</v>
      </c>
      <c r="Z6" s="37" t="n">
        <v>12866.58</v>
      </c>
      <c r="AA6" s="18" t="n">
        <v>23969.17</v>
      </c>
      <c r="AB6" s="19" t="n">
        <v>55729.05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매출채권및기타채권</t>
        </is>
      </c>
      <c r="E7" s="18" t="n">
        <v>240198.07</v>
      </c>
      <c r="F7" s="37" t="n">
        <v>240198.07</v>
      </c>
      <c r="G7" s="18" t="n">
        <v>213872.22</v>
      </c>
      <c r="H7" s="18" t="n">
        <v>206457.97</v>
      </c>
      <c r="I7" s="18" t="n">
        <v>215921.82</v>
      </c>
      <c r="J7" s="18" t="n">
        <v>251113.39</v>
      </c>
      <c r="K7" s="37" t="n">
        <v>251113.39</v>
      </c>
      <c r="L7" s="18" t="n">
        <v>234194.05</v>
      </c>
      <c r="M7" s="18" t="n">
        <v>248760.92</v>
      </c>
      <c r="N7" s="18" t="n">
        <v>295960.33</v>
      </c>
      <c r="O7" s="18" t="n">
        <v>265226.19</v>
      </c>
      <c r="P7" s="37" t="n">
        <v>265226.19</v>
      </c>
      <c r="Q7" s="18" t="n">
        <v>338580.41</v>
      </c>
      <c r="R7" s="18" t="n">
        <v>322116.44</v>
      </c>
      <c r="S7" s="18" t="n">
        <v>257619.45</v>
      </c>
      <c r="T7" s="18" t="n">
        <v>229730.44</v>
      </c>
      <c r="U7" s="37" t="n">
        <v>229730.44</v>
      </c>
      <c r="V7" s="18" t="n">
        <v>247789.02</v>
      </c>
      <c r="W7" s="18" t="n">
        <v>240997.15</v>
      </c>
      <c r="X7" s="18" t="n">
        <v>217793.85</v>
      </c>
      <c r="Y7" s="18" t="n">
        <v>206230.1</v>
      </c>
      <c r="Z7" s="37" t="n">
        <v>206230.1</v>
      </c>
      <c r="AA7" s="18" t="n">
        <v>226287.46</v>
      </c>
      <c r="AB7" s="19" t="n">
        <v>226498.83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단기금융상품</t>
        </is>
      </c>
      <c r="E8" s="18" t="n">
        <v>8801.379999999999</v>
      </c>
      <c r="F8" s="37" t="n">
        <v>8801.379999999999</v>
      </c>
      <c r="G8" s="18" t="n">
        <v>7880.93</v>
      </c>
      <c r="H8" s="18" t="n">
        <v>7594.57</v>
      </c>
      <c r="I8" s="18" t="n">
        <v>7617.15</v>
      </c>
      <c r="J8" s="18" t="n">
        <v>7664.4</v>
      </c>
      <c r="K8" s="37" t="n">
        <v>7664.4</v>
      </c>
      <c r="L8" s="18" t="n">
        <v>5792.95</v>
      </c>
      <c r="M8" s="18" t="n">
        <v>5450.21</v>
      </c>
      <c r="N8" s="18" t="n">
        <v>5636.41</v>
      </c>
      <c r="O8" s="18" t="n">
        <v>5461.67</v>
      </c>
      <c r="P8" s="37" t="n">
        <v>5461.67</v>
      </c>
      <c r="Q8" s="18" t="n">
        <v>5386.68</v>
      </c>
      <c r="R8" s="18" t="n">
        <v>8855.57</v>
      </c>
      <c r="S8" s="18" t="n">
        <v>9145.65</v>
      </c>
      <c r="U8" s="9" t="n"/>
      <c r="Z8" s="9" t="n"/>
      <c r="AB8" s="5" t="n"/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단기금융자산</t>
        </is>
      </c>
      <c r="E9" s="18" t="n">
        <v>8801.379999999999</v>
      </c>
      <c r="F9" s="37" t="n">
        <v>8801.379999999999</v>
      </c>
      <c r="G9" s="18" t="n">
        <v>7880.93</v>
      </c>
      <c r="H9" s="18" t="n">
        <v>7594.57</v>
      </c>
      <c r="I9" s="18" t="n">
        <v>7617.15</v>
      </c>
      <c r="J9" s="18" t="n">
        <v>7664.4</v>
      </c>
      <c r="K9" s="37" t="n">
        <v>7664.4</v>
      </c>
      <c r="L9" s="18" t="n">
        <v>5792.95</v>
      </c>
      <c r="M9" s="18" t="n">
        <v>5450.21</v>
      </c>
      <c r="N9" s="18" t="n">
        <v>5636.41</v>
      </c>
      <c r="O9" s="18" t="n">
        <v>5461.67</v>
      </c>
      <c r="P9" s="37" t="n">
        <v>5461.67</v>
      </c>
      <c r="Q9" s="18" t="n">
        <v>5386.68</v>
      </c>
      <c r="R9" s="18" t="n">
        <v>8855.57</v>
      </c>
      <c r="S9" s="18" t="n">
        <v>9145.65</v>
      </c>
      <c r="U9" s="9" t="n"/>
      <c r="Z9" s="9" t="n"/>
      <c r="AB9" s="5" t="n"/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재고자산</t>
        </is>
      </c>
      <c r="E10" s="18" t="n">
        <v>138877.55</v>
      </c>
      <c r="F10" s="37" t="n">
        <v>138877.55</v>
      </c>
      <c r="G10" s="18" t="n">
        <v>128542.95</v>
      </c>
      <c r="H10" s="18" t="n">
        <v>150214.53</v>
      </c>
      <c r="I10" s="18" t="n">
        <v>161652.06</v>
      </c>
      <c r="J10" s="18" t="n">
        <v>158197.77</v>
      </c>
      <c r="K10" s="37" t="n">
        <v>158197.77</v>
      </c>
      <c r="L10" s="18" t="n">
        <v>162465.09</v>
      </c>
      <c r="M10" s="18" t="n">
        <v>185658.37</v>
      </c>
      <c r="N10" s="18" t="n">
        <v>199273.29</v>
      </c>
      <c r="O10" s="18" t="n">
        <v>203274.54</v>
      </c>
      <c r="P10" s="37" t="n">
        <v>203274.54</v>
      </c>
      <c r="Q10" s="18" t="n">
        <v>193199.62</v>
      </c>
      <c r="R10" s="18" t="n">
        <v>184105.91</v>
      </c>
      <c r="S10" s="18" t="n">
        <v>192262</v>
      </c>
      <c r="T10" s="18" t="n">
        <v>210718.83</v>
      </c>
      <c r="U10" s="37" t="n">
        <v>210718.83</v>
      </c>
      <c r="V10" s="18" t="n">
        <v>185593.71</v>
      </c>
      <c r="W10" s="18" t="n">
        <v>168687.95</v>
      </c>
      <c r="X10" s="18" t="n">
        <v>161682.84</v>
      </c>
      <c r="Y10" s="18" t="n">
        <v>160221.43</v>
      </c>
      <c r="Z10" s="37" t="n">
        <v>160221.43</v>
      </c>
      <c r="AA10" s="18" t="n">
        <v>149420.19</v>
      </c>
      <c r="AB10" s="19" t="n">
        <v>149990.98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당기법인세자산(선급법인세)</t>
        </is>
      </c>
      <c r="E11" s="18" t="n">
        <v>62.9</v>
      </c>
      <c r="F11" s="37" t="n">
        <v>62.9</v>
      </c>
      <c r="G11" s="18" t="n">
        <v>33.31</v>
      </c>
      <c r="I11" s="18" t="n">
        <v>27.11</v>
      </c>
      <c r="J11" s="18" t="n">
        <v>1821.24</v>
      </c>
      <c r="K11" s="37" t="n">
        <v>1821.24</v>
      </c>
      <c r="L11" s="18" t="n">
        <v>1838.78</v>
      </c>
      <c r="M11" s="18" t="n">
        <v>59.83</v>
      </c>
      <c r="N11" s="18" t="n">
        <v>45.22</v>
      </c>
      <c r="O11" s="18" t="n">
        <v>46.59</v>
      </c>
      <c r="P11" s="37" t="n">
        <v>46.59</v>
      </c>
      <c r="Q11" s="18" t="n">
        <v>178.8</v>
      </c>
      <c r="R11" s="18" t="n">
        <v>166.33</v>
      </c>
      <c r="S11" s="18" t="n">
        <v>36.58</v>
      </c>
      <c r="T11" s="18" t="n">
        <v>173.16</v>
      </c>
      <c r="U11" s="37" t="n">
        <v>173.16</v>
      </c>
      <c r="V11" s="18" t="n">
        <v>168.07</v>
      </c>
      <c r="W11" s="18" t="n">
        <v>36.48</v>
      </c>
      <c r="X11" s="18" t="n">
        <v>36.48</v>
      </c>
      <c r="Y11" s="18" t="n">
        <v>197.21</v>
      </c>
      <c r="Z11" s="37" t="n">
        <v>197.21</v>
      </c>
      <c r="AA11" s="18" t="n">
        <v>40.84</v>
      </c>
      <c r="AB11" s="19" t="n">
        <v>40.84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계약자산</t>
        </is>
      </c>
      <c r="E12" s="18" t="n">
        <v>60.09</v>
      </c>
      <c r="F12" s="37" t="n">
        <v>60.09</v>
      </c>
      <c r="G12" s="18" t="n">
        <v>61.37</v>
      </c>
      <c r="H12" s="18" t="n">
        <v>139.5</v>
      </c>
      <c r="I12" s="18" t="n">
        <v>19992.29</v>
      </c>
      <c r="J12" s="18" t="n">
        <v>6794.99</v>
      </c>
      <c r="K12" s="37" t="n">
        <v>6794.99</v>
      </c>
      <c r="L12" s="18" t="n">
        <v>5784.06</v>
      </c>
      <c r="M12" s="18" t="n">
        <v>5839.42</v>
      </c>
      <c r="N12" s="18" t="n">
        <v>6533.31</v>
      </c>
      <c r="O12" s="18" t="n">
        <v>6260.07</v>
      </c>
      <c r="P12" s="37" t="n">
        <v>6260.07</v>
      </c>
      <c r="Q12" s="18" t="n">
        <v>4268.77</v>
      </c>
      <c r="R12" s="18" t="n">
        <v>4369.59</v>
      </c>
      <c r="S12" s="18" t="n">
        <v>2145.51</v>
      </c>
      <c r="U12" s="9" t="n"/>
      <c r="Z12" s="9" t="n"/>
      <c r="AB12" s="5" t="n"/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기타유동자산</t>
        </is>
      </c>
      <c r="E13" s="18" t="n">
        <v>26434.7</v>
      </c>
      <c r="F13" s="37" t="n">
        <v>26434.7</v>
      </c>
      <c r="G13" s="18" t="n">
        <v>21836.71</v>
      </c>
      <c r="H13" s="18" t="n">
        <v>28793.69</v>
      </c>
      <c r="I13" s="18" t="n">
        <v>19561.72</v>
      </c>
      <c r="J13" s="18" t="n">
        <v>10609.1</v>
      </c>
      <c r="K13" s="37" t="n">
        <v>10609.1</v>
      </c>
      <c r="L13" s="18" t="n">
        <v>4326.86</v>
      </c>
      <c r="M13" s="18" t="n">
        <v>7605.81</v>
      </c>
      <c r="N13" s="18" t="n">
        <v>4537.35</v>
      </c>
      <c r="O13" s="18" t="n">
        <v>5449.56</v>
      </c>
      <c r="P13" s="37" t="n">
        <v>5449.56</v>
      </c>
      <c r="Q13" s="18" t="n">
        <v>6888.09</v>
      </c>
      <c r="R13" s="18" t="n">
        <v>6881.07</v>
      </c>
      <c r="S13" s="18" t="n">
        <v>5701.29</v>
      </c>
      <c r="T13" s="18" t="n">
        <v>4897.43</v>
      </c>
      <c r="U13" s="37" t="n">
        <v>4897.43</v>
      </c>
      <c r="V13" s="18" t="n">
        <v>5401.3</v>
      </c>
      <c r="W13" s="18" t="n">
        <v>4136.11</v>
      </c>
      <c r="X13" s="18" t="n">
        <v>3880.8</v>
      </c>
      <c r="Y13" s="18" t="n">
        <v>4146.29</v>
      </c>
      <c r="Z13" s="37" t="n">
        <v>4146.29</v>
      </c>
      <c r="AA13" s="18" t="n">
        <v>8553.34</v>
      </c>
      <c r="AB13" s="19" t="n">
        <v>8722.870000000001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비유동자산</t>
        </is>
      </c>
      <c r="E14" s="18" t="n">
        <v>430902.98</v>
      </c>
      <c r="F14" s="37" t="n">
        <v>430902.98</v>
      </c>
      <c r="G14" s="18" t="n">
        <v>430036.6</v>
      </c>
      <c r="H14" s="18" t="n">
        <v>430768.18</v>
      </c>
      <c r="I14" s="18" t="n">
        <v>425066.13</v>
      </c>
      <c r="J14" s="18" t="n">
        <v>401153.05</v>
      </c>
      <c r="K14" s="37" t="n">
        <v>401153.05</v>
      </c>
      <c r="L14" s="18" t="n">
        <v>400518.99</v>
      </c>
      <c r="M14" s="18" t="n">
        <v>395867.17</v>
      </c>
      <c r="N14" s="18" t="n">
        <v>392099.58</v>
      </c>
      <c r="O14" s="18" t="n">
        <v>387788.51</v>
      </c>
      <c r="P14" s="37" t="n">
        <v>387788.51</v>
      </c>
      <c r="Q14" s="18" t="n">
        <v>375334.32</v>
      </c>
      <c r="R14" s="18" t="n">
        <v>368025.73</v>
      </c>
      <c r="S14" s="18" t="n">
        <v>361181.5</v>
      </c>
      <c r="T14" s="18" t="n">
        <v>379095</v>
      </c>
      <c r="U14" s="37" t="n">
        <v>379095</v>
      </c>
      <c r="V14" s="18" t="n">
        <v>368893.11</v>
      </c>
      <c r="W14" s="18" t="n">
        <v>362860.32</v>
      </c>
      <c r="X14" s="18" t="n">
        <v>361464.16</v>
      </c>
      <c r="Y14" s="18" t="n">
        <v>364951.71</v>
      </c>
      <c r="Z14" s="37" t="n">
        <v>364951.71</v>
      </c>
      <c r="AA14" s="18" t="n">
        <v>340611.06</v>
      </c>
      <c r="AB14" s="19" t="n">
        <v>342773.26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장기금융자산</t>
        </is>
      </c>
      <c r="E15" s="18" t="n">
        <v>34885.4</v>
      </c>
      <c r="F15" s="37" t="n">
        <v>34885.4</v>
      </c>
      <c r="G15" s="18" t="n">
        <v>35118.26</v>
      </c>
      <c r="H15" s="18" t="n">
        <v>35221.23</v>
      </c>
      <c r="I15" s="18" t="n">
        <v>34634.54</v>
      </c>
      <c r="J15" s="18" t="n">
        <v>33676.13</v>
      </c>
      <c r="K15" s="37" t="n">
        <v>33676.13</v>
      </c>
      <c r="L15" s="18" t="n">
        <v>37355.92</v>
      </c>
      <c r="M15" s="18" t="n">
        <v>37673.33</v>
      </c>
      <c r="N15" s="18" t="n">
        <v>36408.7</v>
      </c>
      <c r="O15" s="18" t="n">
        <v>36922.77</v>
      </c>
      <c r="P15" s="37" t="n">
        <v>36922.77</v>
      </c>
      <c r="Q15" s="18" t="n">
        <v>33964.3</v>
      </c>
      <c r="R15" s="18" t="n">
        <v>30170.22</v>
      </c>
      <c r="S15" s="18" t="n">
        <v>29938.84</v>
      </c>
      <c r="T15" s="18" t="n">
        <v>29803.18</v>
      </c>
      <c r="U15" s="37" t="n">
        <v>29803.18</v>
      </c>
      <c r="V15" s="18" t="n">
        <v>29637.43</v>
      </c>
      <c r="W15" s="18" t="n">
        <v>28033.74</v>
      </c>
      <c r="X15" s="18" t="n">
        <v>28488.09</v>
      </c>
      <c r="Y15" s="18" t="n">
        <v>23692.13</v>
      </c>
      <c r="Z15" s="37" t="n">
        <v>23692.13</v>
      </c>
      <c r="AA15" s="18" t="n">
        <v>21744.8</v>
      </c>
      <c r="AB15" s="19" t="n">
        <v>27508.51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투자자산</t>
        </is>
      </c>
      <c r="E16" s="18" t="n">
        <v>37686.26</v>
      </c>
      <c r="F16" s="37" t="n">
        <v>37686.26</v>
      </c>
      <c r="G16" s="18" t="n">
        <v>37919.12</v>
      </c>
      <c r="H16" s="18" t="n">
        <v>38669.34</v>
      </c>
      <c r="I16" s="18" t="n">
        <v>38082.65</v>
      </c>
      <c r="J16" s="18" t="n">
        <v>37124.24</v>
      </c>
      <c r="K16" s="37" t="n">
        <v>37124.24</v>
      </c>
      <c r="L16" s="18" t="n">
        <v>40804.03</v>
      </c>
      <c r="M16" s="18" t="n">
        <v>41121.44</v>
      </c>
      <c r="N16" s="18" t="n">
        <v>39856.81</v>
      </c>
      <c r="O16" s="18" t="n">
        <v>40370.88</v>
      </c>
      <c r="P16" s="37" t="n">
        <v>40370.88</v>
      </c>
      <c r="Q16" s="18" t="n">
        <v>37412.41</v>
      </c>
      <c r="R16" s="18" t="n">
        <v>33618.33</v>
      </c>
      <c r="S16" s="18" t="n">
        <v>33386.95</v>
      </c>
      <c r="T16" s="18" t="n">
        <v>33751.29</v>
      </c>
      <c r="U16" s="37" t="n">
        <v>33751.29</v>
      </c>
      <c r="V16" s="18" t="n">
        <v>33585.54</v>
      </c>
      <c r="W16" s="18" t="n">
        <v>31981.85</v>
      </c>
      <c r="X16" s="18" t="n">
        <v>32436.2</v>
      </c>
      <c r="Y16" s="18" t="n">
        <v>27640.24</v>
      </c>
      <c r="Z16" s="37" t="n">
        <v>27640.24</v>
      </c>
      <c r="AA16" s="18" t="n">
        <v>25692.91</v>
      </c>
      <c r="AB16" s="19" t="n">
        <v>27508.51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종속기업및관계기업투자</t>
        </is>
      </c>
      <c r="E17" s="18" t="n">
        <v>2800.86</v>
      </c>
      <c r="F17" s="37" t="n">
        <v>2800.86</v>
      </c>
      <c r="G17" s="18" t="n">
        <v>2800.86</v>
      </c>
      <c r="H17" s="18" t="n">
        <v>3448.11</v>
      </c>
      <c r="I17" s="18" t="n">
        <v>3448.11</v>
      </c>
      <c r="J17" s="18" t="n">
        <v>3448.11</v>
      </c>
      <c r="K17" s="37" t="n">
        <v>3448.11</v>
      </c>
      <c r="L17" s="18" t="n">
        <v>3448.11</v>
      </c>
      <c r="M17" s="18" t="n">
        <v>3448.11</v>
      </c>
      <c r="N17" s="18" t="n">
        <v>3448.11</v>
      </c>
      <c r="O17" s="18" t="n">
        <v>3448.11</v>
      </c>
      <c r="P17" s="37" t="n">
        <v>3448.11</v>
      </c>
      <c r="Q17" s="18" t="n">
        <v>3448.11</v>
      </c>
      <c r="R17" s="18" t="n">
        <v>3448.11</v>
      </c>
      <c r="S17" s="18" t="n">
        <v>3448.11</v>
      </c>
      <c r="T17" s="18" t="n">
        <v>3948.11</v>
      </c>
      <c r="U17" s="37" t="n">
        <v>3948.11</v>
      </c>
      <c r="V17" s="18" t="n">
        <v>3948.11</v>
      </c>
      <c r="W17" s="18" t="n">
        <v>3948.11</v>
      </c>
      <c r="X17" s="18" t="n">
        <v>3948.11</v>
      </c>
      <c r="Y17" s="18" t="n">
        <v>3948.11</v>
      </c>
      <c r="Z17" s="37" t="n">
        <v>3948.11</v>
      </c>
      <c r="AA17" s="18" t="n">
        <v>3948.11</v>
      </c>
      <c r="AB17" s="5" t="n"/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유형자산</t>
        </is>
      </c>
      <c r="E18" s="18" t="n">
        <v>360983.13</v>
      </c>
      <c r="F18" s="37" t="n">
        <v>360983.13</v>
      </c>
      <c r="G18" s="18" t="n">
        <v>362000.39</v>
      </c>
      <c r="H18" s="18" t="n">
        <v>362108.14</v>
      </c>
      <c r="I18" s="18" t="n">
        <v>357259.01</v>
      </c>
      <c r="J18" s="18" t="n">
        <v>318632.28</v>
      </c>
      <c r="K18" s="37" t="n">
        <v>318632.28</v>
      </c>
      <c r="L18" s="18" t="n">
        <v>316355.39</v>
      </c>
      <c r="M18" s="18" t="n">
        <v>311983.37</v>
      </c>
      <c r="N18" s="18" t="n">
        <v>310615.92</v>
      </c>
      <c r="O18" s="18" t="n">
        <v>299438.69</v>
      </c>
      <c r="P18" s="37" t="n">
        <v>299438.69</v>
      </c>
      <c r="Q18" s="18" t="n">
        <v>294581.03</v>
      </c>
      <c r="R18" s="18" t="n">
        <v>294051.19</v>
      </c>
      <c r="S18" s="18" t="n">
        <v>289947.7</v>
      </c>
      <c r="T18" s="18" t="n">
        <v>285837.08</v>
      </c>
      <c r="U18" s="37" t="n">
        <v>285837.08</v>
      </c>
      <c r="V18" s="18" t="n">
        <v>282581.27</v>
      </c>
      <c r="W18" s="18" t="n">
        <v>279897.2</v>
      </c>
      <c r="X18" s="18" t="n">
        <v>280538.79</v>
      </c>
      <c r="Y18" s="18" t="n">
        <v>275525.93</v>
      </c>
      <c r="Z18" s="37" t="n">
        <v>275525.93</v>
      </c>
      <c r="AA18" s="18" t="n">
        <v>272163.14</v>
      </c>
      <c r="AB18" s="19" t="n">
        <v>270364.63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투자부동산</t>
        </is>
      </c>
      <c r="E19" s="18" t="n">
        <v>1301.84</v>
      </c>
      <c r="F19" s="37" t="n">
        <v>1301.84</v>
      </c>
      <c r="G19" s="18" t="n">
        <v>1293.31</v>
      </c>
      <c r="H19" s="18" t="n">
        <v>910.47</v>
      </c>
      <c r="I19" s="18" t="n">
        <v>904.72</v>
      </c>
      <c r="J19" s="18" t="n">
        <v>898.97</v>
      </c>
      <c r="K19" s="37" t="n">
        <v>898.97</v>
      </c>
      <c r="L19" s="18" t="n">
        <v>893.21</v>
      </c>
      <c r="M19" s="18" t="n">
        <v>2008.17</v>
      </c>
      <c r="N19" s="18" t="n">
        <v>1994.65</v>
      </c>
      <c r="O19" s="18" t="n">
        <v>1981.13</v>
      </c>
      <c r="P19" s="37" t="n">
        <v>1981.13</v>
      </c>
      <c r="Q19" s="18" t="n">
        <v>1967.62</v>
      </c>
      <c r="R19" s="18" t="n">
        <v>1954.1</v>
      </c>
      <c r="S19" s="18" t="n">
        <v>1940.58</v>
      </c>
      <c r="T19" s="18" t="n">
        <v>1927.06</v>
      </c>
      <c r="U19" s="37" t="n">
        <v>1927.06</v>
      </c>
      <c r="V19" s="18" t="n">
        <v>1913.55</v>
      </c>
      <c r="W19" s="18" t="n">
        <v>1900.03</v>
      </c>
      <c r="X19" s="18" t="n">
        <v>1886.51</v>
      </c>
      <c r="Y19" s="18" t="n">
        <v>1873</v>
      </c>
      <c r="Z19" s="37" t="n">
        <v>1873</v>
      </c>
      <c r="AA19" s="18" t="n">
        <v>1859.48</v>
      </c>
      <c r="AB19" s="19" t="n">
        <v>1845.96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무형자산</t>
        </is>
      </c>
      <c r="E20" s="18" t="n">
        <v>27998.83</v>
      </c>
      <c r="F20" s="37" t="n">
        <v>27998.83</v>
      </c>
      <c r="G20" s="18" t="n">
        <v>27756.45</v>
      </c>
      <c r="H20" s="18" t="n">
        <v>27514.06</v>
      </c>
      <c r="I20" s="18" t="n">
        <v>27271.68</v>
      </c>
      <c r="J20" s="18" t="n">
        <v>27029.29</v>
      </c>
      <c r="K20" s="37" t="n">
        <v>27029.29</v>
      </c>
      <c r="L20" s="18" t="n">
        <v>26786.91</v>
      </c>
      <c r="M20" s="18" t="n">
        <v>26544.53</v>
      </c>
      <c r="N20" s="18" t="n">
        <v>26302.14</v>
      </c>
      <c r="O20" s="18" t="n">
        <v>27081.76</v>
      </c>
      <c r="P20" s="37" t="n">
        <v>27081.76</v>
      </c>
      <c r="Q20" s="18" t="n">
        <v>26839.38</v>
      </c>
      <c r="R20" s="18" t="n">
        <v>26596.99</v>
      </c>
      <c r="S20" s="18" t="n">
        <v>26354.61</v>
      </c>
      <c r="U20" s="9" t="n"/>
      <c r="Z20" s="9" t="n"/>
      <c r="AB20" s="5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기타비유동자산</t>
        </is>
      </c>
      <c r="E21" s="18" t="n">
        <v>1891.75</v>
      </c>
      <c r="F21" s="37" t="n">
        <v>1891.75</v>
      </c>
      <c r="G21" s="18" t="n">
        <v>18.86</v>
      </c>
      <c r="H21" s="18" t="n">
        <v>18.1</v>
      </c>
      <c r="I21" s="18" t="n">
        <v>18.56</v>
      </c>
      <c r="J21" s="18" t="n">
        <v>9169.309999999999</v>
      </c>
      <c r="K21" s="37" t="n">
        <v>9169.309999999999</v>
      </c>
      <c r="L21" s="18" t="n">
        <v>7293.08</v>
      </c>
      <c r="M21" s="18" t="n">
        <v>6385.55</v>
      </c>
      <c r="N21" s="18" t="n">
        <v>5673.89</v>
      </c>
      <c r="O21" s="18" t="n">
        <v>5160.72</v>
      </c>
      <c r="P21" s="37" t="n">
        <v>5160.72</v>
      </c>
      <c r="Q21" s="18" t="n">
        <v>2020.29</v>
      </c>
      <c r="R21" s="18" t="n">
        <v>1022.32</v>
      </c>
      <c r="S21" s="18" t="n">
        <v>257.46</v>
      </c>
      <c r="T21" s="18" t="n">
        <v>2.09</v>
      </c>
      <c r="U21" s="37" t="n">
        <v>2.09</v>
      </c>
      <c r="Z21" s="9" t="n"/>
      <c r="AB21" s="5" t="n"/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자산총계</t>
        </is>
      </c>
      <c r="E22" s="18" t="n">
        <v>853832.89</v>
      </c>
      <c r="F22" s="37" t="n">
        <v>853832.89</v>
      </c>
      <c r="G22" s="18" t="n">
        <v>808529.37</v>
      </c>
      <c r="H22" s="18" t="n">
        <v>829562.1</v>
      </c>
      <c r="I22" s="18" t="n">
        <v>857178.35</v>
      </c>
      <c r="J22" s="18" t="n">
        <v>848594.09</v>
      </c>
      <c r="K22" s="37" t="n">
        <v>848594.09</v>
      </c>
      <c r="L22" s="18" t="n">
        <v>830325.45</v>
      </c>
      <c r="M22" s="18" t="n">
        <v>859524.0600000001</v>
      </c>
      <c r="N22" s="18" t="n">
        <v>916720.6899999999</v>
      </c>
      <c r="O22" s="18" t="n">
        <v>891615.38</v>
      </c>
      <c r="P22" s="37" t="n">
        <v>891615.38</v>
      </c>
      <c r="Q22" s="18" t="n">
        <v>929546.4300000001</v>
      </c>
      <c r="R22" s="18" t="n">
        <v>901411.72</v>
      </c>
      <c r="S22" s="18" t="n">
        <v>881600.89</v>
      </c>
      <c r="U22" s="9" t="n"/>
      <c r="Z22" s="9" t="n"/>
      <c r="AB22" s="5" t="n"/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유동부채</t>
        </is>
      </c>
      <c r="E23" s="18" t="n">
        <v>315248.63</v>
      </c>
      <c r="F23" s="37" t="n">
        <v>315248.63</v>
      </c>
      <c r="G23" s="18" t="n">
        <v>268209.52</v>
      </c>
      <c r="H23" s="18" t="n">
        <v>288971.68</v>
      </c>
      <c r="I23" s="18" t="n">
        <v>317200.39</v>
      </c>
      <c r="J23" s="18" t="n">
        <v>372180.01</v>
      </c>
      <c r="K23" s="37" t="n">
        <v>372180.01</v>
      </c>
      <c r="L23" s="18" t="n">
        <v>362201.15</v>
      </c>
      <c r="M23" s="18" t="n">
        <v>391665.83</v>
      </c>
      <c r="N23" s="18" t="n">
        <v>448200.86</v>
      </c>
      <c r="O23" s="18" t="n">
        <v>448544.76</v>
      </c>
      <c r="P23" s="37" t="n">
        <v>448544.76</v>
      </c>
      <c r="Q23" s="18" t="n">
        <v>491706.64</v>
      </c>
      <c r="R23" s="18" t="n">
        <v>438934.9</v>
      </c>
      <c r="S23" s="18" t="n">
        <v>412570.14</v>
      </c>
      <c r="T23" s="18" t="n">
        <v>381760.23</v>
      </c>
      <c r="U23" s="37" t="n">
        <v>381760.23</v>
      </c>
      <c r="V23" s="18" t="n">
        <v>363727.15</v>
      </c>
      <c r="W23" s="18" t="n">
        <v>364840.43</v>
      </c>
      <c r="X23" s="18" t="n">
        <v>322941.25</v>
      </c>
      <c r="Y23" s="18" t="n">
        <v>324690.44</v>
      </c>
      <c r="Z23" s="37" t="n">
        <v>324690.44</v>
      </c>
      <c r="AA23" s="18" t="n">
        <v>309340.79</v>
      </c>
      <c r="AB23" s="19" t="n">
        <v>314008.2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매입채무및기타채무</t>
        </is>
      </c>
      <c r="E24" s="18" t="n">
        <v>209858.21</v>
      </c>
      <c r="F24" s="37" t="n">
        <v>209858.21</v>
      </c>
      <c r="G24" s="18" t="n">
        <v>190842.08</v>
      </c>
      <c r="H24" s="18" t="n">
        <v>203165.26</v>
      </c>
      <c r="I24" s="18" t="n">
        <v>186523.1</v>
      </c>
      <c r="J24" s="18" t="n">
        <v>200149.63</v>
      </c>
      <c r="K24" s="37" t="n">
        <v>200149.63</v>
      </c>
      <c r="L24" s="18" t="n">
        <v>207551.01</v>
      </c>
      <c r="M24" s="18" t="n">
        <v>233164.81</v>
      </c>
      <c r="N24" s="18" t="n">
        <v>234580.31</v>
      </c>
      <c r="O24" s="18" t="n">
        <v>267920.97</v>
      </c>
      <c r="P24" s="37" t="n">
        <v>267920.97</v>
      </c>
      <c r="Q24" s="18" t="n">
        <v>273547.7</v>
      </c>
      <c r="R24" s="18" t="n">
        <v>261871.23</v>
      </c>
      <c r="S24" s="18" t="n">
        <v>254684.09</v>
      </c>
      <c r="T24" s="18" t="n">
        <v>241952.33</v>
      </c>
      <c r="U24" s="37" t="n">
        <v>241952.33</v>
      </c>
      <c r="V24" s="18" t="n">
        <v>216273.56</v>
      </c>
      <c r="W24" s="18" t="n">
        <v>224132.84</v>
      </c>
      <c r="X24" s="18" t="n">
        <v>181371.84</v>
      </c>
      <c r="Y24" s="18" t="n">
        <v>186857.19</v>
      </c>
      <c r="Z24" s="37" t="n">
        <v>186857.19</v>
      </c>
      <c r="AA24" s="18" t="n">
        <v>173358.49</v>
      </c>
      <c r="AB24" s="19" t="n">
        <v>202796.01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단기차입금</t>
        </is>
      </c>
      <c r="E25" s="18" t="n">
        <v>34191.16</v>
      </c>
      <c r="F25" s="37" t="n">
        <v>34191.16</v>
      </c>
      <c r="G25" s="18" t="n">
        <v>23419.58</v>
      </c>
      <c r="H25" s="18" t="n">
        <v>30916.47</v>
      </c>
      <c r="I25" s="18" t="n">
        <v>53610.96</v>
      </c>
      <c r="J25" s="18" t="n">
        <v>109452.45</v>
      </c>
      <c r="K25" s="37" t="n">
        <v>109452.45</v>
      </c>
      <c r="L25" s="18" t="n">
        <v>107081.85</v>
      </c>
      <c r="M25" s="18" t="n">
        <v>110805.05</v>
      </c>
      <c r="N25" s="18" t="n">
        <v>170308.05</v>
      </c>
      <c r="O25" s="18" t="n">
        <v>137722.8</v>
      </c>
      <c r="P25" s="37" t="n">
        <v>137722.8</v>
      </c>
      <c r="Q25" s="18" t="n">
        <v>153081.87</v>
      </c>
      <c r="R25" s="18" t="n">
        <v>111741.04</v>
      </c>
      <c r="S25" s="18" t="n">
        <v>111469.8</v>
      </c>
      <c r="U25" s="9" t="n"/>
      <c r="Z25" s="9" t="n"/>
      <c r="AB25" s="5" t="n"/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단기금융부채(face)</t>
        </is>
      </c>
      <c r="E26" s="18" t="n">
        <v>34191.16</v>
      </c>
      <c r="F26" s="37" t="n">
        <v>34191.16</v>
      </c>
      <c r="G26" s="18" t="n">
        <v>23419.58</v>
      </c>
      <c r="H26" s="18" t="n">
        <v>30916.47</v>
      </c>
      <c r="I26" s="18" t="n">
        <v>53610.96</v>
      </c>
      <c r="J26" s="18" t="n">
        <v>109452.45</v>
      </c>
      <c r="K26" s="37" t="n">
        <v>109452.45</v>
      </c>
      <c r="L26" s="18" t="n">
        <v>107081.85</v>
      </c>
      <c r="M26" s="18" t="n">
        <v>110805.05</v>
      </c>
      <c r="N26" s="18" t="n">
        <v>170308.05</v>
      </c>
      <c r="O26" s="18" t="n">
        <v>137722.8</v>
      </c>
      <c r="P26" s="37" t="n">
        <v>137722.8</v>
      </c>
      <c r="Q26" s="18" t="n">
        <v>153081.87</v>
      </c>
      <c r="R26" s="18" t="n">
        <v>111741.04</v>
      </c>
      <c r="S26" s="18" t="n">
        <v>111469.8</v>
      </c>
      <c r="U26" s="9" t="n"/>
      <c r="Z26" s="9" t="n"/>
      <c r="AB26" s="5" t="n"/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계약부채</t>
        </is>
      </c>
      <c r="E27" s="18" t="n">
        <v>52427.35</v>
      </c>
      <c r="F27" s="37" t="n">
        <v>52427.35</v>
      </c>
      <c r="G27" s="18" t="n">
        <v>34340.17</v>
      </c>
      <c r="H27" s="18" t="n">
        <v>35974.35</v>
      </c>
      <c r="I27" s="18" t="n">
        <v>59315.2</v>
      </c>
      <c r="J27" s="18" t="n">
        <v>39199.05</v>
      </c>
      <c r="K27" s="37" t="n">
        <v>39199.05</v>
      </c>
      <c r="L27" s="18" t="n">
        <v>28169.83</v>
      </c>
      <c r="M27" s="18" t="n">
        <v>29704.59</v>
      </c>
      <c r="N27" s="18" t="n">
        <v>25726.51</v>
      </c>
      <c r="O27" s="18" t="n">
        <v>24530.36</v>
      </c>
      <c r="P27" s="37" t="n">
        <v>24530.36</v>
      </c>
      <c r="Q27" s="18" t="n">
        <v>39538.11</v>
      </c>
      <c r="R27" s="18" t="n">
        <v>40573.07</v>
      </c>
      <c r="S27" s="18" t="n">
        <v>27547.03</v>
      </c>
      <c r="T27" s="18" t="n">
        <v>35183.22</v>
      </c>
      <c r="U27" s="37" t="n">
        <v>35183.22</v>
      </c>
      <c r="V27" s="18" t="n">
        <v>24171.53</v>
      </c>
      <c r="W27" s="18" t="n">
        <v>19217.34</v>
      </c>
      <c r="X27" s="18" t="n">
        <v>17716.47</v>
      </c>
      <c r="Y27" s="18" t="n">
        <v>20488.6</v>
      </c>
      <c r="Z27" s="37" t="n">
        <v>20488.6</v>
      </c>
      <c r="AA27" s="18" t="n">
        <v>25906.56</v>
      </c>
      <c r="AB27" s="19" t="n">
        <v>37955.69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기타유동부채</t>
        </is>
      </c>
      <c r="E28" s="18" t="n">
        <v>2414.57</v>
      </c>
      <c r="F28" s="37" t="n">
        <v>2414.57</v>
      </c>
      <c r="G28" s="18" t="n">
        <v>1683.77</v>
      </c>
      <c r="H28" s="18" t="n">
        <v>750.64</v>
      </c>
      <c r="I28" s="18" t="n">
        <v>782.14</v>
      </c>
      <c r="J28" s="18" t="n">
        <v>1664.66</v>
      </c>
      <c r="K28" s="37" t="n">
        <v>1664.66</v>
      </c>
      <c r="L28" s="18" t="n">
        <v>741.51</v>
      </c>
      <c r="M28" s="18" t="n">
        <v>756.6799999999999</v>
      </c>
      <c r="N28" s="18" t="n">
        <v>874.76</v>
      </c>
      <c r="O28" s="18" t="n">
        <v>1894.85</v>
      </c>
      <c r="P28" s="37" t="n">
        <v>1894.85</v>
      </c>
      <c r="Q28" s="18" t="n">
        <v>1712.07</v>
      </c>
      <c r="R28" s="18" t="n">
        <v>3717.82</v>
      </c>
      <c r="S28" s="18" t="n">
        <v>1189.44</v>
      </c>
      <c r="T28" s="18" t="n">
        <v>1703.35</v>
      </c>
      <c r="U28" s="37" t="n">
        <v>1703.35</v>
      </c>
      <c r="V28" s="18" t="n">
        <v>3788.95</v>
      </c>
      <c r="W28" s="18" t="n">
        <v>2873.39</v>
      </c>
      <c r="X28" s="18" t="n">
        <v>2460.58</v>
      </c>
      <c r="Y28" s="18" t="n">
        <v>2833.11</v>
      </c>
      <c r="Z28" s="37" t="n">
        <v>2833.11</v>
      </c>
      <c r="AA28" s="18" t="n">
        <v>2529.18</v>
      </c>
      <c r="AB28" s="19" t="n">
        <v>1233.11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당기법인세부채(미지급법인세)</t>
        </is>
      </c>
      <c r="E29" s="18" t="n">
        <v>667.3200000000001</v>
      </c>
      <c r="F29" s="37" t="n">
        <v>667.3200000000001</v>
      </c>
      <c r="G29" s="18" t="n">
        <v>1380.95</v>
      </c>
      <c r="H29" s="18" t="n">
        <v>1300.68</v>
      </c>
      <c r="I29" s="18" t="n">
        <v>98.81999999999999</v>
      </c>
      <c r="J29" s="18" t="n">
        <v>0</v>
      </c>
      <c r="K29" s="37" t="n">
        <v>0</v>
      </c>
      <c r="L29" s="18" t="n">
        <v>0</v>
      </c>
      <c r="M29" s="18" t="n">
        <v>0</v>
      </c>
      <c r="N29" s="18" t="n">
        <v>0</v>
      </c>
      <c r="O29" s="18" t="n">
        <v>0</v>
      </c>
      <c r="P29" s="37" t="n">
        <v>0</v>
      </c>
      <c r="Q29" s="18" t="n">
        <v>265.01</v>
      </c>
      <c r="R29" s="18" t="n">
        <v>322.15</v>
      </c>
      <c r="S29" s="18" t="n">
        <v>244.21</v>
      </c>
      <c r="U29" s="9" t="n"/>
      <c r="V29" s="18" t="n">
        <v>267.85</v>
      </c>
      <c r="W29" s="18" t="n">
        <v>345.49</v>
      </c>
      <c r="X29" s="18" t="n">
        <v>199.94</v>
      </c>
      <c r="Z29" s="9" t="n"/>
      <c r="AA29" s="18" t="n">
        <v>11.02</v>
      </c>
      <c r="AB29" s="19" t="n">
        <v>181.93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단기충당부채</t>
        </is>
      </c>
      <c r="E30" s="18" t="n">
        <v>2740.18</v>
      </c>
      <c r="F30" s="37" t="n">
        <v>2740.18</v>
      </c>
      <c r="G30" s="18" t="n">
        <v>3172.77</v>
      </c>
      <c r="H30" s="18" t="n">
        <v>3192.44</v>
      </c>
      <c r="I30" s="18" t="n">
        <v>3558.4</v>
      </c>
      <c r="J30" s="18" t="n">
        <v>9051.049999999999</v>
      </c>
      <c r="K30" s="37" t="n">
        <v>9051.049999999999</v>
      </c>
      <c r="L30" s="18" t="n">
        <v>6452.14</v>
      </c>
      <c r="M30" s="18" t="n">
        <v>5059.29</v>
      </c>
      <c r="N30" s="18" t="n">
        <v>4560.31</v>
      </c>
      <c r="O30" s="18" t="n">
        <v>4823.74</v>
      </c>
      <c r="P30" s="37" t="n">
        <v>4823.74</v>
      </c>
      <c r="Q30" s="18" t="n">
        <v>12132.79</v>
      </c>
      <c r="R30" s="18" t="n">
        <v>8355.23</v>
      </c>
      <c r="S30" s="18" t="n">
        <v>5157.5</v>
      </c>
      <c r="T30" s="18" t="n">
        <v>5921.23</v>
      </c>
      <c r="U30" s="37" t="n">
        <v>5921.23</v>
      </c>
      <c r="V30" s="18" t="n">
        <v>4937.72</v>
      </c>
      <c r="W30" s="18" t="n">
        <v>4856.03</v>
      </c>
      <c r="X30" s="18" t="n">
        <v>4679.6</v>
      </c>
      <c r="Y30" s="18" t="n">
        <v>3733.71</v>
      </c>
      <c r="Z30" s="37" t="n">
        <v>3733.71</v>
      </c>
      <c r="AA30" s="18" t="n">
        <v>3279.59</v>
      </c>
      <c r="AB30" s="19" t="n">
        <v>3127.38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비유동부채</t>
        </is>
      </c>
      <c r="E31" s="18" t="n">
        <v>52814.92</v>
      </c>
      <c r="F31" s="37" t="n">
        <v>52814.92</v>
      </c>
      <c r="G31" s="18" t="n">
        <v>54351.65</v>
      </c>
      <c r="H31" s="18" t="n">
        <v>55341.61</v>
      </c>
      <c r="I31" s="18" t="n">
        <v>53744.42</v>
      </c>
      <c r="J31" s="18" t="n">
        <v>40173.51</v>
      </c>
      <c r="K31" s="37" t="n">
        <v>40173.51</v>
      </c>
      <c r="L31" s="18" t="n">
        <v>38103.19</v>
      </c>
      <c r="M31" s="18" t="n">
        <v>36045.97</v>
      </c>
      <c r="N31" s="18" t="n">
        <v>36287.24</v>
      </c>
      <c r="O31" s="18" t="n">
        <v>43053.05</v>
      </c>
      <c r="P31" s="37" t="n">
        <v>43053.05</v>
      </c>
      <c r="Q31" s="18" t="n">
        <v>32948.53</v>
      </c>
      <c r="R31" s="18" t="n">
        <v>52810.77</v>
      </c>
      <c r="S31" s="18" t="n">
        <v>55285.14</v>
      </c>
      <c r="T31" s="18" t="n">
        <v>59445.91</v>
      </c>
      <c r="U31" s="37" t="n">
        <v>59445.91</v>
      </c>
      <c r="V31" s="18" t="n">
        <v>57525.49</v>
      </c>
      <c r="W31" s="18" t="n">
        <v>36488.42</v>
      </c>
      <c r="X31" s="18" t="n">
        <v>27504.64</v>
      </c>
      <c r="Y31" s="18" t="n">
        <v>24887.3</v>
      </c>
      <c r="Z31" s="37" t="n">
        <v>24887.3</v>
      </c>
      <c r="AA31" s="18" t="n">
        <v>63748.47</v>
      </c>
      <c r="AB31" s="19" t="n">
        <v>82760.92999999999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장기차입금</t>
        </is>
      </c>
      <c r="E32" s="18" t="n">
        <v>590.79</v>
      </c>
      <c r="F32" s="37" t="n">
        <v>590.79</v>
      </c>
      <c r="G32" s="18" t="n">
        <v>237.38</v>
      </c>
      <c r="H32" s="18" t="n">
        <v>337.65</v>
      </c>
      <c r="I32" s="18" t="n">
        <v>281.28</v>
      </c>
      <c r="J32" s="18" t="n">
        <v>192.27</v>
      </c>
      <c r="K32" s="37" t="n">
        <v>192.27</v>
      </c>
      <c r="L32" s="18" t="n">
        <v>507.63</v>
      </c>
      <c r="M32" s="18" t="n">
        <v>528.01</v>
      </c>
      <c r="N32" s="18" t="n">
        <v>583.71</v>
      </c>
      <c r="O32" s="18" t="n">
        <v>591.98</v>
      </c>
      <c r="P32" s="37" t="n">
        <v>591.98</v>
      </c>
      <c r="Q32" s="18" t="n">
        <v>177.04</v>
      </c>
      <c r="R32" s="18" t="n">
        <v>20272.17</v>
      </c>
      <c r="S32" s="18" t="n">
        <v>24227.3</v>
      </c>
      <c r="U32" s="9" t="n"/>
      <c r="Z32" s="9" t="n"/>
      <c r="AB32" s="5" t="n"/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장기금융부채(face)</t>
        </is>
      </c>
      <c r="E33" s="18" t="n">
        <v>590.79</v>
      </c>
      <c r="F33" s="37" t="n">
        <v>590.79</v>
      </c>
      <c r="G33" s="18" t="n">
        <v>237.38</v>
      </c>
      <c r="H33" s="18" t="n">
        <v>337.65</v>
      </c>
      <c r="I33" s="18" t="n">
        <v>281.28</v>
      </c>
      <c r="J33" s="18" t="n">
        <v>192.27</v>
      </c>
      <c r="K33" s="37" t="n">
        <v>192.27</v>
      </c>
      <c r="L33" s="18" t="n">
        <v>507.63</v>
      </c>
      <c r="M33" s="18" t="n">
        <v>528.01</v>
      </c>
      <c r="N33" s="18" t="n">
        <v>583.71</v>
      </c>
      <c r="O33" s="18" t="n">
        <v>591.98</v>
      </c>
      <c r="P33" s="37" t="n">
        <v>591.98</v>
      </c>
      <c r="Q33" s="18" t="n">
        <v>177.04</v>
      </c>
      <c r="R33" s="18" t="n">
        <v>20272.17</v>
      </c>
      <c r="S33" s="18" t="n">
        <v>24227.3</v>
      </c>
      <c r="U33" s="9" t="n"/>
      <c r="Z33" s="9" t="n"/>
      <c r="AB33" s="5" t="n"/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장기충당부채</t>
        </is>
      </c>
      <c r="E34" s="18" t="n">
        <v>2782.97</v>
      </c>
      <c r="F34" s="37" t="n">
        <v>2782.97</v>
      </c>
      <c r="G34" s="18" t="n">
        <v>2687.59</v>
      </c>
      <c r="H34" s="18" t="n">
        <v>2938.46</v>
      </c>
      <c r="I34" s="18" t="n">
        <v>2917.45</v>
      </c>
      <c r="J34" s="18" t="n">
        <v>2853.05</v>
      </c>
      <c r="K34" s="37" t="n">
        <v>2853.05</v>
      </c>
      <c r="L34" s="18" t="n">
        <v>2767.81</v>
      </c>
      <c r="M34" s="18" t="n">
        <v>2855.78</v>
      </c>
      <c r="N34" s="18" t="n">
        <v>2750.14</v>
      </c>
      <c r="O34" s="18" t="n">
        <v>10851.49</v>
      </c>
      <c r="P34" s="37" t="n">
        <v>10851.49</v>
      </c>
      <c r="Q34" s="18" t="n">
        <v>3014.42</v>
      </c>
      <c r="R34" s="18" t="n">
        <v>3074.15</v>
      </c>
      <c r="S34" s="18" t="n">
        <v>3071.4</v>
      </c>
      <c r="T34" s="18" t="n">
        <v>3155.88</v>
      </c>
      <c r="U34" s="37" t="n">
        <v>3155.88</v>
      </c>
      <c r="V34" s="18" t="n">
        <v>3109.87</v>
      </c>
      <c r="W34" s="18" t="n">
        <v>3321.85</v>
      </c>
      <c r="X34" s="18" t="n">
        <v>3396.67</v>
      </c>
      <c r="Y34" s="18" t="n">
        <v>3013.64</v>
      </c>
      <c r="Z34" s="37" t="n">
        <v>3013.64</v>
      </c>
      <c r="AA34" s="18" t="n">
        <v>2950.24</v>
      </c>
      <c r="AB34" s="19" t="n">
        <v>2735.44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확정급여부채</t>
        </is>
      </c>
      <c r="E35" s="18" t="n">
        <v>0</v>
      </c>
      <c r="F35" s="37" t="n">
        <v>0</v>
      </c>
      <c r="G35" s="18" t="n">
        <v>1940.64</v>
      </c>
      <c r="H35" s="18" t="n">
        <v>3140.53</v>
      </c>
      <c r="I35" s="18" t="n">
        <v>4231.98</v>
      </c>
      <c r="J35" s="18" t="n">
        <v>0</v>
      </c>
      <c r="K35" s="37" t="n">
        <v>0</v>
      </c>
      <c r="L35" s="18" t="n">
        <v>0</v>
      </c>
      <c r="M35" s="18" t="n">
        <v>0</v>
      </c>
      <c r="N35" s="18" t="n">
        <v>0</v>
      </c>
      <c r="P35" s="9" t="n"/>
      <c r="U35" s="9" t="n"/>
      <c r="X35" s="18" t="n">
        <v>625.2</v>
      </c>
      <c r="Z35" s="9" t="n"/>
      <c r="AB35" s="5" t="n"/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이연법인세부채</t>
        </is>
      </c>
      <c r="E36" s="18" t="n">
        <v>7795.07</v>
      </c>
      <c r="F36" s="37" t="n">
        <v>7795.07</v>
      </c>
      <c r="G36" s="18" t="n">
        <v>7408.92</v>
      </c>
      <c r="H36" s="18" t="n">
        <v>6914.44</v>
      </c>
      <c r="I36" s="18" t="n">
        <v>6562.99</v>
      </c>
      <c r="J36" s="18" t="n">
        <v>0</v>
      </c>
      <c r="K36" s="37" t="n">
        <v>0</v>
      </c>
      <c r="L36" s="18" t="n">
        <v>0</v>
      </c>
      <c r="M36" s="18" t="n">
        <v>0</v>
      </c>
      <c r="N36" s="18" t="n">
        <v>0</v>
      </c>
      <c r="O36" s="18" t="n">
        <v>0</v>
      </c>
      <c r="P36" s="37" t="n">
        <v>0</v>
      </c>
      <c r="Q36" s="18" t="n">
        <v>0</v>
      </c>
      <c r="R36" s="18" t="n">
        <v>0</v>
      </c>
      <c r="S36" s="18" t="n">
        <v>0</v>
      </c>
      <c r="U36" s="9" t="n"/>
      <c r="Z36" s="9" t="n"/>
      <c r="AB36" s="5" t="n"/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기타비유동부채</t>
        </is>
      </c>
      <c r="E37" s="18" t="n">
        <v>1107.41</v>
      </c>
      <c r="F37" s="37" t="n">
        <v>1107.41</v>
      </c>
      <c r="G37" s="18" t="n">
        <v>1081.45</v>
      </c>
      <c r="H37" s="18" t="n">
        <v>1037.66</v>
      </c>
      <c r="I37" s="18" t="n">
        <v>1110.65</v>
      </c>
      <c r="J37" s="18" t="n">
        <v>1175.81</v>
      </c>
      <c r="K37" s="37" t="n">
        <v>1175.81</v>
      </c>
      <c r="L37" s="18" t="n">
        <v>1249.6</v>
      </c>
      <c r="M37" s="18" t="n">
        <v>1260.48</v>
      </c>
      <c r="N37" s="18" t="n">
        <v>1279.18</v>
      </c>
      <c r="O37" s="18" t="n">
        <v>1410.78</v>
      </c>
      <c r="P37" s="37" t="n">
        <v>1410.78</v>
      </c>
      <c r="Q37" s="18" t="n">
        <v>1413.37</v>
      </c>
      <c r="R37" s="18" t="n">
        <v>1423.17</v>
      </c>
      <c r="S37" s="18" t="n">
        <v>1432.7</v>
      </c>
      <c r="T37" s="18" t="n">
        <v>1750.34</v>
      </c>
      <c r="U37" s="37" t="n">
        <v>1750.34</v>
      </c>
      <c r="V37" s="18" t="n">
        <v>1771.39</v>
      </c>
      <c r="W37" s="18" t="n">
        <v>1666.08</v>
      </c>
      <c r="X37" s="18" t="n">
        <v>1678.82</v>
      </c>
      <c r="Y37" s="18" t="n">
        <v>2068.32</v>
      </c>
      <c r="Z37" s="37" t="n">
        <v>2068.32</v>
      </c>
      <c r="AA37" s="18" t="n">
        <v>2109.19</v>
      </c>
      <c r="AB37" s="19" t="n">
        <v>2132.03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부채총계</t>
        </is>
      </c>
      <c r="E38" s="18" t="n">
        <v>368063.55</v>
      </c>
      <c r="F38" s="37" t="n">
        <v>368063.55</v>
      </c>
      <c r="G38" s="18" t="n">
        <v>322561.17</v>
      </c>
      <c r="H38" s="18" t="n">
        <v>344313.28</v>
      </c>
      <c r="I38" s="18" t="n">
        <v>370944.81</v>
      </c>
      <c r="J38" s="18" t="n">
        <v>412353.52</v>
      </c>
      <c r="K38" s="37" t="n">
        <v>412353.52</v>
      </c>
      <c r="L38" s="18" t="n">
        <v>400304.34</v>
      </c>
      <c r="M38" s="18" t="n">
        <v>427711.8</v>
      </c>
      <c r="N38" s="18" t="n">
        <v>484488.1</v>
      </c>
      <c r="O38" s="18" t="n">
        <v>491597.8</v>
      </c>
      <c r="P38" s="37" t="n">
        <v>491597.8</v>
      </c>
      <c r="Q38" s="18" t="n">
        <v>524655.17</v>
      </c>
      <c r="R38" s="18" t="n">
        <v>491745.67</v>
      </c>
      <c r="S38" s="18" t="n">
        <v>467855.27</v>
      </c>
      <c r="U38" s="9" t="n"/>
      <c r="Z38" s="9" t="n"/>
      <c r="AB38" s="5" t="n"/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자본금</t>
        </is>
      </c>
      <c r="E39" s="18" t="n">
        <v>20535.28</v>
      </c>
      <c r="F39" s="37" t="n">
        <v>20535.28</v>
      </c>
      <c r="G39" s="18" t="n">
        <v>20535.28</v>
      </c>
      <c r="H39" s="18" t="n">
        <v>20535.28</v>
      </c>
      <c r="I39" s="18" t="n">
        <v>20535.28</v>
      </c>
      <c r="J39" s="18" t="n">
        <v>20535.28</v>
      </c>
      <c r="K39" s="37" t="n">
        <v>20535.28</v>
      </c>
      <c r="L39" s="18" t="n">
        <v>20535.28</v>
      </c>
      <c r="M39" s="18" t="n">
        <v>20535.28</v>
      </c>
      <c r="N39" s="18" t="n">
        <v>20535.28</v>
      </c>
      <c r="O39" s="18" t="n">
        <v>20535.28</v>
      </c>
      <c r="P39" s="37" t="n">
        <v>20535.28</v>
      </c>
      <c r="Q39" s="18" t="n">
        <v>20535.28</v>
      </c>
      <c r="R39" s="18" t="n">
        <v>20535.28</v>
      </c>
      <c r="S39" s="18" t="n">
        <v>20535.28</v>
      </c>
      <c r="T39" s="18" t="n">
        <v>20535.28</v>
      </c>
      <c r="U39" s="37" t="n">
        <v>20535.28</v>
      </c>
      <c r="V39" s="18" t="n">
        <v>20535.28</v>
      </c>
      <c r="W39" s="18" t="n">
        <v>20535.28</v>
      </c>
      <c r="X39" s="18" t="n">
        <v>20535.28</v>
      </c>
      <c r="Y39" s="18" t="n">
        <v>20535.28</v>
      </c>
      <c r="Z39" s="37" t="n">
        <v>20535.28</v>
      </c>
      <c r="AA39" s="18" t="n">
        <v>20535.28</v>
      </c>
      <c r="AB39" s="19" t="n">
        <v>20535.28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자본잉여금</t>
        </is>
      </c>
      <c r="E40" s="18" t="n">
        <v>102586.87</v>
      </c>
      <c r="F40" s="37" t="n">
        <v>102586.87</v>
      </c>
      <c r="G40" s="18" t="n">
        <v>102586.87</v>
      </c>
      <c r="H40" s="18" t="n">
        <v>102586.87</v>
      </c>
      <c r="I40" s="18" t="n">
        <v>102586.87</v>
      </c>
      <c r="J40" s="18" t="n">
        <v>102586.87</v>
      </c>
      <c r="K40" s="37" t="n">
        <v>102586.87</v>
      </c>
      <c r="L40" s="18" t="n">
        <v>102586.87</v>
      </c>
      <c r="M40" s="18" t="n">
        <v>102586.87</v>
      </c>
      <c r="N40" s="18" t="n">
        <v>102586.87</v>
      </c>
      <c r="O40" s="18" t="n">
        <v>102586.87</v>
      </c>
      <c r="P40" s="37" t="n">
        <v>102586.87</v>
      </c>
      <c r="Q40" s="18" t="n">
        <v>102586.87</v>
      </c>
      <c r="R40" s="18" t="n">
        <v>102586.87</v>
      </c>
      <c r="S40" s="18" t="n">
        <v>102586.87</v>
      </c>
      <c r="T40" s="18" t="n">
        <v>102586.87</v>
      </c>
      <c r="U40" s="37" t="n">
        <v>102586.87</v>
      </c>
      <c r="V40" s="18" t="n">
        <v>102586.87</v>
      </c>
      <c r="W40" s="18" t="n">
        <v>102586.87</v>
      </c>
      <c r="X40" s="18" t="n">
        <v>102586.87</v>
      </c>
      <c r="Y40" s="18" t="n">
        <v>102586.87</v>
      </c>
      <c r="Z40" s="37" t="n">
        <v>102586.87</v>
      </c>
      <c r="AA40" s="18" t="n">
        <v>102586.87</v>
      </c>
      <c r="AB40" s="19" t="n">
        <v>102586.87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기타자본</t>
        </is>
      </c>
      <c r="E41" s="18" t="n">
        <v>-3428.12</v>
      </c>
      <c r="F41" s="37" t="n">
        <v>-3428.12</v>
      </c>
      <c r="G41" s="18" t="n">
        <v>-3428.12</v>
      </c>
      <c r="H41" s="18" t="n">
        <v>-3428.12</v>
      </c>
      <c r="I41" s="18" t="n">
        <v>-3428.12</v>
      </c>
      <c r="J41" s="18" t="n">
        <v>-3428.12</v>
      </c>
      <c r="K41" s="37" t="n">
        <v>-3428.12</v>
      </c>
      <c r="L41" s="18" t="n">
        <v>-3428.12</v>
      </c>
      <c r="M41" s="18" t="n">
        <v>-3428.12</v>
      </c>
      <c r="N41" s="18" t="n">
        <v>-3428.12</v>
      </c>
      <c r="O41" s="18" t="n">
        <v>-3428.12</v>
      </c>
      <c r="P41" s="37" t="n">
        <v>-3428.12</v>
      </c>
      <c r="Q41" s="18" t="n">
        <v>-3428.12</v>
      </c>
      <c r="R41" s="18" t="n">
        <v>-3428.12</v>
      </c>
      <c r="S41" s="18" t="n">
        <v>-3428.12</v>
      </c>
      <c r="T41" s="18" t="n">
        <v>-3428.12</v>
      </c>
      <c r="U41" s="37" t="n">
        <v>-3428.12</v>
      </c>
      <c r="V41" s="18" t="n">
        <v>-3428.12</v>
      </c>
      <c r="W41" s="18" t="n">
        <v>-3428.12</v>
      </c>
      <c r="X41" s="18" t="n">
        <v>-3428.12</v>
      </c>
      <c r="Y41" s="18" t="n">
        <v>-3428.12</v>
      </c>
      <c r="Z41" s="37" t="n">
        <v>-3428.12</v>
      </c>
      <c r="AA41" s="18" t="n">
        <v>-3428.12</v>
      </c>
      <c r="AB41" s="19" t="n">
        <v>0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기타포괄이익누계액</t>
        </is>
      </c>
      <c r="E42" s="18" t="n">
        <v>98.05</v>
      </c>
      <c r="F42" s="37" t="n">
        <v>98.05</v>
      </c>
      <c r="G42" s="18" t="n">
        <v>103.6</v>
      </c>
      <c r="H42" s="18" t="n">
        <v>65.08</v>
      </c>
      <c r="I42" s="18" t="n">
        <v>51.01</v>
      </c>
      <c r="J42" s="18" t="n">
        <v>59.32</v>
      </c>
      <c r="K42" s="37" t="n">
        <v>59.32</v>
      </c>
      <c r="L42" s="18" t="n">
        <v>61.51</v>
      </c>
      <c r="M42" s="18" t="n">
        <v>74.95</v>
      </c>
      <c r="N42" s="18" t="n">
        <v>107.88</v>
      </c>
      <c r="O42" s="18" t="n">
        <v>120.01</v>
      </c>
      <c r="P42" s="37" t="n">
        <v>120.01</v>
      </c>
      <c r="Q42" s="18" t="n">
        <v>81.83</v>
      </c>
      <c r="R42" s="18" t="n">
        <v>95.34999999999999</v>
      </c>
      <c r="S42" s="18" t="n">
        <v>96.87</v>
      </c>
      <c r="T42" s="18" t="n">
        <v>97.98999999999999</v>
      </c>
      <c r="U42" s="37" t="n">
        <v>97.98999999999999</v>
      </c>
      <c r="V42" s="18" t="n">
        <v>90.34999999999999</v>
      </c>
      <c r="W42" s="18" t="n">
        <v>80.87</v>
      </c>
      <c r="X42" s="18" t="n">
        <v>81.11</v>
      </c>
      <c r="Y42" s="18" t="n">
        <v>76.62</v>
      </c>
      <c r="Z42" s="37" t="n">
        <v>76.62</v>
      </c>
      <c r="AA42" s="18" t="n">
        <v>64.13</v>
      </c>
      <c r="AB42" s="19" t="n">
        <v>59.87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이익잉여금</t>
        </is>
      </c>
      <c r="E43" s="18" t="n">
        <v>365977.26</v>
      </c>
      <c r="F43" s="37" t="n">
        <v>365977.26</v>
      </c>
      <c r="G43" s="18" t="n">
        <v>366170.57</v>
      </c>
      <c r="H43" s="18" t="n">
        <v>365489.71</v>
      </c>
      <c r="I43" s="18" t="n">
        <v>366488.5</v>
      </c>
      <c r="J43" s="18" t="n">
        <v>316487.22</v>
      </c>
      <c r="K43" s="37" t="n">
        <v>316487.22</v>
      </c>
      <c r="L43" s="18" t="n">
        <v>310265.57</v>
      </c>
      <c r="M43" s="18" t="n">
        <v>312043.28</v>
      </c>
      <c r="N43" s="18" t="n">
        <v>312430.68</v>
      </c>
      <c r="O43" s="18" t="n">
        <v>280203.53</v>
      </c>
      <c r="P43" s="37" t="n">
        <v>280203.53</v>
      </c>
      <c r="Q43" s="18" t="n">
        <v>285115.4</v>
      </c>
      <c r="R43" s="18" t="n">
        <v>289876.67</v>
      </c>
      <c r="S43" s="18" t="n">
        <v>293954.72</v>
      </c>
      <c r="T43" s="18" t="n">
        <v>287753.85</v>
      </c>
      <c r="U43" s="37" t="n">
        <v>287753.85</v>
      </c>
      <c r="V43" s="18" t="n">
        <v>291243.76</v>
      </c>
      <c r="W43" s="18" t="n">
        <v>291641.14</v>
      </c>
      <c r="X43" s="18" t="n">
        <v>294553.76</v>
      </c>
      <c r="Y43" s="18" t="n">
        <v>293664.38</v>
      </c>
      <c r="Z43" s="37" t="n">
        <v>293664.38</v>
      </c>
      <c r="AA43" s="18" t="n">
        <v>292185.91</v>
      </c>
      <c r="AB43" s="19" t="n">
        <v>292238.04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자본총계</t>
        </is>
      </c>
      <c r="E44" s="18" t="n">
        <v>485769.35</v>
      </c>
      <c r="F44" s="37" t="n">
        <v>485769.35</v>
      </c>
      <c r="G44" s="18" t="n">
        <v>485968.2</v>
      </c>
      <c r="H44" s="18" t="n">
        <v>485248.82</v>
      </c>
      <c r="I44" s="18" t="n">
        <v>486233.55</v>
      </c>
      <c r="J44" s="18" t="n">
        <v>436240.57</v>
      </c>
      <c r="K44" s="37" t="n">
        <v>436240.57</v>
      </c>
      <c r="L44" s="18" t="n">
        <v>430021.11</v>
      </c>
      <c r="M44" s="18" t="n">
        <v>431812.26</v>
      </c>
      <c r="N44" s="18" t="n">
        <v>432232.59</v>
      </c>
      <c r="O44" s="18" t="n">
        <v>400017.58</v>
      </c>
      <c r="P44" s="37" t="n">
        <v>400017.58</v>
      </c>
      <c r="Q44" s="18" t="n">
        <v>404891.26</v>
      </c>
      <c r="R44" s="18" t="n">
        <v>409666.05</v>
      </c>
      <c r="S44" s="18" t="n">
        <v>413745.62</v>
      </c>
      <c r="T44" s="18" t="n">
        <v>407545.86</v>
      </c>
      <c r="U44" s="37" t="n">
        <v>407545.86</v>
      </c>
      <c r="V44" s="18" t="n">
        <v>411028.14</v>
      </c>
      <c r="W44" s="18" t="n">
        <v>411416.04</v>
      </c>
      <c r="X44" s="18" t="n">
        <v>414328.9</v>
      </c>
      <c r="Y44" s="18" t="n">
        <v>413435.03</v>
      </c>
      <c r="Z44" s="37" t="n">
        <v>413435.03</v>
      </c>
      <c r="AA44" s="18" t="n">
        <v>411944.08</v>
      </c>
      <c r="AB44" s="19" t="n">
        <v>415420.06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부채와자본총계</t>
        </is>
      </c>
      <c r="E45" s="18" t="n">
        <v>853832.89</v>
      </c>
      <c r="F45" s="37" t="n">
        <v>853832.89</v>
      </c>
      <c r="G45" s="18" t="n">
        <v>808529.37</v>
      </c>
      <c r="H45" s="18" t="n">
        <v>829562.1</v>
      </c>
      <c r="I45" s="18" t="n">
        <v>857178.35</v>
      </c>
      <c r="J45" s="18" t="n">
        <v>848594.09</v>
      </c>
      <c r="K45" s="37" t="n">
        <v>848594.09</v>
      </c>
      <c r="L45" s="18" t="n">
        <v>830325.45</v>
      </c>
      <c r="M45" s="18" t="n">
        <v>859524.0600000001</v>
      </c>
      <c r="N45" s="18" t="n">
        <v>916720.6899999999</v>
      </c>
      <c r="O45" s="18" t="n">
        <v>891615.38</v>
      </c>
      <c r="P45" s="37" t="n">
        <v>891615.38</v>
      </c>
      <c r="Q45" s="18" t="n">
        <v>929546.4300000001</v>
      </c>
      <c r="R45" s="18" t="n">
        <v>901411.72</v>
      </c>
      <c r="S45" s="18" t="n">
        <v>881600.89</v>
      </c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지배주주지분</t>
        </is>
      </c>
      <c r="E46" s="18" t="n">
        <v>485769.35</v>
      </c>
      <c r="F46" s="37" t="n">
        <v>485769.35</v>
      </c>
      <c r="G46" s="18" t="n">
        <v>485968.2</v>
      </c>
      <c r="H46" s="18" t="n">
        <v>485248.82</v>
      </c>
      <c r="I46" s="18" t="n">
        <v>486233.55</v>
      </c>
      <c r="J46" s="18" t="n">
        <v>436240.57</v>
      </c>
      <c r="K46" s="37" t="n">
        <v>436240.57</v>
      </c>
      <c r="L46" s="18" t="n">
        <v>430021.11</v>
      </c>
      <c r="M46" s="18" t="n">
        <v>431812.26</v>
      </c>
      <c r="N46" s="18" t="n">
        <v>432232.59</v>
      </c>
      <c r="O46" s="18" t="n">
        <v>400017.58</v>
      </c>
      <c r="P46" s="37" t="n">
        <v>400017.58</v>
      </c>
      <c r="Q46" s="18" t="n">
        <v>404891.26</v>
      </c>
      <c r="R46" s="18" t="n">
        <v>409666.05</v>
      </c>
      <c r="S46" s="18" t="n">
        <v>413745.62</v>
      </c>
      <c r="T46" s="18" t="n">
        <v>407545.86</v>
      </c>
      <c r="U46" s="37" t="n">
        <v>407545.86</v>
      </c>
      <c r="V46" s="18" t="n">
        <v>411028.14</v>
      </c>
      <c r="W46" s="18" t="n">
        <v>411416.04</v>
      </c>
      <c r="X46" s="18" t="n">
        <v>414328.9</v>
      </c>
      <c r="Y46" s="18" t="n">
        <v>413435.03</v>
      </c>
      <c r="Z46" s="37" t="n">
        <v>413435.03</v>
      </c>
      <c r="AA46" s="18" t="n">
        <v>411944.08</v>
      </c>
      <c r="AB46" s="19" t="n">
        <v>415420.06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총차입금</t>
        </is>
      </c>
      <c r="E47" s="18" t="n">
        <v>34781.95</v>
      </c>
      <c r="F47" s="37" t="n">
        <v>34781.95</v>
      </c>
      <c r="G47" s="18" t="n">
        <v>23656.96</v>
      </c>
      <c r="H47" s="18" t="n">
        <v>31254.12</v>
      </c>
      <c r="I47" s="18" t="n">
        <v>53892.24</v>
      </c>
      <c r="J47" s="18" t="n">
        <v>109644.72</v>
      </c>
      <c r="K47" s="37" t="n">
        <v>109644.72</v>
      </c>
      <c r="L47" s="18" t="n">
        <v>107589.48</v>
      </c>
      <c r="M47" s="18" t="n">
        <v>111333.06</v>
      </c>
      <c r="N47" s="18" t="n">
        <v>170891.76</v>
      </c>
      <c r="O47" s="18" t="n">
        <v>138314.78</v>
      </c>
      <c r="P47" s="37" t="n">
        <v>138314.78</v>
      </c>
      <c r="Q47" s="18" t="n">
        <v>153258.91</v>
      </c>
      <c r="R47" s="18" t="n">
        <v>132013.21</v>
      </c>
      <c r="S47" s="18" t="n">
        <v>135697.1</v>
      </c>
      <c r="U47" s="9" t="n"/>
      <c r="Z47" s="9" t="n"/>
      <c r="AB47" s="5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순차입금</t>
        </is>
      </c>
      <c r="E48" s="18" t="n">
        <v>17485.34</v>
      </c>
      <c r="F48" s="37" t="n">
        <v>17485.34</v>
      </c>
      <c r="G48" s="18" t="n">
        <v>9510.75</v>
      </c>
      <c r="H48" s="18" t="n">
        <v>18065.89</v>
      </c>
      <c r="I48" s="18" t="n">
        <v>38935.01</v>
      </c>
      <c r="J48" s="18" t="n">
        <v>90740.16</v>
      </c>
      <c r="K48" s="37" t="n">
        <v>90740.16</v>
      </c>
      <c r="L48" s="18" t="n">
        <v>86391.86</v>
      </c>
      <c r="M48" s="18" t="n">
        <v>95600.53</v>
      </c>
      <c r="N48" s="18" t="n">
        <v>152620.15</v>
      </c>
      <c r="O48" s="18" t="n">
        <v>114744.86</v>
      </c>
      <c r="P48" s="37" t="n">
        <v>114744.86</v>
      </c>
      <c r="Q48" s="18" t="n">
        <v>142162.49</v>
      </c>
      <c r="R48" s="18" t="n">
        <v>116266.57</v>
      </c>
      <c r="S48" s="18" t="n">
        <v>73042.53</v>
      </c>
      <c r="U48" s="9" t="n"/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이자발생자산</t>
        </is>
      </c>
      <c r="E49" s="18" t="n">
        <v>52182.01</v>
      </c>
      <c r="F49" s="37" t="n">
        <v>52182.01</v>
      </c>
      <c r="G49" s="18" t="n">
        <v>49264.47</v>
      </c>
      <c r="H49" s="18" t="n">
        <v>48409.46</v>
      </c>
      <c r="I49" s="18" t="n">
        <v>49591.77</v>
      </c>
      <c r="J49" s="18" t="n">
        <v>52580.69</v>
      </c>
      <c r="K49" s="37" t="n">
        <v>52580.69</v>
      </c>
      <c r="L49" s="18" t="n">
        <v>58553.54</v>
      </c>
      <c r="M49" s="18" t="n">
        <v>53405.86</v>
      </c>
      <c r="N49" s="18" t="n">
        <v>54680.31</v>
      </c>
      <c r="O49" s="18" t="n">
        <v>60492.69</v>
      </c>
      <c r="P49" s="37" t="n">
        <v>60492.69</v>
      </c>
      <c r="Q49" s="18" t="n">
        <v>45060.72</v>
      </c>
      <c r="R49" s="18" t="n">
        <v>45916.86</v>
      </c>
      <c r="S49" s="18" t="n">
        <v>92593.41</v>
      </c>
      <c r="T49" s="18" t="n">
        <v>43766.22</v>
      </c>
      <c r="U49" s="37" t="n">
        <v>43766.22</v>
      </c>
      <c r="V49" s="18" t="n">
        <v>43401.84</v>
      </c>
      <c r="W49" s="18" t="n">
        <v>52249.41</v>
      </c>
      <c r="X49" s="18" t="n">
        <v>37877.35</v>
      </c>
      <c r="Y49" s="18" t="n">
        <v>36558.71</v>
      </c>
      <c r="Z49" s="37" t="n">
        <v>36558.71</v>
      </c>
      <c r="AA49" s="18" t="n">
        <v>45713.97</v>
      </c>
      <c r="AB49" s="19" t="n">
        <v>83237.56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이연법인세자산</t>
        </is>
      </c>
      <c r="F50" s="9" t="n"/>
      <c r="J50" s="18" t="n">
        <v>6811.47</v>
      </c>
      <c r="K50" s="37" t="n">
        <v>6811.47</v>
      </c>
      <c r="L50" s="18" t="n">
        <v>8386.360000000001</v>
      </c>
      <c r="M50" s="18" t="n">
        <v>7824.1</v>
      </c>
      <c r="N50" s="18" t="n">
        <v>7656.16</v>
      </c>
      <c r="O50" s="18" t="n">
        <v>13755.32</v>
      </c>
      <c r="P50" s="37" t="n">
        <v>13755.32</v>
      </c>
      <c r="Q50" s="18" t="n">
        <v>12513.58</v>
      </c>
      <c r="R50" s="18" t="n">
        <v>10782.8</v>
      </c>
      <c r="S50" s="18" t="n">
        <v>9294.190000000001</v>
      </c>
      <c r="T50" s="18" t="n">
        <v>10200.37</v>
      </c>
      <c r="U50" s="37" t="n">
        <v>10200.37</v>
      </c>
      <c r="V50" s="18" t="n">
        <v>9035.469999999999</v>
      </c>
      <c r="W50" s="18" t="n">
        <v>8932.120000000001</v>
      </c>
      <c r="X50" s="18" t="n">
        <v>8208.34</v>
      </c>
      <c r="Y50" s="18" t="n">
        <v>8424.83</v>
      </c>
      <c r="Z50" s="37" t="n">
        <v>8424.83</v>
      </c>
      <c r="AA50" s="18" t="n">
        <v>8209.709999999999</v>
      </c>
      <c r="AB50" s="19" t="n">
        <v>7570.66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유동리스부채</t>
        </is>
      </c>
      <c r="F51" s="9" t="n"/>
      <c r="K51" s="9" t="n"/>
      <c r="O51" s="18" t="n">
        <v>11652.03</v>
      </c>
      <c r="P51" s="37" t="n">
        <v>11652.03</v>
      </c>
      <c r="Q51" s="18" t="n">
        <v>11429.08</v>
      </c>
      <c r="R51" s="18" t="n">
        <v>12354.36</v>
      </c>
      <c r="S51" s="18" t="n">
        <v>12278.07</v>
      </c>
      <c r="T51" s="18" t="n">
        <v>12083.63</v>
      </c>
      <c r="U51" s="37" t="n">
        <v>12083.63</v>
      </c>
      <c r="V51" s="18" t="n">
        <v>11602.4</v>
      </c>
      <c r="W51" s="18" t="n">
        <v>10897.74</v>
      </c>
      <c r="X51" s="18" t="n">
        <v>10970.33</v>
      </c>
      <c r="Y51" s="18" t="n">
        <v>9974.73</v>
      </c>
      <c r="Z51" s="37" t="n">
        <v>9974.73</v>
      </c>
      <c r="AA51" s="18" t="n">
        <v>10170.02</v>
      </c>
      <c r="AB51" s="19" t="n">
        <v>10777.54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리스부채</t>
        </is>
      </c>
      <c r="F52" s="9" t="n"/>
      <c r="K52" s="9" t="n"/>
      <c r="O52" s="18" t="n">
        <v>40726.67</v>
      </c>
      <c r="P52" s="37" t="n">
        <v>40726.67</v>
      </c>
      <c r="Q52" s="18" t="n">
        <v>38492.19</v>
      </c>
      <c r="R52" s="18" t="n">
        <v>39281.29</v>
      </c>
      <c r="S52" s="18" t="n">
        <v>37801.61</v>
      </c>
      <c r="T52" s="18" t="n">
        <v>35511.66</v>
      </c>
      <c r="U52" s="37" t="n">
        <v>35511.66</v>
      </c>
      <c r="V52" s="18" t="n">
        <v>33227.57</v>
      </c>
      <c r="W52" s="18" t="n">
        <v>31422.72</v>
      </c>
      <c r="X52" s="18" t="n">
        <v>31854.46</v>
      </c>
      <c r="Y52" s="18" t="n">
        <v>28833.04</v>
      </c>
      <c r="Z52" s="37" t="n">
        <v>28833.04</v>
      </c>
      <c r="AA52" s="18" t="n">
        <v>28025.38</v>
      </c>
      <c r="AB52" s="19" t="n">
        <v>27746.94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단기금융부채</t>
        </is>
      </c>
      <c r="F53" s="9" t="n"/>
      <c r="K53" s="9" t="n"/>
      <c r="O53" s="18" t="n">
        <v>11652.03</v>
      </c>
      <c r="P53" s="37" t="n">
        <v>11652.03</v>
      </c>
      <c r="Q53" s="18" t="n">
        <v>11429.08</v>
      </c>
      <c r="R53" s="18" t="n">
        <v>12354.36</v>
      </c>
      <c r="S53" s="18" t="n">
        <v>12278.07</v>
      </c>
      <c r="T53" s="18" t="n">
        <v>93656.19</v>
      </c>
      <c r="U53" s="37" t="n">
        <v>93656.19</v>
      </c>
      <c r="V53" s="18" t="n">
        <v>111348.77</v>
      </c>
      <c r="W53" s="18" t="n">
        <v>112151.62</v>
      </c>
      <c r="X53" s="18" t="n">
        <v>115827.01</v>
      </c>
      <c r="Y53" s="18" t="n">
        <v>110777.82</v>
      </c>
      <c r="Z53" s="37" t="n">
        <v>110777.82</v>
      </c>
      <c r="AA53" s="18" t="n">
        <v>97390.78</v>
      </c>
      <c r="AB53" s="19" t="n">
        <v>61850.37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비유동리스부채</t>
        </is>
      </c>
      <c r="F54" s="9" t="n"/>
      <c r="K54" s="9" t="n"/>
      <c r="O54" s="18" t="n">
        <v>29074.64</v>
      </c>
      <c r="P54" s="37" t="n">
        <v>29074.64</v>
      </c>
      <c r="Q54" s="18" t="n">
        <v>27063.11</v>
      </c>
      <c r="R54" s="18" t="n">
        <v>26926.93</v>
      </c>
      <c r="S54" s="18" t="n">
        <v>25523.54</v>
      </c>
      <c r="T54" s="18" t="n">
        <v>23428.03</v>
      </c>
      <c r="U54" s="37" t="n">
        <v>23428.03</v>
      </c>
      <c r="V54" s="18" t="n">
        <v>21625.17</v>
      </c>
      <c r="W54" s="18" t="n">
        <v>20524.98</v>
      </c>
      <c r="X54" s="18" t="n">
        <v>20884.13</v>
      </c>
      <c r="Y54" s="18" t="n">
        <v>18858.31</v>
      </c>
      <c r="Z54" s="37" t="n">
        <v>18858.31</v>
      </c>
      <c r="AA54" s="18" t="n">
        <v>17855.36</v>
      </c>
      <c r="AB54" s="19" t="n">
        <v>16969.4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장기금융부채</t>
        </is>
      </c>
      <c r="F55" s="9" t="n"/>
      <c r="K55" s="9" t="n"/>
      <c r="O55" s="18" t="n">
        <v>29074.64</v>
      </c>
      <c r="P55" s="37" t="n">
        <v>29074.64</v>
      </c>
      <c r="Q55" s="18" t="n">
        <v>27063.11</v>
      </c>
      <c r="R55" s="18" t="n">
        <v>26926.93</v>
      </c>
      <c r="S55" s="18" t="n">
        <v>25523.54</v>
      </c>
      <c r="T55" s="18" t="n">
        <v>53548.28</v>
      </c>
      <c r="U55" s="37" t="n">
        <v>53548.28</v>
      </c>
      <c r="V55" s="18" t="n">
        <v>51723.59</v>
      </c>
      <c r="W55" s="18" t="n">
        <v>30677.08</v>
      </c>
      <c r="X55" s="18" t="n">
        <v>21067.6</v>
      </c>
      <c r="Y55" s="18" t="n">
        <v>19101.19</v>
      </c>
      <c r="Z55" s="37" t="n">
        <v>19101.19</v>
      </c>
      <c r="AA55" s="18" t="n">
        <v>57974.43</v>
      </c>
      <c r="AB55" s="19" t="n">
        <v>77187.16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기타유동금융자산</t>
        </is>
      </c>
      <c r="F56" s="9" t="n"/>
      <c r="K56" s="9" t="n"/>
      <c r="P56" s="9" t="n"/>
      <c r="T56" s="18" t="n">
        <v>10174.1</v>
      </c>
      <c r="U56" s="37" t="n">
        <v>10174.1</v>
      </c>
      <c r="V56" s="18" t="n">
        <v>10364.81</v>
      </c>
      <c r="W56" s="18" t="n">
        <v>11811.21</v>
      </c>
      <c r="X56" s="18" t="n">
        <v>10527.39</v>
      </c>
      <c r="Y56" s="18" t="n">
        <v>14399.44</v>
      </c>
      <c r="Z56" s="37" t="n">
        <v>14399.44</v>
      </c>
      <c r="AA56" s="18" t="n">
        <v>36151.28</v>
      </c>
      <c r="AB56" s="19" t="n">
        <v>28433.37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장기매출채권및기타채권</t>
        </is>
      </c>
      <c r="F57" s="9" t="n"/>
      <c r="K57" s="9" t="n"/>
      <c r="P57" s="9" t="n"/>
      <c r="T57" s="18" t="n">
        <v>16145.62</v>
      </c>
      <c r="U57" s="37" t="n">
        <v>16145.62</v>
      </c>
      <c r="V57" s="18" t="n">
        <v>13951.11</v>
      </c>
      <c r="W57" s="18" t="n">
        <v>12584.33</v>
      </c>
      <c r="X57" s="18" t="n">
        <v>13009.25</v>
      </c>
      <c r="Y57" s="18" t="n">
        <v>13312.63</v>
      </c>
      <c r="Z57" s="37" t="n">
        <v>13312.63</v>
      </c>
      <c r="AA57" s="18" t="n">
        <v>1884.18</v>
      </c>
      <c r="AB57" s="19" t="n">
        <v>2414.84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기타유동금융부채</t>
        </is>
      </c>
      <c r="F58" s="9" t="n"/>
      <c r="K58" s="9" t="n"/>
      <c r="P58" s="9" t="n"/>
      <c r="T58" s="18" t="n">
        <v>81572.56</v>
      </c>
      <c r="U58" s="37" t="n">
        <v>81572.56</v>
      </c>
      <c r="V58" s="18" t="n">
        <v>99746.37</v>
      </c>
      <c r="W58" s="18" t="n">
        <v>101253.88</v>
      </c>
      <c r="X58" s="18" t="n">
        <v>104856.68</v>
      </c>
      <c r="Y58" s="18" t="n">
        <v>100803.09</v>
      </c>
      <c r="Z58" s="37" t="n">
        <v>100803.09</v>
      </c>
      <c r="AA58" s="18" t="n">
        <v>87220.75999999999</v>
      </c>
      <c r="AB58" s="19" t="n">
        <v>51072.83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기타비유동금융부채</t>
        </is>
      </c>
      <c r="F59" s="9" t="n"/>
      <c r="K59" s="9" t="n"/>
      <c r="P59" s="9" t="n"/>
      <c r="T59" s="18" t="n">
        <v>30120.25</v>
      </c>
      <c r="U59" s="37" t="n">
        <v>30120.25</v>
      </c>
      <c r="V59" s="18" t="n">
        <v>30098.42</v>
      </c>
      <c r="W59" s="18" t="n">
        <v>10152.1</v>
      </c>
      <c r="X59" s="18" t="n">
        <v>183.47</v>
      </c>
      <c r="Y59" s="18" t="n">
        <v>242.88</v>
      </c>
      <c r="Z59" s="37" t="n">
        <v>242.88</v>
      </c>
      <c r="AA59" s="18" t="n">
        <v>40119.07</v>
      </c>
      <c r="AB59" s="19" t="n">
        <v>60217.76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매출액(수익)</t>
        </is>
      </c>
      <c r="E60" s="18" t="n">
        <v>366092.92</v>
      </c>
      <c r="F60" s="9" t="n"/>
      <c r="G60" s="18" t="n">
        <v>361297.53</v>
      </c>
      <c r="H60" s="18" t="n">
        <v>353179.53</v>
      </c>
      <c r="I60" s="18" t="n">
        <v>355688.1</v>
      </c>
      <c r="J60" s="18" t="n">
        <v>393068.09</v>
      </c>
      <c r="K60" s="37" t="n">
        <v>1463233.25</v>
      </c>
      <c r="L60" s="18" t="n">
        <v>364246.58</v>
      </c>
      <c r="M60" s="18" t="n">
        <v>385867.52</v>
      </c>
      <c r="N60" s="18" t="n">
        <v>386560.17</v>
      </c>
      <c r="O60" s="18" t="n">
        <v>415453.94</v>
      </c>
      <c r="P60" s="37" t="n">
        <v>1552128.21</v>
      </c>
      <c r="Q60" s="18" t="n">
        <v>494993.7</v>
      </c>
      <c r="R60" s="18" t="n">
        <v>483945.38</v>
      </c>
      <c r="S60" s="18" t="n">
        <v>440922.19</v>
      </c>
      <c r="T60" s="18" t="n">
        <v>401597.66</v>
      </c>
      <c r="U60" s="37" t="n">
        <v>1821458.93</v>
      </c>
      <c r="V60" s="18" t="n">
        <v>424011.52</v>
      </c>
      <c r="W60" s="18" t="n">
        <v>390622.11</v>
      </c>
      <c r="X60" s="18" t="n">
        <v>322500.91</v>
      </c>
      <c r="Y60" s="18" t="n">
        <v>340157.67</v>
      </c>
      <c r="Z60" s="37" t="n">
        <v>1477292.21</v>
      </c>
      <c r="AA60" s="18" t="n">
        <v>340409.22</v>
      </c>
      <c r="AB60" s="19" t="n">
        <v>357173.07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매출원가</t>
        </is>
      </c>
      <c r="E61" s="18" t="n">
        <v>304141.47</v>
      </c>
      <c r="F61" s="9" t="n"/>
      <c r="G61" s="18" t="n">
        <v>299900.01</v>
      </c>
      <c r="H61" s="18" t="n">
        <v>296026.27</v>
      </c>
      <c r="I61" s="18" t="n">
        <v>297170.1</v>
      </c>
      <c r="J61" s="18" t="n">
        <v>365011.95</v>
      </c>
      <c r="K61" s="37" t="n">
        <v>1258108.33</v>
      </c>
      <c r="L61" s="18" t="n">
        <v>315657.61</v>
      </c>
      <c r="M61" s="18" t="n">
        <v>327383.06</v>
      </c>
      <c r="N61" s="18" t="n">
        <v>324582.89</v>
      </c>
      <c r="O61" s="18" t="n">
        <v>371788.4</v>
      </c>
      <c r="P61" s="37" t="n">
        <v>1339411.96</v>
      </c>
      <c r="Q61" s="18" t="n">
        <v>426109.17</v>
      </c>
      <c r="R61" s="18" t="n">
        <v>417240.89</v>
      </c>
      <c r="S61" s="18" t="n">
        <v>372360.58</v>
      </c>
      <c r="T61" s="18" t="n">
        <v>336642.68</v>
      </c>
      <c r="U61" s="37" t="n">
        <v>1552353.32</v>
      </c>
      <c r="V61" s="18" t="n">
        <v>351717.87</v>
      </c>
      <c r="W61" s="18" t="n">
        <v>323551.26</v>
      </c>
      <c r="X61" s="18" t="n">
        <v>259834.94</v>
      </c>
      <c r="Y61" s="18" t="n">
        <v>283846.74</v>
      </c>
      <c r="Z61" s="37" t="n">
        <v>1218950.81</v>
      </c>
      <c r="AA61" s="18" t="n">
        <v>281530.19</v>
      </c>
      <c r="AB61" s="19" t="n">
        <v>295844.21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매출총이익</t>
        </is>
      </c>
      <c r="E62" s="18" t="n">
        <v>61951.45</v>
      </c>
      <c r="F62" s="9" t="n"/>
      <c r="G62" s="18" t="n">
        <v>61397.53</v>
      </c>
      <c r="H62" s="18" t="n">
        <v>57153.25</v>
      </c>
      <c r="I62" s="18" t="n">
        <v>58518</v>
      </c>
      <c r="J62" s="18" t="n">
        <v>28056.13</v>
      </c>
      <c r="K62" s="37" t="n">
        <v>205124.91</v>
      </c>
      <c r="L62" s="18" t="n">
        <v>48588.97</v>
      </c>
      <c r="M62" s="18" t="n">
        <v>58484.46</v>
      </c>
      <c r="N62" s="18" t="n">
        <v>61977.28</v>
      </c>
      <c r="O62" s="18" t="n">
        <v>43665.54</v>
      </c>
      <c r="P62" s="37" t="n">
        <v>212716.25</v>
      </c>
      <c r="Q62" s="18" t="n">
        <v>68884.52</v>
      </c>
      <c r="R62" s="18" t="n">
        <v>66704.49000000001</v>
      </c>
      <c r="S62" s="18" t="n">
        <v>68561.61</v>
      </c>
      <c r="T62" s="18" t="n">
        <v>64954.98</v>
      </c>
      <c r="U62" s="37" t="n">
        <v>269105.6</v>
      </c>
      <c r="V62" s="18" t="n">
        <v>72293.64999999999</v>
      </c>
      <c r="W62" s="18" t="n">
        <v>67070.84</v>
      </c>
      <c r="X62" s="18" t="n">
        <v>62665.97</v>
      </c>
      <c r="Y62" s="18" t="n">
        <v>56310.94</v>
      </c>
      <c r="Z62" s="37" t="n">
        <v>258341.4</v>
      </c>
      <c r="AA62" s="18" t="n">
        <v>58879.03</v>
      </c>
      <c r="AB62" s="19" t="n">
        <v>61328.86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판관비</t>
        </is>
      </c>
      <c r="E63" s="18" t="n">
        <v>60361.4</v>
      </c>
      <c r="F63" s="9" t="n"/>
      <c r="G63" s="18" t="n">
        <v>58323.41</v>
      </c>
      <c r="H63" s="18" t="n">
        <v>57453.35</v>
      </c>
      <c r="I63" s="18" t="n">
        <v>58138.69</v>
      </c>
      <c r="J63" s="18" t="n">
        <v>58516.6</v>
      </c>
      <c r="K63" s="37" t="n">
        <v>232432.05</v>
      </c>
      <c r="L63" s="18" t="n">
        <v>55533.8</v>
      </c>
      <c r="M63" s="18" t="n">
        <v>55167.76</v>
      </c>
      <c r="N63" s="18" t="n">
        <v>60158.76</v>
      </c>
      <c r="O63" s="18" t="n">
        <v>62467.14</v>
      </c>
      <c r="P63" s="37" t="n">
        <v>233327.46</v>
      </c>
      <c r="Q63" s="18" t="n">
        <v>61963.54</v>
      </c>
      <c r="R63" s="18" t="n">
        <v>59393.68</v>
      </c>
      <c r="S63" s="18" t="n">
        <v>58989.39</v>
      </c>
      <c r="T63" s="18" t="n">
        <v>65880.78</v>
      </c>
      <c r="U63" s="37" t="n">
        <v>246227.39</v>
      </c>
      <c r="V63" s="18" t="n">
        <v>63266.78</v>
      </c>
      <c r="W63" s="18" t="n">
        <v>62226.27</v>
      </c>
      <c r="X63" s="18" t="n">
        <v>59234.58</v>
      </c>
      <c r="Y63" s="18" t="n">
        <v>59046.8</v>
      </c>
      <c r="Z63" s="37" t="n">
        <v>243774.43</v>
      </c>
      <c r="AA63" s="18" t="n">
        <v>58175.62</v>
      </c>
      <c r="AB63" s="19" t="n">
        <v>55919.64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영업이익</t>
        </is>
      </c>
      <c r="E64" s="18" t="n">
        <v>1590.06</v>
      </c>
      <c r="F64" s="9" t="n"/>
      <c r="G64" s="18" t="n">
        <v>3074.11</v>
      </c>
      <c r="H64" s="18" t="n">
        <v>-300.1</v>
      </c>
      <c r="I64" s="18" t="n">
        <v>379.31</v>
      </c>
      <c r="J64" s="18" t="n">
        <v>-30460.45</v>
      </c>
      <c r="K64" s="37" t="n">
        <v>-27307.13</v>
      </c>
      <c r="L64" s="18" t="n">
        <v>-6944.82</v>
      </c>
      <c r="M64" s="18" t="n">
        <v>3316.7</v>
      </c>
      <c r="N64" s="18" t="n">
        <v>1818.52</v>
      </c>
      <c r="O64" s="18" t="n">
        <v>-18801.59</v>
      </c>
      <c r="P64" s="37" t="n">
        <v>-20611.19</v>
      </c>
      <c r="Q64" s="18" t="n">
        <v>6920.98</v>
      </c>
      <c r="R64" s="18" t="n">
        <v>7310.81</v>
      </c>
      <c r="S64" s="18" t="n">
        <v>9572.219999999999</v>
      </c>
      <c r="T64" s="18" t="n">
        <v>-925.8</v>
      </c>
      <c r="U64" s="37" t="n">
        <v>22878.21</v>
      </c>
      <c r="V64" s="18" t="n">
        <v>9026.870000000001</v>
      </c>
      <c r="W64" s="18" t="n">
        <v>4844.57</v>
      </c>
      <c r="X64" s="18" t="n">
        <v>3431.39</v>
      </c>
      <c r="Y64" s="18" t="n">
        <v>-2735.86</v>
      </c>
      <c r="Z64" s="37" t="n">
        <v>14566.97</v>
      </c>
      <c r="AA64" s="18" t="n">
        <v>703.41</v>
      </c>
      <c r="AB64" s="19" t="n">
        <v>5409.22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기타영업외수익</t>
        </is>
      </c>
      <c r="E65" s="18" t="n">
        <v>163.76</v>
      </c>
      <c r="F65" s="9" t="n"/>
      <c r="G65" s="18" t="n">
        <v>190.96</v>
      </c>
      <c r="H65" s="18" t="n">
        <v>142.31</v>
      </c>
      <c r="I65" s="18" t="n">
        <v>125.85</v>
      </c>
      <c r="J65" s="18" t="n">
        <v>40.66</v>
      </c>
      <c r="K65" s="37" t="n">
        <v>499.78</v>
      </c>
      <c r="L65" s="18" t="n">
        <v>144.09</v>
      </c>
      <c r="M65" s="18" t="n">
        <v>132.57</v>
      </c>
      <c r="N65" s="18" t="n">
        <v>198.91</v>
      </c>
      <c r="O65" s="18" t="n">
        <v>348.71</v>
      </c>
      <c r="P65" s="37" t="n">
        <v>824.28</v>
      </c>
      <c r="Q65" s="18" t="n">
        <v>234.05</v>
      </c>
      <c r="R65" s="18" t="n">
        <v>307.49</v>
      </c>
      <c r="S65" s="18" t="n">
        <v>148.11</v>
      </c>
      <c r="T65" s="18" t="n">
        <v>218.72</v>
      </c>
      <c r="U65" s="37" t="n">
        <v>908.37</v>
      </c>
      <c r="V65" s="18" t="n">
        <v>169.75</v>
      </c>
      <c r="W65" s="18" t="n">
        <v>357.8</v>
      </c>
      <c r="X65" s="18" t="n">
        <v>146.57</v>
      </c>
      <c r="Y65" s="18" t="n">
        <v>301.33</v>
      </c>
      <c r="Z65" s="37" t="n">
        <v>975.45</v>
      </c>
      <c r="AA65" s="18" t="n">
        <v>407.95</v>
      </c>
      <c r="AB65" s="19" t="n">
        <v>430.74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기타영업외비용</t>
        </is>
      </c>
      <c r="E66" s="18" t="n">
        <v>1006.78</v>
      </c>
      <c r="F66" s="9" t="n"/>
      <c r="G66" s="18" t="n">
        <v>427.88</v>
      </c>
      <c r="H66" s="18" t="n">
        <v>169.41</v>
      </c>
      <c r="I66" s="18" t="n">
        <v>131.81</v>
      </c>
      <c r="J66" s="18" t="n">
        <v>30963.2</v>
      </c>
      <c r="K66" s="37" t="n">
        <v>31692.3</v>
      </c>
      <c r="L66" s="18" t="n">
        <v>495.51</v>
      </c>
      <c r="M66" s="18" t="n">
        <v>82.68000000000001</v>
      </c>
      <c r="N66" s="18" t="n">
        <v>-10.19</v>
      </c>
      <c r="O66" s="18" t="n">
        <v>14644.83</v>
      </c>
      <c r="P66" s="37" t="n">
        <v>15212.83</v>
      </c>
      <c r="Q66" s="18" t="n">
        <v>65.34999999999999</v>
      </c>
      <c r="R66" s="18" t="n">
        <v>38.52</v>
      </c>
      <c r="S66" s="18" t="n">
        <v>70.34</v>
      </c>
      <c r="T66" s="18" t="n">
        <v>185.95</v>
      </c>
      <c r="U66" s="37" t="n">
        <v>360.16</v>
      </c>
      <c r="V66" s="18" t="n">
        <v>36.02</v>
      </c>
      <c r="W66" s="18" t="n">
        <v>461.49</v>
      </c>
      <c r="X66" s="18" t="n">
        <v>56.82</v>
      </c>
      <c r="Y66" s="18" t="n">
        <v>1511.4</v>
      </c>
      <c r="Z66" s="37" t="n">
        <v>2065.73</v>
      </c>
      <c r="AA66" s="18" t="n">
        <v>65.14</v>
      </c>
      <c r="AB66" s="19" t="n">
        <v>842.15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금융수익</t>
        </is>
      </c>
      <c r="E67" s="18" t="n">
        <v>372.94</v>
      </c>
      <c r="F67" s="9" t="n"/>
      <c r="G67" s="18" t="n">
        <v>1417.74</v>
      </c>
      <c r="H67" s="18" t="n">
        <v>2586.78</v>
      </c>
      <c r="I67" s="18" t="n">
        <v>5985.09</v>
      </c>
      <c r="J67" s="18" t="n">
        <v>-1606.13</v>
      </c>
      <c r="K67" s="37" t="n">
        <v>8383.48</v>
      </c>
      <c r="L67" s="18" t="n">
        <v>2028.79</v>
      </c>
      <c r="M67" s="18" t="n">
        <v>1748.54</v>
      </c>
      <c r="N67" s="18" t="n">
        <v>1507.7</v>
      </c>
      <c r="O67" s="18" t="n">
        <v>-715.46</v>
      </c>
      <c r="P67" s="37" t="n">
        <v>4569.57</v>
      </c>
      <c r="Q67" s="18" t="n">
        <v>2334.76</v>
      </c>
      <c r="R67" s="18" t="n">
        <v>2026.5</v>
      </c>
      <c r="S67" s="18" t="n">
        <v>-1452.22</v>
      </c>
      <c r="T67" s="18" t="n">
        <v>4082.62</v>
      </c>
      <c r="U67" s="37" t="n">
        <v>6991.66</v>
      </c>
      <c r="V67" s="18" t="n">
        <v>811.51</v>
      </c>
      <c r="W67" s="18" t="n">
        <v>1068.07</v>
      </c>
      <c r="X67" s="18" t="n">
        <v>515.34</v>
      </c>
      <c r="Y67" s="18" t="n">
        <v>1485.08</v>
      </c>
      <c r="Z67" s="37" t="n">
        <v>3880</v>
      </c>
      <c r="AA67" s="18" t="n">
        <v>2554.74</v>
      </c>
      <c r="AB67" s="19" t="n">
        <v>1961.07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금융비용</t>
        </is>
      </c>
      <c r="E68" s="18" t="n">
        <v>673.95</v>
      </c>
      <c r="F68" s="9" t="n"/>
      <c r="G68" s="18" t="n">
        <v>1320.74</v>
      </c>
      <c r="H68" s="18" t="n">
        <v>2958.15</v>
      </c>
      <c r="I68" s="18" t="n">
        <v>5014.13</v>
      </c>
      <c r="J68" s="18" t="n">
        <v>5346.75</v>
      </c>
      <c r="K68" s="37" t="n">
        <v>14639.77</v>
      </c>
      <c r="L68" s="18" t="n">
        <v>2341.2</v>
      </c>
      <c r="M68" s="18" t="n">
        <v>2827.72</v>
      </c>
      <c r="N68" s="18" t="n">
        <v>2895.33</v>
      </c>
      <c r="O68" s="18" t="n">
        <v>2812.48</v>
      </c>
      <c r="P68" s="37" t="n">
        <v>10876.73</v>
      </c>
      <c r="Q68" s="18" t="n">
        <v>2929.42</v>
      </c>
      <c r="R68" s="18" t="n">
        <v>3001.86</v>
      </c>
      <c r="S68" s="18" t="n">
        <v>2486.87</v>
      </c>
      <c r="T68" s="18" t="n">
        <v>2999.97</v>
      </c>
      <c r="U68" s="37" t="n">
        <v>11418.12</v>
      </c>
      <c r="V68" s="18" t="n">
        <v>2376.14</v>
      </c>
      <c r="W68" s="18" t="n">
        <v>5198.4</v>
      </c>
      <c r="X68" s="18" t="n">
        <v>352.36</v>
      </c>
      <c r="Y68" s="18" t="n">
        <v>1411.49</v>
      </c>
      <c r="Z68" s="37" t="n">
        <v>9338.389999999999</v>
      </c>
      <c r="AA68" s="18" t="n">
        <v>1692.75</v>
      </c>
      <c r="AB68" s="19" t="n">
        <v>2283.44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법인세비용차감전계속사업이익</t>
        </is>
      </c>
      <c r="E69" s="18" t="n">
        <v>446.03</v>
      </c>
      <c r="F69" s="9" t="n"/>
      <c r="G69" s="18" t="n">
        <v>2934.19</v>
      </c>
      <c r="H69" s="18" t="n">
        <v>-698.58</v>
      </c>
      <c r="I69" s="18" t="n">
        <v>1344.31</v>
      </c>
      <c r="J69" s="18" t="n">
        <v>-68335.89</v>
      </c>
      <c r="K69" s="37" t="n">
        <v>-64755.97</v>
      </c>
      <c r="L69" s="18" t="n">
        <v>-7608.65</v>
      </c>
      <c r="M69" s="18" t="n">
        <v>2287.4</v>
      </c>
      <c r="N69" s="18" t="n">
        <v>640</v>
      </c>
      <c r="O69" s="18" t="n">
        <v>-36625.66</v>
      </c>
      <c r="P69" s="37" t="n">
        <v>-41306.91</v>
      </c>
      <c r="Q69" s="18" t="n">
        <v>6495.02</v>
      </c>
      <c r="R69" s="18" t="n">
        <v>6604.43</v>
      </c>
      <c r="S69" s="18" t="n">
        <v>5710.9</v>
      </c>
      <c r="T69" s="18" t="n">
        <v>189.63</v>
      </c>
      <c r="U69" s="37" t="n">
        <v>18999.98</v>
      </c>
      <c r="V69" s="18" t="n">
        <v>7595.97</v>
      </c>
      <c r="W69" s="18" t="n">
        <v>610.55</v>
      </c>
      <c r="X69" s="18" t="n">
        <v>3684.11</v>
      </c>
      <c r="Y69" s="18" t="n">
        <v>-3872.34</v>
      </c>
      <c r="Z69" s="37" t="n">
        <v>8018.29</v>
      </c>
      <c r="AA69" s="18" t="n">
        <v>1908.22</v>
      </c>
      <c r="AB69" s="19" t="n">
        <v>4675.44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법인세비용</t>
        </is>
      </c>
      <c r="E70" s="18" t="n">
        <v>-674.36</v>
      </c>
      <c r="F70" s="9" t="n"/>
      <c r="G70" s="18" t="n">
        <v>623.15</v>
      </c>
      <c r="H70" s="18" t="n">
        <v>-121.84</v>
      </c>
      <c r="I70" s="18" t="n">
        <v>263.66</v>
      </c>
      <c r="J70" s="18" t="n">
        <v>-15984.39</v>
      </c>
      <c r="K70" s="37" t="n">
        <v>-15219.42</v>
      </c>
      <c r="L70" s="18" t="n">
        <v>-1492.67</v>
      </c>
      <c r="M70" s="18" t="n">
        <v>417.72</v>
      </c>
      <c r="N70" s="18" t="n">
        <v>192.12</v>
      </c>
      <c r="O70" s="18" t="n">
        <v>-5709.11</v>
      </c>
      <c r="P70" s="37" t="n">
        <v>-6591.94</v>
      </c>
      <c r="Q70" s="18" t="n">
        <v>1635.95</v>
      </c>
      <c r="R70" s="18" t="n">
        <v>1708.78</v>
      </c>
      <c r="S70" s="18" t="n">
        <v>1619.15</v>
      </c>
      <c r="T70" s="18" t="n">
        <v>503.35</v>
      </c>
      <c r="U70" s="37" t="n">
        <v>5467.23</v>
      </c>
      <c r="V70" s="18" t="n">
        <v>1456.61</v>
      </c>
      <c r="W70" s="18" t="n">
        <v>196.47</v>
      </c>
      <c r="X70" s="18" t="n">
        <v>755.37</v>
      </c>
      <c r="Y70" s="18" t="n">
        <v>-1153.48</v>
      </c>
      <c r="Z70" s="37" t="n">
        <v>1254.97</v>
      </c>
      <c r="AA70" s="18" t="n">
        <v>359.01</v>
      </c>
      <c r="AB70" s="19" t="n">
        <v>946.63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당기순이익</t>
        </is>
      </c>
      <c r="E71" s="18" t="n">
        <v>1120.38</v>
      </c>
      <c r="F71" s="9" t="n"/>
      <c r="G71" s="18" t="n">
        <v>2311.04</v>
      </c>
      <c r="H71" s="18" t="n">
        <v>-576.74</v>
      </c>
      <c r="I71" s="18" t="n">
        <v>1080.65</v>
      </c>
      <c r="J71" s="18" t="n">
        <v>-52351.5</v>
      </c>
      <c r="K71" s="37" t="n">
        <v>-49536.55</v>
      </c>
      <c r="L71" s="18" t="n">
        <v>-6115.98</v>
      </c>
      <c r="M71" s="18" t="n">
        <v>1869.68</v>
      </c>
      <c r="N71" s="18" t="n">
        <v>447.88</v>
      </c>
      <c r="O71" s="18" t="n">
        <v>-30916.53</v>
      </c>
      <c r="P71" s="37" t="n">
        <v>-34714.95</v>
      </c>
      <c r="Q71" s="18" t="n">
        <v>4859.07</v>
      </c>
      <c r="R71" s="18" t="n">
        <v>4895.64</v>
      </c>
      <c r="S71" s="18" t="n">
        <v>4091.75</v>
      </c>
      <c r="T71" s="18" t="n">
        <v>-313.72</v>
      </c>
      <c r="U71" s="37" t="n">
        <v>13532.74</v>
      </c>
      <c r="V71" s="18" t="n">
        <v>6139.36</v>
      </c>
      <c r="W71" s="18" t="n">
        <v>414.08</v>
      </c>
      <c r="X71" s="18" t="n">
        <v>2928.75</v>
      </c>
      <c r="Y71" s="18" t="n">
        <v>-2718.86</v>
      </c>
      <c r="Z71" s="37" t="n">
        <v>6763.33</v>
      </c>
      <c r="AA71" s="18" t="n">
        <v>1549.2</v>
      </c>
      <c r="AB71" s="19" t="n">
        <v>3728.81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총포괄손익</t>
        </is>
      </c>
      <c r="E72" s="18" t="n">
        <v>-419.33</v>
      </c>
      <c r="F72" s="9" t="n"/>
      <c r="G72" s="18" t="n">
        <v>2210.28</v>
      </c>
      <c r="H72" s="18" t="n">
        <v>-719.38</v>
      </c>
      <c r="I72" s="18" t="n">
        <v>984.73</v>
      </c>
      <c r="J72" s="18" t="n">
        <v>-49992.98</v>
      </c>
      <c r="K72" s="37" t="n">
        <v>-47517.35</v>
      </c>
      <c r="L72" s="18" t="n">
        <v>-6219.46</v>
      </c>
      <c r="M72" s="18" t="n">
        <v>1791.15</v>
      </c>
      <c r="N72" s="18" t="n">
        <v>420.33</v>
      </c>
      <c r="O72" s="18" t="n">
        <v>-32215.01</v>
      </c>
      <c r="P72" s="37" t="n">
        <v>-36222.99</v>
      </c>
      <c r="Q72" s="18" t="n">
        <v>4873.68</v>
      </c>
      <c r="R72" s="18" t="n">
        <v>4774.79</v>
      </c>
      <c r="S72" s="18" t="n">
        <v>4079.57</v>
      </c>
      <c r="T72" s="18" t="n">
        <v>-6199.75</v>
      </c>
      <c r="U72" s="37" t="n">
        <v>7528.29</v>
      </c>
      <c r="V72" s="18" t="n">
        <v>6097.12</v>
      </c>
      <c r="W72" s="18" t="n">
        <v>387.91</v>
      </c>
      <c r="X72" s="18" t="n">
        <v>2912.86</v>
      </c>
      <c r="Y72" s="18" t="n">
        <v>-893.86</v>
      </c>
      <c r="Z72" s="37" t="n">
        <v>8504.030000000001</v>
      </c>
      <c r="AA72" s="18" t="n">
        <v>1123.89</v>
      </c>
      <c r="AB72" s="19" t="n">
        <v>3475.99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금융손익</t>
        </is>
      </c>
      <c r="E73" s="18" t="n">
        <v>-301.01</v>
      </c>
      <c r="F73" s="9" t="n"/>
      <c r="G73" s="18" t="n">
        <v>97</v>
      </c>
      <c r="H73" s="18" t="n">
        <v>-371.37</v>
      </c>
      <c r="I73" s="18" t="n">
        <v>970.96</v>
      </c>
      <c r="J73" s="18" t="n">
        <v>-6952.88</v>
      </c>
      <c r="K73" s="37" t="n">
        <v>-6256.29</v>
      </c>
      <c r="L73" s="18" t="n">
        <v>-312.41</v>
      </c>
      <c r="M73" s="18" t="n">
        <v>-1079.18</v>
      </c>
      <c r="N73" s="18" t="n">
        <v>-1387.63</v>
      </c>
      <c r="O73" s="18" t="n">
        <v>-3527.94</v>
      </c>
      <c r="P73" s="37" t="n">
        <v>-6307.16</v>
      </c>
      <c r="Q73" s="18" t="n">
        <v>-594.66</v>
      </c>
      <c r="R73" s="18" t="n">
        <v>-975.36</v>
      </c>
      <c r="S73" s="18" t="n">
        <v>-3939.09</v>
      </c>
      <c r="T73" s="18" t="n">
        <v>1082.65</v>
      </c>
      <c r="U73" s="37" t="n">
        <v>-4426.46</v>
      </c>
      <c r="V73" s="18" t="n">
        <v>-1564.63</v>
      </c>
      <c r="W73" s="18" t="n">
        <v>-4130.33</v>
      </c>
      <c r="X73" s="18" t="n">
        <v>162.98</v>
      </c>
      <c r="Y73" s="18" t="n">
        <v>73.59</v>
      </c>
      <c r="Z73" s="37" t="n">
        <v>-5458.39</v>
      </c>
      <c r="AA73" s="18" t="n">
        <v>861.99</v>
      </c>
      <c r="AB73" s="19" t="n">
        <v>-322.37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기타영업외손익</t>
        </is>
      </c>
      <c r="E74" s="18" t="n">
        <v>-843.02</v>
      </c>
      <c r="F74" s="9" t="n"/>
      <c r="G74" s="18" t="n">
        <v>-236.92</v>
      </c>
      <c r="H74" s="18" t="n">
        <v>-27.1</v>
      </c>
      <c r="I74" s="18" t="n">
        <v>-5.96</v>
      </c>
      <c r="J74" s="18" t="n">
        <v>-30922.54</v>
      </c>
      <c r="K74" s="37" t="n">
        <v>-31192.52</v>
      </c>
      <c r="L74" s="18" t="n">
        <v>-351.42</v>
      </c>
      <c r="M74" s="18" t="n">
        <v>49.89</v>
      </c>
      <c r="N74" s="18" t="n">
        <v>209.1</v>
      </c>
      <c r="O74" s="18" t="n">
        <v>-14296.12</v>
      </c>
      <c r="P74" s="37" t="n">
        <v>-14388.55</v>
      </c>
      <c r="Q74" s="18" t="n">
        <v>168.7</v>
      </c>
      <c r="R74" s="18" t="n">
        <v>268.97</v>
      </c>
      <c r="S74" s="18" t="n">
        <v>77.77</v>
      </c>
      <c r="T74" s="18" t="n">
        <v>32.77</v>
      </c>
      <c r="U74" s="37" t="n">
        <v>548.21</v>
      </c>
      <c r="V74" s="18" t="n">
        <v>133.73</v>
      </c>
      <c r="W74" s="18" t="n">
        <v>-103.69</v>
      </c>
      <c r="X74" s="18" t="n">
        <v>89.75</v>
      </c>
      <c r="Y74" s="18" t="n">
        <v>-1210.07</v>
      </c>
      <c r="Z74" s="37" t="n">
        <v>-1090.28</v>
      </c>
      <c r="AA74" s="18" t="n">
        <v>342.81</v>
      </c>
      <c r="AB74" s="19" t="n">
        <v>-411.41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(지배주주지분)당기순이익</t>
        </is>
      </c>
      <c r="E75" s="18" t="n">
        <v>1120.38</v>
      </c>
      <c r="F75" s="9" t="n"/>
      <c r="G75" s="18" t="n">
        <v>2311.04</v>
      </c>
      <c r="H75" s="18" t="n">
        <v>-576.74</v>
      </c>
      <c r="I75" s="18" t="n">
        <v>1080.65</v>
      </c>
      <c r="J75" s="18" t="n">
        <v>-52351.5</v>
      </c>
      <c r="K75" s="37" t="n">
        <v>-49536.55</v>
      </c>
      <c r="L75" s="18" t="n">
        <v>-6115.98</v>
      </c>
      <c r="M75" s="18" t="n">
        <v>1869.68</v>
      </c>
      <c r="N75" s="18" t="n">
        <v>447.88</v>
      </c>
      <c r="O75" s="18" t="n">
        <v>-30916.53</v>
      </c>
      <c r="P75" s="37" t="n">
        <v>-34714.95</v>
      </c>
      <c r="Q75" s="18" t="n">
        <v>4859.07</v>
      </c>
      <c r="R75" s="18" t="n">
        <v>4895.64</v>
      </c>
      <c r="S75" s="18" t="n">
        <v>4091.75</v>
      </c>
      <c r="T75" s="18" t="n">
        <v>-313.72</v>
      </c>
      <c r="U75" s="37" t="n">
        <v>13532.74</v>
      </c>
      <c r="V75" s="18" t="n">
        <v>6139.36</v>
      </c>
      <c r="W75" s="18" t="n">
        <v>414.08</v>
      </c>
      <c r="X75" s="18" t="n">
        <v>2928.75</v>
      </c>
      <c r="Y75" s="18" t="n">
        <v>-2718.86</v>
      </c>
      <c r="Z75" s="37" t="n">
        <v>6763.33</v>
      </c>
      <c r="AA75" s="18" t="n">
        <v>1549.2</v>
      </c>
      <c r="AB75" s="19" t="n">
        <v>3728.81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계속사업이익</t>
        </is>
      </c>
      <c r="E76" s="18" t="n">
        <v>1120.38</v>
      </c>
      <c r="F76" s="9" t="n"/>
      <c r="G76" s="18" t="n">
        <v>2311.04</v>
      </c>
      <c r="H76" s="18" t="n">
        <v>-576.74</v>
      </c>
      <c r="I76" s="18" t="n">
        <v>1080.65</v>
      </c>
      <c r="J76" s="18" t="n">
        <v>-52351.5</v>
      </c>
      <c r="K76" s="37" t="n">
        <v>-49536.55</v>
      </c>
      <c r="L76" s="18" t="n">
        <v>-6115.98</v>
      </c>
      <c r="M76" s="18" t="n">
        <v>1869.68</v>
      </c>
      <c r="N76" s="18" t="n">
        <v>447.88</v>
      </c>
      <c r="O76" s="18" t="n">
        <v>-30916.53</v>
      </c>
      <c r="P76" s="37" t="n">
        <v>-34714.95</v>
      </c>
      <c r="Q76" s="18" t="n">
        <v>4859.07</v>
      </c>
      <c r="R76" s="18" t="n">
        <v>4895.64</v>
      </c>
      <c r="S76" s="18" t="n">
        <v>4091.75</v>
      </c>
      <c r="T76" s="18" t="n">
        <v>-313.72</v>
      </c>
      <c r="U76" s="37" t="n">
        <v>13532.74</v>
      </c>
      <c r="V76" s="18" t="n">
        <v>6139.36</v>
      </c>
      <c r="W76" s="18" t="n">
        <v>414.08</v>
      </c>
      <c r="X76" s="18" t="n">
        <v>2928.75</v>
      </c>
      <c r="Y76" s="18" t="n">
        <v>-2718.86</v>
      </c>
      <c r="Z76" s="37" t="n">
        <v>6763.33</v>
      </c>
      <c r="AA76" s="18" t="n">
        <v>1549.2</v>
      </c>
      <c r="AB76" s="19" t="n">
        <v>3728.81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영업활동으로인한현금흐름</t>
        </is>
      </c>
      <c r="E77" s="18" t="n">
        <v>-3372.65</v>
      </c>
      <c r="F77" s="9" t="n"/>
      <c r="G77" s="18" t="n">
        <v>18843.9</v>
      </c>
      <c r="H77" s="18" t="n">
        <v>1301.7</v>
      </c>
      <c r="I77" s="18" t="n">
        <v>-15033.63</v>
      </c>
      <c r="J77" s="18" t="n">
        <v>-45702.08</v>
      </c>
      <c r="K77" s="37" t="n">
        <v>-40590.11</v>
      </c>
      <c r="L77" s="18" t="n">
        <v>14156.51</v>
      </c>
      <c r="M77" s="18" t="n">
        <v>-3602.16</v>
      </c>
      <c r="N77" s="18" t="n">
        <v>-51872.59</v>
      </c>
      <c r="O77" s="18" t="n">
        <v>44337.91</v>
      </c>
      <c r="P77" s="37" t="n">
        <v>3019.67</v>
      </c>
      <c r="Q77" s="18" t="n">
        <v>-26680.23</v>
      </c>
      <c r="R77" s="18" t="n">
        <v>27088.84</v>
      </c>
      <c r="S77" s="18" t="n">
        <v>46973.31</v>
      </c>
      <c r="T77" s="18" t="n">
        <v>-10056.78</v>
      </c>
      <c r="U77" s="37" t="n">
        <v>37325.14</v>
      </c>
      <c r="V77" s="18" t="n">
        <v>-9748.32</v>
      </c>
      <c r="W77" s="18" t="n">
        <v>35293.64</v>
      </c>
      <c r="X77" s="18" t="n">
        <v>-2328.87</v>
      </c>
      <c r="Y77" s="18" t="n">
        <v>12472.11</v>
      </c>
      <c r="Z77" s="37" t="n">
        <v>35688.56</v>
      </c>
      <c r="AA77" s="18" t="n">
        <v>11648.79</v>
      </c>
      <c r="AB77" s="19" t="n">
        <v>49428.74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이자수취(CF)</t>
        </is>
      </c>
      <c r="E78" s="18" t="n">
        <v>29.01</v>
      </c>
      <c r="F78" s="9" t="n"/>
      <c r="G78" s="18" t="n">
        <v>30.51</v>
      </c>
      <c r="H78" s="18" t="n">
        <v>55.88</v>
      </c>
      <c r="I78" s="18" t="n">
        <v>23.72</v>
      </c>
      <c r="J78" s="18" t="n">
        <v>48.39</v>
      </c>
      <c r="K78" s="37" t="n">
        <v>158.5</v>
      </c>
      <c r="L78" s="18" t="n">
        <v>28.3</v>
      </c>
      <c r="M78" s="18" t="n">
        <v>71.37</v>
      </c>
      <c r="N78" s="18" t="n">
        <v>26.32</v>
      </c>
      <c r="O78" s="18" t="n">
        <v>30.74</v>
      </c>
      <c r="P78" s="37" t="n">
        <v>156.73</v>
      </c>
      <c r="Q78" s="18" t="n">
        <v>51.3</v>
      </c>
      <c r="R78" s="18" t="n">
        <v>140.86</v>
      </c>
      <c r="S78" s="18" t="n">
        <v>59.81</v>
      </c>
      <c r="U78" s="9" t="n"/>
      <c r="V78" s="18" t="n">
        <v>66.65000000000001</v>
      </c>
      <c r="W78" s="18" t="n">
        <v>149.79</v>
      </c>
      <c r="X78" s="18" t="n">
        <v>65.7</v>
      </c>
      <c r="Y78" s="18" t="n">
        <v>57.4</v>
      </c>
      <c r="Z78" s="37" t="n">
        <v>339.54</v>
      </c>
      <c r="AA78" s="18" t="n">
        <v>86.22</v>
      </c>
      <c r="AB78" s="19" t="n">
        <v>356.62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이자지급(CF)</t>
        </is>
      </c>
      <c r="E79" s="18" t="n">
        <v>-352.76</v>
      </c>
      <c r="F79" s="9" t="n"/>
      <c r="G79" s="18" t="n">
        <v>-456.95</v>
      </c>
      <c r="H79" s="18" t="n">
        <v>-523.91</v>
      </c>
      <c r="I79" s="18" t="n">
        <v>-578.76</v>
      </c>
      <c r="J79" s="18" t="n">
        <v>-998.48</v>
      </c>
      <c r="K79" s="37" t="n">
        <v>-2558.1</v>
      </c>
      <c r="L79" s="18" t="n">
        <v>-1394.13</v>
      </c>
      <c r="M79" s="18" t="n">
        <v>-1575.43</v>
      </c>
      <c r="P79" s="9" t="n"/>
      <c r="U79" s="9" t="n"/>
      <c r="Z79" s="9" t="n"/>
      <c r="AB79" s="5" t="n"/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법인세납부(CF)</t>
        </is>
      </c>
      <c r="E80" s="18" t="n">
        <v>-1.35</v>
      </c>
      <c r="F80" s="9" t="n"/>
      <c r="G80" s="18" t="n">
        <v>-233.91</v>
      </c>
      <c r="H80" s="18" t="n">
        <v>-374.06</v>
      </c>
      <c r="I80" s="18" t="n">
        <v>-1813.45</v>
      </c>
      <c r="J80" s="18" t="n">
        <v>-1.32</v>
      </c>
      <c r="K80" s="37" t="n">
        <v>-2422.74</v>
      </c>
      <c r="L80" s="18" t="n">
        <v>-68.5</v>
      </c>
      <c r="M80" s="18" t="n">
        <v>1946.9</v>
      </c>
      <c r="N80" s="18" t="n">
        <v>-1.29</v>
      </c>
      <c r="O80" s="18" t="n">
        <v>-1.38</v>
      </c>
      <c r="P80" s="37" t="n">
        <v>1875.73</v>
      </c>
      <c r="Q80" s="18" t="n">
        <v>-136.41</v>
      </c>
      <c r="R80" s="18" t="n">
        <v>-5.32</v>
      </c>
      <c r="S80" s="18" t="n">
        <v>-75.5</v>
      </c>
      <c r="U80" s="9" t="n"/>
      <c r="V80" s="18" t="n">
        <v>-6.08</v>
      </c>
      <c r="W80" s="18" t="n">
        <v>123.97</v>
      </c>
      <c r="X80" s="18" t="n">
        <v>-172.37</v>
      </c>
      <c r="Y80" s="18" t="n">
        <v>-4.73</v>
      </c>
      <c r="Z80" s="37" t="n">
        <v>-59.21</v>
      </c>
      <c r="AA80" s="18" t="n">
        <v>159.29</v>
      </c>
      <c r="AB80" s="19" t="n">
        <v>-55.95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투자활동으로인한현금흐름</t>
        </is>
      </c>
      <c r="E81" s="18" t="n">
        <v>-4191.29</v>
      </c>
      <c r="F81" s="9" t="n"/>
      <c r="G81" s="18" t="n">
        <v>-4559.24</v>
      </c>
      <c r="H81" s="18" t="n">
        <v>-5892.2</v>
      </c>
      <c r="I81" s="18" t="n">
        <v>-2641.5</v>
      </c>
      <c r="J81" s="18" t="n">
        <v>-2795.74</v>
      </c>
      <c r="K81" s="37" t="n">
        <v>-15888.68</v>
      </c>
      <c r="L81" s="18" t="n">
        <v>-4838.45</v>
      </c>
      <c r="M81" s="18" t="n">
        <v>-2093.55</v>
      </c>
      <c r="N81" s="18" t="n">
        <v>-1889.31</v>
      </c>
      <c r="O81" s="18" t="n">
        <v>-3094.89</v>
      </c>
      <c r="P81" s="37" t="n">
        <v>-11916.2</v>
      </c>
      <c r="Q81" s="18" t="n">
        <v>2533.14</v>
      </c>
      <c r="R81" s="18" t="n">
        <v>-1550.43</v>
      </c>
      <c r="S81" s="18" t="n">
        <v>-973.8200000000001</v>
      </c>
      <c r="T81" s="18" t="n">
        <v>-2393.78</v>
      </c>
      <c r="U81" s="37" t="n">
        <v>-2384.89</v>
      </c>
      <c r="V81" s="18" t="n">
        <v>-2810.39</v>
      </c>
      <c r="W81" s="18" t="n">
        <v>-3262.96</v>
      </c>
      <c r="X81" s="18" t="n">
        <v>-3245.35</v>
      </c>
      <c r="Y81" s="18" t="n">
        <v>-1999.78</v>
      </c>
      <c r="Z81" s="37" t="n">
        <v>-11318.48</v>
      </c>
      <c r="AA81" s="18" t="n">
        <v>-21660.54</v>
      </c>
      <c r="AB81" s="19" t="n">
        <v>163.26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유형자산의감소</t>
        </is>
      </c>
      <c r="E82" s="18" t="n">
        <v>39.71</v>
      </c>
      <c r="F82" s="9" t="n"/>
      <c r="G82" s="18" t="n">
        <v>27.51</v>
      </c>
      <c r="H82" s="18" t="n">
        <v>22.7</v>
      </c>
      <c r="I82" s="18" t="n">
        <v>6.18</v>
      </c>
      <c r="J82" s="18" t="n">
        <v>58.1</v>
      </c>
      <c r="K82" s="37" t="n">
        <v>114.49</v>
      </c>
      <c r="L82" s="18" t="n">
        <v>35.85</v>
      </c>
      <c r="M82" s="18" t="n">
        <v>11.21</v>
      </c>
      <c r="N82" s="18" t="n">
        <v>2.36</v>
      </c>
      <c r="O82" s="18" t="n">
        <v>38.13</v>
      </c>
      <c r="P82" s="37" t="n">
        <v>87.55</v>
      </c>
      <c r="S82" s="18" t="n">
        <v>54.18</v>
      </c>
      <c r="U82" s="9" t="n"/>
      <c r="V82" s="18" t="n">
        <v>15.29</v>
      </c>
      <c r="W82" s="18" t="n">
        <v>585.7</v>
      </c>
      <c r="X82" s="18" t="n">
        <v>12.38</v>
      </c>
      <c r="Y82" s="18" t="n">
        <v>43.31</v>
      </c>
      <c r="Z82" s="37" t="n">
        <v>656.6799999999999</v>
      </c>
      <c r="AA82" s="18" t="n">
        <v>1.27</v>
      </c>
      <c r="AB82" s="19" t="n">
        <v>1.64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유형자산의증가</t>
        </is>
      </c>
      <c r="E83" s="18" t="n">
        <v>5473.63</v>
      </c>
      <c r="F83" s="9" t="n"/>
      <c r="G83" s="18" t="n">
        <v>5364.32</v>
      </c>
      <c r="H83" s="18" t="n">
        <v>5374.86</v>
      </c>
      <c r="I83" s="18" t="n">
        <v>3284.53</v>
      </c>
      <c r="J83" s="18" t="n">
        <v>3976.98</v>
      </c>
      <c r="K83" s="37" t="n">
        <v>18000.69</v>
      </c>
      <c r="L83" s="18" t="n">
        <v>4705.3</v>
      </c>
      <c r="M83" s="18" t="n">
        <v>1720.04</v>
      </c>
      <c r="N83" s="18" t="n">
        <v>3188.85</v>
      </c>
      <c r="O83" s="18" t="n">
        <v>1771.62</v>
      </c>
      <c r="P83" s="37" t="n">
        <v>11385.81</v>
      </c>
      <c r="Q83" s="18" t="n">
        <v>563.91</v>
      </c>
      <c r="R83" s="18" t="n">
        <v>1290.12</v>
      </c>
      <c r="S83" s="18" t="n">
        <v>1072.57</v>
      </c>
      <c r="U83" s="9" t="n"/>
      <c r="V83" s="18" t="n">
        <v>2857.41</v>
      </c>
      <c r="W83" s="18" t="n">
        <v>4078.13</v>
      </c>
      <c r="X83" s="18" t="n">
        <v>4203.55</v>
      </c>
      <c r="Y83" s="18" t="n">
        <v>3144.04</v>
      </c>
      <c r="Z83" s="37" t="n">
        <v>14283.13</v>
      </c>
      <c r="AA83" s="18" t="n">
        <v>1755.02</v>
      </c>
      <c r="AB83" s="19" t="n">
        <v>1353.42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CAPEX</t>
        </is>
      </c>
      <c r="E84" s="18" t="n">
        <v>5473.63</v>
      </c>
      <c r="F84" s="9" t="n"/>
      <c r="G84" s="18" t="n">
        <v>5364.32</v>
      </c>
      <c r="H84" s="18" t="n">
        <v>5374.86</v>
      </c>
      <c r="I84" s="18" t="n">
        <v>3284.53</v>
      </c>
      <c r="J84" s="18" t="n">
        <v>3976.98</v>
      </c>
      <c r="K84" s="37" t="n">
        <v>18000.69</v>
      </c>
      <c r="L84" s="18" t="n">
        <v>4705.3</v>
      </c>
      <c r="M84" s="18" t="n">
        <v>1720.04</v>
      </c>
      <c r="N84" s="18" t="n">
        <v>3188.85</v>
      </c>
      <c r="O84" s="18" t="n">
        <v>2793.62</v>
      </c>
      <c r="P84" s="37" t="n">
        <v>12407.81</v>
      </c>
      <c r="Q84" s="18" t="n">
        <v>563.91</v>
      </c>
      <c r="R84" s="18" t="n">
        <v>1290.12</v>
      </c>
      <c r="S84" s="18" t="n">
        <v>1072.57</v>
      </c>
      <c r="U84" s="9" t="n"/>
      <c r="V84" s="18" t="n">
        <v>2857.41</v>
      </c>
      <c r="W84" s="18" t="n">
        <v>4078.13</v>
      </c>
      <c r="X84" s="18" t="n">
        <v>4203.55</v>
      </c>
      <c r="Y84" s="18" t="n">
        <v>3144.04</v>
      </c>
      <c r="Z84" s="37" t="n">
        <v>14283.13</v>
      </c>
      <c r="AA84" s="18" t="n">
        <v>1755.02</v>
      </c>
      <c r="AB84" s="19" t="n">
        <v>1353.42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재무활동으로인한현금흐름</t>
        </is>
      </c>
      <c r="E85" s="18" t="n">
        <v>9898.73</v>
      </c>
      <c r="F85" s="9" t="n"/>
      <c r="G85" s="18" t="n">
        <v>-16513.2</v>
      </c>
      <c r="H85" s="18" t="n">
        <v>3866.85</v>
      </c>
      <c r="I85" s="18" t="n">
        <v>19460.89</v>
      </c>
      <c r="J85" s="18" t="n">
        <v>52431.3</v>
      </c>
      <c r="K85" s="37" t="n">
        <v>59245.84</v>
      </c>
      <c r="L85" s="18" t="n">
        <v>-5156.86</v>
      </c>
      <c r="M85" s="18" t="n">
        <v>574.76</v>
      </c>
      <c r="N85" s="18" t="n">
        <v>56111.73</v>
      </c>
      <c r="O85" s="18" t="n">
        <v>-35758.91</v>
      </c>
      <c r="P85" s="37" t="n">
        <v>15770.72</v>
      </c>
      <c r="Q85" s="18" t="n">
        <v>11743.05</v>
      </c>
      <c r="R85" s="18" t="n">
        <v>-24356.12</v>
      </c>
      <c r="S85" s="18" t="n">
        <v>625.73</v>
      </c>
      <c r="T85" s="18" t="n">
        <v>-27107.27</v>
      </c>
      <c r="U85" s="37" t="n">
        <v>-39094.61</v>
      </c>
      <c r="V85" s="18" t="n">
        <v>12340.34</v>
      </c>
      <c r="W85" s="18" t="n">
        <v>-21440.39</v>
      </c>
      <c r="X85" s="18" t="n">
        <v>-9366.84</v>
      </c>
      <c r="Y85" s="18" t="n">
        <v>-6943.26</v>
      </c>
      <c r="Z85" s="37" t="n">
        <v>-25410.15</v>
      </c>
      <c r="AA85" s="18" t="n">
        <v>21015.24</v>
      </c>
      <c r="AB85" s="19" t="n">
        <v>-18766.42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단기차입금의증가</t>
        </is>
      </c>
      <c r="E86" s="18" t="n">
        <v>62851</v>
      </c>
      <c r="F86" s="9" t="n"/>
      <c r="G86" s="18" t="n">
        <v>17211</v>
      </c>
      <c r="H86" s="18" t="n">
        <v>63436</v>
      </c>
      <c r="I86" s="18" t="n">
        <v>147520.48</v>
      </c>
      <c r="J86" s="18" t="n">
        <v>218252.68</v>
      </c>
      <c r="K86" s="37" t="n">
        <v>446420.16</v>
      </c>
      <c r="L86" s="18" t="n">
        <v>206880.38</v>
      </c>
      <c r="M86" s="18" t="n">
        <v>189247</v>
      </c>
      <c r="N86" s="18" t="n">
        <v>379387.13</v>
      </c>
      <c r="O86" s="18" t="n">
        <v>277533.57</v>
      </c>
      <c r="P86" s="37" t="n">
        <v>1053048.08</v>
      </c>
      <c r="Q86" s="18" t="n">
        <v>371083.14</v>
      </c>
      <c r="R86" s="18" t="n">
        <v>207925.72</v>
      </c>
      <c r="S86" s="18" t="n">
        <v>372295</v>
      </c>
      <c r="T86" s="18" t="n">
        <v>172592</v>
      </c>
      <c r="U86" s="37" t="n">
        <v>1123895.86</v>
      </c>
      <c r="V86" s="18" t="n">
        <v>225527</v>
      </c>
      <c r="W86" s="18" t="n">
        <v>205294</v>
      </c>
      <c r="X86" s="18" t="n">
        <v>185041</v>
      </c>
      <c r="Y86" s="18" t="n">
        <v>156128</v>
      </c>
      <c r="Z86" s="37" t="n">
        <v>771990</v>
      </c>
      <c r="AA86" s="18" t="n">
        <v>105334</v>
      </c>
      <c r="AB86" s="19" t="n">
        <v>43402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단기차입금의감소</t>
        </is>
      </c>
      <c r="E87" s="18" t="n">
        <v>49532.2</v>
      </c>
      <c r="F87" s="9" t="n"/>
      <c r="G87" s="18" t="n">
        <v>30314</v>
      </c>
      <c r="H87" s="18" t="n">
        <v>54166</v>
      </c>
      <c r="I87" s="18" t="n">
        <v>124625.48</v>
      </c>
      <c r="J87" s="18" t="n">
        <v>162472.68</v>
      </c>
      <c r="K87" s="37" t="n">
        <v>371578.16</v>
      </c>
      <c r="L87" s="18" t="n">
        <v>208935.38</v>
      </c>
      <c r="M87" s="18" t="n">
        <v>185509</v>
      </c>
      <c r="N87" s="18" t="n">
        <v>319835.13</v>
      </c>
      <c r="O87" s="18" t="n">
        <v>310082.57</v>
      </c>
      <c r="P87" s="37" t="n">
        <v>1024362.08</v>
      </c>
      <c r="Q87" s="18" t="n">
        <v>356160.14</v>
      </c>
      <c r="R87" s="18" t="n">
        <v>249164.72</v>
      </c>
      <c r="S87" s="18" t="n">
        <v>372610</v>
      </c>
      <c r="T87" s="18" t="n">
        <v>202592</v>
      </c>
      <c r="U87" s="37" t="n">
        <v>1180526.86</v>
      </c>
      <c r="V87" s="18" t="n">
        <v>209997</v>
      </c>
      <c r="W87" s="18" t="n">
        <v>220824</v>
      </c>
      <c r="X87" s="18" t="n">
        <v>191361</v>
      </c>
      <c r="Y87" s="18" t="n">
        <v>160208</v>
      </c>
      <c r="Z87" s="37" t="n">
        <v>782390</v>
      </c>
      <c r="AA87" s="18" t="n">
        <v>121466</v>
      </c>
      <c r="AB87" s="19" t="n">
        <v>56870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배당금지급</t>
        </is>
      </c>
      <c r="E88" s="18" t="n">
        <v>0</v>
      </c>
      <c r="F88" s="9" t="n"/>
      <c r="I88" s="18" t="n">
        <v>0</v>
      </c>
      <c r="J88" s="18" t="n">
        <v>0</v>
      </c>
      <c r="K88" s="9" t="n"/>
      <c r="L88" s="18" t="n">
        <v>0</v>
      </c>
      <c r="M88" s="18" t="n">
        <v>0</v>
      </c>
      <c r="N88" s="18" t="n">
        <v>0</v>
      </c>
      <c r="P88" s="9" t="n"/>
      <c r="U88" s="9" t="n"/>
      <c r="X88" s="18" t="n">
        <v>0</v>
      </c>
      <c r="Y88" s="18" t="n">
        <v>0</v>
      </c>
      <c r="Z88" s="9" t="n"/>
      <c r="AB88" s="5" t="n"/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리스부채의상환</t>
        </is>
      </c>
      <c r="E89" s="18" t="n">
        <v>3420.07</v>
      </c>
      <c r="F89" s="9" t="n"/>
      <c r="G89" s="18" t="n">
        <v>3410.2</v>
      </c>
      <c r="H89" s="18" t="n">
        <v>3427.73</v>
      </c>
      <c r="I89" s="18" t="n">
        <v>3413.11</v>
      </c>
      <c r="J89" s="18" t="n">
        <v>3298.7</v>
      </c>
      <c r="K89" s="37" t="n">
        <v>13549.74</v>
      </c>
      <c r="L89" s="18" t="n">
        <v>3158.26</v>
      </c>
      <c r="M89" s="18" t="n">
        <v>3153.24</v>
      </c>
      <c r="N89" s="18" t="n">
        <v>3440.27</v>
      </c>
      <c r="O89" s="18" t="n">
        <v>3210.15</v>
      </c>
      <c r="P89" s="37" t="n">
        <v>12961.92</v>
      </c>
      <c r="Q89" s="18" t="n">
        <v>3159.95</v>
      </c>
      <c r="R89" s="18" t="n">
        <v>3087.12</v>
      </c>
      <c r="S89" s="18" t="n">
        <v>3044.27</v>
      </c>
      <c r="U89" s="9" t="n"/>
      <c r="V89" s="18" t="n">
        <v>3202.66</v>
      </c>
      <c r="W89" s="18" t="n">
        <v>2965.09</v>
      </c>
      <c r="X89" s="18" t="n">
        <v>3003.79</v>
      </c>
      <c r="Y89" s="18" t="n">
        <v>2863.27</v>
      </c>
      <c r="Z89" s="37" t="n">
        <v>12034.81</v>
      </c>
      <c r="AA89" s="18" t="n">
        <v>2782.6</v>
      </c>
      <c r="AB89" s="19" t="n">
        <v>2713.84</v>
      </c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현금및현금성자산의증감</t>
        </is>
      </c>
      <c r="E90" s="18" t="n">
        <v>2316.36</v>
      </c>
      <c r="F90" s="9" t="n"/>
      <c r="G90" s="18" t="n">
        <v>-2229.94</v>
      </c>
      <c r="H90" s="18" t="n">
        <v>-671.62</v>
      </c>
      <c r="I90" s="18" t="n">
        <v>1746.41</v>
      </c>
      <c r="J90" s="18" t="n">
        <v>3900.09</v>
      </c>
      <c r="K90" s="37" t="n">
        <v>2744.94</v>
      </c>
      <c r="L90" s="18" t="n">
        <v>4164.5</v>
      </c>
      <c r="M90" s="18" t="n">
        <v>-5122.34</v>
      </c>
      <c r="N90" s="18" t="n">
        <v>2352.88</v>
      </c>
      <c r="O90" s="18" t="n">
        <v>5473.05</v>
      </c>
      <c r="P90" s="37" t="n">
        <v>6868.09</v>
      </c>
      <c r="Q90" s="18" t="n">
        <v>-12398.51</v>
      </c>
      <c r="R90" s="18" t="n">
        <v>1181.33</v>
      </c>
      <c r="S90" s="18" t="n">
        <v>46617.85</v>
      </c>
      <c r="T90" s="18" t="n">
        <v>-39545.88</v>
      </c>
      <c r="U90" s="37" t="n">
        <v>-4145.21</v>
      </c>
      <c r="V90" s="18" t="n">
        <v>-198.63</v>
      </c>
      <c r="W90" s="18" t="n">
        <v>10451.26</v>
      </c>
      <c r="X90" s="18" t="n">
        <v>-14826.41</v>
      </c>
      <c r="Y90" s="18" t="n">
        <v>3477.32</v>
      </c>
      <c r="Z90" s="37" t="n">
        <v>-1096.46</v>
      </c>
      <c r="AA90" s="18" t="n">
        <v>11102.59</v>
      </c>
      <c r="AB90" s="19" t="n">
        <v>31759.88</v>
      </c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기말현금및현금성자산</t>
        </is>
      </c>
      <c r="E91" s="18" t="n">
        <v>2316.36</v>
      </c>
      <c r="F91" s="9" t="n"/>
      <c r="G91" s="18" t="n">
        <v>6265.28</v>
      </c>
      <c r="H91" s="18" t="n">
        <v>-671.62</v>
      </c>
      <c r="I91" s="18" t="n">
        <v>1746.42</v>
      </c>
      <c r="J91" s="18" t="n">
        <v>3900.08</v>
      </c>
      <c r="K91" s="37" t="n">
        <v>11240.16</v>
      </c>
      <c r="L91" s="18" t="n">
        <v>15404.67</v>
      </c>
      <c r="M91" s="18" t="n">
        <v>-5122.35</v>
      </c>
      <c r="N91" s="18" t="n">
        <v>2352.88</v>
      </c>
      <c r="O91" s="18" t="n">
        <v>5473.05</v>
      </c>
      <c r="P91" s="37" t="n">
        <v>18108.25</v>
      </c>
      <c r="Q91" s="18" t="n">
        <v>5709.74</v>
      </c>
      <c r="R91" s="18" t="n">
        <v>1181.33</v>
      </c>
      <c r="S91" s="18" t="n">
        <v>46617.85</v>
      </c>
      <c r="T91" s="18" t="n">
        <v>-39545.88</v>
      </c>
      <c r="U91" s="37" t="n">
        <v>13963.04</v>
      </c>
      <c r="V91" s="18" t="n">
        <v>13764.41</v>
      </c>
      <c r="W91" s="18" t="n">
        <v>10451.26</v>
      </c>
      <c r="X91" s="18" t="n">
        <v>-14826.41</v>
      </c>
      <c r="Y91" s="18" t="n">
        <v>3477.32</v>
      </c>
      <c r="Z91" s="37" t="n">
        <v>12866.58</v>
      </c>
      <c r="AA91" s="18" t="n">
        <v>23969.17</v>
      </c>
      <c r="AB91" s="19" t="n">
        <v>31759.88</v>
      </c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무형자산의감소</t>
        </is>
      </c>
      <c r="F92" s="9" t="n"/>
      <c r="G92" s="18" t="n">
        <v>0</v>
      </c>
      <c r="K92" s="9" t="n"/>
      <c r="L92" s="18" t="n">
        <v>0</v>
      </c>
      <c r="M92" s="18" t="n">
        <v>0</v>
      </c>
      <c r="N92" s="18" t="n">
        <v>0</v>
      </c>
      <c r="P92" s="9" t="n"/>
      <c r="Q92" s="18" t="n">
        <v>0</v>
      </c>
      <c r="R92" s="18" t="n">
        <v>0</v>
      </c>
      <c r="S92" s="18" t="n">
        <v>0</v>
      </c>
      <c r="U92" s="9" t="n"/>
      <c r="Z92" s="9" t="n"/>
      <c r="AB92" s="5" t="n"/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배당금수취(CF)</t>
        </is>
      </c>
      <c r="F93" s="9" t="n"/>
      <c r="K93" s="9" t="n"/>
      <c r="O93" s="18" t="n">
        <v>0</v>
      </c>
      <c r="P93" s="9" t="n"/>
      <c r="Q93" s="18" t="n">
        <v>0</v>
      </c>
      <c r="R93" s="18" t="n">
        <v>21.51</v>
      </c>
      <c r="S93" s="18" t="n">
        <v>0</v>
      </c>
      <c r="U93" s="9" t="n"/>
      <c r="X93" s="18" t="n">
        <v>0</v>
      </c>
      <c r="Y93" s="18" t="n">
        <v>0</v>
      </c>
      <c r="Z93" s="9" t="n"/>
      <c r="AA93" s="18" t="n">
        <v>3.82</v>
      </c>
      <c r="AB93" s="19" t="n">
        <v>49.42</v>
      </c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장기차입금의증가</t>
        </is>
      </c>
      <c r="F94" s="9" t="n"/>
      <c r="K94" s="9" t="n"/>
      <c r="P94" s="9" t="n"/>
      <c r="S94" s="18" t="n">
        <v>4000</v>
      </c>
      <c r="T94" s="18" t="n">
        <v>6000</v>
      </c>
      <c r="U94" s="9" t="n"/>
      <c r="Z94" s="9" t="n"/>
      <c r="AA94" s="18" t="n">
        <v>40000</v>
      </c>
      <c r="AB94" s="19" t="n">
        <v>0</v>
      </c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>
        <f>IFERROR(VLOOKUP($D5,BS연결,MATCH(E$1,BS연결H,0),0)/100,"")</f>
        <v/>
      </c>
      <c r="F5" s="37" t="n"/>
      <c r="G5" s="18">
        <f>IFERROR(VLOOKUP($D5,BS연결,MATCH(G$1,BS연결H,0),0)/100,"")</f>
        <v/>
      </c>
      <c r="H5" s="18">
        <f>IFERROR(VLOOKUP($D5,BS연결,MATCH(H$1,BS연결H,0),0)/100,"")</f>
        <v/>
      </c>
      <c r="I5" s="18">
        <f>IFERROR(VLOOKUP($D5,BS연결,MATCH(I$1,BS연결H,0),0)/100,"")</f>
        <v/>
      </c>
      <c r="J5" s="18">
        <f>IFERROR(VLOOKUP($D5,BS연결,MATCH(J$1,BS연결H,0),0)/100,"")</f>
        <v/>
      </c>
      <c r="K5" s="37">
        <f>IFERROR(VLOOKUP($D5,BS연결,MATCH(K$1,BS연결H,0),0)/100,"")</f>
        <v/>
      </c>
      <c r="L5" s="18">
        <f>IFERROR(VLOOKUP($D5,BS연결,MATCH(L$1,BS연결H,0),0)/100,"")</f>
        <v/>
      </c>
      <c r="M5" s="18">
        <f>IFERROR(VLOOKUP($D5,BS연결,MATCH(M$1,BS연결H,0),0)/100,"")</f>
        <v/>
      </c>
      <c r="N5" s="18">
        <f>IFERROR(VLOOKUP($D5,BS연결,MATCH(N$1,BS연결H,0),0)/100,"")</f>
        <v/>
      </c>
      <c r="O5" s="18">
        <f>IFERROR(VLOOKUP($D5,BS연결,MATCH(O$1,BS연결H,0),0)/100,"")</f>
        <v/>
      </c>
      <c r="P5" s="37">
        <f>IFERROR(VLOOKUP($D5,BS연결,MATCH(P$1,BS연결H,0),0)/100,"")</f>
        <v/>
      </c>
      <c r="Q5" s="18">
        <f>IFERROR(VLOOKUP($D5,BS연결,MATCH(Q$1,BS연결H,0),0)/100,"")</f>
        <v/>
      </c>
      <c r="R5" s="18">
        <f>IFERROR(VLOOKUP($D5,BS연결,MATCH(R$1,BS연결H,0),0)/100,"")</f>
        <v/>
      </c>
      <c r="S5" s="18">
        <f>IFERROR(VLOOKUP($D5,BS연결,MATCH(S$1,BS연결H,0),0)/100,"")</f>
        <v/>
      </c>
      <c r="T5" s="18">
        <f>IFERROR(VLOOKUP($D5,BS연결,MATCH(T$1,BS연결H,0),0)/100,"")</f>
        <v/>
      </c>
      <c r="U5" s="37">
        <f>IFERROR(VLOOKUP($D5,BS연결,MATCH(U$1,BS연결H,0),0)/100,"")</f>
        <v/>
      </c>
      <c r="V5" s="18">
        <f>IFERROR(VLOOKUP($D5,BS연결,MATCH(V$1,BS연결H,0),0)/100,"")</f>
        <v/>
      </c>
      <c r="W5" s="18">
        <f>IFERROR(VLOOKUP($D5,BS연결,MATCH(W$1,BS연결H,0),0)/100,"")</f>
        <v/>
      </c>
      <c r="X5" s="18">
        <f>IFERROR(VLOOKUP($D5,BS연결,MATCH(X$1,BS연결H,0),0)/100,"")</f>
        <v/>
      </c>
      <c r="Y5" s="18">
        <f>IFERROR(VLOOKUP($D5,BS연결,MATCH(Y$1,BS연결H,0),0)/100,"")</f>
        <v/>
      </c>
      <c r="Z5" s="37">
        <f>IFERROR(VLOOKUP($D5,BS연결,MATCH(Z$1,BS연결H,0),0)/100,"")</f>
        <v/>
      </c>
      <c r="AA5" s="18">
        <f>IFERROR(VLOOKUP($D5,BS연결,MATCH(AA$1,BS연결H,0),0)/100,"")</f>
        <v/>
      </c>
      <c r="AB5" s="19">
        <f>IFERROR(VLOOKUP($D5,BS연결,MATCH(AB$1,BS연결H,0),0)/100,"")</f>
        <v/>
      </c>
      <c r="AC5" s="20">
        <f>IFERROR(X5*(1+변수!AC21),"")</f>
        <v/>
      </c>
      <c r="AD5" s="20">
        <f>IFERROR(Y5*(1+변수!AD21),"")</f>
        <v/>
      </c>
      <c r="AE5" s="38">
        <f>SUM(AA5:AD5)</f>
        <v/>
      </c>
      <c r="AF5" s="20">
        <f>IFERROR(AA5*(1+변수!AF21),"")</f>
        <v/>
      </c>
      <c r="AG5" s="20">
        <f>IFERROR(AB5*(1+변수!AG21),"")</f>
        <v/>
      </c>
      <c r="AH5" s="20">
        <f>IFERROR(AC5*(1+변수!AH21),"")</f>
        <v/>
      </c>
      <c r="AI5" s="20">
        <f>IFERROR(AD5*(1+변수!AI21),"")</f>
        <v/>
      </c>
      <c r="AJ5" s="38">
        <f>SUM(AF5:AI5)</f>
        <v/>
      </c>
      <c r="AK5" s="20">
        <f>IFERROR(AF5*(1+변수!AK21),"")</f>
        <v/>
      </c>
      <c r="AL5" s="20">
        <f>IFERROR(AG5*(1+변수!AL21),"")</f>
        <v/>
      </c>
      <c r="AM5" s="20">
        <f>IFERROR(AH5*(1+변수!AM21),"")</f>
        <v/>
      </c>
      <c r="AN5" s="20">
        <f>IFERROR(AI5*(1+변수!AN21),"")</f>
        <v/>
      </c>
      <c r="AO5" s="38">
        <f>SUM(AK5:AN5)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>
        <f>IFERROR(VLOOKUP($D6,BS연결,MATCH(E$1,BS연결H,0),0)/100,"")</f>
        <v/>
      </c>
      <c r="F6" s="37" t="n"/>
      <c r="G6" s="18">
        <f>IFERROR(VLOOKUP($D6,BS연결,MATCH(G$1,BS연결H,0),0)/100,"")</f>
        <v/>
      </c>
      <c r="H6" s="18">
        <f>IFERROR(VLOOKUP($D6,BS연결,MATCH(H$1,BS연결H,0),0)/100,"")</f>
        <v/>
      </c>
      <c r="I6" s="18">
        <f>IFERROR(VLOOKUP($D6,BS연결,MATCH(I$1,BS연결H,0),0)/100,"")</f>
        <v/>
      </c>
      <c r="J6" s="18">
        <f>IFERROR(VLOOKUP($D6,BS연결,MATCH(J$1,BS연결H,0),0)/100,"")</f>
        <v/>
      </c>
      <c r="K6" s="37">
        <f>IFERROR(VLOOKUP($D6,BS연결,MATCH(K$1,BS연결H,0),0)/100,"")</f>
        <v/>
      </c>
      <c r="L6" s="18">
        <f>IFERROR(VLOOKUP($D6,BS연결,MATCH(L$1,BS연결H,0),0)/100,"")</f>
        <v/>
      </c>
      <c r="M6" s="18">
        <f>IFERROR(VLOOKUP($D6,BS연결,MATCH(M$1,BS연결H,0),0)/100,"")</f>
        <v/>
      </c>
      <c r="N6" s="18">
        <f>IFERROR(VLOOKUP($D6,BS연결,MATCH(N$1,BS연결H,0),0)/100,"")</f>
        <v/>
      </c>
      <c r="O6" s="18">
        <f>IFERROR(VLOOKUP($D6,BS연결,MATCH(O$1,BS연결H,0),0)/100,"")</f>
        <v/>
      </c>
      <c r="P6" s="37">
        <f>IFERROR(VLOOKUP($D6,BS연결,MATCH(P$1,BS연결H,0),0)/100,"")</f>
        <v/>
      </c>
      <c r="Q6" s="18">
        <f>IFERROR(VLOOKUP($D6,BS연결,MATCH(Q$1,BS연결H,0),0)/100,"")</f>
        <v/>
      </c>
      <c r="R6" s="18">
        <f>IFERROR(VLOOKUP($D6,BS연결,MATCH(R$1,BS연결H,0),0)/100,"")</f>
        <v/>
      </c>
      <c r="S6" s="18">
        <f>IFERROR(VLOOKUP($D6,BS연결,MATCH(S$1,BS연결H,0),0)/100,"")</f>
        <v/>
      </c>
      <c r="T6" s="18">
        <f>IFERROR(VLOOKUP($D6,BS연결,MATCH(T$1,BS연결H,0),0)/100,"")</f>
        <v/>
      </c>
      <c r="U6" s="37">
        <f>IFERROR(VLOOKUP($D6,BS연결,MATCH(U$1,BS연결H,0),0)/100,"")</f>
        <v/>
      </c>
      <c r="V6" s="18">
        <f>IFERROR(VLOOKUP($D6,BS연결,MATCH(V$1,BS연결H,0),0)/100,"")</f>
        <v/>
      </c>
      <c r="W6" s="18">
        <f>IFERROR(VLOOKUP($D6,BS연결,MATCH(W$1,BS연결H,0),0)/100,"")</f>
        <v/>
      </c>
      <c r="X6" s="18">
        <f>IFERROR(VLOOKUP($D6,BS연결,MATCH(X$1,BS연결H,0),0)/100,"")</f>
        <v/>
      </c>
      <c r="Y6" s="18">
        <f>IFERROR(VLOOKUP($D6,BS연결,MATCH(Y$1,BS연결H,0),0)/100,"")</f>
        <v/>
      </c>
      <c r="Z6" s="37">
        <f>IFERROR(VLOOKUP($D6,BS연결,MATCH(Z$1,BS연결H,0),0)/100,"")</f>
        <v/>
      </c>
      <c r="AA6" s="18">
        <f>IFERROR(VLOOKUP($D6,BS연결,MATCH(AA$1,BS연결H,0),0)/100,"")</f>
        <v/>
      </c>
      <c r="AB6" s="19">
        <f>IFERROR(VLOOKUP($D6,BS연결,MATCH(AB$1,BS연결H,0),0)/100,"")</f>
        <v/>
      </c>
      <c r="AC6" s="20">
        <f>IFERROR(AC5-AC7,"")</f>
        <v/>
      </c>
      <c r="AD6" s="20">
        <f>IFERROR(AD5-AD7,"")</f>
        <v/>
      </c>
      <c r="AE6" s="38">
        <f>SUM(AA6:AD6)</f>
        <v/>
      </c>
      <c r="AF6" s="20">
        <f>IFERROR(AF5-AF7,"")</f>
        <v/>
      </c>
      <c r="AG6" s="20">
        <f>IFERROR(AG5-AG7,"")</f>
        <v/>
      </c>
      <c r="AH6" s="20">
        <f>IFERROR(AH5-AH7,"")</f>
        <v/>
      </c>
      <c r="AI6" s="20">
        <f>IFERROR(AI5-AI7,"")</f>
        <v/>
      </c>
      <c r="AJ6" s="38">
        <f>SUM(AF6:AI6)</f>
        <v/>
      </c>
      <c r="AK6" s="20">
        <f>IFERROR(AK5-AK7,"")</f>
        <v/>
      </c>
      <c r="AL6" s="20">
        <f>IFERROR(AL5-AL7,"")</f>
        <v/>
      </c>
      <c r="AM6" s="20">
        <f>IFERROR(AM5-AM7,"")</f>
        <v/>
      </c>
      <c r="AN6" s="20">
        <f>IFERROR(AN5-AN7,"")</f>
        <v/>
      </c>
      <c r="AO6" s="38">
        <f>SUM(AK6:AN6)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>
        <f>IFERROR(VLOOKUP($D7,BS연결,MATCH(E$1,BS연결H,0),0)/100,"")</f>
        <v/>
      </c>
      <c r="F7" s="37" t="n"/>
      <c r="G7" s="18">
        <f>IFERROR(VLOOKUP($D7,BS연결,MATCH(G$1,BS연결H,0),0)/100,"")</f>
        <v/>
      </c>
      <c r="H7" s="18">
        <f>IFERROR(VLOOKUP($D7,BS연결,MATCH(H$1,BS연결H,0),0)/100,"")</f>
        <v/>
      </c>
      <c r="I7" s="18">
        <f>IFERROR(VLOOKUP($D7,BS연결,MATCH(I$1,BS연결H,0),0)/100,"")</f>
        <v/>
      </c>
      <c r="J7" s="18">
        <f>IFERROR(VLOOKUP($D7,BS연결,MATCH(J$1,BS연결H,0),0)/100,"")</f>
        <v/>
      </c>
      <c r="K7" s="37">
        <f>IFERROR(VLOOKUP($D7,BS연결,MATCH(K$1,BS연결H,0),0)/100,"")</f>
        <v/>
      </c>
      <c r="L7" s="18">
        <f>IFERROR(VLOOKUP($D7,BS연결,MATCH(L$1,BS연결H,0),0)/100,"")</f>
        <v/>
      </c>
      <c r="M7" s="18">
        <f>IFERROR(VLOOKUP($D7,BS연결,MATCH(M$1,BS연결H,0),0)/100,"")</f>
        <v/>
      </c>
      <c r="N7" s="18">
        <f>IFERROR(VLOOKUP($D7,BS연결,MATCH(N$1,BS연결H,0),0)/100,"")</f>
        <v/>
      </c>
      <c r="O7" s="18">
        <f>IFERROR(VLOOKUP($D7,BS연결,MATCH(O$1,BS연결H,0),0)/100,"")</f>
        <v/>
      </c>
      <c r="P7" s="37">
        <f>IFERROR(VLOOKUP($D7,BS연결,MATCH(P$1,BS연결H,0),0)/100,"")</f>
        <v/>
      </c>
      <c r="Q7" s="18">
        <f>IFERROR(VLOOKUP($D7,BS연결,MATCH(Q$1,BS연결H,0),0)/100,"")</f>
        <v/>
      </c>
      <c r="R7" s="18">
        <f>IFERROR(VLOOKUP($D7,BS연결,MATCH(R$1,BS연결H,0),0)/100,"")</f>
        <v/>
      </c>
      <c r="S7" s="18">
        <f>IFERROR(VLOOKUP($D7,BS연결,MATCH(S$1,BS연결H,0),0)/100,"")</f>
        <v/>
      </c>
      <c r="T7" s="18">
        <f>IFERROR(VLOOKUP($D7,BS연결,MATCH(T$1,BS연결H,0),0)/100,"")</f>
        <v/>
      </c>
      <c r="U7" s="37">
        <f>IFERROR(VLOOKUP($D7,BS연결,MATCH(U$1,BS연결H,0),0)/100,"")</f>
        <v/>
      </c>
      <c r="V7" s="18">
        <f>IFERROR(VLOOKUP($D7,BS연결,MATCH(V$1,BS연결H,0),0)/100,"")</f>
        <v/>
      </c>
      <c r="W7" s="18">
        <f>IFERROR(VLOOKUP($D7,BS연결,MATCH(W$1,BS연결H,0),0)/100,"")</f>
        <v/>
      </c>
      <c r="X7" s="18">
        <f>IFERROR(VLOOKUP($D7,BS연결,MATCH(X$1,BS연결H,0),0)/100,"")</f>
        <v/>
      </c>
      <c r="Y7" s="18">
        <f>IFERROR(VLOOKUP($D7,BS연결,MATCH(Y$1,BS연결H,0),0)/100,"")</f>
        <v/>
      </c>
      <c r="Z7" s="37">
        <f>IFERROR(VLOOKUP($D7,BS연결,MATCH(Z$1,BS연결H,0),0)/100,"")</f>
        <v/>
      </c>
      <c r="AA7" s="18">
        <f>IFERROR(VLOOKUP($D7,BS연결,MATCH(AA$1,BS연결H,0),0)/100,"")</f>
        <v/>
      </c>
      <c r="AB7" s="19">
        <f>IFERROR(VLOOKUP($D7,BS연결,MATCH(AB$1,BS연결H,0),0)/100,"")</f>
        <v/>
      </c>
      <c r="AC7" s="20">
        <f>IFERROR(AC9+AC8,"")</f>
        <v/>
      </c>
      <c r="AD7" s="20">
        <f>IFERROR(AD9+AD8,"")</f>
        <v/>
      </c>
      <c r="AE7" s="38">
        <f>SUM(AA7:AD7)</f>
        <v/>
      </c>
      <c r="AF7" s="20">
        <f>IFERROR(AF9+AF8,"")</f>
        <v/>
      </c>
      <c r="AG7" s="20">
        <f>IFERROR(AG9+AG8,"")</f>
        <v/>
      </c>
      <c r="AH7" s="20">
        <f>IFERROR(AH9+AH8,"")</f>
        <v/>
      </c>
      <c r="AI7" s="20">
        <f>IFERROR(AI9+AI8,"")</f>
        <v/>
      </c>
      <c r="AJ7" s="38">
        <f>SUM(AF7:AI7)</f>
        <v/>
      </c>
      <c r="AK7" s="20">
        <f>IFERROR(AK9+AK8,"")</f>
        <v/>
      </c>
      <c r="AL7" s="20">
        <f>IFERROR(AL9+AL8,"")</f>
        <v/>
      </c>
      <c r="AM7" s="20">
        <f>IFERROR(AM9+AM8,"")</f>
        <v/>
      </c>
      <c r="AN7" s="20">
        <f>IFERROR(AN9+AN8,"")</f>
        <v/>
      </c>
      <c r="AO7" s="38">
        <f>SUM(AK7:AN7)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>
        <f>IFERROR(VLOOKUP($D8,BS연결,MATCH(E$1,BS연결H,0),0)/100,"")</f>
        <v/>
      </c>
      <c r="F8" s="37" t="n"/>
      <c r="G8" s="18">
        <f>IFERROR(VLOOKUP($D8,BS연결,MATCH(G$1,BS연결H,0),0)/100,"")</f>
        <v/>
      </c>
      <c r="H8" s="18">
        <f>IFERROR(VLOOKUP($D8,BS연결,MATCH(H$1,BS연결H,0),0)/100,"")</f>
        <v/>
      </c>
      <c r="I8" s="18">
        <f>IFERROR(VLOOKUP($D8,BS연결,MATCH(I$1,BS연결H,0),0)/100,"")</f>
        <v/>
      </c>
      <c r="J8" s="18">
        <f>IFERROR(VLOOKUP($D8,BS연결,MATCH(J$1,BS연결H,0),0)/100,"")</f>
        <v/>
      </c>
      <c r="K8" s="37">
        <f>IFERROR(VLOOKUP($D8,BS연결,MATCH(K$1,BS연결H,0),0)/100,"")</f>
        <v/>
      </c>
      <c r="L8" s="18">
        <f>IFERROR(VLOOKUP($D8,BS연결,MATCH(L$1,BS연결H,0),0)/100,"")</f>
        <v/>
      </c>
      <c r="M8" s="18">
        <f>IFERROR(VLOOKUP($D8,BS연결,MATCH(M$1,BS연결H,0),0)/100,"")</f>
        <v/>
      </c>
      <c r="N8" s="18">
        <f>IFERROR(VLOOKUP($D8,BS연결,MATCH(N$1,BS연결H,0),0)/100,"")</f>
        <v/>
      </c>
      <c r="O8" s="18">
        <f>IFERROR(VLOOKUP($D8,BS연결,MATCH(O$1,BS연결H,0),0)/100,"")</f>
        <v/>
      </c>
      <c r="P8" s="37">
        <f>IFERROR(VLOOKUP($D8,BS연결,MATCH(P$1,BS연결H,0),0)/100,"")</f>
        <v/>
      </c>
      <c r="Q8" s="18">
        <f>IFERROR(VLOOKUP($D8,BS연결,MATCH(Q$1,BS연결H,0),0)/100,"")</f>
        <v/>
      </c>
      <c r="R8" s="18">
        <f>IFERROR(VLOOKUP($D8,BS연결,MATCH(R$1,BS연결H,0),0)/100,"")</f>
        <v/>
      </c>
      <c r="S8" s="18">
        <f>IFERROR(VLOOKUP($D8,BS연결,MATCH(S$1,BS연결H,0),0)/100,"")</f>
        <v/>
      </c>
      <c r="T8" s="18">
        <f>IFERROR(VLOOKUP($D8,BS연결,MATCH(T$1,BS연결H,0),0)/100,"")</f>
        <v/>
      </c>
      <c r="U8" s="37">
        <f>IFERROR(VLOOKUP($D8,BS연결,MATCH(U$1,BS연결H,0),0)/100,"")</f>
        <v/>
      </c>
      <c r="V8" s="18">
        <f>IFERROR(VLOOKUP($D8,BS연결,MATCH(V$1,BS연결H,0),0)/100,"")</f>
        <v/>
      </c>
      <c r="W8" s="18">
        <f>IFERROR(VLOOKUP($D8,BS연결,MATCH(W$1,BS연결H,0),0)/100,"")</f>
        <v/>
      </c>
      <c r="X8" s="18">
        <f>IFERROR(VLOOKUP($D8,BS연결,MATCH(X$1,BS연결H,0),0)/100,"")</f>
        <v/>
      </c>
      <c r="Y8" s="18">
        <f>IFERROR(VLOOKUP($D8,BS연결,MATCH(Y$1,BS연결H,0),0)/100,"")</f>
        <v/>
      </c>
      <c r="Z8" s="37">
        <f>IFERROR(VLOOKUP($D8,BS연결,MATCH(Z$1,BS연결H,0),0)/100,"")</f>
        <v/>
      </c>
      <c r="AA8" s="18">
        <f>IFERROR(VLOOKUP($D8,BS연결,MATCH(AA$1,BS연결H,0),0)/100,"")</f>
        <v/>
      </c>
      <c r="AB8" s="19">
        <f>IFERROR(VLOOKUP($D8,BS연결,MATCH(AB$1,BS연결H,0),0)/100,"")</f>
        <v/>
      </c>
      <c r="AC8" s="20">
        <f>IFERROR(AC5*변수!AC22,"")</f>
        <v/>
      </c>
      <c r="AD8" s="20">
        <f>IFERROR(AD5*변수!AD22,"")</f>
        <v/>
      </c>
      <c r="AE8" s="38">
        <f>SUM(AA8:AD8)</f>
        <v/>
      </c>
      <c r="AF8" s="20">
        <f>IFERROR(AF5*변수!AF22,"")</f>
        <v/>
      </c>
      <c r="AG8" s="20">
        <f>IFERROR(AG5*변수!AG22,"")</f>
        <v/>
      </c>
      <c r="AH8" s="20">
        <f>IFERROR(AH5*변수!AH22,"")</f>
        <v/>
      </c>
      <c r="AI8" s="20">
        <f>IFERROR(AI5*변수!AI22,"")</f>
        <v/>
      </c>
      <c r="AJ8" s="38">
        <f>SUM(AF8:AI8)</f>
        <v/>
      </c>
      <c r="AK8" s="20">
        <f>IFERROR(AK5*변수!AK22,"")</f>
        <v/>
      </c>
      <c r="AL8" s="20">
        <f>IFERROR(AL5*변수!AL22,"")</f>
        <v/>
      </c>
      <c r="AM8" s="20">
        <f>IFERROR(AM5*변수!AM22,"")</f>
        <v/>
      </c>
      <c r="AN8" s="20">
        <f>IFERROR(AN5*변수!AN22,"")</f>
        <v/>
      </c>
      <c r="AO8" s="38">
        <f>SUM(AK8:AN8)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>
        <f>IFERROR(VLOOKUP($D9,BS연결,MATCH(E$1,BS연결H,0),0)/100,"")</f>
        <v/>
      </c>
      <c r="F9" s="37" t="n"/>
      <c r="G9" s="18">
        <f>IFERROR(VLOOKUP($D9,BS연결,MATCH(G$1,BS연결H,0),0)/100,"")</f>
        <v/>
      </c>
      <c r="H9" s="18">
        <f>IFERROR(VLOOKUP($D9,BS연결,MATCH(H$1,BS연결H,0),0)/100,"")</f>
        <v/>
      </c>
      <c r="I9" s="18">
        <f>IFERROR(VLOOKUP($D9,BS연결,MATCH(I$1,BS연결H,0),0)/100,"")</f>
        <v/>
      </c>
      <c r="J9" s="18">
        <f>IFERROR(VLOOKUP($D9,BS연결,MATCH(J$1,BS연결H,0),0)/100,"")</f>
        <v/>
      </c>
      <c r="K9" s="37">
        <f>IFERROR(VLOOKUP($D9,BS연결,MATCH(K$1,BS연결H,0),0)/100,"")</f>
        <v/>
      </c>
      <c r="L9" s="18">
        <f>IFERROR(VLOOKUP($D9,BS연결,MATCH(L$1,BS연결H,0),0)/100,"")</f>
        <v/>
      </c>
      <c r="M9" s="18">
        <f>IFERROR(VLOOKUP($D9,BS연결,MATCH(M$1,BS연결H,0),0)/100,"")</f>
        <v/>
      </c>
      <c r="N9" s="18">
        <f>IFERROR(VLOOKUP($D9,BS연결,MATCH(N$1,BS연결H,0),0)/100,"")</f>
        <v/>
      </c>
      <c r="O9" s="18">
        <f>IFERROR(VLOOKUP($D9,BS연결,MATCH(O$1,BS연결H,0),0)/100,"")</f>
        <v/>
      </c>
      <c r="P9" s="37">
        <f>IFERROR(VLOOKUP($D9,BS연결,MATCH(P$1,BS연결H,0),0)/100,"")</f>
        <v/>
      </c>
      <c r="Q9" s="18">
        <f>IFERROR(VLOOKUP($D9,BS연결,MATCH(Q$1,BS연결H,0),0)/100,"")</f>
        <v/>
      </c>
      <c r="R9" s="18">
        <f>IFERROR(VLOOKUP($D9,BS연결,MATCH(R$1,BS연결H,0),0)/100,"")</f>
        <v/>
      </c>
      <c r="S9" s="18">
        <f>IFERROR(VLOOKUP($D9,BS연결,MATCH(S$1,BS연결H,0),0)/100,"")</f>
        <v/>
      </c>
      <c r="T9" s="18">
        <f>IFERROR(VLOOKUP($D9,BS연결,MATCH(T$1,BS연결H,0),0)/100,"")</f>
        <v/>
      </c>
      <c r="U9" s="37">
        <f>IFERROR(VLOOKUP($D9,BS연결,MATCH(U$1,BS연결H,0),0)/100,"")</f>
        <v/>
      </c>
      <c r="V9" s="18">
        <f>IFERROR(VLOOKUP($D9,BS연결,MATCH(V$1,BS연결H,0),0)/100,"")</f>
        <v/>
      </c>
      <c r="W9" s="18">
        <f>IFERROR(VLOOKUP($D9,BS연결,MATCH(W$1,BS연결H,0),0)/100,"")</f>
        <v/>
      </c>
      <c r="X9" s="18">
        <f>IFERROR(VLOOKUP($D9,BS연결,MATCH(X$1,BS연결H,0),0)/100,"")</f>
        <v/>
      </c>
      <c r="Y9" s="18">
        <f>IFERROR(VLOOKUP($D9,BS연결,MATCH(Y$1,BS연결H,0),0)/100,"")</f>
        <v/>
      </c>
      <c r="Z9" s="37">
        <f>IFERROR(VLOOKUP($D9,BS연결,MATCH(Z$1,BS연결H,0),0)/100,"")</f>
        <v/>
      </c>
      <c r="AA9" s="18">
        <f>IFERROR(VLOOKUP($D9,BS연결,MATCH(AA$1,BS연결H,0),0)/100,"")</f>
        <v/>
      </c>
      <c r="AB9" s="19">
        <f>IFERROR(VLOOKUP($D9,BS연결,MATCH(AB$1,BS연결H,0),0)/100,"")</f>
        <v/>
      </c>
      <c r="AC9" s="20">
        <f>IFERROR(AC5*변수!AC23,"")</f>
        <v/>
      </c>
      <c r="AD9" s="20">
        <f>IFERROR(AD5*변수!AD23,"")</f>
        <v/>
      </c>
      <c r="AE9" s="38">
        <f>SUM(AA9:AD9)</f>
        <v/>
      </c>
      <c r="AF9" s="20">
        <f>IFERROR(AF5*변수!AF23,"")</f>
        <v/>
      </c>
      <c r="AG9" s="20">
        <f>IFERROR(AG5*변수!AG23,"")</f>
        <v/>
      </c>
      <c r="AH9" s="20">
        <f>IFERROR(AH5*변수!AH23,"")</f>
        <v/>
      </c>
      <c r="AI9" s="20">
        <f>IFERROR(AI5*변수!AI23,"")</f>
        <v/>
      </c>
      <c r="AJ9" s="38">
        <f>SUM(AF9:AI9)</f>
        <v/>
      </c>
      <c r="AK9" s="20">
        <f>IFERROR(AK5*변수!AK23,"")</f>
        <v/>
      </c>
      <c r="AL9" s="20">
        <f>IFERROR(AL5*변수!AL23,"")</f>
        <v/>
      </c>
      <c r="AM9" s="20">
        <f>IFERROR(AM5*변수!AM23,"")</f>
        <v/>
      </c>
      <c r="AN9" s="20">
        <f>IFERROR(AN5*변수!AN23,"")</f>
        <v/>
      </c>
      <c r="AO9" s="38">
        <f>SUM(AK9:AN9)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21">
        <f>IFERROR(E9/E5,"")</f>
        <v/>
      </c>
      <c r="F10" s="22" t="n"/>
      <c r="G10" s="21">
        <f>IFERROR(G9/G5,"")</f>
        <v/>
      </c>
      <c r="H10" s="21">
        <f>IFERROR(H9/H5,"")</f>
        <v/>
      </c>
      <c r="I10" s="21">
        <f>IFERROR(I9/I5,"")</f>
        <v/>
      </c>
      <c r="J10" s="21">
        <f>IFERROR(J9/J5,"")</f>
        <v/>
      </c>
      <c r="K10" s="22">
        <f>IFERROR(K9/K5,"")</f>
        <v/>
      </c>
      <c r="L10" s="21">
        <f>IFERROR(L9/L5,"")</f>
        <v/>
      </c>
      <c r="M10" s="21">
        <f>IFERROR(M9/M5,"")</f>
        <v/>
      </c>
      <c r="N10" s="21">
        <f>IFERROR(N9/N5,"")</f>
        <v/>
      </c>
      <c r="O10" s="21">
        <f>IFERROR(O9/O5,"")</f>
        <v/>
      </c>
      <c r="P10" s="22">
        <f>IFERROR(P9/P5,"")</f>
        <v/>
      </c>
      <c r="Q10" s="21">
        <f>IFERROR(Q9/Q5,"")</f>
        <v/>
      </c>
      <c r="R10" s="21">
        <f>IFERROR(R9/R5,"")</f>
        <v/>
      </c>
      <c r="S10" s="21">
        <f>IFERROR(S9/S5,"")</f>
        <v/>
      </c>
      <c r="T10" s="21">
        <f>IFERROR(T9/T5,"")</f>
        <v/>
      </c>
      <c r="U10" s="22">
        <f>IFERROR(U9/U5,"")</f>
        <v/>
      </c>
      <c r="V10" s="21">
        <f>IFERROR(V9/V5,"")</f>
        <v/>
      </c>
      <c r="W10" s="21">
        <f>IFERROR(W9/W5,"")</f>
        <v/>
      </c>
      <c r="X10" s="21">
        <f>IFERROR(X9/X5,"")</f>
        <v/>
      </c>
      <c r="Y10" s="21">
        <f>IFERROR(Y9/Y5,"")</f>
        <v/>
      </c>
      <c r="Z10" s="22">
        <f>IFERROR(Z9/Z5,"")</f>
        <v/>
      </c>
      <c r="AA10" s="21">
        <f>IFERROR(AA9/AA5,"")</f>
        <v/>
      </c>
      <c r="AB10" s="23">
        <f>IFERROR(AB9/AB5,"")</f>
        <v/>
      </c>
      <c r="AC10" s="32">
        <f>IFERROR(AC9/AC5,"")</f>
        <v/>
      </c>
      <c r="AD10" s="32">
        <f>IFERROR(AD9/AD5,"")</f>
        <v/>
      </c>
      <c r="AE10" s="25">
        <f>IFERROR(AE9/AE5,"")</f>
        <v/>
      </c>
      <c r="AF10" s="32">
        <f>IFERROR(AF9/AF5,"")</f>
        <v/>
      </c>
      <c r="AG10" s="32">
        <f>IFERROR(AG9/AG5,"")</f>
        <v/>
      </c>
      <c r="AH10" s="32">
        <f>IFERROR(AH9/AH5,"")</f>
        <v/>
      </c>
      <c r="AI10" s="32">
        <f>IFERROR(AI9/AI5,"")</f>
        <v/>
      </c>
      <c r="AJ10" s="25">
        <f>IFERROR(AJ9/AJ5,"")</f>
        <v/>
      </c>
      <c r="AK10" s="32">
        <f>IFERROR(AK9/AK5,"")</f>
        <v/>
      </c>
      <c r="AL10" s="32">
        <f>IFERROR(AL9/AL5,"")</f>
        <v/>
      </c>
      <c r="AM10" s="32">
        <f>IFERROR(AM9/AM5,"")</f>
        <v/>
      </c>
      <c r="AN10" s="32">
        <f>IFERROR(AN9/AN5,"")</f>
        <v/>
      </c>
      <c r="AO10" s="25">
        <f>IFERROR(AO9/AO5,"")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>
        <f>IFERROR(VLOOKUP($D11,BS연결,MATCH(E$1,BS연결H,0),0)/100,"")</f>
        <v/>
      </c>
      <c r="F11" s="37" t="n"/>
      <c r="G11" s="18">
        <f>IFERROR(VLOOKUP($D11,BS연결,MATCH(G$1,BS연결H,0),0)/100,"")</f>
        <v/>
      </c>
      <c r="H11" s="18">
        <f>IFERROR(VLOOKUP($D11,BS연결,MATCH(H$1,BS연결H,0),0)/100,"")</f>
        <v/>
      </c>
      <c r="I11" s="18">
        <f>IFERROR(VLOOKUP($D11,BS연결,MATCH(I$1,BS연결H,0),0)/100,"")</f>
        <v/>
      </c>
      <c r="J11" s="18">
        <f>IFERROR(VLOOKUP($D11,BS연결,MATCH(J$1,BS연결H,0),0)/100,"")</f>
        <v/>
      </c>
      <c r="K11" s="37">
        <f>IFERROR(VLOOKUP($D11,BS연결,MATCH(K$1,BS연결H,0),0)/100,"")</f>
        <v/>
      </c>
      <c r="L11" s="18">
        <f>IFERROR(VLOOKUP($D11,BS연결,MATCH(L$1,BS연결H,0),0)/100,"")</f>
        <v/>
      </c>
      <c r="M11" s="18">
        <f>IFERROR(VLOOKUP($D11,BS연결,MATCH(M$1,BS연결H,0),0)/100,"")</f>
        <v/>
      </c>
      <c r="N11" s="18">
        <f>IFERROR(VLOOKUP($D11,BS연결,MATCH(N$1,BS연결H,0),0)/100,"")</f>
        <v/>
      </c>
      <c r="O11" s="18">
        <f>IFERROR(VLOOKUP($D11,BS연결,MATCH(O$1,BS연결H,0),0)/100,"")</f>
        <v/>
      </c>
      <c r="P11" s="37">
        <f>IFERROR(VLOOKUP($D11,BS연결,MATCH(P$1,BS연결H,0),0)/100,"")</f>
        <v/>
      </c>
      <c r="Q11" s="18">
        <f>IFERROR(VLOOKUP($D11,BS연결,MATCH(Q$1,BS연결H,0),0)/100,"")</f>
        <v/>
      </c>
      <c r="R11" s="18">
        <f>IFERROR(VLOOKUP($D11,BS연결,MATCH(R$1,BS연결H,0),0)/100,"")</f>
        <v/>
      </c>
      <c r="S11" s="18">
        <f>IFERROR(VLOOKUP($D11,BS연결,MATCH(S$1,BS연결H,0),0)/100,"")</f>
        <v/>
      </c>
      <c r="T11" s="18">
        <f>IFERROR(VLOOKUP($D11,BS연결,MATCH(T$1,BS연결H,0),0)/100,"")</f>
        <v/>
      </c>
      <c r="U11" s="37">
        <f>IFERROR(VLOOKUP($D11,BS연결,MATCH(U$1,BS연결H,0),0)/100,"")</f>
        <v/>
      </c>
      <c r="V11" s="18">
        <f>IFERROR(VLOOKUP($D11,BS연결,MATCH(V$1,BS연결H,0),0)/100,"")</f>
        <v/>
      </c>
      <c r="W11" s="18">
        <f>IFERROR(VLOOKUP($D11,BS연결,MATCH(W$1,BS연결H,0),0)/100,"")</f>
        <v/>
      </c>
      <c r="X11" s="18">
        <f>IFERROR(VLOOKUP($D11,BS연결,MATCH(X$1,BS연결H,0),0)/100,"")</f>
        <v/>
      </c>
      <c r="Y11" s="18">
        <f>IFERROR(VLOOKUP($D11,BS연결,MATCH(Y$1,BS연결H,0),0)/100,"")</f>
        <v/>
      </c>
      <c r="Z11" s="37">
        <f>IFERROR(VLOOKUP($D11,BS연결,MATCH(Z$1,BS연결H,0),0)/100,"")</f>
        <v/>
      </c>
      <c r="AA11" s="18">
        <f>IFERROR(VLOOKUP($D11,BS연결,MATCH(AA$1,BS연결H,0),0)/100,"")</f>
        <v/>
      </c>
      <c r="AB11" s="19">
        <f>IFERROR(VLOOKUP($D11,BS연결,MATCH(AB$1,BS연결H,0),0)/100,"")</f>
        <v/>
      </c>
      <c r="AC11" s="20">
        <f>IFERROR(AC12+AC13+AC14+AC15,"")</f>
        <v/>
      </c>
      <c r="AD11" s="20">
        <f>IFERROR(AD12+AD13+AD14+AD15,"")</f>
        <v/>
      </c>
      <c r="AE11" s="38">
        <f>SUM(AA11:AD11)</f>
        <v/>
      </c>
      <c r="AF11" s="20">
        <f>IFERROR(AF12+AF13+AF14+AF15,"")</f>
        <v/>
      </c>
      <c r="AG11" s="20">
        <f>IFERROR(AG12+AG13+AG14+AG15,"")</f>
        <v/>
      </c>
      <c r="AH11" s="20">
        <f>IFERROR(AH12+AH13+AH14+AH15,"")</f>
        <v/>
      </c>
      <c r="AI11" s="20">
        <f>IFERROR(AI12+AI13+AI14+AI15,"")</f>
        <v/>
      </c>
      <c r="AJ11" s="38">
        <f>SUM(AF11:AI11)</f>
        <v/>
      </c>
      <c r="AK11" s="20">
        <f>IFERROR(AK12+AK13+AK14+AK15,"")</f>
        <v/>
      </c>
      <c r="AL11" s="20">
        <f>IFERROR(AL12+AL13+AL14+AL15,"")</f>
        <v/>
      </c>
      <c r="AM11" s="20">
        <f>IFERROR(AM12+AM13+AM14+AM15,"")</f>
        <v/>
      </c>
      <c r="AN11" s="20">
        <f>IFERROR(AN12+AN13+AN14+AN15,"")</f>
        <v/>
      </c>
      <c r="AO11" s="38">
        <f>SUM(AK11:AN11)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 t="n"/>
      <c r="F12" s="37" t="n"/>
      <c r="G12" s="18">
        <f>IFERROR(VLOOKUP($D12,BS연결,MATCH(G$1,BS연결H,0),0)/100,"")</f>
        <v/>
      </c>
      <c r="H12" s="18">
        <f>IFERROR(VLOOKUP($D12,BS연결,MATCH(H$1,BS연결H,0),0)/100,"")</f>
        <v/>
      </c>
      <c r="I12" s="18">
        <f>IFERROR(VLOOKUP($D12,BS연결,MATCH(I$1,BS연결H,0),0)/100,"")</f>
        <v/>
      </c>
      <c r="J12" s="18">
        <f>IFERROR(VLOOKUP($D12,BS연결,MATCH(J$1,BS연결H,0),0)/100,"")</f>
        <v/>
      </c>
      <c r="K12" s="37">
        <f>IFERROR(VLOOKUP($D12,BS연결,MATCH(K$1,BS연결H,0),0)/100,"")</f>
        <v/>
      </c>
      <c r="L12" s="18">
        <f>IFERROR(VLOOKUP($D12,BS연결,MATCH(L$1,BS연결H,0),0)/100,"")</f>
        <v/>
      </c>
      <c r="M12" s="18">
        <f>IFERROR(VLOOKUP($D12,BS연결,MATCH(M$1,BS연결H,0),0)/100,"")</f>
        <v/>
      </c>
      <c r="N12" s="18">
        <f>IFERROR(VLOOKUP($D12,BS연결,MATCH(N$1,BS연결H,0),0)/100,"")</f>
        <v/>
      </c>
      <c r="O12" s="18">
        <f>IFERROR(VLOOKUP($D12,BS연결,MATCH(O$1,BS연결H,0),0)/100,"")</f>
        <v/>
      </c>
      <c r="P12" s="37">
        <f>IFERROR(VLOOKUP($D12,BS연결,MATCH(P$1,BS연결H,0),0)/100,"")</f>
        <v/>
      </c>
      <c r="Q12" s="18">
        <f>IFERROR(VLOOKUP($D12,BS연결,MATCH(Q$1,BS연결H,0),0)/100,"")</f>
        <v/>
      </c>
      <c r="R12" s="18">
        <f>IFERROR(VLOOKUP($D12,BS연결,MATCH(R$1,BS연결H,0),0)/100,"")</f>
        <v/>
      </c>
      <c r="S12" s="18">
        <f>IFERROR(VLOOKUP($D12,BS연결,MATCH(S$1,BS연결H,0),0)/100,"")</f>
        <v/>
      </c>
      <c r="T12" s="18">
        <f>IFERROR(VLOOKUP($D12,BS연결,MATCH(T$1,BS연결H,0),0)/100,"")</f>
        <v/>
      </c>
      <c r="U12" s="37">
        <f>IFERROR(VLOOKUP($D12,BS연결,MATCH(U$1,BS연결H,0),0)/100,"")</f>
        <v/>
      </c>
      <c r="V12" s="18">
        <f>IFERROR(VLOOKUP($D12,BS연결,MATCH(V$1,BS연결H,0),0)/100,"")</f>
        <v/>
      </c>
      <c r="W12" s="18">
        <f>IFERROR(VLOOKUP($D12,BS연결,MATCH(W$1,BS연결H,0),0)/100,"")</f>
        <v/>
      </c>
      <c r="X12" s="18">
        <f>IFERROR(VLOOKUP($D12,BS연결,MATCH(X$1,BS연결H,0),0)/100,"")</f>
        <v/>
      </c>
      <c r="Y12" s="18">
        <f>IFERROR(VLOOKUP($D12,BS연결,MATCH(Y$1,BS연결H,0),0)/100,"")</f>
        <v/>
      </c>
      <c r="Z12" s="37">
        <f>IFERROR(VLOOKUP($D12,BS연결,MATCH(Z$1,BS연결H,0),0)/100,"")</f>
        <v/>
      </c>
      <c r="AA12" s="18">
        <f>IFERROR(VLOOKUP($D12,BS연결,MATCH(AA$1,BS연결H,0),0)/100,"")</f>
        <v/>
      </c>
      <c r="AB12" s="19">
        <f>IFERROR(VLOOKUP($D12,BS연결,MATCH(AB$1,BS연결H,0),0)/100,"")</f>
        <v/>
      </c>
      <c r="AC12" s="20">
        <f>IFERROR((AB27*변수!$D$53-AB25*변수!$D$54)/4,"")</f>
        <v/>
      </c>
      <c r="AD12" s="20">
        <f>IFERROR((AC27*변수!$D$53-AC25*변수!$D$54)/4,"")</f>
        <v/>
      </c>
      <c r="AE12" s="38">
        <f>SUM(AA12:AD12)</f>
        <v/>
      </c>
      <c r="AF12" s="20">
        <f>IFERROR((AD27*변수!$D$53-AD25*변수!$D$54)/4,"")</f>
        <v/>
      </c>
      <c r="AG12" s="20">
        <f>IFERROR((AF27*변수!$D$53-AF25*변수!$D$54)/4,"")</f>
        <v/>
      </c>
      <c r="AH12" s="20">
        <f>IFERROR((AG27*변수!$D$53-AG25*변수!$D$54)/4,"")</f>
        <v/>
      </c>
      <c r="AI12" s="20">
        <f>IFERROR((AH27*변수!$D$53-AH25*변수!$D$54)/4,"")</f>
        <v/>
      </c>
      <c r="AJ12" s="38">
        <f>SUM(AF12:AI12)</f>
        <v/>
      </c>
      <c r="AK12" s="20">
        <f>IFERROR((AI27*변수!$D$53-AI25*변수!$D$54)/4,"")</f>
        <v/>
      </c>
      <c r="AL12" s="20">
        <f>IFERROR((AK27*변수!$D$53-AK25*변수!$D$54)/4,"")</f>
        <v/>
      </c>
      <c r="AM12" s="20">
        <f>IFERROR((AL27*변수!$D$53-AL25*변수!$D$54)/4,"")</f>
        <v/>
      </c>
      <c r="AN12" s="20">
        <f>IFERROR((AM27*변수!$D$53-AM25*변수!$D$54)/4,"")</f>
        <v/>
      </c>
      <c r="AO12" s="38">
        <f>SUM(AK12:AN12)</f>
        <v/>
      </c>
    </row>
    <row r="13">
      <c r="A13" s="12" t="inlineStr">
        <is>
          <t>외환손익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외환손익(실적만; 추정 환효과는 환관련손익)</t>
        </is>
      </c>
      <c r="E13" s="18" t="n"/>
      <c r="F13" s="37" t="n"/>
      <c r="G13" s="18">
        <f>IFERROR((VLOOKUP("외환차익",BS연결,MATCH(G$1,BS연결H,0),0)-VLOOKUP("외환차손",BS연결,MATCH(G$1,BS연결H,0),0)+VLOOKUP("외화환산이익",BS연결,MATCH(G$1,BS연결H,0),0)-VLOOKUP("외화환산손실",BS연결,MATCH(G$1,BS연결H,0),0))/100,"")</f>
        <v/>
      </c>
      <c r="H13" s="18">
        <f>IFERROR((VLOOKUP("외환차익",BS연결,MATCH(H$1,BS연결H,0),0)-VLOOKUP("외환차손",BS연결,MATCH(H$1,BS연결H,0),0)+VLOOKUP("외화환산이익",BS연결,MATCH(H$1,BS연결H,0),0)-VLOOKUP("외화환산손실",BS연결,MATCH(H$1,BS연결H,0),0))/100,"")</f>
        <v/>
      </c>
      <c r="I13" s="18">
        <f>IFERROR((VLOOKUP("외환차익",BS연결,MATCH(I$1,BS연결H,0),0)-VLOOKUP("외환차손",BS연결,MATCH(I$1,BS연결H,0),0)+VLOOKUP("외화환산이익",BS연결,MATCH(I$1,BS연결H,0),0)-VLOOKUP("외화환산손실",BS연결,MATCH(I$1,BS연결H,0),0))/100,"")</f>
        <v/>
      </c>
      <c r="J13" s="18">
        <f>IFERROR((VLOOKUP("외환차익",BS연결,MATCH(J$1,BS연결H,0),0)-VLOOKUP("외환차손",BS연결,MATCH(J$1,BS연결H,0),0)+VLOOKUP("외화환산이익",BS연결,MATCH(J$1,BS연결H,0),0)-VLOOKUP("외화환산손실",BS연결,MATCH(J$1,BS연결H,0),0))/100,"")</f>
        <v/>
      </c>
      <c r="K13" s="37">
        <f>SUM(G13:J13)</f>
        <v/>
      </c>
      <c r="L13" s="18">
        <f>IFERROR((VLOOKUP("외환차익",BS연결,MATCH(L$1,BS연결H,0),0)-VLOOKUP("외환차손",BS연결,MATCH(L$1,BS연결H,0),0)+VLOOKUP("외화환산이익",BS연결,MATCH(L$1,BS연결H,0),0)-VLOOKUP("외화환산손실",BS연결,MATCH(L$1,BS연결H,0),0))/100,"")</f>
        <v/>
      </c>
      <c r="M13" s="18" t="n"/>
      <c r="N13" s="18">
        <f>IFERROR((VLOOKUP("외환차익",BS연결,MATCH(N$1,BS연결H,0),0)-VLOOKUP("외환차손",BS연결,MATCH(N$1,BS연결H,0),0)+VLOOKUP("외화환산이익",BS연결,MATCH(N$1,BS연결H,0),0)-VLOOKUP("외화환산손실",BS연결,MATCH(N$1,BS연결H,0),0))/100,"")</f>
        <v/>
      </c>
      <c r="O13" s="18">
        <f>IFERROR((VLOOKUP("외환차익",BS연결,MATCH(O$1,BS연결H,0),0)-VLOOKUP("외환차손",BS연결,MATCH(O$1,BS연결H,0),0)+VLOOKUP("외화환산이익",BS연결,MATCH(O$1,BS연결H,0),0)-VLOOKUP("외화환산손실",BS연결,MATCH(O$1,BS연결H,0),0))/100,"")</f>
        <v/>
      </c>
      <c r="P13" s="37">
        <f>SUM(L13:O13)</f>
        <v/>
      </c>
      <c r="Q13" s="18">
        <f>IFERROR((VLOOKUP("외환차익",BS연결,MATCH(Q$1,BS연결H,0),0)-VLOOKUP("외환차손",BS연결,MATCH(Q$1,BS연결H,0),0)+VLOOKUP("외화환산이익",BS연결,MATCH(Q$1,BS연결H,0),0)-VLOOKUP("외화환산손실",BS연결,MATCH(Q$1,BS연결H,0),0))/100,"")</f>
        <v/>
      </c>
      <c r="R13" s="18" t="n"/>
      <c r="S13" s="18">
        <f>IFERROR((VLOOKUP("외환차익",BS연결,MATCH(S$1,BS연결H,0),0)-VLOOKUP("외환차손",BS연결,MATCH(S$1,BS연결H,0),0)+VLOOKUP("외화환산이익",BS연결,MATCH(S$1,BS연결H,0),0)-VLOOKUP("외화환산손실",BS연결,MATCH(S$1,BS연결H,0),0))/100,"")</f>
        <v/>
      </c>
      <c r="T13" s="18">
        <f>IFERROR((VLOOKUP("외환차익",BS연결,MATCH(T$1,BS연결H,0),0)-VLOOKUP("외환차손",BS연결,MATCH(T$1,BS연결H,0),0)+VLOOKUP("외화환산이익",BS연결,MATCH(T$1,BS연결H,0),0)-VLOOKUP("외화환산손실",BS연결,MATCH(T$1,BS연결H,0),0))/100,"")</f>
        <v/>
      </c>
      <c r="U13" s="37">
        <f>SUM(Q13:T13)</f>
        <v/>
      </c>
      <c r="V13" s="18">
        <f>IFERROR((VLOOKUP("외환차익",BS연결,MATCH(V$1,BS연결H,0),0)-VLOOKUP("외환차손",BS연결,MATCH(V$1,BS연결H,0),0)+VLOOKUP("외화환산이익",BS연결,MATCH(V$1,BS연결H,0),0)-VLOOKUP("외화환산손실",BS연결,MATCH(V$1,BS연결H,0),0))/100,"")</f>
        <v/>
      </c>
      <c r="W13" s="18">
        <f>IFERROR((VLOOKUP("외환차익",BS연결,MATCH(W$1,BS연결H,0),0)-VLOOKUP("외환차손",BS연결,MATCH(W$1,BS연결H,0),0)+VLOOKUP("외화환산이익",BS연결,MATCH(W$1,BS연결H,0),0)-VLOOKUP("외화환산손실",BS연결,MATCH(W$1,BS연결H,0),0))/100,"")</f>
        <v/>
      </c>
      <c r="X13" s="18">
        <f>IFERROR((VLOOKUP("외환차익",BS연결,MATCH(X$1,BS연결H,0),0)-VLOOKUP("외환차손",BS연결,MATCH(X$1,BS연결H,0),0)+VLOOKUP("외화환산이익",BS연결,MATCH(X$1,BS연결H,0),0)-VLOOKUP("외화환산손실",BS연결,MATCH(X$1,BS연결H,0),0))/100,"")</f>
        <v/>
      </c>
      <c r="Y13" s="18">
        <f>IFERROR((VLOOKUP("외환차익",BS연결,MATCH(Y$1,BS연결H,0),0)-VLOOKUP("외환차손",BS연결,MATCH(Y$1,BS연결H,0),0)+VLOOKUP("외화환산이익",BS연결,MATCH(Y$1,BS연결H,0),0)-VLOOKUP("외화환산손실",BS연결,MATCH(Y$1,BS연결H,0),0))/100,"")</f>
        <v/>
      </c>
      <c r="Z13" s="37">
        <f>SUM(V13:Y13)</f>
        <v/>
      </c>
      <c r="AA13" s="18">
        <f>IFERROR((VLOOKUP("외환차익",BS연결,MATCH(AA$1,BS연결H,0),0)-VLOOKUP("외환차손",BS연결,MATCH(AA$1,BS연결H,0),0)+VLOOKUP("외화환산이익",BS연결,MATCH(AA$1,BS연결H,0),0)-VLOOKUP("외화환산손실",BS연결,MATCH(AA$1,BS연결H,0),0))/100,"")</f>
        <v/>
      </c>
      <c r="AB13" s="19">
        <f>IFERROR((VLOOKUP("외환차익",BS연결,MATCH(AB$1,BS연결H,0),0)-VLOOKUP("외환차손",BS연결,MATCH(AB$1,BS연결H,0),0)+VLOOKUP("외화환산이익",BS연결,MATCH(AB$1,BS연결H,0),0)-VLOOKUP("외화환산손실",BS연결,MATCH(AB$1,BS연결H,0),0))/100,"")</f>
        <v/>
      </c>
      <c r="AC13" s="20">
        <f>변수!AC24</f>
        <v/>
      </c>
      <c r="AD13" s="20">
        <f>변수!AD24</f>
        <v/>
      </c>
      <c r="AE13" s="38">
        <f>SUM(AA13:AD13)</f>
        <v/>
      </c>
      <c r="AF13" s="20">
        <f>변수!AF24</f>
        <v/>
      </c>
      <c r="AG13" s="20">
        <f>변수!AG24</f>
        <v/>
      </c>
      <c r="AH13" s="20">
        <f>변수!AH24</f>
        <v/>
      </c>
      <c r="AI13" s="20">
        <f>변수!AI24</f>
        <v/>
      </c>
      <c r="AJ13" s="38">
        <f>SUM(AF13:AI13)</f>
        <v/>
      </c>
      <c r="AK13" s="20">
        <f>변수!AK24</f>
        <v/>
      </c>
      <c r="AL13" s="20">
        <f>변수!AL24</f>
        <v/>
      </c>
      <c r="AM13" s="20">
        <f>변수!AM24</f>
        <v/>
      </c>
      <c r="AN13" s="20">
        <f>변수!AN24</f>
        <v/>
      </c>
      <c r="AO13" s="38">
        <f>SUM(AK13:AN13)</f>
        <v/>
      </c>
    </row>
    <row r="14">
      <c r="A14" s="12" t="inlineStr">
        <is>
          <t>파생상품손익</t>
        </is>
      </c>
      <c r="B14" t="inlineStr">
        <is>
          <t>손익</t>
        </is>
      </c>
      <c r="C14" t="inlineStr">
        <is>
          <t>억원</t>
        </is>
      </c>
      <c r="D14" t="inlineStr">
        <is>
          <t>파생상품손익</t>
        </is>
      </c>
      <c r="E14" s="18" t="n"/>
      <c r="F14" s="37" t="n"/>
      <c r="G14" s="18" t="n"/>
      <c r="H14" s="18" t="n"/>
      <c r="I14" s="18" t="n"/>
      <c r="J14" s="18" t="n"/>
      <c r="K14" s="37">
        <f>SUM(G14:J14)</f>
        <v/>
      </c>
      <c r="L14" s="18" t="n"/>
      <c r="M14" s="18" t="n"/>
      <c r="N14" s="18" t="n"/>
      <c r="O14" s="18" t="n"/>
      <c r="P14" s="37">
        <f>SUM(L14:O14)</f>
        <v/>
      </c>
      <c r="Q14" s="18" t="n"/>
      <c r="R14" s="18" t="n"/>
      <c r="S14" s="18" t="n"/>
      <c r="T14" s="18" t="n"/>
      <c r="U14" s="37">
        <f>SUM(Q14:T14)</f>
        <v/>
      </c>
      <c r="V14" s="18">
        <f>IFERROR((VLOOKUP("파생상품이익",BS연결,MATCH(V$1,BS연결H,0),0)-VLOOKUP("파생상품손실",BS연결,MATCH(V$1,BS연결H,0),0))/100,"")</f>
        <v/>
      </c>
      <c r="W14" s="18">
        <f>IFERROR((VLOOKUP("파생상품이익",BS연결,MATCH(W$1,BS연결H,0),0)-VLOOKUP("파생상품손실",BS연결,MATCH(W$1,BS연결H,0),0))/100,"")</f>
        <v/>
      </c>
      <c r="X14" s="18">
        <f>IFERROR((VLOOKUP("파생상품이익",BS연결,MATCH(X$1,BS연결H,0),0)-VLOOKUP("파생상품손실",BS연결,MATCH(X$1,BS연결H,0),0))/100,"")</f>
        <v/>
      </c>
      <c r="Y14" s="18">
        <f>IFERROR((VLOOKUP("파생상품이익",BS연결,MATCH(Y$1,BS연결H,0),0)-VLOOKUP("파생상품손실",BS연결,MATCH(Y$1,BS연결H,0),0))/100,"")</f>
        <v/>
      </c>
      <c r="Z14" s="37">
        <f>SUM(V14:Y14)</f>
        <v/>
      </c>
      <c r="AA14" s="18">
        <f>IFERROR((VLOOKUP("파생상품이익",BS연결,MATCH(AA$1,BS연결H,0),0)-VLOOKUP("파생상품손실",BS연결,MATCH(AA$1,BS연결H,0),0))/100,"")</f>
        <v/>
      </c>
      <c r="AB14" s="19">
        <f>IFERROR((VLOOKUP("파생상품이익",BS연결,MATCH(AB$1,BS연결H,0),0)-VLOOKUP("파생상품손실",BS연결,MATCH(AB$1,BS연결H,0),0))/100,"")</f>
        <v/>
      </c>
      <c r="AC14" s="20">
        <f>변수!AC25</f>
        <v/>
      </c>
      <c r="AD14" s="20">
        <f>변수!AD25</f>
        <v/>
      </c>
      <c r="AE14" s="38">
        <f>SUM(AA14:AD14)</f>
        <v/>
      </c>
      <c r="AF14" s="20">
        <f>변수!AF25</f>
        <v/>
      </c>
      <c r="AG14" s="20">
        <f>변수!AG25</f>
        <v/>
      </c>
      <c r="AH14" s="20">
        <f>변수!AH25</f>
        <v/>
      </c>
      <c r="AI14" s="20">
        <f>변수!AI25</f>
        <v/>
      </c>
      <c r="AJ14" s="38">
        <f>SUM(AF14:AI14)</f>
        <v/>
      </c>
      <c r="AK14" s="20">
        <f>변수!AK25</f>
        <v/>
      </c>
      <c r="AL14" s="20">
        <f>변수!AL25</f>
        <v/>
      </c>
      <c r="AM14" s="20">
        <f>변수!AM25</f>
        <v/>
      </c>
      <c r="AN14" s="20">
        <f>변수!AN25</f>
        <v/>
      </c>
      <c r="AO14" s="38">
        <f>SUM(AK14:AN14)</f>
        <v/>
      </c>
    </row>
    <row r="15">
      <c r="A15" s="12" t="inlineStr">
        <is>
          <t>기타금융손익</t>
        </is>
      </c>
      <c r="B15" t="inlineStr">
        <is>
          <t>손익</t>
        </is>
      </c>
      <c r="C15" t="inlineStr">
        <is>
          <t>억원</t>
        </is>
      </c>
      <c r="D15" t="inlineStr">
        <is>
          <t>기타금융손익(금융손익 잔차)</t>
        </is>
      </c>
      <c r="E15" s="18" t="n"/>
      <c r="F15" s="37" t="n"/>
      <c r="G15" s="18" t="n"/>
      <c r="H15" s="18" t="n"/>
      <c r="I15" s="18" t="n"/>
      <c r="J15" s="18" t="n"/>
      <c r="K15" s="37">
        <f>SUM(G15:J15)</f>
        <v/>
      </c>
      <c r="L15" s="18" t="n"/>
      <c r="M15" s="18" t="n"/>
      <c r="N15" s="18" t="n"/>
      <c r="O15" s="18" t="n"/>
      <c r="P15" s="37">
        <f>SUM(L15:O15)</f>
        <v/>
      </c>
      <c r="Q15" s="18" t="n"/>
      <c r="R15" s="18" t="n"/>
      <c r="S15" s="18" t="n"/>
      <c r="T15" s="18" t="n"/>
      <c r="U15" s="37">
        <f>SUM(Q15:T15)</f>
        <v/>
      </c>
      <c r="V15" s="18">
        <f>IFERROR(V11-V12-V13-V14,"")</f>
        <v/>
      </c>
      <c r="W15" s="18">
        <f>IFERROR(W11-W12-W13-W14,"")</f>
        <v/>
      </c>
      <c r="X15" s="18">
        <f>IFERROR(X11-X12-X13-X14,"")</f>
        <v/>
      </c>
      <c r="Y15" s="18">
        <f>IFERROR(Y11-Y12-Y13-Y14,"")</f>
        <v/>
      </c>
      <c r="Z15" s="37">
        <f>SUM(V15:Y15)</f>
        <v/>
      </c>
      <c r="AA15" s="18">
        <f>IFERROR(AA11-AA12-AA13-AA14,"")</f>
        <v/>
      </c>
      <c r="AB15" s="19">
        <f>IFERROR(AB11-AB12-AB13-AB14,"")</f>
        <v/>
      </c>
      <c r="AC15" s="20">
        <f>변수!AC26</f>
        <v/>
      </c>
      <c r="AD15" s="20">
        <f>변수!AD26</f>
        <v/>
      </c>
      <c r="AE15" s="38">
        <f>SUM(AA15:AD15)</f>
        <v/>
      </c>
      <c r="AF15" s="20">
        <f>변수!AF26</f>
        <v/>
      </c>
      <c r="AG15" s="20">
        <f>변수!AG26</f>
        <v/>
      </c>
      <c r="AH15" s="20">
        <f>변수!AH26</f>
        <v/>
      </c>
      <c r="AI15" s="20">
        <f>변수!AI26</f>
        <v/>
      </c>
      <c r="AJ15" s="38">
        <f>SUM(AF15:AI15)</f>
        <v/>
      </c>
      <c r="AK15" s="20">
        <f>변수!AK26</f>
        <v/>
      </c>
      <c r="AL15" s="20">
        <f>변수!AL26</f>
        <v/>
      </c>
      <c r="AM15" s="20">
        <f>변수!AM26</f>
        <v/>
      </c>
      <c r="AN15" s="20">
        <f>변수!AN26</f>
        <v/>
      </c>
      <c r="AO15" s="38">
        <f>SUM(AK15:AN15)</f>
        <v/>
      </c>
    </row>
    <row r="16">
      <c r="A16" s="12" t="inlineStr">
        <is>
          <t>기타영업외손익</t>
        </is>
      </c>
      <c r="B16" t="inlineStr">
        <is>
          <t>손익</t>
        </is>
      </c>
      <c r="C16" t="inlineStr">
        <is>
          <t>억원</t>
        </is>
      </c>
      <c r="D16" t="inlineStr">
        <is>
          <t>기타영업외손익</t>
        </is>
      </c>
      <c r="E16" s="18">
        <f>IFERROR(VLOOKUP($D16,BS연결,MATCH(E$1,BS연결H,0),0)/100,"")</f>
        <v/>
      </c>
      <c r="F16" s="37" t="n"/>
      <c r="G16" s="18">
        <f>IFERROR(VLOOKUP($D16,BS연결,MATCH(G$1,BS연결H,0),0)/100,"")</f>
        <v/>
      </c>
      <c r="H16" s="18">
        <f>IFERROR(VLOOKUP($D16,BS연결,MATCH(H$1,BS연결H,0),0)/100,"")</f>
        <v/>
      </c>
      <c r="I16" s="18">
        <f>IFERROR(VLOOKUP($D16,BS연결,MATCH(I$1,BS연결H,0),0)/100,"")</f>
        <v/>
      </c>
      <c r="J16" s="18">
        <f>IFERROR(VLOOKUP($D16,BS연결,MATCH(J$1,BS연결H,0),0)/100,"")</f>
        <v/>
      </c>
      <c r="K16" s="37">
        <f>IFERROR(VLOOKUP($D16,BS연결,MATCH(K$1,BS연결H,0),0)/100,"")</f>
        <v/>
      </c>
      <c r="L16" s="18">
        <f>IFERROR(VLOOKUP($D16,BS연결,MATCH(L$1,BS연결H,0),0)/100,"")</f>
        <v/>
      </c>
      <c r="M16" s="18">
        <f>IFERROR(VLOOKUP($D16,BS연결,MATCH(M$1,BS연결H,0),0)/100,"")</f>
        <v/>
      </c>
      <c r="N16" s="18">
        <f>IFERROR(VLOOKUP($D16,BS연결,MATCH(N$1,BS연결H,0),0)/100,"")</f>
        <v/>
      </c>
      <c r="O16" s="18">
        <f>IFERROR(VLOOKUP($D16,BS연결,MATCH(O$1,BS연결H,0),0)/100,"")</f>
        <v/>
      </c>
      <c r="P16" s="37">
        <f>IFERROR(VLOOKUP($D16,BS연결,MATCH(P$1,BS연결H,0),0)/100,"")</f>
        <v/>
      </c>
      <c r="Q16" s="18">
        <f>IFERROR(VLOOKUP($D16,BS연결,MATCH(Q$1,BS연결H,0),0)/100,"")</f>
        <v/>
      </c>
      <c r="R16" s="18">
        <f>IFERROR(VLOOKUP($D16,BS연결,MATCH(R$1,BS연결H,0),0)/100,"")</f>
        <v/>
      </c>
      <c r="S16" s="18">
        <f>IFERROR(VLOOKUP($D16,BS연결,MATCH(S$1,BS연결H,0),0)/100,"")</f>
        <v/>
      </c>
      <c r="T16" s="18">
        <f>IFERROR(VLOOKUP($D16,BS연결,MATCH(T$1,BS연결H,0),0)/100,"")</f>
        <v/>
      </c>
      <c r="U16" s="37">
        <f>IFERROR(VLOOKUP($D16,BS연결,MATCH(U$1,BS연결H,0),0)/100,"")</f>
        <v/>
      </c>
      <c r="V16" s="18">
        <f>IFERROR(VLOOKUP($D16,BS연결,MATCH(V$1,BS연결H,0),0)/100,"")</f>
        <v/>
      </c>
      <c r="W16" s="18">
        <f>IFERROR(VLOOKUP($D16,BS연결,MATCH(W$1,BS연결H,0),0)/100,"")</f>
        <v/>
      </c>
      <c r="X16" s="18">
        <f>IFERROR(VLOOKUP($D16,BS연결,MATCH(X$1,BS연결H,0),0)/100,"")</f>
        <v/>
      </c>
      <c r="Y16" s="18">
        <f>IFERROR(VLOOKUP($D16,BS연결,MATCH(Y$1,BS연결H,0),0)/100,"")</f>
        <v/>
      </c>
      <c r="Z16" s="37">
        <f>IFERROR(VLOOKUP($D16,BS연결,MATCH(Z$1,BS연결H,0),0)/100,"")</f>
        <v/>
      </c>
      <c r="AA16" s="18">
        <f>IFERROR(VLOOKUP($D16,BS연결,MATCH(AA$1,BS연결H,0),0)/100,"")</f>
        <v/>
      </c>
      <c r="AB16" s="19">
        <f>IFERROR(VLOOKUP($D16,BS연결,MATCH(AB$1,BS연결H,0),0)/100,"")</f>
        <v/>
      </c>
      <c r="AC16" s="20">
        <f>변수!AC27</f>
        <v/>
      </c>
      <c r="AD16" s="20">
        <f>변수!AD27</f>
        <v/>
      </c>
      <c r="AE16" s="38">
        <f>SUM(AA16:AD16)</f>
        <v/>
      </c>
      <c r="AF16" s="20">
        <f>변수!AF27</f>
        <v/>
      </c>
      <c r="AG16" s="20">
        <f>변수!AG27</f>
        <v/>
      </c>
      <c r="AH16" s="20">
        <f>변수!AH27</f>
        <v/>
      </c>
      <c r="AI16" s="20">
        <f>변수!AI27</f>
        <v/>
      </c>
      <c r="AJ16" s="38">
        <f>SUM(AF16:AI16)</f>
        <v/>
      </c>
      <c r="AK16" s="20">
        <f>변수!AK27</f>
        <v/>
      </c>
      <c r="AL16" s="20">
        <f>변수!AL27</f>
        <v/>
      </c>
      <c r="AM16" s="20">
        <f>변수!AM27</f>
        <v/>
      </c>
      <c r="AN16" s="20">
        <f>변수!AN27</f>
        <v/>
      </c>
      <c r="AO16" s="38">
        <f>SUM(AK16:AN16)</f>
        <v/>
      </c>
    </row>
    <row r="17">
      <c r="A17" s="12" t="inlineStr">
        <is>
          <t>세전이익</t>
        </is>
      </c>
      <c r="B17" t="inlineStr">
        <is>
          <t>손익</t>
        </is>
      </c>
      <c r="C17" t="inlineStr">
        <is>
          <t>억원</t>
        </is>
      </c>
      <c r="D17" t="inlineStr">
        <is>
          <t>법인세비용차감전계속사업이익</t>
        </is>
      </c>
      <c r="E17" s="18">
        <f>IFERROR(VLOOKUP($D17,BS연결,MATCH(E$1,BS연결H,0),0)/100,"")</f>
        <v/>
      </c>
      <c r="F17" s="37" t="n"/>
      <c r="G17" s="18">
        <f>IFERROR(VLOOKUP($D17,BS연결,MATCH(G$1,BS연결H,0),0)/100,"")</f>
        <v/>
      </c>
      <c r="H17" s="18">
        <f>IFERROR(VLOOKUP($D17,BS연결,MATCH(H$1,BS연결H,0),0)/100,"")</f>
        <v/>
      </c>
      <c r="I17" s="18">
        <f>IFERROR(VLOOKUP($D17,BS연결,MATCH(I$1,BS연결H,0),0)/100,"")</f>
        <v/>
      </c>
      <c r="J17" s="18">
        <f>IFERROR(VLOOKUP($D17,BS연결,MATCH(J$1,BS연결H,0),0)/100,"")</f>
        <v/>
      </c>
      <c r="K17" s="37">
        <f>IFERROR(VLOOKUP($D17,BS연결,MATCH(K$1,BS연결H,0),0)/100,"")</f>
        <v/>
      </c>
      <c r="L17" s="18">
        <f>IFERROR(VLOOKUP($D17,BS연결,MATCH(L$1,BS연결H,0),0)/100,"")</f>
        <v/>
      </c>
      <c r="M17" s="18">
        <f>IFERROR(VLOOKUP($D17,BS연결,MATCH(M$1,BS연결H,0),0)/100,"")</f>
        <v/>
      </c>
      <c r="N17" s="18">
        <f>IFERROR(VLOOKUP($D17,BS연결,MATCH(N$1,BS연결H,0),0)/100,"")</f>
        <v/>
      </c>
      <c r="O17" s="18">
        <f>IFERROR(VLOOKUP($D17,BS연결,MATCH(O$1,BS연결H,0),0)/100,"")</f>
        <v/>
      </c>
      <c r="P17" s="37">
        <f>IFERROR(VLOOKUP($D17,BS연결,MATCH(P$1,BS연결H,0),0)/100,"")</f>
        <v/>
      </c>
      <c r="Q17" s="18">
        <f>IFERROR(VLOOKUP($D17,BS연결,MATCH(Q$1,BS연결H,0),0)/100,"")</f>
        <v/>
      </c>
      <c r="R17" s="18">
        <f>IFERROR(VLOOKUP($D17,BS연결,MATCH(R$1,BS연결H,0),0)/100,"")</f>
        <v/>
      </c>
      <c r="S17" s="18">
        <f>IFERROR(VLOOKUP($D17,BS연결,MATCH(S$1,BS연결H,0),0)/100,"")</f>
        <v/>
      </c>
      <c r="T17" s="18">
        <f>IFERROR(VLOOKUP($D17,BS연결,MATCH(T$1,BS연결H,0),0)/100,"")</f>
        <v/>
      </c>
      <c r="U17" s="37">
        <f>IFERROR(VLOOKUP($D17,BS연결,MATCH(U$1,BS연결H,0),0)/100,"")</f>
        <v/>
      </c>
      <c r="V17" s="18">
        <f>IFERROR(VLOOKUP($D17,BS연결,MATCH(V$1,BS연결H,0),0)/100,"")</f>
        <v/>
      </c>
      <c r="W17" s="18">
        <f>IFERROR(VLOOKUP($D17,BS연결,MATCH(W$1,BS연결H,0),0)/100,"")</f>
        <v/>
      </c>
      <c r="X17" s="18">
        <f>IFERROR(VLOOKUP($D17,BS연결,MATCH(X$1,BS연결H,0),0)/100,"")</f>
        <v/>
      </c>
      <c r="Y17" s="18">
        <f>IFERROR(VLOOKUP($D17,BS연결,MATCH(Y$1,BS연결H,0),0)/100,"")</f>
        <v/>
      </c>
      <c r="Z17" s="37">
        <f>IFERROR(VLOOKUP($D17,BS연결,MATCH(Z$1,BS연결H,0),0)/100,"")</f>
        <v/>
      </c>
      <c r="AA17" s="18">
        <f>IFERROR(VLOOKUP($D17,BS연결,MATCH(AA$1,BS연결H,0),0)/100,"")</f>
        <v/>
      </c>
      <c r="AB17" s="19">
        <f>IFERROR(VLOOKUP($D17,BS연결,MATCH(AB$1,BS연결H,0),0)/100,"")</f>
        <v/>
      </c>
      <c r="AC17" s="20">
        <f>IFERROR(AC9+AC11+AC16,"")</f>
        <v/>
      </c>
      <c r="AD17" s="20">
        <f>IFERROR(AD9+AD11+AD16,"")</f>
        <v/>
      </c>
      <c r="AE17" s="38">
        <f>SUM(AA17:AD17)</f>
        <v/>
      </c>
      <c r="AF17" s="20">
        <f>IFERROR(AF9+AF11+AF16,"")</f>
        <v/>
      </c>
      <c r="AG17" s="20">
        <f>IFERROR(AG9+AG11+AG16,"")</f>
        <v/>
      </c>
      <c r="AH17" s="20">
        <f>IFERROR(AH9+AH11+AH16,"")</f>
        <v/>
      </c>
      <c r="AI17" s="20">
        <f>IFERROR(AI9+AI11+AI16,"")</f>
        <v/>
      </c>
      <c r="AJ17" s="38">
        <f>SUM(AF17:AI17)</f>
        <v/>
      </c>
      <c r="AK17" s="20">
        <f>IFERROR(AK9+AK11+AK16,"")</f>
        <v/>
      </c>
      <c r="AL17" s="20">
        <f>IFERROR(AL9+AL11+AL16,"")</f>
        <v/>
      </c>
      <c r="AM17" s="20">
        <f>IFERROR(AM9+AM11+AM16,"")</f>
        <v/>
      </c>
      <c r="AN17" s="20">
        <f>IFERROR(AN9+AN11+AN16,"")</f>
        <v/>
      </c>
      <c r="AO17" s="38">
        <f>SUM(AK17:AN17)</f>
        <v/>
      </c>
    </row>
    <row r="18">
      <c r="A18" s="12" t="inlineStr">
        <is>
          <t>법인세비용</t>
        </is>
      </c>
      <c r="B18" t="inlineStr">
        <is>
          <t>손익</t>
        </is>
      </c>
      <c r="C18" t="inlineStr">
        <is>
          <t>억원</t>
        </is>
      </c>
      <c r="D18" t="inlineStr">
        <is>
          <t>법인세비용</t>
        </is>
      </c>
      <c r="E18" s="18">
        <f>IFERROR(VLOOKUP($D18,BS연결,MATCH(E$1,BS연결H,0),0)/100,"")</f>
        <v/>
      </c>
      <c r="F18" s="37" t="n"/>
      <c r="G18" s="18">
        <f>IFERROR(VLOOKUP($D18,BS연결,MATCH(G$1,BS연결H,0),0)/100,"")</f>
        <v/>
      </c>
      <c r="H18" s="18">
        <f>IFERROR(VLOOKUP($D18,BS연결,MATCH(H$1,BS연결H,0),0)/100,"")</f>
        <v/>
      </c>
      <c r="I18" s="18">
        <f>IFERROR(VLOOKUP($D18,BS연결,MATCH(I$1,BS연결H,0),0)/100,"")</f>
        <v/>
      </c>
      <c r="J18" s="18">
        <f>IFERROR(VLOOKUP($D18,BS연결,MATCH(J$1,BS연결H,0),0)/100,"")</f>
        <v/>
      </c>
      <c r="K18" s="37">
        <f>IFERROR(VLOOKUP($D18,BS연결,MATCH(K$1,BS연결H,0),0)/100,"")</f>
        <v/>
      </c>
      <c r="L18" s="18">
        <f>IFERROR(VLOOKUP($D18,BS연결,MATCH(L$1,BS연결H,0),0)/100,"")</f>
        <v/>
      </c>
      <c r="M18" s="18">
        <f>IFERROR(VLOOKUP($D18,BS연결,MATCH(M$1,BS연결H,0),0)/100,"")</f>
        <v/>
      </c>
      <c r="N18" s="18">
        <f>IFERROR(VLOOKUP($D18,BS연결,MATCH(N$1,BS연결H,0),0)/100,"")</f>
        <v/>
      </c>
      <c r="O18" s="18">
        <f>IFERROR(VLOOKUP($D18,BS연결,MATCH(O$1,BS연결H,0),0)/100,"")</f>
        <v/>
      </c>
      <c r="P18" s="37">
        <f>IFERROR(VLOOKUP($D18,BS연결,MATCH(P$1,BS연결H,0),0)/100,"")</f>
        <v/>
      </c>
      <c r="Q18" s="18">
        <f>IFERROR(VLOOKUP($D18,BS연결,MATCH(Q$1,BS연결H,0),0)/100,"")</f>
        <v/>
      </c>
      <c r="R18" s="18">
        <f>IFERROR(VLOOKUP($D18,BS연결,MATCH(R$1,BS연결H,0),0)/100,"")</f>
        <v/>
      </c>
      <c r="S18" s="18">
        <f>IFERROR(VLOOKUP($D18,BS연결,MATCH(S$1,BS연결H,0),0)/100,"")</f>
        <v/>
      </c>
      <c r="T18" s="18">
        <f>IFERROR(VLOOKUP($D18,BS연결,MATCH(T$1,BS연결H,0),0)/100,"")</f>
        <v/>
      </c>
      <c r="U18" s="37">
        <f>IFERROR(VLOOKUP($D18,BS연결,MATCH(U$1,BS연결H,0),0)/100,"")</f>
        <v/>
      </c>
      <c r="V18" s="18">
        <f>IFERROR(VLOOKUP($D18,BS연결,MATCH(V$1,BS연결H,0),0)/100,"")</f>
        <v/>
      </c>
      <c r="W18" s="18">
        <f>IFERROR(VLOOKUP($D18,BS연결,MATCH(W$1,BS연결H,0),0)/100,"")</f>
        <v/>
      </c>
      <c r="X18" s="18">
        <f>IFERROR(VLOOKUP($D18,BS연결,MATCH(X$1,BS연결H,0),0)/100,"")</f>
        <v/>
      </c>
      <c r="Y18" s="18">
        <f>IFERROR(VLOOKUP($D18,BS연결,MATCH(Y$1,BS연결H,0),0)/100,"")</f>
        <v/>
      </c>
      <c r="Z18" s="37">
        <f>IFERROR(VLOOKUP($D18,BS연결,MATCH(Z$1,BS연결H,0),0)/100,"")</f>
        <v/>
      </c>
      <c r="AA18" s="18">
        <f>IFERROR(VLOOKUP($D18,BS연결,MATCH(AA$1,BS연결H,0),0)/100,"")</f>
        <v/>
      </c>
      <c r="AB18" s="19">
        <f>IFERROR(VLOOKUP($D18,BS연결,MATCH(AB$1,BS연결H,0),0)/100,"")</f>
        <v/>
      </c>
      <c r="AC18" s="20">
        <f>IFERROR(MAX(AC17,0)*변수!AC28,"")</f>
        <v/>
      </c>
      <c r="AD18" s="20">
        <f>IFERROR(MAX(AD17,0)*변수!AD28,"")</f>
        <v/>
      </c>
      <c r="AE18" s="38">
        <f>SUM(AA18:AD18)</f>
        <v/>
      </c>
      <c r="AF18" s="20">
        <f>IFERROR(MAX(AF17,0)*변수!AF28,"")</f>
        <v/>
      </c>
      <c r="AG18" s="20">
        <f>IFERROR(MAX(AG17,0)*변수!AG28,"")</f>
        <v/>
      </c>
      <c r="AH18" s="20">
        <f>IFERROR(MAX(AH17,0)*변수!AH28,"")</f>
        <v/>
      </c>
      <c r="AI18" s="20">
        <f>IFERROR(MAX(AI17,0)*변수!AI28,"")</f>
        <v/>
      </c>
      <c r="AJ18" s="38">
        <f>SUM(AF18:AI18)</f>
        <v/>
      </c>
      <c r="AK18" s="20">
        <f>IFERROR(MAX(AK17,0)*변수!AK28,"")</f>
        <v/>
      </c>
      <c r="AL18" s="20">
        <f>IFERROR(MAX(AL17,0)*변수!AL28,"")</f>
        <v/>
      </c>
      <c r="AM18" s="20">
        <f>IFERROR(MAX(AM17,0)*변수!AM28,"")</f>
        <v/>
      </c>
      <c r="AN18" s="20">
        <f>IFERROR(MAX(AN17,0)*변수!AN28,"")</f>
        <v/>
      </c>
      <c r="AO18" s="38">
        <f>SUM(AK18:AN18)</f>
        <v/>
      </c>
    </row>
    <row r="19">
      <c r="A19" s="12" t="inlineStr">
        <is>
          <t>당기순이익</t>
        </is>
      </c>
      <c r="B19" t="inlineStr">
        <is>
          <t>손익</t>
        </is>
      </c>
      <c r="C19" t="inlineStr">
        <is>
          <t>억원</t>
        </is>
      </c>
      <c r="D19" t="inlineStr">
        <is>
          <t>당기순이익</t>
        </is>
      </c>
      <c r="E19" s="18">
        <f>IFERROR(VLOOKUP($D19,BS연결,MATCH(E$1,BS연결H,0),0)/100,"")</f>
        <v/>
      </c>
      <c r="F19" s="37" t="n"/>
      <c r="G19" s="18">
        <f>IFERROR(VLOOKUP($D19,BS연결,MATCH(G$1,BS연결H,0),0)/100,"")</f>
        <v/>
      </c>
      <c r="H19" s="18">
        <f>IFERROR(VLOOKUP($D19,BS연결,MATCH(H$1,BS연결H,0),0)/100,"")</f>
        <v/>
      </c>
      <c r="I19" s="18">
        <f>IFERROR(VLOOKUP($D19,BS연결,MATCH(I$1,BS연결H,0),0)/100,"")</f>
        <v/>
      </c>
      <c r="J19" s="18">
        <f>IFERROR(VLOOKUP($D19,BS연결,MATCH(J$1,BS연결H,0),0)/100,"")</f>
        <v/>
      </c>
      <c r="K19" s="37">
        <f>IFERROR(VLOOKUP($D19,BS연결,MATCH(K$1,BS연결H,0),0)/100,"")</f>
        <v/>
      </c>
      <c r="L19" s="18">
        <f>IFERROR(VLOOKUP($D19,BS연결,MATCH(L$1,BS연결H,0),0)/100,"")</f>
        <v/>
      </c>
      <c r="M19" s="18">
        <f>IFERROR(VLOOKUP($D19,BS연결,MATCH(M$1,BS연결H,0),0)/100,"")</f>
        <v/>
      </c>
      <c r="N19" s="18">
        <f>IFERROR(VLOOKUP($D19,BS연결,MATCH(N$1,BS연결H,0),0)/100,"")</f>
        <v/>
      </c>
      <c r="O19" s="18">
        <f>IFERROR(VLOOKUP($D19,BS연결,MATCH(O$1,BS연결H,0),0)/100,"")</f>
        <v/>
      </c>
      <c r="P19" s="37">
        <f>IFERROR(VLOOKUP($D19,BS연결,MATCH(P$1,BS연결H,0),0)/100,"")</f>
        <v/>
      </c>
      <c r="Q19" s="18">
        <f>IFERROR(VLOOKUP($D19,BS연결,MATCH(Q$1,BS연결H,0),0)/100,"")</f>
        <v/>
      </c>
      <c r="R19" s="18">
        <f>IFERROR(VLOOKUP($D19,BS연결,MATCH(R$1,BS연결H,0),0)/100,"")</f>
        <v/>
      </c>
      <c r="S19" s="18">
        <f>IFERROR(VLOOKUP($D19,BS연결,MATCH(S$1,BS연결H,0),0)/100,"")</f>
        <v/>
      </c>
      <c r="T19" s="18">
        <f>IFERROR(VLOOKUP($D19,BS연결,MATCH(T$1,BS연결H,0),0)/100,"")</f>
        <v/>
      </c>
      <c r="U19" s="37">
        <f>IFERROR(VLOOKUP($D19,BS연결,MATCH(U$1,BS연결H,0),0)/100,"")</f>
        <v/>
      </c>
      <c r="V19" s="18">
        <f>IFERROR(VLOOKUP($D19,BS연결,MATCH(V$1,BS연결H,0),0)/100,"")</f>
        <v/>
      </c>
      <c r="W19" s="18">
        <f>IFERROR(VLOOKUP($D19,BS연결,MATCH(W$1,BS연결H,0),0)/100,"")</f>
        <v/>
      </c>
      <c r="X19" s="18">
        <f>IFERROR(VLOOKUP($D19,BS연결,MATCH(X$1,BS연결H,0),0)/100,"")</f>
        <v/>
      </c>
      <c r="Y19" s="18">
        <f>IFERROR(VLOOKUP($D19,BS연결,MATCH(Y$1,BS연결H,0),0)/100,"")</f>
        <v/>
      </c>
      <c r="Z19" s="37">
        <f>IFERROR(VLOOKUP($D19,BS연결,MATCH(Z$1,BS연결H,0),0)/100,"")</f>
        <v/>
      </c>
      <c r="AA19" s="18">
        <f>IFERROR(VLOOKUP($D19,BS연결,MATCH(AA$1,BS연결H,0),0)/100,"")</f>
        <v/>
      </c>
      <c r="AB19" s="19">
        <f>IFERROR(VLOOKUP($D19,BS연결,MATCH(AB$1,BS연결H,0),0)/100,"")</f>
        <v/>
      </c>
      <c r="AC19" s="20">
        <f>IFERROR(AC17-AC18,"")</f>
        <v/>
      </c>
      <c r="AD19" s="20">
        <f>IFERROR(AD17-AD18,"")</f>
        <v/>
      </c>
      <c r="AE19" s="38">
        <f>SUM(AA19:AD19)</f>
        <v/>
      </c>
      <c r="AF19" s="20">
        <f>IFERROR(AF17-AF18,"")</f>
        <v/>
      </c>
      <c r="AG19" s="20">
        <f>IFERROR(AG17-AG18,"")</f>
        <v/>
      </c>
      <c r="AH19" s="20">
        <f>IFERROR(AH17-AH18,"")</f>
        <v/>
      </c>
      <c r="AI19" s="20">
        <f>IFERROR(AI17-AI18,"")</f>
        <v/>
      </c>
      <c r="AJ19" s="38">
        <f>SUM(AF19:AI19)</f>
        <v/>
      </c>
      <c r="AK19" s="20">
        <f>IFERROR(AK17-AK18,"")</f>
        <v/>
      </c>
      <c r="AL19" s="20">
        <f>IFERROR(AL17-AL18,"")</f>
        <v/>
      </c>
      <c r="AM19" s="20">
        <f>IFERROR(AM17-AM18,"")</f>
        <v/>
      </c>
      <c r="AN19" s="20">
        <f>IFERROR(AN17-AN18,"")</f>
        <v/>
      </c>
      <c r="AO19" s="38">
        <f>SUM(AK19:AN19)</f>
        <v/>
      </c>
    </row>
    <row r="20">
      <c r="A20" s="12" t="inlineStr">
        <is>
          <t>지배주주순이익</t>
        </is>
      </c>
      <c r="B20" t="inlineStr">
        <is>
          <t>손익</t>
        </is>
      </c>
      <c r="C20" t="inlineStr">
        <is>
          <t>억원</t>
        </is>
      </c>
      <c r="D20" t="inlineStr">
        <is>
          <t>(지배주주지분)당기순이익</t>
        </is>
      </c>
      <c r="E20" s="18">
        <f>IFERROR(VLOOKUP($D20,BS연결,MATCH(E$1,BS연결H,0),0)/100,"")</f>
        <v/>
      </c>
      <c r="F20" s="37" t="n"/>
      <c r="G20" s="18">
        <f>IFERROR(VLOOKUP($D20,BS연결,MATCH(G$1,BS연결H,0),0)/100,"")</f>
        <v/>
      </c>
      <c r="H20" s="18">
        <f>IFERROR(VLOOKUP($D20,BS연결,MATCH(H$1,BS연결H,0),0)/100,"")</f>
        <v/>
      </c>
      <c r="I20" s="18">
        <f>IFERROR(VLOOKUP($D20,BS연결,MATCH(I$1,BS연결H,0),0)/100,"")</f>
        <v/>
      </c>
      <c r="J20" s="18">
        <f>IFERROR(VLOOKUP($D20,BS연결,MATCH(J$1,BS연결H,0),0)/100,"")</f>
        <v/>
      </c>
      <c r="K20" s="37">
        <f>IFERROR(VLOOKUP($D20,BS연결,MATCH(K$1,BS연결H,0),0)/100,"")</f>
        <v/>
      </c>
      <c r="L20" s="18">
        <f>IFERROR(VLOOKUP($D20,BS연결,MATCH(L$1,BS연결H,0),0)/100,"")</f>
        <v/>
      </c>
      <c r="M20" s="18">
        <f>IFERROR(VLOOKUP($D20,BS연결,MATCH(M$1,BS연결H,0),0)/100,"")</f>
        <v/>
      </c>
      <c r="N20" s="18">
        <f>IFERROR(VLOOKUP($D20,BS연결,MATCH(N$1,BS연결H,0),0)/100,"")</f>
        <v/>
      </c>
      <c r="O20" s="18">
        <f>IFERROR(VLOOKUP($D20,BS연결,MATCH(O$1,BS연결H,0),0)/100,"")</f>
        <v/>
      </c>
      <c r="P20" s="37">
        <f>IFERROR(VLOOKUP($D20,BS연결,MATCH(P$1,BS연결H,0),0)/100,"")</f>
        <v/>
      </c>
      <c r="Q20" s="18">
        <f>IFERROR(VLOOKUP($D20,BS연결,MATCH(Q$1,BS연결H,0),0)/100,"")</f>
        <v/>
      </c>
      <c r="R20" s="18">
        <f>IFERROR(VLOOKUP($D20,BS연결,MATCH(R$1,BS연결H,0),0)/100,"")</f>
        <v/>
      </c>
      <c r="S20" s="18">
        <f>IFERROR(VLOOKUP($D20,BS연결,MATCH(S$1,BS연결H,0),0)/100,"")</f>
        <v/>
      </c>
      <c r="T20" s="18">
        <f>IFERROR(VLOOKUP($D20,BS연결,MATCH(T$1,BS연결H,0),0)/100,"")</f>
        <v/>
      </c>
      <c r="U20" s="37">
        <f>IFERROR(VLOOKUP($D20,BS연결,MATCH(U$1,BS연결H,0),0)/100,"")</f>
        <v/>
      </c>
      <c r="V20" s="18">
        <f>IFERROR(VLOOKUP($D20,BS연결,MATCH(V$1,BS연결H,0),0)/100,"")</f>
        <v/>
      </c>
      <c r="W20" s="18">
        <f>IFERROR(VLOOKUP($D20,BS연결,MATCH(W$1,BS연결H,0),0)/100,"")</f>
        <v/>
      </c>
      <c r="X20" s="18">
        <f>IFERROR(VLOOKUP($D20,BS연결,MATCH(X$1,BS연결H,0),0)/100,"")</f>
        <v/>
      </c>
      <c r="Y20" s="18">
        <f>IFERROR(VLOOKUP($D20,BS연결,MATCH(Y$1,BS연결H,0),0)/100,"")</f>
        <v/>
      </c>
      <c r="Z20" s="37">
        <f>IFERROR(VLOOKUP($D20,BS연결,MATCH(Z$1,BS연결H,0),0)/100,"")</f>
        <v/>
      </c>
      <c r="AA20" s="18">
        <f>IFERROR(VLOOKUP($D20,BS연결,MATCH(AA$1,BS연결H,0),0)/100,"")</f>
        <v/>
      </c>
      <c r="AB20" s="19">
        <f>IFERROR(VLOOKUP($D20,BS연결,MATCH(AB$1,BS연결H,0),0)/100,"")</f>
        <v/>
      </c>
      <c r="AC20" s="20">
        <f>IFERROR(AC19*변수!AC29,"")</f>
        <v/>
      </c>
      <c r="AD20" s="20">
        <f>IFERROR(AD19*변수!AD29,"")</f>
        <v/>
      </c>
      <c r="AE20" s="38">
        <f>SUM(AA20:AD20)</f>
        <v/>
      </c>
      <c r="AF20" s="20">
        <f>IFERROR(AF19*변수!AF29,"")</f>
        <v/>
      </c>
      <c r="AG20" s="20">
        <f>IFERROR(AG19*변수!AG29,"")</f>
        <v/>
      </c>
      <c r="AH20" s="20">
        <f>IFERROR(AH19*변수!AH29,"")</f>
        <v/>
      </c>
      <c r="AI20" s="20">
        <f>IFERROR(AI19*변수!AI29,"")</f>
        <v/>
      </c>
      <c r="AJ20" s="38">
        <f>SUM(AF20:AI20)</f>
        <v/>
      </c>
      <c r="AK20" s="20">
        <f>IFERROR(AK19*변수!AK29,"")</f>
        <v/>
      </c>
      <c r="AL20" s="20">
        <f>IFERROR(AL19*변수!AL29,"")</f>
        <v/>
      </c>
      <c r="AM20" s="20">
        <f>IFERROR(AM19*변수!AM29,"")</f>
        <v/>
      </c>
      <c r="AN20" s="20">
        <f>IFERROR(AN19*변수!AN29,"")</f>
        <v/>
      </c>
      <c r="AO20" s="38">
        <f>SUM(AK20:AN20)</f>
        <v/>
      </c>
    </row>
    <row r="21">
      <c r="A21" s="12" t="inlineStr">
        <is>
          <t>자산총계</t>
        </is>
      </c>
      <c r="B21" t="inlineStr">
        <is>
          <t>재무상태</t>
        </is>
      </c>
      <c r="C21" t="inlineStr">
        <is>
          <t>억원</t>
        </is>
      </c>
      <c r="D21" t="inlineStr">
        <is>
          <t>자산총계</t>
        </is>
      </c>
      <c r="E21" s="18">
        <f>IFERROR(VLOOKUP($D21,BS연결,MATCH(E$1,BS연결H,0),0)/100,"")</f>
        <v/>
      </c>
      <c r="F21" s="37">
        <f>IFERROR(VLOOKUP($D21,BS연결,MATCH(F$1,BS연결H,0),0)/100,"")</f>
        <v/>
      </c>
      <c r="G21" s="18">
        <f>IFERROR(VLOOKUP($D21,BS연결,MATCH(G$1,BS연결H,0),0)/100,"")</f>
        <v/>
      </c>
      <c r="H21" s="18">
        <f>IFERROR(VLOOKUP($D21,BS연결,MATCH(H$1,BS연결H,0),0)/100,"")</f>
        <v/>
      </c>
      <c r="I21" s="18">
        <f>IFERROR(VLOOKUP($D21,BS연결,MATCH(I$1,BS연결H,0),0)/100,"")</f>
        <v/>
      </c>
      <c r="J21" s="18">
        <f>IFERROR(VLOOKUP($D21,BS연결,MATCH(J$1,BS연결H,0),0)/100,"")</f>
        <v/>
      </c>
      <c r="K21" s="37">
        <f>IFERROR(VLOOKUP($D21,BS연결,MATCH(K$1,BS연결H,0),0)/100,"")</f>
        <v/>
      </c>
      <c r="L21" s="18">
        <f>IFERROR(VLOOKUP($D21,BS연결,MATCH(L$1,BS연결H,0),0)/100,"")</f>
        <v/>
      </c>
      <c r="M21" s="18">
        <f>IFERROR(VLOOKUP($D21,BS연결,MATCH(M$1,BS연결H,0),0)/100,"")</f>
        <v/>
      </c>
      <c r="N21" s="18">
        <f>IFERROR(VLOOKUP($D21,BS연결,MATCH(N$1,BS연결H,0),0)/100,"")</f>
        <v/>
      </c>
      <c r="O21" s="18">
        <f>IFERROR(VLOOKUP($D21,BS연결,MATCH(O$1,BS연결H,0),0)/100,"")</f>
        <v/>
      </c>
      <c r="P21" s="37">
        <f>IFERROR(VLOOKUP($D21,BS연결,MATCH(P$1,BS연결H,0),0)/100,"")</f>
        <v/>
      </c>
      <c r="Q21" s="18">
        <f>IFERROR(VLOOKUP($D21,BS연결,MATCH(Q$1,BS연결H,0),0)/100,"")</f>
        <v/>
      </c>
      <c r="R21" s="18">
        <f>IFERROR(VLOOKUP($D21,BS연결,MATCH(R$1,BS연결H,0),0)/100,"")</f>
        <v/>
      </c>
      <c r="S21" s="18">
        <f>IFERROR(VLOOKUP($D21,BS연결,MATCH(S$1,BS연결H,0),0)/100,"")</f>
        <v/>
      </c>
      <c r="T21" s="18" t="n"/>
      <c r="U21" s="37">
        <f>T21</f>
        <v/>
      </c>
      <c r="V21" s="18" t="n"/>
      <c r="W21" s="18" t="n"/>
      <c r="X21" s="18" t="n"/>
      <c r="Y21" s="18" t="n"/>
      <c r="Z21" s="37">
        <f>Y21</f>
        <v/>
      </c>
      <c r="AA21" s="18" t="n"/>
      <c r="AB21" s="19" t="n"/>
      <c r="AC21" s="20">
        <f>IFERROR(AC22+AC23,"")</f>
        <v/>
      </c>
      <c r="AD21" s="20">
        <f>IFERROR(AD22+AD23,"")</f>
        <v/>
      </c>
      <c r="AE21" s="38">
        <f>AD21</f>
        <v/>
      </c>
      <c r="AF21" s="20">
        <f>IFERROR(AF22+AF23,"")</f>
        <v/>
      </c>
      <c r="AG21" s="20">
        <f>IFERROR(AG22+AG23,"")</f>
        <v/>
      </c>
      <c r="AH21" s="20">
        <f>IFERROR(AH22+AH23,"")</f>
        <v/>
      </c>
      <c r="AI21" s="20">
        <f>IFERROR(AI22+AI23,"")</f>
        <v/>
      </c>
      <c r="AJ21" s="38">
        <f>AI21</f>
        <v/>
      </c>
      <c r="AK21" s="20">
        <f>IFERROR(AK22+AK23,"")</f>
        <v/>
      </c>
      <c r="AL21" s="20">
        <f>IFERROR(AL22+AL23,"")</f>
        <v/>
      </c>
      <c r="AM21" s="20">
        <f>IFERROR(AM22+AM23,"")</f>
        <v/>
      </c>
      <c r="AN21" s="20">
        <f>IFERROR(AN22+AN23,"")</f>
        <v/>
      </c>
      <c r="AO21" s="38">
        <f>AN21</f>
        <v/>
      </c>
    </row>
    <row r="22">
      <c r="A22" s="12" t="inlineStr">
        <is>
          <t>부채총계</t>
        </is>
      </c>
      <c r="B22" t="inlineStr">
        <is>
          <t>재무상태</t>
        </is>
      </c>
      <c r="C22" t="inlineStr">
        <is>
          <t>억원</t>
        </is>
      </c>
      <c r="D22" t="inlineStr">
        <is>
          <t>부채총계</t>
        </is>
      </c>
      <c r="E22" s="18">
        <f>IFERROR(VLOOKUP($D22,BS연결,MATCH(E$1,BS연결H,0),0)/100,"")</f>
        <v/>
      </c>
      <c r="F22" s="37">
        <f>IFERROR(VLOOKUP($D22,BS연결,MATCH(F$1,BS연결H,0),0)/100,"")</f>
        <v/>
      </c>
      <c r="G22" s="18">
        <f>IFERROR(VLOOKUP($D22,BS연결,MATCH(G$1,BS연결H,0),0)/100,"")</f>
        <v/>
      </c>
      <c r="H22" s="18">
        <f>IFERROR(VLOOKUP($D22,BS연결,MATCH(H$1,BS연결H,0),0)/100,"")</f>
        <v/>
      </c>
      <c r="I22" s="18">
        <f>IFERROR(VLOOKUP($D22,BS연결,MATCH(I$1,BS연결H,0),0)/100,"")</f>
        <v/>
      </c>
      <c r="J22" s="18">
        <f>IFERROR(VLOOKUP($D22,BS연결,MATCH(J$1,BS연결H,0),0)/100,"")</f>
        <v/>
      </c>
      <c r="K22" s="37">
        <f>IFERROR(VLOOKUP($D22,BS연결,MATCH(K$1,BS연결H,0),0)/100,"")</f>
        <v/>
      </c>
      <c r="L22" s="18">
        <f>IFERROR(VLOOKUP($D22,BS연결,MATCH(L$1,BS연결H,0),0)/100,"")</f>
        <v/>
      </c>
      <c r="M22" s="18">
        <f>IFERROR(VLOOKUP($D22,BS연결,MATCH(M$1,BS연결H,0),0)/100,"")</f>
        <v/>
      </c>
      <c r="N22" s="18">
        <f>IFERROR(VLOOKUP($D22,BS연결,MATCH(N$1,BS연결H,0),0)/100,"")</f>
        <v/>
      </c>
      <c r="O22" s="18">
        <f>IFERROR(VLOOKUP($D22,BS연결,MATCH(O$1,BS연결H,0),0)/100,"")</f>
        <v/>
      </c>
      <c r="P22" s="37">
        <f>IFERROR(VLOOKUP($D22,BS연결,MATCH(P$1,BS연결H,0),0)/100,"")</f>
        <v/>
      </c>
      <c r="Q22" s="18">
        <f>IFERROR(VLOOKUP($D22,BS연결,MATCH(Q$1,BS연결H,0),0)/100,"")</f>
        <v/>
      </c>
      <c r="R22" s="18">
        <f>IFERROR(VLOOKUP($D22,BS연결,MATCH(R$1,BS연결H,0),0)/100,"")</f>
        <v/>
      </c>
      <c r="S22" s="18">
        <f>IFERROR(VLOOKUP($D22,BS연결,MATCH(S$1,BS연결H,0),0)/100,"")</f>
        <v/>
      </c>
      <c r="T22" s="18" t="n"/>
      <c r="U22" s="37">
        <f>T22</f>
        <v/>
      </c>
      <c r="V22" s="18" t="n"/>
      <c r="W22" s="18" t="n"/>
      <c r="X22" s="18" t="n"/>
      <c r="Y22" s="18" t="n"/>
      <c r="Z22" s="37">
        <f>Y22</f>
        <v/>
      </c>
      <c r="AA22" s="18" t="n"/>
      <c r="AB22" s="19" t="n"/>
      <c r="AC22" s="20" t="n"/>
      <c r="AD22" s="20" t="n"/>
      <c r="AE22" s="38">
        <f>AD22</f>
        <v/>
      </c>
      <c r="AF22" s="20" t="n"/>
      <c r="AG22" s="20" t="n"/>
      <c r="AH22" s="20" t="n"/>
      <c r="AI22" s="20" t="n"/>
      <c r="AJ22" s="38">
        <f>AI22</f>
        <v/>
      </c>
      <c r="AK22" s="20" t="n"/>
      <c r="AL22" s="20" t="n"/>
      <c r="AM22" s="20" t="n"/>
      <c r="AN22" s="20" t="n"/>
      <c r="AO22" s="38">
        <f>AN22</f>
        <v/>
      </c>
    </row>
    <row r="23">
      <c r="A23" s="12" t="inlineStr">
        <is>
          <t>자본총계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자본총계</t>
        </is>
      </c>
      <c r="E23" s="18">
        <f>IFERROR(VLOOKUP($D23,BS연결,MATCH(E$1,BS연결H,0),0)/100,"")</f>
        <v/>
      </c>
      <c r="F23" s="37">
        <f>IFERROR(VLOOKUP($D23,BS연결,MATCH(F$1,BS연결H,0),0)/100,"")</f>
        <v/>
      </c>
      <c r="G23" s="18">
        <f>IFERROR(VLOOKUP($D23,BS연결,MATCH(G$1,BS연결H,0),0)/100,"")</f>
        <v/>
      </c>
      <c r="H23" s="18">
        <f>IFERROR(VLOOKUP($D23,BS연결,MATCH(H$1,BS연결H,0),0)/100,"")</f>
        <v/>
      </c>
      <c r="I23" s="18">
        <f>IFERROR(VLOOKUP($D23,BS연결,MATCH(I$1,BS연결H,0),0)/100,"")</f>
        <v/>
      </c>
      <c r="J23" s="18">
        <f>IFERROR(VLOOKUP($D23,BS연결,MATCH(J$1,BS연결H,0),0)/100,"")</f>
        <v/>
      </c>
      <c r="K23" s="37">
        <f>IFERROR(VLOOKUP($D23,BS연결,MATCH(K$1,BS연결H,0),0)/100,"")</f>
        <v/>
      </c>
      <c r="L23" s="18">
        <f>IFERROR(VLOOKUP($D23,BS연결,MATCH(L$1,BS연결H,0),0)/100,"")</f>
        <v/>
      </c>
      <c r="M23" s="18">
        <f>IFERROR(VLOOKUP($D23,BS연결,MATCH(M$1,BS연결H,0),0)/100,"")</f>
        <v/>
      </c>
      <c r="N23" s="18">
        <f>IFERROR(VLOOKUP($D23,BS연결,MATCH(N$1,BS연결H,0),0)/100,"")</f>
        <v/>
      </c>
      <c r="O23" s="18">
        <f>IFERROR(VLOOKUP($D23,BS연결,MATCH(O$1,BS연결H,0),0)/100,"")</f>
        <v/>
      </c>
      <c r="P23" s="37">
        <f>IFERROR(VLOOKUP($D23,BS연결,MATCH(P$1,BS연결H,0),0)/100,"")</f>
        <v/>
      </c>
      <c r="Q23" s="18">
        <f>IFERROR(VLOOKUP($D23,BS연결,MATCH(Q$1,BS연결H,0),0)/100,"")</f>
        <v/>
      </c>
      <c r="R23" s="18">
        <f>IFERROR(VLOOKUP($D23,BS연결,MATCH(R$1,BS연결H,0),0)/100,"")</f>
        <v/>
      </c>
      <c r="S23" s="18">
        <f>IFERROR(VLOOKUP($D23,BS연결,MATCH(S$1,BS연결H,0),0)/100,"")</f>
        <v/>
      </c>
      <c r="T23" s="18">
        <f>IFERROR(VLOOKUP($D23,BS연결,MATCH(T$1,BS연결H,0),0)/100,"")</f>
        <v/>
      </c>
      <c r="U23" s="37">
        <f>IFERROR(VLOOKUP($D23,BS연결,MATCH(U$1,BS연결H,0),0)/100,"")</f>
        <v/>
      </c>
      <c r="V23" s="18">
        <f>IFERROR(VLOOKUP($D23,BS연결,MATCH(V$1,BS연결H,0),0)/100,"")</f>
        <v/>
      </c>
      <c r="W23" s="18">
        <f>IFERROR(VLOOKUP($D23,BS연결,MATCH(W$1,BS연결H,0),0)/100,"")</f>
        <v/>
      </c>
      <c r="X23" s="18">
        <f>IFERROR(VLOOKUP($D23,BS연결,MATCH(X$1,BS연결H,0),0)/100,"")</f>
        <v/>
      </c>
      <c r="Y23" s="18">
        <f>IFERROR(VLOOKUP($D23,BS연결,MATCH(Y$1,BS연결H,0),0)/100,"")</f>
        <v/>
      </c>
      <c r="Z23" s="37">
        <f>IFERROR(VLOOKUP($D23,BS연결,MATCH(Z$1,BS연결H,0),0)/100,"")</f>
        <v/>
      </c>
      <c r="AA23" s="18">
        <f>IFERROR(VLOOKUP($D23,BS연결,MATCH(AA$1,BS연결H,0),0)/100,"")</f>
        <v/>
      </c>
      <c r="AB23" s="19">
        <f>IFERROR(VLOOKUP($D23,BS연결,MATCH(AB$1,BS연결H,0),0)/100,"")</f>
        <v/>
      </c>
      <c r="AC23" s="20">
        <f>IFERROR(AB23+AC19-변수!AC31,"")</f>
        <v/>
      </c>
      <c r="AD23" s="20">
        <f>IFERROR(AC23+AD19-변수!AD31,"")</f>
        <v/>
      </c>
      <c r="AE23" s="38">
        <f>AD23</f>
        <v/>
      </c>
      <c r="AF23" s="20">
        <f>IFERROR(AD23+AF19-변수!AF31,"")</f>
        <v/>
      </c>
      <c r="AG23" s="20">
        <f>IFERROR(AF23+AG19-변수!AG31,"")</f>
        <v/>
      </c>
      <c r="AH23" s="20">
        <f>IFERROR(AG23+AH19-변수!AH31,"")</f>
        <v/>
      </c>
      <c r="AI23" s="20">
        <f>IFERROR(AH23+AI19-변수!AI31,"")</f>
        <v/>
      </c>
      <c r="AJ23" s="38">
        <f>AI23</f>
        <v/>
      </c>
      <c r="AK23" s="20">
        <f>IFERROR(AI23+AK19-변수!AK31,"")</f>
        <v/>
      </c>
      <c r="AL23" s="20">
        <f>IFERROR(AK23+AL19-변수!AL31,"")</f>
        <v/>
      </c>
      <c r="AM23" s="20">
        <f>IFERROR(AL23+AM19-변수!AM31,"")</f>
        <v/>
      </c>
      <c r="AN23" s="20">
        <f>IFERROR(AM23+AN19-변수!AN31,"")</f>
        <v/>
      </c>
      <c r="AO23" s="38">
        <f>AN23</f>
        <v/>
      </c>
    </row>
    <row r="24">
      <c r="A24" s="12" t="inlineStr">
        <is>
          <t>지배주주지분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지배주주지분</t>
        </is>
      </c>
      <c r="E24" s="18">
        <f>IFERROR(VLOOKUP($D24,BS연결,MATCH(E$1,BS연결H,0),0)/100,"")</f>
        <v/>
      </c>
      <c r="F24" s="37">
        <f>IFERROR(VLOOKUP($D24,BS연결,MATCH(F$1,BS연결H,0),0)/100,"")</f>
        <v/>
      </c>
      <c r="G24" s="18">
        <f>IFERROR(VLOOKUP($D24,BS연결,MATCH(G$1,BS연결H,0),0)/100,"")</f>
        <v/>
      </c>
      <c r="H24" s="18">
        <f>IFERROR(VLOOKUP($D24,BS연결,MATCH(H$1,BS연결H,0),0)/100,"")</f>
        <v/>
      </c>
      <c r="I24" s="18">
        <f>IFERROR(VLOOKUP($D24,BS연결,MATCH(I$1,BS연결H,0),0)/100,"")</f>
        <v/>
      </c>
      <c r="J24" s="18">
        <f>IFERROR(VLOOKUP($D24,BS연결,MATCH(J$1,BS연결H,0),0)/100,"")</f>
        <v/>
      </c>
      <c r="K24" s="37">
        <f>IFERROR(VLOOKUP($D24,BS연결,MATCH(K$1,BS연결H,0),0)/100,"")</f>
        <v/>
      </c>
      <c r="L24" s="18">
        <f>IFERROR(VLOOKUP($D24,BS연결,MATCH(L$1,BS연결H,0),0)/100,"")</f>
        <v/>
      </c>
      <c r="M24" s="18">
        <f>IFERROR(VLOOKUP($D24,BS연결,MATCH(M$1,BS연결H,0),0)/100,"")</f>
        <v/>
      </c>
      <c r="N24" s="18">
        <f>IFERROR(VLOOKUP($D24,BS연결,MATCH(N$1,BS연결H,0),0)/100,"")</f>
        <v/>
      </c>
      <c r="O24" s="18">
        <f>IFERROR(VLOOKUP($D24,BS연결,MATCH(O$1,BS연결H,0),0)/100,"")</f>
        <v/>
      </c>
      <c r="P24" s="37">
        <f>IFERROR(VLOOKUP($D24,BS연결,MATCH(P$1,BS연결H,0),0)/100,"")</f>
        <v/>
      </c>
      <c r="Q24" s="18">
        <f>IFERROR(VLOOKUP($D24,BS연결,MATCH(Q$1,BS연결H,0),0)/100,"")</f>
        <v/>
      </c>
      <c r="R24" s="18">
        <f>IFERROR(VLOOKUP($D24,BS연결,MATCH(R$1,BS연결H,0),0)/100,"")</f>
        <v/>
      </c>
      <c r="S24" s="18">
        <f>IFERROR(VLOOKUP($D24,BS연결,MATCH(S$1,BS연결H,0),0)/100,"")</f>
        <v/>
      </c>
      <c r="T24" s="18">
        <f>IFERROR(VLOOKUP($D24,BS연결,MATCH(T$1,BS연결H,0),0)/100,"")</f>
        <v/>
      </c>
      <c r="U24" s="37">
        <f>IFERROR(VLOOKUP($D24,BS연결,MATCH(U$1,BS연결H,0),0)/100,"")</f>
        <v/>
      </c>
      <c r="V24" s="18">
        <f>IFERROR(VLOOKUP($D24,BS연결,MATCH(V$1,BS연결H,0),0)/100,"")</f>
        <v/>
      </c>
      <c r="W24" s="18">
        <f>IFERROR(VLOOKUP($D24,BS연결,MATCH(W$1,BS연결H,0),0)/100,"")</f>
        <v/>
      </c>
      <c r="X24" s="18">
        <f>IFERROR(VLOOKUP($D24,BS연결,MATCH(X$1,BS연결H,0),0)/100,"")</f>
        <v/>
      </c>
      <c r="Y24" s="18">
        <f>IFERROR(VLOOKUP($D24,BS연결,MATCH(Y$1,BS연결H,0),0)/100,"")</f>
        <v/>
      </c>
      <c r="Z24" s="37">
        <f>IFERROR(VLOOKUP($D24,BS연결,MATCH(Z$1,BS연결H,0),0)/100,"")</f>
        <v/>
      </c>
      <c r="AA24" s="18">
        <f>IFERROR(VLOOKUP($D24,BS연결,MATCH(AA$1,BS연결H,0),0)/100,"")</f>
        <v/>
      </c>
      <c r="AB24" s="19">
        <f>IFERROR(VLOOKUP($D24,BS연결,MATCH(AB$1,BS연결H,0),0)/100,"")</f>
        <v/>
      </c>
      <c r="AC24" s="20">
        <f>IFERROR(AB24+AC20-변수!AC32,"")</f>
        <v/>
      </c>
      <c r="AD24" s="20">
        <f>IFERROR(AC24+AD20-변수!AD32,"")</f>
        <v/>
      </c>
      <c r="AE24" s="38">
        <f>AD24</f>
        <v/>
      </c>
      <c r="AF24" s="20">
        <f>IFERROR(AD24+AF20-변수!AF32,"")</f>
        <v/>
      </c>
      <c r="AG24" s="20">
        <f>IFERROR(AF24+AG20-변수!AG32,"")</f>
        <v/>
      </c>
      <c r="AH24" s="20">
        <f>IFERROR(AG24+AH20-변수!AH32,"")</f>
        <v/>
      </c>
      <c r="AI24" s="20">
        <f>IFERROR(AH24+AI20-변수!AI32,"")</f>
        <v/>
      </c>
      <c r="AJ24" s="38">
        <f>AI24</f>
        <v/>
      </c>
      <c r="AK24" s="20">
        <f>IFERROR(AI24+AK20-변수!AK32,"")</f>
        <v/>
      </c>
      <c r="AL24" s="20">
        <f>IFERROR(AK24+AL20-변수!AL32,"")</f>
        <v/>
      </c>
      <c r="AM24" s="20">
        <f>IFERROR(AL24+AM20-변수!AM32,"")</f>
        <v/>
      </c>
      <c r="AN24" s="20">
        <f>IFERROR(AM24+AN20-변수!AN32,"")</f>
        <v/>
      </c>
      <c r="AO24" s="38">
        <f>AN24</f>
        <v/>
      </c>
    </row>
    <row r="25">
      <c r="A25" s="12" t="inlineStr">
        <is>
          <t>총차입금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총차입금</t>
        </is>
      </c>
      <c r="E25" s="18">
        <f>IFERROR(VLOOKUP($D25,BS연결,MATCH(E$1,BS연결H,0),0)/100,"")</f>
        <v/>
      </c>
      <c r="F25" s="37">
        <f>IFERROR(VLOOKUP($D25,BS연결,MATCH(F$1,BS연결H,0),0)/100,"")</f>
        <v/>
      </c>
      <c r="G25" s="18">
        <f>IFERROR(VLOOKUP($D25,BS연결,MATCH(G$1,BS연결H,0),0)/100,"")</f>
        <v/>
      </c>
      <c r="H25" s="18">
        <f>IFERROR(VLOOKUP($D25,BS연결,MATCH(H$1,BS연결H,0),0)/100,"")</f>
        <v/>
      </c>
      <c r="I25" s="18">
        <f>IFERROR(VLOOKUP($D25,BS연결,MATCH(I$1,BS연결H,0),0)/100,"")</f>
        <v/>
      </c>
      <c r="J25" s="18">
        <f>IFERROR(VLOOKUP($D25,BS연결,MATCH(J$1,BS연결H,0),0)/100,"")</f>
        <v/>
      </c>
      <c r="K25" s="37">
        <f>IFERROR(VLOOKUP($D25,BS연결,MATCH(K$1,BS연결H,0),0)/100,"")</f>
        <v/>
      </c>
      <c r="L25" s="18">
        <f>IFERROR(VLOOKUP($D25,BS연결,MATCH(L$1,BS연결H,0),0)/100,"")</f>
        <v/>
      </c>
      <c r="M25" s="18">
        <f>IFERROR(VLOOKUP($D25,BS연결,MATCH(M$1,BS연결H,0),0)/100,"")</f>
        <v/>
      </c>
      <c r="N25" s="18">
        <f>IFERROR(VLOOKUP($D25,BS연결,MATCH(N$1,BS연결H,0),0)/100,"")</f>
        <v/>
      </c>
      <c r="O25" s="18">
        <f>IFERROR(VLOOKUP($D25,BS연결,MATCH(O$1,BS연결H,0),0)/100,"")</f>
        <v/>
      </c>
      <c r="P25" s="37">
        <f>IFERROR(VLOOKUP($D25,BS연결,MATCH(P$1,BS연결H,0),0)/100,"")</f>
        <v/>
      </c>
      <c r="Q25" s="18">
        <f>IFERROR(VLOOKUP($D25,BS연결,MATCH(Q$1,BS연결H,0),0)/100,"")</f>
        <v/>
      </c>
      <c r="R25" s="18">
        <f>IFERROR(VLOOKUP($D25,BS연결,MATCH(R$1,BS연결H,0),0)/100,"")</f>
        <v/>
      </c>
      <c r="S25" s="18">
        <f>IFERROR(VLOOKUP($D25,BS연결,MATCH(S$1,BS연결H,0),0)/100,"")</f>
        <v/>
      </c>
      <c r="T25" s="18" t="n"/>
      <c r="U25" s="37">
        <f>T25</f>
        <v/>
      </c>
      <c r="V25" s="18" t="n"/>
      <c r="W25" s="18" t="n"/>
      <c r="X25" s="18" t="n"/>
      <c r="Y25" s="18" t="n"/>
      <c r="Z25" s="37">
        <f>Y25</f>
        <v/>
      </c>
      <c r="AA25" s="18" t="n"/>
      <c r="AB25" s="19" t="n"/>
      <c r="AC25" s="20" t="n"/>
      <c r="AD25" s="20" t="n"/>
      <c r="AE25" s="38">
        <f>AD25</f>
        <v/>
      </c>
      <c r="AF25" s="20" t="n"/>
      <c r="AG25" s="20" t="n"/>
      <c r="AH25" s="20" t="n"/>
      <c r="AI25" s="20" t="n"/>
      <c r="AJ25" s="38">
        <f>AI25</f>
        <v/>
      </c>
      <c r="AK25" s="20" t="n"/>
      <c r="AL25" s="20" t="n"/>
      <c r="AM25" s="20" t="n"/>
      <c r="AN25" s="20" t="n"/>
      <c r="AO25" s="38">
        <f>AN25</f>
        <v/>
      </c>
    </row>
    <row r="26">
      <c r="A26" s="12" t="inlineStr">
        <is>
          <t>순차입금</t>
        </is>
      </c>
      <c r="B26" t="inlineStr">
        <is>
          <t>재무상태</t>
        </is>
      </c>
      <c r="C26" t="inlineStr">
        <is>
          <t>억원</t>
        </is>
      </c>
      <c r="D26" t="inlineStr">
        <is>
          <t>순차입금</t>
        </is>
      </c>
      <c r="E26" s="18">
        <f>IFERROR(VLOOKUP($D26,BS연결,MATCH(E$1,BS연결H,0),0)/100,"")</f>
        <v/>
      </c>
      <c r="F26" s="37">
        <f>IFERROR(VLOOKUP($D26,BS연결,MATCH(F$1,BS연결H,0),0)/100,"")</f>
        <v/>
      </c>
      <c r="G26" s="18">
        <f>IFERROR(VLOOKUP($D26,BS연결,MATCH(G$1,BS연결H,0),0)/100,"")</f>
        <v/>
      </c>
      <c r="H26" s="18">
        <f>IFERROR(VLOOKUP($D26,BS연결,MATCH(H$1,BS연결H,0),0)/100,"")</f>
        <v/>
      </c>
      <c r="I26" s="18">
        <f>IFERROR(VLOOKUP($D26,BS연결,MATCH(I$1,BS연결H,0),0)/100,"")</f>
        <v/>
      </c>
      <c r="J26" s="18">
        <f>IFERROR(VLOOKUP($D26,BS연결,MATCH(J$1,BS연결H,0),0)/100,"")</f>
        <v/>
      </c>
      <c r="K26" s="37">
        <f>IFERROR(VLOOKUP($D26,BS연결,MATCH(K$1,BS연결H,0),0)/100,"")</f>
        <v/>
      </c>
      <c r="L26" s="18">
        <f>IFERROR(VLOOKUP($D26,BS연결,MATCH(L$1,BS연결H,0),0)/100,"")</f>
        <v/>
      </c>
      <c r="M26" s="18">
        <f>IFERROR(VLOOKUP($D26,BS연결,MATCH(M$1,BS연결H,0),0)/100,"")</f>
        <v/>
      </c>
      <c r="N26" s="18">
        <f>IFERROR(VLOOKUP($D26,BS연결,MATCH(N$1,BS연결H,0),0)/100,"")</f>
        <v/>
      </c>
      <c r="O26" s="18">
        <f>IFERROR(VLOOKUP($D26,BS연결,MATCH(O$1,BS연결H,0),0)/100,"")</f>
        <v/>
      </c>
      <c r="P26" s="37">
        <f>IFERROR(VLOOKUP($D26,BS연결,MATCH(P$1,BS연결H,0),0)/100,"")</f>
        <v/>
      </c>
      <c r="Q26" s="18">
        <f>IFERROR(VLOOKUP($D26,BS연결,MATCH(Q$1,BS연결H,0),0)/100,"")</f>
        <v/>
      </c>
      <c r="R26" s="18">
        <f>IFERROR(VLOOKUP($D26,BS연결,MATCH(R$1,BS연결H,0),0)/100,"")</f>
        <v/>
      </c>
      <c r="S26" s="18">
        <f>IFERROR(VLOOKUP($D26,BS연결,MATCH(S$1,BS연결H,0),0)/100,"")</f>
        <v/>
      </c>
      <c r="T26" s="18" t="n"/>
      <c r="U26" s="37">
        <f>T26</f>
        <v/>
      </c>
      <c r="V26" s="18" t="n"/>
      <c r="W26" s="18" t="n"/>
      <c r="X26" s="18" t="n"/>
      <c r="Y26" s="18" t="n"/>
      <c r="Z26" s="37">
        <f>Y26</f>
        <v/>
      </c>
      <c r="AA26" s="18" t="n"/>
      <c r="AB26" s="19" t="n"/>
      <c r="AC26" s="20" t="n"/>
      <c r="AD26" s="20" t="n"/>
      <c r="AE26" s="38">
        <f>AD26</f>
        <v/>
      </c>
      <c r="AF26" s="20" t="n"/>
      <c r="AG26" s="20" t="n"/>
      <c r="AH26" s="20" t="n"/>
      <c r="AI26" s="20" t="n"/>
      <c r="AJ26" s="38">
        <f>AI26</f>
        <v/>
      </c>
      <c r="AK26" s="20" t="n"/>
      <c r="AL26" s="20" t="n"/>
      <c r="AM26" s="20" t="n"/>
      <c r="AN26" s="20" t="n"/>
      <c r="AO26" s="38">
        <f>AN26</f>
        <v/>
      </c>
    </row>
    <row r="27">
      <c r="A27" s="12" t="inlineStr">
        <is>
          <t>이자발생자산</t>
        </is>
      </c>
      <c r="B27" t="inlineStr">
        <is>
          <t>재무상태</t>
        </is>
      </c>
      <c r="C27" t="inlineStr">
        <is>
          <t>억원</t>
        </is>
      </c>
      <c r="D27" t="inlineStr">
        <is>
          <t>이자발생자산</t>
        </is>
      </c>
      <c r="E27" s="18">
        <f>IFERROR(VLOOKUP($D27,BS연결,MATCH(E$1,BS연결H,0),0)/100,"")</f>
        <v/>
      </c>
      <c r="F27" s="37">
        <f>IFERROR(VLOOKUP($D27,BS연결,MATCH(F$1,BS연결H,0),0)/100,"")</f>
        <v/>
      </c>
      <c r="G27" s="18">
        <f>IFERROR(VLOOKUP($D27,BS연결,MATCH(G$1,BS연결H,0),0)/100,"")</f>
        <v/>
      </c>
      <c r="H27" s="18">
        <f>IFERROR(VLOOKUP($D27,BS연결,MATCH(H$1,BS연결H,0),0)/100,"")</f>
        <v/>
      </c>
      <c r="I27" s="18">
        <f>IFERROR(VLOOKUP($D27,BS연결,MATCH(I$1,BS연결H,0),0)/100,"")</f>
        <v/>
      </c>
      <c r="J27" s="18">
        <f>IFERROR(VLOOKUP($D27,BS연결,MATCH(J$1,BS연결H,0),0)/100,"")</f>
        <v/>
      </c>
      <c r="K27" s="37">
        <f>IFERROR(VLOOKUP($D27,BS연결,MATCH(K$1,BS연결H,0),0)/100,"")</f>
        <v/>
      </c>
      <c r="L27" s="18">
        <f>IFERROR(VLOOKUP($D27,BS연결,MATCH(L$1,BS연결H,0),0)/100,"")</f>
        <v/>
      </c>
      <c r="M27" s="18">
        <f>IFERROR(VLOOKUP($D27,BS연결,MATCH(M$1,BS연결H,0),0)/100,"")</f>
        <v/>
      </c>
      <c r="N27" s="18">
        <f>IFERROR(VLOOKUP($D27,BS연결,MATCH(N$1,BS연결H,0),0)/100,"")</f>
        <v/>
      </c>
      <c r="O27" s="18">
        <f>IFERROR(VLOOKUP($D27,BS연결,MATCH(O$1,BS연결H,0),0)/100,"")</f>
        <v/>
      </c>
      <c r="P27" s="37">
        <f>IFERROR(VLOOKUP($D27,BS연결,MATCH(P$1,BS연결H,0),0)/100,"")</f>
        <v/>
      </c>
      <c r="Q27" s="18">
        <f>IFERROR(VLOOKUP($D27,BS연결,MATCH(Q$1,BS연결H,0),0)/100,"")</f>
        <v/>
      </c>
      <c r="R27" s="18">
        <f>IFERROR(VLOOKUP($D27,BS연결,MATCH(R$1,BS연결H,0),0)/100,"")</f>
        <v/>
      </c>
      <c r="S27" s="18">
        <f>IFERROR(VLOOKUP($D27,BS연결,MATCH(S$1,BS연결H,0),0)/100,"")</f>
        <v/>
      </c>
      <c r="T27" s="18">
        <f>IFERROR(VLOOKUP($D27,BS연결,MATCH(T$1,BS연결H,0),0)/100,"")</f>
        <v/>
      </c>
      <c r="U27" s="37">
        <f>IFERROR(VLOOKUP($D27,BS연결,MATCH(U$1,BS연결H,0),0)/100,"")</f>
        <v/>
      </c>
      <c r="V27" s="18">
        <f>IFERROR(VLOOKUP($D27,BS연결,MATCH(V$1,BS연결H,0),0)/100,"")</f>
        <v/>
      </c>
      <c r="W27" s="18">
        <f>IFERROR(VLOOKUP($D27,BS연결,MATCH(W$1,BS연결H,0),0)/100,"")</f>
        <v/>
      </c>
      <c r="X27" s="18">
        <f>IFERROR(VLOOKUP($D27,BS연결,MATCH(X$1,BS연결H,0),0)/100,"")</f>
        <v/>
      </c>
      <c r="Y27" s="18">
        <f>IFERROR(VLOOKUP($D27,BS연결,MATCH(Y$1,BS연결H,0),0)/100,"")</f>
        <v/>
      </c>
      <c r="Z27" s="37">
        <f>IFERROR(VLOOKUP($D27,BS연결,MATCH(Z$1,BS연결H,0),0)/100,"")</f>
        <v/>
      </c>
      <c r="AA27" s="18">
        <f>IFERROR(VLOOKUP($D27,BS연결,MATCH(AA$1,BS연결H,0),0)/100,"")</f>
        <v/>
      </c>
      <c r="AB27" s="19">
        <f>IFERROR(VLOOKUP($D27,BS연결,MATCH(AB$1,BS연결H,0),0)/100,"")</f>
        <v/>
      </c>
      <c r="AC27" s="20">
        <f>IFERROR(AB27*(1+변수!AC35),"")</f>
        <v/>
      </c>
      <c r="AD27" s="20">
        <f>IFERROR(AC27*(1+변수!AD35),"")</f>
        <v/>
      </c>
      <c r="AE27" s="38">
        <f>AD27</f>
        <v/>
      </c>
      <c r="AF27" s="20">
        <f>IFERROR(AD27*(1+변수!AF35),"")</f>
        <v/>
      </c>
      <c r="AG27" s="20">
        <f>IFERROR(AF27*(1+변수!AG35),"")</f>
        <v/>
      </c>
      <c r="AH27" s="20">
        <f>IFERROR(AG27*(1+변수!AH35),"")</f>
        <v/>
      </c>
      <c r="AI27" s="20">
        <f>IFERROR(AH27*(1+변수!AI35),"")</f>
        <v/>
      </c>
      <c r="AJ27" s="38">
        <f>AI27</f>
        <v/>
      </c>
      <c r="AK27" s="20">
        <f>IFERROR(AI27*(1+변수!AK35),"")</f>
        <v/>
      </c>
      <c r="AL27" s="20">
        <f>IFERROR(AK27*(1+변수!AL35),"")</f>
        <v/>
      </c>
      <c r="AM27" s="20">
        <f>IFERROR(AL27*(1+변수!AM35),"")</f>
        <v/>
      </c>
      <c r="AN27" s="20">
        <f>IFERROR(AM27*(1+변수!AN35),"")</f>
        <v/>
      </c>
      <c r="AO27" s="38">
        <f>AN27</f>
        <v/>
      </c>
    </row>
    <row r="28">
      <c r="A28" s="12" t="inlineStr">
        <is>
          <t>현금및현금성자산</t>
        </is>
      </c>
      <c r="B28" t="inlineStr">
        <is>
          <t>재무상태</t>
        </is>
      </c>
      <c r="C28" t="inlineStr">
        <is>
          <t>억원</t>
        </is>
      </c>
      <c r="D28" t="inlineStr">
        <is>
          <t>현금및현금성자산</t>
        </is>
      </c>
      <c r="E28" s="18">
        <f>IFERROR(VLOOKUP($D28,BS연결,MATCH(E$1,BS연결H,0),0)/100,"")</f>
        <v/>
      </c>
      <c r="F28" s="37">
        <f>IFERROR(VLOOKUP($D28,BS연결,MATCH(F$1,BS연결H,0),0)/100,"")</f>
        <v/>
      </c>
      <c r="G28" s="18">
        <f>IFERROR(VLOOKUP($D28,BS연결,MATCH(G$1,BS연결H,0),0)/100,"")</f>
        <v/>
      </c>
      <c r="H28" s="18">
        <f>IFERROR(VLOOKUP($D28,BS연결,MATCH(H$1,BS연결H,0),0)/100,"")</f>
        <v/>
      </c>
      <c r="I28" s="18">
        <f>IFERROR(VLOOKUP($D28,BS연결,MATCH(I$1,BS연결H,0),0)/100,"")</f>
        <v/>
      </c>
      <c r="J28" s="18">
        <f>IFERROR(VLOOKUP($D28,BS연결,MATCH(J$1,BS연결H,0),0)/100,"")</f>
        <v/>
      </c>
      <c r="K28" s="37">
        <f>IFERROR(VLOOKUP($D28,BS연결,MATCH(K$1,BS연결H,0),0)/100,"")</f>
        <v/>
      </c>
      <c r="L28" s="18">
        <f>IFERROR(VLOOKUP($D28,BS연결,MATCH(L$1,BS연결H,0),0)/100,"")</f>
        <v/>
      </c>
      <c r="M28" s="18">
        <f>IFERROR(VLOOKUP($D28,BS연결,MATCH(M$1,BS연결H,0),0)/100,"")</f>
        <v/>
      </c>
      <c r="N28" s="18">
        <f>IFERROR(VLOOKUP($D28,BS연결,MATCH(N$1,BS연결H,0),0)/100,"")</f>
        <v/>
      </c>
      <c r="O28" s="18">
        <f>IFERROR(VLOOKUP($D28,BS연결,MATCH(O$1,BS연결H,0),0)/100,"")</f>
        <v/>
      </c>
      <c r="P28" s="37">
        <f>IFERROR(VLOOKUP($D28,BS연결,MATCH(P$1,BS연결H,0),0)/100,"")</f>
        <v/>
      </c>
      <c r="Q28" s="18">
        <f>IFERROR(VLOOKUP($D28,BS연결,MATCH(Q$1,BS연결H,0),0)/100,"")</f>
        <v/>
      </c>
      <c r="R28" s="18">
        <f>IFERROR(VLOOKUP($D28,BS연결,MATCH(R$1,BS연결H,0),0)/100,"")</f>
        <v/>
      </c>
      <c r="S28" s="18">
        <f>IFERROR(VLOOKUP($D28,BS연결,MATCH(S$1,BS연결H,0),0)/100,"")</f>
        <v/>
      </c>
      <c r="T28" s="18">
        <f>IFERROR(VLOOKUP($D28,BS연결,MATCH(T$1,BS연결H,0),0)/100,"")</f>
        <v/>
      </c>
      <c r="U28" s="37">
        <f>IFERROR(VLOOKUP($D28,BS연결,MATCH(U$1,BS연결H,0),0)/100,"")</f>
        <v/>
      </c>
      <c r="V28" s="18">
        <f>IFERROR(VLOOKUP($D28,BS연결,MATCH(V$1,BS연결H,0),0)/100,"")</f>
        <v/>
      </c>
      <c r="W28" s="18">
        <f>IFERROR(VLOOKUP($D28,BS연결,MATCH(W$1,BS연결H,0),0)/100,"")</f>
        <v/>
      </c>
      <c r="X28" s="18">
        <f>IFERROR(VLOOKUP($D28,BS연결,MATCH(X$1,BS연결H,0),0)/100,"")</f>
        <v/>
      </c>
      <c r="Y28" s="18">
        <f>IFERROR(VLOOKUP($D28,BS연결,MATCH(Y$1,BS연결H,0),0)/100,"")</f>
        <v/>
      </c>
      <c r="Z28" s="37">
        <f>IFERROR(VLOOKUP($D28,BS연결,MATCH(Z$1,BS연결H,0),0)/100,"")</f>
        <v/>
      </c>
      <c r="AA28" s="18">
        <f>IFERROR(VLOOKUP($D28,BS연결,MATCH(AA$1,BS연결H,0),0)/100,"")</f>
        <v/>
      </c>
      <c r="AB28" s="19">
        <f>IFERROR(VLOOKUP($D28,BS연결,MATCH(AB$1,BS연결H,0),0)/100,"")</f>
        <v/>
      </c>
      <c r="AC28" s="20" t="n"/>
      <c r="AD28" s="20" t="n"/>
      <c r="AE28" s="38">
        <f>AD28</f>
        <v/>
      </c>
      <c r="AF28" s="20" t="n"/>
      <c r="AG28" s="20" t="n"/>
      <c r="AH28" s="20" t="n"/>
      <c r="AI28" s="20" t="n"/>
      <c r="AJ28" s="38">
        <f>AI28</f>
        <v/>
      </c>
      <c r="AK28" s="20" t="n"/>
      <c r="AL28" s="20" t="n"/>
      <c r="AM28" s="20" t="n"/>
      <c r="AN28" s="20" t="n"/>
      <c r="AO28" s="38">
        <f>AN28</f>
        <v/>
      </c>
    </row>
    <row r="29">
      <c r="A29" s="12" t="inlineStr">
        <is>
          <t>CAPEX</t>
        </is>
      </c>
      <c r="B29" t="inlineStr">
        <is>
          <t>현금흐름</t>
        </is>
      </c>
      <c r="C29" t="inlineStr">
        <is>
          <t>억원</t>
        </is>
      </c>
      <c r="D29" t="inlineStr">
        <is>
          <t>CAPEX</t>
        </is>
      </c>
      <c r="E29" s="18">
        <f>IFERROR(VLOOKUP($D29,BS연결,MATCH(E$1,BS연결H,0),0)/100,"")</f>
        <v/>
      </c>
      <c r="F29" s="37" t="n"/>
      <c r="G29" s="18">
        <f>IFERROR(VLOOKUP($D29,BS연결,MATCH(G$1,BS연결H,0),0)/100,"")</f>
        <v/>
      </c>
      <c r="H29" s="18">
        <f>IFERROR(VLOOKUP($D29,BS연결,MATCH(H$1,BS연결H,0),0)/100,"")</f>
        <v/>
      </c>
      <c r="I29" s="18">
        <f>IFERROR(VLOOKUP($D29,BS연결,MATCH(I$1,BS연결H,0),0)/100,"")</f>
        <v/>
      </c>
      <c r="J29" s="18">
        <f>IFERROR(VLOOKUP($D29,BS연결,MATCH(J$1,BS연결H,0),0)/100,"")</f>
        <v/>
      </c>
      <c r="K29" s="37">
        <f>IFERROR(VLOOKUP($D29,BS연결,MATCH(K$1,BS연결H,0),0)/100,"")</f>
        <v/>
      </c>
      <c r="L29" s="18">
        <f>IFERROR(VLOOKUP($D29,BS연결,MATCH(L$1,BS연결H,0),0)/100,"")</f>
        <v/>
      </c>
      <c r="M29" s="18">
        <f>IFERROR(VLOOKUP($D29,BS연결,MATCH(M$1,BS연결H,0),0)/100,"")</f>
        <v/>
      </c>
      <c r="N29" s="18">
        <f>IFERROR(VLOOKUP($D29,BS연결,MATCH(N$1,BS연결H,0),0)/100,"")</f>
        <v/>
      </c>
      <c r="O29" s="18">
        <f>IFERROR(VLOOKUP($D29,BS연결,MATCH(O$1,BS연결H,0),0)/100,"")</f>
        <v/>
      </c>
      <c r="P29" s="37">
        <f>IFERROR(VLOOKUP($D29,BS연결,MATCH(P$1,BS연결H,0),0)/100,"")</f>
        <v/>
      </c>
      <c r="Q29" s="18">
        <f>IFERROR(VLOOKUP($D29,BS연결,MATCH(Q$1,BS연결H,0),0)/100,"")</f>
        <v/>
      </c>
      <c r="R29" s="18">
        <f>IFERROR(VLOOKUP($D29,BS연결,MATCH(R$1,BS연결H,0),0)/100,"")</f>
        <v/>
      </c>
      <c r="S29" s="18">
        <f>IFERROR(VLOOKUP($D29,BS연결,MATCH(S$1,BS연결H,0),0)/100,"")</f>
        <v/>
      </c>
      <c r="T29" s="18" t="n"/>
      <c r="U29" s="37">
        <f>SUM(Q29:T29)</f>
        <v/>
      </c>
      <c r="V29" s="18">
        <f>IFERROR(VLOOKUP($D29,BS연결,MATCH(V$1,BS연결H,0),0)/100,"")</f>
        <v/>
      </c>
      <c r="W29" s="18">
        <f>IFERROR(VLOOKUP($D29,BS연결,MATCH(W$1,BS연결H,0),0)/100,"")</f>
        <v/>
      </c>
      <c r="X29" s="18">
        <f>IFERROR(VLOOKUP($D29,BS연결,MATCH(X$1,BS연결H,0),0)/100,"")</f>
        <v/>
      </c>
      <c r="Y29" s="18">
        <f>IFERROR(VLOOKUP($D29,BS연결,MATCH(Y$1,BS연결H,0),0)/100,"")</f>
        <v/>
      </c>
      <c r="Z29" s="37">
        <f>IFERROR(VLOOKUP($D29,BS연결,MATCH(Z$1,BS연결H,0),0)/100,"")</f>
        <v/>
      </c>
      <c r="AA29" s="18">
        <f>IFERROR(VLOOKUP($D29,BS연결,MATCH(AA$1,BS연결H,0),0)/100,"")</f>
        <v/>
      </c>
      <c r="AB29" s="19">
        <f>IFERROR(VLOOKUP($D29,BS연결,MATCH(AB$1,BS연결H,0),0)/100,"")</f>
        <v/>
      </c>
      <c r="AC29" s="20">
        <f>IFERROR(X29*(1+변수!AC37),"")</f>
        <v/>
      </c>
      <c r="AD29" s="20">
        <f>IFERROR(Y29*(1+변수!AD37),"")</f>
        <v/>
      </c>
      <c r="AE29" s="38">
        <f>SUM(AA29:AD29)</f>
        <v/>
      </c>
      <c r="AF29" s="20">
        <f>IFERROR(AA29*(1+변수!AF37),"")</f>
        <v/>
      </c>
      <c r="AG29" s="20">
        <f>IFERROR(AB29*(1+변수!AG37),"")</f>
        <v/>
      </c>
      <c r="AH29" s="20">
        <f>IFERROR(AC29*(1+변수!AH37),"")</f>
        <v/>
      </c>
      <c r="AI29" s="20">
        <f>IFERROR(AD29*(1+변수!AI37),"")</f>
        <v/>
      </c>
      <c r="AJ29" s="38">
        <f>SUM(AF29:AI29)</f>
        <v/>
      </c>
      <c r="AK29" s="20">
        <f>IFERROR(AF29*(1+변수!AK37),"")</f>
        <v/>
      </c>
      <c r="AL29" s="20">
        <f>IFERROR(AG29*(1+변수!AL37),"")</f>
        <v/>
      </c>
      <c r="AM29" s="20">
        <f>IFERROR(AH29*(1+변수!AM37),"")</f>
        <v/>
      </c>
      <c r="AN29" s="20">
        <f>IFERROR(AI29*(1+변수!AN37),"")</f>
        <v/>
      </c>
      <c r="AO29" s="38">
        <f>SUM(AK29:AN29)</f>
        <v/>
      </c>
    </row>
    <row r="30">
      <c r="A30" s="12" t="inlineStr">
        <is>
          <t>영업활동현금흐름</t>
        </is>
      </c>
      <c r="B30" t="inlineStr">
        <is>
          <t>현금흐름</t>
        </is>
      </c>
      <c r="C30" t="inlineStr">
        <is>
          <t>억원</t>
        </is>
      </c>
      <c r="D30" t="inlineStr">
        <is>
          <t>영업활동으로인한현금흐름</t>
        </is>
      </c>
      <c r="E30" s="18">
        <f>IFERROR(VLOOKUP($D30,BS연결,MATCH(E$1,BS연결H,0),0)/100,"")</f>
        <v/>
      </c>
      <c r="F30" s="37" t="n"/>
      <c r="G30" s="18">
        <f>IFERROR(VLOOKUP($D30,BS연결,MATCH(G$1,BS연결H,0),0)/100,"")</f>
        <v/>
      </c>
      <c r="H30" s="18">
        <f>IFERROR(VLOOKUP($D30,BS연결,MATCH(H$1,BS연결H,0),0)/100,"")</f>
        <v/>
      </c>
      <c r="I30" s="18">
        <f>IFERROR(VLOOKUP($D30,BS연결,MATCH(I$1,BS연결H,0),0)/100,"")</f>
        <v/>
      </c>
      <c r="J30" s="18">
        <f>IFERROR(VLOOKUP($D30,BS연결,MATCH(J$1,BS연결H,0),0)/100,"")</f>
        <v/>
      </c>
      <c r="K30" s="37">
        <f>IFERROR(VLOOKUP($D30,BS연결,MATCH(K$1,BS연결H,0),0)/100,"")</f>
        <v/>
      </c>
      <c r="L30" s="18">
        <f>IFERROR(VLOOKUP($D30,BS연결,MATCH(L$1,BS연결H,0),0)/100,"")</f>
        <v/>
      </c>
      <c r="M30" s="18">
        <f>IFERROR(VLOOKUP($D30,BS연결,MATCH(M$1,BS연결H,0),0)/100,"")</f>
        <v/>
      </c>
      <c r="N30" s="18">
        <f>IFERROR(VLOOKUP($D30,BS연결,MATCH(N$1,BS연결H,0),0)/100,"")</f>
        <v/>
      </c>
      <c r="O30" s="18">
        <f>IFERROR(VLOOKUP($D30,BS연결,MATCH(O$1,BS연결H,0),0)/100,"")</f>
        <v/>
      </c>
      <c r="P30" s="37">
        <f>IFERROR(VLOOKUP($D30,BS연결,MATCH(P$1,BS연결H,0),0)/100,"")</f>
        <v/>
      </c>
      <c r="Q30" s="18">
        <f>IFERROR(VLOOKUP($D30,BS연결,MATCH(Q$1,BS연결H,0),0)/100,"")</f>
        <v/>
      </c>
      <c r="R30" s="18">
        <f>IFERROR(VLOOKUP($D30,BS연결,MATCH(R$1,BS연결H,0),0)/100,"")</f>
        <v/>
      </c>
      <c r="S30" s="18">
        <f>IFERROR(VLOOKUP($D30,BS연결,MATCH(S$1,BS연결H,0),0)/100,"")</f>
        <v/>
      </c>
      <c r="T30" s="18">
        <f>IFERROR(VLOOKUP($D30,BS연결,MATCH(T$1,BS연결H,0),0)/100,"")</f>
        <v/>
      </c>
      <c r="U30" s="37">
        <f>IFERROR(VLOOKUP($D30,BS연결,MATCH(U$1,BS연결H,0),0)/100,"")</f>
        <v/>
      </c>
      <c r="V30" s="18">
        <f>IFERROR(VLOOKUP($D30,BS연결,MATCH(V$1,BS연결H,0),0)/100,"")</f>
        <v/>
      </c>
      <c r="W30" s="18">
        <f>IFERROR(VLOOKUP($D30,BS연결,MATCH(W$1,BS연결H,0),0)/100,"")</f>
        <v/>
      </c>
      <c r="X30" s="18">
        <f>IFERROR(VLOOKUP($D30,BS연결,MATCH(X$1,BS연결H,0),0)/100,"")</f>
        <v/>
      </c>
      <c r="Y30" s="18">
        <f>IFERROR(VLOOKUP($D30,BS연결,MATCH(Y$1,BS연결H,0),0)/100,"")</f>
        <v/>
      </c>
      <c r="Z30" s="37">
        <f>IFERROR(VLOOKUP($D30,BS연결,MATCH(Z$1,BS연결H,0),0)/100,"")</f>
        <v/>
      </c>
      <c r="AA30" s="18">
        <f>IFERROR(VLOOKUP($D30,BS연결,MATCH(AA$1,BS연결H,0),0)/100,"")</f>
        <v/>
      </c>
      <c r="AB30" s="19">
        <f>IFERROR(VLOOKUP($D30,BS연결,MATCH(AB$1,BS연결H,0),0)/100,"")</f>
        <v/>
      </c>
      <c r="AC30" s="20" t="n"/>
      <c r="AD30" s="20" t="n"/>
      <c r="AE30" s="38">
        <f>SUM(AA30:AD30)</f>
        <v/>
      </c>
      <c r="AF30" s="20" t="n"/>
      <c r="AG30" s="20" t="n"/>
      <c r="AH30" s="20" t="n"/>
      <c r="AI30" s="20" t="n"/>
      <c r="AJ30" s="38">
        <f>SUM(AF30:AI30)</f>
        <v/>
      </c>
      <c r="AK30" s="20" t="n"/>
      <c r="AL30" s="20" t="n"/>
      <c r="AM30" s="20" t="n"/>
      <c r="AN30" s="20" t="n"/>
      <c r="AO30" s="38">
        <f>SUM(AK30:AN30)</f>
        <v/>
      </c>
    </row>
    <row r="31">
      <c r="A31" s="12" t="inlineStr">
        <is>
          <t>주식수</t>
        </is>
      </c>
      <c r="B31" t="inlineStr">
        <is>
          <t>주당</t>
        </is>
      </c>
      <c r="C31" t="inlineStr">
        <is>
          <t>백만주</t>
        </is>
      </c>
      <c r="D31" t="inlineStr">
        <is>
          <t>유통주식수</t>
        </is>
      </c>
      <c r="E31" s="27" t="n">
        <v>20.114</v>
      </c>
      <c r="F31" s="28">
        <f>E31</f>
        <v/>
      </c>
      <c r="G31" s="27" t="n">
        <v>20.114</v>
      </c>
      <c r="H31" s="27" t="n">
        <v>20.114</v>
      </c>
      <c r="I31" s="27" t="n">
        <v>20.114</v>
      </c>
      <c r="J31" s="27" t="n">
        <v>20.114</v>
      </c>
      <c r="K31" s="28">
        <f>J31</f>
        <v/>
      </c>
      <c r="L31" s="27" t="n">
        <v>20.114</v>
      </c>
      <c r="M31" s="27" t="n">
        <v>20.114</v>
      </c>
      <c r="N31" s="27" t="n">
        <v>20.114</v>
      </c>
      <c r="O31" s="27" t="n">
        <v>20.114</v>
      </c>
      <c r="P31" s="28">
        <f>O31</f>
        <v/>
      </c>
      <c r="Q31" s="27" t="n">
        <v>20.114</v>
      </c>
      <c r="R31" s="27" t="n">
        <v>20.114</v>
      </c>
      <c r="S31" s="27" t="n">
        <v>20.114</v>
      </c>
      <c r="T31" s="27" t="n">
        <v>20.114</v>
      </c>
      <c r="U31" s="28">
        <f>T31</f>
        <v/>
      </c>
      <c r="V31" s="27" t="n">
        <v>20.114</v>
      </c>
      <c r="W31" s="27" t="n">
        <v>20.114</v>
      </c>
      <c r="X31" s="27" t="n">
        <v>20.114</v>
      </c>
      <c r="Y31" s="27" t="n">
        <v>20.114</v>
      </c>
      <c r="Z31" s="28">
        <f>Y31</f>
        <v/>
      </c>
      <c r="AA31" s="27" t="n">
        <v>20.114</v>
      </c>
      <c r="AB31" s="29" t="n">
        <v>20.114</v>
      </c>
      <c r="AC31" s="33">
        <f>IFERROR(AB31*(1+변수!AC39),"")</f>
        <v/>
      </c>
      <c r="AD31" s="33">
        <f>IFERROR(AC31*(1+변수!AD39),"")</f>
        <v/>
      </c>
      <c r="AE31" s="31">
        <f>AD31</f>
        <v/>
      </c>
      <c r="AF31" s="33">
        <f>IFERROR(AD31*(1+변수!AF39),"")</f>
        <v/>
      </c>
      <c r="AG31" s="33">
        <f>IFERROR(AF31*(1+변수!AG39),"")</f>
        <v/>
      </c>
      <c r="AH31" s="33">
        <f>IFERROR(AG31*(1+변수!AH39),"")</f>
        <v/>
      </c>
      <c r="AI31" s="33">
        <f>IFERROR(AH31*(1+변수!AI39),"")</f>
        <v/>
      </c>
      <c r="AJ31" s="31">
        <f>AI31</f>
        <v/>
      </c>
      <c r="AK31" s="33">
        <f>IFERROR(AI31*(1+변수!AK39),"")</f>
        <v/>
      </c>
      <c r="AL31" s="33">
        <f>IFERROR(AK31*(1+변수!AL39),"")</f>
        <v/>
      </c>
      <c r="AM31" s="33">
        <f>IFERROR(AL31*(1+변수!AM39),"")</f>
        <v/>
      </c>
      <c r="AN31" s="33">
        <f>IFERROR(AM31*(1+변수!AN39),"")</f>
        <v/>
      </c>
      <c r="AO31" s="31">
        <f>AN31</f>
        <v/>
      </c>
    </row>
    <row r="32">
      <c r="A32" s="12" t="inlineStr">
        <is>
          <t>EPS</t>
        </is>
      </c>
      <c r="B32" t="inlineStr">
        <is>
          <t>주당</t>
        </is>
      </c>
      <c r="C32" t="inlineStr">
        <is>
          <t>원</t>
        </is>
      </c>
      <c r="D32" t="inlineStr">
        <is>
          <t>EPS</t>
        </is>
      </c>
      <c r="E32" s="18">
        <f>IFERROR(E20*100/E31,"")</f>
        <v/>
      </c>
      <c r="F32" s="37" t="n"/>
      <c r="G32" s="18">
        <f>IFERROR(G20*100/G31,"")</f>
        <v/>
      </c>
      <c r="H32" s="18">
        <f>IFERROR(H20*100/H31,"")</f>
        <v/>
      </c>
      <c r="I32" s="18">
        <f>IFERROR(I20*100/I31,"")</f>
        <v/>
      </c>
      <c r="J32" s="18">
        <f>IFERROR(J20*100/J31,"")</f>
        <v/>
      </c>
      <c r="K32" s="37">
        <f>SUM(G32:J32)</f>
        <v/>
      </c>
      <c r="L32" s="18">
        <f>IFERROR(L20*100/L31,"")</f>
        <v/>
      </c>
      <c r="M32" s="18">
        <f>IFERROR(M20*100/M31,"")</f>
        <v/>
      </c>
      <c r="N32" s="18">
        <f>IFERROR(N20*100/N31,"")</f>
        <v/>
      </c>
      <c r="O32" s="18">
        <f>IFERROR(O20*100/O31,"")</f>
        <v/>
      </c>
      <c r="P32" s="37">
        <f>SUM(L32:O32)</f>
        <v/>
      </c>
      <c r="Q32" s="18">
        <f>IFERROR(Q20*100/Q31,"")</f>
        <v/>
      </c>
      <c r="R32" s="18">
        <f>IFERROR(R20*100/R31,"")</f>
        <v/>
      </c>
      <c r="S32" s="18">
        <f>IFERROR(S20*100/S31,"")</f>
        <v/>
      </c>
      <c r="T32" s="18">
        <f>IFERROR(T20*100/T31,"")</f>
        <v/>
      </c>
      <c r="U32" s="37">
        <f>SUM(Q32:T32)</f>
        <v/>
      </c>
      <c r="V32" s="18">
        <f>IFERROR(V20*100/V31,"")</f>
        <v/>
      </c>
      <c r="W32" s="18">
        <f>IFERROR(W20*100/W31,"")</f>
        <v/>
      </c>
      <c r="X32" s="18">
        <f>IFERROR(X20*100/X31,"")</f>
        <v/>
      </c>
      <c r="Y32" s="18">
        <f>IFERROR(Y20*100/Y31,"")</f>
        <v/>
      </c>
      <c r="Z32" s="37">
        <f>SUM(V32:Y32)</f>
        <v/>
      </c>
      <c r="AA32" s="18">
        <f>IFERROR(AA20*100/AA31,"")</f>
        <v/>
      </c>
      <c r="AB32" s="19">
        <f>IFERROR(AB20*100/AB31,"")</f>
        <v/>
      </c>
      <c r="AC32" s="20">
        <f>IFERROR(AC20*100/AC31,"")</f>
        <v/>
      </c>
      <c r="AD32" s="20">
        <f>IFERROR(AD20*100/AD31,"")</f>
        <v/>
      </c>
      <c r="AE32" s="38">
        <f>SUM(AA32:AD32)</f>
        <v/>
      </c>
      <c r="AF32" s="20">
        <f>IFERROR(AF20*100/AF31,"")</f>
        <v/>
      </c>
      <c r="AG32" s="20">
        <f>IFERROR(AG20*100/AG31,"")</f>
        <v/>
      </c>
      <c r="AH32" s="20">
        <f>IFERROR(AH20*100/AH31,"")</f>
        <v/>
      </c>
      <c r="AI32" s="20">
        <f>IFERROR(AI20*100/AI31,"")</f>
        <v/>
      </c>
      <c r="AJ32" s="38">
        <f>SUM(AF32:AI32)</f>
        <v/>
      </c>
      <c r="AK32" s="20">
        <f>IFERROR(AK20*100/AK31,"")</f>
        <v/>
      </c>
      <c r="AL32" s="20">
        <f>IFERROR(AL20*100/AL31,"")</f>
        <v/>
      </c>
      <c r="AM32" s="20">
        <f>IFERROR(AM20*100/AM31,"")</f>
        <v/>
      </c>
      <c r="AN32" s="20">
        <f>IFERROR(AN20*100/AN31,"")</f>
        <v/>
      </c>
      <c r="AO32" s="38">
        <f>SUM(AK32:AN32)</f>
        <v/>
      </c>
    </row>
    <row r="33">
      <c r="A33" s="12" t="inlineStr">
        <is>
          <t>BPS</t>
        </is>
      </c>
      <c r="B33" t="inlineStr">
        <is>
          <t>주당</t>
        </is>
      </c>
      <c r="C33" t="inlineStr">
        <is>
          <t>원</t>
        </is>
      </c>
      <c r="D33" t="inlineStr">
        <is>
          <t>BPS</t>
        </is>
      </c>
      <c r="E33" s="18">
        <f>IFERROR(E24*100/E31,"")</f>
        <v/>
      </c>
      <c r="F33" s="37">
        <f>E33</f>
        <v/>
      </c>
      <c r="G33" s="18">
        <f>IFERROR(G24*100/G31,"")</f>
        <v/>
      </c>
      <c r="H33" s="18">
        <f>IFERROR(H24*100/H31,"")</f>
        <v/>
      </c>
      <c r="I33" s="18">
        <f>IFERROR(I24*100/I31,"")</f>
        <v/>
      </c>
      <c r="J33" s="18">
        <f>IFERROR(J24*100/J31,"")</f>
        <v/>
      </c>
      <c r="K33" s="37">
        <f>J33</f>
        <v/>
      </c>
      <c r="L33" s="18">
        <f>IFERROR(L24*100/L31,"")</f>
        <v/>
      </c>
      <c r="M33" s="18">
        <f>IFERROR(M24*100/M31,"")</f>
        <v/>
      </c>
      <c r="N33" s="18">
        <f>IFERROR(N24*100/N31,"")</f>
        <v/>
      </c>
      <c r="O33" s="18">
        <f>IFERROR(O24*100/O31,"")</f>
        <v/>
      </c>
      <c r="P33" s="37">
        <f>O33</f>
        <v/>
      </c>
      <c r="Q33" s="18">
        <f>IFERROR(Q24*100/Q31,"")</f>
        <v/>
      </c>
      <c r="R33" s="18">
        <f>IFERROR(R24*100/R31,"")</f>
        <v/>
      </c>
      <c r="S33" s="18">
        <f>IFERROR(S24*100/S31,"")</f>
        <v/>
      </c>
      <c r="T33" s="18">
        <f>IFERROR(T24*100/T31,"")</f>
        <v/>
      </c>
      <c r="U33" s="37">
        <f>T33</f>
        <v/>
      </c>
      <c r="V33" s="18">
        <f>IFERROR(V24*100/V31,"")</f>
        <v/>
      </c>
      <c r="W33" s="18">
        <f>IFERROR(W24*100/W31,"")</f>
        <v/>
      </c>
      <c r="X33" s="18">
        <f>IFERROR(X24*100/X31,"")</f>
        <v/>
      </c>
      <c r="Y33" s="18">
        <f>IFERROR(Y24*100/Y31,"")</f>
        <v/>
      </c>
      <c r="Z33" s="37">
        <f>Y33</f>
        <v/>
      </c>
      <c r="AA33" s="18">
        <f>IFERROR(AA24*100/AA31,"")</f>
        <v/>
      </c>
      <c r="AB33" s="19">
        <f>IFERROR(AB24*100/AB31,"")</f>
        <v/>
      </c>
      <c r="AC33" s="20">
        <f>IFERROR(AC24*100/AC31,"")</f>
        <v/>
      </c>
      <c r="AD33" s="20">
        <f>IFERROR(AD24*100/AD31,"")</f>
        <v/>
      </c>
      <c r="AE33" s="38">
        <f>AD33</f>
        <v/>
      </c>
      <c r="AF33" s="20">
        <f>IFERROR(AF24*100/AF31,"")</f>
        <v/>
      </c>
      <c r="AG33" s="20">
        <f>IFERROR(AG24*100/AG31,"")</f>
        <v/>
      </c>
      <c r="AH33" s="20">
        <f>IFERROR(AH24*100/AH31,"")</f>
        <v/>
      </c>
      <c r="AI33" s="20">
        <f>IFERROR(AI24*100/AI31,"")</f>
        <v/>
      </c>
      <c r="AJ33" s="38">
        <f>AI33</f>
        <v/>
      </c>
      <c r="AK33" s="20">
        <f>IFERROR(AK24*100/AK31,"")</f>
        <v/>
      </c>
      <c r="AL33" s="20">
        <f>IFERROR(AL24*100/AL31,"")</f>
        <v/>
      </c>
      <c r="AM33" s="20">
        <f>IFERROR(AM24*100/AM31,"")</f>
        <v/>
      </c>
      <c r="AN33" s="20">
        <f>IFERROR(AN24*100/AN31,"")</f>
        <v/>
      </c>
      <c r="AO33" s="38">
        <f>AN33</f>
        <v/>
      </c>
    </row>
    <row r="34">
      <c r="A34" s="12" t="inlineStr">
        <is>
          <t>DPS</t>
        </is>
      </c>
      <c r="B34" t="inlineStr">
        <is>
          <t>주당</t>
        </is>
      </c>
      <c r="C34" t="inlineStr">
        <is>
          <t>원</t>
        </is>
      </c>
      <c r="D34" t="inlineStr">
        <is>
          <t>DPS(보통주)</t>
        </is>
      </c>
      <c r="E34" s="18" t="n">
        <v>100</v>
      </c>
      <c r="F34" s="37" t="n">
        <v>100</v>
      </c>
      <c r="G34" s="18" t="n"/>
      <c r="H34" s="18" t="n"/>
      <c r="I34" s="18" t="n"/>
      <c r="J34" s="18" t="n">
        <v>0</v>
      </c>
      <c r="K34" s="37">
        <f>SUM(G34:J34)</f>
        <v/>
      </c>
      <c r="L34" s="18" t="n"/>
      <c r="M34" s="18" t="n"/>
      <c r="N34" s="18" t="n"/>
      <c r="O34" s="18" t="n">
        <v>0</v>
      </c>
      <c r="P34" s="37">
        <f>SUM(L34:O34)</f>
        <v/>
      </c>
      <c r="Q34" s="18" t="n"/>
      <c r="R34" s="18" t="n"/>
      <c r="S34" s="18" t="n"/>
      <c r="T34" s="18" t="n">
        <v>130</v>
      </c>
      <c r="U34" s="37">
        <f>SUM(Q34:T34)</f>
        <v/>
      </c>
      <c r="V34" s="18" t="n"/>
      <c r="W34" s="18" t="n"/>
      <c r="X34" s="18" t="n"/>
      <c r="Y34" s="18" t="n">
        <v>130</v>
      </c>
      <c r="Z34" s="37">
        <f>SUM(V34:Y34)</f>
        <v/>
      </c>
      <c r="AA34" s="18" t="n"/>
      <c r="AB34" s="19" t="n"/>
      <c r="AC34" s="20" t="n"/>
      <c r="AD34" s="20">
        <f>변수!AD40</f>
        <v/>
      </c>
      <c r="AE34" s="38">
        <f>SUM(AA34:AD34)</f>
        <v/>
      </c>
      <c r="AF34" s="20" t="n"/>
      <c r="AG34" s="20" t="n"/>
      <c r="AH34" s="20" t="n"/>
      <c r="AI34" s="20">
        <f>변수!AI40</f>
        <v/>
      </c>
      <c r="AJ34" s="38">
        <f>SUM(AF34:AI34)</f>
        <v/>
      </c>
      <c r="AK34" s="20" t="n"/>
      <c r="AL34" s="20" t="n"/>
      <c r="AM34" s="20" t="n"/>
      <c r="AN34" s="20">
        <f>변수!AN40</f>
        <v/>
      </c>
      <c r="AO34" s="38">
        <f>SUM(AK34:AN34)</f>
        <v/>
      </c>
    </row>
    <row r="35">
      <c r="A35" s="12" t="inlineStr">
        <is>
          <t>PER</t>
        </is>
      </c>
      <c r="B35" t="inlineStr">
        <is>
          <t>주당</t>
        </is>
      </c>
      <c r="C35" t="inlineStr">
        <is>
          <t>배</t>
        </is>
      </c>
      <c r="D35" t="inlineStr">
        <is>
          <t>PER</t>
        </is>
      </c>
      <c r="E35" s="13" t="n"/>
      <c r="F35" s="14">
        <f>E35</f>
        <v/>
      </c>
      <c r="G35" s="13" t="n"/>
      <c r="H35" s="13" t="n"/>
      <c r="I35" s="13">
        <f>IFERROR(변수!I18/(E32+G32+H32+I32),"")</f>
        <v/>
      </c>
      <c r="J35" s="13" t="n"/>
      <c r="K35" s="14">
        <f>J35</f>
        <v/>
      </c>
      <c r="L35" s="13" t="n"/>
      <c r="M35" s="13" t="n"/>
      <c r="N35" s="13" t="n"/>
      <c r="O35" s="13" t="n"/>
      <c r="P35" s="14">
        <f>O35</f>
        <v/>
      </c>
      <c r="Q35" s="13" t="n"/>
      <c r="R35" s="13" t="n"/>
      <c r="S35" s="13" t="n"/>
      <c r="T35" s="13">
        <f>IFERROR(변수!T18/(Q32+R32+S32+T32),"")</f>
        <v/>
      </c>
      <c r="U35" s="14">
        <f>T35</f>
        <v/>
      </c>
      <c r="V35" s="13">
        <f>IFERROR(변수!V18/(R32+S32+T32+V32),"")</f>
        <v/>
      </c>
      <c r="W35" s="13">
        <f>IFERROR(변수!W18/(S32+T32+V32+W32),"")</f>
        <v/>
      </c>
      <c r="X35" s="13">
        <f>IFERROR(변수!X18/(T32+V32+W32+X32),"")</f>
        <v/>
      </c>
      <c r="Y35" s="13">
        <f>IFERROR(변수!Y18/(V32+W32+X32+Y32),"")</f>
        <v/>
      </c>
      <c r="Z35" s="14">
        <f>Y35</f>
        <v/>
      </c>
      <c r="AA35" s="13">
        <f>IFERROR(변수!AA18/(W32+X32+Y32+AA32),"")</f>
        <v/>
      </c>
      <c r="AB35" s="15">
        <f>IFERROR(변수!AB18/(X32+Y32+AA32+AB32),"")</f>
        <v/>
      </c>
      <c r="AC35" s="39">
        <f>IFERROR(변수!$D$43/(Y32+AA32+AB32+AC32),"")</f>
        <v/>
      </c>
      <c r="AD35" s="39">
        <f>IFERROR(변수!$D$43/(AA32+AB32+AC32+AD32),"")</f>
        <v/>
      </c>
      <c r="AE35" s="40">
        <f>AD35</f>
        <v/>
      </c>
      <c r="AF35" s="39">
        <f>IFERROR(변수!$D$43/(AB32+AC32+AD32+AF32),"")</f>
        <v/>
      </c>
      <c r="AG35" s="39">
        <f>IFERROR(변수!$D$43/(AC32+AD32+AF32+AG32),"")</f>
        <v/>
      </c>
      <c r="AH35" s="39">
        <f>IFERROR(변수!$D$43/(AD32+AF32+AG32+AH32),"")</f>
        <v/>
      </c>
      <c r="AI35" s="39">
        <f>IFERROR(변수!$D$43/(AF32+AG32+AH32+AI32),"")</f>
        <v/>
      </c>
      <c r="AJ35" s="40">
        <f>AI35</f>
        <v/>
      </c>
      <c r="AK35" s="39">
        <f>IFERROR(변수!$D$43/(AG32+AH32+AI32+AK32),"")</f>
        <v/>
      </c>
      <c r="AL35" s="39">
        <f>IFERROR(변수!$D$43/(AH32+AI32+AK32+AL32),"")</f>
        <v/>
      </c>
      <c r="AM35" s="39">
        <f>IFERROR(변수!$D$43/(AI32+AK32+AL32+AM32),"")</f>
        <v/>
      </c>
      <c r="AN35" s="39">
        <f>IFERROR(변수!$D$43/(AK32+AL32+AM32+AN32),"")</f>
        <v/>
      </c>
      <c r="AO35" s="40">
        <f>AN35</f>
        <v/>
      </c>
    </row>
    <row r="36">
      <c r="A36" s="12" t="inlineStr">
        <is>
          <t>PBR</t>
        </is>
      </c>
      <c r="B36" t="inlineStr">
        <is>
          <t>주당</t>
        </is>
      </c>
      <c r="C36" t="inlineStr">
        <is>
          <t>배</t>
        </is>
      </c>
      <c r="D36" t="inlineStr">
        <is>
          <t>PBR</t>
        </is>
      </c>
      <c r="E36" s="13">
        <f>IFERROR(변수!E18/E33,"")</f>
        <v/>
      </c>
      <c r="F36" s="14">
        <f>E36</f>
        <v/>
      </c>
      <c r="G36" s="13">
        <f>IFERROR(변수!G18/G33,"")</f>
        <v/>
      </c>
      <c r="H36" s="13">
        <f>IFERROR(변수!H18/H33,"")</f>
        <v/>
      </c>
      <c r="I36" s="13">
        <f>IFERROR(변수!I18/I33,"")</f>
        <v/>
      </c>
      <c r="J36" s="13">
        <f>IFERROR(변수!J18/J33,"")</f>
        <v/>
      </c>
      <c r="K36" s="14">
        <f>J36</f>
        <v/>
      </c>
      <c r="L36" s="13">
        <f>IFERROR(변수!L18/L33,"")</f>
        <v/>
      </c>
      <c r="M36" s="13">
        <f>IFERROR(변수!M18/M33,"")</f>
        <v/>
      </c>
      <c r="N36" s="13">
        <f>IFERROR(변수!N18/N33,"")</f>
        <v/>
      </c>
      <c r="O36" s="13">
        <f>IFERROR(변수!O18/O33,"")</f>
        <v/>
      </c>
      <c r="P36" s="14">
        <f>O36</f>
        <v/>
      </c>
      <c r="Q36" s="13">
        <f>IFERROR(변수!Q18/Q33,"")</f>
        <v/>
      </c>
      <c r="R36" s="13">
        <f>IFERROR(변수!R18/R33,"")</f>
        <v/>
      </c>
      <c r="S36" s="13">
        <f>IFERROR(변수!S18/S33,"")</f>
        <v/>
      </c>
      <c r="T36" s="13">
        <f>IFERROR(변수!T18/T33,"")</f>
        <v/>
      </c>
      <c r="U36" s="14">
        <f>T36</f>
        <v/>
      </c>
      <c r="V36" s="13">
        <f>IFERROR(변수!V18/V33,"")</f>
        <v/>
      </c>
      <c r="W36" s="13">
        <f>IFERROR(변수!W18/W33,"")</f>
        <v/>
      </c>
      <c r="X36" s="13">
        <f>IFERROR(변수!X18/X33,"")</f>
        <v/>
      </c>
      <c r="Y36" s="13">
        <f>IFERROR(변수!Y18/Y33,"")</f>
        <v/>
      </c>
      <c r="Z36" s="14">
        <f>Y36</f>
        <v/>
      </c>
      <c r="AA36" s="13">
        <f>IFERROR(변수!AA18/AA33,"")</f>
        <v/>
      </c>
      <c r="AB36" s="15">
        <f>IFERROR(변수!AB18/AB33,"")</f>
        <v/>
      </c>
      <c r="AC36" s="39">
        <f>IFERROR(변수!$D$43/AC33,"")</f>
        <v/>
      </c>
      <c r="AD36" s="39">
        <f>IFERROR(변수!$D$43/AD33,"")</f>
        <v/>
      </c>
      <c r="AE36" s="40">
        <f>AD36</f>
        <v/>
      </c>
      <c r="AF36" s="39">
        <f>IFERROR(변수!$D$43/AF33,"")</f>
        <v/>
      </c>
      <c r="AG36" s="39">
        <f>IFERROR(변수!$D$43/AG33,"")</f>
        <v/>
      </c>
      <c r="AH36" s="39">
        <f>IFERROR(변수!$D$43/AH33,"")</f>
        <v/>
      </c>
      <c r="AI36" s="39">
        <f>IFERROR(변수!$D$43/AI33,"")</f>
        <v/>
      </c>
      <c r="AJ36" s="40">
        <f>AI36</f>
        <v/>
      </c>
      <c r="AK36" s="39">
        <f>IFERROR(변수!$D$43/AK33,"")</f>
        <v/>
      </c>
      <c r="AL36" s="39">
        <f>IFERROR(변수!$D$43/AL33,"")</f>
        <v/>
      </c>
      <c r="AM36" s="39">
        <f>IFERROR(변수!$D$43/AM33,"")</f>
        <v/>
      </c>
      <c r="AN36" s="39">
        <f>IFERROR(변수!$D$43/AN33,"")</f>
        <v/>
      </c>
      <c r="AO36" s="40">
        <f>AN36</f>
        <v/>
      </c>
    </row>
    <row r="37">
      <c r="A37" s="12" t="inlineStr">
        <is>
          <t>매출전사</t>
        </is>
      </c>
      <c r="B37" t="inlineStr">
        <is>
          <t>사업부</t>
        </is>
      </c>
      <c r="C37" t="inlineStr">
        <is>
          <t>억원</t>
        </is>
      </c>
      <c r="D37" t="inlineStr">
        <is>
          <t>매출 전사(부문 미분리)</t>
        </is>
      </c>
      <c r="E37" s="18" t="n">
        <v>3718.79</v>
      </c>
      <c r="F37" s="37" t="n"/>
      <c r="G37" s="18" t="n">
        <v>3687.55</v>
      </c>
      <c r="H37" s="18" t="n">
        <v>3600.72</v>
      </c>
      <c r="I37" s="18" t="n">
        <v>3642.82</v>
      </c>
      <c r="J37" s="18" t="n">
        <v>4025.92</v>
      </c>
      <c r="K37" s="37">
        <f>SUM(G37:J37)</f>
        <v/>
      </c>
      <c r="L37" s="18" t="n">
        <v>3702.19</v>
      </c>
      <c r="M37" s="18" t="n">
        <v>3986.71</v>
      </c>
      <c r="N37" s="18" t="n">
        <v>3966.14</v>
      </c>
      <c r="O37" s="18" t="n">
        <v>4202</v>
      </c>
      <c r="P37" s="37">
        <f>SUM(L37:O37)</f>
        <v/>
      </c>
      <c r="Q37" s="18" t="n">
        <v>5047.87</v>
      </c>
      <c r="R37" s="18" t="n">
        <v>4969.57</v>
      </c>
      <c r="S37" s="18" t="n">
        <v>4541.15</v>
      </c>
      <c r="T37" s="18" t="n">
        <v>4147.98</v>
      </c>
      <c r="U37" s="37">
        <f>SUM(Q37:T37)</f>
        <v/>
      </c>
      <c r="V37" s="18" t="n">
        <v>4377.6</v>
      </c>
      <c r="W37" s="18" t="n">
        <v>4098.71</v>
      </c>
      <c r="X37" s="18" t="n">
        <v>3406.55</v>
      </c>
      <c r="Y37" s="18" t="n">
        <v>3579.2</v>
      </c>
      <c r="Z37" s="37">
        <f>SUM(V37:Y37)</f>
        <v/>
      </c>
      <c r="AA37" s="18" t="n">
        <v>3559.35</v>
      </c>
      <c r="AB37" s="19" t="n">
        <v>3731.33</v>
      </c>
      <c r="AC37" s="20">
        <f>IFERROR(AC5,"")</f>
        <v/>
      </c>
      <c r="AD37" s="20">
        <f>IFERROR(AD5,"")</f>
        <v/>
      </c>
      <c r="AE37" s="38">
        <f>SUM(AA37:AD37)</f>
        <v/>
      </c>
      <c r="AF37" s="20">
        <f>IFERROR(AF5,"")</f>
        <v/>
      </c>
      <c r="AG37" s="20">
        <f>IFERROR(AG5,"")</f>
        <v/>
      </c>
      <c r="AH37" s="20">
        <f>IFERROR(AH5,"")</f>
        <v/>
      </c>
      <c r="AI37" s="20">
        <f>IFERROR(AI5,"")</f>
        <v/>
      </c>
      <c r="AJ37" s="38">
        <f>SUM(AF37:AI37)</f>
        <v/>
      </c>
      <c r="AK37" s="20">
        <f>IFERROR(AK5,"")</f>
        <v/>
      </c>
      <c r="AL37" s="20">
        <f>IFERROR(AL5,"")</f>
        <v/>
      </c>
      <c r="AM37" s="20">
        <f>IFERROR(AM5,"")</f>
        <v/>
      </c>
      <c r="AN37" s="20">
        <f>IFERROR(AN5,"")</f>
        <v/>
      </c>
      <c r="AO37" s="38">
        <f>SUM(AK37:AN37)</f>
        <v/>
      </c>
    </row>
    <row r="38">
      <c r="A38" s="12" t="inlineStr">
        <is>
          <t>OP전사</t>
        </is>
      </c>
      <c r="B38" t="inlineStr">
        <is>
          <t>사업부</t>
        </is>
      </c>
      <c r="C38" t="inlineStr">
        <is>
          <t>억원</t>
        </is>
      </c>
      <c r="D38" t="inlineStr">
        <is>
          <t>OP 전사(부문 미분리)</t>
        </is>
      </c>
      <c r="E38" s="18" t="n">
        <v>13.27</v>
      </c>
      <c r="F38" s="37" t="n"/>
      <c r="G38" s="18" t="n">
        <v>29.16</v>
      </c>
      <c r="H38" s="18" t="n">
        <v>-2.86</v>
      </c>
      <c r="I38" s="18" t="n">
        <v>5.1</v>
      </c>
      <c r="J38" s="18" t="n">
        <v>-310.35</v>
      </c>
      <c r="K38" s="37">
        <f>SUM(G38:J38)</f>
        <v/>
      </c>
      <c r="L38" s="18" t="n">
        <v>-76.05</v>
      </c>
      <c r="M38" s="18" t="n">
        <v>34.76</v>
      </c>
      <c r="N38" s="18" t="n">
        <v>12.49</v>
      </c>
      <c r="O38" s="18" t="n">
        <v>-169.72</v>
      </c>
      <c r="P38" s="37">
        <f>SUM(L38:O38)</f>
        <v/>
      </c>
      <c r="Q38" s="18" t="n">
        <v>67.98999999999999</v>
      </c>
      <c r="R38" s="18" t="n">
        <v>81.7</v>
      </c>
      <c r="S38" s="18" t="n">
        <v>97.64</v>
      </c>
      <c r="T38" s="18" t="n">
        <v>-6.96</v>
      </c>
      <c r="U38" s="37">
        <f>SUM(Q38:T38)</f>
        <v/>
      </c>
      <c r="V38" s="18" t="n">
        <v>95.12</v>
      </c>
      <c r="W38" s="18" t="n">
        <v>50.8</v>
      </c>
      <c r="X38" s="18" t="n">
        <v>37.37</v>
      </c>
      <c r="Y38" s="18" t="n">
        <v>-26.11</v>
      </c>
      <c r="Z38" s="37">
        <f>SUM(V38:Y38)</f>
        <v/>
      </c>
      <c r="AA38" s="18" t="n">
        <v>10.53</v>
      </c>
      <c r="AB38" s="19" t="n">
        <v>55.59</v>
      </c>
      <c r="AC38" s="20">
        <f>IFERROR(AC9,"")</f>
        <v/>
      </c>
      <c r="AD38" s="20">
        <f>IFERROR(AD9,"")</f>
        <v/>
      </c>
      <c r="AE38" s="38">
        <f>SUM(AA38:AD38)</f>
        <v/>
      </c>
      <c r="AF38" s="20">
        <f>IFERROR(AF9,"")</f>
        <v/>
      </c>
      <c r="AG38" s="20">
        <f>IFERROR(AG9,"")</f>
        <v/>
      </c>
      <c r="AH38" s="20">
        <f>IFERROR(AH9,"")</f>
        <v/>
      </c>
      <c r="AI38" s="20">
        <f>IFERROR(AI9,"")</f>
        <v/>
      </c>
      <c r="AJ38" s="38">
        <f>SUM(AF38:AI38)</f>
        <v/>
      </c>
      <c r="AK38" s="20">
        <f>IFERROR(AK9,"")</f>
        <v/>
      </c>
      <c r="AL38" s="20">
        <f>IFERROR(AL9,"")</f>
        <v/>
      </c>
      <c r="AM38" s="20">
        <f>IFERROR(AM9,"")</f>
        <v/>
      </c>
      <c r="AN38" s="20">
        <f>IFERROR(AN9,"")</f>
        <v/>
      </c>
      <c r="AO38" s="38">
        <f>SUM(AK38:AN38)</f>
        <v/>
      </c>
    </row>
    <row r="39">
      <c r="B39" s="2" t="inlineStr">
        <is>
          <t>비율(참고)</t>
        </is>
      </c>
      <c r="F39" s="9" t="n"/>
      <c r="K39" s="9" t="n"/>
      <c r="P39" s="9" t="n"/>
      <c r="U39" s="9" t="n"/>
      <c r="Z39" s="9" t="n"/>
      <c r="AB39" s="5" t="n"/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s="12" t="inlineStr">
        <is>
          <t>NPM</t>
        </is>
      </c>
      <c r="C40" t="inlineStr">
        <is>
          <t>%</t>
        </is>
      </c>
      <c r="D40" t="inlineStr">
        <is>
          <t>지배주주순이익 / 매출액</t>
        </is>
      </c>
      <c r="E40" s="21">
        <f>IFERROR(E20/E5,"")</f>
        <v/>
      </c>
      <c r="F40" s="22">
        <f>IFERROR(F20/F5,"")</f>
        <v/>
      </c>
      <c r="G40" s="21">
        <f>IFERROR(G20/G5,"")</f>
        <v/>
      </c>
      <c r="H40" s="21">
        <f>IFERROR(H20/H5,"")</f>
        <v/>
      </c>
      <c r="I40" s="21">
        <f>IFERROR(I20/I5,"")</f>
        <v/>
      </c>
      <c r="J40" s="21">
        <f>IFERROR(J20/J5,"")</f>
        <v/>
      </c>
      <c r="K40" s="22">
        <f>IFERROR(K20/K5,"")</f>
        <v/>
      </c>
      <c r="L40" s="21">
        <f>IFERROR(L20/L5,"")</f>
        <v/>
      </c>
      <c r="M40" s="21">
        <f>IFERROR(M20/M5,"")</f>
        <v/>
      </c>
      <c r="N40" s="21">
        <f>IFERROR(N20/N5,"")</f>
        <v/>
      </c>
      <c r="O40" s="21">
        <f>IFERROR(O20/O5,"")</f>
        <v/>
      </c>
      <c r="P40" s="22">
        <f>IFERROR(P20/P5,"")</f>
        <v/>
      </c>
      <c r="Q40" s="21">
        <f>IFERROR(Q20/Q5,"")</f>
        <v/>
      </c>
      <c r="R40" s="21">
        <f>IFERROR(R20/R5,"")</f>
        <v/>
      </c>
      <c r="S40" s="21">
        <f>IFERROR(S20/S5,"")</f>
        <v/>
      </c>
      <c r="T40" s="21">
        <f>IFERROR(T20/T5,"")</f>
        <v/>
      </c>
      <c r="U40" s="22">
        <f>IFERROR(U20/U5,"")</f>
        <v/>
      </c>
      <c r="V40" s="21">
        <f>IFERROR(V20/V5,"")</f>
        <v/>
      </c>
      <c r="W40" s="21">
        <f>IFERROR(W20/W5,"")</f>
        <v/>
      </c>
      <c r="X40" s="21">
        <f>IFERROR(X20/X5,"")</f>
        <v/>
      </c>
      <c r="Y40" s="21">
        <f>IFERROR(Y20/Y5,"")</f>
        <v/>
      </c>
      <c r="Z40" s="22">
        <f>IFERROR(Z20/Z5,"")</f>
        <v/>
      </c>
      <c r="AA40" s="21">
        <f>IFERROR(AA20/AA5,"")</f>
        <v/>
      </c>
      <c r="AB40" s="23">
        <f>IFERROR(AB20/AB5,"")</f>
        <v/>
      </c>
      <c r="AC40" s="32">
        <f>IFERROR(AC20/AC5,"")</f>
        <v/>
      </c>
      <c r="AD40" s="32">
        <f>IFERROR(AD20/AD5,"")</f>
        <v/>
      </c>
      <c r="AE40" s="25">
        <f>IFERROR(AE20/AE5,"")</f>
        <v/>
      </c>
      <c r="AF40" s="32">
        <f>IFERROR(AF20/AF5,"")</f>
        <v/>
      </c>
      <c r="AG40" s="32">
        <f>IFERROR(AG20/AG5,"")</f>
        <v/>
      </c>
      <c r="AH40" s="32">
        <f>IFERROR(AH20/AH5,"")</f>
        <v/>
      </c>
      <c r="AI40" s="32">
        <f>IFERROR(AI20/AI5,"")</f>
        <v/>
      </c>
      <c r="AJ40" s="25">
        <f>IFERROR(AJ20/AJ5,"")</f>
        <v/>
      </c>
      <c r="AK40" s="32">
        <f>IFERROR(AK20/AK5,"")</f>
        <v/>
      </c>
      <c r="AL40" s="32">
        <f>IFERROR(AL20/AL5,"")</f>
        <v/>
      </c>
      <c r="AM40" s="32">
        <f>IFERROR(AM20/AM5,"")</f>
        <v/>
      </c>
      <c r="AN40" s="32">
        <f>IFERROR(AN20/AN5,"")</f>
        <v/>
      </c>
      <c r="AO40" s="25">
        <f>IFERROR(AO20/AO5,"")</f>
        <v/>
      </c>
    </row>
    <row r="41">
      <c r="A41" s="12" t="inlineStr">
        <is>
          <t>매출원가율</t>
        </is>
      </c>
      <c r="C41" t="inlineStr">
        <is>
          <t>%</t>
        </is>
      </c>
      <c r="D41" t="inlineStr">
        <is>
          <t>매출원가 / 매출액</t>
        </is>
      </c>
      <c r="E41" s="21">
        <f>IFERROR(E6/E5,"")</f>
        <v/>
      </c>
      <c r="F41" s="22">
        <f>IFERROR(F6/F5,"")</f>
        <v/>
      </c>
      <c r="G41" s="21">
        <f>IFERROR(G6/G5,"")</f>
        <v/>
      </c>
      <c r="H41" s="21">
        <f>IFERROR(H6/H5,"")</f>
        <v/>
      </c>
      <c r="I41" s="21">
        <f>IFERROR(I6/I5,"")</f>
        <v/>
      </c>
      <c r="J41" s="21">
        <f>IFERROR(J6/J5,"")</f>
        <v/>
      </c>
      <c r="K41" s="22">
        <f>IFERROR(K6/K5,"")</f>
        <v/>
      </c>
      <c r="L41" s="21">
        <f>IFERROR(L6/L5,"")</f>
        <v/>
      </c>
      <c r="M41" s="21">
        <f>IFERROR(M6/M5,"")</f>
        <v/>
      </c>
      <c r="N41" s="21">
        <f>IFERROR(N6/N5,"")</f>
        <v/>
      </c>
      <c r="O41" s="21">
        <f>IFERROR(O6/O5,"")</f>
        <v/>
      </c>
      <c r="P41" s="22">
        <f>IFERROR(P6/P5,"")</f>
        <v/>
      </c>
      <c r="Q41" s="21">
        <f>IFERROR(Q6/Q5,"")</f>
        <v/>
      </c>
      <c r="R41" s="21">
        <f>IFERROR(R6/R5,"")</f>
        <v/>
      </c>
      <c r="S41" s="21">
        <f>IFERROR(S6/S5,"")</f>
        <v/>
      </c>
      <c r="T41" s="21">
        <f>IFERROR(T6/T5,"")</f>
        <v/>
      </c>
      <c r="U41" s="22">
        <f>IFERROR(U6/U5,"")</f>
        <v/>
      </c>
      <c r="V41" s="21">
        <f>IFERROR(V6/V5,"")</f>
        <v/>
      </c>
      <c r="W41" s="21">
        <f>IFERROR(W6/W5,"")</f>
        <v/>
      </c>
      <c r="X41" s="21">
        <f>IFERROR(X6/X5,"")</f>
        <v/>
      </c>
      <c r="Y41" s="21">
        <f>IFERROR(Y6/Y5,"")</f>
        <v/>
      </c>
      <c r="Z41" s="22">
        <f>IFERROR(Z6/Z5,"")</f>
        <v/>
      </c>
      <c r="AA41" s="21">
        <f>IFERROR(AA6/AA5,"")</f>
        <v/>
      </c>
      <c r="AB41" s="23">
        <f>IFERROR(AB6/AB5,"")</f>
        <v/>
      </c>
      <c r="AC41" s="32">
        <f>IFERROR(AC6/AC5,"")</f>
        <v/>
      </c>
      <c r="AD41" s="32">
        <f>IFERROR(AD6/AD5,"")</f>
        <v/>
      </c>
      <c r="AE41" s="25">
        <f>IFERROR(AE6/AE5,"")</f>
        <v/>
      </c>
      <c r="AF41" s="32">
        <f>IFERROR(AF6/AF5,"")</f>
        <v/>
      </c>
      <c r="AG41" s="32">
        <f>IFERROR(AG6/AG5,"")</f>
        <v/>
      </c>
      <c r="AH41" s="32">
        <f>IFERROR(AH6/AH5,"")</f>
        <v/>
      </c>
      <c r="AI41" s="32">
        <f>IFERROR(AI6/AI5,"")</f>
        <v/>
      </c>
      <c r="AJ41" s="25">
        <f>IFERROR(AJ6/AJ5,"")</f>
        <v/>
      </c>
      <c r="AK41" s="32">
        <f>IFERROR(AK6/AK5,"")</f>
        <v/>
      </c>
      <c r="AL41" s="32">
        <f>IFERROR(AL6/AL5,"")</f>
        <v/>
      </c>
      <c r="AM41" s="32">
        <f>IFERROR(AM6/AM5,"")</f>
        <v/>
      </c>
      <c r="AN41" s="32">
        <f>IFERROR(AN6/AN5,"")</f>
        <v/>
      </c>
      <c r="AO41" s="25">
        <f>IFERROR(AO6/AO5,"")</f>
        <v/>
      </c>
    </row>
    <row r="42">
      <c r="A42" s="12" t="inlineStr">
        <is>
          <t>판관비율</t>
        </is>
      </c>
      <c r="C42" t="inlineStr">
        <is>
          <t>%</t>
        </is>
      </c>
      <c r="D42" t="inlineStr">
        <is>
          <t>판관비 / 매출액</t>
        </is>
      </c>
      <c r="E42" s="21">
        <f>IFERROR(E8/E5,"")</f>
        <v/>
      </c>
      <c r="F42" s="22">
        <f>IFERROR(F8/F5,"")</f>
        <v/>
      </c>
      <c r="G42" s="21">
        <f>IFERROR(G8/G5,"")</f>
        <v/>
      </c>
      <c r="H42" s="21">
        <f>IFERROR(H8/H5,"")</f>
        <v/>
      </c>
      <c r="I42" s="21">
        <f>IFERROR(I8/I5,"")</f>
        <v/>
      </c>
      <c r="J42" s="21">
        <f>IFERROR(J8/J5,"")</f>
        <v/>
      </c>
      <c r="K42" s="22">
        <f>IFERROR(K8/K5,"")</f>
        <v/>
      </c>
      <c r="L42" s="21">
        <f>IFERROR(L8/L5,"")</f>
        <v/>
      </c>
      <c r="M42" s="21">
        <f>IFERROR(M8/M5,"")</f>
        <v/>
      </c>
      <c r="N42" s="21">
        <f>IFERROR(N8/N5,"")</f>
        <v/>
      </c>
      <c r="O42" s="21">
        <f>IFERROR(O8/O5,"")</f>
        <v/>
      </c>
      <c r="P42" s="22">
        <f>IFERROR(P8/P5,"")</f>
        <v/>
      </c>
      <c r="Q42" s="21">
        <f>IFERROR(Q8/Q5,"")</f>
        <v/>
      </c>
      <c r="R42" s="21">
        <f>IFERROR(R8/R5,"")</f>
        <v/>
      </c>
      <c r="S42" s="21">
        <f>IFERROR(S8/S5,"")</f>
        <v/>
      </c>
      <c r="T42" s="21">
        <f>IFERROR(T8/T5,"")</f>
        <v/>
      </c>
      <c r="U42" s="22">
        <f>IFERROR(U8/U5,"")</f>
        <v/>
      </c>
      <c r="V42" s="21">
        <f>IFERROR(V8/V5,"")</f>
        <v/>
      </c>
      <c r="W42" s="21">
        <f>IFERROR(W8/W5,"")</f>
        <v/>
      </c>
      <c r="X42" s="21">
        <f>IFERROR(X8/X5,"")</f>
        <v/>
      </c>
      <c r="Y42" s="21">
        <f>IFERROR(Y8/Y5,"")</f>
        <v/>
      </c>
      <c r="Z42" s="22">
        <f>IFERROR(Z8/Z5,"")</f>
        <v/>
      </c>
      <c r="AA42" s="21">
        <f>IFERROR(AA8/AA5,"")</f>
        <v/>
      </c>
      <c r="AB42" s="23">
        <f>IFERROR(AB8/AB5,"")</f>
        <v/>
      </c>
      <c r="AC42" s="32">
        <f>IFERROR(AC8/AC5,"")</f>
        <v/>
      </c>
      <c r="AD42" s="32">
        <f>IFERROR(AD8/AD5,"")</f>
        <v/>
      </c>
      <c r="AE42" s="25">
        <f>IFERROR(AE8/AE5,"")</f>
        <v/>
      </c>
      <c r="AF42" s="32">
        <f>IFERROR(AF8/AF5,"")</f>
        <v/>
      </c>
      <c r="AG42" s="32">
        <f>IFERROR(AG8/AG5,"")</f>
        <v/>
      </c>
      <c r="AH42" s="32">
        <f>IFERROR(AH8/AH5,"")</f>
        <v/>
      </c>
      <c r="AI42" s="32">
        <f>IFERROR(AI8/AI5,"")</f>
        <v/>
      </c>
      <c r="AJ42" s="25">
        <f>IFERROR(AJ8/AJ5,"")</f>
        <v/>
      </c>
      <c r="AK42" s="32">
        <f>IFERROR(AK8/AK5,"")</f>
        <v/>
      </c>
      <c r="AL42" s="32">
        <f>IFERROR(AL8/AL5,"")</f>
        <v/>
      </c>
      <c r="AM42" s="32">
        <f>IFERROR(AM8/AM5,"")</f>
        <v/>
      </c>
      <c r="AN42" s="32">
        <f>IFERROR(AN8/AN5,"")</f>
        <v/>
      </c>
      <c r="AO42" s="25">
        <f>IFERROR(AO8/AO5,"")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분기H — subQ 를 이름으로 VLOOKUP(억원)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41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2">
      <c r="C2" t="inlineStr">
        <is>
          <t>종가:</t>
        </is>
      </c>
      <c r="D2" s="18">
        <f>변수!D43</f>
        <v/>
      </c>
      <c r="W2" s="42" t="n"/>
    </row>
    <row r="3">
      <c r="C3" t="inlineStr">
        <is>
          <t>기준일:</t>
        </is>
      </c>
      <c r="D3" t="inlineStr">
        <is>
          <t>20261008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43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44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18">
        <f>IFERROR(VLOOKUP($A5,subQ,MATCH(I$1,SUBQH,0),0),"")</f>
        <v/>
      </c>
      <c r="J5" s="18">
        <f>IFERROR(VLOOKUP($A5,subQ,MATCH(J$1,SUBQH,0),0),"")</f>
        <v/>
      </c>
      <c r="K5" s="18">
        <f>IFERROR(VLOOKUP($A5,subQ,MATCH(K$1,SUBQH,0),0),"")</f>
        <v/>
      </c>
      <c r="L5" s="18">
        <f>IFERROR(VLOOKUP($A5,subQ,MATCH(L$1,SUBQH,0),0),"")</f>
        <v/>
      </c>
      <c r="M5" s="18">
        <f>IFERROR(VLOOKUP($A5,subQ,MATCH(M$1,SUBQH,0),0),"")</f>
        <v/>
      </c>
      <c r="N5" s="18">
        <f>IFERROR(VLOOKUP($A5,subQ,MATCH(N$1,SUBQH,0),0),"")</f>
        <v/>
      </c>
      <c r="O5" s="18">
        <f>IFERROR(VLOOKUP($A5,subQ,MATCH(O$1,SUBQH,0),0),"")</f>
        <v/>
      </c>
      <c r="P5" s="18">
        <f>IFERROR(VLOOKUP($A5,subQ,MATCH(P$1,SUBQH,0),0),"")</f>
        <v/>
      </c>
      <c r="Q5" s="18">
        <f>IFERROR(VLOOKUP($A5,subQ,MATCH(Q$1,SUBQH,0),0),"")</f>
        <v/>
      </c>
      <c r="R5" s="18">
        <f>IFERROR(VLOOKUP($A5,subQ,MATCH(R$1,SUBQH,0),0),"")</f>
        <v/>
      </c>
      <c r="S5" s="18">
        <f>IFERROR(VLOOKUP($A5,subQ,MATCH(S$1,SUBQH,0),0),"")</f>
        <v/>
      </c>
      <c r="T5" s="18">
        <f>IFERROR(VLOOKUP($A5,subQ,MATCH(T$1,SUBQH,0),0),"")</f>
        <v/>
      </c>
      <c r="U5" s="18">
        <f>IFERROR(VLOOKUP($A5,subQ,MATCH(U$1,SUBQH,0),0),"")</f>
        <v/>
      </c>
      <c r="V5" s="18">
        <f>IFERROR(VLOOKUP($A5,subQ,MATCH(V$1,SUBQH,0),0),"")</f>
        <v/>
      </c>
      <c r="W5" s="45">
        <f>IFERROR(VLOOKUP($A5,subQ,MATCH(W$1,SUBQH,0),0),"")</f>
        <v/>
      </c>
      <c r="X5" s="20">
        <f>IFERROR(VLOOKUP($A5,subQ,MATCH(X$1,SUBQH,0),0),"")</f>
        <v/>
      </c>
      <c r="Y5" s="20">
        <f>IFERROR(VLOOKUP($A5,subQ,MATCH(Y$1,SUBQH,0),0),"")</f>
        <v/>
      </c>
      <c r="Z5" s="20">
        <f>IFERROR(VLOOKUP($A5,subQ,MATCH(Z$1,SUBQH,0),0),"")</f>
        <v/>
      </c>
      <c r="AA5" s="20">
        <f>IFERROR(VLOOKUP($A5,subQ,MATCH(AA$1,SUBQH,0),0),"")</f>
        <v/>
      </c>
      <c r="AB5" s="20">
        <f>IFERROR(VLOOKUP($A5,subQ,MATCH(AB$1,SUBQH,0),0),"")</f>
        <v/>
      </c>
      <c r="AC5" s="20">
        <f>IFERROR(VLOOKUP($A5,subQ,MATCH(AC$1,SUBQH,0),0),"")</f>
        <v/>
      </c>
      <c r="AD5" s="20">
        <f>IFERROR(VLOOKUP($A5,subQ,MATCH(AD$1,SUBQH,0),0),"")</f>
        <v/>
      </c>
      <c r="AE5" s="20">
        <f>IFERROR(VLOOKUP($A5,subQ,MATCH(AE$1,SUBQH,0),0),"")</f>
        <v/>
      </c>
      <c r="AF5" s="20">
        <f>IFERROR(VLOOKUP($A5,subQ,MATCH(AF$1,SUBQH,0),0),"")</f>
        <v/>
      </c>
      <c r="AG5" s="20">
        <f>IFERROR(VLOOKUP($A5,subQ,MATCH(AG$1,SUBQH,0),0),"")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18">
        <f>IFERROR(VLOOKUP($A6,subQ,MATCH(I$1,SUBQH,0),0),"")</f>
        <v/>
      </c>
      <c r="J6" s="18">
        <f>IFERROR(VLOOKUP($A6,subQ,MATCH(J$1,SUBQH,0),0),"")</f>
        <v/>
      </c>
      <c r="K6" s="18">
        <f>IFERROR(VLOOKUP($A6,subQ,MATCH(K$1,SUBQH,0),0),"")</f>
        <v/>
      </c>
      <c r="L6" s="18">
        <f>IFERROR(VLOOKUP($A6,subQ,MATCH(L$1,SUBQH,0),0),"")</f>
        <v/>
      </c>
      <c r="M6" s="18">
        <f>IFERROR(VLOOKUP($A6,subQ,MATCH(M$1,SUBQH,0),0),"")</f>
        <v/>
      </c>
      <c r="N6" s="18">
        <f>IFERROR(VLOOKUP($A6,subQ,MATCH(N$1,SUBQH,0),0),"")</f>
        <v/>
      </c>
      <c r="O6" s="18">
        <f>IFERROR(VLOOKUP($A6,subQ,MATCH(O$1,SUBQH,0),0),"")</f>
        <v/>
      </c>
      <c r="P6" s="18">
        <f>IFERROR(VLOOKUP($A6,subQ,MATCH(P$1,SUBQH,0),0),"")</f>
        <v/>
      </c>
      <c r="Q6" s="18">
        <f>IFERROR(VLOOKUP($A6,subQ,MATCH(Q$1,SUBQH,0),0),"")</f>
        <v/>
      </c>
      <c r="R6" s="18">
        <f>IFERROR(VLOOKUP($A6,subQ,MATCH(R$1,SUBQH,0),0),"")</f>
        <v/>
      </c>
      <c r="S6" s="18">
        <f>IFERROR(VLOOKUP($A6,subQ,MATCH(S$1,SUBQH,0),0),"")</f>
        <v/>
      </c>
      <c r="T6" s="18">
        <f>IFERROR(VLOOKUP($A6,subQ,MATCH(T$1,SUBQH,0),0),"")</f>
        <v/>
      </c>
      <c r="U6" s="18">
        <f>IFERROR(VLOOKUP($A6,subQ,MATCH(U$1,SUBQH,0),0),"")</f>
        <v/>
      </c>
      <c r="V6" s="18">
        <f>IFERROR(VLOOKUP($A6,subQ,MATCH(V$1,SUBQH,0),0),"")</f>
        <v/>
      </c>
      <c r="W6" s="45">
        <f>IFERROR(VLOOKUP($A6,subQ,MATCH(W$1,SUBQH,0),0),"")</f>
        <v/>
      </c>
      <c r="X6" s="20">
        <f>IFERROR(VLOOKUP($A6,subQ,MATCH(X$1,SUBQH,0),0),"")</f>
        <v/>
      </c>
      <c r="Y6" s="20">
        <f>IFERROR(VLOOKUP($A6,subQ,MATCH(Y$1,SUBQH,0),0),"")</f>
        <v/>
      </c>
      <c r="Z6" s="20">
        <f>IFERROR(VLOOKUP($A6,subQ,MATCH(Z$1,SUBQH,0),0),"")</f>
        <v/>
      </c>
      <c r="AA6" s="20">
        <f>IFERROR(VLOOKUP($A6,subQ,MATCH(AA$1,SUBQH,0),0),"")</f>
        <v/>
      </c>
      <c r="AB6" s="20">
        <f>IFERROR(VLOOKUP($A6,subQ,MATCH(AB$1,SUBQH,0),0),"")</f>
        <v/>
      </c>
      <c r="AC6" s="20">
        <f>IFERROR(VLOOKUP($A6,subQ,MATCH(AC$1,SUBQH,0),0),"")</f>
        <v/>
      </c>
      <c r="AD6" s="20">
        <f>IFERROR(VLOOKUP($A6,subQ,MATCH(AD$1,SUBQH,0),0),"")</f>
        <v/>
      </c>
      <c r="AE6" s="20">
        <f>IFERROR(VLOOKUP($A6,subQ,MATCH(AE$1,SUBQH,0),0),"")</f>
        <v/>
      </c>
      <c r="AF6" s="20">
        <f>IFERROR(VLOOKUP($A6,subQ,MATCH(AF$1,SUBQH,0),0),"")</f>
        <v/>
      </c>
      <c r="AG6" s="20">
        <f>IFERROR(VLOOKUP($A6,subQ,MATCH(AG$1,SUBQH,0),0),"")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18">
        <f>IFERROR(VLOOKUP($A7,subQ,MATCH(I$1,SUBQH,0),0),"")</f>
        <v/>
      </c>
      <c r="J7" s="18">
        <f>IFERROR(VLOOKUP($A7,subQ,MATCH(J$1,SUBQH,0),0),"")</f>
        <v/>
      </c>
      <c r="K7" s="18">
        <f>IFERROR(VLOOKUP($A7,subQ,MATCH(K$1,SUBQH,0),0),"")</f>
        <v/>
      </c>
      <c r="L7" s="18">
        <f>IFERROR(VLOOKUP($A7,subQ,MATCH(L$1,SUBQH,0),0),"")</f>
        <v/>
      </c>
      <c r="M7" s="18">
        <f>IFERROR(VLOOKUP($A7,subQ,MATCH(M$1,SUBQH,0),0),"")</f>
        <v/>
      </c>
      <c r="N7" s="18">
        <f>IFERROR(VLOOKUP($A7,subQ,MATCH(N$1,SUBQH,0),0),"")</f>
        <v/>
      </c>
      <c r="O7" s="18">
        <f>IFERROR(VLOOKUP($A7,subQ,MATCH(O$1,SUBQH,0),0),"")</f>
        <v/>
      </c>
      <c r="P7" s="18">
        <f>IFERROR(VLOOKUP($A7,subQ,MATCH(P$1,SUBQH,0),0),"")</f>
        <v/>
      </c>
      <c r="Q7" s="18">
        <f>IFERROR(VLOOKUP($A7,subQ,MATCH(Q$1,SUBQH,0),0),"")</f>
        <v/>
      </c>
      <c r="R7" s="18">
        <f>IFERROR(VLOOKUP($A7,subQ,MATCH(R$1,SUBQH,0),0),"")</f>
        <v/>
      </c>
      <c r="S7" s="18">
        <f>IFERROR(VLOOKUP($A7,subQ,MATCH(S$1,SUBQH,0),0),"")</f>
        <v/>
      </c>
      <c r="T7" s="18">
        <f>IFERROR(VLOOKUP($A7,subQ,MATCH(T$1,SUBQH,0),0),"")</f>
        <v/>
      </c>
      <c r="U7" s="18">
        <f>IFERROR(VLOOKUP($A7,subQ,MATCH(U$1,SUBQH,0),0),"")</f>
        <v/>
      </c>
      <c r="V7" s="18">
        <f>IFERROR(VLOOKUP($A7,subQ,MATCH(V$1,SUBQH,0),0),"")</f>
        <v/>
      </c>
      <c r="W7" s="45">
        <f>IFERROR(VLOOKUP($A7,subQ,MATCH(W$1,SUBQH,0),0),"")</f>
        <v/>
      </c>
      <c r="X7" s="20">
        <f>IFERROR(VLOOKUP($A7,subQ,MATCH(X$1,SUBQH,0),0),"")</f>
        <v/>
      </c>
      <c r="Y7" s="20">
        <f>IFERROR(VLOOKUP($A7,subQ,MATCH(Y$1,SUBQH,0),0),"")</f>
        <v/>
      </c>
      <c r="Z7" s="20">
        <f>IFERROR(VLOOKUP($A7,subQ,MATCH(Z$1,SUBQH,0),0),"")</f>
        <v/>
      </c>
      <c r="AA7" s="20">
        <f>IFERROR(VLOOKUP($A7,subQ,MATCH(AA$1,SUBQH,0),0),"")</f>
        <v/>
      </c>
      <c r="AB7" s="20">
        <f>IFERROR(VLOOKUP($A7,subQ,MATCH(AB$1,SUBQH,0),0),"")</f>
        <v/>
      </c>
      <c r="AC7" s="20">
        <f>IFERROR(VLOOKUP($A7,subQ,MATCH(AC$1,SUBQH,0),0),"")</f>
        <v/>
      </c>
      <c r="AD7" s="20">
        <f>IFERROR(VLOOKUP($A7,subQ,MATCH(AD$1,SUBQH,0),0),"")</f>
        <v/>
      </c>
      <c r="AE7" s="20">
        <f>IFERROR(VLOOKUP($A7,subQ,MATCH(AE$1,SUBQH,0),0),"")</f>
        <v/>
      </c>
      <c r="AF7" s="20">
        <f>IFERROR(VLOOKUP($A7,subQ,MATCH(AF$1,SUBQH,0),0),"")</f>
        <v/>
      </c>
      <c r="AG7" s="20">
        <f>IFERROR(VLOOKUP($A7,subQ,MATCH(AG$1,SUBQH,0),0),"")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18">
        <f>IFERROR(VLOOKUP($A8,subQ,MATCH(I$1,SUBQH,0),0),"")</f>
        <v/>
      </c>
      <c r="J8" s="18">
        <f>IFERROR(VLOOKUP($A8,subQ,MATCH(J$1,SUBQH,0),0),"")</f>
        <v/>
      </c>
      <c r="K8" s="18">
        <f>IFERROR(VLOOKUP($A8,subQ,MATCH(K$1,SUBQH,0),0),"")</f>
        <v/>
      </c>
      <c r="L8" s="18">
        <f>IFERROR(VLOOKUP($A8,subQ,MATCH(L$1,SUBQH,0),0),"")</f>
        <v/>
      </c>
      <c r="M8" s="18">
        <f>IFERROR(VLOOKUP($A8,subQ,MATCH(M$1,SUBQH,0),0),"")</f>
        <v/>
      </c>
      <c r="N8" s="18">
        <f>IFERROR(VLOOKUP($A8,subQ,MATCH(N$1,SUBQH,0),0),"")</f>
        <v/>
      </c>
      <c r="O8" s="18">
        <f>IFERROR(VLOOKUP($A8,subQ,MATCH(O$1,SUBQH,0),0),"")</f>
        <v/>
      </c>
      <c r="P8" s="18">
        <f>IFERROR(VLOOKUP($A8,subQ,MATCH(P$1,SUBQH,0),0),"")</f>
        <v/>
      </c>
      <c r="Q8" s="18">
        <f>IFERROR(VLOOKUP($A8,subQ,MATCH(Q$1,SUBQH,0),0),"")</f>
        <v/>
      </c>
      <c r="R8" s="18">
        <f>IFERROR(VLOOKUP($A8,subQ,MATCH(R$1,SUBQH,0),0),"")</f>
        <v/>
      </c>
      <c r="S8" s="18">
        <f>IFERROR(VLOOKUP($A8,subQ,MATCH(S$1,SUBQH,0),0),"")</f>
        <v/>
      </c>
      <c r="T8" s="18">
        <f>IFERROR(VLOOKUP($A8,subQ,MATCH(T$1,SUBQH,0),0),"")</f>
        <v/>
      </c>
      <c r="U8" s="18">
        <f>IFERROR(VLOOKUP($A8,subQ,MATCH(U$1,SUBQH,0),0),"")</f>
        <v/>
      </c>
      <c r="V8" s="18">
        <f>IFERROR(VLOOKUP($A8,subQ,MATCH(V$1,SUBQH,0),0),"")</f>
        <v/>
      </c>
      <c r="W8" s="45">
        <f>IFERROR(VLOOKUP($A8,subQ,MATCH(W$1,SUBQH,0),0),"")</f>
        <v/>
      </c>
      <c r="X8" s="20">
        <f>IFERROR(VLOOKUP($A8,subQ,MATCH(X$1,SUBQH,0),0),"")</f>
        <v/>
      </c>
      <c r="Y8" s="20">
        <f>IFERROR(VLOOKUP($A8,subQ,MATCH(Y$1,SUBQH,0),0),"")</f>
        <v/>
      </c>
      <c r="Z8" s="20">
        <f>IFERROR(VLOOKUP($A8,subQ,MATCH(Z$1,SUBQH,0),0),"")</f>
        <v/>
      </c>
      <c r="AA8" s="20">
        <f>IFERROR(VLOOKUP($A8,subQ,MATCH(AA$1,SUBQH,0),0),"")</f>
        <v/>
      </c>
      <c r="AB8" s="20">
        <f>IFERROR(VLOOKUP($A8,subQ,MATCH(AB$1,SUBQH,0),0),"")</f>
        <v/>
      </c>
      <c r="AC8" s="20">
        <f>IFERROR(VLOOKUP($A8,subQ,MATCH(AC$1,SUBQH,0),0),"")</f>
        <v/>
      </c>
      <c r="AD8" s="20">
        <f>IFERROR(VLOOKUP($A8,subQ,MATCH(AD$1,SUBQH,0),0),"")</f>
        <v/>
      </c>
      <c r="AE8" s="20">
        <f>IFERROR(VLOOKUP($A8,subQ,MATCH(AE$1,SUBQH,0),0),"")</f>
        <v/>
      </c>
      <c r="AF8" s="20">
        <f>IFERROR(VLOOKUP($A8,subQ,MATCH(AF$1,SUBQH,0),0),"")</f>
        <v/>
      </c>
      <c r="AG8" s="20">
        <f>IFERROR(VLOOKUP($A8,subQ,MATCH(AG$1,SUBQH,0),0),"")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18">
        <f>IFERROR(VLOOKUP($A9,subQ,MATCH(I$1,SUBQH,0),0),"")</f>
        <v/>
      </c>
      <c r="J9" s="18">
        <f>IFERROR(VLOOKUP($A9,subQ,MATCH(J$1,SUBQH,0),0),"")</f>
        <v/>
      </c>
      <c r="K9" s="18">
        <f>IFERROR(VLOOKUP($A9,subQ,MATCH(K$1,SUBQH,0),0),"")</f>
        <v/>
      </c>
      <c r="L9" s="18">
        <f>IFERROR(VLOOKUP($A9,subQ,MATCH(L$1,SUBQH,0),0),"")</f>
        <v/>
      </c>
      <c r="M9" s="18">
        <f>IFERROR(VLOOKUP($A9,subQ,MATCH(M$1,SUBQH,0),0),"")</f>
        <v/>
      </c>
      <c r="N9" s="18">
        <f>IFERROR(VLOOKUP($A9,subQ,MATCH(N$1,SUBQH,0),0),"")</f>
        <v/>
      </c>
      <c r="O9" s="18">
        <f>IFERROR(VLOOKUP($A9,subQ,MATCH(O$1,SUBQH,0),0),"")</f>
        <v/>
      </c>
      <c r="P9" s="18">
        <f>IFERROR(VLOOKUP($A9,subQ,MATCH(P$1,SUBQH,0),0),"")</f>
        <v/>
      </c>
      <c r="Q9" s="18">
        <f>IFERROR(VLOOKUP($A9,subQ,MATCH(Q$1,SUBQH,0),0),"")</f>
        <v/>
      </c>
      <c r="R9" s="18">
        <f>IFERROR(VLOOKUP($A9,subQ,MATCH(R$1,SUBQH,0),0),"")</f>
        <v/>
      </c>
      <c r="S9" s="18">
        <f>IFERROR(VLOOKUP($A9,subQ,MATCH(S$1,SUBQH,0),0),"")</f>
        <v/>
      </c>
      <c r="T9" s="18">
        <f>IFERROR(VLOOKUP($A9,subQ,MATCH(T$1,SUBQH,0),0),"")</f>
        <v/>
      </c>
      <c r="U9" s="18">
        <f>IFERROR(VLOOKUP($A9,subQ,MATCH(U$1,SUBQH,0),0),"")</f>
        <v/>
      </c>
      <c r="V9" s="18">
        <f>IFERROR(VLOOKUP($A9,subQ,MATCH(V$1,SUBQH,0),0),"")</f>
        <v/>
      </c>
      <c r="W9" s="45">
        <f>IFERROR(VLOOKUP($A9,subQ,MATCH(W$1,SUBQH,0),0),"")</f>
        <v/>
      </c>
      <c r="X9" s="20">
        <f>IFERROR(VLOOKUP($A9,subQ,MATCH(X$1,SUBQH,0),0),"")</f>
        <v/>
      </c>
      <c r="Y9" s="20">
        <f>IFERROR(VLOOKUP($A9,subQ,MATCH(Y$1,SUBQH,0),0),"")</f>
        <v/>
      </c>
      <c r="Z9" s="20">
        <f>IFERROR(VLOOKUP($A9,subQ,MATCH(Z$1,SUBQH,0),0),"")</f>
        <v/>
      </c>
      <c r="AA9" s="20">
        <f>IFERROR(VLOOKUP($A9,subQ,MATCH(AA$1,SUBQH,0),0),"")</f>
        <v/>
      </c>
      <c r="AB9" s="20">
        <f>IFERROR(VLOOKUP($A9,subQ,MATCH(AB$1,SUBQH,0),0),"")</f>
        <v/>
      </c>
      <c r="AC9" s="20">
        <f>IFERROR(VLOOKUP($A9,subQ,MATCH(AC$1,SUBQH,0),0),"")</f>
        <v/>
      </c>
      <c r="AD9" s="20">
        <f>IFERROR(VLOOKUP($A9,subQ,MATCH(AD$1,SUBQH,0),0),"")</f>
        <v/>
      </c>
      <c r="AE9" s="20">
        <f>IFERROR(VLOOKUP($A9,subQ,MATCH(AE$1,SUBQH,0),0),"")</f>
        <v/>
      </c>
      <c r="AF9" s="20">
        <f>IFERROR(VLOOKUP($A9,subQ,MATCH(AF$1,SUBQH,0),0),"")</f>
        <v/>
      </c>
      <c r="AG9" s="20">
        <f>IFERROR(VLOOKUP($A9,subQ,MATCH(AG$1,SUBQH,0),0),"")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21">
        <f>IFERROR(VLOOKUP($A10,subQ,MATCH(I$1,SUBQH,0),0),"")</f>
        <v/>
      </c>
      <c r="J10" s="21">
        <f>IFERROR(VLOOKUP($A10,subQ,MATCH(J$1,SUBQH,0),0),"")</f>
        <v/>
      </c>
      <c r="K10" s="21">
        <f>IFERROR(VLOOKUP($A10,subQ,MATCH(K$1,SUBQH,0),0),"")</f>
        <v/>
      </c>
      <c r="L10" s="21">
        <f>IFERROR(VLOOKUP($A10,subQ,MATCH(L$1,SUBQH,0),0),"")</f>
        <v/>
      </c>
      <c r="M10" s="21">
        <f>IFERROR(VLOOKUP($A10,subQ,MATCH(M$1,SUBQH,0),0),"")</f>
        <v/>
      </c>
      <c r="N10" s="21">
        <f>IFERROR(VLOOKUP($A10,subQ,MATCH(N$1,SUBQH,0),0),"")</f>
        <v/>
      </c>
      <c r="O10" s="21">
        <f>IFERROR(VLOOKUP($A10,subQ,MATCH(O$1,SUBQH,0),0),"")</f>
        <v/>
      </c>
      <c r="P10" s="21">
        <f>IFERROR(VLOOKUP($A10,subQ,MATCH(P$1,SUBQH,0),0),"")</f>
        <v/>
      </c>
      <c r="Q10" s="21">
        <f>IFERROR(VLOOKUP($A10,subQ,MATCH(Q$1,SUBQH,0),0),"")</f>
        <v/>
      </c>
      <c r="R10" s="21">
        <f>IFERROR(VLOOKUP($A10,subQ,MATCH(R$1,SUBQH,0),0),"")</f>
        <v/>
      </c>
      <c r="S10" s="21">
        <f>IFERROR(VLOOKUP($A10,subQ,MATCH(S$1,SUBQH,0),0),"")</f>
        <v/>
      </c>
      <c r="T10" s="21">
        <f>IFERROR(VLOOKUP($A10,subQ,MATCH(T$1,SUBQH,0),0),"")</f>
        <v/>
      </c>
      <c r="U10" s="21">
        <f>IFERROR(VLOOKUP($A10,subQ,MATCH(U$1,SUBQH,0),0),"")</f>
        <v/>
      </c>
      <c r="V10" s="21">
        <f>IFERROR(VLOOKUP($A10,subQ,MATCH(V$1,SUBQH,0),0),"")</f>
        <v/>
      </c>
      <c r="W10" s="46">
        <f>IFERROR(VLOOKUP($A10,subQ,MATCH(W$1,SUBQH,0),0),"")</f>
        <v/>
      </c>
      <c r="X10" s="32">
        <f>IFERROR(VLOOKUP($A10,subQ,MATCH(X$1,SUBQH,0),0),"")</f>
        <v/>
      </c>
      <c r="Y10" s="32">
        <f>IFERROR(VLOOKUP($A10,subQ,MATCH(Y$1,SUBQH,0),0),"")</f>
        <v/>
      </c>
      <c r="Z10" s="32">
        <f>IFERROR(VLOOKUP($A10,subQ,MATCH(Z$1,SUBQH,0),0),"")</f>
        <v/>
      </c>
      <c r="AA10" s="32">
        <f>IFERROR(VLOOKUP($A10,subQ,MATCH(AA$1,SUBQH,0),0),"")</f>
        <v/>
      </c>
      <c r="AB10" s="32">
        <f>IFERROR(VLOOKUP($A10,subQ,MATCH(AB$1,SUBQH,0),0),"")</f>
        <v/>
      </c>
      <c r="AC10" s="32">
        <f>IFERROR(VLOOKUP($A10,subQ,MATCH(AC$1,SUBQH,0),0),"")</f>
        <v/>
      </c>
      <c r="AD10" s="32">
        <f>IFERROR(VLOOKUP($A10,subQ,MATCH(AD$1,SUBQH,0),0),"")</f>
        <v/>
      </c>
      <c r="AE10" s="32">
        <f>IFERROR(VLOOKUP($A10,subQ,MATCH(AE$1,SUBQH,0),0),"")</f>
        <v/>
      </c>
      <c r="AF10" s="32">
        <f>IFERROR(VLOOKUP($A10,subQ,MATCH(AF$1,SUBQH,0),0),"")</f>
        <v/>
      </c>
      <c r="AG10" s="32">
        <f>IFERROR(VLOOKUP($A10,subQ,MATCH(AG$1,SUBQH,0),0),"")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18">
        <f>IFERROR(VLOOKUP($A11,subQ,MATCH(I$1,SUBQH,0),0),"")</f>
        <v/>
      </c>
      <c r="J11" s="18">
        <f>IFERROR(VLOOKUP($A11,subQ,MATCH(J$1,SUBQH,0),0),"")</f>
        <v/>
      </c>
      <c r="K11" s="18">
        <f>IFERROR(VLOOKUP($A11,subQ,MATCH(K$1,SUBQH,0),0),"")</f>
        <v/>
      </c>
      <c r="L11" s="18">
        <f>IFERROR(VLOOKUP($A11,subQ,MATCH(L$1,SUBQH,0),0),"")</f>
        <v/>
      </c>
      <c r="M11" s="18">
        <f>IFERROR(VLOOKUP($A11,subQ,MATCH(M$1,SUBQH,0),0),"")</f>
        <v/>
      </c>
      <c r="N11" s="18">
        <f>IFERROR(VLOOKUP($A11,subQ,MATCH(N$1,SUBQH,0),0),"")</f>
        <v/>
      </c>
      <c r="O11" s="18">
        <f>IFERROR(VLOOKUP($A11,subQ,MATCH(O$1,SUBQH,0),0),"")</f>
        <v/>
      </c>
      <c r="P11" s="18">
        <f>IFERROR(VLOOKUP($A11,subQ,MATCH(P$1,SUBQH,0),0),"")</f>
        <v/>
      </c>
      <c r="Q11" s="18">
        <f>IFERROR(VLOOKUP($A11,subQ,MATCH(Q$1,SUBQH,0),0),"")</f>
        <v/>
      </c>
      <c r="R11" s="18">
        <f>IFERROR(VLOOKUP($A11,subQ,MATCH(R$1,SUBQH,0),0),"")</f>
        <v/>
      </c>
      <c r="S11" s="18">
        <f>IFERROR(VLOOKUP($A11,subQ,MATCH(S$1,SUBQH,0),0),"")</f>
        <v/>
      </c>
      <c r="T11" s="18">
        <f>IFERROR(VLOOKUP($A11,subQ,MATCH(T$1,SUBQH,0),0),"")</f>
        <v/>
      </c>
      <c r="U11" s="18">
        <f>IFERROR(VLOOKUP($A11,subQ,MATCH(U$1,SUBQH,0),0),"")</f>
        <v/>
      </c>
      <c r="V11" s="18">
        <f>IFERROR(VLOOKUP($A11,subQ,MATCH(V$1,SUBQH,0),0),"")</f>
        <v/>
      </c>
      <c r="W11" s="45">
        <f>IFERROR(VLOOKUP($A11,subQ,MATCH(W$1,SUBQH,0),0),"")</f>
        <v/>
      </c>
      <c r="X11" s="20">
        <f>IFERROR(VLOOKUP($A11,subQ,MATCH(X$1,SUBQH,0),0),"")</f>
        <v/>
      </c>
      <c r="Y11" s="20">
        <f>IFERROR(VLOOKUP($A11,subQ,MATCH(Y$1,SUBQH,0),0),"")</f>
        <v/>
      </c>
      <c r="Z11" s="20">
        <f>IFERROR(VLOOKUP($A11,subQ,MATCH(Z$1,SUBQH,0),0),"")</f>
        <v/>
      </c>
      <c r="AA11" s="20">
        <f>IFERROR(VLOOKUP($A11,subQ,MATCH(AA$1,SUBQH,0),0),"")</f>
        <v/>
      </c>
      <c r="AB11" s="20">
        <f>IFERROR(VLOOKUP($A11,subQ,MATCH(AB$1,SUBQH,0),0),"")</f>
        <v/>
      </c>
      <c r="AC11" s="20">
        <f>IFERROR(VLOOKUP($A11,subQ,MATCH(AC$1,SUBQH,0),0),"")</f>
        <v/>
      </c>
      <c r="AD11" s="20">
        <f>IFERROR(VLOOKUP($A11,subQ,MATCH(AD$1,SUBQH,0),0),"")</f>
        <v/>
      </c>
      <c r="AE11" s="20">
        <f>IFERROR(VLOOKUP($A11,subQ,MATCH(AE$1,SUBQH,0),0),"")</f>
        <v/>
      </c>
      <c r="AF11" s="20">
        <f>IFERROR(VLOOKUP($A11,subQ,MATCH(AF$1,SUBQH,0),0),"")</f>
        <v/>
      </c>
      <c r="AG11" s="20">
        <f>IFERROR(VLOOKUP($A11,subQ,MATCH(AG$1,SUBQH,0),0),"")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18">
        <f>IFERROR(VLOOKUP($A12,subQ,MATCH(I$1,SUBQH,0),0),"")</f>
        <v/>
      </c>
      <c r="J12" s="18">
        <f>IFERROR(VLOOKUP($A12,subQ,MATCH(J$1,SUBQH,0),0),"")</f>
        <v/>
      </c>
      <c r="K12" s="18">
        <f>IFERROR(VLOOKUP($A12,subQ,MATCH(K$1,SUBQH,0),0),"")</f>
        <v/>
      </c>
      <c r="L12" s="18">
        <f>IFERROR(VLOOKUP($A12,subQ,MATCH(L$1,SUBQH,0),0),"")</f>
        <v/>
      </c>
      <c r="M12" s="18">
        <f>IFERROR(VLOOKUP($A12,subQ,MATCH(M$1,SUBQH,0),0),"")</f>
        <v/>
      </c>
      <c r="N12" s="18">
        <f>IFERROR(VLOOKUP($A12,subQ,MATCH(N$1,SUBQH,0),0),"")</f>
        <v/>
      </c>
      <c r="O12" s="18">
        <f>IFERROR(VLOOKUP($A12,subQ,MATCH(O$1,SUBQH,0),0),"")</f>
        <v/>
      </c>
      <c r="P12" s="18">
        <f>IFERROR(VLOOKUP($A12,subQ,MATCH(P$1,SUBQH,0),0),"")</f>
        <v/>
      </c>
      <c r="Q12" s="18">
        <f>IFERROR(VLOOKUP($A12,subQ,MATCH(Q$1,SUBQH,0),0),"")</f>
        <v/>
      </c>
      <c r="R12" s="18">
        <f>IFERROR(VLOOKUP($A12,subQ,MATCH(R$1,SUBQH,0),0),"")</f>
        <v/>
      </c>
      <c r="S12" s="18">
        <f>IFERROR(VLOOKUP($A12,subQ,MATCH(S$1,SUBQH,0),0),"")</f>
        <v/>
      </c>
      <c r="T12" s="18">
        <f>IFERROR(VLOOKUP($A12,subQ,MATCH(T$1,SUBQH,0),0),"")</f>
        <v/>
      </c>
      <c r="U12" s="18">
        <f>IFERROR(VLOOKUP($A12,subQ,MATCH(U$1,SUBQH,0),0),"")</f>
        <v/>
      </c>
      <c r="V12" s="18">
        <f>IFERROR(VLOOKUP($A12,subQ,MATCH(V$1,SUBQH,0),0),"")</f>
        <v/>
      </c>
      <c r="W12" s="45">
        <f>IFERROR(VLOOKUP($A12,subQ,MATCH(W$1,SUBQH,0),0),"")</f>
        <v/>
      </c>
      <c r="X12" s="20">
        <f>IFERROR(VLOOKUP($A12,subQ,MATCH(X$1,SUBQH,0),0),"")</f>
        <v/>
      </c>
      <c r="Y12" s="20">
        <f>IFERROR(VLOOKUP($A12,subQ,MATCH(Y$1,SUBQH,0),0),"")</f>
        <v/>
      </c>
      <c r="Z12" s="20">
        <f>IFERROR(VLOOKUP($A12,subQ,MATCH(Z$1,SUBQH,0),0),"")</f>
        <v/>
      </c>
      <c r="AA12" s="20">
        <f>IFERROR(VLOOKUP($A12,subQ,MATCH(AA$1,SUBQH,0),0),"")</f>
        <v/>
      </c>
      <c r="AB12" s="20">
        <f>IFERROR(VLOOKUP($A12,subQ,MATCH(AB$1,SUBQH,0),0),"")</f>
        <v/>
      </c>
      <c r="AC12" s="20">
        <f>IFERROR(VLOOKUP($A12,subQ,MATCH(AC$1,SUBQH,0),0),"")</f>
        <v/>
      </c>
      <c r="AD12" s="20">
        <f>IFERROR(VLOOKUP($A12,subQ,MATCH(AD$1,SUBQH,0),0),"")</f>
        <v/>
      </c>
      <c r="AE12" s="20">
        <f>IFERROR(VLOOKUP($A12,subQ,MATCH(AE$1,SUBQH,0),0),"")</f>
        <v/>
      </c>
      <c r="AF12" s="20">
        <f>IFERROR(VLOOKUP($A12,subQ,MATCH(AF$1,SUBQH,0),0),"")</f>
        <v/>
      </c>
      <c r="AG12" s="20">
        <f>IFERROR(VLOOKUP($A12,subQ,MATCH(AG$1,SUBQH,0),0),"")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18">
        <f>IFERROR(VLOOKUP($A13,subQ,MATCH(I$1,SUBQH,0),0),"")</f>
        <v/>
      </c>
      <c r="J13" s="18">
        <f>IFERROR(VLOOKUP($A13,subQ,MATCH(J$1,SUBQH,0),0),"")</f>
        <v/>
      </c>
      <c r="K13" s="18">
        <f>IFERROR(VLOOKUP($A13,subQ,MATCH(K$1,SUBQH,0),0),"")</f>
        <v/>
      </c>
      <c r="L13" s="18">
        <f>IFERROR(VLOOKUP($A13,subQ,MATCH(L$1,SUBQH,0),0),"")</f>
        <v/>
      </c>
      <c r="M13" s="18">
        <f>IFERROR(VLOOKUP($A13,subQ,MATCH(M$1,SUBQH,0),0),"")</f>
        <v/>
      </c>
      <c r="N13" s="18">
        <f>IFERROR(VLOOKUP($A13,subQ,MATCH(N$1,SUBQH,0),0),"")</f>
        <v/>
      </c>
      <c r="O13" s="18">
        <f>IFERROR(VLOOKUP($A13,subQ,MATCH(O$1,SUBQH,0),0),"")</f>
        <v/>
      </c>
      <c r="P13" s="18">
        <f>IFERROR(VLOOKUP($A13,subQ,MATCH(P$1,SUBQH,0),0),"")</f>
        <v/>
      </c>
      <c r="Q13" s="18">
        <f>IFERROR(VLOOKUP($A13,subQ,MATCH(Q$1,SUBQH,0),0),"")</f>
        <v/>
      </c>
      <c r="R13" s="18">
        <f>IFERROR(VLOOKUP($A13,subQ,MATCH(R$1,SUBQH,0),0),"")</f>
        <v/>
      </c>
      <c r="S13" s="18">
        <f>IFERROR(VLOOKUP($A13,subQ,MATCH(S$1,SUBQH,0),0),"")</f>
        <v/>
      </c>
      <c r="T13" s="18">
        <f>IFERROR(VLOOKUP($A13,subQ,MATCH(T$1,SUBQH,0),0),"")</f>
        <v/>
      </c>
      <c r="U13" s="18">
        <f>IFERROR(VLOOKUP($A13,subQ,MATCH(U$1,SUBQH,0),0),"")</f>
        <v/>
      </c>
      <c r="V13" s="18">
        <f>IFERROR(VLOOKUP($A13,subQ,MATCH(V$1,SUBQH,0),0),"")</f>
        <v/>
      </c>
      <c r="W13" s="45">
        <f>IFERROR(VLOOKUP($A13,subQ,MATCH(W$1,SUBQH,0),0),"")</f>
        <v/>
      </c>
      <c r="X13" s="20">
        <f>IFERROR(VLOOKUP($A13,subQ,MATCH(X$1,SUBQH,0),0),"")</f>
        <v/>
      </c>
      <c r="Y13" s="20">
        <f>IFERROR(VLOOKUP($A13,subQ,MATCH(Y$1,SUBQH,0),0),"")</f>
        <v/>
      </c>
      <c r="Z13" s="20">
        <f>IFERROR(VLOOKUP($A13,subQ,MATCH(Z$1,SUBQH,0),0),"")</f>
        <v/>
      </c>
      <c r="AA13" s="20">
        <f>IFERROR(VLOOKUP($A13,subQ,MATCH(AA$1,SUBQH,0),0),"")</f>
        <v/>
      </c>
      <c r="AB13" s="20">
        <f>IFERROR(VLOOKUP($A13,subQ,MATCH(AB$1,SUBQH,0),0),"")</f>
        <v/>
      </c>
      <c r="AC13" s="20">
        <f>IFERROR(VLOOKUP($A13,subQ,MATCH(AC$1,SUBQH,0),0),"")</f>
        <v/>
      </c>
      <c r="AD13" s="20">
        <f>IFERROR(VLOOKUP($A13,subQ,MATCH(AD$1,SUBQH,0),0),"")</f>
        <v/>
      </c>
      <c r="AE13" s="20">
        <f>IFERROR(VLOOKUP($A13,subQ,MATCH(AE$1,SUBQH,0),0),"")</f>
        <v/>
      </c>
      <c r="AF13" s="20">
        <f>IFERROR(VLOOKUP($A13,subQ,MATCH(AF$1,SUBQH,0),0),"")</f>
        <v/>
      </c>
      <c r="AG13" s="20">
        <f>IFERROR(VLOOKUP($A13,subQ,MATCH(AG$1,SUBQH,0),0),"")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18">
        <f>IFERROR(VLOOKUP($A14,subQ,MATCH(I$1,SUBQH,0),0),"")</f>
        <v/>
      </c>
      <c r="J14" s="18">
        <f>IFERROR(VLOOKUP($A14,subQ,MATCH(J$1,SUBQH,0),0),"")</f>
        <v/>
      </c>
      <c r="K14" s="18">
        <f>IFERROR(VLOOKUP($A14,subQ,MATCH(K$1,SUBQH,0),0),"")</f>
        <v/>
      </c>
      <c r="L14" s="18">
        <f>IFERROR(VLOOKUP($A14,subQ,MATCH(L$1,SUBQH,0),0),"")</f>
        <v/>
      </c>
      <c r="M14" s="18">
        <f>IFERROR(VLOOKUP($A14,subQ,MATCH(M$1,SUBQH,0),0),"")</f>
        <v/>
      </c>
      <c r="N14" s="18">
        <f>IFERROR(VLOOKUP($A14,subQ,MATCH(N$1,SUBQH,0),0),"")</f>
        <v/>
      </c>
      <c r="O14" s="18">
        <f>IFERROR(VLOOKUP($A14,subQ,MATCH(O$1,SUBQH,0),0),"")</f>
        <v/>
      </c>
      <c r="P14" s="18">
        <f>IFERROR(VLOOKUP($A14,subQ,MATCH(P$1,SUBQH,0),0),"")</f>
        <v/>
      </c>
      <c r="Q14" s="18">
        <f>IFERROR(VLOOKUP($A14,subQ,MATCH(Q$1,SUBQH,0),0),"")</f>
        <v/>
      </c>
      <c r="R14" s="18">
        <f>IFERROR(VLOOKUP($A14,subQ,MATCH(R$1,SUBQH,0),0),"")</f>
        <v/>
      </c>
      <c r="S14" s="18">
        <f>IFERROR(VLOOKUP($A14,subQ,MATCH(S$1,SUBQH,0),0),"")</f>
        <v/>
      </c>
      <c r="T14" s="18">
        <f>IFERROR(VLOOKUP($A14,subQ,MATCH(T$1,SUBQH,0),0),"")</f>
        <v/>
      </c>
      <c r="U14" s="18">
        <f>IFERROR(VLOOKUP($A14,subQ,MATCH(U$1,SUBQH,0),0),"")</f>
        <v/>
      </c>
      <c r="V14" s="18">
        <f>IFERROR(VLOOKUP($A14,subQ,MATCH(V$1,SUBQH,0),0),"")</f>
        <v/>
      </c>
      <c r="W14" s="45">
        <f>IFERROR(VLOOKUP($A14,subQ,MATCH(W$1,SUBQH,0),0),"")</f>
        <v/>
      </c>
      <c r="X14" s="20">
        <f>IFERROR(VLOOKUP($A14,subQ,MATCH(X$1,SUBQH,0),0),"")</f>
        <v/>
      </c>
      <c r="Y14" s="20">
        <f>IFERROR(VLOOKUP($A14,subQ,MATCH(Y$1,SUBQH,0),0),"")</f>
        <v/>
      </c>
      <c r="Z14" s="20">
        <f>IFERROR(VLOOKUP($A14,subQ,MATCH(Z$1,SUBQH,0),0),"")</f>
        <v/>
      </c>
      <c r="AA14" s="20">
        <f>IFERROR(VLOOKUP($A14,subQ,MATCH(AA$1,SUBQH,0),0),"")</f>
        <v/>
      </c>
      <c r="AB14" s="20">
        <f>IFERROR(VLOOKUP($A14,subQ,MATCH(AB$1,SUBQH,0),0),"")</f>
        <v/>
      </c>
      <c r="AC14" s="20">
        <f>IFERROR(VLOOKUP($A14,subQ,MATCH(AC$1,SUBQH,0),0),"")</f>
        <v/>
      </c>
      <c r="AD14" s="20">
        <f>IFERROR(VLOOKUP($A14,subQ,MATCH(AD$1,SUBQH,0),0),"")</f>
        <v/>
      </c>
      <c r="AE14" s="20">
        <f>IFERROR(VLOOKUP($A14,subQ,MATCH(AE$1,SUBQH,0),0),"")</f>
        <v/>
      </c>
      <c r="AF14" s="20">
        <f>IFERROR(VLOOKUP($A14,subQ,MATCH(AF$1,SUBQH,0),0),"")</f>
        <v/>
      </c>
      <c r="AG14" s="20">
        <f>IFERROR(VLOOKUP($A14,subQ,MATCH(AG$1,SUBQH,0),0),"")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18">
        <f>IFERROR(VLOOKUP($A15,subQ,MATCH(I$1,SUBQH,0),0),"")</f>
        <v/>
      </c>
      <c r="J15" s="18">
        <f>IFERROR(VLOOKUP($A15,subQ,MATCH(J$1,SUBQH,0),0),"")</f>
        <v/>
      </c>
      <c r="K15" s="18">
        <f>IFERROR(VLOOKUP($A15,subQ,MATCH(K$1,SUBQH,0),0),"")</f>
        <v/>
      </c>
      <c r="L15" s="18">
        <f>IFERROR(VLOOKUP($A15,subQ,MATCH(L$1,SUBQH,0),0),"")</f>
        <v/>
      </c>
      <c r="M15" s="18">
        <f>IFERROR(VLOOKUP($A15,subQ,MATCH(M$1,SUBQH,0),0),"")</f>
        <v/>
      </c>
      <c r="N15" s="18">
        <f>IFERROR(VLOOKUP($A15,subQ,MATCH(N$1,SUBQH,0),0),"")</f>
        <v/>
      </c>
      <c r="O15" s="18">
        <f>IFERROR(VLOOKUP($A15,subQ,MATCH(O$1,SUBQH,0),0),"")</f>
        <v/>
      </c>
      <c r="P15" s="18">
        <f>IFERROR(VLOOKUP($A15,subQ,MATCH(P$1,SUBQH,0),0),"")</f>
        <v/>
      </c>
      <c r="Q15" s="18">
        <f>IFERROR(VLOOKUP($A15,subQ,MATCH(Q$1,SUBQH,0),0),"")</f>
        <v/>
      </c>
      <c r="R15" s="18">
        <f>IFERROR(VLOOKUP($A15,subQ,MATCH(R$1,SUBQH,0),0),"")</f>
        <v/>
      </c>
      <c r="S15" s="18">
        <f>IFERROR(VLOOKUP($A15,subQ,MATCH(S$1,SUBQH,0),0),"")</f>
        <v/>
      </c>
      <c r="T15" s="18">
        <f>IFERROR(VLOOKUP($A15,subQ,MATCH(T$1,SUBQH,0),0),"")</f>
        <v/>
      </c>
      <c r="U15" s="18">
        <f>IFERROR(VLOOKUP($A15,subQ,MATCH(U$1,SUBQH,0),0),"")</f>
        <v/>
      </c>
      <c r="V15" s="18">
        <f>IFERROR(VLOOKUP($A15,subQ,MATCH(V$1,SUBQH,0),0),"")</f>
        <v/>
      </c>
      <c r="W15" s="45">
        <f>IFERROR(VLOOKUP($A15,subQ,MATCH(W$1,SUBQH,0),0),"")</f>
        <v/>
      </c>
      <c r="X15" s="20">
        <f>IFERROR(VLOOKUP($A15,subQ,MATCH(X$1,SUBQH,0),0),"")</f>
        <v/>
      </c>
      <c r="Y15" s="20">
        <f>IFERROR(VLOOKUP($A15,subQ,MATCH(Y$1,SUBQH,0),0),"")</f>
        <v/>
      </c>
      <c r="Z15" s="20">
        <f>IFERROR(VLOOKUP($A15,subQ,MATCH(Z$1,SUBQH,0),0),"")</f>
        <v/>
      </c>
      <c r="AA15" s="20">
        <f>IFERROR(VLOOKUP($A15,subQ,MATCH(AA$1,SUBQH,0),0),"")</f>
        <v/>
      </c>
      <c r="AB15" s="20">
        <f>IFERROR(VLOOKUP($A15,subQ,MATCH(AB$1,SUBQH,0),0),"")</f>
        <v/>
      </c>
      <c r="AC15" s="20">
        <f>IFERROR(VLOOKUP($A15,subQ,MATCH(AC$1,SUBQH,0),0),"")</f>
        <v/>
      </c>
      <c r="AD15" s="20">
        <f>IFERROR(VLOOKUP($A15,subQ,MATCH(AD$1,SUBQH,0),0),"")</f>
        <v/>
      </c>
      <c r="AE15" s="20">
        <f>IFERROR(VLOOKUP($A15,subQ,MATCH(AE$1,SUBQH,0),0),"")</f>
        <v/>
      </c>
      <c r="AF15" s="20">
        <f>IFERROR(VLOOKUP($A15,subQ,MATCH(AF$1,SUBQH,0),0),"")</f>
        <v/>
      </c>
      <c r="AG15" s="20">
        <f>IFERROR(VLOOKUP($A15,subQ,MATCH(AG$1,SUBQH,0),0),"")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18">
        <f>IFERROR(VLOOKUP($A16,subQ,MATCH(I$1,SUBQH,0),0),"")</f>
        <v/>
      </c>
      <c r="J16" s="18">
        <f>IFERROR(VLOOKUP($A16,subQ,MATCH(J$1,SUBQH,0),0),"")</f>
        <v/>
      </c>
      <c r="K16" s="18">
        <f>IFERROR(VLOOKUP($A16,subQ,MATCH(K$1,SUBQH,0),0),"")</f>
        <v/>
      </c>
      <c r="L16" s="18">
        <f>IFERROR(VLOOKUP($A16,subQ,MATCH(L$1,SUBQH,0),0),"")</f>
        <v/>
      </c>
      <c r="M16" s="18">
        <f>IFERROR(VLOOKUP($A16,subQ,MATCH(M$1,SUBQH,0),0),"")</f>
        <v/>
      </c>
      <c r="N16" s="18">
        <f>IFERROR(VLOOKUP($A16,subQ,MATCH(N$1,SUBQH,0),0),"")</f>
        <v/>
      </c>
      <c r="O16" s="18">
        <f>IFERROR(VLOOKUP($A16,subQ,MATCH(O$1,SUBQH,0),0),"")</f>
        <v/>
      </c>
      <c r="P16" s="18">
        <f>IFERROR(VLOOKUP($A16,subQ,MATCH(P$1,SUBQH,0),0),"")</f>
        <v/>
      </c>
      <c r="Q16" s="18">
        <f>IFERROR(VLOOKUP($A16,subQ,MATCH(Q$1,SUBQH,0),0),"")</f>
        <v/>
      </c>
      <c r="R16" s="18">
        <f>IFERROR(VLOOKUP($A16,subQ,MATCH(R$1,SUBQH,0),0),"")</f>
        <v/>
      </c>
      <c r="S16" s="18">
        <f>IFERROR(VLOOKUP($A16,subQ,MATCH(S$1,SUBQH,0),0),"")</f>
        <v/>
      </c>
      <c r="T16" s="18">
        <f>IFERROR(VLOOKUP($A16,subQ,MATCH(T$1,SUBQH,0),0),"")</f>
        <v/>
      </c>
      <c r="U16" s="18">
        <f>IFERROR(VLOOKUP($A16,subQ,MATCH(U$1,SUBQH,0),0),"")</f>
        <v/>
      </c>
      <c r="V16" s="18">
        <f>IFERROR(VLOOKUP($A16,subQ,MATCH(V$1,SUBQH,0),0),"")</f>
        <v/>
      </c>
      <c r="W16" s="45">
        <f>IFERROR(VLOOKUP($A16,subQ,MATCH(W$1,SUBQH,0),0),"")</f>
        <v/>
      </c>
      <c r="X16" s="20">
        <f>IFERROR(VLOOKUP($A16,subQ,MATCH(X$1,SUBQH,0),0),"")</f>
        <v/>
      </c>
      <c r="Y16" s="20">
        <f>IFERROR(VLOOKUP($A16,subQ,MATCH(Y$1,SUBQH,0),0),"")</f>
        <v/>
      </c>
      <c r="Z16" s="20">
        <f>IFERROR(VLOOKUP($A16,subQ,MATCH(Z$1,SUBQH,0),0),"")</f>
        <v/>
      </c>
      <c r="AA16" s="20">
        <f>IFERROR(VLOOKUP($A16,subQ,MATCH(AA$1,SUBQH,0),0),"")</f>
        <v/>
      </c>
      <c r="AB16" s="20">
        <f>IFERROR(VLOOKUP($A16,subQ,MATCH(AB$1,SUBQH,0),0),"")</f>
        <v/>
      </c>
      <c r="AC16" s="20">
        <f>IFERROR(VLOOKUP($A16,subQ,MATCH(AC$1,SUBQH,0),0),"")</f>
        <v/>
      </c>
      <c r="AD16" s="20">
        <f>IFERROR(VLOOKUP($A16,subQ,MATCH(AD$1,SUBQH,0),0),"")</f>
        <v/>
      </c>
      <c r="AE16" s="20">
        <f>IFERROR(VLOOKUP($A16,subQ,MATCH(AE$1,SUBQH,0),0),"")</f>
        <v/>
      </c>
      <c r="AF16" s="20">
        <f>IFERROR(VLOOKUP($A16,subQ,MATCH(AF$1,SUBQH,0),0),"")</f>
        <v/>
      </c>
      <c r="AG16" s="20">
        <f>IFERROR(VLOOKUP($A16,subQ,MATCH(AG$1,SUBQH,0),0),"")</f>
        <v/>
      </c>
    </row>
    <row r="17">
      <c r="A17" s="12" t="inlineStr">
        <is>
          <t>세전이익</t>
        </is>
      </c>
      <c r="D17" t="inlineStr">
        <is>
          <t>법인세비용차감전이익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18">
        <f>IFERROR(VLOOKUP($A17,subQ,MATCH(I$1,SUBQH,0),0),"")</f>
        <v/>
      </c>
      <c r="J17" s="18">
        <f>IFERROR(VLOOKUP($A17,subQ,MATCH(J$1,SUBQH,0),0),"")</f>
        <v/>
      </c>
      <c r="K17" s="18">
        <f>IFERROR(VLOOKUP($A17,subQ,MATCH(K$1,SUBQH,0),0),"")</f>
        <v/>
      </c>
      <c r="L17" s="18">
        <f>IFERROR(VLOOKUP($A17,subQ,MATCH(L$1,SUBQH,0),0),"")</f>
        <v/>
      </c>
      <c r="M17" s="18">
        <f>IFERROR(VLOOKUP($A17,subQ,MATCH(M$1,SUBQH,0),0),"")</f>
        <v/>
      </c>
      <c r="N17" s="18">
        <f>IFERROR(VLOOKUP($A17,subQ,MATCH(N$1,SUBQH,0),0),"")</f>
        <v/>
      </c>
      <c r="O17" s="18">
        <f>IFERROR(VLOOKUP($A17,subQ,MATCH(O$1,SUBQH,0),0),"")</f>
        <v/>
      </c>
      <c r="P17" s="18">
        <f>IFERROR(VLOOKUP($A17,subQ,MATCH(P$1,SUBQH,0),0),"")</f>
        <v/>
      </c>
      <c r="Q17" s="18">
        <f>IFERROR(VLOOKUP($A17,subQ,MATCH(Q$1,SUBQH,0),0),"")</f>
        <v/>
      </c>
      <c r="R17" s="18">
        <f>IFERROR(VLOOKUP($A17,subQ,MATCH(R$1,SUBQH,0),0),"")</f>
        <v/>
      </c>
      <c r="S17" s="18">
        <f>IFERROR(VLOOKUP($A17,subQ,MATCH(S$1,SUBQH,0),0),"")</f>
        <v/>
      </c>
      <c r="T17" s="18">
        <f>IFERROR(VLOOKUP($A17,subQ,MATCH(T$1,SUBQH,0),0),"")</f>
        <v/>
      </c>
      <c r="U17" s="18">
        <f>IFERROR(VLOOKUP($A17,subQ,MATCH(U$1,SUBQH,0),0),"")</f>
        <v/>
      </c>
      <c r="V17" s="18">
        <f>IFERROR(VLOOKUP($A17,subQ,MATCH(V$1,SUBQH,0),0),"")</f>
        <v/>
      </c>
      <c r="W17" s="45">
        <f>IFERROR(VLOOKUP($A17,subQ,MATCH(W$1,SUBQH,0),0),"")</f>
        <v/>
      </c>
      <c r="X17" s="20">
        <f>IFERROR(VLOOKUP($A17,subQ,MATCH(X$1,SUBQH,0),0),"")</f>
        <v/>
      </c>
      <c r="Y17" s="20">
        <f>IFERROR(VLOOKUP($A17,subQ,MATCH(Y$1,SUBQH,0),0),"")</f>
        <v/>
      </c>
      <c r="Z17" s="20">
        <f>IFERROR(VLOOKUP($A17,subQ,MATCH(Z$1,SUBQH,0),0),"")</f>
        <v/>
      </c>
      <c r="AA17" s="20">
        <f>IFERROR(VLOOKUP($A17,subQ,MATCH(AA$1,SUBQH,0),0),"")</f>
        <v/>
      </c>
      <c r="AB17" s="20">
        <f>IFERROR(VLOOKUP($A17,subQ,MATCH(AB$1,SUBQH,0),0),"")</f>
        <v/>
      </c>
      <c r="AC17" s="20">
        <f>IFERROR(VLOOKUP($A17,subQ,MATCH(AC$1,SUBQH,0),0),"")</f>
        <v/>
      </c>
      <c r="AD17" s="20">
        <f>IFERROR(VLOOKUP($A17,subQ,MATCH(AD$1,SUBQH,0),0),"")</f>
        <v/>
      </c>
      <c r="AE17" s="20">
        <f>IFERROR(VLOOKUP($A17,subQ,MATCH(AE$1,SUBQH,0),0),"")</f>
        <v/>
      </c>
      <c r="AF17" s="20">
        <f>IFERROR(VLOOKUP($A17,subQ,MATCH(AF$1,SUBQH,0),0),"")</f>
        <v/>
      </c>
      <c r="AG17" s="20">
        <f>IFERROR(VLOOKUP($A17,subQ,MATCH(AG$1,SUBQH,0),0),"")</f>
        <v/>
      </c>
    </row>
    <row r="18">
      <c r="A18" s="12" t="inlineStr">
        <is>
          <t>법인세비용</t>
        </is>
      </c>
      <c r="D18" t="inlineStr">
        <is>
          <t>법인세비용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18">
        <f>IFERROR(VLOOKUP($A18,subQ,MATCH(I$1,SUBQH,0),0),"")</f>
        <v/>
      </c>
      <c r="J18" s="18">
        <f>IFERROR(VLOOKUP($A18,subQ,MATCH(J$1,SUBQH,0),0),"")</f>
        <v/>
      </c>
      <c r="K18" s="18">
        <f>IFERROR(VLOOKUP($A18,subQ,MATCH(K$1,SUBQH,0),0),"")</f>
        <v/>
      </c>
      <c r="L18" s="18">
        <f>IFERROR(VLOOKUP($A18,subQ,MATCH(L$1,SUBQH,0),0),"")</f>
        <v/>
      </c>
      <c r="M18" s="18">
        <f>IFERROR(VLOOKUP($A18,subQ,MATCH(M$1,SUBQH,0),0),"")</f>
        <v/>
      </c>
      <c r="N18" s="18">
        <f>IFERROR(VLOOKUP($A18,subQ,MATCH(N$1,SUBQH,0),0),"")</f>
        <v/>
      </c>
      <c r="O18" s="18">
        <f>IFERROR(VLOOKUP($A18,subQ,MATCH(O$1,SUBQH,0),0),"")</f>
        <v/>
      </c>
      <c r="P18" s="18">
        <f>IFERROR(VLOOKUP($A18,subQ,MATCH(P$1,SUBQH,0),0),"")</f>
        <v/>
      </c>
      <c r="Q18" s="18">
        <f>IFERROR(VLOOKUP($A18,subQ,MATCH(Q$1,SUBQH,0),0),"")</f>
        <v/>
      </c>
      <c r="R18" s="18">
        <f>IFERROR(VLOOKUP($A18,subQ,MATCH(R$1,SUBQH,0),0),"")</f>
        <v/>
      </c>
      <c r="S18" s="18">
        <f>IFERROR(VLOOKUP($A18,subQ,MATCH(S$1,SUBQH,0),0),"")</f>
        <v/>
      </c>
      <c r="T18" s="18">
        <f>IFERROR(VLOOKUP($A18,subQ,MATCH(T$1,SUBQH,0),0),"")</f>
        <v/>
      </c>
      <c r="U18" s="18">
        <f>IFERROR(VLOOKUP($A18,subQ,MATCH(U$1,SUBQH,0),0),"")</f>
        <v/>
      </c>
      <c r="V18" s="18">
        <f>IFERROR(VLOOKUP($A18,subQ,MATCH(V$1,SUBQH,0),0),"")</f>
        <v/>
      </c>
      <c r="W18" s="45">
        <f>IFERROR(VLOOKUP($A18,subQ,MATCH(W$1,SUBQH,0),0),"")</f>
        <v/>
      </c>
      <c r="X18" s="20">
        <f>IFERROR(VLOOKUP($A18,subQ,MATCH(X$1,SUBQH,0),0),"")</f>
        <v/>
      </c>
      <c r="Y18" s="20">
        <f>IFERROR(VLOOKUP($A18,subQ,MATCH(Y$1,SUBQH,0),0),"")</f>
        <v/>
      </c>
      <c r="Z18" s="20">
        <f>IFERROR(VLOOKUP($A18,subQ,MATCH(Z$1,SUBQH,0),0),"")</f>
        <v/>
      </c>
      <c r="AA18" s="20">
        <f>IFERROR(VLOOKUP($A18,subQ,MATCH(AA$1,SUBQH,0),0),"")</f>
        <v/>
      </c>
      <c r="AB18" s="20">
        <f>IFERROR(VLOOKUP($A18,subQ,MATCH(AB$1,SUBQH,0),0),"")</f>
        <v/>
      </c>
      <c r="AC18" s="20">
        <f>IFERROR(VLOOKUP($A18,subQ,MATCH(AC$1,SUBQH,0),0),"")</f>
        <v/>
      </c>
      <c r="AD18" s="20">
        <f>IFERROR(VLOOKUP($A18,subQ,MATCH(AD$1,SUBQH,0),0),"")</f>
        <v/>
      </c>
      <c r="AE18" s="20">
        <f>IFERROR(VLOOKUP($A18,subQ,MATCH(AE$1,SUBQH,0),0),"")</f>
        <v/>
      </c>
      <c r="AF18" s="20">
        <f>IFERROR(VLOOKUP($A18,subQ,MATCH(AF$1,SUBQH,0),0),"")</f>
        <v/>
      </c>
      <c r="AG18" s="20">
        <f>IFERROR(VLOOKUP($A18,subQ,MATCH(AG$1,SUBQH,0),0),"")</f>
        <v/>
      </c>
    </row>
    <row r="19">
      <c r="A19" s="12" t="inlineStr">
        <is>
          <t>당기순이익</t>
        </is>
      </c>
      <c r="D19" t="inlineStr">
        <is>
          <t>당기순이익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18">
        <f>IFERROR(VLOOKUP($A19,subQ,MATCH(I$1,SUBQH,0),0),"")</f>
        <v/>
      </c>
      <c r="J19" s="18">
        <f>IFERROR(VLOOKUP($A19,subQ,MATCH(J$1,SUBQH,0),0),"")</f>
        <v/>
      </c>
      <c r="K19" s="18">
        <f>IFERROR(VLOOKUP($A19,subQ,MATCH(K$1,SUBQH,0),0),"")</f>
        <v/>
      </c>
      <c r="L19" s="18">
        <f>IFERROR(VLOOKUP($A19,subQ,MATCH(L$1,SUBQH,0),0),"")</f>
        <v/>
      </c>
      <c r="M19" s="18">
        <f>IFERROR(VLOOKUP($A19,subQ,MATCH(M$1,SUBQH,0),0),"")</f>
        <v/>
      </c>
      <c r="N19" s="18">
        <f>IFERROR(VLOOKUP($A19,subQ,MATCH(N$1,SUBQH,0),0),"")</f>
        <v/>
      </c>
      <c r="O19" s="18">
        <f>IFERROR(VLOOKUP($A19,subQ,MATCH(O$1,SUBQH,0),0),"")</f>
        <v/>
      </c>
      <c r="P19" s="18">
        <f>IFERROR(VLOOKUP($A19,subQ,MATCH(P$1,SUBQH,0),0),"")</f>
        <v/>
      </c>
      <c r="Q19" s="18">
        <f>IFERROR(VLOOKUP($A19,subQ,MATCH(Q$1,SUBQH,0),0),"")</f>
        <v/>
      </c>
      <c r="R19" s="18">
        <f>IFERROR(VLOOKUP($A19,subQ,MATCH(R$1,SUBQH,0),0),"")</f>
        <v/>
      </c>
      <c r="S19" s="18">
        <f>IFERROR(VLOOKUP($A19,subQ,MATCH(S$1,SUBQH,0),0),"")</f>
        <v/>
      </c>
      <c r="T19" s="18">
        <f>IFERROR(VLOOKUP($A19,subQ,MATCH(T$1,SUBQH,0),0),"")</f>
        <v/>
      </c>
      <c r="U19" s="18">
        <f>IFERROR(VLOOKUP($A19,subQ,MATCH(U$1,SUBQH,0),0),"")</f>
        <v/>
      </c>
      <c r="V19" s="18">
        <f>IFERROR(VLOOKUP($A19,subQ,MATCH(V$1,SUBQH,0),0),"")</f>
        <v/>
      </c>
      <c r="W19" s="45">
        <f>IFERROR(VLOOKUP($A19,subQ,MATCH(W$1,SUBQH,0),0),"")</f>
        <v/>
      </c>
      <c r="X19" s="20">
        <f>IFERROR(VLOOKUP($A19,subQ,MATCH(X$1,SUBQH,0),0),"")</f>
        <v/>
      </c>
      <c r="Y19" s="20">
        <f>IFERROR(VLOOKUP($A19,subQ,MATCH(Y$1,SUBQH,0),0),"")</f>
        <v/>
      </c>
      <c r="Z19" s="20">
        <f>IFERROR(VLOOKUP($A19,subQ,MATCH(Z$1,SUBQH,0),0),"")</f>
        <v/>
      </c>
      <c r="AA19" s="20">
        <f>IFERROR(VLOOKUP($A19,subQ,MATCH(AA$1,SUBQH,0),0),"")</f>
        <v/>
      </c>
      <c r="AB19" s="20">
        <f>IFERROR(VLOOKUP($A19,subQ,MATCH(AB$1,SUBQH,0),0),"")</f>
        <v/>
      </c>
      <c r="AC19" s="20">
        <f>IFERROR(VLOOKUP($A19,subQ,MATCH(AC$1,SUBQH,0),0),"")</f>
        <v/>
      </c>
      <c r="AD19" s="20">
        <f>IFERROR(VLOOKUP($A19,subQ,MATCH(AD$1,SUBQH,0),0),"")</f>
        <v/>
      </c>
      <c r="AE19" s="20">
        <f>IFERROR(VLOOKUP($A19,subQ,MATCH(AE$1,SUBQH,0),0),"")</f>
        <v/>
      </c>
      <c r="AF19" s="20">
        <f>IFERROR(VLOOKUP($A19,subQ,MATCH(AF$1,SUBQH,0),0),"")</f>
        <v/>
      </c>
      <c r="AG19" s="20">
        <f>IFERROR(VLOOKUP($A19,subQ,MATCH(AG$1,SUBQH,0),0),"")</f>
        <v/>
      </c>
    </row>
    <row r="20">
      <c r="A20" s="12" t="inlineStr">
        <is>
          <t>지배주주순이익</t>
        </is>
      </c>
      <c r="D20" t="inlineStr">
        <is>
          <t>지배주주순이익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18">
        <f>IFERROR(VLOOKUP($A20,subQ,MATCH(I$1,SUBQH,0),0),"")</f>
        <v/>
      </c>
      <c r="J20" s="18">
        <f>IFERROR(VLOOKUP($A20,subQ,MATCH(J$1,SUBQH,0),0),"")</f>
        <v/>
      </c>
      <c r="K20" s="18">
        <f>IFERROR(VLOOKUP($A20,subQ,MATCH(K$1,SUBQH,0),0),"")</f>
        <v/>
      </c>
      <c r="L20" s="18">
        <f>IFERROR(VLOOKUP($A20,subQ,MATCH(L$1,SUBQH,0),0),"")</f>
        <v/>
      </c>
      <c r="M20" s="18">
        <f>IFERROR(VLOOKUP($A20,subQ,MATCH(M$1,SUBQH,0),0),"")</f>
        <v/>
      </c>
      <c r="N20" s="18">
        <f>IFERROR(VLOOKUP($A20,subQ,MATCH(N$1,SUBQH,0),0),"")</f>
        <v/>
      </c>
      <c r="O20" s="18">
        <f>IFERROR(VLOOKUP($A20,subQ,MATCH(O$1,SUBQH,0),0),"")</f>
        <v/>
      </c>
      <c r="P20" s="18">
        <f>IFERROR(VLOOKUP($A20,subQ,MATCH(P$1,SUBQH,0),0),"")</f>
        <v/>
      </c>
      <c r="Q20" s="18">
        <f>IFERROR(VLOOKUP($A20,subQ,MATCH(Q$1,SUBQH,0),0),"")</f>
        <v/>
      </c>
      <c r="R20" s="18">
        <f>IFERROR(VLOOKUP($A20,subQ,MATCH(R$1,SUBQH,0),0),"")</f>
        <v/>
      </c>
      <c r="S20" s="18">
        <f>IFERROR(VLOOKUP($A20,subQ,MATCH(S$1,SUBQH,0),0),"")</f>
        <v/>
      </c>
      <c r="T20" s="18">
        <f>IFERROR(VLOOKUP($A20,subQ,MATCH(T$1,SUBQH,0),0),"")</f>
        <v/>
      </c>
      <c r="U20" s="18">
        <f>IFERROR(VLOOKUP($A20,subQ,MATCH(U$1,SUBQH,0),0),"")</f>
        <v/>
      </c>
      <c r="V20" s="18">
        <f>IFERROR(VLOOKUP($A20,subQ,MATCH(V$1,SUBQH,0),0),"")</f>
        <v/>
      </c>
      <c r="W20" s="45">
        <f>IFERROR(VLOOKUP($A20,subQ,MATCH(W$1,SUBQH,0),0),"")</f>
        <v/>
      </c>
      <c r="X20" s="20">
        <f>IFERROR(VLOOKUP($A20,subQ,MATCH(X$1,SUBQH,0),0),"")</f>
        <v/>
      </c>
      <c r="Y20" s="20">
        <f>IFERROR(VLOOKUP($A20,subQ,MATCH(Y$1,SUBQH,0),0),"")</f>
        <v/>
      </c>
      <c r="Z20" s="20">
        <f>IFERROR(VLOOKUP($A20,subQ,MATCH(Z$1,SUBQH,0),0),"")</f>
        <v/>
      </c>
      <c r="AA20" s="20">
        <f>IFERROR(VLOOKUP($A20,subQ,MATCH(AA$1,SUBQH,0),0),"")</f>
        <v/>
      </c>
      <c r="AB20" s="20">
        <f>IFERROR(VLOOKUP($A20,subQ,MATCH(AB$1,SUBQH,0),0),"")</f>
        <v/>
      </c>
      <c r="AC20" s="20">
        <f>IFERROR(VLOOKUP($A20,subQ,MATCH(AC$1,SUBQH,0),0),"")</f>
        <v/>
      </c>
      <c r="AD20" s="20">
        <f>IFERROR(VLOOKUP($A20,subQ,MATCH(AD$1,SUBQH,0),0),"")</f>
        <v/>
      </c>
      <c r="AE20" s="20">
        <f>IFERROR(VLOOKUP($A20,subQ,MATCH(AE$1,SUBQH,0),0),"")</f>
        <v/>
      </c>
      <c r="AF20" s="20">
        <f>IFERROR(VLOOKUP($A20,subQ,MATCH(AF$1,SUBQH,0),0),"")</f>
        <v/>
      </c>
      <c r="AG20" s="20">
        <f>IFERROR(VLOOKUP($A20,subQ,MATCH(AG$1,SUBQH,0),0),"")</f>
        <v/>
      </c>
    </row>
    <row r="21">
      <c r="A21" s="12" t="inlineStr">
        <is>
          <t>자산총계</t>
        </is>
      </c>
      <c r="D21" t="inlineStr">
        <is>
          <t>자산총계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18">
        <f>IFERROR(VLOOKUP($A21,subQ,MATCH(I$1,SUBQH,0),0),"")</f>
        <v/>
      </c>
      <c r="J21" s="18">
        <f>IFERROR(VLOOKUP($A21,subQ,MATCH(J$1,SUBQH,0),0),"")</f>
        <v/>
      </c>
      <c r="K21" s="18">
        <f>IFERROR(VLOOKUP($A21,subQ,MATCH(K$1,SUBQH,0),0),"")</f>
        <v/>
      </c>
      <c r="L21" s="18">
        <f>IFERROR(VLOOKUP($A21,subQ,MATCH(L$1,SUBQH,0),0),"")</f>
        <v/>
      </c>
      <c r="M21" s="18">
        <f>IFERROR(VLOOKUP($A21,subQ,MATCH(M$1,SUBQH,0),0),"")</f>
        <v/>
      </c>
      <c r="N21" s="18">
        <f>IFERROR(VLOOKUP($A21,subQ,MATCH(N$1,SUBQH,0),0),"")</f>
        <v/>
      </c>
      <c r="O21" s="18">
        <f>IFERROR(VLOOKUP($A21,subQ,MATCH(O$1,SUBQH,0),0),"")</f>
        <v/>
      </c>
      <c r="P21" s="18">
        <f>IFERROR(VLOOKUP($A21,subQ,MATCH(P$1,SUBQH,0),0),"")</f>
        <v/>
      </c>
      <c r="Q21" s="18">
        <f>IFERROR(VLOOKUP($A21,subQ,MATCH(Q$1,SUBQH,0),0),"")</f>
        <v/>
      </c>
      <c r="R21" s="18">
        <f>IFERROR(VLOOKUP($A21,subQ,MATCH(R$1,SUBQH,0),0),"")</f>
        <v/>
      </c>
      <c r="S21" s="18">
        <f>IFERROR(VLOOKUP($A21,subQ,MATCH(S$1,SUBQH,0),0),"")</f>
        <v/>
      </c>
      <c r="T21" s="18">
        <f>IFERROR(VLOOKUP($A21,subQ,MATCH(T$1,SUBQH,0),0),"")</f>
        <v/>
      </c>
      <c r="U21" s="18">
        <f>IFERROR(VLOOKUP($A21,subQ,MATCH(U$1,SUBQH,0),0),"")</f>
        <v/>
      </c>
      <c r="V21" s="18">
        <f>IFERROR(VLOOKUP($A21,subQ,MATCH(V$1,SUBQH,0),0),"")</f>
        <v/>
      </c>
      <c r="W21" s="45">
        <f>IFERROR(VLOOKUP($A21,subQ,MATCH(W$1,SUBQH,0),0),"")</f>
        <v/>
      </c>
      <c r="X21" s="20">
        <f>IFERROR(VLOOKUP($A21,subQ,MATCH(X$1,SUBQH,0),0),"")</f>
        <v/>
      </c>
      <c r="Y21" s="20">
        <f>IFERROR(VLOOKUP($A21,subQ,MATCH(Y$1,SUBQH,0),0),"")</f>
        <v/>
      </c>
      <c r="Z21" s="20">
        <f>IFERROR(VLOOKUP($A21,subQ,MATCH(Z$1,SUBQH,0),0),"")</f>
        <v/>
      </c>
      <c r="AA21" s="20">
        <f>IFERROR(VLOOKUP($A21,subQ,MATCH(AA$1,SUBQH,0),0),"")</f>
        <v/>
      </c>
      <c r="AB21" s="20">
        <f>IFERROR(VLOOKUP($A21,subQ,MATCH(AB$1,SUBQH,0),0),"")</f>
        <v/>
      </c>
      <c r="AC21" s="20">
        <f>IFERROR(VLOOKUP($A21,subQ,MATCH(AC$1,SUBQH,0),0),"")</f>
        <v/>
      </c>
      <c r="AD21" s="20">
        <f>IFERROR(VLOOKUP($A21,subQ,MATCH(AD$1,SUBQH,0),0),"")</f>
        <v/>
      </c>
      <c r="AE21" s="20">
        <f>IFERROR(VLOOKUP($A21,subQ,MATCH(AE$1,SUBQH,0),0),"")</f>
        <v/>
      </c>
      <c r="AF21" s="20">
        <f>IFERROR(VLOOKUP($A21,subQ,MATCH(AF$1,SUBQH,0),0),"")</f>
        <v/>
      </c>
      <c r="AG21" s="20">
        <f>IFERROR(VLOOKUP($A21,subQ,MATCH(AG$1,SUBQH,0),0),"")</f>
        <v/>
      </c>
    </row>
    <row r="22">
      <c r="A22" s="12" t="inlineStr">
        <is>
          <t>부채총계</t>
        </is>
      </c>
      <c r="D22" t="inlineStr">
        <is>
          <t>부채총계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18">
        <f>IFERROR(VLOOKUP($A22,subQ,MATCH(I$1,SUBQH,0),0),"")</f>
        <v/>
      </c>
      <c r="J22" s="18">
        <f>IFERROR(VLOOKUP($A22,subQ,MATCH(J$1,SUBQH,0),0),"")</f>
        <v/>
      </c>
      <c r="K22" s="18">
        <f>IFERROR(VLOOKUP($A22,subQ,MATCH(K$1,SUBQH,0),0),"")</f>
        <v/>
      </c>
      <c r="L22" s="18">
        <f>IFERROR(VLOOKUP($A22,subQ,MATCH(L$1,SUBQH,0),0),"")</f>
        <v/>
      </c>
      <c r="M22" s="18">
        <f>IFERROR(VLOOKUP($A22,subQ,MATCH(M$1,SUBQH,0),0),"")</f>
        <v/>
      </c>
      <c r="N22" s="18">
        <f>IFERROR(VLOOKUP($A22,subQ,MATCH(N$1,SUBQH,0),0),"")</f>
        <v/>
      </c>
      <c r="O22" s="18">
        <f>IFERROR(VLOOKUP($A22,subQ,MATCH(O$1,SUBQH,0),0),"")</f>
        <v/>
      </c>
      <c r="P22" s="18">
        <f>IFERROR(VLOOKUP($A22,subQ,MATCH(P$1,SUBQH,0),0),"")</f>
        <v/>
      </c>
      <c r="Q22" s="18">
        <f>IFERROR(VLOOKUP($A22,subQ,MATCH(Q$1,SUBQH,0),0),"")</f>
        <v/>
      </c>
      <c r="R22" s="18">
        <f>IFERROR(VLOOKUP($A22,subQ,MATCH(R$1,SUBQH,0),0),"")</f>
        <v/>
      </c>
      <c r="S22" s="18">
        <f>IFERROR(VLOOKUP($A22,subQ,MATCH(S$1,SUBQH,0),0),"")</f>
        <v/>
      </c>
      <c r="T22" s="18">
        <f>IFERROR(VLOOKUP($A22,subQ,MATCH(T$1,SUBQH,0),0),"")</f>
        <v/>
      </c>
      <c r="U22" s="18">
        <f>IFERROR(VLOOKUP($A22,subQ,MATCH(U$1,SUBQH,0),0),"")</f>
        <v/>
      </c>
      <c r="V22" s="18">
        <f>IFERROR(VLOOKUP($A22,subQ,MATCH(V$1,SUBQH,0),0),"")</f>
        <v/>
      </c>
      <c r="W22" s="45">
        <f>IFERROR(VLOOKUP($A22,subQ,MATCH(W$1,SUBQH,0),0),"")</f>
        <v/>
      </c>
      <c r="X22" s="20">
        <f>IFERROR(VLOOKUP($A22,subQ,MATCH(X$1,SUBQH,0),0),"")</f>
        <v/>
      </c>
      <c r="Y22" s="20">
        <f>IFERROR(VLOOKUP($A22,subQ,MATCH(Y$1,SUBQH,0),0),"")</f>
        <v/>
      </c>
      <c r="Z22" s="20">
        <f>IFERROR(VLOOKUP($A22,subQ,MATCH(Z$1,SUBQH,0),0),"")</f>
        <v/>
      </c>
      <c r="AA22" s="20">
        <f>IFERROR(VLOOKUP($A22,subQ,MATCH(AA$1,SUBQH,0),0),"")</f>
        <v/>
      </c>
      <c r="AB22" s="20">
        <f>IFERROR(VLOOKUP($A22,subQ,MATCH(AB$1,SUBQH,0),0),"")</f>
        <v/>
      </c>
      <c r="AC22" s="20">
        <f>IFERROR(VLOOKUP($A22,subQ,MATCH(AC$1,SUBQH,0),0),"")</f>
        <v/>
      </c>
      <c r="AD22" s="20">
        <f>IFERROR(VLOOKUP($A22,subQ,MATCH(AD$1,SUBQH,0),0),"")</f>
        <v/>
      </c>
      <c r="AE22" s="20">
        <f>IFERROR(VLOOKUP($A22,subQ,MATCH(AE$1,SUBQH,0),0),"")</f>
        <v/>
      </c>
      <c r="AF22" s="20">
        <f>IFERROR(VLOOKUP($A22,subQ,MATCH(AF$1,SUBQH,0),0),"")</f>
        <v/>
      </c>
      <c r="AG22" s="20">
        <f>IFERROR(VLOOKUP($A22,subQ,MATCH(AG$1,SUBQH,0),0),"")</f>
        <v/>
      </c>
    </row>
    <row r="23">
      <c r="A23" s="12" t="inlineStr">
        <is>
          <t>자본총계</t>
        </is>
      </c>
      <c r="D23" t="inlineStr">
        <is>
          <t>자본총계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18">
        <f>IFERROR(VLOOKUP($A23,subQ,MATCH(I$1,SUBQH,0),0),"")</f>
        <v/>
      </c>
      <c r="J23" s="18">
        <f>IFERROR(VLOOKUP($A23,subQ,MATCH(J$1,SUBQH,0),0),"")</f>
        <v/>
      </c>
      <c r="K23" s="18">
        <f>IFERROR(VLOOKUP($A23,subQ,MATCH(K$1,SUBQH,0),0),"")</f>
        <v/>
      </c>
      <c r="L23" s="18">
        <f>IFERROR(VLOOKUP($A23,subQ,MATCH(L$1,SUBQH,0),0),"")</f>
        <v/>
      </c>
      <c r="M23" s="18">
        <f>IFERROR(VLOOKUP($A23,subQ,MATCH(M$1,SUBQH,0),0),"")</f>
        <v/>
      </c>
      <c r="N23" s="18">
        <f>IFERROR(VLOOKUP($A23,subQ,MATCH(N$1,SUBQH,0),0),"")</f>
        <v/>
      </c>
      <c r="O23" s="18">
        <f>IFERROR(VLOOKUP($A23,subQ,MATCH(O$1,SUBQH,0),0),"")</f>
        <v/>
      </c>
      <c r="P23" s="18">
        <f>IFERROR(VLOOKUP($A23,subQ,MATCH(P$1,SUBQH,0),0),"")</f>
        <v/>
      </c>
      <c r="Q23" s="18">
        <f>IFERROR(VLOOKUP($A23,subQ,MATCH(Q$1,SUBQH,0),0),"")</f>
        <v/>
      </c>
      <c r="R23" s="18">
        <f>IFERROR(VLOOKUP($A23,subQ,MATCH(R$1,SUBQH,0),0),"")</f>
        <v/>
      </c>
      <c r="S23" s="18">
        <f>IFERROR(VLOOKUP($A23,subQ,MATCH(S$1,SUBQH,0),0),"")</f>
        <v/>
      </c>
      <c r="T23" s="18">
        <f>IFERROR(VLOOKUP($A23,subQ,MATCH(T$1,SUBQH,0),0),"")</f>
        <v/>
      </c>
      <c r="U23" s="18">
        <f>IFERROR(VLOOKUP($A23,subQ,MATCH(U$1,SUBQH,0),0),"")</f>
        <v/>
      </c>
      <c r="V23" s="18">
        <f>IFERROR(VLOOKUP($A23,subQ,MATCH(V$1,SUBQH,0),0),"")</f>
        <v/>
      </c>
      <c r="W23" s="45">
        <f>IFERROR(VLOOKUP($A23,subQ,MATCH(W$1,SUBQH,0),0),"")</f>
        <v/>
      </c>
      <c r="X23" s="20">
        <f>IFERROR(VLOOKUP($A23,subQ,MATCH(X$1,SUBQH,0),0),"")</f>
        <v/>
      </c>
      <c r="Y23" s="20">
        <f>IFERROR(VLOOKUP($A23,subQ,MATCH(Y$1,SUBQH,0),0),"")</f>
        <v/>
      </c>
      <c r="Z23" s="20">
        <f>IFERROR(VLOOKUP($A23,subQ,MATCH(Z$1,SUBQH,0),0),"")</f>
        <v/>
      </c>
      <c r="AA23" s="20">
        <f>IFERROR(VLOOKUP($A23,subQ,MATCH(AA$1,SUBQH,0),0),"")</f>
        <v/>
      </c>
      <c r="AB23" s="20">
        <f>IFERROR(VLOOKUP($A23,subQ,MATCH(AB$1,SUBQH,0),0),"")</f>
        <v/>
      </c>
      <c r="AC23" s="20">
        <f>IFERROR(VLOOKUP($A23,subQ,MATCH(AC$1,SUBQH,0),0),"")</f>
        <v/>
      </c>
      <c r="AD23" s="20">
        <f>IFERROR(VLOOKUP($A23,subQ,MATCH(AD$1,SUBQH,0),0),"")</f>
        <v/>
      </c>
      <c r="AE23" s="20">
        <f>IFERROR(VLOOKUP($A23,subQ,MATCH(AE$1,SUBQH,0),0),"")</f>
        <v/>
      </c>
      <c r="AF23" s="20">
        <f>IFERROR(VLOOKUP($A23,subQ,MATCH(AF$1,SUBQH,0),0),"")</f>
        <v/>
      </c>
      <c r="AG23" s="20">
        <f>IFERROR(VLOOKUP($A23,subQ,MATCH(AG$1,SUBQH,0),0),"")</f>
        <v/>
      </c>
    </row>
    <row r="24">
      <c r="A24" s="12" t="inlineStr">
        <is>
          <t>지배주주지분</t>
        </is>
      </c>
      <c r="D24" t="inlineStr">
        <is>
          <t>지배주주지분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18">
        <f>IFERROR(VLOOKUP($A24,subQ,MATCH(I$1,SUBQH,0),0),"")</f>
        <v/>
      </c>
      <c r="J24" s="18">
        <f>IFERROR(VLOOKUP($A24,subQ,MATCH(J$1,SUBQH,0),0),"")</f>
        <v/>
      </c>
      <c r="K24" s="18">
        <f>IFERROR(VLOOKUP($A24,subQ,MATCH(K$1,SUBQH,0),0),"")</f>
        <v/>
      </c>
      <c r="L24" s="18">
        <f>IFERROR(VLOOKUP($A24,subQ,MATCH(L$1,SUBQH,0),0),"")</f>
        <v/>
      </c>
      <c r="M24" s="18">
        <f>IFERROR(VLOOKUP($A24,subQ,MATCH(M$1,SUBQH,0),0),"")</f>
        <v/>
      </c>
      <c r="N24" s="18">
        <f>IFERROR(VLOOKUP($A24,subQ,MATCH(N$1,SUBQH,0),0),"")</f>
        <v/>
      </c>
      <c r="O24" s="18">
        <f>IFERROR(VLOOKUP($A24,subQ,MATCH(O$1,SUBQH,0),0),"")</f>
        <v/>
      </c>
      <c r="P24" s="18">
        <f>IFERROR(VLOOKUP($A24,subQ,MATCH(P$1,SUBQH,0),0),"")</f>
        <v/>
      </c>
      <c r="Q24" s="18">
        <f>IFERROR(VLOOKUP($A24,subQ,MATCH(Q$1,SUBQH,0),0),"")</f>
        <v/>
      </c>
      <c r="R24" s="18">
        <f>IFERROR(VLOOKUP($A24,subQ,MATCH(R$1,SUBQH,0),0),"")</f>
        <v/>
      </c>
      <c r="S24" s="18">
        <f>IFERROR(VLOOKUP($A24,subQ,MATCH(S$1,SUBQH,0),0),"")</f>
        <v/>
      </c>
      <c r="T24" s="18">
        <f>IFERROR(VLOOKUP($A24,subQ,MATCH(T$1,SUBQH,0),0),"")</f>
        <v/>
      </c>
      <c r="U24" s="18">
        <f>IFERROR(VLOOKUP($A24,subQ,MATCH(U$1,SUBQH,0),0),"")</f>
        <v/>
      </c>
      <c r="V24" s="18">
        <f>IFERROR(VLOOKUP($A24,subQ,MATCH(V$1,SUBQH,0),0),"")</f>
        <v/>
      </c>
      <c r="W24" s="45">
        <f>IFERROR(VLOOKUP($A24,subQ,MATCH(W$1,SUBQH,0),0),"")</f>
        <v/>
      </c>
      <c r="X24" s="20">
        <f>IFERROR(VLOOKUP($A24,subQ,MATCH(X$1,SUBQH,0),0),"")</f>
        <v/>
      </c>
      <c r="Y24" s="20">
        <f>IFERROR(VLOOKUP($A24,subQ,MATCH(Y$1,SUBQH,0),0),"")</f>
        <v/>
      </c>
      <c r="Z24" s="20">
        <f>IFERROR(VLOOKUP($A24,subQ,MATCH(Z$1,SUBQH,0),0),"")</f>
        <v/>
      </c>
      <c r="AA24" s="20">
        <f>IFERROR(VLOOKUP($A24,subQ,MATCH(AA$1,SUBQH,0),0),"")</f>
        <v/>
      </c>
      <c r="AB24" s="20">
        <f>IFERROR(VLOOKUP($A24,subQ,MATCH(AB$1,SUBQH,0),0),"")</f>
        <v/>
      </c>
      <c r="AC24" s="20">
        <f>IFERROR(VLOOKUP($A24,subQ,MATCH(AC$1,SUBQH,0),0),"")</f>
        <v/>
      </c>
      <c r="AD24" s="20">
        <f>IFERROR(VLOOKUP($A24,subQ,MATCH(AD$1,SUBQH,0),0),"")</f>
        <v/>
      </c>
      <c r="AE24" s="20">
        <f>IFERROR(VLOOKUP($A24,subQ,MATCH(AE$1,SUBQH,0),0),"")</f>
        <v/>
      </c>
      <c r="AF24" s="20">
        <f>IFERROR(VLOOKUP($A24,subQ,MATCH(AF$1,SUBQH,0),0),"")</f>
        <v/>
      </c>
      <c r="AG24" s="20">
        <f>IFERROR(VLOOKUP($A24,subQ,MATCH(AG$1,SUBQH,0),0),"")</f>
        <v/>
      </c>
    </row>
    <row r="25">
      <c r="A25" s="12" t="inlineStr">
        <is>
          <t>총차입금</t>
        </is>
      </c>
      <c r="D25" t="inlineStr">
        <is>
          <t>총차입금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18">
        <f>IFERROR(VLOOKUP($A25,subQ,MATCH(I$1,SUBQH,0),0),"")</f>
        <v/>
      </c>
      <c r="J25" s="18">
        <f>IFERROR(VLOOKUP($A25,subQ,MATCH(J$1,SUBQH,0),0),"")</f>
        <v/>
      </c>
      <c r="K25" s="18">
        <f>IFERROR(VLOOKUP($A25,subQ,MATCH(K$1,SUBQH,0),0),"")</f>
        <v/>
      </c>
      <c r="L25" s="18">
        <f>IFERROR(VLOOKUP($A25,subQ,MATCH(L$1,SUBQH,0),0),"")</f>
        <v/>
      </c>
      <c r="M25" s="18">
        <f>IFERROR(VLOOKUP($A25,subQ,MATCH(M$1,SUBQH,0),0),"")</f>
        <v/>
      </c>
      <c r="N25" s="18">
        <f>IFERROR(VLOOKUP($A25,subQ,MATCH(N$1,SUBQH,0),0),"")</f>
        <v/>
      </c>
      <c r="O25" s="18">
        <f>IFERROR(VLOOKUP($A25,subQ,MATCH(O$1,SUBQH,0),0),"")</f>
        <v/>
      </c>
      <c r="P25" s="18">
        <f>IFERROR(VLOOKUP($A25,subQ,MATCH(P$1,SUBQH,0),0),"")</f>
        <v/>
      </c>
      <c r="Q25" s="18">
        <f>IFERROR(VLOOKUP($A25,subQ,MATCH(Q$1,SUBQH,0),0),"")</f>
        <v/>
      </c>
      <c r="R25" s="18">
        <f>IFERROR(VLOOKUP($A25,subQ,MATCH(R$1,SUBQH,0),0),"")</f>
        <v/>
      </c>
      <c r="S25" s="18">
        <f>IFERROR(VLOOKUP($A25,subQ,MATCH(S$1,SUBQH,0),0),"")</f>
        <v/>
      </c>
      <c r="T25" s="18">
        <f>IFERROR(VLOOKUP($A25,subQ,MATCH(T$1,SUBQH,0),0),"")</f>
        <v/>
      </c>
      <c r="U25" s="18">
        <f>IFERROR(VLOOKUP($A25,subQ,MATCH(U$1,SUBQH,0),0),"")</f>
        <v/>
      </c>
      <c r="V25" s="18">
        <f>IFERROR(VLOOKUP($A25,subQ,MATCH(V$1,SUBQH,0),0),"")</f>
        <v/>
      </c>
      <c r="W25" s="45">
        <f>IFERROR(VLOOKUP($A25,subQ,MATCH(W$1,SUBQH,0),0),"")</f>
        <v/>
      </c>
      <c r="X25" s="20">
        <f>IFERROR(VLOOKUP($A25,subQ,MATCH(X$1,SUBQH,0),0),"")</f>
        <v/>
      </c>
      <c r="Y25" s="20">
        <f>IFERROR(VLOOKUP($A25,subQ,MATCH(Y$1,SUBQH,0),0),"")</f>
        <v/>
      </c>
      <c r="Z25" s="20">
        <f>IFERROR(VLOOKUP($A25,subQ,MATCH(Z$1,SUBQH,0),0),"")</f>
        <v/>
      </c>
      <c r="AA25" s="20">
        <f>IFERROR(VLOOKUP($A25,subQ,MATCH(AA$1,SUBQH,0),0),"")</f>
        <v/>
      </c>
      <c r="AB25" s="20">
        <f>IFERROR(VLOOKUP($A25,subQ,MATCH(AB$1,SUBQH,0),0),"")</f>
        <v/>
      </c>
      <c r="AC25" s="20">
        <f>IFERROR(VLOOKUP($A25,subQ,MATCH(AC$1,SUBQH,0),0),"")</f>
        <v/>
      </c>
      <c r="AD25" s="20">
        <f>IFERROR(VLOOKUP($A25,subQ,MATCH(AD$1,SUBQH,0),0),"")</f>
        <v/>
      </c>
      <c r="AE25" s="20">
        <f>IFERROR(VLOOKUP($A25,subQ,MATCH(AE$1,SUBQH,0),0),"")</f>
        <v/>
      </c>
      <c r="AF25" s="20">
        <f>IFERROR(VLOOKUP($A25,subQ,MATCH(AF$1,SUBQH,0),0),"")</f>
        <v/>
      </c>
      <c r="AG25" s="20">
        <f>IFERROR(VLOOKUP($A25,subQ,MATCH(AG$1,SUBQH,0),0),"")</f>
        <v/>
      </c>
    </row>
    <row r="26">
      <c r="A26" s="12" t="inlineStr">
        <is>
          <t>순차입금</t>
        </is>
      </c>
      <c r="D26" t="inlineStr">
        <is>
          <t>순차입금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18">
        <f>IFERROR(VLOOKUP($A26,subQ,MATCH(I$1,SUBQH,0),0),"")</f>
        <v/>
      </c>
      <c r="J26" s="18">
        <f>IFERROR(VLOOKUP($A26,subQ,MATCH(J$1,SUBQH,0),0),"")</f>
        <v/>
      </c>
      <c r="K26" s="18">
        <f>IFERROR(VLOOKUP($A26,subQ,MATCH(K$1,SUBQH,0),0),"")</f>
        <v/>
      </c>
      <c r="L26" s="18">
        <f>IFERROR(VLOOKUP($A26,subQ,MATCH(L$1,SUBQH,0),0),"")</f>
        <v/>
      </c>
      <c r="M26" s="18">
        <f>IFERROR(VLOOKUP($A26,subQ,MATCH(M$1,SUBQH,0),0),"")</f>
        <v/>
      </c>
      <c r="N26" s="18">
        <f>IFERROR(VLOOKUP($A26,subQ,MATCH(N$1,SUBQH,0),0),"")</f>
        <v/>
      </c>
      <c r="O26" s="18">
        <f>IFERROR(VLOOKUP($A26,subQ,MATCH(O$1,SUBQH,0),0),"")</f>
        <v/>
      </c>
      <c r="P26" s="18">
        <f>IFERROR(VLOOKUP($A26,subQ,MATCH(P$1,SUBQH,0),0),"")</f>
        <v/>
      </c>
      <c r="Q26" s="18">
        <f>IFERROR(VLOOKUP($A26,subQ,MATCH(Q$1,SUBQH,0),0),"")</f>
        <v/>
      </c>
      <c r="R26" s="18">
        <f>IFERROR(VLOOKUP($A26,subQ,MATCH(R$1,SUBQH,0),0),"")</f>
        <v/>
      </c>
      <c r="S26" s="18">
        <f>IFERROR(VLOOKUP($A26,subQ,MATCH(S$1,SUBQH,0),0),"")</f>
        <v/>
      </c>
      <c r="T26" s="18">
        <f>IFERROR(VLOOKUP($A26,subQ,MATCH(T$1,SUBQH,0),0),"")</f>
        <v/>
      </c>
      <c r="U26" s="18">
        <f>IFERROR(VLOOKUP($A26,subQ,MATCH(U$1,SUBQH,0),0),"")</f>
        <v/>
      </c>
      <c r="V26" s="18">
        <f>IFERROR(VLOOKUP($A26,subQ,MATCH(V$1,SUBQH,0),0),"")</f>
        <v/>
      </c>
      <c r="W26" s="45">
        <f>IFERROR(VLOOKUP($A26,subQ,MATCH(W$1,SUBQH,0),0),"")</f>
        <v/>
      </c>
      <c r="X26" s="20">
        <f>IFERROR(VLOOKUP($A26,subQ,MATCH(X$1,SUBQH,0),0),"")</f>
        <v/>
      </c>
      <c r="Y26" s="20">
        <f>IFERROR(VLOOKUP($A26,subQ,MATCH(Y$1,SUBQH,0),0),"")</f>
        <v/>
      </c>
      <c r="Z26" s="20">
        <f>IFERROR(VLOOKUP($A26,subQ,MATCH(Z$1,SUBQH,0),0),"")</f>
        <v/>
      </c>
      <c r="AA26" s="20">
        <f>IFERROR(VLOOKUP($A26,subQ,MATCH(AA$1,SUBQH,0),0),"")</f>
        <v/>
      </c>
      <c r="AB26" s="20">
        <f>IFERROR(VLOOKUP($A26,subQ,MATCH(AB$1,SUBQH,0),0),"")</f>
        <v/>
      </c>
      <c r="AC26" s="20">
        <f>IFERROR(VLOOKUP($A26,subQ,MATCH(AC$1,SUBQH,0),0),"")</f>
        <v/>
      </c>
      <c r="AD26" s="20">
        <f>IFERROR(VLOOKUP($A26,subQ,MATCH(AD$1,SUBQH,0),0),"")</f>
        <v/>
      </c>
      <c r="AE26" s="20">
        <f>IFERROR(VLOOKUP($A26,subQ,MATCH(AE$1,SUBQH,0),0),"")</f>
        <v/>
      </c>
      <c r="AF26" s="20">
        <f>IFERROR(VLOOKUP($A26,subQ,MATCH(AF$1,SUBQH,0),0),"")</f>
        <v/>
      </c>
      <c r="AG26" s="20">
        <f>IFERROR(VLOOKUP($A26,subQ,MATCH(AG$1,SUBQH,0),0),"")</f>
        <v/>
      </c>
    </row>
    <row r="27">
      <c r="A27" s="12" t="inlineStr">
        <is>
          <t>이자발생자산</t>
        </is>
      </c>
      <c r="D27" t="inlineStr">
        <is>
          <t>이자발생자산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18">
        <f>IFERROR(VLOOKUP($A27,subQ,MATCH(I$1,SUBQH,0),0),"")</f>
        <v/>
      </c>
      <c r="J27" s="18">
        <f>IFERROR(VLOOKUP($A27,subQ,MATCH(J$1,SUBQH,0),0),"")</f>
        <v/>
      </c>
      <c r="K27" s="18">
        <f>IFERROR(VLOOKUP($A27,subQ,MATCH(K$1,SUBQH,0),0),"")</f>
        <v/>
      </c>
      <c r="L27" s="18">
        <f>IFERROR(VLOOKUP($A27,subQ,MATCH(L$1,SUBQH,0),0),"")</f>
        <v/>
      </c>
      <c r="M27" s="18">
        <f>IFERROR(VLOOKUP($A27,subQ,MATCH(M$1,SUBQH,0),0),"")</f>
        <v/>
      </c>
      <c r="N27" s="18">
        <f>IFERROR(VLOOKUP($A27,subQ,MATCH(N$1,SUBQH,0),0),"")</f>
        <v/>
      </c>
      <c r="O27" s="18">
        <f>IFERROR(VLOOKUP($A27,subQ,MATCH(O$1,SUBQH,0),0),"")</f>
        <v/>
      </c>
      <c r="P27" s="18">
        <f>IFERROR(VLOOKUP($A27,subQ,MATCH(P$1,SUBQH,0),0),"")</f>
        <v/>
      </c>
      <c r="Q27" s="18">
        <f>IFERROR(VLOOKUP($A27,subQ,MATCH(Q$1,SUBQH,0),0),"")</f>
        <v/>
      </c>
      <c r="R27" s="18">
        <f>IFERROR(VLOOKUP($A27,subQ,MATCH(R$1,SUBQH,0),0),"")</f>
        <v/>
      </c>
      <c r="S27" s="18">
        <f>IFERROR(VLOOKUP($A27,subQ,MATCH(S$1,SUBQH,0),0),"")</f>
        <v/>
      </c>
      <c r="T27" s="18">
        <f>IFERROR(VLOOKUP($A27,subQ,MATCH(T$1,SUBQH,0),0),"")</f>
        <v/>
      </c>
      <c r="U27" s="18">
        <f>IFERROR(VLOOKUP($A27,subQ,MATCH(U$1,SUBQH,0),0),"")</f>
        <v/>
      </c>
      <c r="V27" s="18">
        <f>IFERROR(VLOOKUP($A27,subQ,MATCH(V$1,SUBQH,0),0),"")</f>
        <v/>
      </c>
      <c r="W27" s="45">
        <f>IFERROR(VLOOKUP($A27,subQ,MATCH(W$1,SUBQH,0),0),"")</f>
        <v/>
      </c>
      <c r="X27" s="20">
        <f>IFERROR(VLOOKUP($A27,subQ,MATCH(X$1,SUBQH,0),0),"")</f>
        <v/>
      </c>
      <c r="Y27" s="20">
        <f>IFERROR(VLOOKUP($A27,subQ,MATCH(Y$1,SUBQH,0),0),"")</f>
        <v/>
      </c>
      <c r="Z27" s="20">
        <f>IFERROR(VLOOKUP($A27,subQ,MATCH(Z$1,SUBQH,0),0),"")</f>
        <v/>
      </c>
      <c r="AA27" s="20">
        <f>IFERROR(VLOOKUP($A27,subQ,MATCH(AA$1,SUBQH,0),0),"")</f>
        <v/>
      </c>
      <c r="AB27" s="20">
        <f>IFERROR(VLOOKUP($A27,subQ,MATCH(AB$1,SUBQH,0),0),"")</f>
        <v/>
      </c>
      <c r="AC27" s="20">
        <f>IFERROR(VLOOKUP($A27,subQ,MATCH(AC$1,SUBQH,0),0),"")</f>
        <v/>
      </c>
      <c r="AD27" s="20">
        <f>IFERROR(VLOOKUP($A27,subQ,MATCH(AD$1,SUBQH,0),0),"")</f>
        <v/>
      </c>
      <c r="AE27" s="20">
        <f>IFERROR(VLOOKUP($A27,subQ,MATCH(AE$1,SUBQH,0),0),"")</f>
        <v/>
      </c>
      <c r="AF27" s="20">
        <f>IFERROR(VLOOKUP($A27,subQ,MATCH(AF$1,SUBQH,0),0),"")</f>
        <v/>
      </c>
      <c r="AG27" s="20">
        <f>IFERROR(VLOOKUP($A27,subQ,MATCH(AG$1,SUBQH,0),0),"")</f>
        <v/>
      </c>
    </row>
    <row r="28">
      <c r="A28" s="12" t="inlineStr">
        <is>
          <t>현금및현금성자산</t>
        </is>
      </c>
      <c r="D28" t="inlineStr">
        <is>
          <t>현금및현금성자산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18">
        <f>IFERROR(VLOOKUP($A28,subQ,MATCH(I$1,SUBQH,0),0),"")</f>
        <v/>
      </c>
      <c r="J28" s="18">
        <f>IFERROR(VLOOKUP($A28,subQ,MATCH(J$1,SUBQH,0),0),"")</f>
        <v/>
      </c>
      <c r="K28" s="18">
        <f>IFERROR(VLOOKUP($A28,subQ,MATCH(K$1,SUBQH,0),0),"")</f>
        <v/>
      </c>
      <c r="L28" s="18">
        <f>IFERROR(VLOOKUP($A28,subQ,MATCH(L$1,SUBQH,0),0),"")</f>
        <v/>
      </c>
      <c r="M28" s="18">
        <f>IFERROR(VLOOKUP($A28,subQ,MATCH(M$1,SUBQH,0),0),"")</f>
        <v/>
      </c>
      <c r="N28" s="18">
        <f>IFERROR(VLOOKUP($A28,subQ,MATCH(N$1,SUBQH,0),0),"")</f>
        <v/>
      </c>
      <c r="O28" s="18">
        <f>IFERROR(VLOOKUP($A28,subQ,MATCH(O$1,SUBQH,0),0),"")</f>
        <v/>
      </c>
      <c r="P28" s="18">
        <f>IFERROR(VLOOKUP($A28,subQ,MATCH(P$1,SUBQH,0),0),"")</f>
        <v/>
      </c>
      <c r="Q28" s="18">
        <f>IFERROR(VLOOKUP($A28,subQ,MATCH(Q$1,SUBQH,0),0),"")</f>
        <v/>
      </c>
      <c r="R28" s="18">
        <f>IFERROR(VLOOKUP($A28,subQ,MATCH(R$1,SUBQH,0),0),"")</f>
        <v/>
      </c>
      <c r="S28" s="18">
        <f>IFERROR(VLOOKUP($A28,subQ,MATCH(S$1,SUBQH,0),0),"")</f>
        <v/>
      </c>
      <c r="T28" s="18">
        <f>IFERROR(VLOOKUP($A28,subQ,MATCH(T$1,SUBQH,0),0),"")</f>
        <v/>
      </c>
      <c r="U28" s="18">
        <f>IFERROR(VLOOKUP($A28,subQ,MATCH(U$1,SUBQH,0),0),"")</f>
        <v/>
      </c>
      <c r="V28" s="18">
        <f>IFERROR(VLOOKUP($A28,subQ,MATCH(V$1,SUBQH,0),0),"")</f>
        <v/>
      </c>
      <c r="W28" s="45">
        <f>IFERROR(VLOOKUP($A28,subQ,MATCH(W$1,SUBQH,0),0),"")</f>
        <v/>
      </c>
      <c r="X28" s="20">
        <f>IFERROR(VLOOKUP($A28,subQ,MATCH(X$1,SUBQH,0),0),"")</f>
        <v/>
      </c>
      <c r="Y28" s="20">
        <f>IFERROR(VLOOKUP($A28,subQ,MATCH(Y$1,SUBQH,0),0),"")</f>
        <v/>
      </c>
      <c r="Z28" s="20">
        <f>IFERROR(VLOOKUP($A28,subQ,MATCH(Z$1,SUBQH,0),0),"")</f>
        <v/>
      </c>
      <c r="AA28" s="20">
        <f>IFERROR(VLOOKUP($A28,subQ,MATCH(AA$1,SUBQH,0),0),"")</f>
        <v/>
      </c>
      <c r="AB28" s="20">
        <f>IFERROR(VLOOKUP($A28,subQ,MATCH(AB$1,SUBQH,0),0),"")</f>
        <v/>
      </c>
      <c r="AC28" s="20">
        <f>IFERROR(VLOOKUP($A28,subQ,MATCH(AC$1,SUBQH,0),0),"")</f>
        <v/>
      </c>
      <c r="AD28" s="20">
        <f>IFERROR(VLOOKUP($A28,subQ,MATCH(AD$1,SUBQH,0),0),"")</f>
        <v/>
      </c>
      <c r="AE28" s="20">
        <f>IFERROR(VLOOKUP($A28,subQ,MATCH(AE$1,SUBQH,0),0),"")</f>
        <v/>
      </c>
      <c r="AF28" s="20">
        <f>IFERROR(VLOOKUP($A28,subQ,MATCH(AF$1,SUBQH,0),0),"")</f>
        <v/>
      </c>
      <c r="AG28" s="20">
        <f>IFERROR(VLOOKUP($A28,subQ,MATCH(AG$1,SUBQH,0),0),"")</f>
        <v/>
      </c>
    </row>
    <row r="29">
      <c r="A29" s="12" t="inlineStr">
        <is>
          <t>CAPEX</t>
        </is>
      </c>
      <c r="D29" t="inlineStr">
        <is>
          <t>CAPEX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18">
        <f>IFERROR(VLOOKUP($A29,subQ,MATCH(I$1,SUBQH,0),0),"")</f>
        <v/>
      </c>
      <c r="J29" s="18">
        <f>IFERROR(VLOOKUP($A29,subQ,MATCH(J$1,SUBQH,0),0),"")</f>
        <v/>
      </c>
      <c r="K29" s="18">
        <f>IFERROR(VLOOKUP($A29,subQ,MATCH(K$1,SUBQH,0),0),"")</f>
        <v/>
      </c>
      <c r="L29" s="18">
        <f>IFERROR(VLOOKUP($A29,subQ,MATCH(L$1,SUBQH,0),0),"")</f>
        <v/>
      </c>
      <c r="M29" s="18">
        <f>IFERROR(VLOOKUP($A29,subQ,MATCH(M$1,SUBQH,0),0),"")</f>
        <v/>
      </c>
      <c r="N29" s="18">
        <f>IFERROR(VLOOKUP($A29,subQ,MATCH(N$1,SUBQH,0),0),"")</f>
        <v/>
      </c>
      <c r="O29" s="18">
        <f>IFERROR(VLOOKUP($A29,subQ,MATCH(O$1,SUBQH,0),0),"")</f>
        <v/>
      </c>
      <c r="P29" s="18">
        <f>IFERROR(VLOOKUP($A29,subQ,MATCH(P$1,SUBQH,0),0),"")</f>
        <v/>
      </c>
      <c r="Q29" s="18">
        <f>IFERROR(VLOOKUP($A29,subQ,MATCH(Q$1,SUBQH,0),0),"")</f>
        <v/>
      </c>
      <c r="R29" s="18">
        <f>IFERROR(VLOOKUP($A29,subQ,MATCH(R$1,SUBQH,0),0),"")</f>
        <v/>
      </c>
      <c r="S29" s="18">
        <f>IFERROR(VLOOKUP($A29,subQ,MATCH(S$1,SUBQH,0),0),"")</f>
        <v/>
      </c>
      <c r="T29" s="18">
        <f>IFERROR(VLOOKUP($A29,subQ,MATCH(T$1,SUBQH,0),0),"")</f>
        <v/>
      </c>
      <c r="U29" s="18">
        <f>IFERROR(VLOOKUP($A29,subQ,MATCH(U$1,SUBQH,0),0),"")</f>
        <v/>
      </c>
      <c r="V29" s="18">
        <f>IFERROR(VLOOKUP($A29,subQ,MATCH(V$1,SUBQH,0),0),"")</f>
        <v/>
      </c>
      <c r="W29" s="45">
        <f>IFERROR(VLOOKUP($A29,subQ,MATCH(W$1,SUBQH,0),0),"")</f>
        <v/>
      </c>
      <c r="X29" s="20">
        <f>IFERROR(VLOOKUP($A29,subQ,MATCH(X$1,SUBQH,0),0),"")</f>
        <v/>
      </c>
      <c r="Y29" s="20">
        <f>IFERROR(VLOOKUP($A29,subQ,MATCH(Y$1,SUBQH,0),0),"")</f>
        <v/>
      </c>
      <c r="Z29" s="20">
        <f>IFERROR(VLOOKUP($A29,subQ,MATCH(Z$1,SUBQH,0),0),"")</f>
        <v/>
      </c>
      <c r="AA29" s="20">
        <f>IFERROR(VLOOKUP($A29,subQ,MATCH(AA$1,SUBQH,0),0),"")</f>
        <v/>
      </c>
      <c r="AB29" s="20">
        <f>IFERROR(VLOOKUP($A29,subQ,MATCH(AB$1,SUBQH,0),0),"")</f>
        <v/>
      </c>
      <c r="AC29" s="20">
        <f>IFERROR(VLOOKUP($A29,subQ,MATCH(AC$1,SUBQH,0),0),"")</f>
        <v/>
      </c>
      <c r="AD29" s="20">
        <f>IFERROR(VLOOKUP($A29,subQ,MATCH(AD$1,SUBQH,0),0),"")</f>
        <v/>
      </c>
      <c r="AE29" s="20">
        <f>IFERROR(VLOOKUP($A29,subQ,MATCH(AE$1,SUBQH,0),0),"")</f>
        <v/>
      </c>
      <c r="AF29" s="20">
        <f>IFERROR(VLOOKUP($A29,subQ,MATCH(AF$1,SUBQH,0),0),"")</f>
        <v/>
      </c>
      <c r="AG29" s="20">
        <f>IFERROR(VLOOKUP($A29,subQ,MATCH(AG$1,SUBQH,0),0),"")</f>
        <v/>
      </c>
    </row>
    <row r="30">
      <c r="A30" s="12" t="inlineStr">
        <is>
          <t>영업활동현금흐름</t>
        </is>
      </c>
      <c r="D30" t="inlineStr">
        <is>
          <t>영업활동현금흐름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18">
        <f>IFERROR(VLOOKUP($A30,subQ,MATCH(I$1,SUBQH,0),0),"")</f>
        <v/>
      </c>
      <c r="J30" s="18">
        <f>IFERROR(VLOOKUP($A30,subQ,MATCH(J$1,SUBQH,0),0),"")</f>
        <v/>
      </c>
      <c r="K30" s="18">
        <f>IFERROR(VLOOKUP($A30,subQ,MATCH(K$1,SUBQH,0),0),"")</f>
        <v/>
      </c>
      <c r="L30" s="18">
        <f>IFERROR(VLOOKUP($A30,subQ,MATCH(L$1,SUBQH,0),0),"")</f>
        <v/>
      </c>
      <c r="M30" s="18">
        <f>IFERROR(VLOOKUP($A30,subQ,MATCH(M$1,SUBQH,0),0),"")</f>
        <v/>
      </c>
      <c r="N30" s="18">
        <f>IFERROR(VLOOKUP($A30,subQ,MATCH(N$1,SUBQH,0),0),"")</f>
        <v/>
      </c>
      <c r="O30" s="18">
        <f>IFERROR(VLOOKUP($A30,subQ,MATCH(O$1,SUBQH,0),0),"")</f>
        <v/>
      </c>
      <c r="P30" s="18">
        <f>IFERROR(VLOOKUP($A30,subQ,MATCH(P$1,SUBQH,0),0),"")</f>
        <v/>
      </c>
      <c r="Q30" s="18">
        <f>IFERROR(VLOOKUP($A30,subQ,MATCH(Q$1,SUBQH,0),0),"")</f>
        <v/>
      </c>
      <c r="R30" s="18">
        <f>IFERROR(VLOOKUP($A30,subQ,MATCH(R$1,SUBQH,0),0),"")</f>
        <v/>
      </c>
      <c r="S30" s="18">
        <f>IFERROR(VLOOKUP($A30,subQ,MATCH(S$1,SUBQH,0),0),"")</f>
        <v/>
      </c>
      <c r="T30" s="18">
        <f>IFERROR(VLOOKUP($A30,subQ,MATCH(T$1,SUBQH,0),0),"")</f>
        <v/>
      </c>
      <c r="U30" s="18">
        <f>IFERROR(VLOOKUP($A30,subQ,MATCH(U$1,SUBQH,0),0),"")</f>
        <v/>
      </c>
      <c r="V30" s="18">
        <f>IFERROR(VLOOKUP($A30,subQ,MATCH(V$1,SUBQH,0),0),"")</f>
        <v/>
      </c>
      <c r="W30" s="45">
        <f>IFERROR(VLOOKUP($A30,subQ,MATCH(W$1,SUBQH,0),0),"")</f>
        <v/>
      </c>
      <c r="X30" s="20">
        <f>IFERROR(VLOOKUP($A30,subQ,MATCH(X$1,SUBQH,0),0),"")</f>
        <v/>
      </c>
      <c r="Y30" s="20">
        <f>IFERROR(VLOOKUP($A30,subQ,MATCH(Y$1,SUBQH,0),0),"")</f>
        <v/>
      </c>
      <c r="Z30" s="20">
        <f>IFERROR(VLOOKUP($A30,subQ,MATCH(Z$1,SUBQH,0),0),"")</f>
        <v/>
      </c>
      <c r="AA30" s="20">
        <f>IFERROR(VLOOKUP($A30,subQ,MATCH(AA$1,SUBQH,0),0),"")</f>
        <v/>
      </c>
      <c r="AB30" s="20">
        <f>IFERROR(VLOOKUP($A30,subQ,MATCH(AB$1,SUBQH,0),0),"")</f>
        <v/>
      </c>
      <c r="AC30" s="20">
        <f>IFERROR(VLOOKUP($A30,subQ,MATCH(AC$1,SUBQH,0),0),"")</f>
        <v/>
      </c>
      <c r="AD30" s="20">
        <f>IFERROR(VLOOKUP($A30,subQ,MATCH(AD$1,SUBQH,0),0),"")</f>
        <v/>
      </c>
      <c r="AE30" s="20">
        <f>IFERROR(VLOOKUP($A30,subQ,MATCH(AE$1,SUBQH,0),0),"")</f>
        <v/>
      </c>
      <c r="AF30" s="20">
        <f>IFERROR(VLOOKUP($A30,subQ,MATCH(AF$1,SUBQH,0),0),"")</f>
        <v/>
      </c>
      <c r="AG30" s="20">
        <f>IFERROR(VLOOKUP($A30,subQ,MATCH(AG$1,SUBQH,0),0),"")</f>
        <v/>
      </c>
    </row>
    <row r="31">
      <c r="A31" s="12" t="inlineStr">
        <is>
          <t>주식수</t>
        </is>
      </c>
      <c r="D31" t="inlineStr">
        <is>
          <t>유통주식수</t>
        </is>
      </c>
      <c r="E31" s="27">
        <f>IFERROR(VLOOKUP($A31,subQ,MATCH(E$1,SUBQH,0),0),"")</f>
        <v/>
      </c>
      <c r="F31" s="27">
        <f>IFERROR(VLOOKUP($A31,subQ,MATCH(F$1,SUBQH,0),0),"")</f>
        <v/>
      </c>
      <c r="G31" s="27">
        <f>IFERROR(VLOOKUP($A31,subQ,MATCH(G$1,SUBQH,0),0),"")</f>
        <v/>
      </c>
      <c r="H31" s="27">
        <f>IFERROR(VLOOKUP($A31,subQ,MATCH(H$1,SUBQH,0),0),"")</f>
        <v/>
      </c>
      <c r="I31" s="27">
        <f>IFERROR(VLOOKUP($A31,subQ,MATCH(I$1,SUBQH,0),0),"")</f>
        <v/>
      </c>
      <c r="J31" s="27">
        <f>IFERROR(VLOOKUP($A31,subQ,MATCH(J$1,SUBQH,0),0),"")</f>
        <v/>
      </c>
      <c r="K31" s="27">
        <f>IFERROR(VLOOKUP($A31,subQ,MATCH(K$1,SUBQH,0),0),"")</f>
        <v/>
      </c>
      <c r="L31" s="27">
        <f>IFERROR(VLOOKUP($A31,subQ,MATCH(L$1,SUBQH,0),0),"")</f>
        <v/>
      </c>
      <c r="M31" s="27">
        <f>IFERROR(VLOOKUP($A31,subQ,MATCH(M$1,SUBQH,0),0),"")</f>
        <v/>
      </c>
      <c r="N31" s="27">
        <f>IFERROR(VLOOKUP($A31,subQ,MATCH(N$1,SUBQH,0),0),"")</f>
        <v/>
      </c>
      <c r="O31" s="27">
        <f>IFERROR(VLOOKUP($A31,subQ,MATCH(O$1,SUBQH,0),0),"")</f>
        <v/>
      </c>
      <c r="P31" s="27">
        <f>IFERROR(VLOOKUP($A31,subQ,MATCH(P$1,SUBQH,0),0),"")</f>
        <v/>
      </c>
      <c r="Q31" s="27">
        <f>IFERROR(VLOOKUP($A31,subQ,MATCH(Q$1,SUBQH,0),0),"")</f>
        <v/>
      </c>
      <c r="R31" s="27">
        <f>IFERROR(VLOOKUP($A31,subQ,MATCH(R$1,SUBQH,0),0),"")</f>
        <v/>
      </c>
      <c r="S31" s="27">
        <f>IFERROR(VLOOKUP($A31,subQ,MATCH(S$1,SUBQH,0),0),"")</f>
        <v/>
      </c>
      <c r="T31" s="27">
        <f>IFERROR(VLOOKUP($A31,subQ,MATCH(T$1,SUBQH,0),0),"")</f>
        <v/>
      </c>
      <c r="U31" s="27">
        <f>IFERROR(VLOOKUP($A31,subQ,MATCH(U$1,SUBQH,0),0),"")</f>
        <v/>
      </c>
      <c r="V31" s="27">
        <f>IFERROR(VLOOKUP($A31,subQ,MATCH(V$1,SUBQH,0),0),"")</f>
        <v/>
      </c>
      <c r="W31" s="47">
        <f>IFERROR(VLOOKUP($A31,subQ,MATCH(W$1,SUBQH,0),0),"")</f>
        <v/>
      </c>
      <c r="X31" s="33">
        <f>IFERROR(VLOOKUP($A31,subQ,MATCH(X$1,SUBQH,0),0),"")</f>
        <v/>
      </c>
      <c r="Y31" s="33">
        <f>IFERROR(VLOOKUP($A31,subQ,MATCH(Y$1,SUBQH,0),0),"")</f>
        <v/>
      </c>
      <c r="Z31" s="33">
        <f>IFERROR(VLOOKUP($A31,subQ,MATCH(Z$1,SUBQH,0),0),"")</f>
        <v/>
      </c>
      <c r="AA31" s="33">
        <f>IFERROR(VLOOKUP($A31,subQ,MATCH(AA$1,SUBQH,0),0),"")</f>
        <v/>
      </c>
      <c r="AB31" s="33">
        <f>IFERROR(VLOOKUP($A31,subQ,MATCH(AB$1,SUBQH,0),0),"")</f>
        <v/>
      </c>
      <c r="AC31" s="33">
        <f>IFERROR(VLOOKUP($A31,subQ,MATCH(AC$1,SUBQH,0),0),"")</f>
        <v/>
      </c>
      <c r="AD31" s="33">
        <f>IFERROR(VLOOKUP($A31,subQ,MATCH(AD$1,SUBQH,0),0),"")</f>
        <v/>
      </c>
      <c r="AE31" s="33">
        <f>IFERROR(VLOOKUP($A31,subQ,MATCH(AE$1,SUBQH,0),0),"")</f>
        <v/>
      </c>
      <c r="AF31" s="33">
        <f>IFERROR(VLOOKUP($A31,subQ,MATCH(AF$1,SUBQH,0),0),"")</f>
        <v/>
      </c>
      <c r="AG31" s="33">
        <f>IFERROR(VLOOKUP($A31,subQ,MATCH(AG$1,SUBQH,0),0),"")</f>
        <v/>
      </c>
    </row>
    <row r="32">
      <c r="A32" s="12" t="inlineStr">
        <is>
          <t>EPS</t>
        </is>
      </c>
      <c r="D32" t="inlineStr">
        <is>
          <t>EPS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18">
        <f>IFERROR(VLOOKUP($A32,subQ,MATCH(I$1,SUBQH,0),0),"")</f>
        <v/>
      </c>
      <c r="J32" s="18">
        <f>IFERROR(VLOOKUP($A32,subQ,MATCH(J$1,SUBQH,0),0),"")</f>
        <v/>
      </c>
      <c r="K32" s="18">
        <f>IFERROR(VLOOKUP($A32,subQ,MATCH(K$1,SUBQH,0),0),"")</f>
        <v/>
      </c>
      <c r="L32" s="18">
        <f>IFERROR(VLOOKUP($A32,subQ,MATCH(L$1,SUBQH,0),0),"")</f>
        <v/>
      </c>
      <c r="M32" s="18">
        <f>IFERROR(VLOOKUP($A32,subQ,MATCH(M$1,SUBQH,0),0),"")</f>
        <v/>
      </c>
      <c r="N32" s="18">
        <f>IFERROR(VLOOKUP($A32,subQ,MATCH(N$1,SUBQH,0),0),"")</f>
        <v/>
      </c>
      <c r="O32" s="18">
        <f>IFERROR(VLOOKUP($A32,subQ,MATCH(O$1,SUBQH,0),0),"")</f>
        <v/>
      </c>
      <c r="P32" s="18">
        <f>IFERROR(VLOOKUP($A32,subQ,MATCH(P$1,SUBQH,0),0),"")</f>
        <v/>
      </c>
      <c r="Q32" s="18">
        <f>IFERROR(VLOOKUP($A32,subQ,MATCH(Q$1,SUBQH,0),0),"")</f>
        <v/>
      </c>
      <c r="R32" s="18">
        <f>IFERROR(VLOOKUP($A32,subQ,MATCH(R$1,SUBQH,0),0),"")</f>
        <v/>
      </c>
      <c r="S32" s="18">
        <f>IFERROR(VLOOKUP($A32,subQ,MATCH(S$1,SUBQH,0),0),"")</f>
        <v/>
      </c>
      <c r="T32" s="18">
        <f>IFERROR(VLOOKUP($A32,subQ,MATCH(T$1,SUBQH,0),0),"")</f>
        <v/>
      </c>
      <c r="U32" s="18">
        <f>IFERROR(VLOOKUP($A32,subQ,MATCH(U$1,SUBQH,0),0),"")</f>
        <v/>
      </c>
      <c r="V32" s="18">
        <f>IFERROR(VLOOKUP($A32,subQ,MATCH(V$1,SUBQH,0),0),"")</f>
        <v/>
      </c>
      <c r="W32" s="45">
        <f>IFERROR(VLOOKUP($A32,subQ,MATCH(W$1,SUBQH,0),0),"")</f>
        <v/>
      </c>
      <c r="X32" s="20">
        <f>IFERROR(VLOOKUP($A32,subQ,MATCH(X$1,SUBQH,0),0),"")</f>
        <v/>
      </c>
      <c r="Y32" s="20">
        <f>IFERROR(VLOOKUP($A32,subQ,MATCH(Y$1,SUBQH,0),0),"")</f>
        <v/>
      </c>
      <c r="Z32" s="20">
        <f>IFERROR(VLOOKUP($A32,subQ,MATCH(Z$1,SUBQH,0),0),"")</f>
        <v/>
      </c>
      <c r="AA32" s="20">
        <f>IFERROR(VLOOKUP($A32,subQ,MATCH(AA$1,SUBQH,0),0),"")</f>
        <v/>
      </c>
      <c r="AB32" s="20">
        <f>IFERROR(VLOOKUP($A32,subQ,MATCH(AB$1,SUBQH,0),0),"")</f>
        <v/>
      </c>
      <c r="AC32" s="20">
        <f>IFERROR(VLOOKUP($A32,subQ,MATCH(AC$1,SUBQH,0),0),"")</f>
        <v/>
      </c>
      <c r="AD32" s="20">
        <f>IFERROR(VLOOKUP($A32,subQ,MATCH(AD$1,SUBQH,0),0),"")</f>
        <v/>
      </c>
      <c r="AE32" s="20">
        <f>IFERROR(VLOOKUP($A32,subQ,MATCH(AE$1,SUBQH,0),0),"")</f>
        <v/>
      </c>
      <c r="AF32" s="20">
        <f>IFERROR(VLOOKUP($A32,subQ,MATCH(AF$1,SUBQH,0),0),"")</f>
        <v/>
      </c>
      <c r="AG32" s="20">
        <f>IFERROR(VLOOKUP($A32,subQ,MATCH(AG$1,SUBQH,0),0),"")</f>
        <v/>
      </c>
    </row>
    <row r="33">
      <c r="A33" s="12" t="inlineStr">
        <is>
          <t>BPS</t>
        </is>
      </c>
      <c r="D33" t="inlineStr">
        <is>
          <t>BPS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18">
        <f>IFERROR(VLOOKUP($A33,subQ,MATCH(I$1,SUBQH,0),0),"")</f>
        <v/>
      </c>
      <c r="J33" s="18">
        <f>IFERROR(VLOOKUP($A33,subQ,MATCH(J$1,SUBQH,0),0),"")</f>
        <v/>
      </c>
      <c r="K33" s="18">
        <f>IFERROR(VLOOKUP($A33,subQ,MATCH(K$1,SUBQH,0),0),"")</f>
        <v/>
      </c>
      <c r="L33" s="18">
        <f>IFERROR(VLOOKUP($A33,subQ,MATCH(L$1,SUBQH,0),0),"")</f>
        <v/>
      </c>
      <c r="M33" s="18">
        <f>IFERROR(VLOOKUP($A33,subQ,MATCH(M$1,SUBQH,0),0),"")</f>
        <v/>
      </c>
      <c r="N33" s="18">
        <f>IFERROR(VLOOKUP($A33,subQ,MATCH(N$1,SUBQH,0),0),"")</f>
        <v/>
      </c>
      <c r="O33" s="18">
        <f>IFERROR(VLOOKUP($A33,subQ,MATCH(O$1,SUBQH,0),0),"")</f>
        <v/>
      </c>
      <c r="P33" s="18">
        <f>IFERROR(VLOOKUP($A33,subQ,MATCH(P$1,SUBQH,0),0),"")</f>
        <v/>
      </c>
      <c r="Q33" s="18">
        <f>IFERROR(VLOOKUP($A33,subQ,MATCH(Q$1,SUBQH,0),0),"")</f>
        <v/>
      </c>
      <c r="R33" s="18">
        <f>IFERROR(VLOOKUP($A33,subQ,MATCH(R$1,SUBQH,0),0),"")</f>
        <v/>
      </c>
      <c r="S33" s="18">
        <f>IFERROR(VLOOKUP($A33,subQ,MATCH(S$1,SUBQH,0),0),"")</f>
        <v/>
      </c>
      <c r="T33" s="18">
        <f>IFERROR(VLOOKUP($A33,subQ,MATCH(T$1,SUBQH,0),0),"")</f>
        <v/>
      </c>
      <c r="U33" s="18">
        <f>IFERROR(VLOOKUP($A33,subQ,MATCH(U$1,SUBQH,0),0),"")</f>
        <v/>
      </c>
      <c r="V33" s="18">
        <f>IFERROR(VLOOKUP($A33,subQ,MATCH(V$1,SUBQH,0),0),"")</f>
        <v/>
      </c>
      <c r="W33" s="45">
        <f>IFERROR(VLOOKUP($A33,subQ,MATCH(W$1,SUBQH,0),0),"")</f>
        <v/>
      </c>
      <c r="X33" s="20">
        <f>IFERROR(VLOOKUP($A33,subQ,MATCH(X$1,SUBQH,0),0),"")</f>
        <v/>
      </c>
      <c r="Y33" s="20">
        <f>IFERROR(VLOOKUP($A33,subQ,MATCH(Y$1,SUBQH,0),0),"")</f>
        <v/>
      </c>
      <c r="Z33" s="20">
        <f>IFERROR(VLOOKUP($A33,subQ,MATCH(Z$1,SUBQH,0),0),"")</f>
        <v/>
      </c>
      <c r="AA33" s="20">
        <f>IFERROR(VLOOKUP($A33,subQ,MATCH(AA$1,SUBQH,0),0),"")</f>
        <v/>
      </c>
      <c r="AB33" s="20">
        <f>IFERROR(VLOOKUP($A33,subQ,MATCH(AB$1,SUBQH,0),0),"")</f>
        <v/>
      </c>
      <c r="AC33" s="20">
        <f>IFERROR(VLOOKUP($A33,subQ,MATCH(AC$1,SUBQH,0),0),"")</f>
        <v/>
      </c>
      <c r="AD33" s="20">
        <f>IFERROR(VLOOKUP($A33,subQ,MATCH(AD$1,SUBQH,0),0),"")</f>
        <v/>
      </c>
      <c r="AE33" s="20">
        <f>IFERROR(VLOOKUP($A33,subQ,MATCH(AE$1,SUBQH,0),0),"")</f>
        <v/>
      </c>
      <c r="AF33" s="20">
        <f>IFERROR(VLOOKUP($A33,subQ,MATCH(AF$1,SUBQH,0),0),"")</f>
        <v/>
      </c>
      <c r="AG33" s="20">
        <f>IFERROR(VLOOKUP($A33,subQ,MATCH(AG$1,SUBQH,0),0),"")</f>
        <v/>
      </c>
    </row>
    <row r="34">
      <c r="A34" s="12" t="inlineStr">
        <is>
          <t>DPS</t>
        </is>
      </c>
      <c r="D34" t="inlineStr">
        <is>
          <t>DPS(보통주)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18">
        <f>IFERROR(VLOOKUP($A34,subQ,MATCH(I$1,SUBQH,0),0),"")</f>
        <v/>
      </c>
      <c r="J34" s="18">
        <f>IFERROR(VLOOKUP($A34,subQ,MATCH(J$1,SUBQH,0),0),"")</f>
        <v/>
      </c>
      <c r="K34" s="18">
        <f>IFERROR(VLOOKUP($A34,subQ,MATCH(K$1,SUBQH,0),0),"")</f>
        <v/>
      </c>
      <c r="L34" s="18">
        <f>IFERROR(VLOOKUP($A34,subQ,MATCH(L$1,SUBQH,0),0),"")</f>
        <v/>
      </c>
      <c r="M34" s="18">
        <f>IFERROR(VLOOKUP($A34,subQ,MATCH(M$1,SUBQH,0),0),"")</f>
        <v/>
      </c>
      <c r="N34" s="18">
        <f>IFERROR(VLOOKUP($A34,subQ,MATCH(N$1,SUBQH,0),0),"")</f>
        <v/>
      </c>
      <c r="O34" s="18">
        <f>IFERROR(VLOOKUP($A34,subQ,MATCH(O$1,SUBQH,0),0),"")</f>
        <v/>
      </c>
      <c r="P34" s="18">
        <f>IFERROR(VLOOKUP($A34,subQ,MATCH(P$1,SUBQH,0),0),"")</f>
        <v/>
      </c>
      <c r="Q34" s="18">
        <f>IFERROR(VLOOKUP($A34,subQ,MATCH(Q$1,SUBQH,0),0),"")</f>
        <v/>
      </c>
      <c r="R34" s="18">
        <f>IFERROR(VLOOKUP($A34,subQ,MATCH(R$1,SUBQH,0),0),"")</f>
        <v/>
      </c>
      <c r="S34" s="18">
        <f>IFERROR(VLOOKUP($A34,subQ,MATCH(S$1,SUBQH,0),0),"")</f>
        <v/>
      </c>
      <c r="T34" s="18">
        <f>IFERROR(VLOOKUP($A34,subQ,MATCH(T$1,SUBQH,0),0),"")</f>
        <v/>
      </c>
      <c r="U34" s="18">
        <f>IFERROR(VLOOKUP($A34,subQ,MATCH(U$1,SUBQH,0),0),"")</f>
        <v/>
      </c>
      <c r="V34" s="18">
        <f>IFERROR(VLOOKUP($A34,subQ,MATCH(V$1,SUBQH,0),0),"")</f>
        <v/>
      </c>
      <c r="W34" s="45">
        <f>IFERROR(VLOOKUP($A34,subQ,MATCH(W$1,SUBQH,0),0),"")</f>
        <v/>
      </c>
      <c r="X34" s="20">
        <f>IFERROR(VLOOKUP($A34,subQ,MATCH(X$1,SUBQH,0),0),"")</f>
        <v/>
      </c>
      <c r="Y34" s="20">
        <f>IFERROR(VLOOKUP($A34,subQ,MATCH(Y$1,SUBQH,0),0),"")</f>
        <v/>
      </c>
      <c r="Z34" s="20">
        <f>IFERROR(VLOOKUP($A34,subQ,MATCH(Z$1,SUBQH,0),0),"")</f>
        <v/>
      </c>
      <c r="AA34" s="20">
        <f>IFERROR(VLOOKUP($A34,subQ,MATCH(AA$1,SUBQH,0),0),"")</f>
        <v/>
      </c>
      <c r="AB34" s="20">
        <f>IFERROR(VLOOKUP($A34,subQ,MATCH(AB$1,SUBQH,0),0),"")</f>
        <v/>
      </c>
      <c r="AC34" s="20">
        <f>IFERROR(VLOOKUP($A34,subQ,MATCH(AC$1,SUBQH,0),0),"")</f>
        <v/>
      </c>
      <c r="AD34" s="20">
        <f>IFERROR(VLOOKUP($A34,subQ,MATCH(AD$1,SUBQH,0),0),"")</f>
        <v/>
      </c>
      <c r="AE34" s="20">
        <f>IFERROR(VLOOKUP($A34,subQ,MATCH(AE$1,SUBQH,0),0),"")</f>
        <v/>
      </c>
      <c r="AF34" s="20">
        <f>IFERROR(VLOOKUP($A34,subQ,MATCH(AF$1,SUBQH,0),0),"")</f>
        <v/>
      </c>
      <c r="AG34" s="20">
        <f>IFERROR(VLOOKUP($A34,subQ,MATCH(AG$1,SUBQH,0),0),"")</f>
        <v/>
      </c>
    </row>
    <row r="35">
      <c r="A35" s="12" t="inlineStr">
        <is>
          <t>PER</t>
        </is>
      </c>
      <c r="D35" t="inlineStr">
        <is>
          <t>PER</t>
        </is>
      </c>
      <c r="E35" s="13">
        <f>IFERROR(VLOOKUP($A35,subQ,MATCH(E$1,SUBQH,0),0),"")</f>
        <v/>
      </c>
      <c r="F35" s="13">
        <f>IFERROR(VLOOKUP($A35,subQ,MATCH(F$1,SUBQH,0),0),"")</f>
        <v/>
      </c>
      <c r="G35" s="13">
        <f>IFERROR(VLOOKUP($A35,subQ,MATCH(G$1,SUBQH,0),0),"")</f>
        <v/>
      </c>
      <c r="H35" s="13">
        <f>IFERROR(VLOOKUP($A35,subQ,MATCH(H$1,SUBQH,0),0),"")</f>
        <v/>
      </c>
      <c r="I35" s="13">
        <f>IFERROR(VLOOKUP($A35,subQ,MATCH(I$1,SUBQH,0),0),"")</f>
        <v/>
      </c>
      <c r="J35" s="13">
        <f>IFERROR(VLOOKUP($A35,subQ,MATCH(J$1,SUBQH,0),0),"")</f>
        <v/>
      </c>
      <c r="K35" s="13">
        <f>IFERROR(VLOOKUP($A35,subQ,MATCH(K$1,SUBQH,0),0),"")</f>
        <v/>
      </c>
      <c r="L35" s="13">
        <f>IFERROR(VLOOKUP($A35,subQ,MATCH(L$1,SUBQH,0),0),"")</f>
        <v/>
      </c>
      <c r="M35" s="13">
        <f>IFERROR(VLOOKUP($A35,subQ,MATCH(M$1,SUBQH,0),0),"")</f>
        <v/>
      </c>
      <c r="N35" s="13">
        <f>IFERROR(VLOOKUP($A35,subQ,MATCH(N$1,SUBQH,0),0),"")</f>
        <v/>
      </c>
      <c r="O35" s="13">
        <f>IFERROR(VLOOKUP($A35,subQ,MATCH(O$1,SUBQH,0),0),"")</f>
        <v/>
      </c>
      <c r="P35" s="13">
        <f>IFERROR(VLOOKUP($A35,subQ,MATCH(P$1,SUBQH,0),0),"")</f>
        <v/>
      </c>
      <c r="Q35" s="13">
        <f>IFERROR(VLOOKUP($A35,subQ,MATCH(Q$1,SUBQH,0),0),"")</f>
        <v/>
      </c>
      <c r="R35" s="13">
        <f>IFERROR(VLOOKUP($A35,subQ,MATCH(R$1,SUBQH,0),0),"")</f>
        <v/>
      </c>
      <c r="S35" s="13">
        <f>IFERROR(VLOOKUP($A35,subQ,MATCH(S$1,SUBQH,0),0),"")</f>
        <v/>
      </c>
      <c r="T35" s="13">
        <f>IFERROR(VLOOKUP($A35,subQ,MATCH(T$1,SUBQH,0),0),"")</f>
        <v/>
      </c>
      <c r="U35" s="13">
        <f>IFERROR(VLOOKUP($A35,subQ,MATCH(U$1,SUBQH,0),0),"")</f>
        <v/>
      </c>
      <c r="V35" s="13">
        <f>IFERROR(VLOOKUP($A35,subQ,MATCH(V$1,SUBQH,0),0),"")</f>
        <v/>
      </c>
      <c r="W35" s="48">
        <f>IFERROR(VLOOKUP($A35,subQ,MATCH(W$1,SUBQH,0),0),"")</f>
        <v/>
      </c>
      <c r="X35" s="39">
        <f>IFERROR(VLOOKUP($A35,subQ,MATCH(X$1,SUBQH,0),0),"")</f>
        <v/>
      </c>
      <c r="Y35" s="39">
        <f>IFERROR(VLOOKUP($A35,subQ,MATCH(Y$1,SUBQH,0),0),"")</f>
        <v/>
      </c>
      <c r="Z35" s="39">
        <f>IFERROR(VLOOKUP($A35,subQ,MATCH(Z$1,SUBQH,0),0),"")</f>
        <v/>
      </c>
      <c r="AA35" s="39">
        <f>IFERROR(VLOOKUP($A35,subQ,MATCH(AA$1,SUBQH,0),0),"")</f>
        <v/>
      </c>
      <c r="AB35" s="39">
        <f>IFERROR(VLOOKUP($A35,subQ,MATCH(AB$1,SUBQH,0),0),"")</f>
        <v/>
      </c>
      <c r="AC35" s="39">
        <f>IFERROR(VLOOKUP($A35,subQ,MATCH(AC$1,SUBQH,0),0),"")</f>
        <v/>
      </c>
      <c r="AD35" s="39">
        <f>IFERROR(VLOOKUP($A35,subQ,MATCH(AD$1,SUBQH,0),0),"")</f>
        <v/>
      </c>
      <c r="AE35" s="39">
        <f>IFERROR(VLOOKUP($A35,subQ,MATCH(AE$1,SUBQH,0),0),"")</f>
        <v/>
      </c>
      <c r="AF35" s="39">
        <f>IFERROR(VLOOKUP($A35,subQ,MATCH(AF$1,SUBQH,0),0),"")</f>
        <v/>
      </c>
      <c r="AG35" s="39">
        <f>IFERROR(VLOOKUP($A35,subQ,MATCH(AG$1,SUBQH,0),0),"")</f>
        <v/>
      </c>
    </row>
    <row r="36">
      <c r="A36" s="12" t="inlineStr">
        <is>
          <t>PBR</t>
        </is>
      </c>
      <c r="D36" t="inlineStr">
        <is>
          <t>PBR</t>
        </is>
      </c>
      <c r="E36" s="13">
        <f>IFERROR(VLOOKUP($A36,subQ,MATCH(E$1,SUBQH,0),0),"")</f>
        <v/>
      </c>
      <c r="F36" s="13">
        <f>IFERROR(VLOOKUP($A36,subQ,MATCH(F$1,SUBQH,0),0),"")</f>
        <v/>
      </c>
      <c r="G36" s="13">
        <f>IFERROR(VLOOKUP($A36,subQ,MATCH(G$1,SUBQH,0),0),"")</f>
        <v/>
      </c>
      <c r="H36" s="13">
        <f>IFERROR(VLOOKUP($A36,subQ,MATCH(H$1,SUBQH,0),0),"")</f>
        <v/>
      </c>
      <c r="I36" s="13">
        <f>IFERROR(VLOOKUP($A36,subQ,MATCH(I$1,SUBQH,0),0),"")</f>
        <v/>
      </c>
      <c r="J36" s="13">
        <f>IFERROR(VLOOKUP($A36,subQ,MATCH(J$1,SUBQH,0),0),"")</f>
        <v/>
      </c>
      <c r="K36" s="13">
        <f>IFERROR(VLOOKUP($A36,subQ,MATCH(K$1,SUBQH,0),0),"")</f>
        <v/>
      </c>
      <c r="L36" s="13">
        <f>IFERROR(VLOOKUP($A36,subQ,MATCH(L$1,SUBQH,0),0),"")</f>
        <v/>
      </c>
      <c r="M36" s="13">
        <f>IFERROR(VLOOKUP($A36,subQ,MATCH(M$1,SUBQH,0),0),"")</f>
        <v/>
      </c>
      <c r="N36" s="13">
        <f>IFERROR(VLOOKUP($A36,subQ,MATCH(N$1,SUBQH,0),0),"")</f>
        <v/>
      </c>
      <c r="O36" s="13">
        <f>IFERROR(VLOOKUP($A36,subQ,MATCH(O$1,SUBQH,0),0),"")</f>
        <v/>
      </c>
      <c r="P36" s="13">
        <f>IFERROR(VLOOKUP($A36,subQ,MATCH(P$1,SUBQH,0),0),"")</f>
        <v/>
      </c>
      <c r="Q36" s="13">
        <f>IFERROR(VLOOKUP($A36,subQ,MATCH(Q$1,SUBQH,0),0),"")</f>
        <v/>
      </c>
      <c r="R36" s="13">
        <f>IFERROR(VLOOKUP($A36,subQ,MATCH(R$1,SUBQH,0),0),"")</f>
        <v/>
      </c>
      <c r="S36" s="13">
        <f>IFERROR(VLOOKUP($A36,subQ,MATCH(S$1,SUBQH,0),0),"")</f>
        <v/>
      </c>
      <c r="T36" s="13">
        <f>IFERROR(VLOOKUP($A36,subQ,MATCH(T$1,SUBQH,0),0),"")</f>
        <v/>
      </c>
      <c r="U36" s="13">
        <f>IFERROR(VLOOKUP($A36,subQ,MATCH(U$1,SUBQH,0),0),"")</f>
        <v/>
      </c>
      <c r="V36" s="13">
        <f>IFERROR(VLOOKUP($A36,subQ,MATCH(V$1,SUBQH,0),0),"")</f>
        <v/>
      </c>
      <c r="W36" s="48">
        <f>IFERROR(VLOOKUP($A36,subQ,MATCH(W$1,SUBQH,0),0),"")</f>
        <v/>
      </c>
      <c r="X36" s="39">
        <f>IFERROR(VLOOKUP($A36,subQ,MATCH(X$1,SUBQH,0),0),"")</f>
        <v/>
      </c>
      <c r="Y36" s="39">
        <f>IFERROR(VLOOKUP($A36,subQ,MATCH(Y$1,SUBQH,0),0),"")</f>
        <v/>
      </c>
      <c r="Z36" s="39">
        <f>IFERROR(VLOOKUP($A36,subQ,MATCH(Z$1,SUBQH,0),0),"")</f>
        <v/>
      </c>
      <c r="AA36" s="39">
        <f>IFERROR(VLOOKUP($A36,subQ,MATCH(AA$1,SUBQH,0),0),"")</f>
        <v/>
      </c>
      <c r="AB36" s="39">
        <f>IFERROR(VLOOKUP($A36,subQ,MATCH(AB$1,SUBQH,0),0),"")</f>
        <v/>
      </c>
      <c r="AC36" s="39">
        <f>IFERROR(VLOOKUP($A36,subQ,MATCH(AC$1,SUBQH,0),0),"")</f>
        <v/>
      </c>
      <c r="AD36" s="39">
        <f>IFERROR(VLOOKUP($A36,subQ,MATCH(AD$1,SUBQH,0),0),"")</f>
        <v/>
      </c>
      <c r="AE36" s="39">
        <f>IFERROR(VLOOKUP($A36,subQ,MATCH(AE$1,SUBQH,0),0),"")</f>
        <v/>
      </c>
      <c r="AF36" s="39">
        <f>IFERROR(VLOOKUP($A36,subQ,MATCH(AF$1,SUBQH,0),0),"")</f>
        <v/>
      </c>
      <c r="AG36" s="39">
        <f>IFERROR(VLOOKUP($A36,subQ,MATCH(AG$1,SUBQH,0),0),"")</f>
        <v/>
      </c>
    </row>
    <row r="37">
      <c r="A37" s="12" t="inlineStr">
        <is>
          <t>매출전사</t>
        </is>
      </c>
      <c r="D37" t="inlineStr">
        <is>
          <t>매출 전사(부문 미분리)</t>
        </is>
      </c>
      <c r="E37" s="18">
        <f>IFERROR(VLOOKUP($A37,subQ,MATCH(E$1,SUBQH,0),0),"")</f>
        <v/>
      </c>
      <c r="F37" s="18">
        <f>IFERROR(VLOOKUP($A37,subQ,MATCH(F$1,SUBQH,0),0),"")</f>
        <v/>
      </c>
      <c r="G37" s="18">
        <f>IFERROR(VLOOKUP($A37,subQ,MATCH(G$1,SUBQH,0),0),"")</f>
        <v/>
      </c>
      <c r="H37" s="18">
        <f>IFERROR(VLOOKUP($A37,subQ,MATCH(H$1,SUBQH,0),0),"")</f>
        <v/>
      </c>
      <c r="I37" s="18">
        <f>IFERROR(VLOOKUP($A37,subQ,MATCH(I$1,SUBQH,0),0),"")</f>
        <v/>
      </c>
      <c r="J37" s="18">
        <f>IFERROR(VLOOKUP($A37,subQ,MATCH(J$1,SUBQH,0),0),"")</f>
        <v/>
      </c>
      <c r="K37" s="18">
        <f>IFERROR(VLOOKUP($A37,subQ,MATCH(K$1,SUBQH,0),0),"")</f>
        <v/>
      </c>
      <c r="L37" s="18">
        <f>IFERROR(VLOOKUP($A37,subQ,MATCH(L$1,SUBQH,0),0),"")</f>
        <v/>
      </c>
      <c r="M37" s="18">
        <f>IFERROR(VLOOKUP($A37,subQ,MATCH(M$1,SUBQH,0),0),"")</f>
        <v/>
      </c>
      <c r="N37" s="18">
        <f>IFERROR(VLOOKUP($A37,subQ,MATCH(N$1,SUBQH,0),0),"")</f>
        <v/>
      </c>
      <c r="O37" s="18">
        <f>IFERROR(VLOOKUP($A37,subQ,MATCH(O$1,SUBQH,0),0),"")</f>
        <v/>
      </c>
      <c r="P37" s="18">
        <f>IFERROR(VLOOKUP($A37,subQ,MATCH(P$1,SUBQH,0),0),"")</f>
        <v/>
      </c>
      <c r="Q37" s="18">
        <f>IFERROR(VLOOKUP($A37,subQ,MATCH(Q$1,SUBQH,0),0),"")</f>
        <v/>
      </c>
      <c r="R37" s="18">
        <f>IFERROR(VLOOKUP($A37,subQ,MATCH(R$1,SUBQH,0),0),"")</f>
        <v/>
      </c>
      <c r="S37" s="18">
        <f>IFERROR(VLOOKUP($A37,subQ,MATCH(S$1,SUBQH,0),0),"")</f>
        <v/>
      </c>
      <c r="T37" s="18">
        <f>IFERROR(VLOOKUP($A37,subQ,MATCH(T$1,SUBQH,0),0),"")</f>
        <v/>
      </c>
      <c r="U37" s="18">
        <f>IFERROR(VLOOKUP($A37,subQ,MATCH(U$1,SUBQH,0),0),"")</f>
        <v/>
      </c>
      <c r="V37" s="18">
        <f>IFERROR(VLOOKUP($A37,subQ,MATCH(V$1,SUBQH,0),0),"")</f>
        <v/>
      </c>
      <c r="W37" s="45">
        <f>IFERROR(VLOOKUP($A37,subQ,MATCH(W$1,SUBQH,0),0),"")</f>
        <v/>
      </c>
      <c r="X37" s="20">
        <f>IFERROR(VLOOKUP($A37,subQ,MATCH(X$1,SUBQH,0),0),"")</f>
        <v/>
      </c>
      <c r="Y37" s="20">
        <f>IFERROR(VLOOKUP($A37,subQ,MATCH(Y$1,SUBQH,0),0),"")</f>
        <v/>
      </c>
      <c r="Z37" s="20">
        <f>IFERROR(VLOOKUP($A37,subQ,MATCH(Z$1,SUBQH,0),0),"")</f>
        <v/>
      </c>
      <c r="AA37" s="20">
        <f>IFERROR(VLOOKUP($A37,subQ,MATCH(AA$1,SUBQH,0),0),"")</f>
        <v/>
      </c>
      <c r="AB37" s="20">
        <f>IFERROR(VLOOKUP($A37,subQ,MATCH(AB$1,SUBQH,0),0),"")</f>
        <v/>
      </c>
      <c r="AC37" s="20">
        <f>IFERROR(VLOOKUP($A37,subQ,MATCH(AC$1,SUBQH,0),0),"")</f>
        <v/>
      </c>
      <c r="AD37" s="20">
        <f>IFERROR(VLOOKUP($A37,subQ,MATCH(AD$1,SUBQH,0),0),"")</f>
        <v/>
      </c>
      <c r="AE37" s="20">
        <f>IFERROR(VLOOKUP($A37,subQ,MATCH(AE$1,SUBQH,0),0),"")</f>
        <v/>
      </c>
      <c r="AF37" s="20">
        <f>IFERROR(VLOOKUP($A37,subQ,MATCH(AF$1,SUBQH,0),0),"")</f>
        <v/>
      </c>
      <c r="AG37" s="20">
        <f>IFERROR(VLOOKUP($A37,subQ,MATCH(AG$1,SUBQH,0),0),"")</f>
        <v/>
      </c>
    </row>
    <row r="38">
      <c r="A38" s="12" t="inlineStr">
        <is>
          <t>OP전사</t>
        </is>
      </c>
      <c r="D38" t="inlineStr">
        <is>
          <t>OP 전사(부문 미분리)</t>
        </is>
      </c>
      <c r="E38" s="18">
        <f>IFERROR(VLOOKUP($A38,subQ,MATCH(E$1,SUBQH,0),0),"")</f>
        <v/>
      </c>
      <c r="F38" s="18">
        <f>IFERROR(VLOOKUP($A38,subQ,MATCH(F$1,SUBQH,0),0),"")</f>
        <v/>
      </c>
      <c r="G38" s="18">
        <f>IFERROR(VLOOKUP($A38,subQ,MATCH(G$1,SUBQH,0),0),"")</f>
        <v/>
      </c>
      <c r="H38" s="18">
        <f>IFERROR(VLOOKUP($A38,subQ,MATCH(H$1,SUBQH,0),0),"")</f>
        <v/>
      </c>
      <c r="I38" s="18">
        <f>IFERROR(VLOOKUP($A38,subQ,MATCH(I$1,SUBQH,0),0),"")</f>
        <v/>
      </c>
      <c r="J38" s="18">
        <f>IFERROR(VLOOKUP($A38,subQ,MATCH(J$1,SUBQH,0),0),"")</f>
        <v/>
      </c>
      <c r="K38" s="18">
        <f>IFERROR(VLOOKUP($A38,subQ,MATCH(K$1,SUBQH,0),0),"")</f>
        <v/>
      </c>
      <c r="L38" s="18">
        <f>IFERROR(VLOOKUP($A38,subQ,MATCH(L$1,SUBQH,0),0),"")</f>
        <v/>
      </c>
      <c r="M38" s="18">
        <f>IFERROR(VLOOKUP($A38,subQ,MATCH(M$1,SUBQH,0),0),"")</f>
        <v/>
      </c>
      <c r="N38" s="18">
        <f>IFERROR(VLOOKUP($A38,subQ,MATCH(N$1,SUBQH,0),0),"")</f>
        <v/>
      </c>
      <c r="O38" s="18">
        <f>IFERROR(VLOOKUP($A38,subQ,MATCH(O$1,SUBQH,0),0),"")</f>
        <v/>
      </c>
      <c r="P38" s="18">
        <f>IFERROR(VLOOKUP($A38,subQ,MATCH(P$1,SUBQH,0),0),"")</f>
        <v/>
      </c>
      <c r="Q38" s="18">
        <f>IFERROR(VLOOKUP($A38,subQ,MATCH(Q$1,SUBQH,0),0),"")</f>
        <v/>
      </c>
      <c r="R38" s="18">
        <f>IFERROR(VLOOKUP($A38,subQ,MATCH(R$1,SUBQH,0),0),"")</f>
        <v/>
      </c>
      <c r="S38" s="18">
        <f>IFERROR(VLOOKUP($A38,subQ,MATCH(S$1,SUBQH,0),0),"")</f>
        <v/>
      </c>
      <c r="T38" s="18">
        <f>IFERROR(VLOOKUP($A38,subQ,MATCH(T$1,SUBQH,0),0),"")</f>
        <v/>
      </c>
      <c r="U38" s="18">
        <f>IFERROR(VLOOKUP($A38,subQ,MATCH(U$1,SUBQH,0),0),"")</f>
        <v/>
      </c>
      <c r="V38" s="18">
        <f>IFERROR(VLOOKUP($A38,subQ,MATCH(V$1,SUBQH,0),0),"")</f>
        <v/>
      </c>
      <c r="W38" s="45">
        <f>IFERROR(VLOOKUP($A38,subQ,MATCH(W$1,SUBQH,0),0),"")</f>
        <v/>
      </c>
      <c r="X38" s="20">
        <f>IFERROR(VLOOKUP($A38,subQ,MATCH(X$1,SUBQH,0),0),"")</f>
        <v/>
      </c>
      <c r="Y38" s="20">
        <f>IFERROR(VLOOKUP($A38,subQ,MATCH(Y$1,SUBQH,0),0),"")</f>
        <v/>
      </c>
      <c r="Z38" s="20">
        <f>IFERROR(VLOOKUP($A38,subQ,MATCH(Z$1,SUBQH,0),0),"")</f>
        <v/>
      </c>
      <c r="AA38" s="20">
        <f>IFERROR(VLOOKUP($A38,subQ,MATCH(AA$1,SUBQH,0),0),"")</f>
        <v/>
      </c>
      <c r="AB38" s="20">
        <f>IFERROR(VLOOKUP($A38,subQ,MATCH(AB$1,SUBQH,0),0),"")</f>
        <v/>
      </c>
      <c r="AC38" s="20">
        <f>IFERROR(VLOOKUP($A38,subQ,MATCH(AC$1,SUBQH,0),0),"")</f>
        <v/>
      </c>
      <c r="AD38" s="20">
        <f>IFERROR(VLOOKUP($A38,subQ,MATCH(AD$1,SUBQH,0),0),"")</f>
        <v/>
      </c>
      <c r="AE38" s="20">
        <f>IFERROR(VLOOKUP($A38,subQ,MATCH(AE$1,SUBQH,0),0),"")</f>
        <v/>
      </c>
      <c r="AF38" s="20">
        <f>IFERROR(VLOOKUP($A38,subQ,MATCH(AF$1,SUBQH,0),0),"")</f>
        <v/>
      </c>
      <c r="AG38" s="20">
        <f>IFERROR(VLOOKUP($A38,subQ,MATCH(AG$1,SUBQH,0),0),"")</f>
        <v/>
      </c>
    </row>
    <row r="39">
      <c r="A39" s="12" t="inlineStr">
        <is>
          <t>NPM</t>
        </is>
      </c>
      <c r="D39" t="inlineStr">
        <is>
          <t>NPM</t>
        </is>
      </c>
      <c r="E39" s="21">
        <f>IFERROR(VLOOKUP($A39,subQ,MATCH(E$1,SUBQH,0),0),"")</f>
        <v/>
      </c>
      <c r="F39" s="21">
        <f>IFERROR(VLOOKUP($A39,subQ,MATCH(F$1,SUBQH,0),0),"")</f>
        <v/>
      </c>
      <c r="G39" s="21">
        <f>IFERROR(VLOOKUP($A39,subQ,MATCH(G$1,SUBQH,0),0),"")</f>
        <v/>
      </c>
      <c r="H39" s="21">
        <f>IFERROR(VLOOKUP($A39,subQ,MATCH(H$1,SUBQH,0),0),"")</f>
        <v/>
      </c>
      <c r="I39" s="21">
        <f>IFERROR(VLOOKUP($A39,subQ,MATCH(I$1,SUBQH,0),0),"")</f>
        <v/>
      </c>
      <c r="J39" s="21">
        <f>IFERROR(VLOOKUP($A39,subQ,MATCH(J$1,SUBQH,0),0),"")</f>
        <v/>
      </c>
      <c r="K39" s="21">
        <f>IFERROR(VLOOKUP($A39,subQ,MATCH(K$1,SUBQH,0),0),"")</f>
        <v/>
      </c>
      <c r="L39" s="21">
        <f>IFERROR(VLOOKUP($A39,subQ,MATCH(L$1,SUBQH,0),0),"")</f>
        <v/>
      </c>
      <c r="M39" s="21">
        <f>IFERROR(VLOOKUP($A39,subQ,MATCH(M$1,SUBQH,0),0),"")</f>
        <v/>
      </c>
      <c r="N39" s="21">
        <f>IFERROR(VLOOKUP($A39,subQ,MATCH(N$1,SUBQH,0),0),"")</f>
        <v/>
      </c>
      <c r="O39" s="21">
        <f>IFERROR(VLOOKUP($A39,subQ,MATCH(O$1,SUBQH,0),0),"")</f>
        <v/>
      </c>
      <c r="P39" s="21">
        <f>IFERROR(VLOOKUP($A39,subQ,MATCH(P$1,SUBQH,0),0),"")</f>
        <v/>
      </c>
      <c r="Q39" s="21">
        <f>IFERROR(VLOOKUP($A39,subQ,MATCH(Q$1,SUBQH,0),0),"")</f>
        <v/>
      </c>
      <c r="R39" s="21">
        <f>IFERROR(VLOOKUP($A39,subQ,MATCH(R$1,SUBQH,0),0),"")</f>
        <v/>
      </c>
      <c r="S39" s="21">
        <f>IFERROR(VLOOKUP($A39,subQ,MATCH(S$1,SUBQH,0),0),"")</f>
        <v/>
      </c>
      <c r="T39" s="21">
        <f>IFERROR(VLOOKUP($A39,subQ,MATCH(T$1,SUBQH,0),0),"")</f>
        <v/>
      </c>
      <c r="U39" s="21">
        <f>IFERROR(VLOOKUP($A39,subQ,MATCH(U$1,SUBQH,0),0),"")</f>
        <v/>
      </c>
      <c r="V39" s="21">
        <f>IFERROR(VLOOKUP($A39,subQ,MATCH(V$1,SUBQH,0),0),"")</f>
        <v/>
      </c>
      <c r="W39" s="46">
        <f>IFERROR(VLOOKUP($A39,subQ,MATCH(W$1,SUBQH,0),0),"")</f>
        <v/>
      </c>
      <c r="X39" s="32">
        <f>IFERROR(VLOOKUP($A39,subQ,MATCH(X$1,SUBQH,0),0),"")</f>
        <v/>
      </c>
      <c r="Y39" s="32">
        <f>IFERROR(VLOOKUP($A39,subQ,MATCH(Y$1,SUBQH,0),0),"")</f>
        <v/>
      </c>
      <c r="Z39" s="32">
        <f>IFERROR(VLOOKUP($A39,subQ,MATCH(Z$1,SUBQH,0),0),"")</f>
        <v/>
      </c>
      <c r="AA39" s="32">
        <f>IFERROR(VLOOKUP($A39,subQ,MATCH(AA$1,SUBQH,0),0),"")</f>
        <v/>
      </c>
      <c r="AB39" s="32">
        <f>IFERROR(VLOOKUP($A39,subQ,MATCH(AB$1,SUBQH,0),0),"")</f>
        <v/>
      </c>
      <c r="AC39" s="32">
        <f>IFERROR(VLOOKUP($A39,subQ,MATCH(AC$1,SUBQH,0),0),"")</f>
        <v/>
      </c>
      <c r="AD39" s="32">
        <f>IFERROR(VLOOKUP($A39,subQ,MATCH(AD$1,SUBQH,0),0),"")</f>
        <v/>
      </c>
      <c r="AE39" s="32">
        <f>IFERROR(VLOOKUP($A39,subQ,MATCH(AE$1,SUBQH,0),0),"")</f>
        <v/>
      </c>
      <c r="AF39" s="32">
        <f>IFERROR(VLOOKUP($A39,subQ,MATCH(AF$1,SUBQH,0),0),"")</f>
        <v/>
      </c>
      <c r="AG39" s="32">
        <f>IFERROR(VLOOKUP($A39,subQ,MATCH(AG$1,SUBQH,0),0),"")</f>
        <v/>
      </c>
    </row>
    <row r="40">
      <c r="A40" s="12" t="inlineStr">
        <is>
          <t>매출액 YoY</t>
        </is>
      </c>
      <c r="D40" t="inlineStr">
        <is>
          <t>매출액 YoY</t>
        </is>
      </c>
      <c r="I40" s="21">
        <f>IFERROR(I5/E5-1,"")</f>
        <v/>
      </c>
      <c r="J40" s="21">
        <f>IFERROR(J5/F5-1,"")</f>
        <v/>
      </c>
      <c r="K40" s="21">
        <f>IFERROR(K5/G5-1,"")</f>
        <v/>
      </c>
      <c r="L40" s="21">
        <f>IFERROR(L5/H5-1,"")</f>
        <v/>
      </c>
      <c r="M40" s="21">
        <f>IFERROR(M5/I5-1,"")</f>
        <v/>
      </c>
      <c r="N40" s="21">
        <f>IFERROR(N5/J5-1,"")</f>
        <v/>
      </c>
      <c r="O40" s="21">
        <f>IFERROR(O5/K5-1,"")</f>
        <v/>
      </c>
      <c r="P40" s="21">
        <f>IFERROR(P5/L5-1,"")</f>
        <v/>
      </c>
      <c r="Q40" s="21">
        <f>IFERROR(Q5/M5-1,"")</f>
        <v/>
      </c>
      <c r="R40" s="21">
        <f>IFERROR(R5/N5-1,"")</f>
        <v/>
      </c>
      <c r="S40" s="21">
        <f>IFERROR(S5/O5-1,"")</f>
        <v/>
      </c>
      <c r="T40" s="21">
        <f>IFERROR(T5/P5-1,"")</f>
        <v/>
      </c>
      <c r="U40" s="21">
        <f>IFERROR(U5/Q5-1,"")</f>
        <v/>
      </c>
      <c r="V40" s="21">
        <f>IFERROR(V5/R5-1,"")</f>
        <v/>
      </c>
      <c r="W40" s="46">
        <f>IFERROR(W5/S5-1,"")</f>
        <v/>
      </c>
      <c r="X40" s="32">
        <f>IFERROR(X5/T5-1,"")</f>
        <v/>
      </c>
      <c r="Y40" s="32">
        <f>IFERROR(Y5/U5-1,"")</f>
        <v/>
      </c>
      <c r="Z40" s="32">
        <f>IFERROR(Z5/V5-1,"")</f>
        <v/>
      </c>
      <c r="AA40" s="32">
        <f>IFERROR(AA5/W5-1,"")</f>
        <v/>
      </c>
      <c r="AB40" s="32">
        <f>IFERROR(AB5/X5-1,"")</f>
        <v/>
      </c>
      <c r="AC40" s="32">
        <f>IFERROR(AC5/Y5-1,"")</f>
        <v/>
      </c>
      <c r="AD40" s="32">
        <f>IFERROR(AD5/Z5-1,"")</f>
        <v/>
      </c>
      <c r="AE40" s="32">
        <f>IFERROR(AE5/AA5-1,"")</f>
        <v/>
      </c>
      <c r="AF40" s="32">
        <f>IFERROR(AF5/AB5-1,"")</f>
        <v/>
      </c>
      <c r="AG40" s="32">
        <f>IFERROR(AG5/AC5-1,"")</f>
        <v/>
      </c>
    </row>
    <row r="41">
      <c r="A41" s="12" t="inlineStr">
        <is>
          <t>영업이익 YoY</t>
        </is>
      </c>
      <c r="D41" t="inlineStr">
        <is>
          <t>영업이익 YoY</t>
        </is>
      </c>
      <c r="I41" s="21">
        <f>IFERROR(I9/E9-1,"")</f>
        <v/>
      </c>
      <c r="J41" s="21">
        <f>IFERROR(J9/F9-1,"")</f>
        <v/>
      </c>
      <c r="K41" s="21">
        <f>IFERROR(K9/G9-1,"")</f>
        <v/>
      </c>
      <c r="L41" s="21">
        <f>IFERROR(L9/H9-1,"")</f>
        <v/>
      </c>
      <c r="M41" s="21">
        <f>IFERROR(M9/I9-1,"")</f>
        <v/>
      </c>
      <c r="N41" s="21">
        <f>IFERROR(N9/J9-1,"")</f>
        <v/>
      </c>
      <c r="O41" s="21">
        <f>IFERROR(O9/K9-1,"")</f>
        <v/>
      </c>
      <c r="P41" s="21">
        <f>IFERROR(P9/L9-1,"")</f>
        <v/>
      </c>
      <c r="Q41" s="21">
        <f>IFERROR(Q9/M9-1,"")</f>
        <v/>
      </c>
      <c r="R41" s="21">
        <f>IFERROR(R9/N9-1,"")</f>
        <v/>
      </c>
      <c r="S41" s="21">
        <f>IFERROR(S9/O9-1,"")</f>
        <v/>
      </c>
      <c r="T41" s="21">
        <f>IFERROR(T9/P9-1,"")</f>
        <v/>
      </c>
      <c r="U41" s="21">
        <f>IFERROR(U9/Q9-1,"")</f>
        <v/>
      </c>
      <c r="V41" s="21">
        <f>IFERROR(V9/R9-1,"")</f>
        <v/>
      </c>
      <c r="W41" s="46">
        <f>IFERROR(W9/S9-1,"")</f>
        <v/>
      </c>
      <c r="X41" s="32">
        <f>IFERROR(X9/T9-1,"")</f>
        <v/>
      </c>
      <c r="Y41" s="32">
        <f>IFERROR(Y9/U9-1,"")</f>
        <v/>
      </c>
      <c r="Z41" s="32">
        <f>IFERROR(Z9/V9-1,"")</f>
        <v/>
      </c>
      <c r="AA41" s="32">
        <f>IFERROR(AA9/W9-1,"")</f>
        <v/>
      </c>
      <c r="AB41" s="32">
        <f>IFERROR(AB9/X9-1,"")</f>
        <v/>
      </c>
      <c r="AC41" s="32">
        <f>IFERROR(AC9/Y9-1,"")</f>
        <v/>
      </c>
      <c r="AD41" s="32">
        <f>IFERROR(AD9/Z9-1,"")</f>
        <v/>
      </c>
      <c r="AE41" s="32">
        <f>IFERROR(AE9/AA9-1,"")</f>
        <v/>
      </c>
      <c r="AF41" s="32">
        <f>IFERROR(AF9/AB9-1,"")</f>
        <v/>
      </c>
      <c r="AG41" s="32">
        <f>IFERROR(AG9/AC9-1,"")</f>
        <v/>
      </c>
    </row>
    <row r="42">
      <c r="A42" s="12" t="inlineStr">
        <is>
          <t>지배주주순이익 YoY</t>
        </is>
      </c>
      <c r="D42" t="inlineStr">
        <is>
          <t>지배주주순이익 YoY</t>
        </is>
      </c>
      <c r="I42" s="21">
        <f>IFERROR(I20/E20-1,"")</f>
        <v/>
      </c>
      <c r="J42" s="21">
        <f>IFERROR(J20/F20-1,"")</f>
        <v/>
      </c>
      <c r="K42" s="21">
        <f>IFERROR(K20/G20-1,"")</f>
        <v/>
      </c>
      <c r="L42" s="21">
        <f>IFERROR(L20/H20-1,"")</f>
        <v/>
      </c>
      <c r="M42" s="21">
        <f>IFERROR(M20/I20-1,"")</f>
        <v/>
      </c>
      <c r="N42" s="21">
        <f>IFERROR(N20/J20-1,"")</f>
        <v/>
      </c>
      <c r="O42" s="21">
        <f>IFERROR(O20/K20-1,"")</f>
        <v/>
      </c>
      <c r="P42" s="21">
        <f>IFERROR(P20/L20-1,"")</f>
        <v/>
      </c>
      <c r="Q42" s="21">
        <f>IFERROR(Q20/M20-1,"")</f>
        <v/>
      </c>
      <c r="R42" s="21">
        <f>IFERROR(R20/N20-1,"")</f>
        <v/>
      </c>
      <c r="S42" s="21">
        <f>IFERROR(S20/O20-1,"")</f>
        <v/>
      </c>
      <c r="T42" s="21">
        <f>IFERROR(T20/P20-1,"")</f>
        <v/>
      </c>
      <c r="U42" s="21">
        <f>IFERROR(U20/Q20-1,"")</f>
        <v/>
      </c>
      <c r="V42" s="21">
        <f>IFERROR(V20/R20-1,"")</f>
        <v/>
      </c>
      <c r="W42" s="46">
        <f>IFERROR(W20/S20-1,"")</f>
        <v/>
      </c>
      <c r="X42" s="32">
        <f>IFERROR(X20/T20-1,"")</f>
        <v/>
      </c>
      <c r="Y42" s="32">
        <f>IFERROR(Y20/U20-1,"")</f>
        <v/>
      </c>
      <c r="Z42" s="32">
        <f>IFERROR(Z20/V20-1,"")</f>
        <v/>
      </c>
      <c r="AA42" s="32">
        <f>IFERROR(AA20/W20-1,"")</f>
        <v/>
      </c>
      <c r="AB42" s="32">
        <f>IFERROR(AB20/X20-1,"")</f>
        <v/>
      </c>
      <c r="AC42" s="32">
        <f>IFERROR(AC20/Y20-1,"")</f>
        <v/>
      </c>
      <c r="AD42" s="32">
        <f>IFERROR(AD20/Z20-1,"")</f>
        <v/>
      </c>
      <c r="AE42" s="32">
        <f>IFERROR(AE20/AA20-1,"")</f>
        <v/>
      </c>
      <c r="AF42" s="32">
        <f>IFERROR(AF20/AB20-1,"")</f>
        <v/>
      </c>
      <c r="AG42" s="32">
        <f>IFERROR(AG20/AC20-1,"")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C1" s="2" t="inlineStr">
        <is>
          <t>이름: 연간예상H — subQ 를 이름으로 VLOOKUP(억원)</t>
        </is>
      </c>
      <c r="E1" s="3" t="n">
        <v>2021</v>
      </c>
      <c r="F1" s="3" t="n">
        <v>2022</v>
      </c>
      <c r="G1" s="3" t="n">
        <v>2023</v>
      </c>
      <c r="H1" s="3" t="n">
        <v>2024</v>
      </c>
      <c r="I1" s="41" t="n">
        <v>2025</v>
      </c>
      <c r="J1" s="3" t="n">
        <v>2026</v>
      </c>
      <c r="K1" s="3" t="n">
        <v>2027</v>
      </c>
      <c r="L1" s="3" t="n">
        <v>2028</v>
      </c>
    </row>
    <row r="2">
      <c r="C2" t="inlineStr">
        <is>
          <t>종가:</t>
        </is>
      </c>
      <c r="D2" s="18">
        <f>변수!D43</f>
        <v/>
      </c>
      <c r="I2" s="42" t="n"/>
    </row>
    <row r="3">
      <c r="C3" t="inlineStr">
        <is>
          <t>기준일:</t>
        </is>
      </c>
      <c r="D3" t="inlineStr">
        <is>
          <t>20261008</t>
        </is>
      </c>
      <c r="E3" s="2" t="n">
        <v>1</v>
      </c>
      <c r="F3" s="2" t="n">
        <v>2</v>
      </c>
      <c r="G3" s="2" t="n">
        <v>3</v>
      </c>
      <c r="H3" s="2" t="n">
        <v>4</v>
      </c>
      <c r="I3" s="43" t="n">
        <v>5</v>
      </c>
      <c r="J3" s="2" t="n">
        <v>6</v>
      </c>
      <c r="K3" s="2" t="n">
        <v>7</v>
      </c>
      <c r="L3" s="2" t="n">
        <v>8</v>
      </c>
    </row>
    <row r="4">
      <c r="E4" s="7" t="inlineStr">
        <is>
          <t>2021.12A</t>
        </is>
      </c>
      <c r="F4" s="7" t="inlineStr">
        <is>
          <t>2022.12A</t>
        </is>
      </c>
      <c r="G4" s="7" t="inlineStr">
        <is>
          <t>2023.12A</t>
        </is>
      </c>
      <c r="H4" s="7" t="inlineStr">
        <is>
          <t>2024.12A</t>
        </is>
      </c>
      <c r="I4" s="44" t="inlineStr">
        <is>
          <t>2025.12A</t>
        </is>
      </c>
      <c r="J4" s="7" t="inlineStr">
        <is>
          <t>2026.12A</t>
        </is>
      </c>
      <c r="K4" s="7" t="inlineStr">
        <is>
          <t>2027.12A</t>
        </is>
      </c>
      <c r="L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45">
        <f>IFERROR(VLOOKUP($A5,subQ,MATCH(I$1,SUBQH,0),0),"")</f>
        <v/>
      </c>
      <c r="J5" s="20">
        <f>IFERROR(VLOOKUP($A5,subQ,MATCH(J$1,SUBQH,0),0),"")</f>
        <v/>
      </c>
      <c r="K5" s="20">
        <f>IFERROR(VLOOKUP($A5,subQ,MATCH(K$1,SUBQH,0),0),"")</f>
        <v/>
      </c>
      <c r="L5" s="20">
        <f>IFERROR(VLOOKUP($A5,subQ,MATCH(L$1,SUBQH,0),0),"")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45">
        <f>IFERROR(VLOOKUP($A6,subQ,MATCH(I$1,SUBQH,0),0),"")</f>
        <v/>
      </c>
      <c r="J6" s="20">
        <f>IFERROR(VLOOKUP($A6,subQ,MATCH(J$1,SUBQH,0),0),"")</f>
        <v/>
      </c>
      <c r="K6" s="20">
        <f>IFERROR(VLOOKUP($A6,subQ,MATCH(K$1,SUBQH,0),0),"")</f>
        <v/>
      </c>
      <c r="L6" s="20">
        <f>IFERROR(VLOOKUP($A6,subQ,MATCH(L$1,SUBQH,0),0),"")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45">
        <f>IFERROR(VLOOKUP($A7,subQ,MATCH(I$1,SUBQH,0),0),"")</f>
        <v/>
      </c>
      <c r="J7" s="20">
        <f>IFERROR(VLOOKUP($A7,subQ,MATCH(J$1,SUBQH,0),0),"")</f>
        <v/>
      </c>
      <c r="K7" s="20">
        <f>IFERROR(VLOOKUP($A7,subQ,MATCH(K$1,SUBQH,0),0),"")</f>
        <v/>
      </c>
      <c r="L7" s="20">
        <f>IFERROR(VLOOKUP($A7,subQ,MATCH(L$1,SUBQH,0),0),"")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45">
        <f>IFERROR(VLOOKUP($A8,subQ,MATCH(I$1,SUBQH,0),0),"")</f>
        <v/>
      </c>
      <c r="J8" s="20">
        <f>IFERROR(VLOOKUP($A8,subQ,MATCH(J$1,SUBQH,0),0),"")</f>
        <v/>
      </c>
      <c r="K8" s="20">
        <f>IFERROR(VLOOKUP($A8,subQ,MATCH(K$1,SUBQH,0),0),"")</f>
        <v/>
      </c>
      <c r="L8" s="20">
        <f>IFERROR(VLOOKUP($A8,subQ,MATCH(L$1,SUBQH,0),0),"")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45">
        <f>IFERROR(VLOOKUP($A9,subQ,MATCH(I$1,SUBQH,0),0),"")</f>
        <v/>
      </c>
      <c r="J9" s="20">
        <f>IFERROR(VLOOKUP($A9,subQ,MATCH(J$1,SUBQH,0),0),"")</f>
        <v/>
      </c>
      <c r="K9" s="20">
        <f>IFERROR(VLOOKUP($A9,subQ,MATCH(K$1,SUBQH,0),0),"")</f>
        <v/>
      </c>
      <c r="L9" s="20">
        <f>IFERROR(VLOOKUP($A9,subQ,MATCH(L$1,SUBQH,0),0),"")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46">
        <f>IFERROR(VLOOKUP($A10,subQ,MATCH(I$1,SUBQH,0),0),"")</f>
        <v/>
      </c>
      <c r="J10" s="32">
        <f>IFERROR(VLOOKUP($A10,subQ,MATCH(J$1,SUBQH,0),0),"")</f>
        <v/>
      </c>
      <c r="K10" s="32">
        <f>IFERROR(VLOOKUP($A10,subQ,MATCH(K$1,SUBQH,0),0),"")</f>
        <v/>
      </c>
      <c r="L10" s="32">
        <f>IFERROR(VLOOKUP($A10,subQ,MATCH(L$1,SUBQH,0),0),"")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45">
        <f>IFERROR(VLOOKUP($A11,subQ,MATCH(I$1,SUBQH,0),0),"")</f>
        <v/>
      </c>
      <c r="J11" s="20">
        <f>IFERROR(VLOOKUP($A11,subQ,MATCH(J$1,SUBQH,0),0),"")</f>
        <v/>
      </c>
      <c r="K11" s="20">
        <f>IFERROR(VLOOKUP($A11,subQ,MATCH(K$1,SUBQH,0),0),"")</f>
        <v/>
      </c>
      <c r="L11" s="20">
        <f>IFERROR(VLOOKUP($A11,subQ,MATCH(L$1,SUBQH,0),0),"")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45">
        <f>IFERROR(VLOOKUP($A12,subQ,MATCH(I$1,SUBQH,0),0),"")</f>
        <v/>
      </c>
      <c r="J12" s="20">
        <f>IFERROR(VLOOKUP($A12,subQ,MATCH(J$1,SUBQH,0),0),"")</f>
        <v/>
      </c>
      <c r="K12" s="20">
        <f>IFERROR(VLOOKUP($A12,subQ,MATCH(K$1,SUBQH,0),0),"")</f>
        <v/>
      </c>
      <c r="L12" s="20">
        <f>IFERROR(VLOOKUP($A12,subQ,MATCH(L$1,SUBQH,0),0),"")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45">
        <f>IFERROR(VLOOKUP($A13,subQ,MATCH(I$1,SUBQH,0),0),"")</f>
        <v/>
      </c>
      <c r="J13" s="20">
        <f>IFERROR(VLOOKUP($A13,subQ,MATCH(J$1,SUBQH,0),0),"")</f>
        <v/>
      </c>
      <c r="K13" s="20">
        <f>IFERROR(VLOOKUP($A13,subQ,MATCH(K$1,SUBQH,0),0),"")</f>
        <v/>
      </c>
      <c r="L13" s="20">
        <f>IFERROR(VLOOKUP($A13,subQ,MATCH(L$1,SUBQH,0),0),"")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45">
        <f>IFERROR(VLOOKUP($A14,subQ,MATCH(I$1,SUBQH,0),0),"")</f>
        <v/>
      </c>
      <c r="J14" s="20">
        <f>IFERROR(VLOOKUP($A14,subQ,MATCH(J$1,SUBQH,0),0),"")</f>
        <v/>
      </c>
      <c r="K14" s="20">
        <f>IFERROR(VLOOKUP($A14,subQ,MATCH(K$1,SUBQH,0),0),"")</f>
        <v/>
      </c>
      <c r="L14" s="20">
        <f>IFERROR(VLOOKUP($A14,subQ,MATCH(L$1,SUBQH,0),0),"")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45">
        <f>IFERROR(VLOOKUP($A15,subQ,MATCH(I$1,SUBQH,0),0),"")</f>
        <v/>
      </c>
      <c r="J15" s="20">
        <f>IFERROR(VLOOKUP($A15,subQ,MATCH(J$1,SUBQH,0),0),"")</f>
        <v/>
      </c>
      <c r="K15" s="20">
        <f>IFERROR(VLOOKUP($A15,subQ,MATCH(K$1,SUBQH,0),0),"")</f>
        <v/>
      </c>
      <c r="L15" s="20">
        <f>IFERROR(VLOOKUP($A15,subQ,MATCH(L$1,SUBQH,0),0),"")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45">
        <f>IFERROR(VLOOKUP($A16,subQ,MATCH(I$1,SUBQH,0),0),"")</f>
        <v/>
      </c>
      <c r="J16" s="20">
        <f>IFERROR(VLOOKUP($A16,subQ,MATCH(J$1,SUBQH,0),0),"")</f>
        <v/>
      </c>
      <c r="K16" s="20">
        <f>IFERROR(VLOOKUP($A16,subQ,MATCH(K$1,SUBQH,0),0),"")</f>
        <v/>
      </c>
      <c r="L16" s="20">
        <f>IFERROR(VLOOKUP($A16,subQ,MATCH(L$1,SUBQH,0),0),"")</f>
        <v/>
      </c>
    </row>
    <row r="17">
      <c r="A17" s="12" t="inlineStr">
        <is>
          <t>세전이익</t>
        </is>
      </c>
      <c r="D17" t="inlineStr">
        <is>
          <t>법인세비용차감전이익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45">
        <f>IFERROR(VLOOKUP($A17,subQ,MATCH(I$1,SUBQH,0),0),"")</f>
        <v/>
      </c>
      <c r="J17" s="20">
        <f>IFERROR(VLOOKUP($A17,subQ,MATCH(J$1,SUBQH,0),0),"")</f>
        <v/>
      </c>
      <c r="K17" s="20">
        <f>IFERROR(VLOOKUP($A17,subQ,MATCH(K$1,SUBQH,0),0),"")</f>
        <v/>
      </c>
      <c r="L17" s="20">
        <f>IFERROR(VLOOKUP($A17,subQ,MATCH(L$1,SUBQH,0),0),"")</f>
        <v/>
      </c>
    </row>
    <row r="18">
      <c r="A18" s="12" t="inlineStr">
        <is>
          <t>법인세비용</t>
        </is>
      </c>
      <c r="D18" t="inlineStr">
        <is>
          <t>법인세비용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45">
        <f>IFERROR(VLOOKUP($A18,subQ,MATCH(I$1,SUBQH,0),0),"")</f>
        <v/>
      </c>
      <c r="J18" s="20">
        <f>IFERROR(VLOOKUP($A18,subQ,MATCH(J$1,SUBQH,0),0),"")</f>
        <v/>
      </c>
      <c r="K18" s="20">
        <f>IFERROR(VLOOKUP($A18,subQ,MATCH(K$1,SUBQH,0),0),"")</f>
        <v/>
      </c>
      <c r="L18" s="20">
        <f>IFERROR(VLOOKUP($A18,subQ,MATCH(L$1,SUBQH,0),0),"")</f>
        <v/>
      </c>
    </row>
    <row r="19">
      <c r="A19" s="12" t="inlineStr">
        <is>
          <t>당기순이익</t>
        </is>
      </c>
      <c r="D19" t="inlineStr">
        <is>
          <t>당기순이익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45">
        <f>IFERROR(VLOOKUP($A19,subQ,MATCH(I$1,SUBQH,0),0),"")</f>
        <v/>
      </c>
      <c r="J19" s="20">
        <f>IFERROR(VLOOKUP($A19,subQ,MATCH(J$1,SUBQH,0),0),"")</f>
        <v/>
      </c>
      <c r="K19" s="20">
        <f>IFERROR(VLOOKUP($A19,subQ,MATCH(K$1,SUBQH,0),0),"")</f>
        <v/>
      </c>
      <c r="L19" s="20">
        <f>IFERROR(VLOOKUP($A19,subQ,MATCH(L$1,SUBQH,0),0),"")</f>
        <v/>
      </c>
    </row>
    <row r="20">
      <c r="A20" s="12" t="inlineStr">
        <is>
          <t>지배주주순이익</t>
        </is>
      </c>
      <c r="D20" t="inlineStr">
        <is>
          <t>지배주주순이익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45">
        <f>IFERROR(VLOOKUP($A20,subQ,MATCH(I$1,SUBQH,0),0),"")</f>
        <v/>
      </c>
      <c r="J20" s="20">
        <f>IFERROR(VLOOKUP($A20,subQ,MATCH(J$1,SUBQH,0),0),"")</f>
        <v/>
      </c>
      <c r="K20" s="20">
        <f>IFERROR(VLOOKUP($A20,subQ,MATCH(K$1,SUBQH,0),0),"")</f>
        <v/>
      </c>
      <c r="L20" s="20">
        <f>IFERROR(VLOOKUP($A20,subQ,MATCH(L$1,SUBQH,0),0),"")</f>
        <v/>
      </c>
    </row>
    <row r="21">
      <c r="A21" s="12" t="inlineStr">
        <is>
          <t>자산총계</t>
        </is>
      </c>
      <c r="D21" t="inlineStr">
        <is>
          <t>자산총계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45">
        <f>IFERROR(VLOOKUP($A21,subQ,MATCH(I$1,SUBQH,0),0),"")</f>
        <v/>
      </c>
      <c r="J21" s="20">
        <f>IFERROR(VLOOKUP($A21,subQ,MATCH(J$1,SUBQH,0),0),"")</f>
        <v/>
      </c>
      <c r="K21" s="20">
        <f>IFERROR(VLOOKUP($A21,subQ,MATCH(K$1,SUBQH,0),0),"")</f>
        <v/>
      </c>
      <c r="L21" s="20">
        <f>IFERROR(VLOOKUP($A21,subQ,MATCH(L$1,SUBQH,0),0),"")</f>
        <v/>
      </c>
    </row>
    <row r="22">
      <c r="A22" s="12" t="inlineStr">
        <is>
          <t>부채총계</t>
        </is>
      </c>
      <c r="D22" t="inlineStr">
        <is>
          <t>부채총계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45">
        <f>IFERROR(VLOOKUP($A22,subQ,MATCH(I$1,SUBQH,0),0),"")</f>
        <v/>
      </c>
      <c r="J22" s="20">
        <f>IFERROR(VLOOKUP($A22,subQ,MATCH(J$1,SUBQH,0),0),"")</f>
        <v/>
      </c>
      <c r="K22" s="20">
        <f>IFERROR(VLOOKUP($A22,subQ,MATCH(K$1,SUBQH,0),0),"")</f>
        <v/>
      </c>
      <c r="L22" s="20">
        <f>IFERROR(VLOOKUP($A22,subQ,MATCH(L$1,SUBQH,0),0),"")</f>
        <v/>
      </c>
    </row>
    <row r="23">
      <c r="A23" s="12" t="inlineStr">
        <is>
          <t>자본총계</t>
        </is>
      </c>
      <c r="D23" t="inlineStr">
        <is>
          <t>자본총계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45">
        <f>IFERROR(VLOOKUP($A23,subQ,MATCH(I$1,SUBQH,0),0),"")</f>
        <v/>
      </c>
      <c r="J23" s="20">
        <f>IFERROR(VLOOKUP($A23,subQ,MATCH(J$1,SUBQH,0),0),"")</f>
        <v/>
      </c>
      <c r="K23" s="20">
        <f>IFERROR(VLOOKUP($A23,subQ,MATCH(K$1,SUBQH,0),0),"")</f>
        <v/>
      </c>
      <c r="L23" s="20">
        <f>IFERROR(VLOOKUP($A23,subQ,MATCH(L$1,SUBQH,0),0),"")</f>
        <v/>
      </c>
    </row>
    <row r="24">
      <c r="A24" s="12" t="inlineStr">
        <is>
          <t>지배주주지분</t>
        </is>
      </c>
      <c r="D24" t="inlineStr">
        <is>
          <t>지배주주지분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45">
        <f>IFERROR(VLOOKUP($A24,subQ,MATCH(I$1,SUBQH,0),0),"")</f>
        <v/>
      </c>
      <c r="J24" s="20">
        <f>IFERROR(VLOOKUP($A24,subQ,MATCH(J$1,SUBQH,0),0),"")</f>
        <v/>
      </c>
      <c r="K24" s="20">
        <f>IFERROR(VLOOKUP($A24,subQ,MATCH(K$1,SUBQH,0),0),"")</f>
        <v/>
      </c>
      <c r="L24" s="20">
        <f>IFERROR(VLOOKUP($A24,subQ,MATCH(L$1,SUBQH,0),0),"")</f>
        <v/>
      </c>
    </row>
    <row r="25">
      <c r="A25" s="12" t="inlineStr">
        <is>
          <t>총차입금</t>
        </is>
      </c>
      <c r="D25" t="inlineStr">
        <is>
          <t>총차입금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45">
        <f>IFERROR(VLOOKUP($A25,subQ,MATCH(I$1,SUBQH,0),0),"")</f>
        <v/>
      </c>
      <c r="J25" s="20">
        <f>IFERROR(VLOOKUP($A25,subQ,MATCH(J$1,SUBQH,0),0),"")</f>
        <v/>
      </c>
      <c r="K25" s="20">
        <f>IFERROR(VLOOKUP($A25,subQ,MATCH(K$1,SUBQH,0),0),"")</f>
        <v/>
      </c>
      <c r="L25" s="20">
        <f>IFERROR(VLOOKUP($A25,subQ,MATCH(L$1,SUBQH,0),0),"")</f>
        <v/>
      </c>
    </row>
    <row r="26">
      <c r="A26" s="12" t="inlineStr">
        <is>
          <t>순차입금</t>
        </is>
      </c>
      <c r="D26" t="inlineStr">
        <is>
          <t>순차입금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45">
        <f>IFERROR(VLOOKUP($A26,subQ,MATCH(I$1,SUBQH,0),0),"")</f>
        <v/>
      </c>
      <c r="J26" s="20">
        <f>IFERROR(VLOOKUP($A26,subQ,MATCH(J$1,SUBQH,0),0),"")</f>
        <v/>
      </c>
      <c r="K26" s="20">
        <f>IFERROR(VLOOKUP($A26,subQ,MATCH(K$1,SUBQH,0),0),"")</f>
        <v/>
      </c>
      <c r="L26" s="20">
        <f>IFERROR(VLOOKUP($A26,subQ,MATCH(L$1,SUBQH,0),0),"")</f>
        <v/>
      </c>
    </row>
    <row r="27">
      <c r="A27" s="12" t="inlineStr">
        <is>
          <t>이자발생자산</t>
        </is>
      </c>
      <c r="D27" t="inlineStr">
        <is>
          <t>이자발생자산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45">
        <f>IFERROR(VLOOKUP($A27,subQ,MATCH(I$1,SUBQH,0),0),"")</f>
        <v/>
      </c>
      <c r="J27" s="20">
        <f>IFERROR(VLOOKUP($A27,subQ,MATCH(J$1,SUBQH,0),0),"")</f>
        <v/>
      </c>
      <c r="K27" s="20">
        <f>IFERROR(VLOOKUP($A27,subQ,MATCH(K$1,SUBQH,0),0),"")</f>
        <v/>
      </c>
      <c r="L27" s="20">
        <f>IFERROR(VLOOKUP($A27,subQ,MATCH(L$1,SUBQH,0),0),"")</f>
        <v/>
      </c>
    </row>
    <row r="28">
      <c r="A28" s="12" t="inlineStr">
        <is>
          <t>현금및현금성자산</t>
        </is>
      </c>
      <c r="D28" t="inlineStr">
        <is>
          <t>현금및현금성자산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45">
        <f>IFERROR(VLOOKUP($A28,subQ,MATCH(I$1,SUBQH,0),0),"")</f>
        <v/>
      </c>
      <c r="J28" s="20">
        <f>IFERROR(VLOOKUP($A28,subQ,MATCH(J$1,SUBQH,0),0),"")</f>
        <v/>
      </c>
      <c r="K28" s="20">
        <f>IFERROR(VLOOKUP($A28,subQ,MATCH(K$1,SUBQH,0),0),"")</f>
        <v/>
      </c>
      <c r="L28" s="20">
        <f>IFERROR(VLOOKUP($A28,subQ,MATCH(L$1,SUBQH,0),0),"")</f>
        <v/>
      </c>
    </row>
    <row r="29">
      <c r="A29" s="12" t="inlineStr">
        <is>
          <t>CAPEX</t>
        </is>
      </c>
      <c r="D29" t="inlineStr">
        <is>
          <t>CAPEX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45">
        <f>IFERROR(VLOOKUP($A29,subQ,MATCH(I$1,SUBQH,0),0),"")</f>
        <v/>
      </c>
      <c r="J29" s="20">
        <f>IFERROR(VLOOKUP($A29,subQ,MATCH(J$1,SUBQH,0),0),"")</f>
        <v/>
      </c>
      <c r="K29" s="20">
        <f>IFERROR(VLOOKUP($A29,subQ,MATCH(K$1,SUBQH,0),0),"")</f>
        <v/>
      </c>
      <c r="L29" s="20">
        <f>IFERROR(VLOOKUP($A29,subQ,MATCH(L$1,SUBQH,0),0),"")</f>
        <v/>
      </c>
    </row>
    <row r="30">
      <c r="A30" s="12" t="inlineStr">
        <is>
          <t>영업활동현금흐름</t>
        </is>
      </c>
      <c r="D30" t="inlineStr">
        <is>
          <t>영업활동현금흐름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45">
        <f>IFERROR(VLOOKUP($A30,subQ,MATCH(I$1,SUBQH,0),0),"")</f>
        <v/>
      </c>
      <c r="J30" s="20">
        <f>IFERROR(VLOOKUP($A30,subQ,MATCH(J$1,SUBQH,0),0),"")</f>
        <v/>
      </c>
      <c r="K30" s="20">
        <f>IFERROR(VLOOKUP($A30,subQ,MATCH(K$1,SUBQH,0),0),"")</f>
        <v/>
      </c>
      <c r="L30" s="20">
        <f>IFERROR(VLOOKUP($A30,subQ,MATCH(L$1,SUBQH,0),0),"")</f>
        <v/>
      </c>
    </row>
    <row r="31">
      <c r="A31" s="12" t="inlineStr">
        <is>
          <t>주식수</t>
        </is>
      </c>
      <c r="D31" t="inlineStr">
        <is>
          <t>유통주식수</t>
        </is>
      </c>
      <c r="E31" s="27">
        <f>IFERROR(VLOOKUP($A31,subQ,MATCH(E$1,SUBQH,0),0),"")</f>
        <v/>
      </c>
      <c r="F31" s="27">
        <f>IFERROR(VLOOKUP($A31,subQ,MATCH(F$1,SUBQH,0),0),"")</f>
        <v/>
      </c>
      <c r="G31" s="27">
        <f>IFERROR(VLOOKUP($A31,subQ,MATCH(G$1,SUBQH,0),0),"")</f>
        <v/>
      </c>
      <c r="H31" s="27">
        <f>IFERROR(VLOOKUP($A31,subQ,MATCH(H$1,SUBQH,0),0),"")</f>
        <v/>
      </c>
      <c r="I31" s="47">
        <f>IFERROR(VLOOKUP($A31,subQ,MATCH(I$1,SUBQH,0),0),"")</f>
        <v/>
      </c>
      <c r="J31" s="33">
        <f>IFERROR(VLOOKUP($A31,subQ,MATCH(J$1,SUBQH,0),0),"")</f>
        <v/>
      </c>
      <c r="K31" s="33">
        <f>IFERROR(VLOOKUP($A31,subQ,MATCH(K$1,SUBQH,0),0),"")</f>
        <v/>
      </c>
      <c r="L31" s="33">
        <f>IFERROR(VLOOKUP($A31,subQ,MATCH(L$1,SUBQH,0),0),"")</f>
        <v/>
      </c>
    </row>
    <row r="32">
      <c r="A32" s="12" t="inlineStr">
        <is>
          <t>EPS</t>
        </is>
      </c>
      <c r="D32" t="inlineStr">
        <is>
          <t>EPS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45">
        <f>IFERROR(VLOOKUP($A32,subQ,MATCH(I$1,SUBQH,0),0),"")</f>
        <v/>
      </c>
      <c r="J32" s="20">
        <f>IFERROR(VLOOKUP($A32,subQ,MATCH(J$1,SUBQH,0),0),"")</f>
        <v/>
      </c>
      <c r="K32" s="20">
        <f>IFERROR(VLOOKUP($A32,subQ,MATCH(K$1,SUBQH,0),0),"")</f>
        <v/>
      </c>
      <c r="L32" s="20">
        <f>IFERROR(VLOOKUP($A32,subQ,MATCH(L$1,SUBQH,0),0),"")</f>
        <v/>
      </c>
    </row>
    <row r="33">
      <c r="A33" s="12" t="inlineStr">
        <is>
          <t>BPS</t>
        </is>
      </c>
      <c r="D33" t="inlineStr">
        <is>
          <t>BPS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45">
        <f>IFERROR(VLOOKUP($A33,subQ,MATCH(I$1,SUBQH,0),0),"")</f>
        <v/>
      </c>
      <c r="J33" s="20">
        <f>IFERROR(VLOOKUP($A33,subQ,MATCH(J$1,SUBQH,0),0),"")</f>
        <v/>
      </c>
      <c r="K33" s="20">
        <f>IFERROR(VLOOKUP($A33,subQ,MATCH(K$1,SUBQH,0),0),"")</f>
        <v/>
      </c>
      <c r="L33" s="20">
        <f>IFERROR(VLOOKUP($A33,subQ,MATCH(L$1,SUBQH,0),0),"")</f>
        <v/>
      </c>
    </row>
    <row r="34">
      <c r="A34" s="12" t="inlineStr">
        <is>
          <t>DPS</t>
        </is>
      </c>
      <c r="D34" t="inlineStr">
        <is>
          <t>DPS(보통주)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45">
        <f>IFERROR(VLOOKUP($A34,subQ,MATCH(I$1,SUBQH,0),0),"")</f>
        <v/>
      </c>
      <c r="J34" s="20">
        <f>IFERROR(VLOOKUP($A34,subQ,MATCH(J$1,SUBQH,0),0),"")</f>
        <v/>
      </c>
      <c r="K34" s="20">
        <f>IFERROR(VLOOKUP($A34,subQ,MATCH(K$1,SUBQH,0),0),"")</f>
        <v/>
      </c>
      <c r="L34" s="20">
        <f>IFERROR(VLOOKUP($A34,subQ,MATCH(L$1,SUBQH,0),0),"")</f>
        <v/>
      </c>
    </row>
    <row r="35">
      <c r="A35" s="12" t="inlineStr">
        <is>
          <t>PER</t>
        </is>
      </c>
      <c r="D35" t="inlineStr">
        <is>
          <t>PER</t>
        </is>
      </c>
      <c r="E35" s="13">
        <f>IFERROR(VLOOKUP($A35,subQ,MATCH(E$1,SUBQH,0),0),"")</f>
        <v/>
      </c>
      <c r="F35" s="13">
        <f>IFERROR(VLOOKUP($A35,subQ,MATCH(F$1,SUBQH,0),0),"")</f>
        <v/>
      </c>
      <c r="G35" s="13">
        <f>IFERROR(VLOOKUP($A35,subQ,MATCH(G$1,SUBQH,0),0),"")</f>
        <v/>
      </c>
      <c r="H35" s="13">
        <f>IFERROR(VLOOKUP($A35,subQ,MATCH(H$1,SUBQH,0),0),"")</f>
        <v/>
      </c>
      <c r="I35" s="48">
        <f>IFERROR(VLOOKUP($A35,subQ,MATCH(I$1,SUBQH,0),0),"")</f>
        <v/>
      </c>
      <c r="J35" s="39">
        <f>IFERROR(VLOOKUP($A35,subQ,MATCH(J$1,SUBQH,0),0),"")</f>
        <v/>
      </c>
      <c r="K35" s="39">
        <f>IFERROR(VLOOKUP($A35,subQ,MATCH(K$1,SUBQH,0),0),"")</f>
        <v/>
      </c>
      <c r="L35" s="39">
        <f>IFERROR(VLOOKUP($A35,subQ,MATCH(L$1,SUBQH,0),0),"")</f>
        <v/>
      </c>
    </row>
    <row r="36">
      <c r="A36" s="12" t="inlineStr">
        <is>
          <t>PBR</t>
        </is>
      </c>
      <c r="D36" t="inlineStr">
        <is>
          <t>PBR</t>
        </is>
      </c>
      <c r="E36" s="13">
        <f>IFERROR(VLOOKUP($A36,subQ,MATCH(E$1,SUBQH,0),0),"")</f>
        <v/>
      </c>
      <c r="F36" s="13">
        <f>IFERROR(VLOOKUP($A36,subQ,MATCH(F$1,SUBQH,0),0),"")</f>
        <v/>
      </c>
      <c r="G36" s="13">
        <f>IFERROR(VLOOKUP($A36,subQ,MATCH(G$1,SUBQH,0),0),"")</f>
        <v/>
      </c>
      <c r="H36" s="13">
        <f>IFERROR(VLOOKUP($A36,subQ,MATCH(H$1,SUBQH,0),0),"")</f>
        <v/>
      </c>
      <c r="I36" s="48">
        <f>IFERROR(VLOOKUP($A36,subQ,MATCH(I$1,SUBQH,0),0),"")</f>
        <v/>
      </c>
      <c r="J36" s="39">
        <f>IFERROR(VLOOKUP($A36,subQ,MATCH(J$1,SUBQH,0),0),"")</f>
        <v/>
      </c>
      <c r="K36" s="39">
        <f>IFERROR(VLOOKUP($A36,subQ,MATCH(K$1,SUBQH,0),0),"")</f>
        <v/>
      </c>
      <c r="L36" s="39">
        <f>IFERROR(VLOOKUP($A36,subQ,MATCH(L$1,SUBQH,0),0),"")</f>
        <v/>
      </c>
    </row>
    <row r="37">
      <c r="A37" s="12" t="inlineStr">
        <is>
          <t>매출전사</t>
        </is>
      </c>
      <c r="D37" t="inlineStr">
        <is>
          <t>매출 전사(부문 미분리)</t>
        </is>
      </c>
      <c r="E37" s="18">
        <f>IFERROR(VLOOKUP($A37,subQ,MATCH(E$1,SUBQH,0),0),"")</f>
        <v/>
      </c>
      <c r="F37" s="18">
        <f>IFERROR(VLOOKUP($A37,subQ,MATCH(F$1,SUBQH,0),0),"")</f>
        <v/>
      </c>
      <c r="G37" s="18">
        <f>IFERROR(VLOOKUP($A37,subQ,MATCH(G$1,SUBQH,0),0),"")</f>
        <v/>
      </c>
      <c r="H37" s="18">
        <f>IFERROR(VLOOKUP($A37,subQ,MATCH(H$1,SUBQH,0),0),"")</f>
        <v/>
      </c>
      <c r="I37" s="45">
        <f>IFERROR(VLOOKUP($A37,subQ,MATCH(I$1,SUBQH,0),0),"")</f>
        <v/>
      </c>
      <c r="J37" s="20">
        <f>IFERROR(VLOOKUP($A37,subQ,MATCH(J$1,SUBQH,0),0),"")</f>
        <v/>
      </c>
      <c r="K37" s="20">
        <f>IFERROR(VLOOKUP($A37,subQ,MATCH(K$1,SUBQH,0),0),"")</f>
        <v/>
      </c>
      <c r="L37" s="20">
        <f>IFERROR(VLOOKUP($A37,subQ,MATCH(L$1,SUBQH,0),0),"")</f>
        <v/>
      </c>
    </row>
    <row r="38">
      <c r="A38" s="12" t="inlineStr">
        <is>
          <t>OP전사</t>
        </is>
      </c>
      <c r="D38" t="inlineStr">
        <is>
          <t>OP 전사(부문 미분리)</t>
        </is>
      </c>
      <c r="E38" s="18">
        <f>IFERROR(VLOOKUP($A38,subQ,MATCH(E$1,SUBQH,0),0),"")</f>
        <v/>
      </c>
      <c r="F38" s="18">
        <f>IFERROR(VLOOKUP($A38,subQ,MATCH(F$1,SUBQH,0),0),"")</f>
        <v/>
      </c>
      <c r="G38" s="18">
        <f>IFERROR(VLOOKUP($A38,subQ,MATCH(G$1,SUBQH,0),0),"")</f>
        <v/>
      </c>
      <c r="H38" s="18">
        <f>IFERROR(VLOOKUP($A38,subQ,MATCH(H$1,SUBQH,0),0),"")</f>
        <v/>
      </c>
      <c r="I38" s="45">
        <f>IFERROR(VLOOKUP($A38,subQ,MATCH(I$1,SUBQH,0),0),"")</f>
        <v/>
      </c>
      <c r="J38" s="20">
        <f>IFERROR(VLOOKUP($A38,subQ,MATCH(J$1,SUBQH,0),0),"")</f>
        <v/>
      </c>
      <c r="K38" s="20">
        <f>IFERROR(VLOOKUP($A38,subQ,MATCH(K$1,SUBQH,0),0),"")</f>
        <v/>
      </c>
      <c r="L38" s="20">
        <f>IFERROR(VLOOKUP($A38,subQ,MATCH(L$1,SUBQH,0),0),"")</f>
        <v/>
      </c>
    </row>
    <row r="39">
      <c r="A39" s="12" t="inlineStr">
        <is>
          <t>NPM</t>
        </is>
      </c>
      <c r="D39" t="inlineStr">
        <is>
          <t>NPM</t>
        </is>
      </c>
      <c r="E39" s="21">
        <f>IFERROR(VLOOKUP($A39,subQ,MATCH(E$1,SUBQH,0),0),"")</f>
        <v/>
      </c>
      <c r="F39" s="21">
        <f>IFERROR(VLOOKUP($A39,subQ,MATCH(F$1,SUBQH,0),0),"")</f>
        <v/>
      </c>
      <c r="G39" s="21">
        <f>IFERROR(VLOOKUP($A39,subQ,MATCH(G$1,SUBQH,0),0),"")</f>
        <v/>
      </c>
      <c r="H39" s="21">
        <f>IFERROR(VLOOKUP($A39,subQ,MATCH(H$1,SUBQH,0),0),"")</f>
        <v/>
      </c>
      <c r="I39" s="46">
        <f>IFERROR(VLOOKUP($A39,subQ,MATCH(I$1,SUBQH,0),0),"")</f>
        <v/>
      </c>
      <c r="J39" s="32">
        <f>IFERROR(VLOOKUP($A39,subQ,MATCH(J$1,SUBQH,0),0),"")</f>
        <v/>
      </c>
      <c r="K39" s="32">
        <f>IFERROR(VLOOKUP($A39,subQ,MATCH(K$1,SUBQH,0),0),"")</f>
        <v/>
      </c>
      <c r="L39" s="32">
        <f>IFERROR(VLOOKUP($A39,subQ,MATCH(L$1,SUBQH,0),0),"")</f>
        <v/>
      </c>
    </row>
    <row r="40">
      <c r="A40" s="12" t="inlineStr">
        <is>
          <t>매출액 YoY</t>
        </is>
      </c>
      <c r="D40" t="inlineStr">
        <is>
          <t>매출액 YoY</t>
        </is>
      </c>
      <c r="F40" s="21">
        <f>IFERROR(F5/E5-1,"")</f>
        <v/>
      </c>
      <c r="G40" s="21">
        <f>IFERROR(G5/F5-1,"")</f>
        <v/>
      </c>
      <c r="H40" s="21">
        <f>IFERROR(H5/G5-1,"")</f>
        <v/>
      </c>
      <c r="I40" s="46">
        <f>IFERROR(I5/H5-1,"")</f>
        <v/>
      </c>
      <c r="J40" s="32">
        <f>IFERROR(J5/I5-1,"")</f>
        <v/>
      </c>
      <c r="K40" s="32">
        <f>IFERROR(K5/J5-1,"")</f>
        <v/>
      </c>
      <c r="L40" s="32">
        <f>IFERROR(L5/K5-1,"")</f>
        <v/>
      </c>
    </row>
    <row r="41">
      <c r="A41" s="12" t="inlineStr">
        <is>
          <t>영업이익 YoY</t>
        </is>
      </c>
      <c r="D41" t="inlineStr">
        <is>
          <t>영업이익 YoY</t>
        </is>
      </c>
      <c r="F41" s="21">
        <f>IFERROR(F9/E9-1,"")</f>
        <v/>
      </c>
      <c r="G41" s="21">
        <f>IFERROR(G9/F9-1,"")</f>
        <v/>
      </c>
      <c r="H41" s="21">
        <f>IFERROR(H9/G9-1,"")</f>
        <v/>
      </c>
      <c r="I41" s="46">
        <f>IFERROR(I9/H9-1,"")</f>
        <v/>
      </c>
      <c r="J41" s="32">
        <f>IFERROR(J9/I9-1,"")</f>
        <v/>
      </c>
      <c r="K41" s="32">
        <f>IFERROR(K9/J9-1,"")</f>
        <v/>
      </c>
      <c r="L41" s="32">
        <f>IFERROR(L9/K9-1,"")</f>
        <v/>
      </c>
    </row>
    <row r="42">
      <c r="A42" s="12" t="inlineStr">
        <is>
          <t>지배주주순이익 YoY</t>
        </is>
      </c>
      <c r="D42" t="inlineStr">
        <is>
          <t>지배주주순이익 YoY</t>
        </is>
      </c>
      <c r="F42" s="21">
        <f>IFERROR(F20/E20-1,"")</f>
        <v/>
      </c>
      <c r="G42" s="21">
        <f>IFERROR(G20/F20-1,"")</f>
        <v/>
      </c>
      <c r="H42" s="21">
        <f>IFERROR(H20/G20-1,"")</f>
        <v/>
      </c>
      <c r="I42" s="46">
        <f>IFERROR(I20/H20-1,"")</f>
        <v/>
      </c>
      <c r="J42" s="32">
        <f>IFERROR(J20/I20-1,"")</f>
        <v/>
      </c>
      <c r="K42" s="32">
        <f>IFERROR(K20/J20-1,"")</f>
        <v/>
      </c>
      <c r="L42" s="32">
        <f>IFERROR(L20/K20-1,"")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변수!D43</f>
        <v/>
      </c>
    </row>
    <row r="2">
      <c r="B2" s="1" t="inlineStr">
        <is>
          <t>기준일</t>
        </is>
      </c>
      <c r="C2">
        <f>변수!D44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49" t="n">
        <v>2025</v>
      </c>
      <c r="E5" s="49" t="n">
        <v>2026</v>
      </c>
      <c r="F5" s="49" t="n">
        <v>2027</v>
      </c>
      <c r="G5" s="49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21">
        <f>IFERROR(E7/D8,"")</f>
        <v/>
      </c>
      <c r="F11" s="21">
        <f>IFERROR(F7/E8,"")</f>
        <v/>
      </c>
      <c r="G11" s="21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IFERROR(E7*변수!D49+F7*(1-변수!D49),"")</f>
        <v/>
      </c>
    </row>
    <row r="15">
      <c r="C15" t="inlineStr">
        <is>
          <t>적정가치 @PER_lo</t>
        </is>
      </c>
      <c r="D15" s="27">
        <f>변수!D46</f>
        <v/>
      </c>
      <c r="E15" s="18">
        <f>IFERROR(ROUND($D$14*D15,-2),"")</f>
        <v/>
      </c>
      <c r="F15" s="21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7">
        <f>변수!D47</f>
        <v/>
      </c>
      <c r="E16" s="18">
        <f>IFERROR(ROUND($D$14*D16,-2),"")</f>
        <v/>
      </c>
      <c r="F16" s="21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7">
        <f>변수!D48</f>
        <v/>
      </c>
      <c r="E17" s="18">
        <f>IFERROR(ROUND($D$14*D17,-2),"")</f>
        <v/>
      </c>
      <c r="F17" s="21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7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21">
        <f>IFERROR($D$14/$D$21,"")</f>
        <v/>
      </c>
    </row>
    <row r="23">
      <c r="C23" t="inlineStr">
        <is>
          <t>COE</t>
        </is>
      </c>
      <c r="D23" s="21">
        <f>변수!D45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21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602.7</v>
      </c>
    </row>
    <row r="30">
      <c r="C30" s="2" t="inlineStr">
        <is>
          <t>bps_latest</t>
        </is>
      </c>
      <c r="D30" t="n">
        <v>20913.7</v>
      </c>
    </row>
    <row r="31">
      <c r="C31" s="2" t="inlineStr">
        <is>
          <t>per_now</t>
        </is>
      </c>
      <c r="D31" t="n">
        <v>9.23</v>
      </c>
    </row>
    <row r="32">
      <c r="C32" s="2" t="inlineStr">
        <is>
          <t>pbr_now</t>
        </is>
      </c>
      <c r="D32" t="n">
        <v>0.27</v>
      </c>
    </row>
    <row r="33">
      <c r="C33" s="2" t="inlineStr">
        <is>
          <t>roe_fwd</t>
        </is>
      </c>
      <c r="D33" t="n">
        <v>0.0288</v>
      </c>
    </row>
    <row r="34">
      <c r="C34" s="2" t="inlineStr">
        <is>
          <t>fair_pbr</t>
        </is>
      </c>
      <c r="D34" t="n">
        <v>0.32</v>
      </c>
    </row>
    <row r="35">
      <c r="C35" s="2" t="inlineStr">
        <is>
          <t>fair_value_pbr</t>
        </is>
      </c>
      <c r="D35" t="n">
        <v>6700</v>
      </c>
    </row>
    <row r="36">
      <c r="C36" s="2" t="inlineStr">
        <is>
          <t>ev_ebitda</t>
        </is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외화QH — 환율 QoQ · 외화 순노출 × Δ기말환율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3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7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13">
        <f>IFERROR(VLOOKUP($D5,환율,MATCH(J$1,변수H,0),0),"")</f>
        <v/>
      </c>
      <c r="K5" s="13">
        <f>IFERROR(VLOOKUP($D5,환율,MATCH(K$1,변수H,0),0),"")</f>
        <v/>
      </c>
      <c r="L5" s="13">
        <f>IFERROR(VLOOKUP($D5,환율,MATCH(L$1,변수H,0),0),"")</f>
        <v/>
      </c>
      <c r="M5" s="13">
        <f>IFERROR(VLOOKUP($D5,환율,MATCH(M$1,변수H,0),0),"")</f>
        <v/>
      </c>
      <c r="N5" s="13">
        <f>IFERROR(VLOOKUP($D5,환율,MATCH(N$1,변수H,0),0),"")</f>
        <v/>
      </c>
      <c r="O5" s="13">
        <f>IFERROR(VLOOKUP($D5,환율,MATCH(O$1,변수H,0),0),"")</f>
        <v/>
      </c>
      <c r="P5" s="13">
        <f>IFERROR(VLOOKUP($D5,환율,MATCH(P$1,변수H,0),0),"")</f>
        <v/>
      </c>
      <c r="Q5" s="13">
        <f>IFERROR(VLOOKUP($D5,환율,MATCH(Q$1,변수H,0),0),"")</f>
        <v/>
      </c>
      <c r="R5" s="13">
        <f>IFERROR(VLOOKUP($D5,환율,MATCH(R$1,변수H,0),0),"")</f>
        <v/>
      </c>
      <c r="S5" s="13">
        <f>IFERROR(VLOOKUP($D5,환율,MATCH(S$1,변수H,0),0),"")</f>
        <v/>
      </c>
      <c r="T5" s="13">
        <f>IFERROR(VLOOKUP($D5,환율,MATCH(T$1,변수H,0),0),"")</f>
        <v/>
      </c>
      <c r="U5" s="13">
        <f>IFERROR(VLOOKUP($D5,환율,MATCH(U$1,변수H,0),0),"")</f>
        <v/>
      </c>
      <c r="V5" s="13">
        <f>IFERROR(VLOOKUP($D5,환율,MATCH(V$1,변수H,0),0),"")</f>
        <v/>
      </c>
      <c r="W5" s="13">
        <f>IFERROR(VLOOKUP($D5,환율,MATCH(W$1,변수H,0),0),"")</f>
        <v/>
      </c>
      <c r="X5" s="39">
        <f>IFERROR(VLOOKUP($D5,환율,MATCH(X$1,변수H,0),0),"")</f>
        <v/>
      </c>
      <c r="Y5" s="39">
        <f>IFERROR(VLOOKUP($D5,환율,MATCH(Y$1,변수H,0),0),"")</f>
        <v/>
      </c>
      <c r="Z5" s="39">
        <f>IFERROR(VLOOKUP($D5,환율,MATCH(Z$1,변수H,0),0),"")</f>
        <v/>
      </c>
      <c r="AA5" s="39">
        <f>IFERROR(VLOOKUP($D5,환율,MATCH(AA$1,변수H,0),0),"")</f>
        <v/>
      </c>
      <c r="AB5" s="39">
        <f>IFERROR(VLOOKUP($D5,환율,MATCH(AB$1,변수H,0),0),"")</f>
        <v/>
      </c>
      <c r="AC5" s="39">
        <f>IFERROR(VLOOKUP($D5,환율,MATCH(AC$1,변수H,0),0),"")</f>
        <v/>
      </c>
      <c r="AD5" s="39">
        <f>IFERROR(VLOOKUP($D5,환율,MATCH(AD$1,변수H,0),0),"")</f>
        <v/>
      </c>
      <c r="AE5" s="39">
        <f>IFERROR(VLOOKUP($D5,환율,MATCH(AE$1,변수H,0),0),"")</f>
        <v/>
      </c>
      <c r="AF5" s="39">
        <f>IFERROR(VLOOKUP($D5,환율,MATCH(AF$1,변수H,0),0),"")</f>
        <v/>
      </c>
      <c r="AG5" s="39">
        <f>IFERROR(VLOOKUP($D5,환율,MATCH(AG$1,변수H,0),0),"")</f>
        <v/>
      </c>
    </row>
    <row r="6">
      <c r="A6" s="12" t="inlineStr">
        <is>
          <t>원/달러(평균) QoQ</t>
        </is>
      </c>
      <c r="F6" s="21">
        <f>IFERROR(F5/E5-1,"")</f>
        <v/>
      </c>
      <c r="G6" s="21">
        <f>IFERROR(G5/F5-1,"")</f>
        <v/>
      </c>
      <c r="H6" s="21">
        <f>IFERROR(H5/G5-1,"")</f>
        <v/>
      </c>
      <c r="I6" s="21">
        <f>IFERROR(I5/H5-1,"")</f>
        <v/>
      </c>
      <c r="J6" s="21">
        <f>IFERROR(J5/I5-1,"")</f>
        <v/>
      </c>
      <c r="K6" s="21">
        <f>IFERROR(K5/J5-1,"")</f>
        <v/>
      </c>
      <c r="L6" s="21">
        <f>IFERROR(L5/K5-1,"")</f>
        <v/>
      </c>
      <c r="M6" s="21">
        <f>IFERROR(M5/L5-1,"")</f>
        <v/>
      </c>
      <c r="N6" s="21">
        <f>IFERROR(N5/M5-1,"")</f>
        <v/>
      </c>
      <c r="O6" s="21">
        <f>IFERROR(O5/N5-1,"")</f>
        <v/>
      </c>
      <c r="P6" s="21">
        <f>IFERROR(P5/O5-1,"")</f>
        <v/>
      </c>
      <c r="Q6" s="21">
        <f>IFERROR(Q5/P5-1,"")</f>
        <v/>
      </c>
      <c r="R6" s="21">
        <f>IFERROR(R5/Q5-1,"")</f>
        <v/>
      </c>
      <c r="S6" s="21">
        <f>IFERROR(S5/R5-1,"")</f>
        <v/>
      </c>
      <c r="T6" s="21">
        <f>IFERROR(T5/S5-1,"")</f>
        <v/>
      </c>
      <c r="U6" s="21">
        <f>IFERROR(U5/T5-1,"")</f>
        <v/>
      </c>
      <c r="V6" s="21">
        <f>IFERROR(V5/U5-1,"")</f>
        <v/>
      </c>
      <c r="W6" s="21">
        <f>IFERROR(W5/V5-1,"")</f>
        <v/>
      </c>
      <c r="X6" s="32">
        <f>IFERROR(X5/W5-1,"")</f>
        <v/>
      </c>
      <c r="Y6" s="32">
        <f>IFERROR(Y5/X5-1,"")</f>
        <v/>
      </c>
      <c r="Z6" s="32">
        <f>IFERROR(Z5/Y5-1,"")</f>
        <v/>
      </c>
      <c r="AA6" s="32">
        <f>IFERROR(AA5/Z5-1,"")</f>
        <v/>
      </c>
      <c r="AB6" s="32">
        <f>IFERROR(AB5/AA5-1,"")</f>
        <v/>
      </c>
      <c r="AC6" s="32">
        <f>IFERROR(AC5/AB5-1,"")</f>
        <v/>
      </c>
      <c r="AD6" s="32">
        <f>IFERROR(AD5/AC5-1,"")</f>
        <v/>
      </c>
      <c r="AE6" s="32">
        <f>IFERROR(AE5/AD5-1,"")</f>
        <v/>
      </c>
      <c r="AF6" s="32">
        <f>IFERROR(AF5/AE5-1,"")</f>
        <v/>
      </c>
      <c r="AG6" s="32">
        <f>IFERROR(AG5/AF5-1,"")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13">
        <f>IFERROR(VLOOKUP($D7,환율,MATCH(J$1,변수H,0),0),"")</f>
        <v/>
      </c>
      <c r="K7" s="13">
        <f>IFERROR(VLOOKUP($D7,환율,MATCH(K$1,변수H,0),0),"")</f>
        <v/>
      </c>
      <c r="L7" s="13">
        <f>IFERROR(VLOOKUP($D7,환율,MATCH(L$1,변수H,0),0),"")</f>
        <v/>
      </c>
      <c r="M7" s="13">
        <f>IFERROR(VLOOKUP($D7,환율,MATCH(M$1,변수H,0),0),"")</f>
        <v/>
      </c>
      <c r="N7" s="13">
        <f>IFERROR(VLOOKUP($D7,환율,MATCH(N$1,변수H,0),0),"")</f>
        <v/>
      </c>
      <c r="O7" s="13">
        <f>IFERROR(VLOOKUP($D7,환율,MATCH(O$1,변수H,0),0),"")</f>
        <v/>
      </c>
      <c r="P7" s="13">
        <f>IFERROR(VLOOKUP($D7,환율,MATCH(P$1,변수H,0),0),"")</f>
        <v/>
      </c>
      <c r="Q7" s="13">
        <f>IFERROR(VLOOKUP($D7,환율,MATCH(Q$1,변수H,0),0),"")</f>
        <v/>
      </c>
      <c r="R7" s="13">
        <f>IFERROR(VLOOKUP($D7,환율,MATCH(R$1,변수H,0),0),"")</f>
        <v/>
      </c>
      <c r="S7" s="13">
        <f>IFERROR(VLOOKUP($D7,환율,MATCH(S$1,변수H,0),0),"")</f>
        <v/>
      </c>
      <c r="T7" s="13">
        <f>IFERROR(VLOOKUP($D7,환율,MATCH(T$1,변수H,0),0),"")</f>
        <v/>
      </c>
      <c r="U7" s="13">
        <f>IFERROR(VLOOKUP($D7,환율,MATCH(U$1,변수H,0),0),"")</f>
        <v/>
      </c>
      <c r="V7" s="13">
        <f>IFERROR(VLOOKUP($D7,환율,MATCH(V$1,변수H,0),0),"")</f>
        <v/>
      </c>
      <c r="W7" s="13">
        <f>IFERROR(VLOOKUP($D7,환율,MATCH(W$1,변수H,0),0),"")</f>
        <v/>
      </c>
      <c r="X7" s="39">
        <f>IFERROR(VLOOKUP($D7,환율,MATCH(X$1,변수H,0),0),"")</f>
        <v/>
      </c>
      <c r="Y7" s="39">
        <f>IFERROR(VLOOKUP($D7,환율,MATCH(Y$1,변수H,0),0),"")</f>
        <v/>
      </c>
      <c r="Z7" s="39">
        <f>IFERROR(VLOOKUP($D7,환율,MATCH(Z$1,변수H,0),0),"")</f>
        <v/>
      </c>
      <c r="AA7" s="39">
        <f>IFERROR(VLOOKUP($D7,환율,MATCH(AA$1,변수H,0),0),"")</f>
        <v/>
      </c>
      <c r="AB7" s="39">
        <f>IFERROR(VLOOKUP($D7,환율,MATCH(AB$1,변수H,0),0),"")</f>
        <v/>
      </c>
      <c r="AC7" s="39">
        <f>IFERROR(VLOOKUP($D7,환율,MATCH(AC$1,변수H,0),0),"")</f>
        <v/>
      </c>
      <c r="AD7" s="39">
        <f>IFERROR(VLOOKUP($D7,환율,MATCH(AD$1,변수H,0),0),"")</f>
        <v/>
      </c>
      <c r="AE7" s="39">
        <f>IFERROR(VLOOKUP($D7,환율,MATCH(AE$1,변수H,0),0),"")</f>
        <v/>
      </c>
      <c r="AF7" s="39">
        <f>IFERROR(VLOOKUP($D7,환율,MATCH(AF$1,변수H,0),0),"")</f>
        <v/>
      </c>
      <c r="AG7" s="39">
        <f>IFERROR(VLOOKUP($D7,환율,MATCH(AG$1,변수H,0),0),"")</f>
        <v/>
      </c>
    </row>
    <row r="8">
      <c r="A8" s="12" t="inlineStr">
        <is>
          <t>원/달러(기말) QoQ</t>
        </is>
      </c>
      <c r="F8" s="21">
        <f>IFERROR(F7/E7-1,"")</f>
        <v/>
      </c>
      <c r="G8" s="21">
        <f>IFERROR(G7/F7-1,"")</f>
        <v/>
      </c>
      <c r="H8" s="21">
        <f>IFERROR(H7/G7-1,"")</f>
        <v/>
      </c>
      <c r="I8" s="21">
        <f>IFERROR(I7/H7-1,"")</f>
        <v/>
      </c>
      <c r="J8" s="21">
        <f>IFERROR(J7/I7-1,"")</f>
        <v/>
      </c>
      <c r="K8" s="21">
        <f>IFERROR(K7/J7-1,"")</f>
        <v/>
      </c>
      <c r="L8" s="21">
        <f>IFERROR(L7/K7-1,"")</f>
        <v/>
      </c>
      <c r="M8" s="21">
        <f>IFERROR(M7/L7-1,"")</f>
        <v/>
      </c>
      <c r="N8" s="21">
        <f>IFERROR(N7/M7-1,"")</f>
        <v/>
      </c>
      <c r="O8" s="21">
        <f>IFERROR(O7/N7-1,"")</f>
        <v/>
      </c>
      <c r="P8" s="21">
        <f>IFERROR(P7/O7-1,"")</f>
        <v/>
      </c>
      <c r="Q8" s="21">
        <f>IFERROR(Q7/P7-1,"")</f>
        <v/>
      </c>
      <c r="R8" s="21">
        <f>IFERROR(R7/Q7-1,"")</f>
        <v/>
      </c>
      <c r="S8" s="21">
        <f>IFERROR(S7/R7-1,"")</f>
        <v/>
      </c>
      <c r="T8" s="21">
        <f>IFERROR(T7/S7-1,"")</f>
        <v/>
      </c>
      <c r="U8" s="21">
        <f>IFERROR(U7/T7-1,"")</f>
        <v/>
      </c>
      <c r="V8" s="21">
        <f>IFERROR(V7/U7-1,"")</f>
        <v/>
      </c>
      <c r="W8" s="21">
        <f>IFERROR(W7/V7-1,"")</f>
        <v/>
      </c>
      <c r="X8" s="32">
        <f>IFERROR(X7/W7-1,"")</f>
        <v/>
      </c>
      <c r="Y8" s="32">
        <f>IFERROR(Y7/X7-1,"")</f>
        <v/>
      </c>
      <c r="Z8" s="32">
        <f>IFERROR(Z7/Y7-1,"")</f>
        <v/>
      </c>
      <c r="AA8" s="32">
        <f>IFERROR(AA7/Z7-1,"")</f>
        <v/>
      </c>
      <c r="AB8" s="32">
        <f>IFERROR(AB7/AA7-1,"")</f>
        <v/>
      </c>
      <c r="AC8" s="32">
        <f>IFERROR(AC7/AB7-1,"")</f>
        <v/>
      </c>
      <c r="AD8" s="32">
        <f>IFERROR(AD7/AC7-1,"")</f>
        <v/>
      </c>
      <c r="AE8" s="32">
        <f>IFERROR(AE7/AD7-1,"")</f>
        <v/>
      </c>
      <c r="AF8" s="32">
        <f>IFERROR(AF7/AE7-1,"")</f>
        <v/>
      </c>
      <c r="AG8" s="32">
        <f>IFERROR(AG7/AF7-1,"")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13">
        <f>IFERROR(VLOOKUP($D9,환율,MATCH(J$1,변수H,0),0),"")</f>
        <v/>
      </c>
      <c r="K9" s="13">
        <f>IFERROR(VLOOKUP($D9,환율,MATCH(K$1,변수H,0),0),"")</f>
        <v/>
      </c>
      <c r="L9" s="13">
        <f>IFERROR(VLOOKUP($D9,환율,MATCH(L$1,변수H,0),0),"")</f>
        <v/>
      </c>
      <c r="M9" s="13">
        <f>IFERROR(VLOOKUP($D9,환율,MATCH(M$1,변수H,0),0),"")</f>
        <v/>
      </c>
      <c r="N9" s="13">
        <f>IFERROR(VLOOKUP($D9,환율,MATCH(N$1,변수H,0),0),"")</f>
        <v/>
      </c>
      <c r="O9" s="13">
        <f>IFERROR(VLOOKUP($D9,환율,MATCH(O$1,변수H,0),0),"")</f>
        <v/>
      </c>
      <c r="P9" s="13">
        <f>IFERROR(VLOOKUP($D9,환율,MATCH(P$1,변수H,0),0),"")</f>
        <v/>
      </c>
      <c r="Q9" s="13">
        <f>IFERROR(VLOOKUP($D9,환율,MATCH(Q$1,변수H,0),0),"")</f>
        <v/>
      </c>
      <c r="R9" s="13">
        <f>IFERROR(VLOOKUP($D9,환율,MATCH(R$1,변수H,0),0),"")</f>
        <v/>
      </c>
      <c r="S9" s="13">
        <f>IFERROR(VLOOKUP($D9,환율,MATCH(S$1,변수H,0),0),"")</f>
        <v/>
      </c>
      <c r="T9" s="13">
        <f>IFERROR(VLOOKUP($D9,환율,MATCH(T$1,변수H,0),0),"")</f>
        <v/>
      </c>
      <c r="U9" s="13">
        <f>IFERROR(VLOOKUP($D9,환율,MATCH(U$1,변수H,0),0),"")</f>
        <v/>
      </c>
      <c r="V9" s="13">
        <f>IFERROR(VLOOKUP($D9,환율,MATCH(V$1,변수H,0),0),"")</f>
        <v/>
      </c>
      <c r="W9" s="13">
        <f>IFERROR(VLOOKUP($D9,환율,MATCH(W$1,변수H,0),0),"")</f>
        <v/>
      </c>
      <c r="X9" s="39">
        <f>IFERROR(VLOOKUP($D9,환율,MATCH(X$1,변수H,0),0),"")</f>
        <v/>
      </c>
      <c r="Y9" s="39">
        <f>IFERROR(VLOOKUP($D9,환율,MATCH(Y$1,변수H,0),0),"")</f>
        <v/>
      </c>
      <c r="Z9" s="39">
        <f>IFERROR(VLOOKUP($D9,환율,MATCH(Z$1,변수H,0),0),"")</f>
        <v/>
      </c>
      <c r="AA9" s="39">
        <f>IFERROR(VLOOKUP($D9,환율,MATCH(AA$1,변수H,0),0),"")</f>
        <v/>
      </c>
      <c r="AB9" s="39">
        <f>IFERROR(VLOOKUP($D9,환율,MATCH(AB$1,변수H,0),0),"")</f>
        <v/>
      </c>
      <c r="AC9" s="39">
        <f>IFERROR(VLOOKUP($D9,환율,MATCH(AC$1,변수H,0),0),"")</f>
        <v/>
      </c>
      <c r="AD9" s="39">
        <f>IFERROR(VLOOKUP($D9,환율,MATCH(AD$1,변수H,0),0),"")</f>
        <v/>
      </c>
      <c r="AE9" s="39">
        <f>IFERROR(VLOOKUP($D9,환율,MATCH(AE$1,변수H,0),0),"")</f>
        <v/>
      </c>
      <c r="AF9" s="39">
        <f>IFERROR(VLOOKUP($D9,환율,MATCH(AF$1,변수H,0),0),"")</f>
        <v/>
      </c>
      <c r="AG9" s="39">
        <f>IFERROR(VLOOKUP($D9,환율,MATCH(AG$1,변수H,0),0),"")</f>
        <v/>
      </c>
    </row>
    <row r="10">
      <c r="A10" s="12" t="inlineStr">
        <is>
          <t>W/Euro(평균) QoQ</t>
        </is>
      </c>
      <c r="F10" s="21">
        <f>IFERROR(F9/E9-1,"")</f>
        <v/>
      </c>
      <c r="G10" s="21">
        <f>IFERROR(G9/F9-1,"")</f>
        <v/>
      </c>
      <c r="H10" s="21">
        <f>IFERROR(H9/G9-1,"")</f>
        <v/>
      </c>
      <c r="I10" s="21">
        <f>IFERROR(I9/H9-1,"")</f>
        <v/>
      </c>
      <c r="J10" s="21">
        <f>IFERROR(J9/I9-1,"")</f>
        <v/>
      </c>
      <c r="K10" s="21">
        <f>IFERROR(K9/J9-1,"")</f>
        <v/>
      </c>
      <c r="L10" s="21">
        <f>IFERROR(L9/K9-1,"")</f>
        <v/>
      </c>
      <c r="M10" s="21">
        <f>IFERROR(M9/L9-1,"")</f>
        <v/>
      </c>
      <c r="N10" s="21">
        <f>IFERROR(N9/M9-1,"")</f>
        <v/>
      </c>
      <c r="O10" s="21">
        <f>IFERROR(O9/N9-1,"")</f>
        <v/>
      </c>
      <c r="P10" s="21">
        <f>IFERROR(P9/O9-1,"")</f>
        <v/>
      </c>
      <c r="Q10" s="21">
        <f>IFERROR(Q9/P9-1,"")</f>
        <v/>
      </c>
      <c r="R10" s="21">
        <f>IFERROR(R9/Q9-1,"")</f>
        <v/>
      </c>
      <c r="S10" s="21">
        <f>IFERROR(S9/R9-1,"")</f>
        <v/>
      </c>
      <c r="T10" s="21">
        <f>IFERROR(T9/S9-1,"")</f>
        <v/>
      </c>
      <c r="U10" s="21">
        <f>IFERROR(U9/T9-1,"")</f>
        <v/>
      </c>
      <c r="V10" s="21">
        <f>IFERROR(V9/U9-1,"")</f>
        <v/>
      </c>
      <c r="W10" s="21">
        <f>IFERROR(W9/V9-1,"")</f>
        <v/>
      </c>
      <c r="X10" s="32">
        <f>IFERROR(X9/W9-1,"")</f>
        <v/>
      </c>
      <c r="Y10" s="32">
        <f>IFERROR(Y9/X9-1,"")</f>
        <v/>
      </c>
      <c r="Z10" s="32">
        <f>IFERROR(Z9/Y9-1,"")</f>
        <v/>
      </c>
      <c r="AA10" s="32">
        <f>IFERROR(AA9/Z9-1,"")</f>
        <v/>
      </c>
      <c r="AB10" s="32">
        <f>IFERROR(AB9/AA9-1,"")</f>
        <v/>
      </c>
      <c r="AC10" s="32">
        <f>IFERROR(AC9/AB9-1,"")</f>
        <v/>
      </c>
      <c r="AD10" s="32">
        <f>IFERROR(AD9/AC9-1,"")</f>
        <v/>
      </c>
      <c r="AE10" s="32">
        <f>IFERROR(AE9/AD9-1,"")</f>
        <v/>
      </c>
      <c r="AF10" s="32">
        <f>IFERROR(AF9/AE9-1,"")</f>
        <v/>
      </c>
      <c r="AG10" s="32">
        <f>IFERROR(AG9/AF9-1,"")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13">
        <f>IFERROR(VLOOKUP($D11,환율,MATCH(J$1,변수H,0),0),"")</f>
        <v/>
      </c>
      <c r="K11" s="13">
        <f>IFERROR(VLOOKUP($D11,환율,MATCH(K$1,변수H,0),0),"")</f>
        <v/>
      </c>
      <c r="L11" s="13">
        <f>IFERROR(VLOOKUP($D11,환율,MATCH(L$1,변수H,0),0),"")</f>
        <v/>
      </c>
      <c r="M11" s="13">
        <f>IFERROR(VLOOKUP($D11,환율,MATCH(M$1,변수H,0),0),"")</f>
        <v/>
      </c>
      <c r="N11" s="13">
        <f>IFERROR(VLOOKUP($D11,환율,MATCH(N$1,변수H,0),0),"")</f>
        <v/>
      </c>
      <c r="O11" s="13">
        <f>IFERROR(VLOOKUP($D11,환율,MATCH(O$1,변수H,0),0),"")</f>
        <v/>
      </c>
      <c r="P11" s="13">
        <f>IFERROR(VLOOKUP($D11,환율,MATCH(P$1,변수H,0),0),"")</f>
        <v/>
      </c>
      <c r="Q11" s="13">
        <f>IFERROR(VLOOKUP($D11,환율,MATCH(Q$1,변수H,0),0),"")</f>
        <v/>
      </c>
      <c r="R11" s="13">
        <f>IFERROR(VLOOKUP($D11,환율,MATCH(R$1,변수H,0),0),"")</f>
        <v/>
      </c>
      <c r="S11" s="13">
        <f>IFERROR(VLOOKUP($D11,환율,MATCH(S$1,변수H,0),0),"")</f>
        <v/>
      </c>
      <c r="T11" s="13">
        <f>IFERROR(VLOOKUP($D11,환율,MATCH(T$1,변수H,0),0),"")</f>
        <v/>
      </c>
      <c r="U11" s="13">
        <f>IFERROR(VLOOKUP($D11,환율,MATCH(U$1,변수H,0),0),"")</f>
        <v/>
      </c>
      <c r="V11" s="13">
        <f>IFERROR(VLOOKUP($D11,환율,MATCH(V$1,변수H,0),0),"")</f>
        <v/>
      </c>
      <c r="W11" s="13">
        <f>IFERROR(VLOOKUP($D11,환율,MATCH(W$1,변수H,0),0),"")</f>
        <v/>
      </c>
      <c r="X11" s="39">
        <f>IFERROR(VLOOKUP($D11,환율,MATCH(X$1,변수H,0),0),"")</f>
        <v/>
      </c>
      <c r="Y11" s="39">
        <f>IFERROR(VLOOKUP($D11,환율,MATCH(Y$1,변수H,0),0),"")</f>
        <v/>
      </c>
      <c r="Z11" s="39">
        <f>IFERROR(VLOOKUP($D11,환율,MATCH(Z$1,변수H,0),0),"")</f>
        <v/>
      </c>
      <c r="AA11" s="39">
        <f>IFERROR(VLOOKUP($D11,환율,MATCH(AA$1,변수H,0),0),"")</f>
        <v/>
      </c>
      <c r="AB11" s="39">
        <f>IFERROR(VLOOKUP($D11,환율,MATCH(AB$1,변수H,0),0),"")</f>
        <v/>
      </c>
      <c r="AC11" s="39">
        <f>IFERROR(VLOOKUP($D11,환율,MATCH(AC$1,변수H,0),0),"")</f>
        <v/>
      </c>
      <c r="AD11" s="39">
        <f>IFERROR(VLOOKUP($D11,환율,MATCH(AD$1,변수H,0),0),"")</f>
        <v/>
      </c>
      <c r="AE11" s="39">
        <f>IFERROR(VLOOKUP($D11,환율,MATCH(AE$1,변수H,0),0),"")</f>
        <v/>
      </c>
      <c r="AF11" s="39">
        <f>IFERROR(VLOOKUP($D11,환율,MATCH(AF$1,변수H,0),0),"")</f>
        <v/>
      </c>
      <c r="AG11" s="39">
        <f>IFERROR(VLOOKUP($D11,환율,MATCH(AG$1,변수H,0),0),"")</f>
        <v/>
      </c>
    </row>
    <row r="12">
      <c r="A12" s="12" t="inlineStr">
        <is>
          <t>W/Euro(기말) QoQ</t>
        </is>
      </c>
      <c r="F12" s="21">
        <f>IFERROR(F11/E11-1,"")</f>
        <v/>
      </c>
      <c r="G12" s="21">
        <f>IFERROR(G11/F11-1,"")</f>
        <v/>
      </c>
      <c r="H12" s="21">
        <f>IFERROR(H11/G11-1,"")</f>
        <v/>
      </c>
      <c r="I12" s="21">
        <f>IFERROR(I11/H11-1,"")</f>
        <v/>
      </c>
      <c r="J12" s="21">
        <f>IFERROR(J11/I11-1,"")</f>
        <v/>
      </c>
      <c r="K12" s="21">
        <f>IFERROR(K11/J11-1,"")</f>
        <v/>
      </c>
      <c r="L12" s="21">
        <f>IFERROR(L11/K11-1,"")</f>
        <v/>
      </c>
      <c r="M12" s="21">
        <f>IFERROR(M11/L11-1,"")</f>
        <v/>
      </c>
      <c r="N12" s="21">
        <f>IFERROR(N11/M11-1,"")</f>
        <v/>
      </c>
      <c r="O12" s="21">
        <f>IFERROR(O11/N11-1,"")</f>
        <v/>
      </c>
      <c r="P12" s="21">
        <f>IFERROR(P11/O11-1,"")</f>
        <v/>
      </c>
      <c r="Q12" s="21">
        <f>IFERROR(Q11/P11-1,"")</f>
        <v/>
      </c>
      <c r="R12" s="21">
        <f>IFERROR(R11/Q11-1,"")</f>
        <v/>
      </c>
      <c r="S12" s="21">
        <f>IFERROR(S11/R11-1,"")</f>
        <v/>
      </c>
      <c r="T12" s="21">
        <f>IFERROR(T11/S11-1,"")</f>
        <v/>
      </c>
      <c r="U12" s="21">
        <f>IFERROR(U11/T11-1,"")</f>
        <v/>
      </c>
      <c r="V12" s="21">
        <f>IFERROR(V11/U11-1,"")</f>
        <v/>
      </c>
      <c r="W12" s="21">
        <f>IFERROR(W11/V11-1,"")</f>
        <v/>
      </c>
      <c r="X12" s="32">
        <f>IFERROR(X11/W11-1,"")</f>
        <v/>
      </c>
      <c r="Y12" s="32">
        <f>IFERROR(Y11/X11-1,"")</f>
        <v/>
      </c>
      <c r="Z12" s="32">
        <f>IFERROR(Z11/Y11-1,"")</f>
        <v/>
      </c>
      <c r="AA12" s="32">
        <f>IFERROR(AA11/Z11-1,"")</f>
        <v/>
      </c>
      <c r="AB12" s="32">
        <f>IFERROR(AB11/AA11-1,"")</f>
        <v/>
      </c>
      <c r="AC12" s="32">
        <f>IFERROR(AC11/AB11-1,"")</f>
        <v/>
      </c>
      <c r="AD12" s="32">
        <f>IFERROR(AD11/AC11-1,"")</f>
        <v/>
      </c>
      <c r="AE12" s="32">
        <f>IFERROR(AE11/AD11-1,"")</f>
        <v/>
      </c>
      <c r="AF12" s="32">
        <f>IFERROR(AF11/AE11-1,"")</f>
        <v/>
      </c>
      <c r="AG12" s="32">
        <f>IFERROR(AG11/AF11-1,"")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13">
        <f>IFERROR(VLOOKUP($D13,환율,MATCH(J$1,변수H,0),0),"")</f>
        <v/>
      </c>
      <c r="K13" s="13">
        <f>IFERROR(VLOOKUP($D13,환율,MATCH(K$1,변수H,0),0),"")</f>
        <v/>
      </c>
      <c r="L13" s="13">
        <f>IFERROR(VLOOKUP($D13,환율,MATCH(L$1,변수H,0),0),"")</f>
        <v/>
      </c>
      <c r="M13" s="13">
        <f>IFERROR(VLOOKUP($D13,환율,MATCH(M$1,변수H,0),0),"")</f>
        <v/>
      </c>
      <c r="N13" s="13">
        <f>IFERROR(VLOOKUP($D13,환율,MATCH(N$1,변수H,0),0),"")</f>
        <v/>
      </c>
      <c r="O13" s="13">
        <f>IFERROR(VLOOKUP($D13,환율,MATCH(O$1,변수H,0),0),"")</f>
        <v/>
      </c>
      <c r="P13" s="13">
        <f>IFERROR(VLOOKUP($D13,환율,MATCH(P$1,변수H,0),0),"")</f>
        <v/>
      </c>
      <c r="Q13" s="13">
        <f>IFERROR(VLOOKUP($D13,환율,MATCH(Q$1,변수H,0),0),"")</f>
        <v/>
      </c>
      <c r="R13" s="13">
        <f>IFERROR(VLOOKUP($D13,환율,MATCH(R$1,변수H,0),0),"")</f>
        <v/>
      </c>
      <c r="S13" s="13">
        <f>IFERROR(VLOOKUP($D13,환율,MATCH(S$1,변수H,0),0),"")</f>
        <v/>
      </c>
      <c r="T13" s="13">
        <f>IFERROR(VLOOKUP($D13,환율,MATCH(T$1,변수H,0),0),"")</f>
        <v/>
      </c>
      <c r="U13" s="13">
        <f>IFERROR(VLOOKUP($D13,환율,MATCH(U$1,변수H,0),0),"")</f>
        <v/>
      </c>
      <c r="V13" s="13">
        <f>IFERROR(VLOOKUP($D13,환율,MATCH(V$1,변수H,0),0),"")</f>
        <v/>
      </c>
      <c r="W13" s="13">
        <f>IFERROR(VLOOKUP($D13,환율,MATCH(W$1,변수H,0),0),"")</f>
        <v/>
      </c>
      <c r="X13" s="39">
        <f>IFERROR(VLOOKUP($D13,환율,MATCH(X$1,변수H,0),0),"")</f>
        <v/>
      </c>
      <c r="Y13" s="39">
        <f>IFERROR(VLOOKUP($D13,환율,MATCH(Y$1,변수H,0),0),"")</f>
        <v/>
      </c>
      <c r="Z13" s="39">
        <f>IFERROR(VLOOKUP($D13,환율,MATCH(Z$1,변수H,0),0),"")</f>
        <v/>
      </c>
      <c r="AA13" s="39">
        <f>IFERROR(VLOOKUP($D13,환율,MATCH(AA$1,변수H,0),0),"")</f>
        <v/>
      </c>
      <c r="AB13" s="39">
        <f>IFERROR(VLOOKUP($D13,환율,MATCH(AB$1,변수H,0),0),"")</f>
        <v/>
      </c>
      <c r="AC13" s="39">
        <f>IFERROR(VLOOKUP($D13,환율,MATCH(AC$1,변수H,0),0),"")</f>
        <v/>
      </c>
      <c r="AD13" s="39">
        <f>IFERROR(VLOOKUP($D13,환율,MATCH(AD$1,변수H,0),0),"")</f>
        <v/>
      </c>
      <c r="AE13" s="39">
        <f>IFERROR(VLOOKUP($D13,환율,MATCH(AE$1,변수H,0),0),"")</f>
        <v/>
      </c>
      <c r="AF13" s="39">
        <f>IFERROR(VLOOKUP($D13,환율,MATCH(AF$1,변수H,0),0),"")</f>
        <v/>
      </c>
      <c r="AG13" s="39">
        <f>IFERROR(VLOOKUP($D13,환율,MATCH(AG$1,변수H,0),0),"")</f>
        <v/>
      </c>
    </row>
    <row r="14">
      <c r="A14" s="12" t="inlineStr">
        <is>
          <t>원/100Y(기말) QoQ</t>
        </is>
      </c>
      <c r="F14" s="21">
        <f>IFERROR(F13/E13-1,"")</f>
        <v/>
      </c>
      <c r="G14" s="21">
        <f>IFERROR(G13/F13-1,"")</f>
        <v/>
      </c>
      <c r="H14" s="21">
        <f>IFERROR(H13/G13-1,"")</f>
        <v/>
      </c>
      <c r="I14" s="21">
        <f>IFERROR(I13/H13-1,"")</f>
        <v/>
      </c>
      <c r="J14" s="21">
        <f>IFERROR(J13/I13-1,"")</f>
        <v/>
      </c>
      <c r="K14" s="21">
        <f>IFERROR(K13/J13-1,"")</f>
        <v/>
      </c>
      <c r="L14" s="21">
        <f>IFERROR(L13/K13-1,"")</f>
        <v/>
      </c>
      <c r="M14" s="21">
        <f>IFERROR(M13/L13-1,"")</f>
        <v/>
      </c>
      <c r="N14" s="21">
        <f>IFERROR(N13/M13-1,"")</f>
        <v/>
      </c>
      <c r="O14" s="21">
        <f>IFERROR(O13/N13-1,"")</f>
        <v/>
      </c>
      <c r="P14" s="21">
        <f>IFERROR(P13/O13-1,"")</f>
        <v/>
      </c>
      <c r="Q14" s="21">
        <f>IFERROR(Q13/P13-1,"")</f>
        <v/>
      </c>
      <c r="R14" s="21">
        <f>IFERROR(R13/Q13-1,"")</f>
        <v/>
      </c>
      <c r="S14" s="21">
        <f>IFERROR(S13/R13-1,"")</f>
        <v/>
      </c>
      <c r="T14" s="21">
        <f>IFERROR(T13/S13-1,"")</f>
        <v/>
      </c>
      <c r="U14" s="21">
        <f>IFERROR(U13/T13-1,"")</f>
        <v/>
      </c>
      <c r="V14" s="21">
        <f>IFERROR(V13/U13-1,"")</f>
        <v/>
      </c>
      <c r="W14" s="21">
        <f>IFERROR(W13/V13-1,"")</f>
        <v/>
      </c>
      <c r="X14" s="32">
        <f>IFERROR(X13/W13-1,"")</f>
        <v/>
      </c>
      <c r="Y14" s="32">
        <f>IFERROR(Y13/X13-1,"")</f>
        <v/>
      </c>
      <c r="Z14" s="32">
        <f>IFERROR(Z13/Y13-1,"")</f>
        <v/>
      </c>
      <c r="AA14" s="32">
        <f>IFERROR(AA13/Z13-1,"")</f>
        <v/>
      </c>
      <c r="AB14" s="32">
        <f>IFERROR(AB13/AA13-1,"")</f>
        <v/>
      </c>
      <c r="AC14" s="32">
        <f>IFERROR(AC13/AB13-1,"")</f>
        <v/>
      </c>
      <c r="AD14" s="32">
        <f>IFERROR(AD13/AC13-1,"")</f>
        <v/>
      </c>
      <c r="AE14" s="32">
        <f>IFERROR(AE13/AD13-1,"")</f>
        <v/>
      </c>
      <c r="AF14" s="32">
        <f>IFERROR(AF13/AE13-1,"")</f>
        <v/>
      </c>
      <c r="AG14" s="32">
        <f>IFERROR(AG13/AF13-1,"")</f>
        <v/>
      </c>
    </row>
    <row r="15"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7">
        <f>변수!D56</f>
        <v/>
      </c>
      <c r="E16" s="2" t="inlineStr">
        <is>
          <t>외화 순노출 × Δ기말환율 (외화 시트 방식)</t>
        </is>
      </c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18">
        <f>IFERROR($D$16*(I7-H7)/100,"")</f>
        <v/>
      </c>
      <c r="J17" s="18">
        <f>IFERROR($D$16*(J7-I7)/100,"")</f>
        <v/>
      </c>
      <c r="K17" s="18">
        <f>IFERROR($D$16*(K7-J7)/100,"")</f>
        <v/>
      </c>
      <c r="L17" s="18">
        <f>IFERROR($D$16*(L7-K7)/100,"")</f>
        <v/>
      </c>
      <c r="M17" s="18">
        <f>IFERROR($D$16*(M7-L7)/100,"")</f>
        <v/>
      </c>
      <c r="N17" s="18">
        <f>IFERROR($D$16*(N7-M7)/100,"")</f>
        <v/>
      </c>
      <c r="O17" s="18">
        <f>IFERROR($D$16*(O7-N7)/100,"")</f>
        <v/>
      </c>
      <c r="P17" s="18">
        <f>IFERROR($D$16*(P7-O7)/100,"")</f>
        <v/>
      </c>
      <c r="Q17" s="18">
        <f>IFERROR($D$16*(Q7-P7)/100,"")</f>
        <v/>
      </c>
      <c r="R17" s="18">
        <f>IFERROR($D$16*(R7-Q7)/100,"")</f>
        <v/>
      </c>
      <c r="S17" s="18">
        <f>IFERROR($D$16*(S7-R7)/100,"")</f>
        <v/>
      </c>
      <c r="T17" s="18">
        <f>IFERROR($D$16*(T7-S7)/100,"")</f>
        <v/>
      </c>
      <c r="U17" s="18">
        <f>IFERROR($D$16*(U7-T7)/100,"")</f>
        <v/>
      </c>
      <c r="V17" s="18">
        <f>IFERROR($D$16*(V7-U7)/100,"")</f>
        <v/>
      </c>
      <c r="W17" s="18">
        <f>IFERROR($D$16*(W7-V7)/100,"")</f>
        <v/>
      </c>
      <c r="X17" s="20">
        <f>IFERROR($D$16*(X7-W7)/100,"")</f>
        <v/>
      </c>
      <c r="Y17" s="20">
        <f>IFERROR($D$16*(Y7-X7)/100,"")</f>
        <v/>
      </c>
      <c r="Z17" s="20">
        <f>IFERROR($D$16*(Z7-Y7)/100,"")</f>
        <v/>
      </c>
      <c r="AA17" s="20">
        <f>IFERROR($D$16*(AA7-Z7)/100,"")</f>
        <v/>
      </c>
      <c r="AB17" s="20">
        <f>IFERROR($D$16*(AB7-AA7)/100,"")</f>
        <v/>
      </c>
      <c r="AC17" s="20">
        <f>IFERROR($D$16*(AC7-AB7)/100,"")</f>
        <v/>
      </c>
      <c r="AD17" s="20">
        <f>IFERROR($D$16*(AD7-AC7)/100,"")</f>
        <v/>
      </c>
      <c r="AE17" s="20">
        <f>IFERROR($D$16*(AE7-AD7)/100,"")</f>
        <v/>
      </c>
      <c r="AF17" s="20">
        <f>IFERROR($D$16*(AF7-AE7)/100,"")</f>
        <v/>
      </c>
      <c r="AG17" s="20">
        <f>IFERROR($D$16*(AG7-AF7)/100,"")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C19" s="2" t="inlineStr">
        <is>
          <t>외화 순노출 미공시(face) → 0 + 표기</t>
        </is>
      </c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2026-10-11T00:00:00Z</dcterms:created>
  <dcterms:modified xsi:type="dcterms:W3CDTF">2026-10-11T00:00:00Z</dcterms:modified>
</cp:coreProperties>
</file>