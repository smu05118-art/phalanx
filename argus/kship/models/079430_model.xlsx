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모델값 역산(implied): v / 매출액
매출액 × 판관비율 16.37%(최근 4분기 중위)</t>
      </text>
    </comment>
    <comment ref="AD22" authorId="0" shapeId="0">
      <text>
        <t>모델값 역산(implied): v / 매출액
매출액 × 판관비율 16.37%(최근 4분기 중위)</t>
      </text>
    </comment>
    <comment ref="AF22" authorId="0" shapeId="0">
      <text>
        <t>모델값 역산(implied): v / 매출액
매출액 × 판관비율 16.37%(최근 4분기 중위)</t>
      </text>
    </comment>
    <comment ref="AG22" authorId="0" shapeId="0">
      <text>
        <t>모델값 역산(implied): v / 매출액
매출액 × 판관비율 16.37%(최근 4분기 중위)</t>
      </text>
    </comment>
    <comment ref="AH22" authorId="0" shapeId="0">
      <text>
        <t>모델값 역산(implied): v / 매출액
매출액 × 판관비율 16.37%(최근 4분기 중위)</t>
      </text>
    </comment>
    <comment ref="AI22" authorId="0" shapeId="0">
      <text>
        <t>모델값 역산(implied): v / 매출액
매출액 × 판관비율 16.37%(최근 4분기 중위)</t>
      </text>
    </comment>
    <comment ref="AK22" authorId="0" shapeId="0">
      <text>
        <t>모델값 역산(implied): v / 매출액
매출액 × 판관비율 16.37%(최근 4분기 중위)</t>
      </text>
    </comment>
    <comment ref="AL22" authorId="0" shapeId="0">
      <text>
        <t>모델값 역산(implied): v / 매출액
매출액 × 판관비율 16.37%(최근 4분기 중위)</t>
      </text>
    </comment>
    <comment ref="AM22" authorId="0" shapeId="0">
      <text>
        <t>모델값 역산(implied): v / 매출액
매출액 × 판관비율 16.37%(최근 4분기 중위)</t>
      </text>
    </comment>
    <comment ref="AN22" authorId="0" shapeId="0">
      <text>
        <t>모델값 역산(implied): v / 매출액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v / 전년동기 − 1
최근 8분기 OPM 중위 1.2% 유지(클립 −20~40%)</t>
      </text>
    </comment>
    <comment ref="AD24" authorId="0" shapeId="0">
      <text>
        <t>모델값 역산(implied): v / 전년동기 − 1
최근 8분기 OPM 중위 1.2% 유지(클립 −20~40%)</t>
      </text>
    </comment>
    <comment ref="AF24" authorId="0" shapeId="0">
      <text>
        <t>모델값 역산(implied): v / 전년동기 − 1
최근 8분기 OPM 중위 1.2% 유지(클립 −20~40%)</t>
      </text>
    </comment>
    <comment ref="AG24" authorId="0" shapeId="0">
      <text>
        <t>모델값 역산(implied): v / 전년동기 − 1
최근 8분기 OPM 중위 1.2% 유지(클립 −20~40%)</t>
      </text>
    </comment>
    <comment ref="AH24" authorId="0" shapeId="0">
      <text>
        <t>모델값 역산(implied): v / 전년동기 − 1
최근 8분기 OPM 중위 1.2% 유지(클립 −20~40%)</t>
      </text>
    </comment>
    <comment ref="AI24" authorId="0" shapeId="0">
      <text>
        <t>모델값 역산(implied): v / 전년동기 − 1
최근 8분기 OPM 중위 1.2% 유지(클립 −20~40%)</t>
      </text>
    </comment>
    <comment ref="AK24" authorId="0" shapeId="0">
      <text>
        <t>모델값 역산(implied): v / 전년동기 − 1
최근 8분기 OPM 중위 1.2% 유지(클립 −20~40%)</t>
      </text>
    </comment>
    <comment ref="AL24" authorId="0" shapeId="0">
      <text>
        <t>모델값 역산(implied): v / 전년동기 − 1
최근 8분기 OPM 중위 1.2% 유지(클립 −20~40%)</t>
      </text>
    </comment>
    <comment ref="AM24" authorId="0" shapeId="0">
      <text>
        <t>모델값 역산(implied): v / 전년동기 − 1
최근 8분기 OPM 중위 1.2% 유지(클립 −20~40%)</t>
      </text>
    </comment>
    <comment ref="AN24" authorId="0" shapeId="0">
      <text>
        <t>모델값 역산(implied): v / 전년동기 − 1
최근 8분기 OPM 중위 1.2% 유지(클립 −20~40%)</t>
      </text>
    </comment>
    <comment ref="AC25" authorId="0" shapeId="0">
      <text>
        <t>모델값 역산(implied): 모델 v 그대로
이자손익 = 이자발생자산 900억 × 1.00% − 총차입금 0억 × 4.70% (연율, CF 실측) ÷ 4; 환·평가손익 0 가정</t>
      </text>
    </comment>
    <comment ref="AD25" authorId="0" shapeId="0">
      <text>
        <t>모델값 역산(implied): 모델 v 그대로
이자손익 = 이자발생자산 926억 × 1.00% − 총차입금 0억 × 4.70% (연율, CF 실측) ÷ 4; 환·평가손익 0 가정</t>
      </text>
    </comment>
    <comment ref="AF25" authorId="0" shapeId="0">
      <text>
        <t>모델값 역산(implied): 모델 v 그대로
이자손익 = 이자발생자산 953억 × 1.00% − 총차입금 0억 × 4.70% (연율, CF 실측) ÷ 4; 환·평가손익 0 가정</t>
      </text>
    </comment>
    <comment ref="AG25" authorId="0" shapeId="0">
      <text>
        <t>모델값 역산(implied): 모델 v 그대로
이자손익 = 이자발생자산 980억 × 1.00% − 총차입금 0억 × 4.70% (연율, CF 실측) ÷ 4; 환·평가손익 0 가정</t>
      </text>
    </comment>
    <comment ref="AH25" authorId="0" shapeId="0">
      <text>
        <t>모델값 역산(implied): 모델 v 그대로
이자손익 = 이자발생자산 982억 × 1.00% − 총차입금 0억 × 4.70% (연율, CF 실측) ÷ 4; 환·평가손익 0 가정</t>
      </text>
    </comment>
    <comment ref="AI25" authorId="0" shapeId="0">
      <text>
        <t>모델값 역산(implied): 모델 v 그대로
이자손익 = 이자발생자산 1006억 × 1.00% − 총차입금 0억 × 4.70% (연율, CF 실측) ÷ 4; 환·평가손익 0 가정</t>
      </text>
    </comment>
    <comment ref="AK25" authorId="0" shapeId="0">
      <text>
        <t>모델값 역산(implied): 모델 v 그대로
이자손익 = 이자발생자산 1032억 × 1.00% − 총차입금 0억 × 4.70% (연율, CF 실측) ÷ 4; 환·평가손익 0 가정</t>
      </text>
    </comment>
    <comment ref="AL25" authorId="0" shapeId="0">
      <text>
        <t>모델값 역산(implied): 모델 v 그대로
이자손익 = 이자발생자산 1057억 × 1.00% − 총차입금 0억 × 4.70% (연율, CF 실측) ÷ 4; 환·평가손익 0 가정</t>
      </text>
    </comment>
    <comment ref="AM25" authorId="0" shapeId="0">
      <text>
        <t>모델값 역산(implied): 모델 v 그대로
이자손익 = 이자발생자산 1057억 × 1.00% − 총차입금 0억 × 4.70% (연율, CF 실측) ÷ 4; 환·평가손익 0 가정</t>
      </text>
    </comment>
    <comment ref="AN25" authorId="0" shapeId="0">
      <text>
        <t>모델값 역산(implied): 모델 v 그대로
이자손익 = 이자발생자산 1080억 × 1.00% − 총차입금 0억 × 4.70%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27.0%(최근 12분기 유효세율 177.6% → 5~27% 클립)</t>
      </text>
    </comment>
    <comment ref="AD27" authorId="0" shapeId="0">
      <text>
        <t>모델값 역산(implied): v / 세전이익
max(세전, 0) × 세율 27.0%(최근 12분기 유효세율 177.6% → 5~27% 클립)</t>
      </text>
    </comment>
    <comment ref="AF27" authorId="0" shapeId="0">
      <text>
        <t>모델값 역산(implied): v / 세전이익
max(세전, 0) × 세율 27.0%(최근 12분기 유효세율 177.6% → 5~27% 클립)</t>
      </text>
    </comment>
    <comment ref="AG27" authorId="0" shapeId="0">
      <text>
        <t>모델값 역산(implied): v / 세전이익
max(세전, 0) × 세율 27.0%(최근 12분기 유효세율 177.6% → 5~27% 클립)</t>
      </text>
    </comment>
    <comment ref="AH27" authorId="0" shapeId="0">
      <text>
        <t>모델값 역산(implied): v / 세전이익
max(세전, 0) × 세율 27.0%(최근 12분기 유효세율 177.6% → 5~27% 클립)</t>
      </text>
    </comment>
    <comment ref="AI27" authorId="0" shapeId="0">
      <text>
        <t>모델값 역산(implied): v / 세전이익
max(세전, 0) × 세율 27.0%(최근 12분기 유효세율 177.6% → 5~27% 클립)</t>
      </text>
    </comment>
    <comment ref="AK27" authorId="0" shapeId="0">
      <text>
        <t>모델값 역산(implied): v / 세전이익
max(세전, 0) × 세율 27.0%(최근 12분기 유효세율 177.6% → 5~27% 클립)</t>
      </text>
    </comment>
    <comment ref="AL27" authorId="0" shapeId="0">
      <text>
        <t>모델값 역산(implied): v / 세전이익
max(세전, 0) × 세율 27.0%(최근 12분기 유효세율 177.6% → 5~27% 클립)</t>
      </text>
    </comment>
    <comment ref="AM27" authorId="0" shapeId="0">
      <text>
        <t>모델값 역산(implied): v / 세전이익
max(세전, 0) × 세율 27.0%(최근 12분기 유효세율 177.6% → 5~27% 클립)</t>
      </text>
    </comment>
    <comment ref="AN27" authorId="0" shapeId="0">
      <text>
        <t>모델값 역산(implied): v / 세전이익
max(세전, 0) × 세율 27.0%(최근 12분기 유효세율 177.6%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130원 유지</t>
      </text>
    </comment>
    <comment ref="AI39" authorId="0" shapeId="0">
      <text>
        <t>모델값 역산(implied): v / 전년동기 − 1
직전 결산 DPS 130원 유지</t>
      </text>
    </comment>
    <comment ref="AN39" authorId="0" shapeId="0">
      <text>
        <t>모델값 역산(implied): v / 전년동기 − 1
직전 결산 DPS 130원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1.2% 유지(클립 −20~40%)
[yoy]</t>
      </text>
    </comment>
    <comment ref="AD10" authorId="0" shapeId="0">
      <text>
        <t>추정: 최근 8분기 OPM 중위 1.2% 유지(클립 −20~40%)
[yoy]</t>
      </text>
    </comment>
    <comment ref="AF10" authorId="0" shapeId="0">
      <text>
        <t>추정: 최근 8분기 OPM 중위 1.2% 유지(클립 −20~40%)
[yoy]</t>
      </text>
    </comment>
    <comment ref="AG10" authorId="0" shapeId="0">
      <text>
        <t>추정: 최근 8분기 OPM 중위 1.2% 유지(클립 −20~40%)
[yoy]</t>
      </text>
    </comment>
    <comment ref="AH10" authorId="0" shapeId="0">
      <text>
        <t>추정: 최근 8분기 OPM 중위 1.2% 유지(클립 −20~40%)
[yoy]</t>
      </text>
    </comment>
    <comment ref="AI10" authorId="0" shapeId="0">
      <text>
        <t>추정: 최근 8분기 OPM 중위 1.2% 유지(클립 −20~40%)
[yoy]</t>
      </text>
    </comment>
    <comment ref="AK10" authorId="0" shapeId="0">
      <text>
        <t>추정: 최근 8분기 OPM 중위 1.2% 유지(클립 −20~40%)
[yoy]</t>
      </text>
    </comment>
    <comment ref="AL10" authorId="0" shapeId="0">
      <text>
        <t>추정: 최근 8분기 OPM 중위 1.2% 유지(클립 −20~40%)
[yoy]</t>
      </text>
    </comment>
    <comment ref="AM10" authorId="0" shapeId="0">
      <text>
        <t>추정: 최근 8분기 OPM 중위 1.2% 유지(클립 −20~40%)
[yoy]</t>
      </text>
    </comment>
    <comment ref="AN10" authorId="0" shapeId="0">
      <text>
        <t>추정: 최근 8분기 OPM 중위 1.2% 유지(클립 −20~40%)
[yoy]</t>
      </text>
    </comment>
    <comment ref="AC11" authorId="0" shapeId="0">
      <text>
        <t>추정: 이자손익 = 이자발생자산 900억 × 1.00% − 총차입금 0억 × 4.70% (연율, CF 실측) ÷ 4; 환·평가손익 0 가정
[abs]</t>
      </text>
    </comment>
    <comment ref="AD11" authorId="0" shapeId="0">
      <text>
        <t>추정: 이자손익 = 이자발생자산 926억 × 1.00% − 총차입금 0억 × 4.70% (연율, CF 실측) ÷ 4; 환·평가손익 0 가정
[abs]</t>
      </text>
    </comment>
    <comment ref="AF11" authorId="0" shapeId="0">
      <text>
        <t>추정: 이자손익 = 이자발생자산 953억 × 1.00% − 총차입금 0억 × 4.70% (연율, CF 실측) ÷ 4; 환·평가손익 0 가정
[abs]</t>
      </text>
    </comment>
    <comment ref="AG11" authorId="0" shapeId="0">
      <text>
        <t>추정: 이자손익 = 이자발생자산 980억 × 1.00% − 총차입금 0억 × 4.70% (연율, CF 실측) ÷ 4; 환·평가손익 0 가정
[abs]</t>
      </text>
    </comment>
    <comment ref="AH11" authorId="0" shapeId="0">
      <text>
        <t>추정: 이자손익 = 이자발생자산 982억 × 1.00% − 총차입금 0억 × 4.70% (연율, CF 실측) ÷ 4; 환·평가손익 0 가정
[abs]</t>
      </text>
    </comment>
    <comment ref="AI11" authorId="0" shapeId="0">
      <text>
        <t>추정: 이자손익 = 이자발생자산 1006억 × 1.00% − 총차입금 0억 × 4.70% (연율, CF 실측) ÷ 4; 환·평가손익 0 가정
[abs]</t>
      </text>
    </comment>
    <comment ref="AK11" authorId="0" shapeId="0">
      <text>
        <t>추정: 이자손익 = 이자발생자산 1032억 × 1.00% − 총차입금 0억 × 4.70% (연율, CF 실측) ÷ 4; 환·평가손익 0 가정
[abs]</t>
      </text>
    </comment>
    <comment ref="AL11" authorId="0" shapeId="0">
      <text>
        <t>추정: 이자손익 = 이자발생자산 1057억 × 1.00% − 총차입금 0억 × 4.70% (연율, CF 실측) ÷ 4; 환·평가손익 0 가정
[abs]</t>
      </text>
    </comment>
    <comment ref="AM11" authorId="0" shapeId="0">
      <text>
        <t>추정: 이자손익 = 이자발생자산 1057억 × 1.00% − 총차입금 0억 × 4.70% (연율, CF 실측) ÷ 4; 환·평가손익 0 가정
[abs]</t>
      </text>
    </comment>
    <comment ref="AN11" authorId="0" shapeId="0">
      <text>
        <t>추정: 이자손익 = 이자발생자산 1080억 × 1.00% − 총차입금 0억 × 4.70%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27.0%(최근 12분기 유효세율 177.6% → 5~27% 클립)
[ratio]</t>
      </text>
    </comment>
    <comment ref="AD14" authorId="0" shapeId="0">
      <text>
        <t>추정: max(세전, 0) × 세율 27.0%(최근 12분기 유효세율 177.6% → 5~27% 클립)
[ratio]</t>
      </text>
    </comment>
    <comment ref="AF14" authorId="0" shapeId="0">
      <text>
        <t>추정: max(세전, 0) × 세율 27.0%(최근 12분기 유효세율 177.6% → 5~27% 클립)
[ratio]</t>
      </text>
    </comment>
    <comment ref="AG14" authorId="0" shapeId="0">
      <text>
        <t>추정: max(세전, 0) × 세율 27.0%(최근 12분기 유효세율 177.6% → 5~27% 클립)
[ratio]</t>
      </text>
    </comment>
    <comment ref="AH14" authorId="0" shapeId="0">
      <text>
        <t>추정: max(세전, 0) × 세율 27.0%(최근 12분기 유효세율 177.6% → 5~27% 클립)
[ratio]</t>
      </text>
    </comment>
    <comment ref="AI14" authorId="0" shapeId="0">
      <text>
        <t>추정: max(세전, 0) × 세율 27.0%(최근 12분기 유효세율 177.6% → 5~27% 클립)
[ratio]</t>
      </text>
    </comment>
    <comment ref="AK14" authorId="0" shapeId="0">
      <text>
        <t>추정: max(세전, 0) × 세율 27.0%(최근 12분기 유효세율 177.6% → 5~27% 클립)
[ratio]</t>
      </text>
    </comment>
    <comment ref="AL14" authorId="0" shapeId="0">
      <text>
        <t>추정: max(세전, 0) × 세율 27.0%(최근 12분기 유효세율 177.6% → 5~27% 클립)
[ratio]</t>
      </text>
    </comment>
    <comment ref="AM14" authorId="0" shapeId="0">
      <text>
        <t>추정: max(세전, 0) × 세율 27.0%(최근 12분기 유효세율 177.6% → 5~27% 클립)
[ratio]</t>
      </text>
    </comment>
    <comment ref="AN14" authorId="0" shapeId="0">
      <text>
        <t>추정: max(세전, 0) × 세율 27.0%(최근 12분기 유효세율 177.6%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130원 유지
[yoy]</t>
      </text>
    </comment>
    <comment ref="AI30" authorId="0" shapeId="0">
      <text>
        <t>추정: 직전 결산 DPS 130원 유지
[yoy]</t>
      </text>
    </comment>
    <comment ref="AN30" authorId="0" shapeId="0">
      <text>
        <t>추정: 직전 결산 DPS 130원 유지
[yoy]</t>
      </text>
    </comment>
    <comment ref="I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assets/models/079430.json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0.53 가 단일 검정 5% 임계 r 0.71 미달(n=8) (suppliers_mentions·시차 1·YoY·창 8)):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18.3, "wape_trend": 25.5,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5550.01,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-0.168303</v>
      </c>
      <c r="AD21" s="24" t="n">
        <v>-0.168303</v>
      </c>
      <c r="AE21" s="25" t="n"/>
      <c r="AF21" s="24" t="n">
        <v>-0.168304</v>
      </c>
      <c r="AG21" s="24" t="n">
        <v>-0.168303</v>
      </c>
      <c r="AH21" s="24" t="n">
        <v>-0.084152</v>
      </c>
      <c r="AI21" s="24" t="n">
        <v>-0.08415</v>
      </c>
      <c r="AJ21" s="25" t="n"/>
      <c r="AK21" s="24" t="n">
        <v>-0.08415</v>
      </c>
      <c r="AL21" s="24" t="n">
        <v>-0.084151</v>
      </c>
      <c r="AM21" s="24" t="n">
        <v>-0.042076</v>
      </c>
      <c r="AN21" s="24" t="n">
        <v>-0.042079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0.163651</v>
      </c>
      <c r="AD22" s="24" t="n">
        <v>0.163652</v>
      </c>
      <c r="AE22" s="25">
        <f>IFERROR(subQ!AE8/subQ!AE5,"")</f>
        <v/>
      </c>
      <c r="AF22" s="24" t="n">
        <v>0.163652</v>
      </c>
      <c r="AG22" s="24" t="n">
        <v>0.163649</v>
      </c>
      <c r="AH22" s="24" t="n">
        <v>0.16365</v>
      </c>
      <c r="AI22" s="24" t="n">
        <v>0.16365</v>
      </c>
      <c r="AJ22" s="25">
        <f>IFERROR(subQ!AJ8/subQ!AJ5,"")</f>
        <v/>
      </c>
      <c r="AK22" s="24" t="n">
        <v>0.163651</v>
      </c>
      <c r="AL22" s="24" t="n">
        <v>0.163652</v>
      </c>
      <c r="AM22" s="24" t="n">
        <v>0.163649</v>
      </c>
      <c r="AN22" s="24" t="n">
        <v>0.163651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0.011683</v>
      </c>
      <c r="AD23" s="24" t="n">
        <v>0.011684</v>
      </c>
      <c r="AE23" s="25">
        <f>IFERROR(subQ!AE9/subQ!AE5,"")</f>
        <v/>
      </c>
      <c r="AF23" s="24" t="n">
        <v>0.011681</v>
      </c>
      <c r="AG23" s="24" t="n">
        <v>0.011681</v>
      </c>
      <c r="AH23" s="24" t="n">
        <v>0.011681</v>
      </c>
      <c r="AI23" s="24" t="n">
        <v>0.011682</v>
      </c>
      <c r="AJ23" s="25">
        <f>IFERROR(subQ!AJ9/subQ!AJ5,"")</f>
        <v/>
      </c>
      <c r="AK23" s="24" t="n">
        <v>0.011681</v>
      </c>
      <c r="AL23" s="24" t="n">
        <v>0.011681</v>
      </c>
      <c r="AM23" s="24" t="n">
        <v>0.011683</v>
      </c>
      <c r="AN23" s="24" t="n">
        <v>0.011683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0.063636</v>
      </c>
      <c r="AD24" s="24" t="n">
        <v>-2.60274</v>
      </c>
      <c r="AE24" s="25" t="n"/>
      <c r="AF24" s="24" t="n">
        <v>2.9</v>
      </c>
      <c r="AG24" s="24" t="n">
        <v>-0.214765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2.26</v>
      </c>
      <c r="AD25" s="29" t="n">
        <v>2.33</v>
      </c>
      <c r="AE25" s="30">
        <f>subQ!AE11</f>
        <v/>
      </c>
      <c r="AF25" s="29" t="n">
        <v>2.39</v>
      </c>
      <c r="AG25" s="29" t="n">
        <v>2.46</v>
      </c>
      <c r="AH25" s="29" t="n">
        <v>2.47</v>
      </c>
      <c r="AI25" s="29" t="n">
        <v>2.53</v>
      </c>
      <c r="AJ25" s="30">
        <f>subQ!AJ11</f>
        <v/>
      </c>
      <c r="AK25" s="29" t="n">
        <v>2.59</v>
      </c>
      <c r="AL25" s="29" t="n">
        <v>2.65</v>
      </c>
      <c r="AM25" s="29" t="n">
        <v>2.65</v>
      </c>
      <c r="AN25" s="29" t="n">
        <v>2.71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0.270079</v>
      </c>
      <c r="AD27" s="24" t="n">
        <v>0.270081</v>
      </c>
      <c r="AE27" s="25">
        <f>IFERROR(subQ!AE14/subQ!AE13,"")</f>
        <v/>
      </c>
      <c r="AF27" s="24" t="n">
        <v>0.269876</v>
      </c>
      <c r="AG27" s="24" t="n">
        <v>0.269956</v>
      </c>
      <c r="AH27" s="24" t="n">
        <v>0.269982</v>
      </c>
      <c r="AI27" s="24" t="n">
        <v>0.269924</v>
      </c>
      <c r="AJ27" s="25">
        <f>IFERROR(subQ!AJ14/subQ!AJ13,"")</f>
        <v/>
      </c>
      <c r="AK27" s="24" t="n">
        <v>0.269994</v>
      </c>
      <c r="AL27" s="24" t="n">
        <v>0.270014</v>
      </c>
      <c r="AM27" s="24" t="n">
        <v>0.270117</v>
      </c>
      <c r="AN27" s="24" t="n">
        <v>0.270018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-0.0057</v>
      </c>
      <c r="AD30" s="29" t="n">
        <v>-0</v>
      </c>
      <c r="AE30" s="30" t="n"/>
      <c r="AF30" s="29" t="n">
        <v>0</v>
      </c>
      <c r="AG30" s="29" t="n">
        <v>26.15</v>
      </c>
      <c r="AH30" s="29" t="n">
        <v>0</v>
      </c>
      <c r="AI30" s="29" t="n">
        <v>-0.01</v>
      </c>
      <c r="AJ30" s="30" t="n"/>
      <c r="AK30" s="29" t="n">
        <v>0</v>
      </c>
      <c r="AL30" s="29" t="n">
        <v>26.15</v>
      </c>
      <c r="AM30" s="29" t="n">
        <v>-0.01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-0.0057</v>
      </c>
      <c r="AD31" s="29" t="n">
        <v>-0</v>
      </c>
      <c r="AE31" s="30" t="n"/>
      <c r="AF31" s="29" t="n">
        <v>0</v>
      </c>
      <c r="AG31" s="29" t="n">
        <v>26.15</v>
      </c>
      <c r="AH31" s="29" t="n">
        <v>0</v>
      </c>
      <c r="AI31" s="29" t="n">
        <v>-0.01</v>
      </c>
      <c r="AJ31" s="30" t="n"/>
      <c r="AK31" s="29" t="n">
        <v>0</v>
      </c>
      <c r="AL31" s="29" t="n">
        <v>26.15</v>
      </c>
      <c r="AM31" s="29" t="n">
        <v>-0.01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0.028669</v>
      </c>
      <c r="AD34" s="24" t="n">
        <v>0.029235</v>
      </c>
      <c r="AE34" s="25" t="n"/>
      <c r="AF34" s="24" t="n">
        <v>0.02831</v>
      </c>
      <c r="AG34" s="24" t="n">
        <v>0.002152</v>
      </c>
      <c r="AH34" s="24" t="n">
        <v>0.024357</v>
      </c>
      <c r="AI34" s="24" t="n">
        <v>0.02494</v>
      </c>
      <c r="AJ34" s="25" t="n"/>
      <c r="AK34" s="24" t="n">
        <v>0.024246</v>
      </c>
      <c r="AL34" s="24" t="n">
        <v>1.9e-05</v>
      </c>
      <c r="AM34" s="24" t="n">
        <v>0.021902</v>
      </c>
      <c r="AN34" s="24" t="n">
        <v>0.02246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0.573725</v>
      </c>
      <c r="AD40" s="24" t="n">
        <v>-0.383099</v>
      </c>
      <c r="AE40" s="25" t="n"/>
      <c r="AF40" s="24" t="n">
        <v>-0.823842</v>
      </c>
      <c r="AG40" s="24" t="n">
        <v>-0.562272</v>
      </c>
      <c r="AH40" s="24" t="n">
        <v>-0.512433</v>
      </c>
      <c r="AI40" s="24" t="n">
        <v>0.021918</v>
      </c>
      <c r="AJ40" s="25" t="n"/>
      <c r="AK40" s="24" t="n">
        <v>0.148036</v>
      </c>
      <c r="AL40" s="24" t="n">
        <v>0.078777</v>
      </c>
      <c r="AM40" s="24" t="n">
        <v>0.069217</v>
      </c>
      <c r="AN40" s="24" t="n">
        <v>0.058088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-0.243243</v>
      </c>
      <c r="AD41" s="24" t="n">
        <v>-0.129032</v>
      </c>
      <c r="AE41" s="25" t="n"/>
      <c r="AF41" s="24" t="n">
        <v>-0.181818</v>
      </c>
      <c r="AG41" s="24" t="n">
        <v>-0.181818</v>
      </c>
      <c r="AH41" s="24" t="n">
        <v>-0.035714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-0.037037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0.011683</v>
      </c>
      <c r="AD43" s="24" t="n">
        <v>0.011684</v>
      </c>
      <c r="AE43" s="25">
        <f>IFERROR(subQ!AE34/subQ!AE33,"")</f>
        <v/>
      </c>
      <c r="AF43" s="24" t="n">
        <v>0.011681</v>
      </c>
      <c r="AG43" s="24" t="n">
        <v>0.011681</v>
      </c>
      <c r="AH43" s="24" t="n">
        <v>0.011681</v>
      </c>
      <c r="AI43" s="24" t="n">
        <v>0.011682</v>
      </c>
      <c r="AJ43" s="25">
        <f>IFERROR(subQ!AJ34/subQ!AJ33,"")</f>
        <v/>
      </c>
      <c r="AK43" s="24" t="n">
        <v>0.011681</v>
      </c>
      <c r="AL43" s="24" t="n">
        <v>0.011681</v>
      </c>
      <c r="AM43" s="24" t="n">
        <v>0.011683</v>
      </c>
      <c r="AN43" s="24" t="n">
        <v>0.011683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5800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12.8</v>
      </c>
      <c r="E49" s="2" t="inlineStr">
        <is>
          <t>PER 밴드 하단(배) — hist_quarterly(분기 평균가 ÷ TTM EPS, 8분기, 25/50/75 백분위) · 캡 5~30배 적용(원값 12.8/16.0/56.4)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16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30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0.27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0.1637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4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4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4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4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4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4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4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4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4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4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4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4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4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4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4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4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4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4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4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4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4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4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4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4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4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4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4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4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4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4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4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4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4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4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4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4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4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4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4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4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4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4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4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4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4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4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4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4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4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4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4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4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4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4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4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4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4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4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4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4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4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4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4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4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4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4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4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4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4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4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4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4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4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4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4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4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4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4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4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4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4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4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4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4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4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4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4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4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4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4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4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4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4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4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4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4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4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4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4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4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4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4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4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4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4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4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4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4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4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4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4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4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4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4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4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4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4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4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4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4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4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4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4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4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4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4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4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4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4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4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4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4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4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4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4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4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4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4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4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4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4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4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4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4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4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4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4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4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4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4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4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4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4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4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4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4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4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4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4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4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4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4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4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4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4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4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4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4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4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4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4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4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4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4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4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4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4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4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4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4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4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4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4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4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4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4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4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4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4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4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4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4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4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4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4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4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4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4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4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4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4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4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4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4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4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4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4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4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4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4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4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4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4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4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4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4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4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4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4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4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4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4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4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4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4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4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4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4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4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4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4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4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4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4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4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4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4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4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4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4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4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4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4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4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4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4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4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4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4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4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4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4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4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4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4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4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4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4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4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4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4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4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4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4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4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4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4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4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4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4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4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4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4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4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4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4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4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4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4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4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4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4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4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(비지배주주지분)당기순이익</t>
        </is>
      </c>
      <c r="F77" s="9" t="n"/>
      <c r="K77" s="9" t="n"/>
      <c r="L77" s="18" t="n">
        <v>0</v>
      </c>
      <c r="M77" s="18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K78" s="9" t="n"/>
      <c r="P78" s="9" t="n"/>
      <c r="U78" s="9" t="n"/>
      <c r="V78" s="18" t="n">
        <v>270.81</v>
      </c>
      <c r="W78" s="18" t="n">
        <v>294.41</v>
      </c>
      <c r="X78" s="18" t="n">
        <v>255.58</v>
      </c>
      <c r="Y78" s="18" t="n">
        <v>246.9</v>
      </c>
      <c r="Z78" s="34" t="n">
        <v>1067.7</v>
      </c>
      <c r="AA78" s="18" t="n">
        <v>260.7</v>
      </c>
      <c r="AB78" s="19" t="n">
        <v>552.33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배당금수익</t>
        </is>
      </c>
      <c r="F79" s="9" t="n"/>
      <c r="K79" s="9" t="n"/>
      <c r="P79" s="9" t="n"/>
      <c r="U79" s="9" t="n"/>
      <c r="V79" s="18" t="n">
        <v>0</v>
      </c>
      <c r="W79" s="18" t="n">
        <v>25.82</v>
      </c>
      <c r="X79" s="18" t="n">
        <v>0</v>
      </c>
      <c r="Y79" s="18" t="n">
        <v>0</v>
      </c>
      <c r="Z79" s="34" t="n">
        <v>25.82</v>
      </c>
      <c r="AA79" s="18" t="n">
        <v>3.83</v>
      </c>
      <c r="AB79" s="19" t="n">
        <v>51.8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1762.94</v>
      </c>
      <c r="W80" s="18" t="n">
        <v>1641.54</v>
      </c>
      <c r="X80" s="18" t="n">
        <v>1156.97</v>
      </c>
      <c r="Y80" s="18" t="n">
        <v>1150.98</v>
      </c>
      <c r="Z80" s="34" t="n">
        <v>5712.43</v>
      </c>
      <c r="AA80" s="18" t="n">
        <v>1144.78</v>
      </c>
      <c r="AB80" s="19" t="n">
        <v>1301.1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353.48</v>
      </c>
      <c r="W81" s="18" t="n">
        <v>340.21</v>
      </c>
      <c r="X81" s="18" t="n">
        <v>484.91</v>
      </c>
      <c r="Y81" s="18" t="n">
        <v>762.3099999999999</v>
      </c>
      <c r="Z81" s="34" t="n">
        <v>1940.91</v>
      </c>
      <c r="AA81" s="18" t="n">
        <v>955.3</v>
      </c>
      <c r="AB81" s="19" t="n">
        <v>493.61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438.45</v>
      </c>
      <c r="W82" s="18" t="n">
        <v>563.3099999999999</v>
      </c>
      <c r="X82" s="18" t="n">
        <v>1365.47</v>
      </c>
      <c r="Y82" s="18" t="n">
        <v>659.89</v>
      </c>
      <c r="Z82" s="34" t="n">
        <v>3027.12</v>
      </c>
      <c r="AA82" s="18" t="n">
        <v>439.34</v>
      </c>
      <c r="AB82" s="19" t="n">
        <v>643.11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180.7</v>
      </c>
      <c r="W83" s="18" t="n">
        <v>538.65</v>
      </c>
      <c r="X83" s="18" t="n">
        <v>-262.97</v>
      </c>
      <c r="Y83" s="18" t="n">
        <v>270.51</v>
      </c>
      <c r="Z83" s="34" t="n">
        <v>726.89</v>
      </c>
      <c r="AA83" s="18" t="n">
        <v>1180.87</v>
      </c>
      <c r="AB83" s="19" t="n">
        <v>866.6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193.49</v>
      </c>
      <c r="W84" s="18" t="n">
        <v>2921.98</v>
      </c>
      <c r="X84" s="18" t="n">
        <v>-2117.5</v>
      </c>
      <c r="Y84" s="18" t="n">
        <v>-455.43</v>
      </c>
      <c r="Z84" s="34" t="n">
        <v>542.54</v>
      </c>
      <c r="AA84" s="18" t="n">
        <v>150.62</v>
      </c>
      <c r="AB84" s="19" t="n">
        <v>223.98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39.91</v>
      </c>
      <c r="W85" s="18" t="n">
        <v>-24.16</v>
      </c>
      <c r="X85" s="18" t="n">
        <v>50.03</v>
      </c>
      <c r="Y85" s="18" t="n">
        <v>146.56</v>
      </c>
      <c r="Z85" s="34" t="n">
        <v>212.34</v>
      </c>
      <c r="AA85" s="18" t="n">
        <v>153.39</v>
      </c>
      <c r="AB85" s="19" t="n">
        <v>86.73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8.57</v>
      </c>
      <c r="W86" s="18" t="n">
        <v>112.27</v>
      </c>
      <c r="X86" s="18" t="n">
        <v>-8.74</v>
      </c>
      <c r="Y86" s="18" t="n">
        <v>97.14</v>
      </c>
      <c r="Z86" s="34" t="n">
        <v>209.24</v>
      </c>
      <c r="AA86" s="18" t="n">
        <v>11.77</v>
      </c>
      <c r="AB86" s="19" t="n">
        <v>26.66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-1492.13</v>
      </c>
      <c r="W87" s="18" t="n">
        <v>-1347.13</v>
      </c>
      <c r="X87" s="18" t="n">
        <v>-901.39</v>
      </c>
      <c r="Y87" s="18" t="n">
        <v>-904.08</v>
      </c>
      <c r="Z87" s="34" t="n">
        <v>-4644.73</v>
      </c>
      <c r="AA87" s="18" t="n">
        <v>-884.08</v>
      </c>
      <c r="AB87" s="19" t="n">
        <v>-748.77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4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4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4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4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4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4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4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4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4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4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4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4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4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4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4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4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4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4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4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4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4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4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4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4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4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4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4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4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4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4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4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4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4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4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4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4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4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4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4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4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4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4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4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4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4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4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4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4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4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4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4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4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4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4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4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4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4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4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4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4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4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4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4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4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4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4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4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4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4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4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4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4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4" t="n">
        <v>62.9</v>
      </c>
      <c r="G11" s="18" t="n">
        <v>33.31</v>
      </c>
      <c r="I11" s="18" t="n">
        <v>27.11</v>
      </c>
      <c r="J11" s="18" t="n">
        <v>1821.24</v>
      </c>
      <c r="K11" s="34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4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4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4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4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4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4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4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4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4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4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4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4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4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4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4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4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4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4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4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4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4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4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4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4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4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4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4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4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4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4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4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4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4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4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4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4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4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4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4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4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4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4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4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4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4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4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4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4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4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4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4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4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4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4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4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4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4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4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4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4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4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4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4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4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4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4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4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4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4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4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4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4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4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4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4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4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4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4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4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4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4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4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4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4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4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4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4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4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4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4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4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4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4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4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4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4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4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4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4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4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4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4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4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4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4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4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4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4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4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4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4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4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4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4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4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4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4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4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4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4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4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4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4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4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4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4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4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4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4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4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4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4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4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4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4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4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4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4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4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4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4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4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4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4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4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4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4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4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4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4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4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4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4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4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4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4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4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4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4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4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4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4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4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4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4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4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4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4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4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4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4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4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4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4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4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4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4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4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4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4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4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4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4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4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4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4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4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4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4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4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4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4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4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4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4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4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4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4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4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4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4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4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4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4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4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4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4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4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4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4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4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4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4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4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4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4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4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4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4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4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4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4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4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4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4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4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4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4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4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4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4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4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4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4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4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4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4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4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4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4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4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4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4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4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4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4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4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4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4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4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4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4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4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4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4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4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4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4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4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4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4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4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4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4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4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4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4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4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4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4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4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4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4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4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4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4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4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4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4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4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4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4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4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4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4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4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4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4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4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4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4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4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4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4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4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4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4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4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4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4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4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4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0.0036</v>
      </c>
      <c r="F10" s="34" t="n"/>
      <c r="G10" s="18" t="n">
        <v>0.007900000000000001</v>
      </c>
      <c r="H10" s="18" t="n">
        <v>-0.0008</v>
      </c>
      <c r="I10" s="18" t="n">
        <v>0.0014</v>
      </c>
      <c r="J10" s="18" t="n">
        <v>-0.0771</v>
      </c>
      <c r="K10" s="34">
        <f>SUM(G10:J10)</f>
        <v/>
      </c>
      <c r="L10" s="18" t="n">
        <v>-0.0205</v>
      </c>
      <c r="M10" s="18" t="n">
        <v>0.008699999999999999</v>
      </c>
      <c r="N10" s="18" t="n">
        <v>0.0031</v>
      </c>
      <c r="O10" s="18" t="n">
        <v>-0.0404</v>
      </c>
      <c r="P10" s="34">
        <f>SUM(L10:O10)</f>
        <v/>
      </c>
      <c r="Q10" s="18" t="n">
        <v>0.0135</v>
      </c>
      <c r="R10" s="18" t="n">
        <v>0.0164</v>
      </c>
      <c r="S10" s="18" t="n">
        <v>0.0215</v>
      </c>
      <c r="T10" s="18" t="n">
        <v>-0.0017</v>
      </c>
      <c r="U10" s="34">
        <f>SUM(Q10:T10)</f>
        <v/>
      </c>
      <c r="V10" s="18" t="n">
        <v>0.0217</v>
      </c>
      <c r="W10" s="18" t="n">
        <v>0.0124</v>
      </c>
      <c r="X10" s="18" t="n">
        <v>0.011</v>
      </c>
      <c r="Y10" s="18" t="n">
        <v>-0.0073</v>
      </c>
      <c r="Z10" s="34">
        <f>SUM(V10:Y10)</f>
        <v/>
      </c>
      <c r="AA10" s="18" t="n">
        <v>0.003</v>
      </c>
      <c r="AB10" s="19" t="n">
        <v>0.0149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4">
        <f>T17</f>
        <v/>
      </c>
      <c r="V17" s="18" t="n"/>
      <c r="W17" s="18" t="n"/>
      <c r="X17" s="18" t="n"/>
      <c r="Y17" s="18" t="n"/>
      <c r="Z17" s="34">
        <f>Y17</f>
        <v/>
      </c>
      <c r="AA17" s="18" t="n"/>
      <c r="AB17" s="19" t="n"/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 t="n"/>
      <c r="U18" s="34">
        <f>T18</f>
        <v/>
      </c>
      <c r="V18" s="18" t="n"/>
      <c r="W18" s="18" t="n"/>
      <c r="X18" s="18" t="n"/>
      <c r="Y18" s="18" t="n"/>
      <c r="Z18" s="34">
        <f>Y18</f>
        <v/>
      </c>
      <c r="AA18" s="18" t="n"/>
      <c r="AB18" s="19" t="n"/>
      <c r="AC18" s="20" t="n"/>
      <c r="AD18" s="20" t="n"/>
      <c r="AE18" s="35">
        <f>AD18</f>
        <v/>
      </c>
      <c r="AF18" s="20" t="n"/>
      <c r="AG18" s="20" t="n"/>
      <c r="AH18" s="20" t="n"/>
      <c r="AI18" s="20" t="n"/>
      <c r="AJ18" s="35">
        <f>AI18</f>
        <v/>
      </c>
      <c r="AK18" s="20" t="n"/>
      <c r="AL18" s="20" t="n"/>
      <c r="AM18" s="20" t="n"/>
      <c r="AN18" s="20" t="n"/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4">
        <f>T21</f>
        <v/>
      </c>
      <c r="V21" s="18" t="n"/>
      <c r="W21" s="18" t="n"/>
      <c r="X21" s="18" t="n"/>
      <c r="Y21" s="18" t="n"/>
      <c r="Z21" s="34">
        <f>Y21</f>
        <v/>
      </c>
      <c r="AA21" s="18" t="n"/>
      <c r="AB21" s="19" t="n"/>
      <c r="AC21" s="20" t="n"/>
      <c r="AD21" s="20" t="n"/>
      <c r="AE21" s="35">
        <f>AD21</f>
        <v/>
      </c>
      <c r="AF21" s="20" t="n"/>
      <c r="AG21" s="20" t="n"/>
      <c r="AH21" s="20" t="n"/>
      <c r="AI21" s="20" t="n"/>
      <c r="AJ21" s="35">
        <f>AI21</f>
        <v/>
      </c>
      <c r="AK21" s="20" t="n"/>
      <c r="AL21" s="20" t="n"/>
      <c r="AM21" s="20" t="n"/>
      <c r="AN21" s="20" t="n"/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4">
        <f>T22</f>
        <v/>
      </c>
      <c r="V22" s="18" t="n"/>
      <c r="W22" s="18" t="n"/>
      <c r="X22" s="18" t="n"/>
      <c r="Y22" s="18" t="n"/>
      <c r="Z22" s="34">
        <f>Y22</f>
        <v/>
      </c>
      <c r="AA22" s="18" t="n"/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4">
        <f>SUM(Q25:T25)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-25.77</v>
      </c>
      <c r="F26" s="34" t="n"/>
      <c r="G26" s="18" t="n">
        <v>164.42</v>
      </c>
      <c r="H26" s="18" t="n">
        <v>22.62</v>
      </c>
      <c r="I26" s="18" t="n">
        <v>-144.92</v>
      </c>
      <c r="J26" s="18" t="n">
        <v>-468.79</v>
      </c>
      <c r="K26" s="34">
        <f>SUM(G26:J26)</f>
        <v/>
      </c>
      <c r="L26" s="18" t="n">
        <v>139.32</v>
      </c>
      <c r="M26" s="18" t="n">
        <v>-26.16</v>
      </c>
      <c r="N26" s="18" t="n">
        <v>-517.13</v>
      </c>
      <c r="O26" s="18" t="n">
        <v>431.51</v>
      </c>
      <c r="P26" s="34">
        <f>SUM(L26:O26)</f>
        <v/>
      </c>
      <c r="Q26" s="18" t="n">
        <v>-259.5</v>
      </c>
      <c r="R26" s="18" t="n">
        <v>284.85</v>
      </c>
      <c r="S26" s="18" t="n">
        <v>477.11</v>
      </c>
      <c r="T26" s="18" t="n">
        <v>-96.63</v>
      </c>
      <c r="U26" s="34">
        <f>SUM(Q26:T26)</f>
        <v/>
      </c>
      <c r="V26" s="18" t="n">
        <v>-84.73</v>
      </c>
      <c r="W26" s="18" t="n">
        <v>380.45</v>
      </c>
      <c r="X26" s="18" t="n">
        <v>-17.43</v>
      </c>
      <c r="Y26" s="18" t="n">
        <v>101.26</v>
      </c>
      <c r="Z26" s="34">
        <f>SUM(V26:Y26)</f>
        <v/>
      </c>
      <c r="AA26" s="18" t="n">
        <v>146.3</v>
      </c>
      <c r="AB26" s="19" t="n">
        <v>481.87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20.114</v>
      </c>
      <c r="F27" s="27">
        <f>E27</f>
        <v/>
      </c>
      <c r="G27" s="26" t="n">
        <v>20.114</v>
      </c>
      <c r="H27" s="26" t="n">
        <v>20.114</v>
      </c>
      <c r="I27" s="26" t="n">
        <v>20.114</v>
      </c>
      <c r="J27" s="26" t="n">
        <v>20.114</v>
      </c>
      <c r="K27" s="27">
        <f>J27</f>
        <v/>
      </c>
      <c r="L27" s="26" t="n">
        <v>20.114</v>
      </c>
      <c r="M27" s="26" t="n">
        <v>20.114</v>
      </c>
      <c r="N27" s="26" t="n">
        <v>20.114</v>
      </c>
      <c r="O27" s="26" t="n">
        <v>20.114</v>
      </c>
      <c r="P27" s="27">
        <f>O27</f>
        <v/>
      </c>
      <c r="Q27" s="26" t="n">
        <v>20.114</v>
      </c>
      <c r="R27" s="26" t="n">
        <v>20.114</v>
      </c>
      <c r="S27" s="26" t="n">
        <v>20.114</v>
      </c>
      <c r="T27" s="26" t="n">
        <v>20.114</v>
      </c>
      <c r="U27" s="27">
        <f>T27</f>
        <v/>
      </c>
      <c r="V27" s="26" t="n">
        <v>20.114</v>
      </c>
      <c r="W27" s="26" t="n">
        <v>20.114</v>
      </c>
      <c r="X27" s="26" t="n">
        <v>20.114</v>
      </c>
      <c r="Y27" s="26" t="n">
        <v>20.114</v>
      </c>
      <c r="Z27" s="27">
        <f>Y27</f>
        <v/>
      </c>
      <c r="AA27" s="26" t="n">
        <v>20.114</v>
      </c>
      <c r="AB27" s="28" t="n">
        <v>20.114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100</v>
      </c>
      <c r="F30" s="34" t="n">
        <v>100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130</v>
      </c>
      <c r="U30" s="34">
        <f>SUM(Q30:T30)</f>
        <v/>
      </c>
      <c r="V30" s="18" t="n"/>
      <c r="W30" s="18" t="n"/>
      <c r="X30" s="18" t="n"/>
      <c r="Y30" s="18" t="n">
        <v>130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60.53</v>
      </c>
      <c r="J31" s="18" t="n"/>
      <c r="K31" s="34">
        <f>SUM(G31:J31)</f>
        <v/>
      </c>
      <c r="L31" s="18" t="n"/>
      <c r="M31" s="18" t="n"/>
      <c r="N31" s="18" t="n"/>
      <c r="O31" s="18" t="n"/>
      <c r="P31" s="34">
        <f>SUM(L31:O31)</f>
        <v/>
      </c>
      <c r="Q31" s="18" t="n"/>
      <c r="R31" s="18" t="n"/>
      <c r="S31" s="18" t="n"/>
      <c r="T31" s="18" t="n">
        <v>10.54</v>
      </c>
      <c r="U31" s="34">
        <f>SUM(Q31:T31)</f>
        <v/>
      </c>
      <c r="V31" s="18" t="n">
        <v>8.84</v>
      </c>
      <c r="W31" s="18" t="n">
        <v>12.78</v>
      </c>
      <c r="X31" s="18" t="n">
        <v>14.31</v>
      </c>
      <c r="Y31" s="18" t="n">
        <v>17.75</v>
      </c>
      <c r="Z31" s="34">
        <f>SUM(V31:Y31)</f>
        <v/>
      </c>
      <c r="AA31" s="18" t="n">
        <v>56.37</v>
      </c>
      <c r="AB31" s="19" t="n">
        <v>24.65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0.64</v>
      </c>
      <c r="F32" s="34" t="n">
        <v>0.62</v>
      </c>
      <c r="G32" s="18" t="n">
        <v>0.59</v>
      </c>
      <c r="H32" s="18" t="n">
        <v>0.5600000000000001</v>
      </c>
      <c r="I32" s="18" t="n">
        <v>0.45</v>
      </c>
      <c r="J32" s="18" t="n">
        <v>0.42</v>
      </c>
      <c r="K32" s="34">
        <f>SUM(G32:J32)</f>
        <v/>
      </c>
      <c r="L32" s="18" t="n">
        <v>0.41</v>
      </c>
      <c r="M32" s="18" t="n">
        <v>0.38</v>
      </c>
      <c r="N32" s="18" t="n">
        <v>0.38</v>
      </c>
      <c r="O32" s="18" t="n">
        <v>0.4</v>
      </c>
      <c r="P32" s="34">
        <f>SUM(L32:O32)</f>
        <v/>
      </c>
      <c r="Q32" s="18" t="n">
        <v>0.37</v>
      </c>
      <c r="R32" s="18" t="n">
        <v>0.43</v>
      </c>
      <c r="S32" s="18" t="n">
        <v>0.43</v>
      </c>
      <c r="T32" s="18" t="n">
        <v>0.39</v>
      </c>
      <c r="U32" s="34">
        <f>SUM(Q32:T32)</f>
        <v/>
      </c>
      <c r="V32" s="18" t="n">
        <v>0.36</v>
      </c>
      <c r="W32" s="18" t="n">
        <v>0.37</v>
      </c>
      <c r="X32" s="18" t="n">
        <v>0.37</v>
      </c>
      <c r="Y32" s="18" t="n">
        <v>0.31</v>
      </c>
      <c r="Z32" s="34">
        <f>SUM(V32:Y32)</f>
        <v/>
      </c>
      <c r="AA32" s="18" t="n">
        <v>0.33</v>
      </c>
      <c r="AB32" s="19" t="n">
        <v>0.33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3718.79</v>
      </c>
      <c r="F33" s="34" t="n"/>
      <c r="G33" s="18" t="n">
        <v>3687.55</v>
      </c>
      <c r="H33" s="18" t="n">
        <v>3600.72</v>
      </c>
      <c r="I33" s="18" t="n">
        <v>3642.82</v>
      </c>
      <c r="J33" s="18" t="n">
        <v>4025.92</v>
      </c>
      <c r="K33" s="34">
        <f>SUM(G33:J33)</f>
        <v/>
      </c>
      <c r="L33" s="18" t="n">
        <v>3702.19</v>
      </c>
      <c r="M33" s="18" t="n">
        <v>3986.71</v>
      </c>
      <c r="N33" s="18" t="n">
        <v>3966.14</v>
      </c>
      <c r="O33" s="18" t="n">
        <v>4202</v>
      </c>
      <c r="P33" s="34">
        <f>SUM(L33:O33)</f>
        <v/>
      </c>
      <c r="Q33" s="18" t="n">
        <v>5047.87</v>
      </c>
      <c r="R33" s="18" t="n">
        <v>4969.57</v>
      </c>
      <c r="S33" s="18" t="n">
        <v>4541.15</v>
      </c>
      <c r="T33" s="18" t="n">
        <v>4147.98</v>
      </c>
      <c r="U33" s="34">
        <f>SUM(Q33:T33)</f>
        <v/>
      </c>
      <c r="V33" s="18" t="n">
        <v>4377.6</v>
      </c>
      <c r="W33" s="18" t="n">
        <v>4098.71</v>
      </c>
      <c r="X33" s="18" t="n">
        <v>3406.55</v>
      </c>
      <c r="Y33" s="18" t="n">
        <v>3579.2</v>
      </c>
      <c r="Z33" s="34">
        <f>SUM(V33:Y33)</f>
        <v/>
      </c>
      <c r="AA33" s="18" t="n">
        <v>3559.35</v>
      </c>
      <c r="AB33" s="19" t="n">
        <v>3731.33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13.27</v>
      </c>
      <c r="F34" s="34" t="n"/>
      <c r="G34" s="18" t="n">
        <v>29.16</v>
      </c>
      <c r="H34" s="18" t="n">
        <v>-2.86</v>
      </c>
      <c r="I34" s="18" t="n">
        <v>5.1</v>
      </c>
      <c r="J34" s="18" t="n">
        <v>-310.35</v>
      </c>
      <c r="K34" s="34">
        <f>SUM(G34:J34)</f>
        <v/>
      </c>
      <c r="L34" s="18" t="n">
        <v>-76.05</v>
      </c>
      <c r="M34" s="18" t="n">
        <v>34.76</v>
      </c>
      <c r="N34" s="18" t="n">
        <v>12.49</v>
      </c>
      <c r="O34" s="18" t="n">
        <v>-169.72</v>
      </c>
      <c r="P34" s="34">
        <f>SUM(L34:O34)</f>
        <v/>
      </c>
      <c r="Q34" s="18" t="n">
        <v>67.98999999999999</v>
      </c>
      <c r="R34" s="18" t="n">
        <v>81.7</v>
      </c>
      <c r="S34" s="18" t="n">
        <v>97.64</v>
      </c>
      <c r="T34" s="18" t="n">
        <v>-6.96</v>
      </c>
      <c r="U34" s="34">
        <f>SUM(Q34:T34)</f>
        <v/>
      </c>
      <c r="V34" s="18" t="n">
        <v>95.12</v>
      </c>
      <c r="W34" s="18" t="n">
        <v>50.8</v>
      </c>
      <c r="X34" s="18" t="n">
        <v>37.37</v>
      </c>
      <c r="Y34" s="18" t="n">
        <v>-26.11</v>
      </c>
      <c r="Z34" s="34">
        <f>SUM(V34:Y34)</f>
        <v/>
      </c>
      <c r="AA34" s="18" t="n">
        <v>10.53</v>
      </c>
      <c r="AB34" s="19" t="n">
        <v>55.59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537.6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10.79</v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0.0257</v>
      </c>
    </row>
    <row r="34">
      <c r="C34" s="2" t="inlineStr">
        <is>
          <t>fair_pbr</t>
        </is>
      </c>
      <c r="D34" t="n">
        <v>0.29</v>
      </c>
    </row>
    <row r="35">
      <c r="C35" s="2" t="inlineStr">
        <is>
          <t>fair_value_pbr</t>
        </is>
      </c>
      <c r="D35" t="n">
        <v>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