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(1+-16.8%) — g=최근 4분기 합 YoY -16.8% 클립(−30~+50%), 연차별 절반 감쇠(가정)</t>
      </text>
    </comment>
    <comment ref="AD21" authorId="0" shapeId="0">
      <text>
        <t>모델값 역산(implied): v / 전년동기 − 1
전년동기 × (1+-16.8%) — g=최근 4분기 합 YoY -16.8% 클립(−30~+50%), 연차별 절반 감쇠(가정)</t>
      </text>
    </comment>
    <comment ref="AF21" authorId="0" shapeId="0">
      <text>
        <t>모델값 역산(implied): v / 전년동기 − 1
전년동기 × (1+-16.8%) — g=최근 4분기 합 YoY -16.8% 클립(−30~+50%), 연차별 절반 감쇠(가정)</t>
      </text>
    </comment>
    <comment ref="AG21" authorId="0" shapeId="0">
      <text>
        <t>모델값 역산(implied): v / 전년동기 − 1
전년동기 × (1+-16.8%) — g=최근 4분기 합 YoY -16.8% 클립(−30~+50%), 연차별 절반 감쇠(가정)</t>
      </text>
    </comment>
    <comment ref="AH21" authorId="0" shapeId="0">
      <text>
        <t>모델값 역산(implied): v / 전년동기 − 1
전년동기 × (1+-8.4%) — g=최근 4분기 합 YoY -16.8% 클립(−30~+50%), 연차별 절반 감쇠(가정)</t>
      </text>
    </comment>
    <comment ref="AI21" authorId="0" shapeId="0">
      <text>
        <t>모델값 역산(implied): v / 전년동기 − 1
전년동기 × (1+-8.4%) — g=최근 4분기 합 YoY -16.8% 클립(−30~+50%), 연차별 절반 감쇠(가정)</t>
      </text>
    </comment>
    <comment ref="AK21" authorId="0" shapeId="0">
      <text>
        <t>모델값 역산(implied): v / 전년동기 − 1
전년동기 × (1+-8.4%) — g=최근 4분기 합 YoY -16.8% 클립(−30~+50%), 연차별 절반 감쇠(가정)</t>
      </text>
    </comment>
    <comment ref="AL21" authorId="0" shapeId="0">
      <text>
        <t>모델값 역산(implied): v / 전년동기 − 1
전년동기 × (1+-8.4%) — g=최근 4분기 합 YoY -16.8% 클립(−30~+50%), 연차별 절반 감쇠(가정)</t>
      </text>
    </comment>
    <comment ref="AM21" authorId="0" shapeId="0">
      <text>
        <t>모델값 역산(implied): v / 전년동기 − 1
전년동기 × (1+-4.2%) — g=최근 4분기 합 YoY -16.8% 클립(−30~+50%), 연차별 절반 감쇠(가정)</t>
      </text>
    </comment>
    <comment ref="AN21" authorId="0" shapeId="0">
      <text>
        <t>모델값 역산(implied): v / 전년동기 − 1
전년동기 × (1+-4.2%) — g=최근 4분기 합 YoY -16.8% 클립(−30~+50%), 연차별 절반 감쇠(가정)</t>
      </text>
    </comment>
    <comment ref="AC22" authorId="0" shapeId="0">
      <text>
        <t>3절 스칼라 '판관비율' 참조 — 숫자로 덮어쓰면 이 분기만 바뀐다
매출액 × 판관비율 16.37%(최근 4분기 중위)</t>
      </text>
    </comment>
    <comment ref="AD22" authorId="0" shapeId="0">
      <text>
        <t>3절 스칼라 '판관비율' 참조 — 숫자로 덮어쓰면 이 분기만 바뀐다
매출액 × 판관비율 16.37%(최근 4분기 중위)</t>
      </text>
    </comment>
    <comment ref="AF22" authorId="0" shapeId="0">
      <text>
        <t>3절 스칼라 '판관비율' 참조 — 숫자로 덮어쓰면 이 분기만 바뀐다
매출액 × 판관비율 16.37%(최근 4분기 중위)</t>
      </text>
    </comment>
    <comment ref="AG22" authorId="0" shapeId="0">
      <text>
        <t>3절 스칼라 '판관비율' 참조 — 숫자로 덮어쓰면 이 분기만 바뀐다
매출액 × 판관비율 16.37%(최근 4분기 중위)</t>
      </text>
    </comment>
    <comment ref="AH22" authorId="0" shapeId="0">
      <text>
        <t>3절 스칼라 '판관비율' 참조 — 숫자로 덮어쓰면 이 분기만 바뀐다
매출액 × 판관비율 16.37%(최근 4분기 중위)</t>
      </text>
    </comment>
    <comment ref="AI22" authorId="0" shapeId="0">
      <text>
        <t>3절 스칼라 '판관비율' 참조 — 숫자로 덮어쓰면 이 분기만 바뀐다
매출액 × 판관비율 16.37%(최근 4분기 중위)</t>
      </text>
    </comment>
    <comment ref="AK22" authorId="0" shapeId="0">
      <text>
        <t>3절 스칼라 '판관비율' 참조 — 숫자로 덮어쓰면 이 분기만 바뀐다
매출액 × 판관비율 16.37%(최근 4분기 중위)</t>
      </text>
    </comment>
    <comment ref="AL22" authorId="0" shapeId="0">
      <text>
        <t>3절 스칼라 '판관비율' 참조 — 숫자로 덮어쓰면 이 분기만 바뀐다
매출액 × 판관비율 16.37%(최근 4분기 중위)</t>
      </text>
    </comment>
    <comment ref="AM22" authorId="0" shapeId="0">
      <text>
        <t>3절 스칼라 '판관비율' 참조 — 숫자로 덮어쓰면 이 분기만 바뀐다
매출액 × 판관비율 16.37%(최근 4분기 중위)</t>
      </text>
    </comment>
    <comment ref="AN22" authorId="0" shapeId="0">
      <text>
        <t>3절 스칼라 '판관비율' 참조 — 숫자로 덮어쓰면 이 분기만 바뀐다
매출액 × 판관비율 16.37%(최근 4분기 중위)</t>
      </text>
    </comment>
    <comment ref="AC23" authorId="0" shapeId="0">
      <text>
        <t>모델값 역산(implied): v / 매출액
매출액 × OPM(최근 8분기 OPM 중위 1.2% 유지(클립 −20~40%))</t>
      </text>
    </comment>
    <comment ref="AD23" authorId="0" shapeId="0">
      <text>
        <t>모델값 역산(implied): v / 매출액
매출액 × OPM(최근 8분기 OPM 중위 1.2% 유지(클립 −20~40%))</t>
      </text>
    </comment>
    <comment ref="AF23" authorId="0" shapeId="0">
      <text>
        <t>모델값 역산(implied): v / 매출액
매출액 × OPM(최근 8분기 OPM 중위 1.2% 유지(클립 −20~40%))</t>
      </text>
    </comment>
    <comment ref="AG23" authorId="0" shapeId="0">
      <text>
        <t>모델값 역산(implied): v / 매출액
매출액 × OPM(최근 8분기 OPM 중위 1.2% 유지(클립 −20~40%))</t>
      </text>
    </comment>
    <comment ref="AH23" authorId="0" shapeId="0">
      <text>
        <t>모델값 역산(implied): v / 매출액
매출액 × OPM(최근 8분기 OPM 중위 1.2% 유지(클립 −20~40%))</t>
      </text>
    </comment>
    <comment ref="AI23" authorId="0" shapeId="0">
      <text>
        <t>모델값 역산(implied): v / 매출액
매출액 × OPM(최근 8분기 OPM 중위 1.2% 유지(클립 −20~40%))</t>
      </text>
    </comment>
    <comment ref="AK23" authorId="0" shapeId="0">
      <text>
        <t>모델값 역산(implied): v / 매출액
매출액 × OPM(최근 8분기 OPM 중위 1.2% 유지(클립 −20~40%))</t>
      </text>
    </comment>
    <comment ref="AL23" authorId="0" shapeId="0">
      <text>
        <t>모델값 역산(implied): v / 매출액
매출액 × OPM(최근 8분기 OPM 중위 1.2% 유지(클립 −20~40%))</t>
      </text>
    </comment>
    <comment ref="AM23" authorId="0" shapeId="0">
      <text>
        <t>모델값 역산(implied): v / 매출액
매출액 × OPM(최근 8분기 OPM 중위 1.2% 유지(클립 −20~40%))</t>
      </text>
    </comment>
    <comment ref="AN23" authorId="0" shapeId="0">
      <text>
        <t>모델값 역산(implied): v / 매출액
매출액 × OPM(최근 8분기 OPM 중위 1.2%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D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F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G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H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I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K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L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M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N28" authorId="0" shapeId="0">
      <text>
        <t>3절 스칼라 '세율' 참조 — 숫자로 덮어쓰면 이 분기만 바뀐다
max(세전, 0) × 세율 24.3%(최근 12분기 유효세율 177.6% 가 5~27% 밖 → 클립 대신 최근 8분기 중 세전 &gt; 0 인 7분기(2024Q3~2026Q2)의 법인세/세전 중위 24.3%)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130원 유지</t>
      </text>
    </comment>
    <comment ref="AI40" authorId="0" shapeId="0">
      <text>
        <t>모델값 역산(implied): 모델 v 그대로
직전 결산 DPS 130원 유지</t>
      </text>
    </comment>
    <comment ref="AN40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(1+-16.8%) — g=최근 4분기 합 YoY -16.8% 클립(−30~+50%), 연차별 절반 감쇠(가정)
[yoy]</t>
      </text>
    </comment>
    <comment ref="AD5" authorId="0" shapeId="0">
      <text>
        <t>추정: 전년동기 × (1+-16.8%) — g=최근 4분기 합 YoY -16.8% 클립(−30~+50%), 연차별 절반 감쇠(가정)
[yoy]</t>
      </text>
    </comment>
    <comment ref="AF5" authorId="0" shapeId="0">
      <text>
        <t>추정: 전년동기 × (1+-16.8%) — g=최근 4분기 합 YoY -16.8% 클립(−30~+50%), 연차별 절반 감쇠(가정)
[yoy]</t>
      </text>
    </comment>
    <comment ref="AG5" authorId="0" shapeId="0">
      <text>
        <t>추정: 전년동기 × (1+-16.8%) — g=최근 4분기 합 YoY -16.8% 클립(−30~+50%), 연차별 절반 감쇠(가정)
[yoy]</t>
      </text>
    </comment>
    <comment ref="AH5" authorId="0" shapeId="0">
      <text>
        <t>추정: 전년동기 × (1+-8.4%) — g=최근 4분기 합 YoY -16.8% 클립(−30~+50%), 연차별 절반 감쇠(가정)
[yoy]</t>
      </text>
    </comment>
    <comment ref="AI5" authorId="0" shapeId="0">
      <text>
        <t>추정: 전년동기 × (1+-8.4%) — g=최근 4분기 합 YoY -16.8% 클립(−30~+50%), 연차별 절반 감쇠(가정)
[yoy]</t>
      </text>
    </comment>
    <comment ref="AK5" authorId="0" shapeId="0">
      <text>
        <t>추정: 전년동기 × (1+-8.4%) — g=최근 4분기 합 YoY -16.8% 클립(−30~+50%), 연차별 절반 감쇠(가정)
[yoy]</t>
      </text>
    </comment>
    <comment ref="AL5" authorId="0" shapeId="0">
      <text>
        <t>추정: 전년동기 × (1+-8.4%) — g=최근 4분기 합 YoY -16.8% 클립(−30~+50%), 연차별 절반 감쇠(가정)
[yoy]</t>
      </text>
    </comment>
    <comment ref="AM5" authorId="0" shapeId="0">
      <text>
        <t>추정: 전년동기 × (1+-4.2%) — g=최근 4분기 합 YoY -16.8% 클립(−30~+50%), 연차별 절반 감쇠(가정)
[yoy]</t>
      </text>
    </comment>
    <comment ref="AN5" authorId="0" shapeId="0">
      <text>
        <t>추정: 전년동기 × (1+-4.2%) — g=최근 4분기 합 YoY -16.8%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16.37%(최근 4분기 중위)
[ratio]</t>
      </text>
    </comment>
    <comment ref="AD8" authorId="0" shapeId="0">
      <text>
        <t>추정: 매출액 × 판관비율 16.37%(최근 4분기 중위)
[ratio]</t>
      </text>
    </comment>
    <comment ref="AF8" authorId="0" shapeId="0">
      <text>
        <t>추정: 매출액 × 판관비율 16.37%(최근 4분기 중위)
[ratio]</t>
      </text>
    </comment>
    <comment ref="AG8" authorId="0" shapeId="0">
      <text>
        <t>추정: 매출액 × 판관비율 16.37%(최근 4분기 중위)
[ratio]</t>
      </text>
    </comment>
    <comment ref="AH8" authorId="0" shapeId="0">
      <text>
        <t>추정: 매출액 × 판관비율 16.37%(최근 4분기 중위)
[ratio]</t>
      </text>
    </comment>
    <comment ref="AI8" authorId="0" shapeId="0">
      <text>
        <t>추정: 매출액 × 판관비율 16.37%(최근 4분기 중위)
[ratio]</t>
      </text>
    </comment>
    <comment ref="AK8" authorId="0" shapeId="0">
      <text>
        <t>추정: 매출액 × 판관비율 16.37%(최근 4분기 중위)
[ratio]</t>
      </text>
    </comment>
    <comment ref="AL8" authorId="0" shapeId="0">
      <text>
        <t>추정: 매출액 × 판관비율 16.37%(최근 4분기 중위)
[ratio]</t>
      </text>
    </comment>
    <comment ref="AM8" authorId="0" shapeId="0">
      <text>
        <t>추정: 매출액 × 판관비율 16.37%(최근 4분기 중위)
[ratio]</t>
      </text>
    </comment>
    <comment ref="AN8" authorId="0" shapeId="0">
      <text>
        <t>추정: 매출액 × 판관비율 16.37%(최근 4분기 중위)
[ratio]</t>
      </text>
    </comment>
    <comment ref="AC9" authorId="0" shapeId="0">
      <text>
        <t>추정: 매출액 × OPM(최근 8분기 OPM 중위 1.2% 유지(클립 −20~40%))
[ratio]</t>
      </text>
    </comment>
    <comment ref="AD9" authorId="0" shapeId="0">
      <text>
        <t>추정: 매출액 × OPM(최근 8분기 OPM 중위 1.2% 유지(클립 −20~40%))
[ratio]</t>
      </text>
    </comment>
    <comment ref="AF9" authorId="0" shapeId="0">
      <text>
        <t>추정: 매출액 × OPM(최근 8분기 OPM 중위 1.2% 유지(클립 −20~40%))
[ratio]</t>
      </text>
    </comment>
    <comment ref="AG9" authorId="0" shapeId="0">
      <text>
        <t>추정: 매출액 × OPM(최근 8분기 OPM 중위 1.2% 유지(클립 −20~40%))
[ratio]</t>
      </text>
    </comment>
    <comment ref="AH9" authorId="0" shapeId="0">
      <text>
        <t>추정: 매출액 × OPM(최근 8분기 OPM 중위 1.2% 유지(클립 −20~40%))
[ratio]</t>
      </text>
    </comment>
    <comment ref="AI9" authorId="0" shapeId="0">
      <text>
        <t>추정: 매출액 × OPM(최근 8분기 OPM 중위 1.2% 유지(클립 −20~40%))
[ratio]</t>
      </text>
    </comment>
    <comment ref="AK9" authorId="0" shapeId="0">
      <text>
        <t>추정: 매출액 × OPM(최근 8분기 OPM 중위 1.2% 유지(클립 −20~40%))
[ratio]</t>
      </text>
    </comment>
    <comment ref="AL9" authorId="0" shapeId="0">
      <text>
        <t>추정: 매출액 × OPM(최근 8분기 OPM 중위 1.2% 유지(클립 −20~40%))
[ratio]</t>
      </text>
    </comment>
    <comment ref="AM9" authorId="0" shapeId="0">
      <text>
        <t>추정: 매출액 × OPM(최근 8분기 OPM 중위 1.2% 유지(클립 −20~40%))
[ratio]</t>
      </text>
    </comment>
    <comment ref="AN9" authorId="0" shapeId="0">
      <text>
        <t>추정: 매출액 × OPM(최근 8분기 OPM 중위 1.2% 유지(클립 −20~40%))
[ratio]</t>
      </text>
    </comment>
    <comment ref="AC10" authorId="0" shapeId="0">
      <text>
        <t>추정: 최근 8분기 OPM 중위 1.2% 유지(클립 −20~40%)
[divide]</t>
      </text>
    </comment>
    <comment ref="AD10" authorId="0" shapeId="0">
      <text>
        <t>추정: 최근 8분기 OPM 중위 1.2% 유지(클립 −20~40%)
[divide]</t>
      </text>
    </comment>
    <comment ref="AF10" authorId="0" shapeId="0">
      <text>
        <t>추정: 최근 8분기 OPM 중위 1.2% 유지(클립 −20~40%)
[divide]</t>
      </text>
    </comment>
    <comment ref="AG10" authorId="0" shapeId="0">
      <text>
        <t>추정: 최근 8분기 OPM 중위 1.2% 유지(클립 −20~40%)
[divide]</t>
      </text>
    </comment>
    <comment ref="AH10" authorId="0" shapeId="0">
      <text>
        <t>추정: 최근 8분기 OPM 중위 1.2% 유지(클립 −20~40%)
[divide]</t>
      </text>
    </comment>
    <comment ref="AI10" authorId="0" shapeId="0">
      <text>
        <t>추정: 최근 8분기 OPM 중위 1.2% 유지(클립 −20~40%)
[divide]</t>
      </text>
    </comment>
    <comment ref="AK10" authorId="0" shapeId="0">
      <text>
        <t>추정: 최근 8분기 OPM 중위 1.2% 유지(클립 −20~40%)
[divide]</t>
      </text>
    </comment>
    <comment ref="AL10" authorId="0" shapeId="0">
      <text>
        <t>추정: 최근 8분기 OPM 중위 1.2% 유지(클립 −20~40%)
[divide]</t>
      </text>
    </comment>
    <comment ref="AM10" authorId="0" shapeId="0">
      <text>
        <t>추정: 최근 8분기 OPM 중위 1.2% 유지(클립 −20~40%)
[divide]</t>
      </text>
    </comment>
    <comment ref="AN10" authorId="0" shapeId="0">
      <text>
        <t>추정: 최근 8분기 OPM 중위 1.2%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900억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929억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960억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990억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996억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1023억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1051억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1080억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1083억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1110억 × 2.27%(주석 이자수익 ÷ 평균 이자발생자산(2025Q3~2026Q2)) − 총차입금 0억 × 4.70%(CF 이자지급 ÷ 평균 총차입금(2022Q3~2023Q2; 주석 이자비용 11분기 &lt; 4)) (연율) ÷ 4; 환율 효과는 환관련손익 행 별도
[identity]</t>
      </text>
    </comment>
    <comment ref="AC12" authorId="0" shapeId="0">
      <text>
        <t>추정: 이자발생자산 900억 × 2.27%(주석 이자수익 ÷ 평균 이자발생자산(2025Q3~2026Q2)) − 총차입금 0억 × 4.70%(CF 이자지급 ÷ 평균 총차입금(2022Q3~2023Q2; 주석 이자비용 11분기 &lt; 4)) (연율) ÷ 4
[interest]</t>
      </text>
    </comment>
    <comment ref="AD12" authorId="0" shapeId="0">
      <text>
        <t>추정: 이자발생자산 929억 × 2.27%(주석 이자수익 ÷ 평균 이자발생자산(2025Q3~2026Q2)) − 총차입금 0억 × 4.70%(CF 이자지급 ÷ 평균 총차입금(2022Q3~2023Q2; 주석 이자비용 11분기 &lt; 4)) (연율) ÷ 4
[interest]</t>
      </text>
    </comment>
    <comment ref="AF12" authorId="0" shapeId="0">
      <text>
        <t>추정: 이자발생자산 960억 × 2.27%(주석 이자수익 ÷ 평균 이자발생자산(2025Q3~2026Q2)) − 총차입금 0억 × 4.70%(CF 이자지급 ÷ 평균 총차입금(2022Q3~2023Q2; 주석 이자비용 11분기 &lt; 4)) (연율) ÷ 4
[interest]</t>
      </text>
    </comment>
    <comment ref="AG12" authorId="0" shapeId="0">
      <text>
        <t>추정: 이자발생자산 990억 × 2.27%(주석 이자수익 ÷ 평균 이자발생자산(2025Q3~2026Q2)) − 총차입금 0억 × 4.70%(CF 이자지급 ÷ 평균 총차입금(2022Q3~2023Q2; 주석 이자비용 11분기 &lt; 4)) (연율) ÷ 4
[interest]</t>
      </text>
    </comment>
    <comment ref="AH12" authorId="0" shapeId="0">
      <text>
        <t>추정: 이자발생자산 996억 × 2.27%(주석 이자수익 ÷ 평균 이자발생자산(2025Q3~2026Q2)) − 총차입금 0억 × 4.70%(CF 이자지급 ÷ 평균 총차입금(2022Q3~2023Q2; 주석 이자비용 11분기 &lt; 4)) (연율) ÷ 4
[interest]</t>
      </text>
    </comment>
    <comment ref="AI12" authorId="0" shapeId="0">
      <text>
        <t>추정: 이자발생자산 1023억 × 2.27%(주석 이자수익 ÷ 평균 이자발생자산(2025Q3~2026Q2)) − 총차입금 0억 × 4.70%(CF 이자지급 ÷ 평균 총차입금(2022Q3~2023Q2; 주석 이자비용 11분기 &lt; 4)) (연율) ÷ 4
[interest]</t>
      </text>
    </comment>
    <comment ref="AK12" authorId="0" shapeId="0">
      <text>
        <t>추정: 이자발생자산 1051억 × 2.27%(주석 이자수익 ÷ 평균 이자발생자산(2025Q3~2026Q2)) − 총차입금 0억 × 4.70%(CF 이자지급 ÷ 평균 총차입금(2022Q3~2023Q2; 주석 이자비용 11분기 &lt; 4)) (연율) ÷ 4
[interest]</t>
      </text>
    </comment>
    <comment ref="AL12" authorId="0" shapeId="0">
      <text>
        <t>추정: 이자발생자산 1080억 × 2.27%(주석 이자수익 ÷ 평균 이자발생자산(2025Q3~2026Q2)) − 총차입금 0억 × 4.70%(CF 이자지급 ÷ 평균 총차입금(2022Q3~2023Q2; 주석 이자비용 11분기 &lt; 4)) (연율) ÷ 4
[interest]</t>
      </text>
    </comment>
    <comment ref="AM12" authorId="0" shapeId="0">
      <text>
        <t>추정: 이자발생자산 1083억 × 2.27%(주석 이자수익 ÷ 평균 이자발생자산(2025Q3~2026Q2)) − 총차입금 0억 × 4.70%(CF 이자지급 ÷ 평균 총차입금(2022Q3~2023Q2; 주석 이자비용 11분기 &lt; 4)) (연율) ÷ 4
[interest]</t>
      </text>
    </comment>
    <comment ref="AN12" authorId="0" shapeId="0">
      <text>
        <t>추정: 이자발생자산 1110억 × 2.27%(주석 이자수익 ÷ 평균 이자발생자산(2025Q3~2026Q2)) − 총차입금 0억 × 4.70%(CF 이자지급 ÷ 평균 총차입금(2022Q3~2023Q2; 주석 이자비용 11분기 &lt; 4))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D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F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G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H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I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K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L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M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N18" authorId="0" shapeId="0">
      <text>
        <t>추정: max(세전, 0) × 세율 24.3%(최근 12분기 유효세율 177.6% 가 5~27% 밖 → 클립 대신 최근 8분기 중 세전 &gt; 0 인 7분기(2024Q3~2026Q2)의 법인세/세전 중위 24.3%)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130원 유지
[abs]</t>
      </text>
    </comment>
    <comment ref="AI34" authorId="0" shapeId="0">
      <text>
        <t>추정: 직전 결산 DPS 130원 유지
[abs]</t>
      </text>
    </comment>
    <comment ref="AN34" authorId="0" shapeId="0">
      <text>
        <t>추정: 직전 결산 DPS 130원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현대리바트(079430)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24.29% — 법인세 = MAX(세전,0) × 세율, 추정 전 분기 연결(Σ법인세/Σmax(세전,0) 역산, 재현 오차 ≤ 0.05억). 모델 가정 24.29% · 근거: 최근 12분기 유효세율 177.6% 가 5~27% 밖 → 클립 대신 최근 8분기 중 세전 &gt; 0 인 7분기(2024Q3~2026Q2)의 법인세/세전 중위 24.3%</t>
        </is>
      </c>
    </row>
    <row r="23">
      <c r="A23" t="inlineStr">
        <is>
          <t>· 판관비율 16.37%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2.27% / 부채 0.00% — 이자손익 = (전분기 이자발생자산 × 자산이자율 − 전분기 총차입금 × 부채이자율)/4, 최소자승 역산(모델 assumptions [0.0227, 0.047] 는 4자리 반올림이라 그대로 쓰면 ±1억 어긋남) · 출처: {"asset": "주석 이자수익 ÷ 평균 이자발생자산(2025Q3~2026Q2)", "debt": "CF 이자지급 ÷ 평균 총차입금(2022Q3~2023Q2; 주석 이자비용 11분기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12.8/16.0/30.0배(hist_quarterly(분기 평균가 ÷ TTM EPS, 8분기, 25/50/75 백분위) · 캡 5~30배 적용(원값 12.8/16.0/56.4))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assets/models/079430.json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0.53 가 단일 검정 5% 임계 r 0.71 미달(n=8, n_eff=8) (suppliers_mentions·시차 1·YoY·창 8)): 전년동기 × (1+g) 추세 / 이자발생자산 이자율: 주석 연율 2.3% 가 CF 연율 1.0% 의 2.3배 — 최근 4분기 연속 주석이라 유지(차입금 외 이자 포함 가능 — 주석 확인). 클립 조건: stale 또는 &gt; 20% / 감가상각비가 face·CF 에 없음(주석 미파싱) → EBITDA·EV/EBITDA 미산출 / 금융손익 실적→추정 단절: 최근 4분기 실적 +1/-0/+8/-3(중위 +1억) → 추정 2026Q3 +5억(차 +5억, +871%)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53.5, "op_wape_pct": 159.0, "n": 4, "note": "단일 회사 4분기 — 통계 아님", "driver_at_freeze": "customer_yard_revenue_weighted", "selection_oos_at_freeze": {"freeze": "2024Q2", "n": 4, "wape_link": 9.8, "wape_trend": 25.5,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5265.44, "rev_act": 3406.55, "op_pred": 68.09, "op_act": 37.37}, {"q": "2025Q4", "rev_pred": 5473.11, "rev_act": 3579.2, "op_pred": 70.77, "op_act": -26.11}, {"q": "2026Q1", "rev_pred": 5550.0, "rev_act": 3559.35, "op_pred": 71.77, "op_act": 10.53}, {"q": "2026Q2", "rev_pred": 5627.6, "rev_act": 3731.33, "op_pred": 72.77, "op_act": 55.59}]}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15150</v>
      </c>
      <c r="F15" s="9" t="n"/>
      <c r="G15" s="18" t="n">
        <v>15950</v>
      </c>
      <c r="H15" s="18" t="n">
        <v>10950</v>
      </c>
      <c r="I15" s="18" t="n">
        <v>9210</v>
      </c>
      <c r="J15" s="18" t="n">
        <v>8590</v>
      </c>
      <c r="K15" s="9" t="n"/>
      <c r="L15" s="18" t="n">
        <v>7910</v>
      </c>
      <c r="M15" s="18" t="n">
        <v>8650</v>
      </c>
      <c r="N15" s="18" t="n">
        <v>8990</v>
      </c>
      <c r="O15" s="18" t="n">
        <v>7760</v>
      </c>
      <c r="P15" s="9" t="n"/>
      <c r="Q15" s="18" t="n">
        <v>7670</v>
      </c>
      <c r="R15" s="18" t="n">
        <v>9220</v>
      </c>
      <c r="S15" s="18" t="n">
        <v>7990</v>
      </c>
      <c r="T15" s="18" t="n">
        <v>7630</v>
      </c>
      <c r="U15" s="9" t="n"/>
      <c r="V15" s="18" t="n">
        <v>6910</v>
      </c>
      <c r="W15" s="18" t="n">
        <v>7880</v>
      </c>
      <c r="X15" s="18" t="n">
        <v>7070</v>
      </c>
      <c r="Y15" s="18" t="n">
        <v>6890</v>
      </c>
      <c r="Z15" s="9" t="n"/>
      <c r="AA15" s="18" t="n">
        <v>6810</v>
      </c>
      <c r="AB15" s="19" t="n">
        <v>5780</v>
      </c>
      <c r="AC15" s="20" t="n">
        <v>5730</v>
      </c>
      <c r="AD15" s="20" t="n">
        <v>5380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17500</v>
      </c>
      <c r="F16" s="9" t="n"/>
      <c r="G16" s="18" t="n">
        <v>17800</v>
      </c>
      <c r="H16" s="18" t="n">
        <v>17000</v>
      </c>
      <c r="I16" s="18" t="n">
        <v>11950</v>
      </c>
      <c r="J16" s="18" t="n">
        <v>11750</v>
      </c>
      <c r="K16" s="9" t="n"/>
      <c r="L16" s="18" t="n">
        <v>9730</v>
      </c>
      <c r="M16" s="18" t="n">
        <v>10010</v>
      </c>
      <c r="N16" s="18" t="n">
        <v>9200</v>
      </c>
      <c r="O16" s="18" t="n">
        <v>9650</v>
      </c>
      <c r="P16" s="9" t="n"/>
      <c r="Q16" s="18" t="n">
        <v>9080</v>
      </c>
      <c r="R16" s="18" t="n">
        <v>11800</v>
      </c>
      <c r="S16" s="18" t="n">
        <v>10810</v>
      </c>
      <c r="T16" s="18" t="n">
        <v>9360</v>
      </c>
      <c r="U16" s="9" t="n"/>
      <c r="V16" s="18" t="n">
        <v>7990</v>
      </c>
      <c r="W16" s="18" t="n">
        <v>8420</v>
      </c>
      <c r="X16" s="18" t="n">
        <v>8610</v>
      </c>
      <c r="Y16" s="18" t="n">
        <v>7170</v>
      </c>
      <c r="Z16" s="9" t="n"/>
      <c r="AA16" s="18" t="n">
        <v>8900</v>
      </c>
      <c r="AB16" s="19" t="n">
        <v>9300</v>
      </c>
      <c r="AC16" s="20" t="n">
        <v>6290</v>
      </c>
      <c r="AD16" s="20" t="n">
        <v>5800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13300</v>
      </c>
      <c r="F17" s="9" t="n"/>
      <c r="G17" s="18" t="n">
        <v>12500</v>
      </c>
      <c r="H17" s="18" t="n">
        <v>10150</v>
      </c>
      <c r="I17" s="18" t="n">
        <v>9020</v>
      </c>
      <c r="J17" s="18" t="n">
        <v>8210</v>
      </c>
      <c r="K17" s="9" t="n"/>
      <c r="L17" s="18" t="n">
        <v>7630</v>
      </c>
      <c r="M17" s="18" t="n">
        <v>7700</v>
      </c>
      <c r="N17" s="18" t="n">
        <v>6600</v>
      </c>
      <c r="O17" s="18" t="n">
        <v>7600</v>
      </c>
      <c r="P17" s="9" t="n"/>
      <c r="Q17" s="18" t="n">
        <v>6840</v>
      </c>
      <c r="R17" s="18" t="n">
        <v>7160</v>
      </c>
      <c r="S17" s="18" t="n">
        <v>7690</v>
      </c>
      <c r="T17" s="18" t="n">
        <v>7060</v>
      </c>
      <c r="U17" s="9" t="n"/>
      <c r="V17" s="18" t="n">
        <v>6900</v>
      </c>
      <c r="W17" s="18" t="n">
        <v>6590</v>
      </c>
      <c r="X17" s="18" t="n">
        <v>7040</v>
      </c>
      <c r="Y17" s="18" t="n">
        <v>5980</v>
      </c>
      <c r="Z17" s="9" t="n"/>
      <c r="AA17" s="18" t="n">
        <v>6330</v>
      </c>
      <c r="AB17" s="19" t="n">
        <v>5420</v>
      </c>
      <c r="AC17" s="20" t="n">
        <v>5100</v>
      </c>
      <c r="AD17" s="20" t="n">
        <v>5310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15515.9</v>
      </c>
      <c r="F18" s="9" t="n"/>
      <c r="G18" s="18" t="n">
        <v>14335.6</v>
      </c>
      <c r="H18" s="18" t="n">
        <v>13646.8</v>
      </c>
      <c r="I18" s="18" t="n">
        <v>10967.5</v>
      </c>
      <c r="J18" s="18" t="n">
        <v>9196.5</v>
      </c>
      <c r="K18" s="9" t="n"/>
      <c r="L18" s="18" t="n">
        <v>8797.6</v>
      </c>
      <c r="M18" s="18" t="n">
        <v>8121.8</v>
      </c>
      <c r="N18" s="18" t="n">
        <v>8094.2</v>
      </c>
      <c r="O18" s="18" t="n">
        <v>8076.2</v>
      </c>
      <c r="P18" s="9" t="n"/>
      <c r="Q18" s="18" t="n">
        <v>7589.3</v>
      </c>
      <c r="R18" s="18" t="n">
        <v>8743.799999999999</v>
      </c>
      <c r="S18" s="18" t="n">
        <v>8906.6</v>
      </c>
      <c r="T18" s="18" t="n">
        <v>7951.6</v>
      </c>
      <c r="U18" s="9" t="n"/>
      <c r="V18" s="18" t="n">
        <v>7493.1</v>
      </c>
      <c r="W18" s="18" t="n">
        <v>7575.8</v>
      </c>
      <c r="X18" s="18" t="n">
        <v>7612.3</v>
      </c>
      <c r="Y18" s="18" t="n">
        <v>6535.6</v>
      </c>
      <c r="Z18" s="9" t="n"/>
      <c r="AA18" s="18" t="n">
        <v>6910.8</v>
      </c>
      <c r="AB18" s="19" t="n">
        <v>6866.4</v>
      </c>
      <c r="AC18" s="20" t="n">
        <v>5830.8</v>
      </c>
      <c r="AD18" s="20" t="n">
        <v>5604.3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-0.16830273</v>
      </c>
      <c r="AD21" s="24" t="n">
        <v>-0.168302694</v>
      </c>
      <c r="AE21" s="25" t="n"/>
      <c r="AF21" s="24" t="n">
        <v>-0.168304043</v>
      </c>
      <c r="AG21" s="24" t="n">
        <v>-0.168302811</v>
      </c>
      <c r="AH21" s="24" t="n">
        <v>-0.08415160100000001</v>
      </c>
      <c r="AI21" s="24" t="n">
        <v>-0.084150483</v>
      </c>
      <c r="AJ21" s="25" t="n"/>
      <c r="AK21" s="24" t="n">
        <v>-0.08415025499999999</v>
      </c>
      <c r="AL21" s="24" t="n">
        <v>-0.084151269</v>
      </c>
      <c r="AM21" s="24" t="n">
        <v>-0.042076461</v>
      </c>
      <c r="AN21" s="24" t="n">
        <v>-0.042078854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0.01168282</v>
      </c>
      <c r="AD23" s="24" t="n">
        <v>0.011683648</v>
      </c>
      <c r="AE23" s="25">
        <f>IFERROR(subQ!AE9/subQ!AE5,"")</f>
        <v/>
      </c>
      <c r="AF23" s="24" t="n">
        <v>0.011681249</v>
      </c>
      <c r="AG23" s="24" t="n">
        <v>0.011680963</v>
      </c>
      <c r="AH23" s="24" t="n">
        <v>0.011681054</v>
      </c>
      <c r="AI23" s="24" t="n">
        <v>0.011682457</v>
      </c>
      <c r="AJ23" s="25">
        <f>IFERROR(subQ!AJ9/subQ!AJ5,"")</f>
        <v/>
      </c>
      <c r="AK23" s="24" t="n">
        <v>0.011681217</v>
      </c>
      <c r="AL23" s="24" t="n">
        <v>0.011681133</v>
      </c>
      <c r="AM23" s="24" t="n">
        <v>0.011683202</v>
      </c>
      <c r="AN23" s="24" t="n">
        <v>0.011682538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32" t="n"/>
      <c r="AD30" s="32" t="n"/>
      <c r="AE30" s="25" t="n"/>
      <c r="AF30" s="32" t="n"/>
      <c r="AG30" s="32" t="n"/>
      <c r="AH30" s="32" t="n"/>
      <c r="AI30" s="32" t="n"/>
      <c r="AJ30" s="25" t="n"/>
      <c r="AK30" s="32" t="n"/>
      <c r="AL30" s="32" t="n"/>
      <c r="AM30" s="32" t="n"/>
      <c r="AN30" s="32" t="n"/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0.005754465</v>
      </c>
      <c r="AD31" s="30" t="n">
        <v>-0.002606911</v>
      </c>
      <c r="AE31" s="31" t="n"/>
      <c r="AF31" s="30" t="n">
        <v>-0.00403701</v>
      </c>
      <c r="AG31" s="30" t="n">
        <v>26.150262994</v>
      </c>
      <c r="AH31" s="30" t="n">
        <v>-0.003289889</v>
      </c>
      <c r="AI31" s="30" t="n">
        <v>-0.000619259</v>
      </c>
      <c r="AJ31" s="31" t="n"/>
      <c r="AK31" s="30" t="n">
        <v>-0.004711348</v>
      </c>
      <c r="AL31" s="30" t="n">
        <v>26.145833236</v>
      </c>
      <c r="AM31" s="30" t="n">
        <v>0.00172711</v>
      </c>
      <c r="AN31" s="30" t="n">
        <v>-0.00113153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0.005754465</v>
      </c>
      <c r="AD32" s="30" t="n">
        <v>-0.002606911</v>
      </c>
      <c r="AE32" s="31" t="n"/>
      <c r="AF32" s="30" t="n">
        <v>-0.00403701</v>
      </c>
      <c r="AG32" s="30" t="n">
        <v>26.150262994</v>
      </c>
      <c r="AH32" s="30" t="n">
        <v>-0.003289889</v>
      </c>
      <c r="AI32" s="30" t="n">
        <v>-0.000619259</v>
      </c>
      <c r="AJ32" s="31" t="n"/>
      <c r="AK32" s="30" t="n">
        <v>-0.004711348</v>
      </c>
      <c r="AL32" s="30" t="n">
        <v>26.145833236</v>
      </c>
      <c r="AM32" s="30" t="n">
        <v>0.00172711</v>
      </c>
      <c r="AN32" s="30" t="n">
        <v>-0.00113153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0.032111391</v>
      </c>
      <c r="AD35" s="24" t="n">
        <v>0.032623198</v>
      </c>
      <c r="AE35" s="25" t="n"/>
      <c r="AF35" s="24" t="n">
        <v>0.031571708</v>
      </c>
      <c r="AG35" s="24" t="n">
        <v>0.005595847</v>
      </c>
      <c r="AH35" s="24" t="n">
        <v>0.027341396</v>
      </c>
      <c r="AI35" s="24" t="n">
        <v>0.02786523</v>
      </c>
      <c r="AJ35" s="25" t="n"/>
      <c r="AK35" s="24" t="n">
        <v>0.027100297</v>
      </c>
      <c r="AL35" s="24" t="n">
        <v>0.003352566</v>
      </c>
      <c r="AM35" s="24" t="n">
        <v>0.024580253</v>
      </c>
      <c r="AN35" s="24" t="n">
        <v>0.025098647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-0.473700007</v>
      </c>
      <c r="AD37" s="24" t="n">
        <v>-0.219872129</v>
      </c>
      <c r="AE37" s="25" t="n"/>
      <c r="AF37" s="24" t="n">
        <v>0.392631251</v>
      </c>
      <c r="AG37" s="24" t="n">
        <v>0.813816033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130</v>
      </c>
      <c r="AE40" s="31">
        <f>subQ!AE34</f>
        <v/>
      </c>
      <c r="AF40" s="33" t="n"/>
      <c r="AG40" s="33" t="n"/>
      <c r="AH40" s="33" t="n"/>
      <c r="AI40" s="30" t="n">
        <v>130</v>
      </c>
      <c r="AJ40" s="31">
        <f>subQ!AJ34</f>
        <v/>
      </c>
      <c r="AK40" s="33" t="n"/>
      <c r="AL40" s="33" t="n"/>
      <c r="AM40" s="33" t="n"/>
      <c r="AN40" s="30" t="n">
        <v>130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5380</v>
      </c>
      <c r="E43" s="2" t="inlineStr">
        <is>
          <t>원 — 네이버 정규장 종가(aik 확정종가 대조 · aik 5,570원)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20261013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12.8</v>
      </c>
      <c r="E46" s="2" t="inlineStr">
        <is>
          <t>PER 밴드 하단(배) — hist_quarterly(분기 평균가 ÷ TTM EPS, 8분기, 25/50/75 백분위) · 캡 5~30배 적용(원값 12.8/16.0/56.4)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16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30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0.2428780513303016</v>
      </c>
      <c r="E50" s="2" t="inlineStr">
        <is>
          <t>연결 — 법인세 = MAX(세전,0) × 세율(역산, 재현 오차 ≤ 0.05억 · 모델 assumptions 0.2429) · 최근 12분기 유효세율 177.6% 가 5~27% 밖 → 클립 대신 최근 8분기 중 세전 &gt; 0 인 7분기(2024Q3~2026Q2)의 법인세/세전 중위 24.3%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0.1636509049798943</v>
      </c>
      <c r="E51" s="2" t="inlineStr">
        <is>
          <t>연결 — 판관비 = 매출액 × 판관비율(역산, 재현 오차 ≤ 0.05억 · 모델 assumptions 0.1637)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0.02265093829907016</v>
      </c>
      <c r="E53" s="2" t="inlineStr">
        <is>
          <t>연결 — 이자손익 = (전분기 이자발생자산 × 자산이자율 − 전분기 총차입금 × 부채이자율)/4(역산, 재현 오차 ≤ 0.05억 · 모델 assumptions 0.0227)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 · 모델 assumptions 0.047)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0.353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현대리바트(연)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430586.11</v>
      </c>
      <c r="F5" s="37" t="n">
        <v>430586.11</v>
      </c>
      <c r="G5" s="18" t="n">
        <v>385413.14</v>
      </c>
      <c r="H5" s="18" t="n">
        <v>407344.29</v>
      </c>
      <c r="I5" s="18" t="n">
        <v>440514.04</v>
      </c>
      <c r="J5" s="18" t="n">
        <v>452085.67</v>
      </c>
      <c r="K5" s="37" t="n">
        <v>452085.67</v>
      </c>
      <c r="L5" s="18" t="n">
        <v>436815.13</v>
      </c>
      <c r="M5" s="18" t="n">
        <v>469370.3</v>
      </c>
      <c r="N5" s="18" t="n">
        <v>530911.66</v>
      </c>
      <c r="O5" s="18" t="n">
        <v>511898.83</v>
      </c>
      <c r="P5" s="37" t="n">
        <v>511898.83</v>
      </c>
      <c r="Q5" s="18" t="n">
        <v>563551.1800000001</v>
      </c>
      <c r="R5" s="18" t="n">
        <v>541852.46</v>
      </c>
      <c r="S5" s="18" t="n">
        <v>529131.27</v>
      </c>
      <c r="T5" s="18" t="n">
        <v>478301.94</v>
      </c>
      <c r="U5" s="37" t="n">
        <v>478301.94</v>
      </c>
      <c r="V5" s="18" t="n">
        <v>474362.69</v>
      </c>
      <c r="W5" s="18" t="n">
        <v>461003.21</v>
      </c>
      <c r="X5" s="18" t="n">
        <v>414269.07</v>
      </c>
      <c r="Y5" s="18" t="n">
        <v>405941.23</v>
      </c>
      <c r="Z5" s="37" t="n">
        <v>405941.23</v>
      </c>
      <c r="AA5" s="18" t="n">
        <v>455561.55</v>
      </c>
      <c r="AB5" s="19" t="n">
        <v>479386.76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14279.25</v>
      </c>
      <c r="F6" s="37" t="n">
        <v>14279.25</v>
      </c>
      <c r="G6" s="18" t="n">
        <v>10698.94</v>
      </c>
      <c r="H6" s="18" t="n">
        <v>10653.03</v>
      </c>
      <c r="I6" s="18" t="n">
        <v>12545.3</v>
      </c>
      <c r="J6" s="18" t="n">
        <v>14896.6</v>
      </c>
      <c r="K6" s="37" t="n">
        <v>14896.6</v>
      </c>
      <c r="L6" s="18" t="n">
        <v>18605.43</v>
      </c>
      <c r="M6" s="18" t="n">
        <v>14313.62</v>
      </c>
      <c r="N6" s="18" t="n">
        <v>15942.53</v>
      </c>
      <c r="O6" s="18" t="n">
        <v>21158.75</v>
      </c>
      <c r="P6" s="37" t="n">
        <v>21158.75</v>
      </c>
      <c r="Q6" s="18" t="n">
        <v>9048.059999999999</v>
      </c>
      <c r="R6" s="18" t="n">
        <v>10907</v>
      </c>
      <c r="S6" s="18" t="n">
        <v>58103.82</v>
      </c>
      <c r="T6" s="18" t="n">
        <v>19122.66</v>
      </c>
      <c r="U6" s="37" t="n">
        <v>19122.66</v>
      </c>
      <c r="V6" s="18" t="n">
        <v>20019.41</v>
      </c>
      <c r="W6" s="18" t="n">
        <v>32250.37</v>
      </c>
      <c r="X6" s="18" t="n">
        <v>17318.76</v>
      </c>
      <c r="Y6" s="18" t="n">
        <v>18308.94</v>
      </c>
      <c r="Z6" s="37" t="n">
        <v>18308.94</v>
      </c>
      <c r="AA6" s="18" t="n">
        <v>32198.25</v>
      </c>
      <c r="AB6" s="19" t="n">
        <v>62336.58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237036.37</v>
      </c>
      <c r="F7" s="37" t="n">
        <v>237036.37</v>
      </c>
      <c r="G7" s="18" t="n">
        <v>209882</v>
      </c>
      <c r="H7" s="18" t="n">
        <v>203970.25</v>
      </c>
      <c r="I7" s="18" t="n">
        <v>211829.17</v>
      </c>
      <c r="J7" s="18" t="n">
        <v>246854.8</v>
      </c>
      <c r="K7" s="37" t="n">
        <v>246854.8</v>
      </c>
      <c r="L7" s="18" t="n">
        <v>232002.24</v>
      </c>
      <c r="M7" s="18" t="n">
        <v>245614.88</v>
      </c>
      <c r="N7" s="18" t="n">
        <v>293236.36</v>
      </c>
      <c r="O7" s="18" t="n">
        <v>258609.36</v>
      </c>
      <c r="P7" s="37" t="n">
        <v>258609.36</v>
      </c>
      <c r="Q7" s="18" t="n">
        <v>332543.86</v>
      </c>
      <c r="R7" s="18" t="n">
        <v>315666.75</v>
      </c>
      <c r="S7" s="18" t="n">
        <v>253078.1</v>
      </c>
      <c r="T7" s="18" t="n">
        <v>223102.42</v>
      </c>
      <c r="U7" s="37" t="n">
        <v>223102.42</v>
      </c>
      <c r="V7" s="18" t="n">
        <v>241887.88</v>
      </c>
      <c r="W7" s="18" t="n">
        <v>236415.49</v>
      </c>
      <c r="X7" s="18" t="n">
        <v>213746.8</v>
      </c>
      <c r="Y7" s="18" t="n">
        <v>201881.38</v>
      </c>
      <c r="Z7" s="37" t="n">
        <v>201881.38</v>
      </c>
      <c r="AA7" s="18" t="n">
        <v>222690.27</v>
      </c>
      <c r="AB7" s="19" t="n">
        <v>222573.88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8951.379999999999</v>
      </c>
      <c r="F8" s="37" t="n">
        <v>8951.379999999999</v>
      </c>
      <c r="G8" s="18" t="n">
        <v>8030.93</v>
      </c>
      <c r="H8" s="18" t="n">
        <v>7744.57</v>
      </c>
      <c r="I8" s="18" t="n">
        <v>7767.15</v>
      </c>
      <c r="J8" s="18" t="n">
        <v>7814.4</v>
      </c>
      <c r="K8" s="37" t="n">
        <v>7814.4</v>
      </c>
      <c r="L8" s="18" t="n">
        <v>5942.95</v>
      </c>
      <c r="M8" s="18" t="n">
        <v>5600.21</v>
      </c>
      <c r="N8" s="18" t="n">
        <v>5786.41</v>
      </c>
      <c r="O8" s="18" t="n">
        <v>5611.67</v>
      </c>
      <c r="P8" s="37" t="n">
        <v>5611.67</v>
      </c>
      <c r="Q8" s="18" t="n">
        <v>5536.68</v>
      </c>
      <c r="R8" s="18" t="n">
        <v>9005.57</v>
      </c>
      <c r="S8" s="18" t="n">
        <v>9295.65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8951.379999999999</v>
      </c>
      <c r="F9" s="37" t="n">
        <v>8951.379999999999</v>
      </c>
      <c r="G9" s="18" t="n">
        <v>8030.93</v>
      </c>
      <c r="H9" s="18" t="n">
        <v>7744.57</v>
      </c>
      <c r="I9" s="18" t="n">
        <v>7767.15</v>
      </c>
      <c r="J9" s="18" t="n">
        <v>7814.4</v>
      </c>
      <c r="K9" s="37" t="n">
        <v>7814.4</v>
      </c>
      <c r="L9" s="18" t="n">
        <v>5942.95</v>
      </c>
      <c r="M9" s="18" t="n">
        <v>5600.21</v>
      </c>
      <c r="N9" s="18" t="n">
        <v>5786.41</v>
      </c>
      <c r="O9" s="18" t="n">
        <v>5611.67</v>
      </c>
      <c r="P9" s="37" t="n">
        <v>5611.67</v>
      </c>
      <c r="Q9" s="18" t="n">
        <v>5536.68</v>
      </c>
      <c r="R9" s="18" t="n">
        <v>9005.57</v>
      </c>
      <c r="S9" s="18" t="n">
        <v>9295.65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142534.05</v>
      </c>
      <c r="F10" s="37" t="n">
        <v>142534.05</v>
      </c>
      <c r="G10" s="18" t="n">
        <v>132502.7</v>
      </c>
      <c r="H10" s="18" t="n">
        <v>153985.32</v>
      </c>
      <c r="I10" s="18" t="n">
        <v>164842.44</v>
      </c>
      <c r="J10" s="18" t="n">
        <v>162300.13</v>
      </c>
      <c r="K10" s="37" t="n">
        <v>162300.13</v>
      </c>
      <c r="L10" s="18" t="n">
        <v>166069.26</v>
      </c>
      <c r="M10" s="18" t="n">
        <v>189425.39</v>
      </c>
      <c r="N10" s="18" t="n">
        <v>203940.53</v>
      </c>
      <c r="O10" s="18" t="n">
        <v>213456.76</v>
      </c>
      <c r="P10" s="37" t="n">
        <v>213456.76</v>
      </c>
      <c r="Q10" s="18" t="n">
        <v>204099.94</v>
      </c>
      <c r="R10" s="18" t="n">
        <v>193026.95</v>
      </c>
      <c r="S10" s="18" t="n">
        <v>199808.92</v>
      </c>
      <c r="T10" s="18" t="n">
        <v>219376.94</v>
      </c>
      <c r="U10" s="37" t="n">
        <v>219376.94</v>
      </c>
      <c r="V10" s="18" t="n">
        <v>193972.96</v>
      </c>
      <c r="W10" s="18" t="n">
        <v>174032.45</v>
      </c>
      <c r="X10" s="18" t="n">
        <v>166883.51</v>
      </c>
      <c r="Y10" s="18" t="n">
        <v>165047.7</v>
      </c>
      <c r="Z10" s="37" t="n">
        <v>165047.7</v>
      </c>
      <c r="AA10" s="18" t="n">
        <v>153733.69</v>
      </c>
      <c r="AB10" s="19" t="n">
        <v>154965.33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H11" s="18" t="n">
        <v>0.09</v>
      </c>
      <c r="I11" s="18" t="n">
        <v>45.29</v>
      </c>
      <c r="J11" s="18" t="n">
        <v>1844.5</v>
      </c>
      <c r="K11" s="37" t="n">
        <v>1844.5</v>
      </c>
      <c r="L11" s="18" t="n">
        <v>1854.79</v>
      </c>
      <c r="M11" s="18" t="n">
        <v>75.97</v>
      </c>
      <c r="N11" s="18" t="n">
        <v>61.12</v>
      </c>
      <c r="O11" s="18" t="n">
        <v>75.13</v>
      </c>
      <c r="P11" s="37" t="n">
        <v>75.13</v>
      </c>
      <c r="Q11" s="18" t="n">
        <v>203.19</v>
      </c>
      <c r="R11" s="18" t="n">
        <v>177.59</v>
      </c>
      <c r="S11" s="18" t="n">
        <v>47.63</v>
      </c>
      <c r="T11" s="18" t="n">
        <v>174.2</v>
      </c>
      <c r="U11" s="37" t="n">
        <v>174.2</v>
      </c>
      <c r="V11" s="18" t="n">
        <v>169.1</v>
      </c>
      <c r="W11" s="18" t="n">
        <v>37.52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27662.06</v>
      </c>
      <c r="F13" s="37" t="n">
        <v>27662.06</v>
      </c>
      <c r="G13" s="18" t="n">
        <v>24203.9</v>
      </c>
      <c r="H13" s="18" t="n">
        <v>30851.52</v>
      </c>
      <c r="I13" s="18" t="n">
        <v>23492.4</v>
      </c>
      <c r="J13" s="18" t="n">
        <v>11580.25</v>
      </c>
      <c r="K13" s="37" t="n">
        <v>11580.25</v>
      </c>
      <c r="L13" s="18" t="n">
        <v>6556.4</v>
      </c>
      <c r="M13" s="18" t="n">
        <v>8500.799999999999</v>
      </c>
      <c r="N13" s="18" t="n">
        <v>5411.4</v>
      </c>
      <c r="O13" s="18" t="n">
        <v>6727.08</v>
      </c>
      <c r="P13" s="37" t="n">
        <v>6727.08</v>
      </c>
      <c r="Q13" s="18" t="n">
        <v>7850.68</v>
      </c>
      <c r="R13" s="18" t="n">
        <v>8699.01</v>
      </c>
      <c r="S13" s="18" t="n">
        <v>6651.64</v>
      </c>
      <c r="T13" s="18" t="n">
        <v>6201.62</v>
      </c>
      <c r="U13" s="37" t="n">
        <v>6201.62</v>
      </c>
      <c r="V13" s="18" t="n">
        <v>7492.2</v>
      </c>
      <c r="W13" s="18" t="n">
        <v>6306.17</v>
      </c>
      <c r="X13" s="18" t="n">
        <v>5606.12</v>
      </c>
      <c r="Y13" s="18" t="n">
        <v>5956.56</v>
      </c>
      <c r="Z13" s="37" t="n">
        <v>5956.56</v>
      </c>
      <c r="AA13" s="18" t="n">
        <v>10597.22</v>
      </c>
      <c r="AB13" s="19" t="n">
        <v>10886.75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433062.39</v>
      </c>
      <c r="F14" s="37" t="n">
        <v>433062.39</v>
      </c>
      <c r="G14" s="18" t="n">
        <v>432150.86</v>
      </c>
      <c r="H14" s="18" t="n">
        <v>432157.5</v>
      </c>
      <c r="I14" s="18" t="n">
        <v>426520.87</v>
      </c>
      <c r="J14" s="18" t="n">
        <v>402073.66</v>
      </c>
      <c r="K14" s="37" t="n">
        <v>402073.66</v>
      </c>
      <c r="L14" s="18" t="n">
        <v>401198.54</v>
      </c>
      <c r="M14" s="18" t="n">
        <v>396144.87</v>
      </c>
      <c r="N14" s="18" t="n">
        <v>392192.79</v>
      </c>
      <c r="O14" s="18" t="n">
        <v>387562.5</v>
      </c>
      <c r="P14" s="37" t="n">
        <v>387562.5</v>
      </c>
      <c r="Q14" s="18" t="n">
        <v>374788.61</v>
      </c>
      <c r="R14" s="18" t="n">
        <v>367200.51</v>
      </c>
      <c r="S14" s="18" t="n">
        <v>361682.64</v>
      </c>
      <c r="T14" s="18" t="n">
        <v>380084.48</v>
      </c>
      <c r="U14" s="37" t="n">
        <v>380084.48</v>
      </c>
      <c r="V14" s="18" t="n">
        <v>369347.4</v>
      </c>
      <c r="W14" s="18" t="n">
        <v>364279.11</v>
      </c>
      <c r="X14" s="18" t="n">
        <v>362951.51</v>
      </c>
      <c r="Y14" s="18" t="n">
        <v>367314.96</v>
      </c>
      <c r="Z14" s="37" t="n">
        <v>367314.96</v>
      </c>
      <c r="AA14" s="18" t="n">
        <v>341816.4</v>
      </c>
      <c r="AB14" s="19" t="n">
        <v>343547.33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35192.68</v>
      </c>
      <c r="F15" s="37" t="n">
        <v>35192.68</v>
      </c>
      <c r="G15" s="18" t="n">
        <v>35435.37</v>
      </c>
      <c r="H15" s="18" t="n">
        <v>35549.11</v>
      </c>
      <c r="I15" s="18" t="n">
        <v>34977.93</v>
      </c>
      <c r="J15" s="18" t="n">
        <v>33986.41</v>
      </c>
      <c r="K15" s="37" t="n">
        <v>33986.41</v>
      </c>
      <c r="L15" s="18" t="n">
        <v>37722.94</v>
      </c>
      <c r="M15" s="18" t="n">
        <v>38048.65</v>
      </c>
      <c r="N15" s="18" t="n">
        <v>36781.44</v>
      </c>
      <c r="O15" s="18" t="n">
        <v>36992.7</v>
      </c>
      <c r="P15" s="37" t="n">
        <v>36992.7</v>
      </c>
      <c r="Q15" s="18" t="n">
        <v>34034.56</v>
      </c>
      <c r="R15" s="18" t="n">
        <v>30238.61</v>
      </c>
      <c r="S15" s="18" t="n">
        <v>30007.66</v>
      </c>
      <c r="T15" s="18" t="n">
        <v>29972.42</v>
      </c>
      <c r="U15" s="37" t="n">
        <v>29972.42</v>
      </c>
      <c r="V15" s="18" t="n">
        <v>29803.19</v>
      </c>
      <c r="W15" s="18" t="n">
        <v>28198.72</v>
      </c>
      <c r="X15" s="18" t="n">
        <v>28653.21</v>
      </c>
      <c r="Y15" s="18" t="n">
        <v>23857.62</v>
      </c>
      <c r="Z15" s="37" t="n">
        <v>23857.62</v>
      </c>
      <c r="AA15" s="18" t="n">
        <v>21910.97</v>
      </c>
      <c r="AB15" s="19" t="n">
        <v>27711.84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35192.68</v>
      </c>
      <c r="F16" s="37" t="n">
        <v>35192.68</v>
      </c>
      <c r="G16" s="18" t="n">
        <v>35435.37</v>
      </c>
      <c r="H16" s="18" t="n">
        <v>35549.11</v>
      </c>
      <c r="I16" s="18" t="n">
        <v>34977.93</v>
      </c>
      <c r="J16" s="18" t="n">
        <v>33986.41</v>
      </c>
      <c r="K16" s="37" t="n">
        <v>33986.41</v>
      </c>
      <c r="L16" s="18" t="n">
        <v>37722.94</v>
      </c>
      <c r="M16" s="18" t="n">
        <v>38048.65</v>
      </c>
      <c r="N16" s="18" t="n">
        <v>36781.44</v>
      </c>
      <c r="O16" s="18" t="n">
        <v>36992.7</v>
      </c>
      <c r="P16" s="37" t="n">
        <v>36992.7</v>
      </c>
      <c r="Q16" s="18" t="n">
        <v>34034.56</v>
      </c>
      <c r="R16" s="18" t="n">
        <v>30238.61</v>
      </c>
      <c r="S16" s="18" t="n">
        <v>30007.66</v>
      </c>
      <c r="T16" s="18" t="n">
        <v>29972.42</v>
      </c>
      <c r="U16" s="37" t="n">
        <v>29972.42</v>
      </c>
      <c r="V16" s="18" t="n">
        <v>29803.19</v>
      </c>
      <c r="W16" s="18" t="n">
        <v>28198.72</v>
      </c>
      <c r="X16" s="18" t="n">
        <v>28653.21</v>
      </c>
      <c r="Y16" s="18" t="n">
        <v>23857.62</v>
      </c>
      <c r="Z16" s="37" t="n">
        <v>23857.62</v>
      </c>
      <c r="AA16" s="18" t="n">
        <v>21910.97</v>
      </c>
      <c r="AB16" s="19" t="n">
        <v>27711.84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365549.02</v>
      </c>
      <c r="F17" s="37" t="n">
        <v>365549.02</v>
      </c>
      <c r="G17" s="18" t="n">
        <v>366408.14</v>
      </c>
      <c r="H17" s="18" t="n">
        <v>366399.19</v>
      </c>
      <c r="I17" s="18" t="n">
        <v>361565.09</v>
      </c>
      <c r="J17" s="18" t="n">
        <v>322241.77</v>
      </c>
      <c r="K17" s="37" t="n">
        <v>322241.77</v>
      </c>
      <c r="L17" s="18" t="n">
        <v>319797.9</v>
      </c>
      <c r="M17" s="18" t="n">
        <v>315197.55</v>
      </c>
      <c r="N17" s="18" t="n">
        <v>313694.09</v>
      </c>
      <c r="O17" s="18" t="n">
        <v>302201.42</v>
      </c>
      <c r="P17" s="37" t="n">
        <v>302201.42</v>
      </c>
      <c r="Q17" s="18" t="n">
        <v>297181.71</v>
      </c>
      <c r="R17" s="18" t="n">
        <v>296479.32</v>
      </c>
      <c r="S17" s="18" t="n">
        <v>293717.9</v>
      </c>
      <c r="T17" s="18" t="n">
        <v>289575.46</v>
      </c>
      <c r="U17" s="37" t="n">
        <v>289575.46</v>
      </c>
      <c r="V17" s="18" t="n">
        <v>286014.41</v>
      </c>
      <c r="W17" s="18" t="n">
        <v>284320.95</v>
      </c>
      <c r="X17" s="18" t="n">
        <v>285179.85</v>
      </c>
      <c r="Y17" s="18" t="n">
        <v>279921.36</v>
      </c>
      <c r="Z17" s="37" t="n">
        <v>279921.36</v>
      </c>
      <c r="AA17" s="18" t="n">
        <v>276407.37</v>
      </c>
      <c r="AB17" s="19" t="n">
        <v>274244.31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1301.84</v>
      </c>
      <c r="F18" s="37" t="n">
        <v>1301.84</v>
      </c>
      <c r="G18" s="18" t="n">
        <v>1293.31</v>
      </c>
      <c r="H18" s="18" t="n">
        <v>910.47</v>
      </c>
      <c r="I18" s="18" t="n">
        <v>904.72</v>
      </c>
      <c r="J18" s="18" t="n">
        <v>898.97</v>
      </c>
      <c r="K18" s="37" t="n">
        <v>898.97</v>
      </c>
      <c r="L18" s="18" t="n">
        <v>893.21</v>
      </c>
      <c r="M18" s="18" t="n">
        <v>2008.17</v>
      </c>
      <c r="N18" s="18" t="n">
        <v>1994.65</v>
      </c>
      <c r="O18" s="18" t="n">
        <v>1981.13</v>
      </c>
      <c r="P18" s="37" t="n">
        <v>1981.13</v>
      </c>
      <c r="Q18" s="18" t="n">
        <v>1967.62</v>
      </c>
      <c r="R18" s="18" t="n">
        <v>1954.1</v>
      </c>
      <c r="S18" s="18" t="n">
        <v>1940.58</v>
      </c>
      <c r="T18" s="18" t="n">
        <v>1927.06</v>
      </c>
      <c r="U18" s="37" t="n">
        <v>1927.06</v>
      </c>
      <c r="V18" s="18" t="n">
        <v>1913.55</v>
      </c>
      <c r="W18" s="18" t="n">
        <v>1900.03</v>
      </c>
      <c r="X18" s="18" t="n">
        <v>1886.51</v>
      </c>
      <c r="Y18" s="18" t="n">
        <v>1873</v>
      </c>
      <c r="Z18" s="37" t="n">
        <v>1873</v>
      </c>
      <c r="AA18" s="18" t="n">
        <v>1859.48</v>
      </c>
      <c r="AB18" s="19" t="n">
        <v>1845.96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27998.83</v>
      </c>
      <c r="F19" s="37" t="n">
        <v>27998.83</v>
      </c>
      <c r="G19" s="18" t="n">
        <v>27756.45</v>
      </c>
      <c r="H19" s="18" t="n">
        <v>27514.06</v>
      </c>
      <c r="I19" s="18" t="n">
        <v>27271.68</v>
      </c>
      <c r="J19" s="18" t="n">
        <v>27029.29</v>
      </c>
      <c r="K19" s="37" t="n">
        <v>27029.29</v>
      </c>
      <c r="L19" s="18" t="n">
        <v>26786.91</v>
      </c>
      <c r="M19" s="18" t="n">
        <v>26544.53</v>
      </c>
      <c r="N19" s="18" t="n">
        <v>26302.14</v>
      </c>
      <c r="O19" s="18" t="n">
        <v>27081.76</v>
      </c>
      <c r="P19" s="37" t="n">
        <v>27081.76</v>
      </c>
      <c r="Q19" s="18" t="n">
        <v>26839.38</v>
      </c>
      <c r="R19" s="18" t="n">
        <v>26596.99</v>
      </c>
      <c r="S19" s="18" t="n">
        <v>26354.61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119.66</v>
      </c>
      <c r="F20" s="37" t="n">
        <v>119.66</v>
      </c>
      <c r="G20" s="18" t="n">
        <v>139.56</v>
      </c>
      <c r="H20" s="18" t="n">
        <v>167.8</v>
      </c>
      <c r="I20" s="18" t="n">
        <v>202.69</v>
      </c>
      <c r="J20" s="18" t="n">
        <v>6873.3</v>
      </c>
      <c r="K20" s="37" t="n">
        <v>6873.3</v>
      </c>
      <c r="L20" s="18" t="n">
        <v>8439.76</v>
      </c>
      <c r="M20" s="18" t="n">
        <v>7889.3</v>
      </c>
      <c r="N20" s="18" t="n">
        <v>7729.01</v>
      </c>
      <c r="O20" s="18" t="n">
        <v>13866.9</v>
      </c>
      <c r="P20" s="37" t="n">
        <v>13866.9</v>
      </c>
      <c r="Q20" s="18" t="n">
        <v>12612.71</v>
      </c>
      <c r="R20" s="18" t="n">
        <v>10885.33</v>
      </c>
      <c r="S20" s="18" t="n">
        <v>9404.42</v>
      </c>
      <c r="T20" s="18" t="n">
        <v>11037.56</v>
      </c>
      <c r="U20" s="37" t="n">
        <v>11037.56</v>
      </c>
      <c r="V20" s="18" t="n">
        <v>9838.98</v>
      </c>
      <c r="W20" s="18" t="n">
        <v>9710.299999999999</v>
      </c>
      <c r="X20" s="18" t="n">
        <v>8837.620000000001</v>
      </c>
      <c r="Y20" s="18" t="n">
        <v>8997.84</v>
      </c>
      <c r="Z20" s="37" t="n">
        <v>8997.84</v>
      </c>
      <c r="AA20" s="18" t="n">
        <v>8831.940000000001</v>
      </c>
      <c r="AB20" s="19" t="n">
        <v>8209.84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1808.5</v>
      </c>
      <c r="F21" s="37" t="n">
        <v>1808.5</v>
      </c>
      <c r="G21" s="18" t="n">
        <v>18.86</v>
      </c>
      <c r="H21" s="18" t="n">
        <v>18.1</v>
      </c>
      <c r="I21" s="18" t="n">
        <v>18.56</v>
      </c>
      <c r="J21" s="18" t="n">
        <v>9505.719999999999</v>
      </c>
      <c r="K21" s="37" t="n">
        <v>9505.719999999999</v>
      </c>
      <c r="L21" s="18" t="n">
        <v>7557.82</v>
      </c>
      <c r="M21" s="18" t="n">
        <v>6456.67</v>
      </c>
      <c r="N21" s="18" t="n">
        <v>5691.47</v>
      </c>
      <c r="O21" s="18" t="n">
        <v>5438.59</v>
      </c>
      <c r="P21" s="37" t="n">
        <v>5438.59</v>
      </c>
      <c r="Q21" s="18" t="n">
        <v>2152.63</v>
      </c>
      <c r="R21" s="18" t="n">
        <v>1046.17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863648.5</v>
      </c>
      <c r="F22" s="37" t="n">
        <v>863648.5</v>
      </c>
      <c r="G22" s="18" t="n">
        <v>817564</v>
      </c>
      <c r="H22" s="18" t="n">
        <v>839501.79</v>
      </c>
      <c r="I22" s="18" t="n">
        <v>867034.91</v>
      </c>
      <c r="J22" s="18" t="n">
        <v>854159.33</v>
      </c>
      <c r="K22" s="37" t="n">
        <v>854159.33</v>
      </c>
      <c r="L22" s="18" t="n">
        <v>838013.67</v>
      </c>
      <c r="M22" s="18" t="n">
        <v>865515.17</v>
      </c>
      <c r="N22" s="18" t="n">
        <v>923104.45</v>
      </c>
      <c r="O22" s="18" t="n">
        <v>899461.3199999999</v>
      </c>
      <c r="P22" s="37" t="n">
        <v>899461.3199999999</v>
      </c>
      <c r="Q22" s="18" t="n">
        <v>938339.78</v>
      </c>
      <c r="R22" s="18" t="n">
        <v>909052.97</v>
      </c>
      <c r="S22" s="18" t="n">
        <v>890813.9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320525.54</v>
      </c>
      <c r="F23" s="37" t="n">
        <v>320525.54</v>
      </c>
      <c r="G23" s="18" t="n">
        <v>272846.15</v>
      </c>
      <c r="H23" s="18" t="n">
        <v>294374.53</v>
      </c>
      <c r="I23" s="18" t="n">
        <v>322671.77</v>
      </c>
      <c r="J23" s="18" t="n">
        <v>374995.67</v>
      </c>
      <c r="K23" s="37" t="n">
        <v>374995.67</v>
      </c>
      <c r="L23" s="18" t="n">
        <v>367884.75</v>
      </c>
      <c r="M23" s="18" t="n">
        <v>395847.62</v>
      </c>
      <c r="N23" s="18" t="n">
        <v>453378.85</v>
      </c>
      <c r="O23" s="18" t="n">
        <v>454030.88</v>
      </c>
      <c r="P23" s="37" t="n">
        <v>454030.88</v>
      </c>
      <c r="Q23" s="18" t="n">
        <v>498240.96</v>
      </c>
      <c r="R23" s="18" t="n">
        <v>443428.67</v>
      </c>
      <c r="S23" s="18" t="n">
        <v>417432.52</v>
      </c>
      <c r="T23" s="18" t="n">
        <v>386392.17</v>
      </c>
      <c r="U23" s="37" t="n">
        <v>386392.17</v>
      </c>
      <c r="V23" s="18" t="n">
        <v>369742.09</v>
      </c>
      <c r="W23" s="18" t="n">
        <v>372215.97</v>
      </c>
      <c r="X23" s="18" t="n">
        <v>330022.48</v>
      </c>
      <c r="Y23" s="18" t="n">
        <v>329975.03</v>
      </c>
      <c r="Z23" s="37" t="n">
        <v>329975.03</v>
      </c>
      <c r="AA23" s="18" t="n">
        <v>316255.87</v>
      </c>
      <c r="AB23" s="19" t="n">
        <v>319157.98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212254.17</v>
      </c>
      <c r="F24" s="37" t="n">
        <v>212254.17</v>
      </c>
      <c r="G24" s="18" t="n">
        <v>192043.44</v>
      </c>
      <c r="H24" s="18" t="n">
        <v>205094.65</v>
      </c>
      <c r="I24" s="18" t="n">
        <v>188587.42</v>
      </c>
      <c r="J24" s="18" t="n">
        <v>201387.12</v>
      </c>
      <c r="K24" s="37" t="n">
        <v>201387.12</v>
      </c>
      <c r="L24" s="18" t="n">
        <v>211795.1</v>
      </c>
      <c r="M24" s="18" t="n">
        <v>235150.9</v>
      </c>
      <c r="N24" s="18" t="n">
        <v>238064.63</v>
      </c>
      <c r="O24" s="18" t="n">
        <v>270930.14</v>
      </c>
      <c r="P24" s="37" t="n">
        <v>270930.14</v>
      </c>
      <c r="Q24" s="18" t="n">
        <v>278019.12</v>
      </c>
      <c r="R24" s="18" t="n">
        <v>265178.01</v>
      </c>
      <c r="S24" s="18" t="n">
        <v>257210.89</v>
      </c>
      <c r="T24" s="18" t="n">
        <v>244666.17</v>
      </c>
      <c r="U24" s="37" t="n">
        <v>244666.17</v>
      </c>
      <c r="V24" s="18" t="n">
        <v>219497.1</v>
      </c>
      <c r="W24" s="18" t="n">
        <v>228269.98</v>
      </c>
      <c r="X24" s="18" t="n">
        <v>184971.26</v>
      </c>
      <c r="Y24" s="18" t="n">
        <v>188794.21</v>
      </c>
      <c r="Z24" s="37" t="n">
        <v>188794.21</v>
      </c>
      <c r="AA24" s="18" t="n">
        <v>176848.17</v>
      </c>
      <c r="AB24" s="19" t="n">
        <v>204927.73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34471.7</v>
      </c>
      <c r="F25" s="37" t="n">
        <v>34471.7</v>
      </c>
      <c r="G25" s="18" t="n">
        <v>24161.19</v>
      </c>
      <c r="H25" s="18" t="n">
        <v>31728.61</v>
      </c>
      <c r="I25" s="18" t="n">
        <v>54195.75</v>
      </c>
      <c r="J25" s="18" t="n">
        <v>110019.58</v>
      </c>
      <c r="K25" s="37" t="n">
        <v>110019.58</v>
      </c>
      <c r="L25" s="18" t="n">
        <v>107559.93</v>
      </c>
      <c r="M25" s="18" t="n">
        <v>111575.32</v>
      </c>
      <c r="N25" s="18" t="n">
        <v>170590.04</v>
      </c>
      <c r="O25" s="18" t="n">
        <v>138808.86</v>
      </c>
      <c r="P25" s="37" t="n">
        <v>138808.86</v>
      </c>
      <c r="Q25" s="18" t="n">
        <v>153989.08</v>
      </c>
      <c r="R25" s="18" t="n">
        <v>112119.71</v>
      </c>
      <c r="S25" s="18" t="n">
        <v>111842.2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34471.7</v>
      </c>
      <c r="F26" s="37" t="n">
        <v>34471.7</v>
      </c>
      <c r="G26" s="18" t="n">
        <v>24161.19</v>
      </c>
      <c r="H26" s="18" t="n">
        <v>31728.61</v>
      </c>
      <c r="I26" s="18" t="n">
        <v>54195.75</v>
      </c>
      <c r="J26" s="18" t="n">
        <v>110019.58</v>
      </c>
      <c r="K26" s="37" t="n">
        <v>110019.58</v>
      </c>
      <c r="L26" s="18" t="n">
        <v>107559.93</v>
      </c>
      <c r="M26" s="18" t="n">
        <v>111575.32</v>
      </c>
      <c r="N26" s="18" t="n">
        <v>170590.04</v>
      </c>
      <c r="O26" s="18" t="n">
        <v>138808.86</v>
      </c>
      <c r="P26" s="37" t="n">
        <v>138808.86</v>
      </c>
      <c r="Q26" s="18" t="n">
        <v>153989.08</v>
      </c>
      <c r="R26" s="18" t="n">
        <v>112119.71</v>
      </c>
      <c r="S26" s="18" t="n">
        <v>111842.2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2818.96</v>
      </c>
      <c r="F27" s="37" t="n">
        <v>2818.96</v>
      </c>
      <c r="G27" s="18" t="n">
        <v>2104.93</v>
      </c>
      <c r="H27" s="18" t="n">
        <v>1114.5</v>
      </c>
      <c r="I27" s="18" t="n">
        <v>1167.92</v>
      </c>
      <c r="J27" s="18" t="n">
        <v>1809.07</v>
      </c>
      <c r="K27" s="37" t="n">
        <v>1809.07</v>
      </c>
      <c r="L27" s="18" t="n">
        <v>854.5599999999999</v>
      </c>
      <c r="M27" s="18" t="n">
        <v>872.52</v>
      </c>
      <c r="N27" s="18" t="n">
        <v>1258.77</v>
      </c>
      <c r="O27" s="18" t="n">
        <v>2288.57</v>
      </c>
      <c r="P27" s="37" t="n">
        <v>2288.57</v>
      </c>
      <c r="Q27" s="18" t="n">
        <v>2172.26</v>
      </c>
      <c r="R27" s="18" t="n">
        <v>4155.89</v>
      </c>
      <c r="S27" s="18" t="n">
        <v>1672.32</v>
      </c>
      <c r="T27" s="18" t="n">
        <v>2189.16</v>
      </c>
      <c r="U27" s="37" t="n">
        <v>2189.16</v>
      </c>
      <c r="V27" s="18" t="n">
        <v>4379.82</v>
      </c>
      <c r="W27" s="18" t="n">
        <v>3280.87</v>
      </c>
      <c r="X27" s="18" t="n">
        <v>3053.23</v>
      </c>
      <c r="Y27" s="18" t="n">
        <v>3352.75</v>
      </c>
      <c r="Z27" s="37" t="n">
        <v>3352.75</v>
      </c>
      <c r="AA27" s="18" t="n">
        <v>2922.05</v>
      </c>
      <c r="AB27" s="19" t="n">
        <v>1700.28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53733.13</v>
      </c>
      <c r="F28" s="37" t="n">
        <v>53733.13</v>
      </c>
      <c r="G28" s="18" t="n">
        <v>35663.58</v>
      </c>
      <c r="H28" s="18" t="n">
        <v>37324.4</v>
      </c>
      <c r="I28" s="18" t="n">
        <v>60740.46</v>
      </c>
      <c r="J28" s="18" t="n">
        <v>39202.65</v>
      </c>
      <c r="K28" s="37" t="n">
        <v>39202.65</v>
      </c>
      <c r="L28" s="18" t="n">
        <v>28157.45</v>
      </c>
      <c r="M28" s="18" t="n">
        <v>30136.41</v>
      </c>
      <c r="N28" s="18" t="n">
        <v>26094.72</v>
      </c>
      <c r="O28" s="18" t="n">
        <v>24946.51</v>
      </c>
      <c r="P28" s="37" t="n">
        <v>24946.51</v>
      </c>
      <c r="Q28" s="18" t="n">
        <v>39856.15</v>
      </c>
      <c r="R28" s="18" t="n">
        <v>40819.64</v>
      </c>
      <c r="S28" s="18" t="n">
        <v>28235.66</v>
      </c>
      <c r="T28" s="18" t="n">
        <v>35628.21</v>
      </c>
      <c r="U28" s="37" t="n">
        <v>35628.21</v>
      </c>
      <c r="V28" s="18" t="n">
        <v>25298.9</v>
      </c>
      <c r="W28" s="18" t="n">
        <v>19976.68</v>
      </c>
      <c r="X28" s="18" t="n">
        <v>18582.45</v>
      </c>
      <c r="Y28" s="18" t="n">
        <v>21159.5</v>
      </c>
      <c r="Z28" s="37" t="n">
        <v>21159.5</v>
      </c>
      <c r="AA28" s="18" t="n">
        <v>26899.75</v>
      </c>
      <c r="AB28" s="19" t="n">
        <v>38711.05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707.79</v>
      </c>
      <c r="F29" s="37" t="n">
        <v>707.79</v>
      </c>
      <c r="G29" s="18" t="n">
        <v>1445.75</v>
      </c>
      <c r="H29" s="18" t="n">
        <v>1377.23</v>
      </c>
      <c r="I29" s="18" t="n">
        <v>194.8</v>
      </c>
      <c r="J29" s="18" t="n">
        <v>0</v>
      </c>
      <c r="K29" s="37" t="n">
        <v>0</v>
      </c>
      <c r="L29" s="18" t="n">
        <v>3.18</v>
      </c>
      <c r="M29" s="18" t="n">
        <v>13.26</v>
      </c>
      <c r="N29" s="18" t="n">
        <v>2.53</v>
      </c>
      <c r="O29" s="18" t="n">
        <v>83.40000000000001</v>
      </c>
      <c r="P29" s="37" t="n">
        <v>83.40000000000001</v>
      </c>
      <c r="Q29" s="18" t="n">
        <v>358.64</v>
      </c>
      <c r="R29" s="18" t="n">
        <v>359.91</v>
      </c>
      <c r="S29" s="18" t="n">
        <v>297.11</v>
      </c>
      <c r="T29" s="18" t="n">
        <v>42.49</v>
      </c>
      <c r="U29" s="37" t="n">
        <v>42.49</v>
      </c>
      <c r="V29" s="18" t="n">
        <v>394.92</v>
      </c>
      <c r="W29" s="18" t="n">
        <v>446.03</v>
      </c>
      <c r="X29" s="18" t="n">
        <v>244.23</v>
      </c>
      <c r="Y29" s="18" t="n">
        <v>78.34999999999999</v>
      </c>
      <c r="Z29" s="37" t="n">
        <v>78.34999999999999</v>
      </c>
      <c r="AA29" s="18" t="n">
        <v>252.5</v>
      </c>
      <c r="AB29" s="19" t="n">
        <v>522.27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54065.48</v>
      </c>
      <c r="F31" s="37" t="n">
        <v>54065.48</v>
      </c>
      <c r="G31" s="18" t="n">
        <v>55641.18</v>
      </c>
      <c r="H31" s="18" t="n">
        <v>56665.08</v>
      </c>
      <c r="I31" s="18" t="n">
        <v>55049.42</v>
      </c>
      <c r="J31" s="18" t="n">
        <v>40630.56</v>
      </c>
      <c r="K31" s="37" t="n">
        <v>40630.56</v>
      </c>
      <c r="L31" s="18" t="n">
        <v>38393.4</v>
      </c>
      <c r="M31" s="18" t="n">
        <v>36097.74</v>
      </c>
      <c r="N31" s="18" t="n">
        <v>36318.52</v>
      </c>
      <c r="O31" s="18" t="n">
        <v>43073.63</v>
      </c>
      <c r="P31" s="37" t="n">
        <v>43073.63</v>
      </c>
      <c r="Q31" s="18" t="n">
        <v>32988.15</v>
      </c>
      <c r="R31" s="18" t="n">
        <v>52856.45</v>
      </c>
      <c r="S31" s="18" t="n">
        <v>56331.03</v>
      </c>
      <c r="T31" s="18" t="n">
        <v>60250.5</v>
      </c>
      <c r="U31" s="37" t="n">
        <v>60250.5</v>
      </c>
      <c r="V31" s="18" t="n">
        <v>58386.12</v>
      </c>
      <c r="W31" s="18" t="n">
        <v>37522.79</v>
      </c>
      <c r="X31" s="18" t="n">
        <v>28517.56</v>
      </c>
      <c r="Y31" s="18" t="n">
        <v>25209.48</v>
      </c>
      <c r="Z31" s="37" t="n">
        <v>25209.48</v>
      </c>
      <c r="AA31" s="18" t="n">
        <v>64089.26</v>
      </c>
      <c r="AB31" s="19" t="n">
        <v>83113.67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628.01</v>
      </c>
      <c r="F32" s="37" t="n">
        <v>628.01</v>
      </c>
      <c r="G32" s="18" t="n">
        <v>276.18</v>
      </c>
      <c r="H32" s="18" t="n">
        <v>377.77</v>
      </c>
      <c r="I32" s="18" t="n">
        <v>323.23</v>
      </c>
      <c r="J32" s="18" t="n">
        <v>229.69</v>
      </c>
      <c r="K32" s="37" t="n">
        <v>229.69</v>
      </c>
      <c r="L32" s="18" t="n">
        <v>546.2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628.01</v>
      </c>
      <c r="F33" s="37" t="n">
        <v>628.01</v>
      </c>
      <c r="G33" s="18" t="n">
        <v>276.18</v>
      </c>
      <c r="H33" s="18" t="n">
        <v>377.77</v>
      </c>
      <c r="I33" s="18" t="n">
        <v>323.23</v>
      </c>
      <c r="J33" s="18" t="n">
        <v>229.69</v>
      </c>
      <c r="K33" s="37" t="n">
        <v>229.69</v>
      </c>
      <c r="L33" s="18" t="n">
        <v>546.2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7795.07</v>
      </c>
      <c r="F35" s="37" t="n">
        <v>7795.07</v>
      </c>
      <c r="G35" s="18" t="n">
        <v>7408.92</v>
      </c>
      <c r="H35" s="18" t="n">
        <v>6914.44</v>
      </c>
      <c r="I35" s="18" t="n">
        <v>6562.99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0</v>
      </c>
      <c r="R35" s="18" t="n">
        <v>0</v>
      </c>
      <c r="S35" s="18" t="n">
        <v>0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1107.41</v>
      </c>
      <c r="F36" s="37" t="n">
        <v>1107.41</v>
      </c>
      <c r="G36" s="18" t="n">
        <v>1081.45</v>
      </c>
      <c r="H36" s="18" t="n">
        <v>1037.66</v>
      </c>
      <c r="I36" s="18" t="n">
        <v>1110.65</v>
      </c>
      <c r="J36" s="18" t="n">
        <v>1175.81</v>
      </c>
      <c r="K36" s="37" t="n">
        <v>1175.81</v>
      </c>
      <c r="L36" s="18" t="n">
        <v>1249.6</v>
      </c>
      <c r="M36" s="18" t="n">
        <v>1260.48</v>
      </c>
      <c r="N36" s="18" t="n">
        <v>1279.18</v>
      </c>
      <c r="O36" s="18" t="n">
        <v>1410.78</v>
      </c>
      <c r="P36" s="37" t="n">
        <v>1410.78</v>
      </c>
      <c r="Q36" s="18" t="n">
        <v>1413.37</v>
      </c>
      <c r="R36" s="18" t="n">
        <v>1423.17</v>
      </c>
      <c r="S36" s="18" t="n">
        <v>1432.7</v>
      </c>
      <c r="T36" s="18" t="n">
        <v>1750.34</v>
      </c>
      <c r="U36" s="37" t="n">
        <v>1750.34</v>
      </c>
      <c r="V36" s="18" t="n">
        <v>1811.24</v>
      </c>
      <c r="W36" s="18" t="n">
        <v>1746.52</v>
      </c>
      <c r="X36" s="18" t="n">
        <v>1871.23</v>
      </c>
      <c r="Y36" s="18" t="n">
        <v>2330.66</v>
      </c>
      <c r="Z36" s="37" t="n">
        <v>2330.66</v>
      </c>
      <c r="AA36" s="18" t="n">
        <v>2370.62</v>
      </c>
      <c r="AB36" s="19" t="n">
        <v>2395.89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374591.02</v>
      </c>
      <c r="F37" s="37" t="n">
        <v>374591.02</v>
      </c>
      <c r="G37" s="18" t="n">
        <v>328487.33</v>
      </c>
      <c r="H37" s="18" t="n">
        <v>351039.6</v>
      </c>
      <c r="I37" s="18" t="n">
        <v>377721.19</v>
      </c>
      <c r="J37" s="18" t="n">
        <v>415626.22</v>
      </c>
      <c r="K37" s="37" t="n">
        <v>415626.22</v>
      </c>
      <c r="L37" s="18" t="n">
        <v>406278.15</v>
      </c>
      <c r="M37" s="18" t="n">
        <v>431945.35</v>
      </c>
      <c r="N37" s="18" t="n">
        <v>489697.37</v>
      </c>
      <c r="O37" s="18" t="n">
        <v>497104.51</v>
      </c>
      <c r="P37" s="37" t="n">
        <v>497104.51</v>
      </c>
      <c r="Q37" s="18" t="n">
        <v>531229.11</v>
      </c>
      <c r="R37" s="18" t="n">
        <v>496285.12</v>
      </c>
      <c r="S37" s="18" t="n">
        <v>473763.55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489057.48</v>
      </c>
      <c r="F38" s="37" t="n">
        <v>489057.48</v>
      </c>
      <c r="G38" s="18" t="n">
        <v>489076.67</v>
      </c>
      <c r="H38" s="18" t="n">
        <v>488462.18</v>
      </c>
      <c r="I38" s="18" t="n">
        <v>489313.72</v>
      </c>
      <c r="J38" s="18" t="n">
        <v>438533.11</v>
      </c>
      <c r="K38" s="37" t="n">
        <v>438533.11</v>
      </c>
      <c r="L38" s="18" t="n">
        <v>431735.52</v>
      </c>
      <c r="M38" s="18" t="n">
        <v>433569.82</v>
      </c>
      <c r="N38" s="18" t="n">
        <v>433407.08</v>
      </c>
      <c r="O38" s="18" t="n">
        <v>402356.81</v>
      </c>
      <c r="P38" s="37" t="n">
        <v>402356.81</v>
      </c>
      <c r="Q38" s="18" t="n">
        <v>407110.67</v>
      </c>
      <c r="R38" s="18" t="n">
        <v>412767.85</v>
      </c>
      <c r="S38" s="18" t="n">
        <v>417050.36</v>
      </c>
      <c r="T38" s="18" t="n">
        <v>411743.74</v>
      </c>
      <c r="U38" s="37" t="n">
        <v>411743.74</v>
      </c>
      <c r="V38" s="18" t="n">
        <v>415581.89</v>
      </c>
      <c r="W38" s="18" t="n">
        <v>415543.55</v>
      </c>
      <c r="X38" s="18" t="n">
        <v>418680.54</v>
      </c>
      <c r="Y38" s="18" t="n">
        <v>418071.67</v>
      </c>
      <c r="Z38" s="37" t="n">
        <v>418071.67</v>
      </c>
      <c r="AA38" s="18" t="n">
        <v>417032.82</v>
      </c>
      <c r="AB38" s="19" t="n">
        <v>420662.43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101695.16</v>
      </c>
      <c r="F40" s="37" t="n">
        <v>101695.16</v>
      </c>
      <c r="G40" s="18" t="n">
        <v>101695.16</v>
      </c>
      <c r="H40" s="18" t="n">
        <v>101695.16</v>
      </c>
      <c r="I40" s="18" t="n">
        <v>101695.16</v>
      </c>
      <c r="J40" s="18" t="n">
        <v>101695.16</v>
      </c>
      <c r="K40" s="37" t="n">
        <v>101695.16</v>
      </c>
      <c r="L40" s="18" t="n">
        <v>101695.16</v>
      </c>
      <c r="M40" s="18" t="n">
        <v>101695.16</v>
      </c>
      <c r="N40" s="18" t="n">
        <v>101695.16</v>
      </c>
      <c r="O40" s="18" t="n">
        <v>101695.16</v>
      </c>
      <c r="P40" s="37" t="n">
        <v>101695.16</v>
      </c>
      <c r="Q40" s="18" t="n">
        <v>101695.16</v>
      </c>
      <c r="R40" s="18" t="n">
        <v>101695.16</v>
      </c>
      <c r="S40" s="18" t="n">
        <v>101695.16</v>
      </c>
      <c r="T40" s="18" t="n">
        <v>101695.16</v>
      </c>
      <c r="U40" s="37" t="n">
        <v>101695.16</v>
      </c>
      <c r="V40" s="18" t="n">
        <v>101695.16</v>
      </c>
      <c r="W40" s="18" t="n">
        <v>101695.16</v>
      </c>
      <c r="X40" s="18" t="n">
        <v>101695.16</v>
      </c>
      <c r="Y40" s="18" t="n">
        <v>101695.16</v>
      </c>
      <c r="Z40" s="37" t="n">
        <v>101695.16</v>
      </c>
      <c r="AA40" s="18" t="n">
        <v>101695.16</v>
      </c>
      <c r="AB40" s="19" t="n">
        <v>101695.16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406.65</v>
      </c>
      <c r="F42" s="37" t="n">
        <v>406.65</v>
      </c>
      <c r="G42" s="18" t="n">
        <v>430.45</v>
      </c>
      <c r="H42" s="18" t="n">
        <v>532.98</v>
      </c>
      <c r="I42" s="18" t="n">
        <v>839.48</v>
      </c>
      <c r="J42" s="18" t="n">
        <v>418.07</v>
      </c>
      <c r="K42" s="37" t="n">
        <v>418.07</v>
      </c>
      <c r="L42" s="18" t="n">
        <v>572.28</v>
      </c>
      <c r="M42" s="18" t="n">
        <v>490.81</v>
      </c>
      <c r="N42" s="18" t="n">
        <v>505.45</v>
      </c>
      <c r="O42" s="18" t="n">
        <v>382.17</v>
      </c>
      <c r="P42" s="37" t="n">
        <v>382.17</v>
      </c>
      <c r="Q42" s="18" t="n">
        <v>404.86</v>
      </c>
      <c r="R42" s="18" t="n">
        <v>446.62</v>
      </c>
      <c r="S42" s="18" t="n">
        <v>519.65</v>
      </c>
      <c r="T42" s="18" t="n">
        <v>865.73</v>
      </c>
      <c r="U42" s="37" t="n">
        <v>865.73</v>
      </c>
      <c r="V42" s="18" t="n">
        <v>804.71</v>
      </c>
      <c r="W42" s="18" t="n">
        <v>167.49</v>
      </c>
      <c r="X42" s="18" t="n">
        <v>320.95</v>
      </c>
      <c r="Y42" s="18" t="n">
        <v>630.9400000000001</v>
      </c>
      <c r="Z42" s="37" t="n">
        <v>630.9400000000001</v>
      </c>
      <c r="AA42" s="18" t="n">
        <v>1017.21</v>
      </c>
      <c r="AB42" s="19" t="n">
        <v>1145.84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369848.5</v>
      </c>
      <c r="F43" s="37" t="n">
        <v>369848.5</v>
      </c>
      <c r="G43" s="18" t="n">
        <v>369843.9</v>
      </c>
      <c r="H43" s="18" t="n">
        <v>369126.88</v>
      </c>
      <c r="I43" s="18" t="n">
        <v>369671.92</v>
      </c>
      <c r="J43" s="18" t="n">
        <v>319312.71</v>
      </c>
      <c r="K43" s="37" t="n">
        <v>319312.71</v>
      </c>
      <c r="L43" s="18" t="n">
        <v>312360.92</v>
      </c>
      <c r="M43" s="18" t="n">
        <v>314276.68</v>
      </c>
      <c r="N43" s="18" t="n">
        <v>314099.31</v>
      </c>
      <c r="O43" s="18" t="n">
        <v>283172.31</v>
      </c>
      <c r="P43" s="37" t="n">
        <v>283172.31</v>
      </c>
      <c r="Q43" s="18" t="n">
        <v>287903.48</v>
      </c>
      <c r="R43" s="18" t="n">
        <v>293518.91</v>
      </c>
      <c r="S43" s="18" t="n">
        <v>297728.38</v>
      </c>
      <c r="T43" s="18" t="n">
        <v>292075.69</v>
      </c>
      <c r="U43" s="37" t="n">
        <v>292075.69</v>
      </c>
      <c r="V43" s="18" t="n">
        <v>295974.85</v>
      </c>
      <c r="W43" s="18" t="n">
        <v>296573.74</v>
      </c>
      <c r="X43" s="18" t="n">
        <v>299557.26</v>
      </c>
      <c r="Y43" s="18" t="n">
        <v>298638.41</v>
      </c>
      <c r="Z43" s="37" t="n">
        <v>298638.41</v>
      </c>
      <c r="AA43" s="18" t="n">
        <v>297213.28</v>
      </c>
      <c r="AB43" s="19" t="n">
        <v>297286.15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489057.48</v>
      </c>
      <c r="F44" s="37" t="n">
        <v>489057.48</v>
      </c>
      <c r="G44" s="18" t="n">
        <v>489076.67</v>
      </c>
      <c r="H44" s="18" t="n">
        <v>488462.18</v>
      </c>
      <c r="I44" s="18" t="n">
        <v>489313.72</v>
      </c>
      <c r="J44" s="18" t="n">
        <v>438533.11</v>
      </c>
      <c r="K44" s="37" t="n">
        <v>438533.11</v>
      </c>
      <c r="L44" s="18" t="n">
        <v>431735.52</v>
      </c>
      <c r="M44" s="18" t="n">
        <v>433569.82</v>
      </c>
      <c r="N44" s="18" t="n">
        <v>433407.08</v>
      </c>
      <c r="O44" s="18" t="n">
        <v>402356.81</v>
      </c>
      <c r="P44" s="37" t="n">
        <v>402356.81</v>
      </c>
      <c r="Q44" s="18" t="n">
        <v>407110.67</v>
      </c>
      <c r="R44" s="18" t="n">
        <v>412767.85</v>
      </c>
      <c r="S44" s="18" t="n">
        <v>417050.36</v>
      </c>
      <c r="T44" s="18" t="n">
        <v>411743.74</v>
      </c>
      <c r="U44" s="37" t="n">
        <v>411743.74</v>
      </c>
      <c r="V44" s="18" t="n">
        <v>415581.89</v>
      </c>
      <c r="W44" s="18" t="n">
        <v>415543.55</v>
      </c>
      <c r="X44" s="18" t="n">
        <v>418680.54</v>
      </c>
      <c r="Y44" s="18" t="n">
        <v>418071.67</v>
      </c>
      <c r="Z44" s="37" t="n">
        <v>418071.67</v>
      </c>
      <c r="AA44" s="18" t="n">
        <v>417032.82</v>
      </c>
      <c r="AB44" s="19" t="n">
        <v>420662.43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863648.5</v>
      </c>
      <c r="F45" s="37" t="n">
        <v>863648.5</v>
      </c>
      <c r="G45" s="18" t="n">
        <v>817564</v>
      </c>
      <c r="H45" s="18" t="n">
        <v>839501.79</v>
      </c>
      <c r="I45" s="18" t="n">
        <v>867034.91</v>
      </c>
      <c r="J45" s="18" t="n">
        <v>854159.33</v>
      </c>
      <c r="K45" s="37" t="n">
        <v>854159.33</v>
      </c>
      <c r="L45" s="18" t="n">
        <v>838013.67</v>
      </c>
      <c r="M45" s="18" t="n">
        <v>865515.17</v>
      </c>
      <c r="N45" s="18" t="n">
        <v>923104.45</v>
      </c>
      <c r="O45" s="18" t="n">
        <v>899461.3199999999</v>
      </c>
      <c r="P45" s="37" t="n">
        <v>899461.3199999999</v>
      </c>
      <c r="Q45" s="18" t="n">
        <v>938339.78</v>
      </c>
      <c r="R45" s="18" t="n">
        <v>909052.97</v>
      </c>
      <c r="S45" s="18" t="n">
        <v>890813.9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35099.71</v>
      </c>
      <c r="F46" s="37" t="n">
        <v>35099.71</v>
      </c>
      <c r="G46" s="18" t="n">
        <v>24437.37</v>
      </c>
      <c r="H46" s="18" t="n">
        <v>32106.38</v>
      </c>
      <c r="I46" s="18" t="n">
        <v>54518.98</v>
      </c>
      <c r="J46" s="18" t="n">
        <v>110249.27</v>
      </c>
      <c r="K46" s="37" t="n">
        <v>110249.27</v>
      </c>
      <c r="L46" s="18" t="n">
        <v>108106.13</v>
      </c>
      <c r="M46" s="18" t="n">
        <v>112103.33</v>
      </c>
      <c r="N46" s="18" t="n">
        <v>171173.75</v>
      </c>
      <c r="O46" s="18" t="n">
        <v>139400.84</v>
      </c>
      <c r="P46" s="37" t="n">
        <v>139400.84</v>
      </c>
      <c r="Q46" s="18" t="n">
        <v>154166.12</v>
      </c>
      <c r="R46" s="18" t="n">
        <v>132391.88</v>
      </c>
      <c r="S46" s="18" t="n">
        <v>136069.5</v>
      </c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11869.08</v>
      </c>
      <c r="F47" s="37" t="n">
        <v>11869.08</v>
      </c>
      <c r="G47" s="18" t="n">
        <v>5707.5</v>
      </c>
      <c r="H47" s="18" t="n">
        <v>13708.78</v>
      </c>
      <c r="I47" s="18" t="n">
        <v>34206.53</v>
      </c>
      <c r="J47" s="18" t="n">
        <v>87538.27</v>
      </c>
      <c r="K47" s="37" t="n">
        <v>87538.27</v>
      </c>
      <c r="L47" s="18" t="n">
        <v>83557.75</v>
      </c>
      <c r="M47" s="18" t="n">
        <v>92189.5</v>
      </c>
      <c r="N47" s="18" t="n">
        <v>149444.81</v>
      </c>
      <c r="O47" s="18" t="n">
        <v>112630.42</v>
      </c>
      <c r="P47" s="37" t="n">
        <v>112630.42</v>
      </c>
      <c r="Q47" s="18" t="n">
        <v>139581.38</v>
      </c>
      <c r="R47" s="18" t="n">
        <v>112479.31</v>
      </c>
      <c r="S47" s="18" t="n">
        <v>68670.03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58423.31</v>
      </c>
      <c r="F48" s="37" t="n">
        <v>58423.31</v>
      </c>
      <c r="G48" s="18" t="n">
        <v>54165.24</v>
      </c>
      <c r="H48" s="18" t="n">
        <v>53946.71</v>
      </c>
      <c r="I48" s="18" t="n">
        <v>55290.38</v>
      </c>
      <c r="J48" s="18" t="n">
        <v>56697.41</v>
      </c>
      <c r="K48" s="37" t="n">
        <v>56697.41</v>
      </c>
      <c r="L48" s="18" t="n">
        <v>62271.32</v>
      </c>
      <c r="M48" s="18" t="n">
        <v>57962.48</v>
      </c>
      <c r="N48" s="18" t="n">
        <v>58510.38</v>
      </c>
      <c r="O48" s="18" t="n">
        <v>63763.12</v>
      </c>
      <c r="P48" s="37" t="n">
        <v>63763.12</v>
      </c>
      <c r="Q48" s="18" t="n">
        <v>48619.3</v>
      </c>
      <c r="R48" s="18" t="n">
        <v>50151.18</v>
      </c>
      <c r="S48" s="18" t="n">
        <v>97407.13</v>
      </c>
      <c r="T48" s="18" t="n">
        <v>49095.08</v>
      </c>
      <c r="U48" s="37" t="n">
        <v>49095.08</v>
      </c>
      <c r="V48" s="18" t="n">
        <v>49822.6</v>
      </c>
      <c r="W48" s="18" t="n">
        <v>60449.09</v>
      </c>
      <c r="X48" s="18" t="n">
        <v>45971.97</v>
      </c>
      <c r="Y48" s="18" t="n">
        <v>42166.56</v>
      </c>
      <c r="Z48" s="37" t="n">
        <v>42166.56</v>
      </c>
      <c r="AA48" s="18" t="n">
        <v>54109.22</v>
      </c>
      <c r="AB48" s="19" t="n">
        <v>90048.42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F49" s="9" t="n"/>
      <c r="G49" s="18" t="n">
        <v>2125.59</v>
      </c>
      <c r="H49" s="18" t="n">
        <v>3506.51</v>
      </c>
      <c r="I49" s="18" t="n">
        <v>4753.9</v>
      </c>
      <c r="J49" s="18" t="n">
        <v>0</v>
      </c>
      <c r="K49" s="37" t="n">
        <v>0</v>
      </c>
      <c r="L49" s="18" t="n">
        <v>0</v>
      </c>
      <c r="M49" s="18" t="n">
        <v>0</v>
      </c>
      <c r="N49" s="18" t="n">
        <v>0</v>
      </c>
      <c r="P49" s="9" t="n"/>
      <c r="S49" s="18" t="n">
        <v>143.49</v>
      </c>
      <c r="T49" s="18" t="n">
        <v>32.18</v>
      </c>
      <c r="U49" s="37" t="n">
        <v>32.18</v>
      </c>
      <c r="V49" s="18" t="n">
        <v>236.31</v>
      </c>
      <c r="W49" s="18" t="n">
        <v>395.33</v>
      </c>
      <c r="X49" s="18" t="n">
        <v>1135.56</v>
      </c>
      <c r="Z49" s="9" t="n"/>
      <c r="AB49" s="19" t="n">
        <v>28.61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K50" s="9" t="n"/>
      <c r="O50" s="18" t="n">
        <v>12149.65</v>
      </c>
      <c r="P50" s="37" t="n">
        <v>12149.65</v>
      </c>
      <c r="Q50" s="18" t="n">
        <v>11712.93</v>
      </c>
      <c r="R50" s="18" t="n">
        <v>12440.27</v>
      </c>
      <c r="S50" s="18" t="n">
        <v>13016.84</v>
      </c>
      <c r="T50" s="18" t="n">
        <v>12863.34</v>
      </c>
      <c r="U50" s="37" t="n">
        <v>12863.34</v>
      </c>
      <c r="V50" s="18" t="n">
        <v>12380.73</v>
      </c>
      <c r="W50" s="18" t="n">
        <v>12014.42</v>
      </c>
      <c r="X50" s="18" t="n">
        <v>12150.44</v>
      </c>
      <c r="Y50" s="18" t="n">
        <v>11227.59</v>
      </c>
      <c r="Z50" s="37" t="n">
        <v>11227.59</v>
      </c>
      <c r="AA50" s="18" t="n">
        <v>11184.55</v>
      </c>
      <c r="AB50" s="19" t="n">
        <v>11480.96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K51" s="9" t="n"/>
      <c r="O51" s="18" t="n">
        <v>41244.88</v>
      </c>
      <c r="P51" s="37" t="n">
        <v>41244.88</v>
      </c>
      <c r="Q51" s="18" t="n">
        <v>38815.65</v>
      </c>
      <c r="R51" s="18" t="n">
        <v>39412.88</v>
      </c>
      <c r="S51" s="18" t="n">
        <v>39442.78</v>
      </c>
      <c r="T51" s="18" t="n">
        <v>37063.78</v>
      </c>
      <c r="U51" s="37" t="n">
        <v>37063.78</v>
      </c>
      <c r="V51" s="18" t="n">
        <v>34590.38</v>
      </c>
      <c r="W51" s="18" t="n">
        <v>33097.99</v>
      </c>
      <c r="X51" s="18" t="n">
        <v>33344.73</v>
      </c>
      <c r="Y51" s="18" t="n">
        <v>30145.75</v>
      </c>
      <c r="Z51" s="37" t="n">
        <v>30145.75</v>
      </c>
      <c r="AA51" s="18" t="n">
        <v>29119.28</v>
      </c>
      <c r="AB51" s="19" t="n">
        <v>28510.62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O52" s="18" t="n">
        <v>12149.65</v>
      </c>
      <c r="P52" s="37" t="n">
        <v>12149.65</v>
      </c>
      <c r="Q52" s="18" t="n">
        <v>11712.93</v>
      </c>
      <c r="R52" s="18" t="n">
        <v>12440.27</v>
      </c>
      <c r="S52" s="18" t="n">
        <v>13016.84</v>
      </c>
      <c r="T52" s="18" t="n">
        <v>94600.99000000001</v>
      </c>
      <c r="U52" s="37" t="n">
        <v>94600.99000000001</v>
      </c>
      <c r="V52" s="18" t="n">
        <v>112294.86</v>
      </c>
      <c r="W52" s="18" t="n">
        <v>114122.67</v>
      </c>
      <c r="X52" s="18" t="n">
        <v>117805.88</v>
      </c>
      <c r="Y52" s="18" t="n">
        <v>112856.51</v>
      </c>
      <c r="Z52" s="37" t="n">
        <v>112856.51</v>
      </c>
      <c r="AA52" s="18" t="n">
        <v>99188.62</v>
      </c>
      <c r="AB52" s="19" t="n">
        <v>63305.55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F53" s="9" t="n"/>
      <c r="K53" s="9" t="n"/>
      <c r="O53" s="18" t="n">
        <v>29095.23</v>
      </c>
      <c r="P53" s="37" t="n">
        <v>29095.23</v>
      </c>
      <c r="Q53" s="18" t="n">
        <v>27102.72</v>
      </c>
      <c r="R53" s="18" t="n">
        <v>26972.61</v>
      </c>
      <c r="S53" s="18" t="n">
        <v>26425.94</v>
      </c>
      <c r="T53" s="18" t="n">
        <v>24200.44</v>
      </c>
      <c r="U53" s="37" t="n">
        <v>24200.44</v>
      </c>
      <c r="V53" s="18" t="n">
        <v>22209.65</v>
      </c>
      <c r="W53" s="18" t="n">
        <v>21083.57</v>
      </c>
      <c r="X53" s="18" t="n">
        <v>21194.29</v>
      </c>
      <c r="Y53" s="18" t="n">
        <v>18918.16</v>
      </c>
      <c r="Z53" s="37" t="n">
        <v>18918.16</v>
      </c>
      <c r="AA53" s="18" t="n">
        <v>17934.73</v>
      </c>
      <c r="AB53" s="19" t="n">
        <v>17029.66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O54" s="18" t="n">
        <v>29095.23</v>
      </c>
      <c r="P54" s="37" t="n">
        <v>29095.23</v>
      </c>
      <c r="Q54" s="18" t="n">
        <v>27102.72</v>
      </c>
      <c r="R54" s="18" t="n">
        <v>26972.61</v>
      </c>
      <c r="S54" s="18" t="n">
        <v>26425.94</v>
      </c>
      <c r="T54" s="18" t="n">
        <v>54320.69</v>
      </c>
      <c r="U54" s="37" t="n">
        <v>54320.69</v>
      </c>
      <c r="V54" s="18" t="n">
        <v>52308.07</v>
      </c>
      <c r="W54" s="18" t="n">
        <v>31235.67</v>
      </c>
      <c r="X54" s="18" t="n">
        <v>21377.76</v>
      </c>
      <c r="Y54" s="18" t="n">
        <v>19161.04</v>
      </c>
      <c r="Z54" s="37" t="n">
        <v>19161.04</v>
      </c>
      <c r="AA54" s="18" t="n">
        <v>58053.8</v>
      </c>
      <c r="AB54" s="19" t="n">
        <v>77247.42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기타유동금융자산</t>
        </is>
      </c>
      <c r="F55" s="9" t="n"/>
      <c r="K55" s="9" t="n"/>
      <c r="P55" s="9" t="n"/>
      <c r="T55" s="18" t="n">
        <v>10324.1</v>
      </c>
      <c r="U55" s="37" t="n">
        <v>10324.1</v>
      </c>
      <c r="V55" s="18" t="n">
        <v>10514.81</v>
      </c>
      <c r="W55" s="18" t="n">
        <v>11961.21</v>
      </c>
      <c r="X55" s="18" t="n">
        <v>10677.39</v>
      </c>
      <c r="Y55" s="18" t="n">
        <v>14549.44</v>
      </c>
      <c r="Z55" s="37" t="n">
        <v>14549.44</v>
      </c>
      <c r="AA55" s="18" t="n">
        <v>36301.28</v>
      </c>
      <c r="AB55" s="19" t="n">
        <v>28583.37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장기매출채권및기타채권</t>
        </is>
      </c>
      <c r="F56" s="9" t="n"/>
      <c r="K56" s="9" t="n"/>
      <c r="P56" s="9" t="n"/>
      <c r="T56" s="18" t="n">
        <v>16338.41</v>
      </c>
      <c r="U56" s="37" t="n">
        <v>16338.41</v>
      </c>
      <c r="V56" s="18" t="n">
        <v>13951.11</v>
      </c>
      <c r="W56" s="18" t="n">
        <v>12584.33</v>
      </c>
      <c r="X56" s="18" t="n">
        <v>13009.25</v>
      </c>
      <c r="Y56" s="18" t="n">
        <v>14129.7</v>
      </c>
      <c r="Z56" s="37" t="n">
        <v>14129.7</v>
      </c>
      <c r="AA56" s="18" t="n">
        <v>1884.18</v>
      </c>
      <c r="AB56" s="19" t="n">
        <v>2414.84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기타유동금융부채</t>
        </is>
      </c>
      <c r="F57" s="9" t="n"/>
      <c r="K57" s="9" t="n"/>
      <c r="P57" s="9" t="n"/>
      <c r="T57" s="18" t="n">
        <v>81737.64999999999</v>
      </c>
      <c r="U57" s="37" t="n">
        <v>81737.64999999999</v>
      </c>
      <c r="V57" s="18" t="n">
        <v>99914.13</v>
      </c>
      <c r="W57" s="18" t="n">
        <v>102108.25</v>
      </c>
      <c r="X57" s="18" t="n">
        <v>105655.44</v>
      </c>
      <c r="Y57" s="18" t="n">
        <v>101628.92</v>
      </c>
      <c r="Z57" s="37" t="n">
        <v>101628.92</v>
      </c>
      <c r="AA57" s="18" t="n">
        <v>88004.07000000001</v>
      </c>
      <c r="AB57" s="19" t="n">
        <v>51824.59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T58" s="18" t="n">
        <v>30120.25</v>
      </c>
      <c r="U58" s="37" t="n">
        <v>30120.25</v>
      </c>
      <c r="V58" s="18" t="n">
        <v>30098.42</v>
      </c>
      <c r="W58" s="18" t="n">
        <v>10152.1</v>
      </c>
      <c r="X58" s="18" t="n">
        <v>183.47</v>
      </c>
      <c r="Y58" s="18" t="n">
        <v>242.88</v>
      </c>
      <c r="Z58" s="37" t="n">
        <v>242.88</v>
      </c>
      <c r="AA58" s="18" t="n">
        <v>40119.07</v>
      </c>
      <c r="AB58" s="19" t="n">
        <v>60217.76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371878.68</v>
      </c>
      <c r="F60" s="9" t="n"/>
      <c r="G60" s="18" t="n">
        <v>368754.95</v>
      </c>
      <c r="H60" s="18" t="n">
        <v>360072.1</v>
      </c>
      <c r="I60" s="18" t="n">
        <v>364281.71</v>
      </c>
      <c r="J60" s="18" t="n">
        <v>402592.35</v>
      </c>
      <c r="K60" s="37" t="n">
        <v>1495701.11</v>
      </c>
      <c r="L60" s="18" t="n">
        <v>370218.98</v>
      </c>
      <c r="M60" s="18" t="n">
        <v>398671.34</v>
      </c>
      <c r="N60" s="18" t="n">
        <v>396614.25</v>
      </c>
      <c r="O60" s="18" t="n">
        <v>420200.37</v>
      </c>
      <c r="P60" s="37" t="n">
        <v>1585704.94</v>
      </c>
      <c r="Q60" s="18" t="n">
        <v>504787.43</v>
      </c>
      <c r="R60" s="18" t="n">
        <v>496957.05</v>
      </c>
      <c r="S60" s="18" t="n">
        <v>454114.68</v>
      </c>
      <c r="T60" s="18" t="n">
        <v>414797.84</v>
      </c>
      <c r="U60" s="37" t="n">
        <v>1870657</v>
      </c>
      <c r="V60" s="18" t="n">
        <v>437760.42</v>
      </c>
      <c r="W60" s="18" t="n">
        <v>409870.55</v>
      </c>
      <c r="X60" s="18" t="n">
        <v>340655.2</v>
      </c>
      <c r="Y60" s="18" t="n">
        <v>357919.88</v>
      </c>
      <c r="Z60" s="37" t="n">
        <v>1546206.05</v>
      </c>
      <c r="AA60" s="18" t="n">
        <v>355935.36</v>
      </c>
      <c r="AB60" s="19" t="n">
        <v>373133.4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308261.66</v>
      </c>
      <c r="F61" s="9" t="n"/>
      <c r="G61" s="18" t="n">
        <v>305509.61</v>
      </c>
      <c r="H61" s="18" t="n">
        <v>300475.38</v>
      </c>
      <c r="I61" s="18" t="n">
        <v>303416.33</v>
      </c>
      <c r="J61" s="18" t="n">
        <v>372721.91</v>
      </c>
      <c r="K61" s="37" t="n">
        <v>1282123.23</v>
      </c>
      <c r="L61" s="18" t="n">
        <v>320220.84</v>
      </c>
      <c r="M61" s="18" t="n">
        <v>337334.19</v>
      </c>
      <c r="N61" s="18" t="n">
        <v>332290.86</v>
      </c>
      <c r="O61" s="18" t="n">
        <v>371958.05</v>
      </c>
      <c r="P61" s="37" t="n">
        <v>1361803.94</v>
      </c>
      <c r="Q61" s="18" t="n">
        <v>433314.47</v>
      </c>
      <c r="R61" s="18" t="n">
        <v>424748.49</v>
      </c>
      <c r="S61" s="18" t="n">
        <v>381817.74</v>
      </c>
      <c r="T61" s="18" t="n">
        <v>345557.7</v>
      </c>
      <c r="U61" s="37" t="n">
        <v>1585438.4</v>
      </c>
      <c r="V61" s="18" t="n">
        <v>361613.8</v>
      </c>
      <c r="W61" s="18" t="n">
        <v>336420.78</v>
      </c>
      <c r="X61" s="18" t="n">
        <v>270841.4</v>
      </c>
      <c r="Y61" s="18" t="n">
        <v>309239.3</v>
      </c>
      <c r="Z61" s="37" t="n">
        <v>1278115.28</v>
      </c>
      <c r="AA61" s="18" t="n">
        <v>293723.68</v>
      </c>
      <c r="AB61" s="19" t="n">
        <v>309561.68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63617.02</v>
      </c>
      <c r="F62" s="9" t="n"/>
      <c r="G62" s="18" t="n">
        <v>63245.34</v>
      </c>
      <c r="H62" s="18" t="n">
        <v>59596.71</v>
      </c>
      <c r="I62" s="18" t="n">
        <v>60865.38</v>
      </c>
      <c r="J62" s="18" t="n">
        <v>29870.44</v>
      </c>
      <c r="K62" s="37" t="n">
        <v>213577.87</v>
      </c>
      <c r="L62" s="18" t="n">
        <v>49998.14</v>
      </c>
      <c r="M62" s="18" t="n">
        <v>61337.15</v>
      </c>
      <c r="N62" s="18" t="n">
        <v>64323.39</v>
      </c>
      <c r="O62" s="18" t="n">
        <v>48242.32</v>
      </c>
      <c r="P62" s="37" t="n">
        <v>223901</v>
      </c>
      <c r="Q62" s="18" t="n">
        <v>71472.96000000001</v>
      </c>
      <c r="R62" s="18" t="n">
        <v>72208.56</v>
      </c>
      <c r="S62" s="18" t="n">
        <v>72296.94</v>
      </c>
      <c r="T62" s="18" t="n">
        <v>69240.14</v>
      </c>
      <c r="U62" s="37" t="n">
        <v>285218.6</v>
      </c>
      <c r="V62" s="18" t="n">
        <v>76146.62</v>
      </c>
      <c r="W62" s="18" t="n">
        <v>73449.75999999999</v>
      </c>
      <c r="X62" s="18" t="n">
        <v>69813.8</v>
      </c>
      <c r="Y62" s="18" t="n">
        <v>48680.58</v>
      </c>
      <c r="Z62" s="37" t="n">
        <v>268090.76</v>
      </c>
      <c r="AA62" s="18" t="n">
        <v>62211.67</v>
      </c>
      <c r="AB62" s="19" t="n">
        <v>63571.72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62289.75</v>
      </c>
      <c r="F63" s="9" t="n"/>
      <c r="G63" s="18" t="n">
        <v>60329.67</v>
      </c>
      <c r="H63" s="18" t="n">
        <v>59882.58</v>
      </c>
      <c r="I63" s="18" t="n">
        <v>60355.25</v>
      </c>
      <c r="J63" s="18" t="n">
        <v>60905.7</v>
      </c>
      <c r="K63" s="37" t="n">
        <v>241473.2</v>
      </c>
      <c r="L63" s="18" t="n">
        <v>57603.07</v>
      </c>
      <c r="M63" s="18" t="n">
        <v>57861.25</v>
      </c>
      <c r="N63" s="18" t="n">
        <v>63074.58</v>
      </c>
      <c r="O63" s="18" t="n">
        <v>65214.23</v>
      </c>
      <c r="P63" s="37" t="n">
        <v>243753.13</v>
      </c>
      <c r="Q63" s="18" t="n">
        <v>64674.16</v>
      </c>
      <c r="R63" s="18" t="n">
        <v>64038.49</v>
      </c>
      <c r="S63" s="18" t="n">
        <v>62533.12</v>
      </c>
      <c r="T63" s="18" t="n">
        <v>69936.28</v>
      </c>
      <c r="U63" s="37" t="n">
        <v>261182.05</v>
      </c>
      <c r="V63" s="18" t="n">
        <v>66634.87</v>
      </c>
      <c r="W63" s="18" t="n">
        <v>68369.92999999999</v>
      </c>
      <c r="X63" s="18" t="n">
        <v>66076.66</v>
      </c>
      <c r="Y63" s="18" t="n">
        <v>51291.95</v>
      </c>
      <c r="Z63" s="37" t="n">
        <v>252373.41</v>
      </c>
      <c r="AA63" s="18" t="n">
        <v>61159.14</v>
      </c>
      <c r="AB63" s="19" t="n">
        <v>58013.19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1327.27</v>
      </c>
      <c r="F64" s="9" t="n"/>
      <c r="G64" s="18" t="n">
        <v>2915.68</v>
      </c>
      <c r="H64" s="18" t="n">
        <v>-285.87</v>
      </c>
      <c r="I64" s="18" t="n">
        <v>510.13</v>
      </c>
      <c r="J64" s="18" t="n">
        <v>-31035.26</v>
      </c>
      <c r="K64" s="37" t="n">
        <v>-27895.32</v>
      </c>
      <c r="L64" s="18" t="n">
        <v>-7604.93</v>
      </c>
      <c r="M64" s="18" t="n">
        <v>3475.9</v>
      </c>
      <c r="N64" s="18" t="n">
        <v>1248.81</v>
      </c>
      <c r="O64" s="18" t="n">
        <v>-16971.91</v>
      </c>
      <c r="P64" s="37" t="n">
        <v>-19852.13</v>
      </c>
      <c r="Q64" s="18" t="n">
        <v>6798.8</v>
      </c>
      <c r="R64" s="18" t="n">
        <v>8170.07</v>
      </c>
      <c r="S64" s="18" t="n">
        <v>9763.82</v>
      </c>
      <c r="T64" s="18" t="n">
        <v>-696.14</v>
      </c>
      <c r="U64" s="37" t="n">
        <v>24036.55</v>
      </c>
      <c r="V64" s="18" t="n">
        <v>9511.74</v>
      </c>
      <c r="W64" s="18" t="n">
        <v>5079.83</v>
      </c>
      <c r="X64" s="18" t="n">
        <v>3737.14</v>
      </c>
      <c r="Y64" s="18" t="n">
        <v>-2611.37</v>
      </c>
      <c r="Z64" s="37" t="n">
        <v>15717.34</v>
      </c>
      <c r="AA64" s="18" t="n">
        <v>1052.53</v>
      </c>
      <c r="AB64" s="19" t="n">
        <v>5558.53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178.86</v>
      </c>
      <c r="F65" s="9" t="n"/>
      <c r="G65" s="18" t="n">
        <v>199.15</v>
      </c>
      <c r="H65" s="18" t="n">
        <v>144.43</v>
      </c>
      <c r="I65" s="18" t="n">
        <v>129.56</v>
      </c>
      <c r="J65" s="18" t="n">
        <v>40.09</v>
      </c>
      <c r="K65" s="37" t="n">
        <v>513.23</v>
      </c>
      <c r="L65" s="18" t="n">
        <v>149.73</v>
      </c>
      <c r="M65" s="18" t="n">
        <v>133.12</v>
      </c>
      <c r="N65" s="18" t="n">
        <v>198.96</v>
      </c>
      <c r="O65" s="18" t="n">
        <v>349.13</v>
      </c>
      <c r="P65" s="37" t="n">
        <v>830.9400000000001</v>
      </c>
      <c r="Q65" s="18" t="n">
        <v>255.29</v>
      </c>
      <c r="R65" s="18" t="n">
        <v>314.35</v>
      </c>
      <c r="S65" s="18" t="n">
        <v>148.27</v>
      </c>
      <c r="T65" s="18" t="n">
        <v>225.29</v>
      </c>
      <c r="U65" s="37" t="n">
        <v>943.2</v>
      </c>
      <c r="V65" s="18" t="n">
        <v>272.48</v>
      </c>
      <c r="W65" s="18" t="n">
        <v>303.74</v>
      </c>
      <c r="X65" s="18" t="n">
        <v>162.38</v>
      </c>
      <c r="Y65" s="18" t="n">
        <v>304.76</v>
      </c>
      <c r="Z65" s="37" t="n">
        <v>1043.36</v>
      </c>
      <c r="AA65" s="18" t="n">
        <v>408.7</v>
      </c>
      <c r="AB65" s="19" t="n">
        <v>430.75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466.84</v>
      </c>
      <c r="F66" s="9" t="n"/>
      <c r="G66" s="18" t="n">
        <v>428.6</v>
      </c>
      <c r="H66" s="18" t="n">
        <v>169.21</v>
      </c>
      <c r="I66" s="18" t="n">
        <v>132.46</v>
      </c>
      <c r="J66" s="18" t="n">
        <v>30964.76</v>
      </c>
      <c r="K66" s="37" t="n">
        <v>31695.03</v>
      </c>
      <c r="L66" s="18" t="n">
        <v>497.31</v>
      </c>
      <c r="M66" s="18" t="n">
        <v>82.59</v>
      </c>
      <c r="N66" s="18" t="n">
        <v>-9.130000000000001</v>
      </c>
      <c r="O66" s="18" t="n">
        <v>14556.91</v>
      </c>
      <c r="P66" s="37" t="n">
        <v>15127.68</v>
      </c>
      <c r="Q66" s="18" t="n">
        <v>46.97</v>
      </c>
      <c r="R66" s="18" t="n">
        <v>63.57</v>
      </c>
      <c r="S66" s="18" t="n">
        <v>70.61</v>
      </c>
      <c r="T66" s="18" t="n">
        <v>186.13</v>
      </c>
      <c r="U66" s="37" t="n">
        <v>367.28</v>
      </c>
      <c r="V66" s="18" t="n">
        <v>36.59</v>
      </c>
      <c r="W66" s="18" t="n">
        <v>464.92</v>
      </c>
      <c r="X66" s="18" t="n">
        <v>65.34999999999999</v>
      </c>
      <c r="Y66" s="18" t="n">
        <v>1514.03</v>
      </c>
      <c r="Z66" s="37" t="n">
        <v>2080.89</v>
      </c>
      <c r="AA66" s="18" t="n">
        <v>66.08</v>
      </c>
      <c r="AB66" s="19" t="n">
        <v>842.14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378.38</v>
      </c>
      <c r="F67" s="9" t="n"/>
      <c r="G67" s="18" t="n">
        <v>1424.07</v>
      </c>
      <c r="H67" s="18" t="n">
        <v>2590.55</v>
      </c>
      <c r="I67" s="18" t="n">
        <v>5450.18</v>
      </c>
      <c r="J67" s="18" t="n">
        <v>-1554.6</v>
      </c>
      <c r="K67" s="37" t="n">
        <v>7910.2</v>
      </c>
      <c r="L67" s="18" t="n">
        <v>2041.24</v>
      </c>
      <c r="M67" s="18" t="n">
        <v>1766.21</v>
      </c>
      <c r="N67" s="18" t="n">
        <v>1530.33</v>
      </c>
      <c r="O67" s="18" t="n">
        <v>-749.66</v>
      </c>
      <c r="P67" s="37" t="n">
        <v>4588.12</v>
      </c>
      <c r="Q67" s="18" t="n">
        <v>2325.18</v>
      </c>
      <c r="R67" s="18" t="n">
        <v>2061.65</v>
      </c>
      <c r="S67" s="18" t="n">
        <v>-1443.16</v>
      </c>
      <c r="T67" s="18" t="n">
        <v>4152.18</v>
      </c>
      <c r="U67" s="37" t="n">
        <v>7095.85</v>
      </c>
      <c r="V67" s="18" t="n">
        <v>844.91</v>
      </c>
      <c r="W67" s="18" t="n">
        <v>1174.92</v>
      </c>
      <c r="X67" s="18" t="n">
        <v>527.5599999999999</v>
      </c>
      <c r="Y67" s="18" t="n">
        <v>1426.27</v>
      </c>
      <c r="Z67" s="37" t="n">
        <v>3973.66</v>
      </c>
      <c r="AA67" s="18" t="n">
        <v>2573.56</v>
      </c>
      <c r="AB67" s="19" t="n">
        <v>2001.61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644.05</v>
      </c>
      <c r="F68" s="9" t="n"/>
      <c r="G68" s="18" t="n">
        <v>1341.34</v>
      </c>
      <c r="H68" s="18" t="n">
        <v>3014.36</v>
      </c>
      <c r="I68" s="18" t="n">
        <v>5077.67</v>
      </c>
      <c r="J68" s="18" t="n">
        <v>5368.15</v>
      </c>
      <c r="K68" s="37" t="n">
        <v>14801.52</v>
      </c>
      <c r="L68" s="18" t="n">
        <v>2398.07</v>
      </c>
      <c r="M68" s="18" t="n">
        <v>2868.4</v>
      </c>
      <c r="N68" s="18" t="n">
        <v>2917.42</v>
      </c>
      <c r="O68" s="18" t="n">
        <v>2848.17</v>
      </c>
      <c r="P68" s="37" t="n">
        <v>11032.06</v>
      </c>
      <c r="Q68" s="18" t="n">
        <v>2951.06</v>
      </c>
      <c r="R68" s="18" t="n">
        <v>2996.86</v>
      </c>
      <c r="S68" s="18" t="n">
        <v>2511.45</v>
      </c>
      <c r="T68" s="18" t="n">
        <v>3023.89</v>
      </c>
      <c r="U68" s="37" t="n">
        <v>11483.26</v>
      </c>
      <c r="V68" s="18" t="n">
        <v>2403.46</v>
      </c>
      <c r="W68" s="18" t="n">
        <v>5239.1</v>
      </c>
      <c r="X68" s="18" t="n">
        <v>396.2</v>
      </c>
      <c r="Y68" s="18" t="n">
        <v>1452.59</v>
      </c>
      <c r="Z68" s="37" t="n">
        <v>9491.35</v>
      </c>
      <c r="AA68" s="18" t="n">
        <v>1746.51</v>
      </c>
      <c r="AB68" s="19" t="n">
        <v>2312.31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773.62</v>
      </c>
      <c r="F69" s="9" t="n"/>
      <c r="G69" s="18" t="n">
        <v>2768.95</v>
      </c>
      <c r="H69" s="18" t="n">
        <v>-734.47</v>
      </c>
      <c r="I69" s="18" t="n">
        <v>879.74</v>
      </c>
      <c r="J69" s="18" t="n">
        <v>-68882.67999999999</v>
      </c>
      <c r="K69" s="37" t="n">
        <v>-65968.46000000001</v>
      </c>
      <c r="L69" s="18" t="n">
        <v>-8309.35</v>
      </c>
      <c r="M69" s="18" t="n">
        <v>2424.24</v>
      </c>
      <c r="N69" s="18" t="n">
        <v>69.81</v>
      </c>
      <c r="O69" s="18" t="n">
        <v>-34777.51</v>
      </c>
      <c r="P69" s="37" t="n">
        <v>-40592.81</v>
      </c>
      <c r="Q69" s="18" t="n">
        <v>6381.23</v>
      </c>
      <c r="R69" s="18" t="n">
        <v>7485.63</v>
      </c>
      <c r="S69" s="18" t="n">
        <v>5886.86</v>
      </c>
      <c r="T69" s="18" t="n">
        <v>471.3</v>
      </c>
      <c r="U69" s="37" t="n">
        <v>20225.02</v>
      </c>
      <c r="V69" s="18" t="n">
        <v>8189.08</v>
      </c>
      <c r="W69" s="18" t="n">
        <v>854.48</v>
      </c>
      <c r="X69" s="18" t="n">
        <v>3965.53</v>
      </c>
      <c r="Y69" s="18" t="n">
        <v>-3846.95</v>
      </c>
      <c r="Z69" s="37" t="n">
        <v>9162.139999999999</v>
      </c>
      <c r="AA69" s="18" t="n">
        <v>2222.19</v>
      </c>
      <c r="AB69" s="19" t="n">
        <v>4836.44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-729.61</v>
      </c>
      <c r="F70" s="9" t="n"/>
      <c r="G70" s="18" t="n">
        <v>646.58</v>
      </c>
      <c r="H70" s="18" t="n">
        <v>-124.59</v>
      </c>
      <c r="I70" s="18" t="n">
        <v>249.21</v>
      </c>
      <c r="J70" s="18" t="n">
        <v>-15968.61</v>
      </c>
      <c r="K70" s="37" t="n">
        <v>-15197.41</v>
      </c>
      <c r="L70" s="18" t="n">
        <v>-1468.5</v>
      </c>
      <c r="M70" s="18" t="n">
        <v>415.97</v>
      </c>
      <c r="N70" s="18" t="n">
        <v>185.89</v>
      </c>
      <c r="O70" s="18" t="n">
        <v>-5590.63</v>
      </c>
      <c r="P70" s="37" t="n">
        <v>-6457.27</v>
      </c>
      <c r="Q70" s="18" t="n">
        <v>1697.04</v>
      </c>
      <c r="R70" s="18" t="n">
        <v>1736.4</v>
      </c>
      <c r="S70" s="18" t="n">
        <v>1663.95</v>
      </c>
      <c r="T70" s="18" t="n">
        <v>-51.32</v>
      </c>
      <c r="U70" s="37" t="n">
        <v>5046.07</v>
      </c>
      <c r="V70" s="18" t="n">
        <v>1632.67</v>
      </c>
      <c r="W70" s="18" t="n">
        <v>236.4</v>
      </c>
      <c r="X70" s="18" t="n">
        <v>963.12</v>
      </c>
      <c r="Y70" s="18" t="n">
        <v>-1077.13</v>
      </c>
      <c r="Z70" s="37" t="n">
        <v>1755.06</v>
      </c>
      <c r="AA70" s="18" t="n">
        <v>607.67</v>
      </c>
      <c r="AB70" s="19" t="n">
        <v>1082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1503.23</v>
      </c>
      <c r="F71" s="9" t="n"/>
      <c r="G71" s="18" t="n">
        <v>2122.37</v>
      </c>
      <c r="H71" s="18" t="n">
        <v>-609.88</v>
      </c>
      <c r="I71" s="18" t="n">
        <v>630.53</v>
      </c>
      <c r="J71" s="18" t="n">
        <v>-52914.06</v>
      </c>
      <c r="K71" s="37" t="n">
        <v>-50771.04</v>
      </c>
      <c r="L71" s="18" t="n">
        <v>-6840.85</v>
      </c>
      <c r="M71" s="18" t="n">
        <v>2008.28</v>
      </c>
      <c r="N71" s="18" t="n">
        <v>-116.08</v>
      </c>
      <c r="O71" s="18" t="n">
        <v>-29186.88</v>
      </c>
      <c r="P71" s="37" t="n">
        <v>-34135.53</v>
      </c>
      <c r="Q71" s="18" t="n">
        <v>4684.19</v>
      </c>
      <c r="R71" s="18" t="n">
        <v>5749.23</v>
      </c>
      <c r="S71" s="18" t="n">
        <v>4222.91</v>
      </c>
      <c r="T71" s="18" t="n">
        <v>522.62</v>
      </c>
      <c r="U71" s="37" t="n">
        <v>15178.95</v>
      </c>
      <c r="V71" s="18" t="n">
        <v>6556.42</v>
      </c>
      <c r="W71" s="18" t="n">
        <v>618.09</v>
      </c>
      <c r="X71" s="18" t="n">
        <v>3002.4</v>
      </c>
      <c r="Y71" s="18" t="n">
        <v>-2769.82</v>
      </c>
      <c r="Z71" s="37" t="n">
        <v>7407.09</v>
      </c>
      <c r="AA71" s="18" t="n">
        <v>1614.52</v>
      </c>
      <c r="AB71" s="19" t="n">
        <v>3754.44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-23.72</v>
      </c>
      <c r="F72" s="9" t="n"/>
      <c r="G72" s="18" t="n">
        <v>2030.62</v>
      </c>
      <c r="H72" s="18" t="n">
        <v>-614.49</v>
      </c>
      <c r="I72" s="18" t="n">
        <v>851.53</v>
      </c>
      <c r="J72" s="18" t="n">
        <v>-50780.61</v>
      </c>
      <c r="K72" s="37" t="n">
        <v>-48512.95</v>
      </c>
      <c r="L72" s="18" t="n">
        <v>-6797.59</v>
      </c>
      <c r="M72" s="18" t="n">
        <v>1834.3</v>
      </c>
      <c r="N72" s="18" t="n">
        <v>-162.74</v>
      </c>
      <c r="O72" s="18" t="n">
        <v>-31050.27</v>
      </c>
      <c r="P72" s="37" t="n">
        <v>-36176.3</v>
      </c>
      <c r="Q72" s="18" t="n">
        <v>4753.86</v>
      </c>
      <c r="R72" s="18" t="n">
        <v>5657.18</v>
      </c>
      <c r="S72" s="18" t="n">
        <v>4282.5</v>
      </c>
      <c r="T72" s="18" t="n">
        <v>-5306.62</v>
      </c>
      <c r="U72" s="37" t="n">
        <v>9386.92</v>
      </c>
      <c r="V72" s="18" t="n">
        <v>6452.99</v>
      </c>
      <c r="W72" s="18" t="n">
        <v>-38.33</v>
      </c>
      <c r="X72" s="18" t="n">
        <v>3136.99</v>
      </c>
      <c r="Y72" s="18" t="n">
        <v>-608.86</v>
      </c>
      <c r="Z72" s="37" t="n">
        <v>8942.790000000001</v>
      </c>
      <c r="AA72" s="18" t="n">
        <v>1575.99</v>
      </c>
      <c r="AB72" s="19" t="n">
        <v>3629.62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1503.23</v>
      </c>
      <c r="F73" s="9" t="n"/>
      <c r="G73" s="18" t="n">
        <v>2122.37</v>
      </c>
      <c r="H73" s="18" t="n">
        <v>-609.88</v>
      </c>
      <c r="I73" s="18" t="n">
        <v>630.53</v>
      </c>
      <c r="J73" s="18" t="n">
        <v>-52914.06</v>
      </c>
      <c r="K73" s="37" t="n">
        <v>-50771.04</v>
      </c>
      <c r="L73" s="18" t="n">
        <v>-6840.85</v>
      </c>
      <c r="M73" s="18" t="n">
        <v>2008.28</v>
      </c>
      <c r="N73" s="18" t="n">
        <v>-116.08</v>
      </c>
      <c r="O73" s="18" t="n">
        <v>-29186.88</v>
      </c>
      <c r="P73" s="37" t="n">
        <v>-34135.53</v>
      </c>
      <c r="Q73" s="18" t="n">
        <v>4684.19</v>
      </c>
      <c r="R73" s="18" t="n">
        <v>5749.23</v>
      </c>
      <c r="S73" s="18" t="n">
        <v>4222.91</v>
      </c>
      <c r="T73" s="18" t="n">
        <v>522.62</v>
      </c>
      <c r="U73" s="37" t="n">
        <v>15178.95</v>
      </c>
      <c r="V73" s="18" t="n">
        <v>6556.42</v>
      </c>
      <c r="W73" s="18" t="n">
        <v>618.09</v>
      </c>
      <c r="X73" s="18" t="n">
        <v>3002.4</v>
      </c>
      <c r="Y73" s="18" t="n">
        <v>-2769.82</v>
      </c>
      <c r="Z73" s="37" t="n">
        <v>7407.09</v>
      </c>
      <c r="AA73" s="18" t="n">
        <v>1614.52</v>
      </c>
      <c r="AB73" s="19" t="n">
        <v>3754.44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-265.67</v>
      </c>
      <c r="F74" s="9" t="n"/>
      <c r="G74" s="18" t="n">
        <v>82.73</v>
      </c>
      <c r="H74" s="18" t="n">
        <v>-423.81</v>
      </c>
      <c r="I74" s="18" t="n">
        <v>372.51</v>
      </c>
      <c r="J74" s="18" t="n">
        <v>-6922.75</v>
      </c>
      <c r="K74" s="37" t="n">
        <v>-6891.32</v>
      </c>
      <c r="L74" s="18" t="n">
        <v>-356.83</v>
      </c>
      <c r="M74" s="18" t="n">
        <v>-1102.19</v>
      </c>
      <c r="N74" s="18" t="n">
        <v>-1387.09</v>
      </c>
      <c r="O74" s="18" t="n">
        <v>-3597.83</v>
      </c>
      <c r="P74" s="37" t="n">
        <v>-6443.94</v>
      </c>
      <c r="Q74" s="18" t="n">
        <v>-625.88</v>
      </c>
      <c r="R74" s="18" t="n">
        <v>-935.21</v>
      </c>
      <c r="S74" s="18" t="n">
        <v>-3954.61</v>
      </c>
      <c r="T74" s="18" t="n">
        <v>1128.29</v>
      </c>
      <c r="U74" s="37" t="n">
        <v>-4387.41</v>
      </c>
      <c r="V74" s="18" t="n">
        <v>-1558.55</v>
      </c>
      <c r="W74" s="18" t="n">
        <v>-4064.18</v>
      </c>
      <c r="X74" s="18" t="n">
        <v>131.36</v>
      </c>
      <c r="Y74" s="18" t="n">
        <v>-26.32</v>
      </c>
      <c r="Z74" s="37" t="n">
        <v>-5517.69</v>
      </c>
      <c r="AA74" s="18" t="n">
        <v>827.05</v>
      </c>
      <c r="AB74" s="19" t="n">
        <v>-310.7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-287.98</v>
      </c>
      <c r="F75" s="9" t="n"/>
      <c r="G75" s="18" t="n">
        <v>-229.45</v>
      </c>
      <c r="H75" s="18" t="n">
        <v>-24.78</v>
      </c>
      <c r="I75" s="18" t="n">
        <v>-2.9</v>
      </c>
      <c r="J75" s="18" t="n">
        <v>-30924.67</v>
      </c>
      <c r="K75" s="37" t="n">
        <v>-31181.8</v>
      </c>
      <c r="L75" s="18" t="n">
        <v>-347.58</v>
      </c>
      <c r="M75" s="18" t="n">
        <v>50.53</v>
      </c>
      <c r="N75" s="18" t="n">
        <v>208.09</v>
      </c>
      <c r="O75" s="18" t="n">
        <v>-14207.78</v>
      </c>
      <c r="P75" s="37" t="n">
        <v>-14296.74</v>
      </c>
      <c r="Q75" s="18" t="n">
        <v>208.32</v>
      </c>
      <c r="R75" s="18" t="n">
        <v>250.78</v>
      </c>
      <c r="S75" s="18" t="n">
        <v>77.66</v>
      </c>
      <c r="T75" s="18" t="n">
        <v>39.16</v>
      </c>
      <c r="U75" s="37" t="n">
        <v>575.92</v>
      </c>
      <c r="V75" s="18" t="n">
        <v>235.89</v>
      </c>
      <c r="W75" s="18" t="n">
        <v>-161.18</v>
      </c>
      <c r="X75" s="18" t="n">
        <v>97.03</v>
      </c>
      <c r="Y75" s="18" t="n">
        <v>-1209.27</v>
      </c>
      <c r="Z75" s="37" t="n">
        <v>-1037.53</v>
      </c>
      <c r="AA75" s="18" t="n">
        <v>342.62</v>
      </c>
      <c r="AB75" s="19" t="n">
        <v>-411.39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1503.23</v>
      </c>
      <c r="F76" s="9" t="n"/>
      <c r="G76" s="18" t="n">
        <v>2122.37</v>
      </c>
      <c r="H76" s="18" t="n">
        <v>-609.88</v>
      </c>
      <c r="I76" s="18" t="n">
        <v>630.53</v>
      </c>
      <c r="J76" s="18" t="n">
        <v>-52914.06</v>
      </c>
      <c r="K76" s="37" t="n">
        <v>-50771.04</v>
      </c>
      <c r="L76" s="18" t="n">
        <v>-6840.85</v>
      </c>
      <c r="M76" s="18" t="n">
        <v>2008.28</v>
      </c>
      <c r="N76" s="18" t="n">
        <v>-116.08</v>
      </c>
      <c r="O76" s="18" t="n">
        <v>-29186.88</v>
      </c>
      <c r="P76" s="37" t="n">
        <v>-34135.53</v>
      </c>
      <c r="Q76" s="18" t="n">
        <v>4684.19</v>
      </c>
      <c r="R76" s="18" t="n">
        <v>5749.23</v>
      </c>
      <c r="S76" s="18" t="n">
        <v>4222.91</v>
      </c>
      <c r="T76" s="18" t="n">
        <v>522.62</v>
      </c>
      <c r="U76" s="37" t="n">
        <v>15178.95</v>
      </c>
      <c r="V76" s="18" t="n">
        <v>6556.42</v>
      </c>
      <c r="W76" s="18" t="n">
        <v>618.09</v>
      </c>
      <c r="X76" s="18" t="n">
        <v>3002.4</v>
      </c>
      <c r="Y76" s="18" t="n">
        <v>-2769.82</v>
      </c>
      <c r="Z76" s="37" t="n">
        <v>7407.09</v>
      </c>
      <c r="AA76" s="18" t="n">
        <v>1614.52</v>
      </c>
      <c r="AB76" s="19" t="n">
        <v>3754.44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208.38</v>
      </c>
      <c r="H77" s="18" t="n">
        <v>250.03</v>
      </c>
      <c r="I77" s="18" t="n">
        <v>221.66</v>
      </c>
      <c r="J77" s="18" t="n">
        <v>251.91</v>
      </c>
      <c r="K77" s="37" t="n">
        <v>931.98</v>
      </c>
      <c r="L77" s="18" t="n">
        <v>221.29</v>
      </c>
      <c r="M77" s="18" t="n">
        <v>242.3</v>
      </c>
      <c r="N77" s="18" t="n">
        <v>249.02</v>
      </c>
      <c r="O77" s="18" t="n">
        <v>132.37</v>
      </c>
      <c r="P77" s="37" t="n">
        <v>844.98</v>
      </c>
      <c r="Q77" s="18" t="n">
        <v>240.06</v>
      </c>
      <c r="R77" s="18" t="n">
        <v>269.78</v>
      </c>
      <c r="S77" s="18" t="n">
        <v>266.3</v>
      </c>
      <c r="T77" s="18" t="n">
        <v>335</v>
      </c>
      <c r="U77" s="37" t="n">
        <v>1111.14</v>
      </c>
      <c r="V77" s="18" t="n">
        <v>270.81</v>
      </c>
      <c r="W77" s="18" t="n">
        <v>294.41</v>
      </c>
      <c r="X77" s="18" t="n">
        <v>255.58</v>
      </c>
      <c r="Y77" s="18" t="n">
        <v>246.9</v>
      </c>
      <c r="Z77" s="37" t="n">
        <v>1067.7</v>
      </c>
      <c r="AA77" s="18" t="n">
        <v>260.7</v>
      </c>
      <c r="AB77" s="19" t="n">
        <v>552.33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346.42</v>
      </c>
      <c r="H78" s="18" t="n">
        <v>375.25</v>
      </c>
      <c r="I78" s="18" t="n">
        <v>728.05</v>
      </c>
      <c r="J78" s="18" t="n">
        <v>1098.63</v>
      </c>
      <c r="K78" s="37" t="n">
        <v>2548.35</v>
      </c>
      <c r="L78" s="18" t="n">
        <v>1430.43</v>
      </c>
      <c r="M78" s="18" t="n">
        <v>1645.8</v>
      </c>
      <c r="N78" s="18" t="n">
        <v>1977.19</v>
      </c>
      <c r="O78" s="18" t="n">
        <v>2473.18</v>
      </c>
      <c r="P78" s="37" t="n">
        <v>7526.6</v>
      </c>
      <c r="Q78" s="18" t="n">
        <v>2127.18</v>
      </c>
      <c r="R78" s="18" t="n">
        <v>2173.95</v>
      </c>
      <c r="S78" s="18" t="n">
        <v>2265.13</v>
      </c>
      <c r="T78" s="18" t="n">
        <v>1833.19</v>
      </c>
      <c r="U78" s="37" t="n">
        <v>8399.450000000001</v>
      </c>
      <c r="V78" s="18" t="n">
        <v>1762.94</v>
      </c>
      <c r="W78" s="18" t="n">
        <v>1641.54</v>
      </c>
      <c r="X78" s="18" t="n">
        <v>1156.97</v>
      </c>
      <c r="Y78" s="18" t="n">
        <v>1150.98</v>
      </c>
      <c r="Z78" s="37" t="n">
        <v>5712.43</v>
      </c>
      <c r="AA78" s="18" t="n">
        <v>1144.78</v>
      </c>
      <c r="AB78" s="19" t="n">
        <v>1301.1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401.18</v>
      </c>
      <c r="H79" s="18" t="n">
        <v>870.77</v>
      </c>
      <c r="I79" s="18" t="n">
        <v>1592.18</v>
      </c>
      <c r="J79" s="18" t="n">
        <v>2136.56</v>
      </c>
      <c r="K79" s="37" t="n">
        <v>5000.69</v>
      </c>
      <c r="L79" s="18" t="n">
        <v>746.04</v>
      </c>
      <c r="N79" s="18" t="n">
        <v>387.74</v>
      </c>
      <c r="O79" s="18" t="n">
        <v>550.26</v>
      </c>
      <c r="P79" s="9" t="n"/>
      <c r="Q79" s="18" t="n">
        <v>506.06</v>
      </c>
      <c r="S79" s="18" t="n">
        <v>266.5</v>
      </c>
      <c r="T79" s="18" t="n">
        <v>319.9</v>
      </c>
      <c r="U79" s="9" t="n"/>
      <c r="V79" s="18" t="n">
        <v>353.48</v>
      </c>
      <c r="W79" s="18" t="n">
        <v>340.21</v>
      </c>
      <c r="X79" s="18" t="n">
        <v>484.91</v>
      </c>
      <c r="Y79" s="18" t="n">
        <v>762.3099999999999</v>
      </c>
      <c r="Z79" s="37" t="n">
        <v>1940.91</v>
      </c>
      <c r="AA79" s="18" t="n">
        <v>955.3</v>
      </c>
      <c r="AB79" s="19" t="n">
        <v>493.61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675.48</v>
      </c>
      <c r="H80" s="18" t="n">
        <v>1355.95</v>
      </c>
      <c r="I80" s="18" t="n">
        <v>2090.13</v>
      </c>
      <c r="J80" s="18" t="n">
        <v>2530.12</v>
      </c>
      <c r="K80" s="37" t="n">
        <v>6651.68</v>
      </c>
      <c r="L80" s="18" t="n">
        <v>747.36</v>
      </c>
      <c r="M80" s="18" t="n">
        <v>597.1</v>
      </c>
      <c r="N80" s="18" t="n">
        <v>520.95</v>
      </c>
      <c r="O80" s="18" t="n">
        <v>466.28</v>
      </c>
      <c r="P80" s="37" t="n">
        <v>2331.69</v>
      </c>
      <c r="Q80" s="18" t="n">
        <v>347.13</v>
      </c>
      <c r="R80" s="18" t="n">
        <v>403.47</v>
      </c>
      <c r="S80" s="18" t="n">
        <v>337.91</v>
      </c>
      <c r="T80" s="18" t="n">
        <v>692.91</v>
      </c>
      <c r="U80" s="37" t="n">
        <v>1781.42</v>
      </c>
      <c r="V80" s="18" t="n">
        <v>438.45</v>
      </c>
      <c r="W80" s="18" t="n">
        <v>563.3099999999999</v>
      </c>
      <c r="X80" s="18" t="n">
        <v>1365.47</v>
      </c>
      <c r="Y80" s="18" t="n">
        <v>659.89</v>
      </c>
      <c r="Z80" s="37" t="n">
        <v>3027.12</v>
      </c>
      <c r="AA80" s="18" t="n">
        <v>439.34</v>
      </c>
      <c r="AB80" s="19" t="n">
        <v>643.11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802.04</v>
      </c>
      <c r="H81" s="18" t="n">
        <v>1464.79</v>
      </c>
      <c r="I81" s="18" t="n">
        <v>3634.8</v>
      </c>
      <c r="J81" s="18" t="n">
        <v>-3943.07</v>
      </c>
      <c r="K81" s="37" t="n">
        <v>1958.56</v>
      </c>
      <c r="L81" s="18" t="n">
        <v>1073.91</v>
      </c>
      <c r="M81" s="18" t="n">
        <v>891.65</v>
      </c>
      <c r="N81" s="18" t="n">
        <v>893.5599999999999</v>
      </c>
      <c r="O81" s="18" t="n">
        <v>-1437.59</v>
      </c>
      <c r="P81" s="37" t="n">
        <v>1421.53</v>
      </c>
      <c r="Q81" s="18" t="n">
        <v>1579.07</v>
      </c>
      <c r="R81" s="18" t="n">
        <v>1346.39</v>
      </c>
      <c r="S81" s="18" t="n">
        <v>-1975.96</v>
      </c>
      <c r="T81" s="18" t="n">
        <v>3497.28</v>
      </c>
      <c r="U81" s="37" t="n">
        <v>4446.78</v>
      </c>
      <c r="V81" s="18" t="n">
        <v>180.7</v>
      </c>
      <c r="W81" s="18" t="n">
        <v>538.65</v>
      </c>
      <c r="X81" s="18" t="n">
        <v>-262.97</v>
      </c>
      <c r="Y81" s="18" t="n">
        <v>270.51</v>
      </c>
      <c r="Z81" s="37" t="n">
        <v>726.89</v>
      </c>
      <c r="AA81" s="18" t="n">
        <v>1180.87</v>
      </c>
      <c r="AB81" s="19" t="n">
        <v>866.6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319.44</v>
      </c>
      <c r="H82" s="18" t="n">
        <v>1044.86</v>
      </c>
      <c r="I82" s="18" t="n">
        <v>2046.47</v>
      </c>
      <c r="J82" s="18" t="n">
        <v>1739.4</v>
      </c>
      <c r="K82" s="37" t="n">
        <v>5150.17</v>
      </c>
      <c r="L82" s="18" t="n">
        <v>220.28</v>
      </c>
      <c r="M82" s="18" t="n">
        <v>625.49</v>
      </c>
      <c r="N82" s="18" t="n">
        <v>419.29</v>
      </c>
      <c r="O82" s="18" t="n">
        <v>-101.14</v>
      </c>
      <c r="P82" s="37" t="n">
        <v>1163.92</v>
      </c>
      <c r="Q82" s="18" t="n">
        <v>458.68</v>
      </c>
      <c r="R82" s="18" t="n">
        <v>410.46</v>
      </c>
      <c r="S82" s="18" t="n">
        <v>-91.59</v>
      </c>
      <c r="T82" s="18" t="n">
        <v>497.79</v>
      </c>
      <c r="U82" s="37" t="n">
        <v>1275.34</v>
      </c>
      <c r="V82" s="18" t="n">
        <v>193.49</v>
      </c>
      <c r="W82" s="18" t="n">
        <v>2921.98</v>
      </c>
      <c r="X82" s="18" t="n">
        <v>-2117.5</v>
      </c>
      <c r="Y82" s="18" t="n">
        <v>-455.43</v>
      </c>
      <c r="Z82" s="37" t="n">
        <v>542.54</v>
      </c>
      <c r="AA82" s="18" t="n">
        <v>150.62</v>
      </c>
      <c r="AB82" s="19" t="n">
        <v>223.98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-138.04</v>
      </c>
      <c r="H83" s="18" t="n">
        <v>-125.22</v>
      </c>
      <c r="I83" s="18" t="n">
        <v>-506.39</v>
      </c>
      <c r="J83" s="18" t="n">
        <v>-846.72</v>
      </c>
      <c r="K83" s="37" t="n">
        <v>-1616.37</v>
      </c>
      <c r="L83" s="18" t="n">
        <v>-1209.14</v>
      </c>
      <c r="M83" s="18" t="n">
        <v>-1403.5</v>
      </c>
      <c r="N83" s="18" t="n">
        <v>-1728.17</v>
      </c>
      <c r="O83" s="18" t="n">
        <v>-2340.81</v>
      </c>
      <c r="P83" s="37" t="n">
        <v>-6681.62</v>
      </c>
      <c r="Q83" s="18" t="n">
        <v>-1887.12</v>
      </c>
      <c r="R83" s="18" t="n">
        <v>-1904.17</v>
      </c>
      <c r="S83" s="18" t="n">
        <v>-1998.83</v>
      </c>
      <c r="T83" s="18" t="n">
        <v>-1498.19</v>
      </c>
      <c r="U83" s="37" t="n">
        <v>-7288.31</v>
      </c>
      <c r="V83" s="18" t="n">
        <v>-1492.13</v>
      </c>
      <c r="W83" s="18" t="n">
        <v>-1347.13</v>
      </c>
      <c r="X83" s="18" t="n">
        <v>-901.39</v>
      </c>
      <c r="Y83" s="18" t="n">
        <v>-904.08</v>
      </c>
      <c r="Z83" s="37" t="n">
        <v>-4644.73</v>
      </c>
      <c r="AA83" s="18" t="n">
        <v>-884.08</v>
      </c>
      <c r="AB83" s="19" t="n">
        <v>-748.77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H84" s="18" t="n">
        <v>237.5</v>
      </c>
      <c r="I84" s="18" t="n">
        <v>213.02</v>
      </c>
      <c r="J84" s="18" t="n">
        <v>0</v>
      </c>
      <c r="K84" s="9" t="n"/>
      <c r="P84" s="9" t="n"/>
      <c r="Q84" s="18" t="n">
        <v>18.07</v>
      </c>
      <c r="R84" s="18" t="n">
        <v>8.970000000000001</v>
      </c>
      <c r="S84" s="18" t="n">
        <v>0</v>
      </c>
      <c r="T84" s="18" t="n">
        <v>0</v>
      </c>
      <c r="U84" s="37" t="n">
        <v>27.04</v>
      </c>
      <c r="V84" s="18" t="n">
        <v>8.57</v>
      </c>
      <c r="W84" s="18" t="n">
        <v>112.27</v>
      </c>
      <c r="X84" s="18" t="n">
        <v>-8.74</v>
      </c>
      <c r="Y84" s="18" t="n">
        <v>97.14</v>
      </c>
      <c r="Z84" s="37" t="n">
        <v>209.24</v>
      </c>
      <c r="AA84" s="18" t="n">
        <v>11.77</v>
      </c>
      <c r="AB84" s="19" t="n">
        <v>26.66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(비지배주주지분)당기순이익</t>
        </is>
      </c>
      <c r="F85" s="9" t="n"/>
      <c r="K85" s="9" t="n"/>
      <c r="L85" s="18" t="n">
        <v>0</v>
      </c>
      <c r="M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K86" s="9" t="n"/>
      <c r="M86" s="18" t="n">
        <v>15.13</v>
      </c>
      <c r="N86" s="18" t="n">
        <v>0</v>
      </c>
      <c r="O86" s="18" t="n">
        <v>0</v>
      </c>
      <c r="P86" s="9" t="n"/>
      <c r="R86" s="18" t="n">
        <v>22.4</v>
      </c>
      <c r="S86" s="18" t="n">
        <v>0</v>
      </c>
      <c r="T86" s="18" t="n">
        <v>0</v>
      </c>
      <c r="U86" s="9" t="n"/>
      <c r="V86" s="18" t="n">
        <v>0</v>
      </c>
      <c r="W86" s="18" t="n">
        <v>25.82</v>
      </c>
      <c r="X86" s="18" t="n">
        <v>0</v>
      </c>
      <c r="Y86" s="18" t="n">
        <v>0</v>
      </c>
      <c r="Z86" s="37" t="n">
        <v>25.82</v>
      </c>
      <c r="AA86" s="18" t="n">
        <v>3.83</v>
      </c>
      <c r="AB86" s="19" t="n">
        <v>51.8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파생상품이익</t>
        </is>
      </c>
      <c r="F87" s="9" t="n"/>
      <c r="K87" s="9" t="n"/>
      <c r="M87" s="18" t="n">
        <v>6.75</v>
      </c>
      <c r="N87" s="18" t="n">
        <v>0</v>
      </c>
      <c r="O87" s="18" t="n">
        <v>5.31</v>
      </c>
      <c r="P87" s="9" t="n"/>
      <c r="U87" s="9" t="n"/>
      <c r="V87" s="18" t="n">
        <v>39.91</v>
      </c>
      <c r="W87" s="18" t="n">
        <v>-24.16</v>
      </c>
      <c r="X87" s="18" t="n">
        <v>50.03</v>
      </c>
      <c r="Y87" s="18" t="n">
        <v>146.56</v>
      </c>
      <c r="Z87" s="37" t="n">
        <v>212.34</v>
      </c>
      <c r="AA87" s="18" t="n">
        <v>153.39</v>
      </c>
      <c r="AB87" s="19" t="n">
        <v>86.73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-2577.4</v>
      </c>
      <c r="F88" s="9" t="n"/>
      <c r="G88" s="18" t="n">
        <v>16441.59</v>
      </c>
      <c r="H88" s="18" t="n">
        <v>2262.41</v>
      </c>
      <c r="I88" s="18" t="n">
        <v>-14492.06</v>
      </c>
      <c r="J88" s="18" t="n">
        <v>-46878.96</v>
      </c>
      <c r="K88" s="37" t="n">
        <v>-42667.02</v>
      </c>
      <c r="L88" s="18" t="n">
        <v>13932.01</v>
      </c>
      <c r="M88" s="18" t="n">
        <v>-2616.03</v>
      </c>
      <c r="N88" s="18" t="n">
        <v>-51713.01</v>
      </c>
      <c r="O88" s="18" t="n">
        <v>43150.59</v>
      </c>
      <c r="P88" s="37" t="n">
        <v>2753.56</v>
      </c>
      <c r="Q88" s="18" t="n">
        <v>-25950.23</v>
      </c>
      <c r="R88" s="18" t="n">
        <v>28484.94</v>
      </c>
      <c r="S88" s="18" t="n">
        <v>47711.35</v>
      </c>
      <c r="T88" s="18" t="n">
        <v>-9662.969999999999</v>
      </c>
      <c r="U88" s="37" t="n">
        <v>40583.09</v>
      </c>
      <c r="V88" s="18" t="n">
        <v>-8473.1</v>
      </c>
      <c r="W88" s="18" t="n">
        <v>38044.93</v>
      </c>
      <c r="X88" s="18" t="n">
        <v>-1743.32</v>
      </c>
      <c r="Y88" s="18" t="n">
        <v>10126.43</v>
      </c>
      <c r="Z88" s="37" t="n">
        <v>37954.94</v>
      </c>
      <c r="AA88" s="18" t="n">
        <v>14629.84</v>
      </c>
      <c r="AB88" s="19" t="n">
        <v>48186.66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32.28</v>
      </c>
      <c r="F89" s="9" t="n"/>
      <c r="G89" s="18" t="n">
        <v>32.36</v>
      </c>
      <c r="H89" s="18" t="n">
        <v>59.05</v>
      </c>
      <c r="I89" s="18" t="n">
        <v>30.39</v>
      </c>
      <c r="J89" s="18" t="n">
        <v>57.84</v>
      </c>
      <c r="K89" s="37" t="n">
        <v>179.64</v>
      </c>
      <c r="L89" s="18" t="n">
        <v>38.97</v>
      </c>
      <c r="M89" s="18" t="n">
        <v>77.16</v>
      </c>
      <c r="N89" s="18" t="n">
        <v>44.23</v>
      </c>
      <c r="O89" s="18" t="n">
        <v>44.89</v>
      </c>
      <c r="P89" s="37" t="n">
        <v>205.25</v>
      </c>
      <c r="Q89" s="18" t="n">
        <v>64.25</v>
      </c>
      <c r="R89" s="18" t="n">
        <v>149.1</v>
      </c>
      <c r="S89" s="18" t="n">
        <v>67.36</v>
      </c>
      <c r="U89" s="9" t="n"/>
      <c r="V89" s="18" t="n">
        <v>71.53</v>
      </c>
      <c r="W89" s="18" t="n">
        <v>151.72</v>
      </c>
      <c r="X89" s="18" t="n">
        <v>70.05</v>
      </c>
      <c r="Y89" s="18" t="n">
        <v>65.65000000000001</v>
      </c>
      <c r="Z89" s="37" t="n">
        <v>358.95</v>
      </c>
      <c r="AA89" s="18" t="n">
        <v>87.93000000000001</v>
      </c>
      <c r="AB89" s="19" t="n">
        <v>359.44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-365.16</v>
      </c>
      <c r="F90" s="9" t="n"/>
      <c r="G90" s="18" t="n">
        <v>-424.32</v>
      </c>
      <c r="H90" s="18" t="n">
        <v>-578.8</v>
      </c>
      <c r="I90" s="18" t="n">
        <v>-590.15</v>
      </c>
      <c r="J90" s="18" t="n">
        <v>-931.92</v>
      </c>
      <c r="K90" s="37" t="n">
        <v>-2525.19</v>
      </c>
      <c r="L90" s="18" t="n">
        <v>-1408.9</v>
      </c>
      <c r="M90" s="18" t="n">
        <v>-1588.87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9.369999999999999</v>
      </c>
      <c r="F91" s="9" t="n"/>
      <c r="G91" s="18" t="n">
        <v>-251.31</v>
      </c>
      <c r="H91" s="18" t="n">
        <v>-387.37</v>
      </c>
      <c r="I91" s="18" t="n">
        <v>-1831.93</v>
      </c>
      <c r="J91" s="18" t="n">
        <v>-0.79</v>
      </c>
      <c r="K91" s="37" t="n">
        <v>-2471.4</v>
      </c>
      <c r="L91" s="18" t="n">
        <v>-73.22</v>
      </c>
      <c r="M91" s="18" t="n">
        <v>1946.85</v>
      </c>
      <c r="N91" s="18" t="n">
        <v>-13.1</v>
      </c>
      <c r="O91" s="18" t="n">
        <v>-41.43</v>
      </c>
      <c r="P91" s="37" t="n">
        <v>1819.1</v>
      </c>
      <c r="Q91" s="18" t="n">
        <v>-136.41</v>
      </c>
      <c r="R91" s="18" t="n">
        <v>-87.41</v>
      </c>
      <c r="S91" s="18" t="n">
        <v>-62.83</v>
      </c>
      <c r="U91" s="9" t="n"/>
      <c r="V91" s="18" t="n">
        <v>-54.87</v>
      </c>
      <c r="W91" s="18" t="n">
        <v>71.12</v>
      </c>
      <c r="X91" s="18" t="n">
        <v>-268.28</v>
      </c>
      <c r="Y91" s="18" t="n">
        <v>23.18</v>
      </c>
      <c r="Z91" s="37" t="n">
        <v>-228.85</v>
      </c>
      <c r="AA91" s="18" t="n">
        <v>47.06</v>
      </c>
      <c r="AB91" s="19" t="n">
        <v>-105.09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-3569.55</v>
      </c>
      <c r="F92" s="9" t="n"/>
      <c r="G92" s="18" t="n">
        <v>-3725.1</v>
      </c>
      <c r="H92" s="18" t="n">
        <v>-6078.95</v>
      </c>
      <c r="I92" s="18" t="n">
        <v>-2654.62</v>
      </c>
      <c r="J92" s="18" t="n">
        <v>-2843.22</v>
      </c>
      <c r="K92" s="37" t="n">
        <v>-15301.89</v>
      </c>
      <c r="L92" s="18" t="n">
        <v>-4838.45</v>
      </c>
      <c r="M92" s="18" t="n">
        <v>-2116.5</v>
      </c>
      <c r="N92" s="18" t="n">
        <v>-2076.94</v>
      </c>
      <c r="O92" s="18" t="n">
        <v>-2786.99</v>
      </c>
      <c r="P92" s="37" t="n">
        <v>-11818.88</v>
      </c>
      <c r="Q92" s="18" t="n">
        <v>2475.9</v>
      </c>
      <c r="R92" s="18" t="n">
        <v>-1622.19</v>
      </c>
      <c r="S92" s="18" t="n">
        <v>-976.47</v>
      </c>
      <c r="T92" s="18" t="n">
        <v>-2017.33</v>
      </c>
      <c r="U92" s="37" t="n">
        <v>-2140.09</v>
      </c>
      <c r="V92" s="18" t="n">
        <v>-2807.31</v>
      </c>
      <c r="W92" s="18" t="n">
        <v>-4371.89</v>
      </c>
      <c r="X92" s="18" t="n">
        <v>-3681.16</v>
      </c>
      <c r="Y92" s="18" t="n">
        <v>-2002.61</v>
      </c>
      <c r="Z92" s="37" t="n">
        <v>-12862.97</v>
      </c>
      <c r="AA92" s="18" t="n">
        <v>-21668.37</v>
      </c>
      <c r="AB92" s="19" t="n">
        <v>125.68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39.71</v>
      </c>
      <c r="F93" s="9" t="n"/>
      <c r="G93" s="18" t="n">
        <v>859.58</v>
      </c>
      <c r="I93" s="18" t="n">
        <v>6.18</v>
      </c>
      <c r="J93" s="18" t="n">
        <v>48.68</v>
      </c>
      <c r="K93" s="9" t="n"/>
      <c r="L93" s="18" t="n">
        <v>35.85</v>
      </c>
      <c r="M93" s="18" t="n">
        <v>11.21</v>
      </c>
      <c r="N93" s="18" t="n">
        <v>2.36</v>
      </c>
      <c r="O93" s="18" t="n">
        <v>38.13</v>
      </c>
      <c r="P93" s="37" t="n">
        <v>87.55</v>
      </c>
      <c r="S93" s="18" t="n">
        <v>54.18</v>
      </c>
      <c r="T93" s="18" t="n">
        <v>112.69</v>
      </c>
      <c r="U93" s="9" t="n"/>
      <c r="V93" s="18" t="n">
        <v>15.29</v>
      </c>
      <c r="W93" s="18" t="n">
        <v>585.7</v>
      </c>
      <c r="X93" s="18" t="n">
        <v>37.7</v>
      </c>
      <c r="Y93" s="18" t="n">
        <v>43.35</v>
      </c>
      <c r="Z93" s="37" t="n">
        <v>682.04</v>
      </c>
      <c r="AA93" s="18" t="n">
        <v>1.27</v>
      </c>
      <c r="AB93" s="19" t="n">
        <v>1.64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5488.89</v>
      </c>
      <c r="F94" s="9" t="n"/>
      <c r="G94" s="18" t="n">
        <v>5364.98</v>
      </c>
      <c r="H94" s="18" t="n">
        <v>5376.94</v>
      </c>
      <c r="I94" s="18" t="n">
        <v>3297.9</v>
      </c>
      <c r="J94" s="18" t="n">
        <v>4010.47</v>
      </c>
      <c r="K94" s="37" t="n">
        <v>18050.29</v>
      </c>
      <c r="L94" s="18" t="n">
        <v>4705.3</v>
      </c>
      <c r="M94" s="18" t="n">
        <v>1746.6</v>
      </c>
      <c r="N94" s="18" t="n">
        <v>3375.87</v>
      </c>
      <c r="O94" s="18" t="n">
        <v>1764.25</v>
      </c>
      <c r="P94" s="37" t="n">
        <v>11592.02</v>
      </c>
      <c r="Q94" s="18" t="n">
        <v>621.15</v>
      </c>
      <c r="R94" s="18" t="n">
        <v>1363.81</v>
      </c>
      <c r="S94" s="18" t="n">
        <v>1075.21</v>
      </c>
      <c r="U94" s="9" t="n"/>
      <c r="V94" s="18" t="n">
        <v>2857.41</v>
      </c>
      <c r="W94" s="18" t="n">
        <v>5186.91</v>
      </c>
      <c r="X94" s="18" t="n">
        <v>4664.64</v>
      </c>
      <c r="Y94" s="18" t="n">
        <v>3146.92</v>
      </c>
      <c r="Z94" s="37" t="n">
        <v>15855.88</v>
      </c>
      <c r="AA94" s="18" t="n">
        <v>1762.85</v>
      </c>
      <c r="AB94" s="19" t="n">
        <v>1353.5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5488.89</v>
      </c>
      <c r="F95" s="9" t="n"/>
      <c r="G95" s="18" t="n">
        <v>5364.98</v>
      </c>
      <c r="H95" s="18" t="n">
        <v>5376.94</v>
      </c>
      <c r="I95" s="18" t="n">
        <v>3297.9</v>
      </c>
      <c r="J95" s="18" t="n">
        <v>4010.47</v>
      </c>
      <c r="K95" s="37" t="n">
        <v>18050.29</v>
      </c>
      <c r="L95" s="18" t="n">
        <v>4705.3</v>
      </c>
      <c r="M95" s="18" t="n">
        <v>1746.6</v>
      </c>
      <c r="N95" s="18" t="n">
        <v>3375.87</v>
      </c>
      <c r="O95" s="18" t="n">
        <v>2786.25</v>
      </c>
      <c r="P95" s="37" t="n">
        <v>12614.02</v>
      </c>
      <c r="Q95" s="18" t="n">
        <v>621.15</v>
      </c>
      <c r="R95" s="18" t="n">
        <v>1363.81</v>
      </c>
      <c r="S95" s="18" t="n">
        <v>1075.21</v>
      </c>
      <c r="U95" s="9" t="n"/>
      <c r="V95" s="18" t="n">
        <v>2857.41</v>
      </c>
      <c r="W95" s="18" t="n">
        <v>5186.91</v>
      </c>
      <c r="X95" s="18" t="n">
        <v>4664.64</v>
      </c>
      <c r="Y95" s="18" t="n">
        <v>3146.92</v>
      </c>
      <c r="Z95" s="37" t="n">
        <v>15855.88</v>
      </c>
      <c r="AA95" s="18" t="n">
        <v>1762.85</v>
      </c>
      <c r="AB95" s="19" t="n">
        <v>1353.5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9400.950000000001</v>
      </c>
      <c r="F96" s="9" t="n"/>
      <c r="G96" s="18" t="n">
        <v>-16267.93</v>
      </c>
      <c r="H96" s="18" t="n">
        <v>3699.99</v>
      </c>
      <c r="I96" s="18" t="n">
        <v>18973.28</v>
      </c>
      <c r="J96" s="18" t="n">
        <v>52215.73</v>
      </c>
      <c r="K96" s="37" t="n">
        <v>58621.07</v>
      </c>
      <c r="L96" s="18" t="n">
        <v>-5475.32</v>
      </c>
      <c r="M96" s="18" t="n">
        <v>608.64</v>
      </c>
      <c r="N96" s="18" t="n">
        <v>55401.75</v>
      </c>
      <c r="O96" s="18" t="n">
        <v>-35205.63</v>
      </c>
      <c r="P96" s="37" t="n">
        <v>15329.44</v>
      </c>
      <c r="Q96" s="18" t="n">
        <v>11315.08</v>
      </c>
      <c r="R96" s="18" t="n">
        <v>-25049.62</v>
      </c>
      <c r="S96" s="18" t="n">
        <v>462.88</v>
      </c>
      <c r="T96" s="18" t="n">
        <v>-27498.13</v>
      </c>
      <c r="U96" s="37" t="n">
        <v>-40769.79</v>
      </c>
      <c r="V96" s="18" t="n">
        <v>12152.9</v>
      </c>
      <c r="W96" s="18" t="n">
        <v>-21045.43</v>
      </c>
      <c r="X96" s="18" t="n">
        <v>-9728.709999999999</v>
      </c>
      <c r="Y96" s="18" t="n">
        <v>-7227.42</v>
      </c>
      <c r="Z96" s="37" t="n">
        <v>-25848.66</v>
      </c>
      <c r="AA96" s="18" t="n">
        <v>20590.9</v>
      </c>
      <c r="AB96" s="19" t="n">
        <v>-19145.47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단기차입금의증가</t>
        </is>
      </c>
      <c r="E97" s="18" t="n">
        <v>62561.58</v>
      </c>
      <c r="F97" s="9" t="n"/>
      <c r="G97" s="18" t="n">
        <v>17667.22</v>
      </c>
      <c r="H97" s="18" t="n">
        <v>63492.54</v>
      </c>
      <c r="I97" s="18" t="n">
        <v>147268.35</v>
      </c>
      <c r="J97" s="18" t="n">
        <v>218270.02</v>
      </c>
      <c r="K97" s="37" t="n">
        <v>446698.13</v>
      </c>
      <c r="L97" s="18" t="n">
        <v>206880.38</v>
      </c>
      <c r="M97" s="18" t="n">
        <v>189389.38</v>
      </c>
      <c r="N97" s="18" t="n">
        <v>379244.75</v>
      </c>
      <c r="O97" s="18" t="n">
        <v>277533.57</v>
      </c>
      <c r="P97" s="37" t="n">
        <v>1053048.08</v>
      </c>
      <c r="Q97" s="18" t="n">
        <v>371083.14</v>
      </c>
      <c r="R97" s="18" t="n">
        <v>209022.73</v>
      </c>
      <c r="S97" s="18" t="n">
        <v>372295</v>
      </c>
      <c r="T97" s="18" t="n">
        <v>172687.99</v>
      </c>
      <c r="U97" s="37" t="n">
        <v>1125088.86</v>
      </c>
      <c r="V97" s="18" t="n">
        <v>225527</v>
      </c>
      <c r="W97" s="18" t="n">
        <v>206144.61</v>
      </c>
      <c r="X97" s="18" t="n">
        <v>185039.98</v>
      </c>
      <c r="Y97" s="18" t="n">
        <v>156129.55</v>
      </c>
      <c r="Z97" s="37" t="n">
        <v>772841.14</v>
      </c>
      <c r="AA97" s="18" t="n">
        <v>105334</v>
      </c>
      <c r="AB97" s="19" t="n">
        <v>44127.75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49532.2</v>
      </c>
      <c r="F98" s="9" t="n"/>
      <c r="G98" s="18" t="n">
        <v>30314</v>
      </c>
      <c r="H98" s="18" t="n">
        <v>54166</v>
      </c>
      <c r="I98" s="18" t="n">
        <v>124625.48</v>
      </c>
      <c r="J98" s="18" t="n">
        <v>162472.68</v>
      </c>
      <c r="K98" s="37" t="n">
        <v>371578.16</v>
      </c>
      <c r="L98" s="18" t="n">
        <v>209043.44</v>
      </c>
      <c r="M98" s="18" t="n">
        <v>185400.94</v>
      </c>
      <c r="N98" s="18" t="n">
        <v>320174.84</v>
      </c>
      <c r="O98" s="18" t="n">
        <v>309306.22</v>
      </c>
      <c r="P98" s="37" t="n">
        <v>1023925.44</v>
      </c>
      <c r="Q98" s="18" t="n">
        <v>356360.71</v>
      </c>
      <c r="R98" s="18" t="n">
        <v>250759.23</v>
      </c>
      <c r="S98" s="18" t="n">
        <v>372610</v>
      </c>
      <c r="T98" s="18" t="n">
        <v>202913.64</v>
      </c>
      <c r="U98" s="37" t="n">
        <v>1182643.58</v>
      </c>
      <c r="V98" s="18" t="n">
        <v>209997</v>
      </c>
      <c r="W98" s="18" t="n">
        <v>220923.51</v>
      </c>
      <c r="X98" s="18" t="n">
        <v>191449.01</v>
      </c>
      <c r="Y98" s="18" t="n">
        <v>160210.3</v>
      </c>
      <c r="Z98" s="37" t="n">
        <v>782579.8199999999</v>
      </c>
      <c r="AA98" s="18" t="n">
        <v>121566.9</v>
      </c>
      <c r="AB98" s="19" t="n">
        <v>57643.01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장기차입금의감소</t>
        </is>
      </c>
      <c r="E99" s="18" t="n">
        <v>0</v>
      </c>
      <c r="F99" s="9" t="n"/>
      <c r="K99" s="9" t="n"/>
      <c r="L99" s="18" t="n">
        <v>0</v>
      </c>
      <c r="M99" s="18" t="n">
        <v>0</v>
      </c>
      <c r="P99" s="9" t="n"/>
      <c r="Q99" s="18" t="n">
        <v>0</v>
      </c>
      <c r="R99" s="18" t="n">
        <v>0</v>
      </c>
      <c r="S99" s="18" t="n">
        <v>0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배당금지급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L100" s="18" t="n">
        <v>0</v>
      </c>
      <c r="M100" s="18" t="n">
        <v>0</v>
      </c>
      <c r="N100" s="18" t="n">
        <v>0</v>
      </c>
      <c r="P100" s="9" t="n"/>
      <c r="Q100" s="18" t="n">
        <v>0</v>
      </c>
      <c r="R100" s="18" t="n">
        <v>0</v>
      </c>
      <c r="S100" s="18" t="n">
        <v>0</v>
      </c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3628.43</v>
      </c>
      <c r="F101" s="9" t="n"/>
      <c r="G101" s="18" t="n">
        <v>3621.15</v>
      </c>
      <c r="H101" s="18" t="n">
        <v>3651.13</v>
      </c>
      <c r="I101" s="18" t="n">
        <v>3648.59</v>
      </c>
      <c r="J101" s="18" t="n">
        <v>3531.61</v>
      </c>
      <c r="K101" s="37" t="n">
        <v>14452.48</v>
      </c>
      <c r="L101" s="18" t="n">
        <v>3368.66</v>
      </c>
      <c r="M101" s="18" t="n">
        <v>3369.8</v>
      </c>
      <c r="N101" s="18" t="n">
        <v>3668.16</v>
      </c>
      <c r="O101" s="18" t="n">
        <v>3433.22</v>
      </c>
      <c r="P101" s="37" t="n">
        <v>13839.84</v>
      </c>
      <c r="Q101" s="18" t="n">
        <v>3387.36</v>
      </c>
      <c r="R101" s="18" t="n">
        <v>3283.11</v>
      </c>
      <c r="S101" s="18" t="n">
        <v>3207.11</v>
      </c>
      <c r="U101" s="9" t="n"/>
      <c r="V101" s="18" t="n">
        <v>3390.1</v>
      </c>
      <c r="W101" s="18" t="n">
        <v>3321.23</v>
      </c>
      <c r="X101" s="18" t="n">
        <v>3276.64</v>
      </c>
      <c r="Y101" s="18" t="n">
        <v>3146.66</v>
      </c>
      <c r="Z101" s="37" t="n">
        <v>13134.63</v>
      </c>
      <c r="AA101" s="18" t="n">
        <v>3106.03</v>
      </c>
      <c r="AB101" s="19" t="n">
        <v>3045.63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3209.43</v>
      </c>
      <c r="F102" s="9" t="n"/>
      <c r="G102" s="18" t="n">
        <v>-3580.31</v>
      </c>
      <c r="H102" s="18" t="n">
        <v>-45.9</v>
      </c>
      <c r="I102" s="18" t="n">
        <v>1892.26</v>
      </c>
      <c r="J102" s="18" t="n">
        <v>2351.3</v>
      </c>
      <c r="K102" s="37" t="n">
        <v>617.35</v>
      </c>
      <c r="L102" s="18" t="n">
        <v>3708.83</v>
      </c>
      <c r="M102" s="18" t="n">
        <v>-4291.8</v>
      </c>
      <c r="N102" s="18" t="n">
        <v>1628.91</v>
      </c>
      <c r="O102" s="18" t="n">
        <v>5216.22</v>
      </c>
      <c r="P102" s="37" t="n">
        <v>6262.16</v>
      </c>
      <c r="Q102" s="18" t="n">
        <v>-12110.69</v>
      </c>
      <c r="R102" s="18" t="n">
        <v>1858.93</v>
      </c>
      <c r="S102" s="18" t="n">
        <v>47196.83</v>
      </c>
      <c r="T102" s="18" t="n">
        <v>-38981.17</v>
      </c>
      <c r="U102" s="37" t="n">
        <v>-2036.1</v>
      </c>
      <c r="V102" s="18" t="n">
        <v>896.75</v>
      </c>
      <c r="W102" s="18" t="n">
        <v>12230.97</v>
      </c>
      <c r="X102" s="18" t="n">
        <v>-14931.62</v>
      </c>
      <c r="Y102" s="18" t="n">
        <v>990.1900000000001</v>
      </c>
      <c r="Z102" s="37" t="n">
        <v>-813.71</v>
      </c>
      <c r="AA102" s="18" t="n">
        <v>13889.31</v>
      </c>
      <c r="AB102" s="19" t="n">
        <v>30138.33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3209.44</v>
      </c>
      <c r="F103" s="9" t="n"/>
      <c r="G103" s="18" t="n">
        <v>10698.94</v>
      </c>
      <c r="H103" s="18" t="n">
        <v>-45.91</v>
      </c>
      <c r="I103" s="18" t="n">
        <v>1892.27</v>
      </c>
      <c r="J103" s="18" t="n">
        <v>2351.3</v>
      </c>
      <c r="K103" s="37" t="n">
        <v>14896.6</v>
      </c>
      <c r="L103" s="18" t="n">
        <v>18605.43</v>
      </c>
      <c r="M103" s="18" t="n">
        <v>-4291.81</v>
      </c>
      <c r="N103" s="18" t="n">
        <v>1628.91</v>
      </c>
      <c r="O103" s="18" t="n">
        <v>5216.22</v>
      </c>
      <c r="P103" s="37" t="n">
        <v>21158.75</v>
      </c>
      <c r="Q103" s="18" t="n">
        <v>9048.059999999999</v>
      </c>
      <c r="R103" s="18" t="n">
        <v>1858.94</v>
      </c>
      <c r="S103" s="18" t="n">
        <v>47196.82</v>
      </c>
      <c r="T103" s="18" t="n">
        <v>-38981.16</v>
      </c>
      <c r="U103" s="37" t="n">
        <v>19122.66</v>
      </c>
      <c r="V103" s="18" t="n">
        <v>20019.41</v>
      </c>
      <c r="W103" s="18" t="n">
        <v>12230.96</v>
      </c>
      <c r="X103" s="18" t="n">
        <v>-14931.61</v>
      </c>
      <c r="Y103" s="18" t="n">
        <v>990.1799999999999</v>
      </c>
      <c r="Z103" s="37" t="n">
        <v>18308.94</v>
      </c>
      <c r="AA103" s="18" t="n">
        <v>32198.25</v>
      </c>
      <c r="AB103" s="19" t="n">
        <v>30138.33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무형자산의감소</t>
        </is>
      </c>
      <c r="F104" s="9" t="n"/>
      <c r="K104" s="9" t="n"/>
      <c r="L104" s="18" t="n">
        <v>0</v>
      </c>
      <c r="M104" s="18" t="n">
        <v>0</v>
      </c>
      <c r="N104" s="18" t="n">
        <v>0</v>
      </c>
      <c r="P104" s="9" t="n"/>
      <c r="Q104" s="18" t="n">
        <v>0</v>
      </c>
      <c r="R104" s="18" t="n">
        <v>0</v>
      </c>
      <c r="S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F105" s="9" t="n"/>
      <c r="K105" s="9" t="n"/>
      <c r="O105" s="18" t="n">
        <v>0</v>
      </c>
      <c r="P105" s="9" t="n"/>
      <c r="Q105" s="18" t="n">
        <v>0</v>
      </c>
      <c r="R105" s="18" t="n">
        <v>22.4</v>
      </c>
      <c r="S105" s="18" t="n">
        <v>0</v>
      </c>
      <c r="U105" s="9" t="n"/>
      <c r="X105" s="18" t="n">
        <v>0</v>
      </c>
      <c r="Y105" s="18" t="n">
        <v>0</v>
      </c>
      <c r="Z105" s="9" t="n"/>
      <c r="AA105" s="18" t="n">
        <v>3.82</v>
      </c>
      <c r="AB105" s="19" t="n">
        <v>51.8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F106" s="9" t="n"/>
      <c r="K106" s="9" t="n"/>
      <c r="P106" s="9" t="n"/>
      <c r="Q106" s="18" t="n">
        <v>0</v>
      </c>
      <c r="R106" s="18" t="n">
        <v>0</v>
      </c>
      <c r="S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장기차입금의증가</t>
        </is>
      </c>
      <c r="F107" s="9" t="n"/>
      <c r="K107" s="9" t="n"/>
      <c r="P107" s="9" t="n"/>
      <c r="S107" s="18" t="n">
        <v>4000</v>
      </c>
      <c r="T107" s="18" t="n">
        <v>6000</v>
      </c>
      <c r="U107" s="9" t="n"/>
      <c r="Y107" s="18" t="n">
        <v>0</v>
      </c>
      <c r="Z107" s="9" t="n"/>
      <c r="AA107" s="18" t="n">
        <v>40000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현대리바트(별)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422929.92</v>
      </c>
      <c r="F5" s="37" t="n">
        <v>422929.92</v>
      </c>
      <c r="G5" s="18" t="n">
        <v>378492.77</v>
      </c>
      <c r="H5" s="18" t="n">
        <v>398793.92</v>
      </c>
      <c r="I5" s="18" t="n">
        <v>432112.23</v>
      </c>
      <c r="J5" s="18" t="n">
        <v>447441.04</v>
      </c>
      <c r="K5" s="37" t="n">
        <v>447441.04</v>
      </c>
      <c r="L5" s="18" t="n">
        <v>429806.46</v>
      </c>
      <c r="M5" s="18" t="n">
        <v>463656.89</v>
      </c>
      <c r="N5" s="18" t="n">
        <v>524621.11</v>
      </c>
      <c r="O5" s="18" t="n">
        <v>503826.87</v>
      </c>
      <c r="P5" s="37" t="n">
        <v>503826.87</v>
      </c>
      <c r="Q5" s="18" t="n">
        <v>554212.11</v>
      </c>
      <c r="R5" s="18" t="n">
        <v>533385.99</v>
      </c>
      <c r="S5" s="18" t="n">
        <v>520419.39</v>
      </c>
      <c r="T5" s="18" t="n">
        <v>469657</v>
      </c>
      <c r="U5" s="37" t="n">
        <v>469657</v>
      </c>
      <c r="V5" s="18" t="n">
        <v>463387.66</v>
      </c>
      <c r="W5" s="18" t="n">
        <v>449884.57</v>
      </c>
      <c r="X5" s="18" t="n">
        <v>403310.62</v>
      </c>
      <c r="Y5" s="18" t="n">
        <v>398061.05</v>
      </c>
      <c r="Z5" s="37" t="n">
        <v>398061.05</v>
      </c>
      <c r="AA5" s="18" t="n">
        <v>444422.27</v>
      </c>
      <c r="AB5" s="19" t="n">
        <v>469415.94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8495.23</v>
      </c>
      <c r="F6" s="37" t="n">
        <v>8495.23</v>
      </c>
      <c r="G6" s="18" t="n">
        <v>6265.28</v>
      </c>
      <c r="H6" s="18" t="n">
        <v>5593.66</v>
      </c>
      <c r="I6" s="18" t="n">
        <v>7340.08</v>
      </c>
      <c r="J6" s="18" t="n">
        <v>11240.16</v>
      </c>
      <c r="K6" s="37" t="n">
        <v>11240.16</v>
      </c>
      <c r="L6" s="18" t="n">
        <v>15404.67</v>
      </c>
      <c r="M6" s="18" t="n">
        <v>10282.32</v>
      </c>
      <c r="N6" s="18" t="n">
        <v>12635.2</v>
      </c>
      <c r="O6" s="18" t="n">
        <v>18108.25</v>
      </c>
      <c r="P6" s="37" t="n">
        <v>18108.25</v>
      </c>
      <c r="Q6" s="18" t="n">
        <v>5709.74</v>
      </c>
      <c r="R6" s="18" t="n">
        <v>6891.07</v>
      </c>
      <c r="S6" s="18" t="n">
        <v>53508.92</v>
      </c>
      <c r="T6" s="18" t="n">
        <v>13963.04</v>
      </c>
      <c r="U6" s="37" t="n">
        <v>13963.04</v>
      </c>
      <c r="V6" s="18" t="n">
        <v>13764.41</v>
      </c>
      <c r="W6" s="18" t="n">
        <v>24215.67</v>
      </c>
      <c r="X6" s="18" t="n">
        <v>9389.26</v>
      </c>
      <c r="Y6" s="18" t="n">
        <v>12866.58</v>
      </c>
      <c r="Z6" s="37" t="n">
        <v>12866.58</v>
      </c>
      <c r="AA6" s="18" t="n">
        <v>23969.17</v>
      </c>
      <c r="AB6" s="19" t="n">
        <v>55729.05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240198.07</v>
      </c>
      <c r="F7" s="37" t="n">
        <v>240198.07</v>
      </c>
      <c r="G7" s="18" t="n">
        <v>213872.22</v>
      </c>
      <c r="H7" s="18" t="n">
        <v>206457.97</v>
      </c>
      <c r="I7" s="18" t="n">
        <v>215921.82</v>
      </c>
      <c r="J7" s="18" t="n">
        <v>251113.39</v>
      </c>
      <c r="K7" s="37" t="n">
        <v>251113.39</v>
      </c>
      <c r="L7" s="18" t="n">
        <v>234194.05</v>
      </c>
      <c r="M7" s="18" t="n">
        <v>248760.92</v>
      </c>
      <c r="N7" s="18" t="n">
        <v>295960.33</v>
      </c>
      <c r="O7" s="18" t="n">
        <v>265226.19</v>
      </c>
      <c r="P7" s="37" t="n">
        <v>265226.19</v>
      </c>
      <c r="Q7" s="18" t="n">
        <v>338580.41</v>
      </c>
      <c r="R7" s="18" t="n">
        <v>322116.44</v>
      </c>
      <c r="S7" s="18" t="n">
        <v>257619.45</v>
      </c>
      <c r="T7" s="18" t="n">
        <v>229730.44</v>
      </c>
      <c r="U7" s="37" t="n">
        <v>229730.44</v>
      </c>
      <c r="V7" s="18" t="n">
        <v>247789.02</v>
      </c>
      <c r="W7" s="18" t="n">
        <v>240997.15</v>
      </c>
      <c r="X7" s="18" t="n">
        <v>217793.85</v>
      </c>
      <c r="Y7" s="18" t="n">
        <v>206230.1</v>
      </c>
      <c r="Z7" s="37" t="n">
        <v>206230.1</v>
      </c>
      <c r="AA7" s="18" t="n">
        <v>226287.46</v>
      </c>
      <c r="AB7" s="19" t="n">
        <v>226498.83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8801.379999999999</v>
      </c>
      <c r="F8" s="37" t="n">
        <v>8801.379999999999</v>
      </c>
      <c r="G8" s="18" t="n">
        <v>7880.93</v>
      </c>
      <c r="H8" s="18" t="n">
        <v>7594.57</v>
      </c>
      <c r="I8" s="18" t="n">
        <v>7617.15</v>
      </c>
      <c r="J8" s="18" t="n">
        <v>7664.4</v>
      </c>
      <c r="K8" s="37" t="n">
        <v>7664.4</v>
      </c>
      <c r="L8" s="18" t="n">
        <v>5792.95</v>
      </c>
      <c r="M8" s="18" t="n">
        <v>5450.21</v>
      </c>
      <c r="N8" s="18" t="n">
        <v>5636.41</v>
      </c>
      <c r="O8" s="18" t="n">
        <v>5461.67</v>
      </c>
      <c r="P8" s="37" t="n">
        <v>5461.67</v>
      </c>
      <c r="Q8" s="18" t="n">
        <v>5386.68</v>
      </c>
      <c r="R8" s="18" t="n">
        <v>8855.57</v>
      </c>
      <c r="S8" s="18" t="n">
        <v>9145.65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8801.379999999999</v>
      </c>
      <c r="F9" s="37" t="n">
        <v>8801.379999999999</v>
      </c>
      <c r="G9" s="18" t="n">
        <v>7880.93</v>
      </c>
      <c r="H9" s="18" t="n">
        <v>7594.57</v>
      </c>
      <c r="I9" s="18" t="n">
        <v>7617.15</v>
      </c>
      <c r="J9" s="18" t="n">
        <v>7664.4</v>
      </c>
      <c r="K9" s="37" t="n">
        <v>7664.4</v>
      </c>
      <c r="L9" s="18" t="n">
        <v>5792.95</v>
      </c>
      <c r="M9" s="18" t="n">
        <v>5450.21</v>
      </c>
      <c r="N9" s="18" t="n">
        <v>5636.41</v>
      </c>
      <c r="O9" s="18" t="n">
        <v>5461.67</v>
      </c>
      <c r="P9" s="37" t="n">
        <v>5461.67</v>
      </c>
      <c r="Q9" s="18" t="n">
        <v>5386.68</v>
      </c>
      <c r="R9" s="18" t="n">
        <v>8855.57</v>
      </c>
      <c r="S9" s="18" t="n">
        <v>9145.65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138877.55</v>
      </c>
      <c r="F10" s="37" t="n">
        <v>138877.55</v>
      </c>
      <c r="G10" s="18" t="n">
        <v>128542.95</v>
      </c>
      <c r="H10" s="18" t="n">
        <v>150214.53</v>
      </c>
      <c r="I10" s="18" t="n">
        <v>161652.06</v>
      </c>
      <c r="J10" s="18" t="n">
        <v>158197.77</v>
      </c>
      <c r="K10" s="37" t="n">
        <v>158197.77</v>
      </c>
      <c r="L10" s="18" t="n">
        <v>162465.09</v>
      </c>
      <c r="M10" s="18" t="n">
        <v>185658.37</v>
      </c>
      <c r="N10" s="18" t="n">
        <v>199273.29</v>
      </c>
      <c r="O10" s="18" t="n">
        <v>203274.54</v>
      </c>
      <c r="P10" s="37" t="n">
        <v>203274.54</v>
      </c>
      <c r="Q10" s="18" t="n">
        <v>193199.62</v>
      </c>
      <c r="R10" s="18" t="n">
        <v>184105.91</v>
      </c>
      <c r="S10" s="18" t="n">
        <v>192262</v>
      </c>
      <c r="T10" s="18" t="n">
        <v>210718.83</v>
      </c>
      <c r="U10" s="37" t="n">
        <v>210718.83</v>
      </c>
      <c r="V10" s="18" t="n">
        <v>185593.71</v>
      </c>
      <c r="W10" s="18" t="n">
        <v>168687.95</v>
      </c>
      <c r="X10" s="18" t="n">
        <v>161682.84</v>
      </c>
      <c r="Y10" s="18" t="n">
        <v>160221.43</v>
      </c>
      <c r="Z10" s="37" t="n">
        <v>160221.43</v>
      </c>
      <c r="AA10" s="18" t="n">
        <v>149420.19</v>
      </c>
      <c r="AB10" s="19" t="n">
        <v>149990.98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7" t="n">
        <v>62.9</v>
      </c>
      <c r="G11" s="18" t="n">
        <v>33.31</v>
      </c>
      <c r="I11" s="18" t="n">
        <v>27.11</v>
      </c>
      <c r="J11" s="18" t="n">
        <v>1821.24</v>
      </c>
      <c r="K11" s="37" t="n">
        <v>1821.24</v>
      </c>
      <c r="L11" s="18" t="n">
        <v>1838.78</v>
      </c>
      <c r="M11" s="18" t="n">
        <v>59.83</v>
      </c>
      <c r="N11" s="18" t="n">
        <v>45.22</v>
      </c>
      <c r="O11" s="18" t="n">
        <v>46.59</v>
      </c>
      <c r="P11" s="37" t="n">
        <v>46.59</v>
      </c>
      <c r="Q11" s="18" t="n">
        <v>178.8</v>
      </c>
      <c r="R11" s="18" t="n">
        <v>166.33</v>
      </c>
      <c r="S11" s="18" t="n">
        <v>36.58</v>
      </c>
      <c r="T11" s="18" t="n">
        <v>173.16</v>
      </c>
      <c r="U11" s="37" t="n">
        <v>173.16</v>
      </c>
      <c r="V11" s="18" t="n">
        <v>168.07</v>
      </c>
      <c r="W11" s="18" t="n">
        <v>36.48</v>
      </c>
      <c r="X11" s="18" t="n">
        <v>36.48</v>
      </c>
      <c r="Y11" s="18" t="n">
        <v>197.21</v>
      </c>
      <c r="Z11" s="37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7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7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7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26434.7</v>
      </c>
      <c r="F13" s="37" t="n">
        <v>26434.7</v>
      </c>
      <c r="G13" s="18" t="n">
        <v>21836.71</v>
      </c>
      <c r="H13" s="18" t="n">
        <v>28793.69</v>
      </c>
      <c r="I13" s="18" t="n">
        <v>19561.72</v>
      </c>
      <c r="J13" s="18" t="n">
        <v>10609.1</v>
      </c>
      <c r="K13" s="37" t="n">
        <v>10609.1</v>
      </c>
      <c r="L13" s="18" t="n">
        <v>4326.86</v>
      </c>
      <c r="M13" s="18" t="n">
        <v>7605.81</v>
      </c>
      <c r="N13" s="18" t="n">
        <v>4537.35</v>
      </c>
      <c r="O13" s="18" t="n">
        <v>5449.56</v>
      </c>
      <c r="P13" s="37" t="n">
        <v>5449.56</v>
      </c>
      <c r="Q13" s="18" t="n">
        <v>6888.09</v>
      </c>
      <c r="R13" s="18" t="n">
        <v>6881.07</v>
      </c>
      <c r="S13" s="18" t="n">
        <v>5701.29</v>
      </c>
      <c r="T13" s="18" t="n">
        <v>4897.43</v>
      </c>
      <c r="U13" s="37" t="n">
        <v>4897.43</v>
      </c>
      <c r="V13" s="18" t="n">
        <v>5401.3</v>
      </c>
      <c r="W13" s="18" t="n">
        <v>4136.11</v>
      </c>
      <c r="X13" s="18" t="n">
        <v>3880.8</v>
      </c>
      <c r="Y13" s="18" t="n">
        <v>4146.29</v>
      </c>
      <c r="Z13" s="37" t="n">
        <v>4146.29</v>
      </c>
      <c r="AA13" s="18" t="n">
        <v>8553.34</v>
      </c>
      <c r="AB13" s="19" t="n">
        <v>8722.870000000001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430902.98</v>
      </c>
      <c r="F14" s="37" t="n">
        <v>430902.98</v>
      </c>
      <c r="G14" s="18" t="n">
        <v>430036.6</v>
      </c>
      <c r="H14" s="18" t="n">
        <v>430768.18</v>
      </c>
      <c r="I14" s="18" t="n">
        <v>425066.13</v>
      </c>
      <c r="J14" s="18" t="n">
        <v>401153.05</v>
      </c>
      <c r="K14" s="37" t="n">
        <v>401153.05</v>
      </c>
      <c r="L14" s="18" t="n">
        <v>400518.99</v>
      </c>
      <c r="M14" s="18" t="n">
        <v>395867.17</v>
      </c>
      <c r="N14" s="18" t="n">
        <v>392099.58</v>
      </c>
      <c r="O14" s="18" t="n">
        <v>387788.51</v>
      </c>
      <c r="P14" s="37" t="n">
        <v>387788.51</v>
      </c>
      <c r="Q14" s="18" t="n">
        <v>375334.32</v>
      </c>
      <c r="R14" s="18" t="n">
        <v>368025.73</v>
      </c>
      <c r="S14" s="18" t="n">
        <v>361181.5</v>
      </c>
      <c r="T14" s="18" t="n">
        <v>379095</v>
      </c>
      <c r="U14" s="37" t="n">
        <v>379095</v>
      </c>
      <c r="V14" s="18" t="n">
        <v>368893.11</v>
      </c>
      <c r="W14" s="18" t="n">
        <v>362860.32</v>
      </c>
      <c r="X14" s="18" t="n">
        <v>361464.16</v>
      </c>
      <c r="Y14" s="18" t="n">
        <v>364951.71</v>
      </c>
      <c r="Z14" s="37" t="n">
        <v>364951.71</v>
      </c>
      <c r="AA14" s="18" t="n">
        <v>340611.06</v>
      </c>
      <c r="AB14" s="19" t="n">
        <v>342773.26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34885.4</v>
      </c>
      <c r="F15" s="37" t="n">
        <v>34885.4</v>
      </c>
      <c r="G15" s="18" t="n">
        <v>35118.26</v>
      </c>
      <c r="H15" s="18" t="n">
        <v>35221.23</v>
      </c>
      <c r="I15" s="18" t="n">
        <v>34634.54</v>
      </c>
      <c r="J15" s="18" t="n">
        <v>33676.13</v>
      </c>
      <c r="K15" s="37" t="n">
        <v>33676.13</v>
      </c>
      <c r="L15" s="18" t="n">
        <v>37355.92</v>
      </c>
      <c r="M15" s="18" t="n">
        <v>37673.33</v>
      </c>
      <c r="N15" s="18" t="n">
        <v>36408.7</v>
      </c>
      <c r="O15" s="18" t="n">
        <v>36922.77</v>
      </c>
      <c r="P15" s="37" t="n">
        <v>36922.77</v>
      </c>
      <c r="Q15" s="18" t="n">
        <v>33964.3</v>
      </c>
      <c r="R15" s="18" t="n">
        <v>30170.22</v>
      </c>
      <c r="S15" s="18" t="n">
        <v>29938.84</v>
      </c>
      <c r="T15" s="18" t="n">
        <v>29803.18</v>
      </c>
      <c r="U15" s="37" t="n">
        <v>29803.18</v>
      </c>
      <c r="V15" s="18" t="n">
        <v>29637.43</v>
      </c>
      <c r="W15" s="18" t="n">
        <v>28033.74</v>
      </c>
      <c r="X15" s="18" t="n">
        <v>28488.09</v>
      </c>
      <c r="Y15" s="18" t="n">
        <v>23692.13</v>
      </c>
      <c r="Z15" s="37" t="n">
        <v>23692.13</v>
      </c>
      <c r="AA15" s="18" t="n">
        <v>21744.8</v>
      </c>
      <c r="AB15" s="19" t="n">
        <v>27508.51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37686.26</v>
      </c>
      <c r="F16" s="37" t="n">
        <v>37686.26</v>
      </c>
      <c r="G16" s="18" t="n">
        <v>37919.12</v>
      </c>
      <c r="H16" s="18" t="n">
        <v>38669.34</v>
      </c>
      <c r="I16" s="18" t="n">
        <v>38082.65</v>
      </c>
      <c r="J16" s="18" t="n">
        <v>37124.24</v>
      </c>
      <c r="K16" s="37" t="n">
        <v>37124.24</v>
      </c>
      <c r="L16" s="18" t="n">
        <v>40804.03</v>
      </c>
      <c r="M16" s="18" t="n">
        <v>41121.44</v>
      </c>
      <c r="N16" s="18" t="n">
        <v>39856.81</v>
      </c>
      <c r="O16" s="18" t="n">
        <v>40370.88</v>
      </c>
      <c r="P16" s="37" t="n">
        <v>40370.88</v>
      </c>
      <c r="Q16" s="18" t="n">
        <v>37412.41</v>
      </c>
      <c r="R16" s="18" t="n">
        <v>33618.33</v>
      </c>
      <c r="S16" s="18" t="n">
        <v>33386.95</v>
      </c>
      <c r="T16" s="18" t="n">
        <v>33751.29</v>
      </c>
      <c r="U16" s="37" t="n">
        <v>33751.29</v>
      </c>
      <c r="V16" s="18" t="n">
        <v>33585.54</v>
      </c>
      <c r="W16" s="18" t="n">
        <v>31981.85</v>
      </c>
      <c r="X16" s="18" t="n">
        <v>32436.2</v>
      </c>
      <c r="Y16" s="18" t="n">
        <v>27640.24</v>
      </c>
      <c r="Z16" s="37" t="n">
        <v>27640.24</v>
      </c>
      <c r="AA16" s="18" t="n">
        <v>25692.91</v>
      </c>
      <c r="AB16" s="19" t="n">
        <v>27508.51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2800.86</v>
      </c>
      <c r="F17" s="37" t="n">
        <v>2800.86</v>
      </c>
      <c r="G17" s="18" t="n">
        <v>2800.86</v>
      </c>
      <c r="H17" s="18" t="n">
        <v>3448.11</v>
      </c>
      <c r="I17" s="18" t="n">
        <v>3448.11</v>
      </c>
      <c r="J17" s="18" t="n">
        <v>3448.11</v>
      </c>
      <c r="K17" s="37" t="n">
        <v>3448.11</v>
      </c>
      <c r="L17" s="18" t="n">
        <v>3448.11</v>
      </c>
      <c r="M17" s="18" t="n">
        <v>3448.11</v>
      </c>
      <c r="N17" s="18" t="n">
        <v>3448.11</v>
      </c>
      <c r="O17" s="18" t="n">
        <v>3448.11</v>
      </c>
      <c r="P17" s="37" t="n">
        <v>3448.11</v>
      </c>
      <c r="Q17" s="18" t="n">
        <v>3448.11</v>
      </c>
      <c r="R17" s="18" t="n">
        <v>3448.11</v>
      </c>
      <c r="S17" s="18" t="n">
        <v>3448.11</v>
      </c>
      <c r="T17" s="18" t="n">
        <v>3948.11</v>
      </c>
      <c r="U17" s="37" t="n">
        <v>3948.11</v>
      </c>
      <c r="V17" s="18" t="n">
        <v>3948.11</v>
      </c>
      <c r="W17" s="18" t="n">
        <v>3948.11</v>
      </c>
      <c r="X17" s="18" t="n">
        <v>3948.11</v>
      </c>
      <c r="Y17" s="18" t="n">
        <v>3948.11</v>
      </c>
      <c r="Z17" s="37" t="n">
        <v>3948.11</v>
      </c>
      <c r="AA17" s="18" t="n">
        <v>3948.11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360983.13</v>
      </c>
      <c r="F18" s="37" t="n">
        <v>360983.13</v>
      </c>
      <c r="G18" s="18" t="n">
        <v>362000.39</v>
      </c>
      <c r="H18" s="18" t="n">
        <v>362108.14</v>
      </c>
      <c r="I18" s="18" t="n">
        <v>357259.01</v>
      </c>
      <c r="J18" s="18" t="n">
        <v>318632.28</v>
      </c>
      <c r="K18" s="37" t="n">
        <v>318632.28</v>
      </c>
      <c r="L18" s="18" t="n">
        <v>316355.39</v>
      </c>
      <c r="M18" s="18" t="n">
        <v>311983.37</v>
      </c>
      <c r="N18" s="18" t="n">
        <v>310615.92</v>
      </c>
      <c r="O18" s="18" t="n">
        <v>299438.69</v>
      </c>
      <c r="P18" s="37" t="n">
        <v>299438.69</v>
      </c>
      <c r="Q18" s="18" t="n">
        <v>294581.03</v>
      </c>
      <c r="R18" s="18" t="n">
        <v>294051.19</v>
      </c>
      <c r="S18" s="18" t="n">
        <v>289947.7</v>
      </c>
      <c r="T18" s="18" t="n">
        <v>285837.08</v>
      </c>
      <c r="U18" s="37" t="n">
        <v>285837.08</v>
      </c>
      <c r="V18" s="18" t="n">
        <v>282581.27</v>
      </c>
      <c r="W18" s="18" t="n">
        <v>279897.2</v>
      </c>
      <c r="X18" s="18" t="n">
        <v>280538.79</v>
      </c>
      <c r="Y18" s="18" t="n">
        <v>275525.93</v>
      </c>
      <c r="Z18" s="37" t="n">
        <v>275525.93</v>
      </c>
      <c r="AA18" s="18" t="n">
        <v>272163.14</v>
      </c>
      <c r="AB18" s="19" t="n">
        <v>270364.63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1301.84</v>
      </c>
      <c r="F19" s="37" t="n">
        <v>1301.84</v>
      </c>
      <c r="G19" s="18" t="n">
        <v>1293.31</v>
      </c>
      <c r="H19" s="18" t="n">
        <v>910.47</v>
      </c>
      <c r="I19" s="18" t="n">
        <v>904.72</v>
      </c>
      <c r="J19" s="18" t="n">
        <v>898.97</v>
      </c>
      <c r="K19" s="37" t="n">
        <v>898.97</v>
      </c>
      <c r="L19" s="18" t="n">
        <v>893.21</v>
      </c>
      <c r="M19" s="18" t="n">
        <v>2008.17</v>
      </c>
      <c r="N19" s="18" t="n">
        <v>1994.65</v>
      </c>
      <c r="O19" s="18" t="n">
        <v>1981.13</v>
      </c>
      <c r="P19" s="37" t="n">
        <v>1981.13</v>
      </c>
      <c r="Q19" s="18" t="n">
        <v>1967.62</v>
      </c>
      <c r="R19" s="18" t="n">
        <v>1954.1</v>
      </c>
      <c r="S19" s="18" t="n">
        <v>1940.58</v>
      </c>
      <c r="T19" s="18" t="n">
        <v>1927.06</v>
      </c>
      <c r="U19" s="37" t="n">
        <v>1927.06</v>
      </c>
      <c r="V19" s="18" t="n">
        <v>1913.55</v>
      </c>
      <c r="W19" s="18" t="n">
        <v>1900.03</v>
      </c>
      <c r="X19" s="18" t="n">
        <v>1886.51</v>
      </c>
      <c r="Y19" s="18" t="n">
        <v>1873</v>
      </c>
      <c r="Z19" s="37" t="n">
        <v>1873</v>
      </c>
      <c r="AA19" s="18" t="n">
        <v>1859.48</v>
      </c>
      <c r="AB19" s="19" t="n">
        <v>1845.96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27998.83</v>
      </c>
      <c r="F20" s="37" t="n">
        <v>27998.83</v>
      </c>
      <c r="G20" s="18" t="n">
        <v>27756.45</v>
      </c>
      <c r="H20" s="18" t="n">
        <v>27514.06</v>
      </c>
      <c r="I20" s="18" t="n">
        <v>27271.68</v>
      </c>
      <c r="J20" s="18" t="n">
        <v>27029.29</v>
      </c>
      <c r="K20" s="37" t="n">
        <v>27029.29</v>
      </c>
      <c r="L20" s="18" t="n">
        <v>26786.91</v>
      </c>
      <c r="M20" s="18" t="n">
        <v>26544.53</v>
      </c>
      <c r="N20" s="18" t="n">
        <v>26302.14</v>
      </c>
      <c r="O20" s="18" t="n">
        <v>27081.76</v>
      </c>
      <c r="P20" s="37" t="n">
        <v>27081.76</v>
      </c>
      <c r="Q20" s="18" t="n">
        <v>26839.38</v>
      </c>
      <c r="R20" s="18" t="n">
        <v>26596.99</v>
      </c>
      <c r="S20" s="18" t="n">
        <v>26354.61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1891.75</v>
      </c>
      <c r="F21" s="37" t="n">
        <v>1891.75</v>
      </c>
      <c r="G21" s="18" t="n">
        <v>18.86</v>
      </c>
      <c r="H21" s="18" t="n">
        <v>18.1</v>
      </c>
      <c r="I21" s="18" t="n">
        <v>18.56</v>
      </c>
      <c r="J21" s="18" t="n">
        <v>9169.309999999999</v>
      </c>
      <c r="K21" s="37" t="n">
        <v>9169.309999999999</v>
      </c>
      <c r="L21" s="18" t="n">
        <v>7293.08</v>
      </c>
      <c r="M21" s="18" t="n">
        <v>6385.55</v>
      </c>
      <c r="N21" s="18" t="n">
        <v>5673.89</v>
      </c>
      <c r="O21" s="18" t="n">
        <v>5160.72</v>
      </c>
      <c r="P21" s="37" t="n">
        <v>5160.72</v>
      </c>
      <c r="Q21" s="18" t="n">
        <v>2020.29</v>
      </c>
      <c r="R21" s="18" t="n">
        <v>1022.32</v>
      </c>
      <c r="S21" s="18" t="n">
        <v>257.46</v>
      </c>
      <c r="T21" s="18" t="n">
        <v>2.09</v>
      </c>
      <c r="U21" s="37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853832.89</v>
      </c>
      <c r="F22" s="37" t="n">
        <v>853832.89</v>
      </c>
      <c r="G22" s="18" t="n">
        <v>808529.37</v>
      </c>
      <c r="H22" s="18" t="n">
        <v>829562.1</v>
      </c>
      <c r="I22" s="18" t="n">
        <v>857178.35</v>
      </c>
      <c r="J22" s="18" t="n">
        <v>848594.09</v>
      </c>
      <c r="K22" s="37" t="n">
        <v>848594.09</v>
      </c>
      <c r="L22" s="18" t="n">
        <v>830325.45</v>
      </c>
      <c r="M22" s="18" t="n">
        <v>859524.0600000001</v>
      </c>
      <c r="N22" s="18" t="n">
        <v>916720.6899999999</v>
      </c>
      <c r="O22" s="18" t="n">
        <v>891615.38</v>
      </c>
      <c r="P22" s="37" t="n">
        <v>891615.38</v>
      </c>
      <c r="Q22" s="18" t="n">
        <v>929546.4300000001</v>
      </c>
      <c r="R22" s="18" t="n">
        <v>901411.72</v>
      </c>
      <c r="S22" s="18" t="n">
        <v>881600.89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315248.63</v>
      </c>
      <c r="F23" s="37" t="n">
        <v>315248.63</v>
      </c>
      <c r="G23" s="18" t="n">
        <v>268209.52</v>
      </c>
      <c r="H23" s="18" t="n">
        <v>288971.68</v>
      </c>
      <c r="I23" s="18" t="n">
        <v>317200.39</v>
      </c>
      <c r="J23" s="18" t="n">
        <v>372180.01</v>
      </c>
      <c r="K23" s="37" t="n">
        <v>372180.01</v>
      </c>
      <c r="L23" s="18" t="n">
        <v>362201.15</v>
      </c>
      <c r="M23" s="18" t="n">
        <v>391665.83</v>
      </c>
      <c r="N23" s="18" t="n">
        <v>448200.86</v>
      </c>
      <c r="O23" s="18" t="n">
        <v>448544.76</v>
      </c>
      <c r="P23" s="37" t="n">
        <v>448544.76</v>
      </c>
      <c r="Q23" s="18" t="n">
        <v>491706.64</v>
      </c>
      <c r="R23" s="18" t="n">
        <v>438934.9</v>
      </c>
      <c r="S23" s="18" t="n">
        <v>412570.14</v>
      </c>
      <c r="T23" s="18" t="n">
        <v>381760.23</v>
      </c>
      <c r="U23" s="37" t="n">
        <v>381760.23</v>
      </c>
      <c r="V23" s="18" t="n">
        <v>363727.15</v>
      </c>
      <c r="W23" s="18" t="n">
        <v>364840.43</v>
      </c>
      <c r="X23" s="18" t="n">
        <v>322941.25</v>
      </c>
      <c r="Y23" s="18" t="n">
        <v>324690.44</v>
      </c>
      <c r="Z23" s="37" t="n">
        <v>324690.44</v>
      </c>
      <c r="AA23" s="18" t="n">
        <v>309340.79</v>
      </c>
      <c r="AB23" s="19" t="n">
        <v>314008.2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209858.21</v>
      </c>
      <c r="F24" s="37" t="n">
        <v>209858.21</v>
      </c>
      <c r="G24" s="18" t="n">
        <v>190842.08</v>
      </c>
      <c r="H24" s="18" t="n">
        <v>203165.26</v>
      </c>
      <c r="I24" s="18" t="n">
        <v>186523.1</v>
      </c>
      <c r="J24" s="18" t="n">
        <v>200149.63</v>
      </c>
      <c r="K24" s="37" t="n">
        <v>200149.63</v>
      </c>
      <c r="L24" s="18" t="n">
        <v>207551.01</v>
      </c>
      <c r="M24" s="18" t="n">
        <v>233164.81</v>
      </c>
      <c r="N24" s="18" t="n">
        <v>234580.31</v>
      </c>
      <c r="O24" s="18" t="n">
        <v>267920.97</v>
      </c>
      <c r="P24" s="37" t="n">
        <v>267920.97</v>
      </c>
      <c r="Q24" s="18" t="n">
        <v>273547.7</v>
      </c>
      <c r="R24" s="18" t="n">
        <v>261871.23</v>
      </c>
      <c r="S24" s="18" t="n">
        <v>254684.09</v>
      </c>
      <c r="T24" s="18" t="n">
        <v>241952.33</v>
      </c>
      <c r="U24" s="37" t="n">
        <v>241952.33</v>
      </c>
      <c r="V24" s="18" t="n">
        <v>216273.56</v>
      </c>
      <c r="W24" s="18" t="n">
        <v>224132.84</v>
      </c>
      <c r="X24" s="18" t="n">
        <v>181371.84</v>
      </c>
      <c r="Y24" s="18" t="n">
        <v>186857.19</v>
      </c>
      <c r="Z24" s="37" t="n">
        <v>186857.19</v>
      </c>
      <c r="AA24" s="18" t="n">
        <v>173358.49</v>
      </c>
      <c r="AB24" s="19" t="n">
        <v>202796.01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34191.16</v>
      </c>
      <c r="F25" s="37" t="n">
        <v>34191.16</v>
      </c>
      <c r="G25" s="18" t="n">
        <v>23419.58</v>
      </c>
      <c r="H25" s="18" t="n">
        <v>30916.47</v>
      </c>
      <c r="I25" s="18" t="n">
        <v>53610.96</v>
      </c>
      <c r="J25" s="18" t="n">
        <v>109452.45</v>
      </c>
      <c r="K25" s="37" t="n">
        <v>109452.45</v>
      </c>
      <c r="L25" s="18" t="n">
        <v>107081.85</v>
      </c>
      <c r="M25" s="18" t="n">
        <v>110805.05</v>
      </c>
      <c r="N25" s="18" t="n">
        <v>170308.05</v>
      </c>
      <c r="O25" s="18" t="n">
        <v>137722.8</v>
      </c>
      <c r="P25" s="37" t="n">
        <v>137722.8</v>
      </c>
      <c r="Q25" s="18" t="n">
        <v>153081.87</v>
      </c>
      <c r="R25" s="18" t="n">
        <v>111741.04</v>
      </c>
      <c r="S25" s="18" t="n">
        <v>111469.8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34191.16</v>
      </c>
      <c r="F26" s="37" t="n">
        <v>34191.16</v>
      </c>
      <c r="G26" s="18" t="n">
        <v>23419.58</v>
      </c>
      <c r="H26" s="18" t="n">
        <v>30916.47</v>
      </c>
      <c r="I26" s="18" t="n">
        <v>53610.96</v>
      </c>
      <c r="J26" s="18" t="n">
        <v>109452.45</v>
      </c>
      <c r="K26" s="37" t="n">
        <v>109452.45</v>
      </c>
      <c r="L26" s="18" t="n">
        <v>107081.85</v>
      </c>
      <c r="M26" s="18" t="n">
        <v>110805.05</v>
      </c>
      <c r="N26" s="18" t="n">
        <v>170308.05</v>
      </c>
      <c r="O26" s="18" t="n">
        <v>137722.8</v>
      </c>
      <c r="P26" s="37" t="n">
        <v>137722.8</v>
      </c>
      <c r="Q26" s="18" t="n">
        <v>153081.87</v>
      </c>
      <c r="R26" s="18" t="n">
        <v>111741.04</v>
      </c>
      <c r="S26" s="18" t="n">
        <v>111469.8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52427.35</v>
      </c>
      <c r="F27" s="37" t="n">
        <v>52427.35</v>
      </c>
      <c r="G27" s="18" t="n">
        <v>34340.17</v>
      </c>
      <c r="H27" s="18" t="n">
        <v>35974.35</v>
      </c>
      <c r="I27" s="18" t="n">
        <v>59315.2</v>
      </c>
      <c r="J27" s="18" t="n">
        <v>39199.05</v>
      </c>
      <c r="K27" s="37" t="n">
        <v>39199.05</v>
      </c>
      <c r="L27" s="18" t="n">
        <v>28169.83</v>
      </c>
      <c r="M27" s="18" t="n">
        <v>29704.59</v>
      </c>
      <c r="N27" s="18" t="n">
        <v>25726.51</v>
      </c>
      <c r="O27" s="18" t="n">
        <v>24530.36</v>
      </c>
      <c r="P27" s="37" t="n">
        <v>24530.36</v>
      </c>
      <c r="Q27" s="18" t="n">
        <v>39538.11</v>
      </c>
      <c r="R27" s="18" t="n">
        <v>40573.07</v>
      </c>
      <c r="S27" s="18" t="n">
        <v>27547.03</v>
      </c>
      <c r="T27" s="18" t="n">
        <v>35183.22</v>
      </c>
      <c r="U27" s="37" t="n">
        <v>35183.22</v>
      </c>
      <c r="V27" s="18" t="n">
        <v>24171.53</v>
      </c>
      <c r="W27" s="18" t="n">
        <v>19217.34</v>
      </c>
      <c r="X27" s="18" t="n">
        <v>17716.47</v>
      </c>
      <c r="Y27" s="18" t="n">
        <v>20488.6</v>
      </c>
      <c r="Z27" s="37" t="n">
        <v>20488.6</v>
      </c>
      <c r="AA27" s="18" t="n">
        <v>25906.56</v>
      </c>
      <c r="AB27" s="19" t="n">
        <v>37955.69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2414.57</v>
      </c>
      <c r="F28" s="37" t="n">
        <v>2414.57</v>
      </c>
      <c r="G28" s="18" t="n">
        <v>1683.77</v>
      </c>
      <c r="H28" s="18" t="n">
        <v>750.64</v>
      </c>
      <c r="I28" s="18" t="n">
        <v>782.14</v>
      </c>
      <c r="J28" s="18" t="n">
        <v>1664.66</v>
      </c>
      <c r="K28" s="37" t="n">
        <v>1664.66</v>
      </c>
      <c r="L28" s="18" t="n">
        <v>741.51</v>
      </c>
      <c r="M28" s="18" t="n">
        <v>756.6799999999999</v>
      </c>
      <c r="N28" s="18" t="n">
        <v>874.76</v>
      </c>
      <c r="O28" s="18" t="n">
        <v>1894.85</v>
      </c>
      <c r="P28" s="37" t="n">
        <v>1894.85</v>
      </c>
      <c r="Q28" s="18" t="n">
        <v>1712.07</v>
      </c>
      <c r="R28" s="18" t="n">
        <v>3717.82</v>
      </c>
      <c r="S28" s="18" t="n">
        <v>1189.44</v>
      </c>
      <c r="T28" s="18" t="n">
        <v>1703.35</v>
      </c>
      <c r="U28" s="37" t="n">
        <v>1703.35</v>
      </c>
      <c r="V28" s="18" t="n">
        <v>3788.95</v>
      </c>
      <c r="W28" s="18" t="n">
        <v>2873.39</v>
      </c>
      <c r="X28" s="18" t="n">
        <v>2460.58</v>
      </c>
      <c r="Y28" s="18" t="n">
        <v>2833.11</v>
      </c>
      <c r="Z28" s="37" t="n">
        <v>2833.11</v>
      </c>
      <c r="AA28" s="18" t="n">
        <v>2529.18</v>
      </c>
      <c r="AB28" s="19" t="n">
        <v>1233.11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667.3200000000001</v>
      </c>
      <c r="F29" s="37" t="n">
        <v>667.3200000000001</v>
      </c>
      <c r="G29" s="18" t="n">
        <v>1380.95</v>
      </c>
      <c r="H29" s="18" t="n">
        <v>1300.68</v>
      </c>
      <c r="I29" s="18" t="n">
        <v>98.81999999999999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265.01</v>
      </c>
      <c r="R29" s="18" t="n">
        <v>322.15</v>
      </c>
      <c r="S29" s="18" t="n">
        <v>244.21</v>
      </c>
      <c r="U29" s="9" t="n"/>
      <c r="V29" s="18" t="n">
        <v>267.85</v>
      </c>
      <c r="W29" s="18" t="n">
        <v>345.49</v>
      </c>
      <c r="X29" s="18" t="n">
        <v>199.94</v>
      </c>
      <c r="Z29" s="9" t="n"/>
      <c r="AA29" s="18" t="n">
        <v>11.02</v>
      </c>
      <c r="AB29" s="19" t="n">
        <v>181.93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7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7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7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7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7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52814.92</v>
      </c>
      <c r="F31" s="37" t="n">
        <v>52814.92</v>
      </c>
      <c r="G31" s="18" t="n">
        <v>54351.65</v>
      </c>
      <c r="H31" s="18" t="n">
        <v>55341.61</v>
      </c>
      <c r="I31" s="18" t="n">
        <v>53744.42</v>
      </c>
      <c r="J31" s="18" t="n">
        <v>40173.51</v>
      </c>
      <c r="K31" s="37" t="n">
        <v>40173.51</v>
      </c>
      <c r="L31" s="18" t="n">
        <v>38103.19</v>
      </c>
      <c r="M31" s="18" t="n">
        <v>36045.97</v>
      </c>
      <c r="N31" s="18" t="n">
        <v>36287.24</v>
      </c>
      <c r="O31" s="18" t="n">
        <v>43053.05</v>
      </c>
      <c r="P31" s="37" t="n">
        <v>43053.05</v>
      </c>
      <c r="Q31" s="18" t="n">
        <v>32948.53</v>
      </c>
      <c r="R31" s="18" t="n">
        <v>52810.77</v>
      </c>
      <c r="S31" s="18" t="n">
        <v>55285.14</v>
      </c>
      <c r="T31" s="18" t="n">
        <v>59445.91</v>
      </c>
      <c r="U31" s="37" t="n">
        <v>59445.91</v>
      </c>
      <c r="V31" s="18" t="n">
        <v>57525.49</v>
      </c>
      <c r="W31" s="18" t="n">
        <v>36488.42</v>
      </c>
      <c r="X31" s="18" t="n">
        <v>27504.64</v>
      </c>
      <c r="Y31" s="18" t="n">
        <v>24887.3</v>
      </c>
      <c r="Z31" s="37" t="n">
        <v>24887.3</v>
      </c>
      <c r="AA31" s="18" t="n">
        <v>63748.47</v>
      </c>
      <c r="AB31" s="19" t="n">
        <v>82760.92999999999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590.79</v>
      </c>
      <c r="F32" s="37" t="n">
        <v>590.79</v>
      </c>
      <c r="G32" s="18" t="n">
        <v>237.38</v>
      </c>
      <c r="H32" s="18" t="n">
        <v>337.65</v>
      </c>
      <c r="I32" s="18" t="n">
        <v>281.28</v>
      </c>
      <c r="J32" s="18" t="n">
        <v>192.27</v>
      </c>
      <c r="K32" s="37" t="n">
        <v>192.27</v>
      </c>
      <c r="L32" s="18" t="n">
        <v>507.63</v>
      </c>
      <c r="M32" s="18" t="n">
        <v>528.01</v>
      </c>
      <c r="N32" s="18" t="n">
        <v>583.71</v>
      </c>
      <c r="O32" s="18" t="n">
        <v>591.98</v>
      </c>
      <c r="P32" s="37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590.79</v>
      </c>
      <c r="F33" s="37" t="n">
        <v>590.79</v>
      </c>
      <c r="G33" s="18" t="n">
        <v>237.38</v>
      </c>
      <c r="H33" s="18" t="n">
        <v>337.65</v>
      </c>
      <c r="I33" s="18" t="n">
        <v>281.28</v>
      </c>
      <c r="J33" s="18" t="n">
        <v>192.27</v>
      </c>
      <c r="K33" s="37" t="n">
        <v>192.27</v>
      </c>
      <c r="L33" s="18" t="n">
        <v>507.63</v>
      </c>
      <c r="M33" s="18" t="n">
        <v>528.01</v>
      </c>
      <c r="N33" s="18" t="n">
        <v>583.71</v>
      </c>
      <c r="O33" s="18" t="n">
        <v>591.98</v>
      </c>
      <c r="P33" s="37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7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7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7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7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7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0</v>
      </c>
      <c r="F35" s="37" t="n">
        <v>0</v>
      </c>
      <c r="G35" s="18" t="n">
        <v>1940.64</v>
      </c>
      <c r="H35" s="18" t="n">
        <v>3140.53</v>
      </c>
      <c r="I35" s="18" t="n">
        <v>4231.98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P35" s="9" t="n"/>
      <c r="U35" s="9" t="n"/>
      <c r="X35" s="18" t="n">
        <v>625.2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7795.07</v>
      </c>
      <c r="F36" s="37" t="n">
        <v>7795.07</v>
      </c>
      <c r="G36" s="18" t="n">
        <v>7408.92</v>
      </c>
      <c r="H36" s="18" t="n">
        <v>6914.44</v>
      </c>
      <c r="I36" s="18" t="n">
        <v>6562.99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1107.41</v>
      </c>
      <c r="F37" s="37" t="n">
        <v>1107.41</v>
      </c>
      <c r="G37" s="18" t="n">
        <v>1081.45</v>
      </c>
      <c r="H37" s="18" t="n">
        <v>1037.66</v>
      </c>
      <c r="I37" s="18" t="n">
        <v>1110.65</v>
      </c>
      <c r="J37" s="18" t="n">
        <v>1175.81</v>
      </c>
      <c r="K37" s="37" t="n">
        <v>1175.81</v>
      </c>
      <c r="L37" s="18" t="n">
        <v>1249.6</v>
      </c>
      <c r="M37" s="18" t="n">
        <v>1260.48</v>
      </c>
      <c r="N37" s="18" t="n">
        <v>1279.18</v>
      </c>
      <c r="O37" s="18" t="n">
        <v>1410.78</v>
      </c>
      <c r="P37" s="37" t="n">
        <v>1410.78</v>
      </c>
      <c r="Q37" s="18" t="n">
        <v>1413.37</v>
      </c>
      <c r="R37" s="18" t="n">
        <v>1423.17</v>
      </c>
      <c r="S37" s="18" t="n">
        <v>1432.7</v>
      </c>
      <c r="T37" s="18" t="n">
        <v>1750.34</v>
      </c>
      <c r="U37" s="37" t="n">
        <v>1750.34</v>
      </c>
      <c r="V37" s="18" t="n">
        <v>1771.39</v>
      </c>
      <c r="W37" s="18" t="n">
        <v>1666.08</v>
      </c>
      <c r="X37" s="18" t="n">
        <v>1678.82</v>
      </c>
      <c r="Y37" s="18" t="n">
        <v>2068.32</v>
      </c>
      <c r="Z37" s="37" t="n">
        <v>2068.32</v>
      </c>
      <c r="AA37" s="18" t="n">
        <v>2109.19</v>
      </c>
      <c r="AB37" s="19" t="n">
        <v>2132.03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368063.55</v>
      </c>
      <c r="F38" s="37" t="n">
        <v>368063.55</v>
      </c>
      <c r="G38" s="18" t="n">
        <v>322561.17</v>
      </c>
      <c r="H38" s="18" t="n">
        <v>344313.28</v>
      </c>
      <c r="I38" s="18" t="n">
        <v>370944.81</v>
      </c>
      <c r="J38" s="18" t="n">
        <v>412353.52</v>
      </c>
      <c r="K38" s="37" t="n">
        <v>412353.52</v>
      </c>
      <c r="L38" s="18" t="n">
        <v>400304.34</v>
      </c>
      <c r="M38" s="18" t="n">
        <v>427711.8</v>
      </c>
      <c r="N38" s="18" t="n">
        <v>484488.1</v>
      </c>
      <c r="O38" s="18" t="n">
        <v>491597.8</v>
      </c>
      <c r="P38" s="37" t="n">
        <v>491597.8</v>
      </c>
      <c r="Q38" s="18" t="n">
        <v>524655.17</v>
      </c>
      <c r="R38" s="18" t="n">
        <v>491745.67</v>
      </c>
      <c r="S38" s="18" t="n">
        <v>467855.27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7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7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7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7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7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102586.87</v>
      </c>
      <c r="F40" s="37" t="n">
        <v>102586.87</v>
      </c>
      <c r="G40" s="18" t="n">
        <v>102586.87</v>
      </c>
      <c r="H40" s="18" t="n">
        <v>102586.87</v>
      </c>
      <c r="I40" s="18" t="n">
        <v>102586.87</v>
      </c>
      <c r="J40" s="18" t="n">
        <v>102586.87</v>
      </c>
      <c r="K40" s="37" t="n">
        <v>102586.87</v>
      </c>
      <c r="L40" s="18" t="n">
        <v>102586.87</v>
      </c>
      <c r="M40" s="18" t="n">
        <v>102586.87</v>
      </c>
      <c r="N40" s="18" t="n">
        <v>102586.87</v>
      </c>
      <c r="O40" s="18" t="n">
        <v>102586.87</v>
      </c>
      <c r="P40" s="37" t="n">
        <v>102586.87</v>
      </c>
      <c r="Q40" s="18" t="n">
        <v>102586.87</v>
      </c>
      <c r="R40" s="18" t="n">
        <v>102586.87</v>
      </c>
      <c r="S40" s="18" t="n">
        <v>102586.87</v>
      </c>
      <c r="T40" s="18" t="n">
        <v>102586.87</v>
      </c>
      <c r="U40" s="37" t="n">
        <v>102586.87</v>
      </c>
      <c r="V40" s="18" t="n">
        <v>102586.87</v>
      </c>
      <c r="W40" s="18" t="n">
        <v>102586.87</v>
      </c>
      <c r="X40" s="18" t="n">
        <v>102586.87</v>
      </c>
      <c r="Y40" s="18" t="n">
        <v>102586.87</v>
      </c>
      <c r="Z40" s="37" t="n">
        <v>102586.87</v>
      </c>
      <c r="AA40" s="18" t="n">
        <v>102586.87</v>
      </c>
      <c r="AB40" s="19" t="n">
        <v>102586.87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7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7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7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7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7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98.05</v>
      </c>
      <c r="F42" s="37" t="n">
        <v>98.05</v>
      </c>
      <c r="G42" s="18" t="n">
        <v>103.6</v>
      </c>
      <c r="H42" s="18" t="n">
        <v>65.08</v>
      </c>
      <c r="I42" s="18" t="n">
        <v>51.01</v>
      </c>
      <c r="J42" s="18" t="n">
        <v>59.32</v>
      </c>
      <c r="K42" s="37" t="n">
        <v>59.32</v>
      </c>
      <c r="L42" s="18" t="n">
        <v>61.51</v>
      </c>
      <c r="M42" s="18" t="n">
        <v>74.95</v>
      </c>
      <c r="N42" s="18" t="n">
        <v>107.88</v>
      </c>
      <c r="O42" s="18" t="n">
        <v>120.01</v>
      </c>
      <c r="P42" s="37" t="n">
        <v>120.01</v>
      </c>
      <c r="Q42" s="18" t="n">
        <v>81.83</v>
      </c>
      <c r="R42" s="18" t="n">
        <v>95.34999999999999</v>
      </c>
      <c r="S42" s="18" t="n">
        <v>96.87</v>
      </c>
      <c r="T42" s="18" t="n">
        <v>97.98999999999999</v>
      </c>
      <c r="U42" s="37" t="n">
        <v>97.98999999999999</v>
      </c>
      <c r="V42" s="18" t="n">
        <v>90.34999999999999</v>
      </c>
      <c r="W42" s="18" t="n">
        <v>80.87</v>
      </c>
      <c r="X42" s="18" t="n">
        <v>81.11</v>
      </c>
      <c r="Y42" s="18" t="n">
        <v>76.62</v>
      </c>
      <c r="Z42" s="37" t="n">
        <v>76.62</v>
      </c>
      <c r="AA42" s="18" t="n">
        <v>64.13</v>
      </c>
      <c r="AB42" s="19" t="n">
        <v>59.87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365977.26</v>
      </c>
      <c r="F43" s="37" t="n">
        <v>365977.26</v>
      </c>
      <c r="G43" s="18" t="n">
        <v>366170.57</v>
      </c>
      <c r="H43" s="18" t="n">
        <v>365489.71</v>
      </c>
      <c r="I43" s="18" t="n">
        <v>366488.5</v>
      </c>
      <c r="J43" s="18" t="n">
        <v>316487.22</v>
      </c>
      <c r="K43" s="37" t="n">
        <v>316487.22</v>
      </c>
      <c r="L43" s="18" t="n">
        <v>310265.57</v>
      </c>
      <c r="M43" s="18" t="n">
        <v>312043.28</v>
      </c>
      <c r="N43" s="18" t="n">
        <v>312430.68</v>
      </c>
      <c r="O43" s="18" t="n">
        <v>280203.53</v>
      </c>
      <c r="P43" s="37" t="n">
        <v>280203.53</v>
      </c>
      <c r="Q43" s="18" t="n">
        <v>285115.4</v>
      </c>
      <c r="R43" s="18" t="n">
        <v>289876.67</v>
      </c>
      <c r="S43" s="18" t="n">
        <v>293954.72</v>
      </c>
      <c r="T43" s="18" t="n">
        <v>287753.85</v>
      </c>
      <c r="U43" s="37" t="n">
        <v>287753.85</v>
      </c>
      <c r="V43" s="18" t="n">
        <v>291243.76</v>
      </c>
      <c r="W43" s="18" t="n">
        <v>291641.14</v>
      </c>
      <c r="X43" s="18" t="n">
        <v>294553.76</v>
      </c>
      <c r="Y43" s="18" t="n">
        <v>293664.38</v>
      </c>
      <c r="Z43" s="37" t="n">
        <v>293664.38</v>
      </c>
      <c r="AA43" s="18" t="n">
        <v>292185.91</v>
      </c>
      <c r="AB43" s="19" t="n">
        <v>292238.04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485769.35</v>
      </c>
      <c r="F44" s="37" t="n">
        <v>485769.35</v>
      </c>
      <c r="G44" s="18" t="n">
        <v>485968.2</v>
      </c>
      <c r="H44" s="18" t="n">
        <v>485248.82</v>
      </c>
      <c r="I44" s="18" t="n">
        <v>486233.55</v>
      </c>
      <c r="J44" s="18" t="n">
        <v>436240.57</v>
      </c>
      <c r="K44" s="37" t="n">
        <v>436240.57</v>
      </c>
      <c r="L44" s="18" t="n">
        <v>430021.11</v>
      </c>
      <c r="M44" s="18" t="n">
        <v>431812.26</v>
      </c>
      <c r="N44" s="18" t="n">
        <v>432232.59</v>
      </c>
      <c r="O44" s="18" t="n">
        <v>400017.58</v>
      </c>
      <c r="P44" s="37" t="n">
        <v>400017.58</v>
      </c>
      <c r="Q44" s="18" t="n">
        <v>404891.26</v>
      </c>
      <c r="R44" s="18" t="n">
        <v>409666.05</v>
      </c>
      <c r="S44" s="18" t="n">
        <v>413745.62</v>
      </c>
      <c r="T44" s="18" t="n">
        <v>407545.86</v>
      </c>
      <c r="U44" s="37" t="n">
        <v>407545.86</v>
      </c>
      <c r="V44" s="18" t="n">
        <v>411028.14</v>
      </c>
      <c r="W44" s="18" t="n">
        <v>411416.04</v>
      </c>
      <c r="X44" s="18" t="n">
        <v>414328.9</v>
      </c>
      <c r="Y44" s="18" t="n">
        <v>413435.03</v>
      </c>
      <c r="Z44" s="37" t="n">
        <v>413435.03</v>
      </c>
      <c r="AA44" s="18" t="n">
        <v>411944.08</v>
      </c>
      <c r="AB44" s="19" t="n">
        <v>415420.06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853832.89</v>
      </c>
      <c r="F45" s="37" t="n">
        <v>853832.89</v>
      </c>
      <c r="G45" s="18" t="n">
        <v>808529.37</v>
      </c>
      <c r="H45" s="18" t="n">
        <v>829562.1</v>
      </c>
      <c r="I45" s="18" t="n">
        <v>857178.35</v>
      </c>
      <c r="J45" s="18" t="n">
        <v>848594.09</v>
      </c>
      <c r="K45" s="37" t="n">
        <v>848594.09</v>
      </c>
      <c r="L45" s="18" t="n">
        <v>830325.45</v>
      </c>
      <c r="M45" s="18" t="n">
        <v>859524.0600000001</v>
      </c>
      <c r="N45" s="18" t="n">
        <v>916720.6899999999</v>
      </c>
      <c r="O45" s="18" t="n">
        <v>891615.38</v>
      </c>
      <c r="P45" s="37" t="n">
        <v>891615.38</v>
      </c>
      <c r="Q45" s="18" t="n">
        <v>929546.4300000001</v>
      </c>
      <c r="R45" s="18" t="n">
        <v>901411.72</v>
      </c>
      <c r="S45" s="18" t="n">
        <v>881600.89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485769.35</v>
      </c>
      <c r="F46" s="37" t="n">
        <v>485769.35</v>
      </c>
      <c r="G46" s="18" t="n">
        <v>485968.2</v>
      </c>
      <c r="H46" s="18" t="n">
        <v>485248.82</v>
      </c>
      <c r="I46" s="18" t="n">
        <v>486233.55</v>
      </c>
      <c r="J46" s="18" t="n">
        <v>436240.57</v>
      </c>
      <c r="K46" s="37" t="n">
        <v>436240.57</v>
      </c>
      <c r="L46" s="18" t="n">
        <v>430021.11</v>
      </c>
      <c r="M46" s="18" t="n">
        <v>431812.26</v>
      </c>
      <c r="N46" s="18" t="n">
        <v>432232.59</v>
      </c>
      <c r="O46" s="18" t="n">
        <v>400017.58</v>
      </c>
      <c r="P46" s="37" t="n">
        <v>400017.58</v>
      </c>
      <c r="Q46" s="18" t="n">
        <v>404891.26</v>
      </c>
      <c r="R46" s="18" t="n">
        <v>409666.05</v>
      </c>
      <c r="S46" s="18" t="n">
        <v>413745.62</v>
      </c>
      <c r="T46" s="18" t="n">
        <v>407545.86</v>
      </c>
      <c r="U46" s="37" t="n">
        <v>407545.86</v>
      </c>
      <c r="V46" s="18" t="n">
        <v>411028.14</v>
      </c>
      <c r="W46" s="18" t="n">
        <v>411416.04</v>
      </c>
      <c r="X46" s="18" t="n">
        <v>414328.9</v>
      </c>
      <c r="Y46" s="18" t="n">
        <v>413435.03</v>
      </c>
      <c r="Z46" s="37" t="n">
        <v>413435.03</v>
      </c>
      <c r="AA46" s="18" t="n">
        <v>411944.08</v>
      </c>
      <c r="AB46" s="19" t="n">
        <v>415420.06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34781.95</v>
      </c>
      <c r="F47" s="37" t="n">
        <v>34781.95</v>
      </c>
      <c r="G47" s="18" t="n">
        <v>23656.96</v>
      </c>
      <c r="H47" s="18" t="n">
        <v>31254.12</v>
      </c>
      <c r="I47" s="18" t="n">
        <v>53892.24</v>
      </c>
      <c r="J47" s="18" t="n">
        <v>109644.72</v>
      </c>
      <c r="K47" s="37" t="n">
        <v>109644.72</v>
      </c>
      <c r="L47" s="18" t="n">
        <v>107589.48</v>
      </c>
      <c r="M47" s="18" t="n">
        <v>111333.06</v>
      </c>
      <c r="N47" s="18" t="n">
        <v>170891.76</v>
      </c>
      <c r="O47" s="18" t="n">
        <v>138314.78</v>
      </c>
      <c r="P47" s="37" t="n">
        <v>138314.78</v>
      </c>
      <c r="Q47" s="18" t="n">
        <v>153258.91</v>
      </c>
      <c r="R47" s="18" t="n">
        <v>132013.21</v>
      </c>
      <c r="S47" s="18" t="n">
        <v>135697.1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17485.34</v>
      </c>
      <c r="F48" s="37" t="n">
        <v>17485.34</v>
      </c>
      <c r="G48" s="18" t="n">
        <v>9510.75</v>
      </c>
      <c r="H48" s="18" t="n">
        <v>18065.89</v>
      </c>
      <c r="I48" s="18" t="n">
        <v>38935.01</v>
      </c>
      <c r="J48" s="18" t="n">
        <v>90740.16</v>
      </c>
      <c r="K48" s="37" t="n">
        <v>90740.16</v>
      </c>
      <c r="L48" s="18" t="n">
        <v>86391.86</v>
      </c>
      <c r="M48" s="18" t="n">
        <v>95600.53</v>
      </c>
      <c r="N48" s="18" t="n">
        <v>152620.15</v>
      </c>
      <c r="O48" s="18" t="n">
        <v>114744.86</v>
      </c>
      <c r="P48" s="37" t="n">
        <v>114744.86</v>
      </c>
      <c r="Q48" s="18" t="n">
        <v>142162.49</v>
      </c>
      <c r="R48" s="18" t="n">
        <v>116266.57</v>
      </c>
      <c r="S48" s="18" t="n">
        <v>73042.53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52182.01</v>
      </c>
      <c r="F49" s="37" t="n">
        <v>52182.01</v>
      </c>
      <c r="G49" s="18" t="n">
        <v>49264.47</v>
      </c>
      <c r="H49" s="18" t="n">
        <v>48409.46</v>
      </c>
      <c r="I49" s="18" t="n">
        <v>49591.77</v>
      </c>
      <c r="J49" s="18" t="n">
        <v>52580.69</v>
      </c>
      <c r="K49" s="37" t="n">
        <v>52580.69</v>
      </c>
      <c r="L49" s="18" t="n">
        <v>58553.54</v>
      </c>
      <c r="M49" s="18" t="n">
        <v>53405.86</v>
      </c>
      <c r="N49" s="18" t="n">
        <v>54680.31</v>
      </c>
      <c r="O49" s="18" t="n">
        <v>60492.69</v>
      </c>
      <c r="P49" s="37" t="n">
        <v>60492.69</v>
      </c>
      <c r="Q49" s="18" t="n">
        <v>45060.72</v>
      </c>
      <c r="R49" s="18" t="n">
        <v>45916.86</v>
      </c>
      <c r="S49" s="18" t="n">
        <v>92593.41</v>
      </c>
      <c r="T49" s="18" t="n">
        <v>43766.22</v>
      </c>
      <c r="U49" s="37" t="n">
        <v>43766.22</v>
      </c>
      <c r="V49" s="18" t="n">
        <v>43401.84</v>
      </c>
      <c r="W49" s="18" t="n">
        <v>52249.41</v>
      </c>
      <c r="X49" s="18" t="n">
        <v>37877.35</v>
      </c>
      <c r="Y49" s="18" t="n">
        <v>36558.71</v>
      </c>
      <c r="Z49" s="37" t="n">
        <v>36558.71</v>
      </c>
      <c r="AA49" s="18" t="n">
        <v>45713.97</v>
      </c>
      <c r="AB49" s="19" t="n">
        <v>83237.56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이연법인세자산</t>
        </is>
      </c>
      <c r="F50" s="9" t="n"/>
      <c r="J50" s="18" t="n">
        <v>6811.47</v>
      </c>
      <c r="K50" s="37" t="n">
        <v>6811.47</v>
      </c>
      <c r="L50" s="18" t="n">
        <v>8386.360000000001</v>
      </c>
      <c r="M50" s="18" t="n">
        <v>7824.1</v>
      </c>
      <c r="N50" s="18" t="n">
        <v>7656.16</v>
      </c>
      <c r="O50" s="18" t="n">
        <v>13755.32</v>
      </c>
      <c r="P50" s="37" t="n">
        <v>13755.32</v>
      </c>
      <c r="Q50" s="18" t="n">
        <v>12513.58</v>
      </c>
      <c r="R50" s="18" t="n">
        <v>10782.8</v>
      </c>
      <c r="S50" s="18" t="n">
        <v>9294.190000000001</v>
      </c>
      <c r="T50" s="18" t="n">
        <v>10200.37</v>
      </c>
      <c r="U50" s="37" t="n">
        <v>10200.37</v>
      </c>
      <c r="V50" s="18" t="n">
        <v>9035.469999999999</v>
      </c>
      <c r="W50" s="18" t="n">
        <v>8932.120000000001</v>
      </c>
      <c r="X50" s="18" t="n">
        <v>8208.34</v>
      </c>
      <c r="Y50" s="18" t="n">
        <v>8424.83</v>
      </c>
      <c r="Z50" s="37" t="n">
        <v>8424.83</v>
      </c>
      <c r="AA50" s="18" t="n">
        <v>8209.709999999999</v>
      </c>
      <c r="AB50" s="19" t="n">
        <v>7570.66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11652.03</v>
      </c>
      <c r="P51" s="37" t="n">
        <v>11652.03</v>
      </c>
      <c r="Q51" s="18" t="n">
        <v>11429.08</v>
      </c>
      <c r="R51" s="18" t="n">
        <v>12354.36</v>
      </c>
      <c r="S51" s="18" t="n">
        <v>12278.07</v>
      </c>
      <c r="T51" s="18" t="n">
        <v>12083.63</v>
      </c>
      <c r="U51" s="37" t="n">
        <v>12083.63</v>
      </c>
      <c r="V51" s="18" t="n">
        <v>11602.4</v>
      </c>
      <c r="W51" s="18" t="n">
        <v>10897.74</v>
      </c>
      <c r="X51" s="18" t="n">
        <v>10970.33</v>
      </c>
      <c r="Y51" s="18" t="n">
        <v>9974.73</v>
      </c>
      <c r="Z51" s="37" t="n">
        <v>9974.73</v>
      </c>
      <c r="AA51" s="18" t="n">
        <v>10170.02</v>
      </c>
      <c r="AB51" s="19" t="n">
        <v>10777.54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40726.67</v>
      </c>
      <c r="P52" s="37" t="n">
        <v>40726.67</v>
      </c>
      <c r="Q52" s="18" t="n">
        <v>38492.19</v>
      </c>
      <c r="R52" s="18" t="n">
        <v>39281.29</v>
      </c>
      <c r="S52" s="18" t="n">
        <v>37801.61</v>
      </c>
      <c r="T52" s="18" t="n">
        <v>35511.66</v>
      </c>
      <c r="U52" s="37" t="n">
        <v>35511.66</v>
      </c>
      <c r="V52" s="18" t="n">
        <v>33227.57</v>
      </c>
      <c r="W52" s="18" t="n">
        <v>31422.72</v>
      </c>
      <c r="X52" s="18" t="n">
        <v>31854.46</v>
      </c>
      <c r="Y52" s="18" t="n">
        <v>28833.04</v>
      </c>
      <c r="Z52" s="37" t="n">
        <v>28833.04</v>
      </c>
      <c r="AA52" s="18" t="n">
        <v>28025.38</v>
      </c>
      <c r="AB52" s="19" t="n">
        <v>27746.94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11652.03</v>
      </c>
      <c r="P53" s="37" t="n">
        <v>11652.03</v>
      </c>
      <c r="Q53" s="18" t="n">
        <v>11429.08</v>
      </c>
      <c r="R53" s="18" t="n">
        <v>12354.36</v>
      </c>
      <c r="S53" s="18" t="n">
        <v>12278.07</v>
      </c>
      <c r="T53" s="18" t="n">
        <v>93656.19</v>
      </c>
      <c r="U53" s="37" t="n">
        <v>93656.19</v>
      </c>
      <c r="V53" s="18" t="n">
        <v>111348.77</v>
      </c>
      <c r="W53" s="18" t="n">
        <v>112151.62</v>
      </c>
      <c r="X53" s="18" t="n">
        <v>115827.01</v>
      </c>
      <c r="Y53" s="18" t="n">
        <v>110777.82</v>
      </c>
      <c r="Z53" s="37" t="n">
        <v>110777.82</v>
      </c>
      <c r="AA53" s="18" t="n">
        <v>97390.78</v>
      </c>
      <c r="AB53" s="19" t="n">
        <v>61850.37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29074.64</v>
      </c>
      <c r="P54" s="37" t="n">
        <v>29074.64</v>
      </c>
      <c r="Q54" s="18" t="n">
        <v>27063.11</v>
      </c>
      <c r="R54" s="18" t="n">
        <v>26926.93</v>
      </c>
      <c r="S54" s="18" t="n">
        <v>25523.54</v>
      </c>
      <c r="T54" s="18" t="n">
        <v>23428.03</v>
      </c>
      <c r="U54" s="37" t="n">
        <v>23428.03</v>
      </c>
      <c r="V54" s="18" t="n">
        <v>21625.17</v>
      </c>
      <c r="W54" s="18" t="n">
        <v>20524.98</v>
      </c>
      <c r="X54" s="18" t="n">
        <v>20884.13</v>
      </c>
      <c r="Y54" s="18" t="n">
        <v>18858.31</v>
      </c>
      <c r="Z54" s="37" t="n">
        <v>18858.31</v>
      </c>
      <c r="AA54" s="18" t="n">
        <v>17855.36</v>
      </c>
      <c r="AB54" s="19" t="n">
        <v>16969.4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K55" s="9" t="n"/>
      <c r="O55" s="18" t="n">
        <v>29074.64</v>
      </c>
      <c r="P55" s="37" t="n">
        <v>29074.64</v>
      </c>
      <c r="Q55" s="18" t="n">
        <v>27063.11</v>
      </c>
      <c r="R55" s="18" t="n">
        <v>26926.93</v>
      </c>
      <c r="S55" s="18" t="n">
        <v>25523.54</v>
      </c>
      <c r="T55" s="18" t="n">
        <v>53548.28</v>
      </c>
      <c r="U55" s="37" t="n">
        <v>53548.28</v>
      </c>
      <c r="V55" s="18" t="n">
        <v>51723.59</v>
      </c>
      <c r="W55" s="18" t="n">
        <v>30677.08</v>
      </c>
      <c r="X55" s="18" t="n">
        <v>21067.6</v>
      </c>
      <c r="Y55" s="18" t="n">
        <v>19101.19</v>
      </c>
      <c r="Z55" s="37" t="n">
        <v>19101.19</v>
      </c>
      <c r="AA55" s="18" t="n">
        <v>57974.43</v>
      </c>
      <c r="AB55" s="19" t="n">
        <v>77187.16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기타유동금융자산</t>
        </is>
      </c>
      <c r="F56" s="9" t="n"/>
      <c r="K56" s="9" t="n"/>
      <c r="P56" s="9" t="n"/>
      <c r="T56" s="18" t="n">
        <v>10174.1</v>
      </c>
      <c r="U56" s="37" t="n">
        <v>10174.1</v>
      </c>
      <c r="V56" s="18" t="n">
        <v>10364.81</v>
      </c>
      <c r="W56" s="18" t="n">
        <v>11811.21</v>
      </c>
      <c r="X56" s="18" t="n">
        <v>10527.39</v>
      </c>
      <c r="Y56" s="18" t="n">
        <v>14399.44</v>
      </c>
      <c r="Z56" s="37" t="n">
        <v>14399.44</v>
      </c>
      <c r="AA56" s="18" t="n">
        <v>36151.28</v>
      </c>
      <c r="AB56" s="19" t="n">
        <v>28433.37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장기매출채권및기타채권</t>
        </is>
      </c>
      <c r="F57" s="9" t="n"/>
      <c r="K57" s="9" t="n"/>
      <c r="P57" s="9" t="n"/>
      <c r="T57" s="18" t="n">
        <v>16145.62</v>
      </c>
      <c r="U57" s="37" t="n">
        <v>16145.62</v>
      </c>
      <c r="V57" s="18" t="n">
        <v>13951.11</v>
      </c>
      <c r="W57" s="18" t="n">
        <v>12584.33</v>
      </c>
      <c r="X57" s="18" t="n">
        <v>13009.25</v>
      </c>
      <c r="Y57" s="18" t="n">
        <v>13312.63</v>
      </c>
      <c r="Z57" s="37" t="n">
        <v>13312.63</v>
      </c>
      <c r="AA57" s="18" t="n">
        <v>1884.18</v>
      </c>
      <c r="AB57" s="19" t="n">
        <v>2414.84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기타유동금융부채</t>
        </is>
      </c>
      <c r="F58" s="9" t="n"/>
      <c r="K58" s="9" t="n"/>
      <c r="P58" s="9" t="n"/>
      <c r="T58" s="18" t="n">
        <v>81572.56</v>
      </c>
      <c r="U58" s="37" t="n">
        <v>81572.56</v>
      </c>
      <c r="V58" s="18" t="n">
        <v>99746.37</v>
      </c>
      <c r="W58" s="18" t="n">
        <v>101253.88</v>
      </c>
      <c r="X58" s="18" t="n">
        <v>104856.68</v>
      </c>
      <c r="Y58" s="18" t="n">
        <v>100803.09</v>
      </c>
      <c r="Z58" s="37" t="n">
        <v>100803.09</v>
      </c>
      <c r="AA58" s="18" t="n">
        <v>87220.75999999999</v>
      </c>
      <c r="AB58" s="19" t="n">
        <v>51072.83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기타비유동금융부채</t>
        </is>
      </c>
      <c r="F59" s="9" t="n"/>
      <c r="K59" s="9" t="n"/>
      <c r="P59" s="9" t="n"/>
      <c r="T59" s="18" t="n">
        <v>30120.25</v>
      </c>
      <c r="U59" s="37" t="n">
        <v>30120.25</v>
      </c>
      <c r="V59" s="18" t="n">
        <v>30098.42</v>
      </c>
      <c r="W59" s="18" t="n">
        <v>10152.1</v>
      </c>
      <c r="X59" s="18" t="n">
        <v>183.47</v>
      </c>
      <c r="Y59" s="18" t="n">
        <v>242.88</v>
      </c>
      <c r="Z59" s="37" t="n">
        <v>242.88</v>
      </c>
      <c r="AA59" s="18" t="n">
        <v>40119.07</v>
      </c>
      <c r="AB59" s="19" t="n">
        <v>60217.76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366092.92</v>
      </c>
      <c r="F60" s="9" t="n"/>
      <c r="G60" s="18" t="n">
        <v>361297.53</v>
      </c>
      <c r="H60" s="18" t="n">
        <v>353179.53</v>
      </c>
      <c r="I60" s="18" t="n">
        <v>355688.1</v>
      </c>
      <c r="J60" s="18" t="n">
        <v>393068.09</v>
      </c>
      <c r="K60" s="37" t="n">
        <v>1463233.25</v>
      </c>
      <c r="L60" s="18" t="n">
        <v>364246.58</v>
      </c>
      <c r="M60" s="18" t="n">
        <v>385867.52</v>
      </c>
      <c r="N60" s="18" t="n">
        <v>386560.17</v>
      </c>
      <c r="O60" s="18" t="n">
        <v>415453.94</v>
      </c>
      <c r="P60" s="37" t="n">
        <v>1552128.21</v>
      </c>
      <c r="Q60" s="18" t="n">
        <v>494993.7</v>
      </c>
      <c r="R60" s="18" t="n">
        <v>483945.38</v>
      </c>
      <c r="S60" s="18" t="n">
        <v>440922.19</v>
      </c>
      <c r="T60" s="18" t="n">
        <v>401597.66</v>
      </c>
      <c r="U60" s="37" t="n">
        <v>1821458.93</v>
      </c>
      <c r="V60" s="18" t="n">
        <v>424011.52</v>
      </c>
      <c r="W60" s="18" t="n">
        <v>390622.11</v>
      </c>
      <c r="X60" s="18" t="n">
        <v>322500.91</v>
      </c>
      <c r="Y60" s="18" t="n">
        <v>340157.67</v>
      </c>
      <c r="Z60" s="37" t="n">
        <v>1477292.21</v>
      </c>
      <c r="AA60" s="18" t="n">
        <v>340409.22</v>
      </c>
      <c r="AB60" s="19" t="n">
        <v>357173.07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304141.47</v>
      </c>
      <c r="F61" s="9" t="n"/>
      <c r="G61" s="18" t="n">
        <v>299900.01</v>
      </c>
      <c r="H61" s="18" t="n">
        <v>296026.27</v>
      </c>
      <c r="I61" s="18" t="n">
        <v>297170.1</v>
      </c>
      <c r="J61" s="18" t="n">
        <v>365011.95</v>
      </c>
      <c r="K61" s="37" t="n">
        <v>1258108.33</v>
      </c>
      <c r="L61" s="18" t="n">
        <v>315657.61</v>
      </c>
      <c r="M61" s="18" t="n">
        <v>327383.06</v>
      </c>
      <c r="N61" s="18" t="n">
        <v>324582.89</v>
      </c>
      <c r="O61" s="18" t="n">
        <v>371788.4</v>
      </c>
      <c r="P61" s="37" t="n">
        <v>1339411.96</v>
      </c>
      <c r="Q61" s="18" t="n">
        <v>426109.17</v>
      </c>
      <c r="R61" s="18" t="n">
        <v>417240.89</v>
      </c>
      <c r="S61" s="18" t="n">
        <v>372360.58</v>
      </c>
      <c r="T61" s="18" t="n">
        <v>336642.68</v>
      </c>
      <c r="U61" s="37" t="n">
        <v>1552353.32</v>
      </c>
      <c r="V61" s="18" t="n">
        <v>351717.87</v>
      </c>
      <c r="W61" s="18" t="n">
        <v>323551.26</v>
      </c>
      <c r="X61" s="18" t="n">
        <v>259834.94</v>
      </c>
      <c r="Y61" s="18" t="n">
        <v>283846.74</v>
      </c>
      <c r="Z61" s="37" t="n">
        <v>1218950.81</v>
      </c>
      <c r="AA61" s="18" t="n">
        <v>281530.19</v>
      </c>
      <c r="AB61" s="19" t="n">
        <v>295844.21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61951.45</v>
      </c>
      <c r="F62" s="9" t="n"/>
      <c r="G62" s="18" t="n">
        <v>61397.53</v>
      </c>
      <c r="H62" s="18" t="n">
        <v>57153.25</v>
      </c>
      <c r="I62" s="18" t="n">
        <v>58518</v>
      </c>
      <c r="J62" s="18" t="n">
        <v>28056.13</v>
      </c>
      <c r="K62" s="37" t="n">
        <v>205124.91</v>
      </c>
      <c r="L62" s="18" t="n">
        <v>48588.97</v>
      </c>
      <c r="M62" s="18" t="n">
        <v>58484.46</v>
      </c>
      <c r="N62" s="18" t="n">
        <v>61977.28</v>
      </c>
      <c r="O62" s="18" t="n">
        <v>43665.54</v>
      </c>
      <c r="P62" s="37" t="n">
        <v>212716.25</v>
      </c>
      <c r="Q62" s="18" t="n">
        <v>68884.52</v>
      </c>
      <c r="R62" s="18" t="n">
        <v>66704.49000000001</v>
      </c>
      <c r="S62" s="18" t="n">
        <v>68561.61</v>
      </c>
      <c r="T62" s="18" t="n">
        <v>64954.98</v>
      </c>
      <c r="U62" s="37" t="n">
        <v>269105.6</v>
      </c>
      <c r="V62" s="18" t="n">
        <v>72293.64999999999</v>
      </c>
      <c r="W62" s="18" t="n">
        <v>67070.84</v>
      </c>
      <c r="X62" s="18" t="n">
        <v>62665.97</v>
      </c>
      <c r="Y62" s="18" t="n">
        <v>56310.94</v>
      </c>
      <c r="Z62" s="37" t="n">
        <v>258341.4</v>
      </c>
      <c r="AA62" s="18" t="n">
        <v>58879.03</v>
      </c>
      <c r="AB62" s="19" t="n">
        <v>61328.86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60361.4</v>
      </c>
      <c r="F63" s="9" t="n"/>
      <c r="G63" s="18" t="n">
        <v>58323.41</v>
      </c>
      <c r="H63" s="18" t="n">
        <v>57453.35</v>
      </c>
      <c r="I63" s="18" t="n">
        <v>58138.69</v>
      </c>
      <c r="J63" s="18" t="n">
        <v>58516.6</v>
      </c>
      <c r="K63" s="37" t="n">
        <v>232432.05</v>
      </c>
      <c r="L63" s="18" t="n">
        <v>55533.8</v>
      </c>
      <c r="M63" s="18" t="n">
        <v>55167.76</v>
      </c>
      <c r="N63" s="18" t="n">
        <v>60158.76</v>
      </c>
      <c r="O63" s="18" t="n">
        <v>62467.14</v>
      </c>
      <c r="P63" s="37" t="n">
        <v>233327.46</v>
      </c>
      <c r="Q63" s="18" t="n">
        <v>61963.54</v>
      </c>
      <c r="R63" s="18" t="n">
        <v>59393.68</v>
      </c>
      <c r="S63" s="18" t="n">
        <v>58989.39</v>
      </c>
      <c r="T63" s="18" t="n">
        <v>65880.78</v>
      </c>
      <c r="U63" s="37" t="n">
        <v>246227.39</v>
      </c>
      <c r="V63" s="18" t="n">
        <v>63266.78</v>
      </c>
      <c r="W63" s="18" t="n">
        <v>62226.27</v>
      </c>
      <c r="X63" s="18" t="n">
        <v>59234.58</v>
      </c>
      <c r="Y63" s="18" t="n">
        <v>59046.8</v>
      </c>
      <c r="Z63" s="37" t="n">
        <v>243774.43</v>
      </c>
      <c r="AA63" s="18" t="n">
        <v>58175.62</v>
      </c>
      <c r="AB63" s="19" t="n">
        <v>55919.64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1590.06</v>
      </c>
      <c r="F64" s="9" t="n"/>
      <c r="G64" s="18" t="n">
        <v>3074.11</v>
      </c>
      <c r="H64" s="18" t="n">
        <v>-300.1</v>
      </c>
      <c r="I64" s="18" t="n">
        <v>379.31</v>
      </c>
      <c r="J64" s="18" t="n">
        <v>-30460.45</v>
      </c>
      <c r="K64" s="37" t="n">
        <v>-27307.13</v>
      </c>
      <c r="L64" s="18" t="n">
        <v>-6944.82</v>
      </c>
      <c r="M64" s="18" t="n">
        <v>3316.7</v>
      </c>
      <c r="N64" s="18" t="n">
        <v>1818.52</v>
      </c>
      <c r="O64" s="18" t="n">
        <v>-18801.59</v>
      </c>
      <c r="P64" s="37" t="n">
        <v>-20611.19</v>
      </c>
      <c r="Q64" s="18" t="n">
        <v>6920.98</v>
      </c>
      <c r="R64" s="18" t="n">
        <v>7310.81</v>
      </c>
      <c r="S64" s="18" t="n">
        <v>9572.219999999999</v>
      </c>
      <c r="T64" s="18" t="n">
        <v>-925.8</v>
      </c>
      <c r="U64" s="37" t="n">
        <v>22878.21</v>
      </c>
      <c r="V64" s="18" t="n">
        <v>9026.870000000001</v>
      </c>
      <c r="W64" s="18" t="n">
        <v>4844.57</v>
      </c>
      <c r="X64" s="18" t="n">
        <v>3431.39</v>
      </c>
      <c r="Y64" s="18" t="n">
        <v>-2735.86</v>
      </c>
      <c r="Z64" s="37" t="n">
        <v>14566.97</v>
      </c>
      <c r="AA64" s="18" t="n">
        <v>703.41</v>
      </c>
      <c r="AB64" s="19" t="n">
        <v>5409.22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163.76</v>
      </c>
      <c r="F65" s="9" t="n"/>
      <c r="G65" s="18" t="n">
        <v>190.96</v>
      </c>
      <c r="H65" s="18" t="n">
        <v>142.31</v>
      </c>
      <c r="I65" s="18" t="n">
        <v>125.85</v>
      </c>
      <c r="J65" s="18" t="n">
        <v>40.66</v>
      </c>
      <c r="K65" s="37" t="n">
        <v>499.78</v>
      </c>
      <c r="L65" s="18" t="n">
        <v>144.09</v>
      </c>
      <c r="M65" s="18" t="n">
        <v>132.57</v>
      </c>
      <c r="N65" s="18" t="n">
        <v>198.91</v>
      </c>
      <c r="O65" s="18" t="n">
        <v>348.71</v>
      </c>
      <c r="P65" s="37" t="n">
        <v>824.28</v>
      </c>
      <c r="Q65" s="18" t="n">
        <v>234.05</v>
      </c>
      <c r="R65" s="18" t="n">
        <v>307.49</v>
      </c>
      <c r="S65" s="18" t="n">
        <v>148.11</v>
      </c>
      <c r="T65" s="18" t="n">
        <v>218.72</v>
      </c>
      <c r="U65" s="37" t="n">
        <v>908.37</v>
      </c>
      <c r="V65" s="18" t="n">
        <v>169.75</v>
      </c>
      <c r="W65" s="18" t="n">
        <v>357.8</v>
      </c>
      <c r="X65" s="18" t="n">
        <v>146.57</v>
      </c>
      <c r="Y65" s="18" t="n">
        <v>301.33</v>
      </c>
      <c r="Z65" s="37" t="n">
        <v>975.45</v>
      </c>
      <c r="AA65" s="18" t="n">
        <v>407.95</v>
      </c>
      <c r="AB65" s="19" t="n">
        <v>430.74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1006.78</v>
      </c>
      <c r="F66" s="9" t="n"/>
      <c r="G66" s="18" t="n">
        <v>427.88</v>
      </c>
      <c r="H66" s="18" t="n">
        <v>169.41</v>
      </c>
      <c r="I66" s="18" t="n">
        <v>131.81</v>
      </c>
      <c r="J66" s="18" t="n">
        <v>30963.2</v>
      </c>
      <c r="K66" s="37" t="n">
        <v>31692.3</v>
      </c>
      <c r="L66" s="18" t="n">
        <v>495.51</v>
      </c>
      <c r="M66" s="18" t="n">
        <v>82.68000000000001</v>
      </c>
      <c r="N66" s="18" t="n">
        <v>-10.19</v>
      </c>
      <c r="O66" s="18" t="n">
        <v>14644.83</v>
      </c>
      <c r="P66" s="37" t="n">
        <v>15212.83</v>
      </c>
      <c r="Q66" s="18" t="n">
        <v>65.34999999999999</v>
      </c>
      <c r="R66" s="18" t="n">
        <v>38.52</v>
      </c>
      <c r="S66" s="18" t="n">
        <v>70.34</v>
      </c>
      <c r="T66" s="18" t="n">
        <v>185.95</v>
      </c>
      <c r="U66" s="37" t="n">
        <v>360.16</v>
      </c>
      <c r="V66" s="18" t="n">
        <v>36.02</v>
      </c>
      <c r="W66" s="18" t="n">
        <v>461.49</v>
      </c>
      <c r="X66" s="18" t="n">
        <v>56.82</v>
      </c>
      <c r="Y66" s="18" t="n">
        <v>1511.4</v>
      </c>
      <c r="Z66" s="37" t="n">
        <v>2065.73</v>
      </c>
      <c r="AA66" s="18" t="n">
        <v>65.14</v>
      </c>
      <c r="AB66" s="19" t="n">
        <v>842.15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372.94</v>
      </c>
      <c r="F67" s="9" t="n"/>
      <c r="G67" s="18" t="n">
        <v>1417.74</v>
      </c>
      <c r="H67" s="18" t="n">
        <v>2586.78</v>
      </c>
      <c r="I67" s="18" t="n">
        <v>5985.09</v>
      </c>
      <c r="J67" s="18" t="n">
        <v>-1606.13</v>
      </c>
      <c r="K67" s="37" t="n">
        <v>8383.48</v>
      </c>
      <c r="L67" s="18" t="n">
        <v>2028.79</v>
      </c>
      <c r="M67" s="18" t="n">
        <v>1748.54</v>
      </c>
      <c r="N67" s="18" t="n">
        <v>1507.7</v>
      </c>
      <c r="O67" s="18" t="n">
        <v>-715.46</v>
      </c>
      <c r="P67" s="37" t="n">
        <v>4569.57</v>
      </c>
      <c r="Q67" s="18" t="n">
        <v>2334.76</v>
      </c>
      <c r="R67" s="18" t="n">
        <v>2026.5</v>
      </c>
      <c r="S67" s="18" t="n">
        <v>-1452.22</v>
      </c>
      <c r="T67" s="18" t="n">
        <v>4082.62</v>
      </c>
      <c r="U67" s="37" t="n">
        <v>6991.66</v>
      </c>
      <c r="V67" s="18" t="n">
        <v>811.51</v>
      </c>
      <c r="W67" s="18" t="n">
        <v>1068.07</v>
      </c>
      <c r="X67" s="18" t="n">
        <v>515.34</v>
      </c>
      <c r="Y67" s="18" t="n">
        <v>1485.08</v>
      </c>
      <c r="Z67" s="37" t="n">
        <v>3880</v>
      </c>
      <c r="AA67" s="18" t="n">
        <v>2554.74</v>
      </c>
      <c r="AB67" s="19" t="n">
        <v>1961.07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673.95</v>
      </c>
      <c r="F68" s="9" t="n"/>
      <c r="G68" s="18" t="n">
        <v>1320.74</v>
      </c>
      <c r="H68" s="18" t="n">
        <v>2958.15</v>
      </c>
      <c r="I68" s="18" t="n">
        <v>5014.13</v>
      </c>
      <c r="J68" s="18" t="n">
        <v>5346.75</v>
      </c>
      <c r="K68" s="37" t="n">
        <v>14639.77</v>
      </c>
      <c r="L68" s="18" t="n">
        <v>2341.2</v>
      </c>
      <c r="M68" s="18" t="n">
        <v>2827.72</v>
      </c>
      <c r="N68" s="18" t="n">
        <v>2895.33</v>
      </c>
      <c r="O68" s="18" t="n">
        <v>2812.48</v>
      </c>
      <c r="P68" s="37" t="n">
        <v>10876.73</v>
      </c>
      <c r="Q68" s="18" t="n">
        <v>2929.42</v>
      </c>
      <c r="R68" s="18" t="n">
        <v>3001.86</v>
      </c>
      <c r="S68" s="18" t="n">
        <v>2486.87</v>
      </c>
      <c r="T68" s="18" t="n">
        <v>2999.97</v>
      </c>
      <c r="U68" s="37" t="n">
        <v>11418.12</v>
      </c>
      <c r="V68" s="18" t="n">
        <v>2376.14</v>
      </c>
      <c r="W68" s="18" t="n">
        <v>5198.4</v>
      </c>
      <c r="X68" s="18" t="n">
        <v>352.36</v>
      </c>
      <c r="Y68" s="18" t="n">
        <v>1411.49</v>
      </c>
      <c r="Z68" s="37" t="n">
        <v>9338.389999999999</v>
      </c>
      <c r="AA68" s="18" t="n">
        <v>1692.75</v>
      </c>
      <c r="AB68" s="19" t="n">
        <v>2283.44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446.03</v>
      </c>
      <c r="F69" s="9" t="n"/>
      <c r="G69" s="18" t="n">
        <v>2934.19</v>
      </c>
      <c r="H69" s="18" t="n">
        <v>-698.58</v>
      </c>
      <c r="I69" s="18" t="n">
        <v>1344.31</v>
      </c>
      <c r="J69" s="18" t="n">
        <v>-68335.89</v>
      </c>
      <c r="K69" s="37" t="n">
        <v>-64755.97</v>
      </c>
      <c r="L69" s="18" t="n">
        <v>-7608.65</v>
      </c>
      <c r="M69" s="18" t="n">
        <v>2287.4</v>
      </c>
      <c r="N69" s="18" t="n">
        <v>640</v>
      </c>
      <c r="O69" s="18" t="n">
        <v>-36625.66</v>
      </c>
      <c r="P69" s="37" t="n">
        <v>-41306.91</v>
      </c>
      <c r="Q69" s="18" t="n">
        <v>6495.02</v>
      </c>
      <c r="R69" s="18" t="n">
        <v>6604.43</v>
      </c>
      <c r="S69" s="18" t="n">
        <v>5710.9</v>
      </c>
      <c r="T69" s="18" t="n">
        <v>189.63</v>
      </c>
      <c r="U69" s="37" t="n">
        <v>18999.98</v>
      </c>
      <c r="V69" s="18" t="n">
        <v>7595.97</v>
      </c>
      <c r="W69" s="18" t="n">
        <v>610.55</v>
      </c>
      <c r="X69" s="18" t="n">
        <v>3684.11</v>
      </c>
      <c r="Y69" s="18" t="n">
        <v>-3872.34</v>
      </c>
      <c r="Z69" s="37" t="n">
        <v>8018.29</v>
      </c>
      <c r="AA69" s="18" t="n">
        <v>1908.22</v>
      </c>
      <c r="AB69" s="19" t="n">
        <v>4675.44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-674.36</v>
      </c>
      <c r="F70" s="9" t="n"/>
      <c r="G70" s="18" t="n">
        <v>623.15</v>
      </c>
      <c r="H70" s="18" t="n">
        <v>-121.84</v>
      </c>
      <c r="I70" s="18" t="n">
        <v>263.66</v>
      </c>
      <c r="J70" s="18" t="n">
        <v>-15984.39</v>
      </c>
      <c r="K70" s="37" t="n">
        <v>-15219.42</v>
      </c>
      <c r="L70" s="18" t="n">
        <v>-1492.67</v>
      </c>
      <c r="M70" s="18" t="n">
        <v>417.72</v>
      </c>
      <c r="N70" s="18" t="n">
        <v>192.12</v>
      </c>
      <c r="O70" s="18" t="n">
        <v>-5709.11</v>
      </c>
      <c r="P70" s="37" t="n">
        <v>-6591.94</v>
      </c>
      <c r="Q70" s="18" t="n">
        <v>1635.95</v>
      </c>
      <c r="R70" s="18" t="n">
        <v>1708.78</v>
      </c>
      <c r="S70" s="18" t="n">
        <v>1619.15</v>
      </c>
      <c r="T70" s="18" t="n">
        <v>503.35</v>
      </c>
      <c r="U70" s="37" t="n">
        <v>5467.23</v>
      </c>
      <c r="V70" s="18" t="n">
        <v>1456.61</v>
      </c>
      <c r="W70" s="18" t="n">
        <v>196.47</v>
      </c>
      <c r="X70" s="18" t="n">
        <v>755.37</v>
      </c>
      <c r="Y70" s="18" t="n">
        <v>-1153.48</v>
      </c>
      <c r="Z70" s="37" t="n">
        <v>1254.97</v>
      </c>
      <c r="AA70" s="18" t="n">
        <v>359.01</v>
      </c>
      <c r="AB70" s="19" t="n">
        <v>946.63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1120.38</v>
      </c>
      <c r="F71" s="9" t="n"/>
      <c r="G71" s="18" t="n">
        <v>2311.04</v>
      </c>
      <c r="H71" s="18" t="n">
        <v>-576.74</v>
      </c>
      <c r="I71" s="18" t="n">
        <v>1080.65</v>
      </c>
      <c r="J71" s="18" t="n">
        <v>-52351.5</v>
      </c>
      <c r="K71" s="37" t="n">
        <v>-49536.55</v>
      </c>
      <c r="L71" s="18" t="n">
        <v>-6115.98</v>
      </c>
      <c r="M71" s="18" t="n">
        <v>1869.68</v>
      </c>
      <c r="N71" s="18" t="n">
        <v>447.88</v>
      </c>
      <c r="O71" s="18" t="n">
        <v>-30916.53</v>
      </c>
      <c r="P71" s="37" t="n">
        <v>-34714.95</v>
      </c>
      <c r="Q71" s="18" t="n">
        <v>4859.07</v>
      </c>
      <c r="R71" s="18" t="n">
        <v>4895.64</v>
      </c>
      <c r="S71" s="18" t="n">
        <v>4091.75</v>
      </c>
      <c r="T71" s="18" t="n">
        <v>-313.72</v>
      </c>
      <c r="U71" s="37" t="n">
        <v>13532.74</v>
      </c>
      <c r="V71" s="18" t="n">
        <v>6139.36</v>
      </c>
      <c r="W71" s="18" t="n">
        <v>414.08</v>
      </c>
      <c r="X71" s="18" t="n">
        <v>2928.75</v>
      </c>
      <c r="Y71" s="18" t="n">
        <v>-2718.86</v>
      </c>
      <c r="Z71" s="37" t="n">
        <v>6763.33</v>
      </c>
      <c r="AA71" s="18" t="n">
        <v>1549.2</v>
      </c>
      <c r="AB71" s="19" t="n">
        <v>3728.81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-419.33</v>
      </c>
      <c r="F72" s="9" t="n"/>
      <c r="G72" s="18" t="n">
        <v>2210.28</v>
      </c>
      <c r="H72" s="18" t="n">
        <v>-719.38</v>
      </c>
      <c r="I72" s="18" t="n">
        <v>984.73</v>
      </c>
      <c r="J72" s="18" t="n">
        <v>-49992.98</v>
      </c>
      <c r="K72" s="37" t="n">
        <v>-47517.35</v>
      </c>
      <c r="L72" s="18" t="n">
        <v>-6219.46</v>
      </c>
      <c r="M72" s="18" t="n">
        <v>1791.15</v>
      </c>
      <c r="N72" s="18" t="n">
        <v>420.33</v>
      </c>
      <c r="O72" s="18" t="n">
        <v>-32215.01</v>
      </c>
      <c r="P72" s="37" t="n">
        <v>-36222.99</v>
      </c>
      <c r="Q72" s="18" t="n">
        <v>4873.68</v>
      </c>
      <c r="R72" s="18" t="n">
        <v>4774.79</v>
      </c>
      <c r="S72" s="18" t="n">
        <v>4079.57</v>
      </c>
      <c r="T72" s="18" t="n">
        <v>-6199.75</v>
      </c>
      <c r="U72" s="37" t="n">
        <v>7528.29</v>
      </c>
      <c r="V72" s="18" t="n">
        <v>6097.12</v>
      </c>
      <c r="W72" s="18" t="n">
        <v>387.91</v>
      </c>
      <c r="X72" s="18" t="n">
        <v>2912.86</v>
      </c>
      <c r="Y72" s="18" t="n">
        <v>-893.86</v>
      </c>
      <c r="Z72" s="37" t="n">
        <v>8504.030000000001</v>
      </c>
      <c r="AA72" s="18" t="n">
        <v>1123.89</v>
      </c>
      <c r="AB72" s="19" t="n">
        <v>3475.99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-301.01</v>
      </c>
      <c r="F73" s="9" t="n"/>
      <c r="G73" s="18" t="n">
        <v>97</v>
      </c>
      <c r="H73" s="18" t="n">
        <v>-371.37</v>
      </c>
      <c r="I73" s="18" t="n">
        <v>970.96</v>
      </c>
      <c r="J73" s="18" t="n">
        <v>-6952.88</v>
      </c>
      <c r="K73" s="37" t="n">
        <v>-6256.29</v>
      </c>
      <c r="L73" s="18" t="n">
        <v>-312.41</v>
      </c>
      <c r="M73" s="18" t="n">
        <v>-1079.18</v>
      </c>
      <c r="N73" s="18" t="n">
        <v>-1387.63</v>
      </c>
      <c r="O73" s="18" t="n">
        <v>-3527.94</v>
      </c>
      <c r="P73" s="37" t="n">
        <v>-6307.16</v>
      </c>
      <c r="Q73" s="18" t="n">
        <v>-594.66</v>
      </c>
      <c r="R73" s="18" t="n">
        <v>-975.36</v>
      </c>
      <c r="S73" s="18" t="n">
        <v>-3939.09</v>
      </c>
      <c r="T73" s="18" t="n">
        <v>1082.65</v>
      </c>
      <c r="U73" s="37" t="n">
        <v>-4426.46</v>
      </c>
      <c r="V73" s="18" t="n">
        <v>-1564.63</v>
      </c>
      <c r="W73" s="18" t="n">
        <v>-4130.33</v>
      </c>
      <c r="X73" s="18" t="n">
        <v>162.98</v>
      </c>
      <c r="Y73" s="18" t="n">
        <v>73.59</v>
      </c>
      <c r="Z73" s="37" t="n">
        <v>-5458.39</v>
      </c>
      <c r="AA73" s="18" t="n">
        <v>861.99</v>
      </c>
      <c r="AB73" s="19" t="n">
        <v>-322.37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-843.02</v>
      </c>
      <c r="F74" s="9" t="n"/>
      <c r="G74" s="18" t="n">
        <v>-236.92</v>
      </c>
      <c r="H74" s="18" t="n">
        <v>-27.1</v>
      </c>
      <c r="I74" s="18" t="n">
        <v>-5.96</v>
      </c>
      <c r="J74" s="18" t="n">
        <v>-30922.54</v>
      </c>
      <c r="K74" s="37" t="n">
        <v>-31192.52</v>
      </c>
      <c r="L74" s="18" t="n">
        <v>-351.42</v>
      </c>
      <c r="M74" s="18" t="n">
        <v>49.89</v>
      </c>
      <c r="N74" s="18" t="n">
        <v>209.1</v>
      </c>
      <c r="O74" s="18" t="n">
        <v>-14296.12</v>
      </c>
      <c r="P74" s="37" t="n">
        <v>-14388.55</v>
      </c>
      <c r="Q74" s="18" t="n">
        <v>168.7</v>
      </c>
      <c r="R74" s="18" t="n">
        <v>268.97</v>
      </c>
      <c r="S74" s="18" t="n">
        <v>77.77</v>
      </c>
      <c r="T74" s="18" t="n">
        <v>32.77</v>
      </c>
      <c r="U74" s="37" t="n">
        <v>548.21</v>
      </c>
      <c r="V74" s="18" t="n">
        <v>133.73</v>
      </c>
      <c r="W74" s="18" t="n">
        <v>-103.69</v>
      </c>
      <c r="X74" s="18" t="n">
        <v>89.75</v>
      </c>
      <c r="Y74" s="18" t="n">
        <v>-1210.07</v>
      </c>
      <c r="Z74" s="37" t="n">
        <v>-1090.28</v>
      </c>
      <c r="AA74" s="18" t="n">
        <v>342.81</v>
      </c>
      <c r="AB74" s="19" t="n">
        <v>-411.41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1120.38</v>
      </c>
      <c r="F75" s="9" t="n"/>
      <c r="G75" s="18" t="n">
        <v>2311.04</v>
      </c>
      <c r="H75" s="18" t="n">
        <v>-576.74</v>
      </c>
      <c r="I75" s="18" t="n">
        <v>1080.65</v>
      </c>
      <c r="J75" s="18" t="n">
        <v>-52351.5</v>
      </c>
      <c r="K75" s="37" t="n">
        <v>-49536.55</v>
      </c>
      <c r="L75" s="18" t="n">
        <v>-6115.98</v>
      </c>
      <c r="M75" s="18" t="n">
        <v>1869.68</v>
      </c>
      <c r="N75" s="18" t="n">
        <v>447.88</v>
      </c>
      <c r="O75" s="18" t="n">
        <v>-30916.53</v>
      </c>
      <c r="P75" s="37" t="n">
        <v>-34714.95</v>
      </c>
      <c r="Q75" s="18" t="n">
        <v>4859.07</v>
      </c>
      <c r="R75" s="18" t="n">
        <v>4895.64</v>
      </c>
      <c r="S75" s="18" t="n">
        <v>4091.75</v>
      </c>
      <c r="T75" s="18" t="n">
        <v>-313.72</v>
      </c>
      <c r="U75" s="37" t="n">
        <v>13532.74</v>
      </c>
      <c r="V75" s="18" t="n">
        <v>6139.36</v>
      </c>
      <c r="W75" s="18" t="n">
        <v>414.08</v>
      </c>
      <c r="X75" s="18" t="n">
        <v>2928.75</v>
      </c>
      <c r="Y75" s="18" t="n">
        <v>-2718.86</v>
      </c>
      <c r="Z75" s="37" t="n">
        <v>6763.33</v>
      </c>
      <c r="AA75" s="18" t="n">
        <v>1549.2</v>
      </c>
      <c r="AB75" s="19" t="n">
        <v>3728.81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1120.38</v>
      </c>
      <c r="F76" s="9" t="n"/>
      <c r="G76" s="18" t="n">
        <v>2311.04</v>
      </c>
      <c r="H76" s="18" t="n">
        <v>-576.74</v>
      </c>
      <c r="I76" s="18" t="n">
        <v>1080.65</v>
      </c>
      <c r="J76" s="18" t="n">
        <v>-52351.5</v>
      </c>
      <c r="K76" s="37" t="n">
        <v>-49536.55</v>
      </c>
      <c r="L76" s="18" t="n">
        <v>-6115.98</v>
      </c>
      <c r="M76" s="18" t="n">
        <v>1869.68</v>
      </c>
      <c r="N76" s="18" t="n">
        <v>447.88</v>
      </c>
      <c r="O76" s="18" t="n">
        <v>-30916.53</v>
      </c>
      <c r="P76" s="37" t="n">
        <v>-34714.95</v>
      </c>
      <c r="Q76" s="18" t="n">
        <v>4859.07</v>
      </c>
      <c r="R76" s="18" t="n">
        <v>4895.64</v>
      </c>
      <c r="S76" s="18" t="n">
        <v>4091.75</v>
      </c>
      <c r="T76" s="18" t="n">
        <v>-313.72</v>
      </c>
      <c r="U76" s="37" t="n">
        <v>13532.74</v>
      </c>
      <c r="V76" s="18" t="n">
        <v>6139.36</v>
      </c>
      <c r="W76" s="18" t="n">
        <v>414.08</v>
      </c>
      <c r="X76" s="18" t="n">
        <v>2928.75</v>
      </c>
      <c r="Y76" s="18" t="n">
        <v>-2718.86</v>
      </c>
      <c r="Z76" s="37" t="n">
        <v>6763.33</v>
      </c>
      <c r="AA76" s="18" t="n">
        <v>1549.2</v>
      </c>
      <c r="AB76" s="19" t="n">
        <v>3728.81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-3372.65</v>
      </c>
      <c r="F77" s="9" t="n"/>
      <c r="G77" s="18" t="n">
        <v>18843.9</v>
      </c>
      <c r="H77" s="18" t="n">
        <v>1301.7</v>
      </c>
      <c r="I77" s="18" t="n">
        <v>-15033.63</v>
      </c>
      <c r="J77" s="18" t="n">
        <v>-45702.08</v>
      </c>
      <c r="K77" s="37" t="n">
        <v>-40590.11</v>
      </c>
      <c r="L77" s="18" t="n">
        <v>14156.51</v>
      </c>
      <c r="M77" s="18" t="n">
        <v>-3602.16</v>
      </c>
      <c r="N77" s="18" t="n">
        <v>-51872.59</v>
      </c>
      <c r="O77" s="18" t="n">
        <v>44337.91</v>
      </c>
      <c r="P77" s="37" t="n">
        <v>3019.67</v>
      </c>
      <c r="Q77" s="18" t="n">
        <v>-26680.23</v>
      </c>
      <c r="R77" s="18" t="n">
        <v>27088.84</v>
      </c>
      <c r="S77" s="18" t="n">
        <v>46973.31</v>
      </c>
      <c r="T77" s="18" t="n">
        <v>-10056.78</v>
      </c>
      <c r="U77" s="37" t="n">
        <v>37325.14</v>
      </c>
      <c r="V77" s="18" t="n">
        <v>-9748.32</v>
      </c>
      <c r="W77" s="18" t="n">
        <v>35293.64</v>
      </c>
      <c r="X77" s="18" t="n">
        <v>-2328.87</v>
      </c>
      <c r="Y77" s="18" t="n">
        <v>12472.11</v>
      </c>
      <c r="Z77" s="37" t="n">
        <v>35688.56</v>
      </c>
      <c r="AA77" s="18" t="n">
        <v>11648.79</v>
      </c>
      <c r="AB77" s="19" t="n">
        <v>49428.74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29.01</v>
      </c>
      <c r="F78" s="9" t="n"/>
      <c r="G78" s="18" t="n">
        <v>30.51</v>
      </c>
      <c r="H78" s="18" t="n">
        <v>55.88</v>
      </c>
      <c r="I78" s="18" t="n">
        <v>23.72</v>
      </c>
      <c r="J78" s="18" t="n">
        <v>48.39</v>
      </c>
      <c r="K78" s="37" t="n">
        <v>158.5</v>
      </c>
      <c r="L78" s="18" t="n">
        <v>28.3</v>
      </c>
      <c r="M78" s="18" t="n">
        <v>71.37</v>
      </c>
      <c r="N78" s="18" t="n">
        <v>26.32</v>
      </c>
      <c r="O78" s="18" t="n">
        <v>30.74</v>
      </c>
      <c r="P78" s="37" t="n">
        <v>156.73</v>
      </c>
      <c r="Q78" s="18" t="n">
        <v>51.3</v>
      </c>
      <c r="R78" s="18" t="n">
        <v>140.86</v>
      </c>
      <c r="S78" s="18" t="n">
        <v>59.81</v>
      </c>
      <c r="U78" s="9" t="n"/>
      <c r="V78" s="18" t="n">
        <v>66.65000000000001</v>
      </c>
      <c r="W78" s="18" t="n">
        <v>149.79</v>
      </c>
      <c r="X78" s="18" t="n">
        <v>65.7</v>
      </c>
      <c r="Y78" s="18" t="n">
        <v>57.4</v>
      </c>
      <c r="Z78" s="37" t="n">
        <v>339.54</v>
      </c>
      <c r="AA78" s="18" t="n">
        <v>86.22</v>
      </c>
      <c r="AB78" s="19" t="n">
        <v>356.62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-352.76</v>
      </c>
      <c r="F79" s="9" t="n"/>
      <c r="G79" s="18" t="n">
        <v>-456.95</v>
      </c>
      <c r="H79" s="18" t="n">
        <v>-523.91</v>
      </c>
      <c r="I79" s="18" t="n">
        <v>-578.76</v>
      </c>
      <c r="J79" s="18" t="n">
        <v>-998.48</v>
      </c>
      <c r="K79" s="37" t="n">
        <v>-2558.1</v>
      </c>
      <c r="L79" s="18" t="n">
        <v>-1394.13</v>
      </c>
      <c r="M79" s="18" t="n">
        <v>-1575.43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-1.35</v>
      </c>
      <c r="F80" s="9" t="n"/>
      <c r="G80" s="18" t="n">
        <v>-233.91</v>
      </c>
      <c r="H80" s="18" t="n">
        <v>-374.06</v>
      </c>
      <c r="I80" s="18" t="n">
        <v>-1813.45</v>
      </c>
      <c r="J80" s="18" t="n">
        <v>-1.32</v>
      </c>
      <c r="K80" s="37" t="n">
        <v>-2422.74</v>
      </c>
      <c r="L80" s="18" t="n">
        <v>-68.5</v>
      </c>
      <c r="M80" s="18" t="n">
        <v>1946.9</v>
      </c>
      <c r="N80" s="18" t="n">
        <v>-1.29</v>
      </c>
      <c r="O80" s="18" t="n">
        <v>-1.38</v>
      </c>
      <c r="P80" s="37" t="n">
        <v>1875.73</v>
      </c>
      <c r="Q80" s="18" t="n">
        <v>-136.41</v>
      </c>
      <c r="R80" s="18" t="n">
        <v>-5.32</v>
      </c>
      <c r="S80" s="18" t="n">
        <v>-75.5</v>
      </c>
      <c r="U80" s="9" t="n"/>
      <c r="V80" s="18" t="n">
        <v>-6.08</v>
      </c>
      <c r="W80" s="18" t="n">
        <v>123.97</v>
      </c>
      <c r="X80" s="18" t="n">
        <v>-172.37</v>
      </c>
      <c r="Y80" s="18" t="n">
        <v>-4.73</v>
      </c>
      <c r="Z80" s="37" t="n">
        <v>-59.21</v>
      </c>
      <c r="AA80" s="18" t="n">
        <v>159.29</v>
      </c>
      <c r="AB80" s="19" t="n">
        <v>-55.95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-4191.29</v>
      </c>
      <c r="F81" s="9" t="n"/>
      <c r="G81" s="18" t="n">
        <v>-4559.24</v>
      </c>
      <c r="H81" s="18" t="n">
        <v>-5892.2</v>
      </c>
      <c r="I81" s="18" t="n">
        <v>-2641.5</v>
      </c>
      <c r="J81" s="18" t="n">
        <v>-2795.74</v>
      </c>
      <c r="K81" s="37" t="n">
        <v>-15888.68</v>
      </c>
      <c r="L81" s="18" t="n">
        <v>-4838.45</v>
      </c>
      <c r="M81" s="18" t="n">
        <v>-2093.55</v>
      </c>
      <c r="N81" s="18" t="n">
        <v>-1889.31</v>
      </c>
      <c r="O81" s="18" t="n">
        <v>-3094.89</v>
      </c>
      <c r="P81" s="37" t="n">
        <v>-11916.2</v>
      </c>
      <c r="Q81" s="18" t="n">
        <v>2533.14</v>
      </c>
      <c r="R81" s="18" t="n">
        <v>-1550.43</v>
      </c>
      <c r="S81" s="18" t="n">
        <v>-973.8200000000001</v>
      </c>
      <c r="T81" s="18" t="n">
        <v>-2393.78</v>
      </c>
      <c r="U81" s="37" t="n">
        <v>-2384.89</v>
      </c>
      <c r="V81" s="18" t="n">
        <v>-2810.39</v>
      </c>
      <c r="W81" s="18" t="n">
        <v>-3262.96</v>
      </c>
      <c r="X81" s="18" t="n">
        <v>-3245.35</v>
      </c>
      <c r="Y81" s="18" t="n">
        <v>-1999.78</v>
      </c>
      <c r="Z81" s="37" t="n">
        <v>-11318.48</v>
      </c>
      <c r="AA81" s="18" t="n">
        <v>-21660.54</v>
      </c>
      <c r="AB81" s="19" t="n">
        <v>163.26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39.71</v>
      </c>
      <c r="F82" s="9" t="n"/>
      <c r="G82" s="18" t="n">
        <v>27.51</v>
      </c>
      <c r="H82" s="18" t="n">
        <v>22.7</v>
      </c>
      <c r="I82" s="18" t="n">
        <v>6.18</v>
      </c>
      <c r="J82" s="18" t="n">
        <v>58.1</v>
      </c>
      <c r="K82" s="37" t="n">
        <v>114.49</v>
      </c>
      <c r="L82" s="18" t="n">
        <v>35.85</v>
      </c>
      <c r="M82" s="18" t="n">
        <v>11.21</v>
      </c>
      <c r="N82" s="18" t="n">
        <v>2.36</v>
      </c>
      <c r="O82" s="18" t="n">
        <v>38.13</v>
      </c>
      <c r="P82" s="37" t="n">
        <v>87.55</v>
      </c>
      <c r="S82" s="18" t="n">
        <v>54.18</v>
      </c>
      <c r="U82" s="9" t="n"/>
      <c r="V82" s="18" t="n">
        <v>15.29</v>
      </c>
      <c r="W82" s="18" t="n">
        <v>585.7</v>
      </c>
      <c r="X82" s="18" t="n">
        <v>12.38</v>
      </c>
      <c r="Y82" s="18" t="n">
        <v>43.31</v>
      </c>
      <c r="Z82" s="37" t="n">
        <v>656.6799999999999</v>
      </c>
      <c r="AA82" s="18" t="n">
        <v>1.27</v>
      </c>
      <c r="AB82" s="19" t="n">
        <v>1.64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5473.63</v>
      </c>
      <c r="F83" s="9" t="n"/>
      <c r="G83" s="18" t="n">
        <v>5364.32</v>
      </c>
      <c r="H83" s="18" t="n">
        <v>5374.86</v>
      </c>
      <c r="I83" s="18" t="n">
        <v>3284.53</v>
      </c>
      <c r="J83" s="18" t="n">
        <v>3976.98</v>
      </c>
      <c r="K83" s="37" t="n">
        <v>18000.69</v>
      </c>
      <c r="L83" s="18" t="n">
        <v>4705.3</v>
      </c>
      <c r="M83" s="18" t="n">
        <v>1720.04</v>
      </c>
      <c r="N83" s="18" t="n">
        <v>3188.85</v>
      </c>
      <c r="O83" s="18" t="n">
        <v>1771.62</v>
      </c>
      <c r="P83" s="37" t="n">
        <v>11385.81</v>
      </c>
      <c r="Q83" s="18" t="n">
        <v>563.91</v>
      </c>
      <c r="R83" s="18" t="n">
        <v>1290.12</v>
      </c>
      <c r="S83" s="18" t="n">
        <v>1072.57</v>
      </c>
      <c r="U83" s="9" t="n"/>
      <c r="V83" s="18" t="n">
        <v>2857.41</v>
      </c>
      <c r="W83" s="18" t="n">
        <v>4078.13</v>
      </c>
      <c r="X83" s="18" t="n">
        <v>4203.55</v>
      </c>
      <c r="Y83" s="18" t="n">
        <v>3144.04</v>
      </c>
      <c r="Z83" s="37" t="n">
        <v>14283.13</v>
      </c>
      <c r="AA83" s="18" t="n">
        <v>1755.02</v>
      </c>
      <c r="AB83" s="19" t="n">
        <v>1353.42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5473.63</v>
      </c>
      <c r="F84" s="9" t="n"/>
      <c r="G84" s="18" t="n">
        <v>5364.32</v>
      </c>
      <c r="H84" s="18" t="n">
        <v>5374.86</v>
      </c>
      <c r="I84" s="18" t="n">
        <v>3284.53</v>
      </c>
      <c r="J84" s="18" t="n">
        <v>3976.98</v>
      </c>
      <c r="K84" s="37" t="n">
        <v>18000.69</v>
      </c>
      <c r="L84" s="18" t="n">
        <v>4705.3</v>
      </c>
      <c r="M84" s="18" t="n">
        <v>1720.04</v>
      </c>
      <c r="N84" s="18" t="n">
        <v>3188.85</v>
      </c>
      <c r="O84" s="18" t="n">
        <v>2793.62</v>
      </c>
      <c r="P84" s="37" t="n">
        <v>12407.81</v>
      </c>
      <c r="Q84" s="18" t="n">
        <v>563.91</v>
      </c>
      <c r="R84" s="18" t="n">
        <v>1290.12</v>
      </c>
      <c r="S84" s="18" t="n">
        <v>1072.57</v>
      </c>
      <c r="U84" s="9" t="n"/>
      <c r="V84" s="18" t="n">
        <v>2857.41</v>
      </c>
      <c r="W84" s="18" t="n">
        <v>4078.13</v>
      </c>
      <c r="X84" s="18" t="n">
        <v>4203.55</v>
      </c>
      <c r="Y84" s="18" t="n">
        <v>3144.04</v>
      </c>
      <c r="Z84" s="37" t="n">
        <v>14283.13</v>
      </c>
      <c r="AA84" s="18" t="n">
        <v>1755.02</v>
      </c>
      <c r="AB84" s="19" t="n">
        <v>1353.42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9898.73</v>
      </c>
      <c r="F85" s="9" t="n"/>
      <c r="G85" s="18" t="n">
        <v>-16513.2</v>
      </c>
      <c r="H85" s="18" t="n">
        <v>3866.85</v>
      </c>
      <c r="I85" s="18" t="n">
        <v>19460.89</v>
      </c>
      <c r="J85" s="18" t="n">
        <v>52431.3</v>
      </c>
      <c r="K85" s="37" t="n">
        <v>59245.84</v>
      </c>
      <c r="L85" s="18" t="n">
        <v>-5156.86</v>
      </c>
      <c r="M85" s="18" t="n">
        <v>574.76</v>
      </c>
      <c r="N85" s="18" t="n">
        <v>56111.73</v>
      </c>
      <c r="O85" s="18" t="n">
        <v>-35758.91</v>
      </c>
      <c r="P85" s="37" t="n">
        <v>15770.72</v>
      </c>
      <c r="Q85" s="18" t="n">
        <v>11743.05</v>
      </c>
      <c r="R85" s="18" t="n">
        <v>-24356.12</v>
      </c>
      <c r="S85" s="18" t="n">
        <v>625.73</v>
      </c>
      <c r="T85" s="18" t="n">
        <v>-27107.27</v>
      </c>
      <c r="U85" s="37" t="n">
        <v>-39094.61</v>
      </c>
      <c r="V85" s="18" t="n">
        <v>12340.34</v>
      </c>
      <c r="W85" s="18" t="n">
        <v>-21440.39</v>
      </c>
      <c r="X85" s="18" t="n">
        <v>-9366.84</v>
      </c>
      <c r="Y85" s="18" t="n">
        <v>-6943.26</v>
      </c>
      <c r="Z85" s="37" t="n">
        <v>-25410.15</v>
      </c>
      <c r="AA85" s="18" t="n">
        <v>21015.24</v>
      </c>
      <c r="AB85" s="19" t="n">
        <v>-18766.42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62851</v>
      </c>
      <c r="F86" s="9" t="n"/>
      <c r="G86" s="18" t="n">
        <v>17211</v>
      </c>
      <c r="H86" s="18" t="n">
        <v>63436</v>
      </c>
      <c r="I86" s="18" t="n">
        <v>147520.48</v>
      </c>
      <c r="J86" s="18" t="n">
        <v>218252.68</v>
      </c>
      <c r="K86" s="37" t="n">
        <v>446420.16</v>
      </c>
      <c r="L86" s="18" t="n">
        <v>206880.38</v>
      </c>
      <c r="M86" s="18" t="n">
        <v>189247</v>
      </c>
      <c r="N86" s="18" t="n">
        <v>379387.13</v>
      </c>
      <c r="O86" s="18" t="n">
        <v>277533.57</v>
      </c>
      <c r="P86" s="37" t="n">
        <v>1053048.08</v>
      </c>
      <c r="Q86" s="18" t="n">
        <v>371083.14</v>
      </c>
      <c r="R86" s="18" t="n">
        <v>207925.72</v>
      </c>
      <c r="S86" s="18" t="n">
        <v>372295</v>
      </c>
      <c r="T86" s="18" t="n">
        <v>172592</v>
      </c>
      <c r="U86" s="37" t="n">
        <v>1123895.86</v>
      </c>
      <c r="V86" s="18" t="n">
        <v>225527</v>
      </c>
      <c r="W86" s="18" t="n">
        <v>205294</v>
      </c>
      <c r="X86" s="18" t="n">
        <v>185041</v>
      </c>
      <c r="Y86" s="18" t="n">
        <v>156128</v>
      </c>
      <c r="Z86" s="37" t="n">
        <v>771990</v>
      </c>
      <c r="AA86" s="18" t="n">
        <v>105334</v>
      </c>
      <c r="AB86" s="19" t="n">
        <v>43402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49532.2</v>
      </c>
      <c r="F87" s="9" t="n"/>
      <c r="G87" s="18" t="n">
        <v>30314</v>
      </c>
      <c r="H87" s="18" t="n">
        <v>54166</v>
      </c>
      <c r="I87" s="18" t="n">
        <v>124625.48</v>
      </c>
      <c r="J87" s="18" t="n">
        <v>162472.68</v>
      </c>
      <c r="K87" s="37" t="n">
        <v>371578.16</v>
      </c>
      <c r="L87" s="18" t="n">
        <v>208935.38</v>
      </c>
      <c r="M87" s="18" t="n">
        <v>185509</v>
      </c>
      <c r="N87" s="18" t="n">
        <v>319835.13</v>
      </c>
      <c r="O87" s="18" t="n">
        <v>310082.57</v>
      </c>
      <c r="P87" s="37" t="n">
        <v>1024362.08</v>
      </c>
      <c r="Q87" s="18" t="n">
        <v>356160.14</v>
      </c>
      <c r="R87" s="18" t="n">
        <v>249164.72</v>
      </c>
      <c r="S87" s="18" t="n">
        <v>372610</v>
      </c>
      <c r="T87" s="18" t="n">
        <v>202592</v>
      </c>
      <c r="U87" s="37" t="n">
        <v>1180526.86</v>
      </c>
      <c r="V87" s="18" t="n">
        <v>209997</v>
      </c>
      <c r="W87" s="18" t="n">
        <v>220824</v>
      </c>
      <c r="X87" s="18" t="n">
        <v>191361</v>
      </c>
      <c r="Y87" s="18" t="n">
        <v>160208</v>
      </c>
      <c r="Z87" s="37" t="n">
        <v>782390</v>
      </c>
      <c r="AA87" s="18" t="n">
        <v>121466</v>
      </c>
      <c r="AB87" s="19" t="n">
        <v>56870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0</v>
      </c>
      <c r="N88" s="18" t="n">
        <v>0</v>
      </c>
      <c r="P88" s="9" t="n"/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3420.07</v>
      </c>
      <c r="F89" s="9" t="n"/>
      <c r="G89" s="18" t="n">
        <v>3410.2</v>
      </c>
      <c r="H89" s="18" t="n">
        <v>3427.73</v>
      </c>
      <c r="I89" s="18" t="n">
        <v>3413.11</v>
      </c>
      <c r="J89" s="18" t="n">
        <v>3298.7</v>
      </c>
      <c r="K89" s="37" t="n">
        <v>13549.74</v>
      </c>
      <c r="L89" s="18" t="n">
        <v>3158.26</v>
      </c>
      <c r="M89" s="18" t="n">
        <v>3153.24</v>
      </c>
      <c r="N89" s="18" t="n">
        <v>3440.27</v>
      </c>
      <c r="O89" s="18" t="n">
        <v>3210.15</v>
      </c>
      <c r="P89" s="37" t="n">
        <v>12961.92</v>
      </c>
      <c r="Q89" s="18" t="n">
        <v>3159.95</v>
      </c>
      <c r="R89" s="18" t="n">
        <v>3087.12</v>
      </c>
      <c r="S89" s="18" t="n">
        <v>3044.27</v>
      </c>
      <c r="U89" s="9" t="n"/>
      <c r="V89" s="18" t="n">
        <v>3202.66</v>
      </c>
      <c r="W89" s="18" t="n">
        <v>2965.09</v>
      </c>
      <c r="X89" s="18" t="n">
        <v>3003.79</v>
      </c>
      <c r="Y89" s="18" t="n">
        <v>2863.27</v>
      </c>
      <c r="Z89" s="37" t="n">
        <v>12034.81</v>
      </c>
      <c r="AA89" s="18" t="n">
        <v>2782.6</v>
      </c>
      <c r="AB89" s="19" t="n">
        <v>2713.84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2316.36</v>
      </c>
      <c r="F90" s="9" t="n"/>
      <c r="G90" s="18" t="n">
        <v>-2229.94</v>
      </c>
      <c r="H90" s="18" t="n">
        <v>-671.62</v>
      </c>
      <c r="I90" s="18" t="n">
        <v>1746.41</v>
      </c>
      <c r="J90" s="18" t="n">
        <v>3900.09</v>
      </c>
      <c r="K90" s="37" t="n">
        <v>2744.94</v>
      </c>
      <c r="L90" s="18" t="n">
        <v>4164.5</v>
      </c>
      <c r="M90" s="18" t="n">
        <v>-5122.34</v>
      </c>
      <c r="N90" s="18" t="n">
        <v>2352.88</v>
      </c>
      <c r="O90" s="18" t="n">
        <v>5473.05</v>
      </c>
      <c r="P90" s="37" t="n">
        <v>6868.09</v>
      </c>
      <c r="Q90" s="18" t="n">
        <v>-12398.51</v>
      </c>
      <c r="R90" s="18" t="n">
        <v>1181.33</v>
      </c>
      <c r="S90" s="18" t="n">
        <v>46617.85</v>
      </c>
      <c r="T90" s="18" t="n">
        <v>-39545.88</v>
      </c>
      <c r="U90" s="37" t="n">
        <v>-4145.21</v>
      </c>
      <c r="V90" s="18" t="n">
        <v>-198.63</v>
      </c>
      <c r="W90" s="18" t="n">
        <v>10451.26</v>
      </c>
      <c r="X90" s="18" t="n">
        <v>-14826.41</v>
      </c>
      <c r="Y90" s="18" t="n">
        <v>3477.32</v>
      </c>
      <c r="Z90" s="37" t="n">
        <v>-1096.46</v>
      </c>
      <c r="AA90" s="18" t="n">
        <v>11102.59</v>
      </c>
      <c r="AB90" s="19" t="n">
        <v>31759.88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2316.36</v>
      </c>
      <c r="F91" s="9" t="n"/>
      <c r="G91" s="18" t="n">
        <v>6265.28</v>
      </c>
      <c r="H91" s="18" t="n">
        <v>-671.62</v>
      </c>
      <c r="I91" s="18" t="n">
        <v>1746.42</v>
      </c>
      <c r="J91" s="18" t="n">
        <v>3900.08</v>
      </c>
      <c r="K91" s="37" t="n">
        <v>11240.16</v>
      </c>
      <c r="L91" s="18" t="n">
        <v>15404.67</v>
      </c>
      <c r="M91" s="18" t="n">
        <v>-5122.35</v>
      </c>
      <c r="N91" s="18" t="n">
        <v>2352.88</v>
      </c>
      <c r="O91" s="18" t="n">
        <v>5473.05</v>
      </c>
      <c r="P91" s="37" t="n">
        <v>18108.25</v>
      </c>
      <c r="Q91" s="18" t="n">
        <v>5709.74</v>
      </c>
      <c r="R91" s="18" t="n">
        <v>1181.33</v>
      </c>
      <c r="S91" s="18" t="n">
        <v>46617.85</v>
      </c>
      <c r="T91" s="18" t="n">
        <v>-39545.88</v>
      </c>
      <c r="U91" s="37" t="n">
        <v>13963.04</v>
      </c>
      <c r="V91" s="18" t="n">
        <v>13764.41</v>
      </c>
      <c r="W91" s="18" t="n">
        <v>10451.26</v>
      </c>
      <c r="X91" s="18" t="n">
        <v>-14826.41</v>
      </c>
      <c r="Y91" s="18" t="n">
        <v>3477.32</v>
      </c>
      <c r="Z91" s="37" t="n">
        <v>12866.58</v>
      </c>
      <c r="AA91" s="18" t="n">
        <v>23969.17</v>
      </c>
      <c r="AB91" s="19" t="n">
        <v>31759.88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G92" s="18" t="n">
        <v>0</v>
      </c>
      <c r="K92" s="9" t="n"/>
      <c r="L92" s="18" t="n">
        <v>0</v>
      </c>
      <c r="M92" s="18" t="n">
        <v>0</v>
      </c>
      <c r="N92" s="18" t="n">
        <v>0</v>
      </c>
      <c r="P92" s="9" t="n"/>
      <c r="Q92" s="18" t="n">
        <v>0</v>
      </c>
      <c r="R92" s="18" t="n">
        <v>0</v>
      </c>
      <c r="S92" s="18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F93" s="9" t="n"/>
      <c r="K93" s="9" t="n"/>
      <c r="O93" s="18" t="n">
        <v>0</v>
      </c>
      <c r="P93" s="9" t="n"/>
      <c r="Q93" s="18" t="n">
        <v>0</v>
      </c>
      <c r="R93" s="18" t="n">
        <v>21.51</v>
      </c>
      <c r="S93" s="18" t="n">
        <v>0</v>
      </c>
      <c r="U93" s="9" t="n"/>
      <c r="X93" s="18" t="n">
        <v>0</v>
      </c>
      <c r="Y93" s="18" t="n">
        <v>0</v>
      </c>
      <c r="Z93" s="9" t="n"/>
      <c r="AA93" s="18" t="n">
        <v>3.82</v>
      </c>
      <c r="AB93" s="19" t="n">
        <v>49.42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K94" s="9" t="n"/>
      <c r="P94" s="9" t="n"/>
      <c r="S94" s="18" t="n">
        <v>4000</v>
      </c>
      <c r="T94" s="18" t="n">
        <v>6000</v>
      </c>
      <c r="U94" s="9" t="n"/>
      <c r="Z94" s="9" t="n"/>
      <c r="AA94" s="18" t="n">
        <v>40000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 t="n"/>
      <c r="U21" s="37">
        <f>T21</f>
        <v/>
      </c>
      <c r="V21" s="18" t="n"/>
      <c r="W21" s="18" t="n"/>
      <c r="X21" s="18" t="n"/>
      <c r="Y21" s="18" t="n"/>
      <c r="Z21" s="37">
        <f>Y21</f>
        <v/>
      </c>
      <c r="AA21" s="18" t="n"/>
      <c r="AB21" s="19" t="n"/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 t="n"/>
      <c r="U22" s="37">
        <f>T22</f>
        <v/>
      </c>
      <c r="V22" s="18" t="n"/>
      <c r="W22" s="18" t="n"/>
      <c r="X22" s="18" t="n"/>
      <c r="Y22" s="18" t="n"/>
      <c r="Z22" s="37">
        <f>Y22</f>
        <v/>
      </c>
      <c r="AA22" s="18" t="n"/>
      <c r="AB22" s="19" t="n"/>
      <c r="AC22" s="20" t="n"/>
      <c r="AD22" s="20" t="n"/>
      <c r="AE22" s="38">
        <f>AD22</f>
        <v/>
      </c>
      <c r="AF22" s="20" t="n"/>
      <c r="AG22" s="20" t="n"/>
      <c r="AH22" s="20" t="n"/>
      <c r="AI22" s="20" t="n"/>
      <c r="AJ22" s="38">
        <f>AI22</f>
        <v/>
      </c>
      <c r="AK22" s="20" t="n"/>
      <c r="AL22" s="20" t="n"/>
      <c r="AM22" s="20" t="n"/>
      <c r="AN22" s="20" t="n"/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20.114</v>
      </c>
      <c r="F31" s="28">
        <f>E31</f>
        <v/>
      </c>
      <c r="G31" s="27" t="n">
        <v>20.114</v>
      </c>
      <c r="H31" s="27" t="n">
        <v>20.114</v>
      </c>
      <c r="I31" s="27" t="n">
        <v>20.114</v>
      </c>
      <c r="J31" s="27" t="n">
        <v>20.114</v>
      </c>
      <c r="K31" s="28">
        <f>J31</f>
        <v/>
      </c>
      <c r="L31" s="27" t="n">
        <v>20.114</v>
      </c>
      <c r="M31" s="27" t="n">
        <v>20.114</v>
      </c>
      <c r="N31" s="27" t="n">
        <v>20.114</v>
      </c>
      <c r="O31" s="27" t="n">
        <v>20.114</v>
      </c>
      <c r="P31" s="28">
        <f>O31</f>
        <v/>
      </c>
      <c r="Q31" s="27" t="n">
        <v>20.114</v>
      </c>
      <c r="R31" s="27" t="n">
        <v>20.114</v>
      </c>
      <c r="S31" s="27" t="n">
        <v>20.114</v>
      </c>
      <c r="T31" s="27" t="n">
        <v>20.114</v>
      </c>
      <c r="U31" s="28">
        <f>T31</f>
        <v/>
      </c>
      <c r="V31" s="27" t="n">
        <v>20.114</v>
      </c>
      <c r="W31" s="27" t="n">
        <v>20.114</v>
      </c>
      <c r="X31" s="27" t="n">
        <v>20.114</v>
      </c>
      <c r="Y31" s="27" t="n">
        <v>20.114</v>
      </c>
      <c r="Z31" s="28">
        <f>Y31</f>
        <v/>
      </c>
      <c r="AA31" s="27" t="n">
        <v>20.114</v>
      </c>
      <c r="AB31" s="29" t="n">
        <v>20.114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130</v>
      </c>
      <c r="U34" s="37">
        <f>SUM(Q34:T34)</f>
        <v/>
      </c>
      <c r="V34" s="18" t="n"/>
      <c r="W34" s="18" t="n"/>
      <c r="X34" s="18" t="n"/>
      <c r="Y34" s="18" t="n">
        <v>130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3718.79</v>
      </c>
      <c r="F37" s="37" t="n"/>
      <c r="G37" s="18" t="n">
        <v>3687.55</v>
      </c>
      <c r="H37" s="18" t="n">
        <v>3600.72</v>
      </c>
      <c r="I37" s="18" t="n">
        <v>3642.82</v>
      </c>
      <c r="J37" s="18" t="n">
        <v>4025.92</v>
      </c>
      <c r="K37" s="37">
        <f>SUM(G37:J37)</f>
        <v/>
      </c>
      <c r="L37" s="18" t="n">
        <v>3702.19</v>
      </c>
      <c r="M37" s="18" t="n">
        <v>3986.71</v>
      </c>
      <c r="N37" s="18" t="n">
        <v>3966.14</v>
      </c>
      <c r="O37" s="18" t="n">
        <v>4202</v>
      </c>
      <c r="P37" s="37">
        <f>SUM(L37:O37)</f>
        <v/>
      </c>
      <c r="Q37" s="18" t="n">
        <v>5047.87</v>
      </c>
      <c r="R37" s="18" t="n">
        <v>4969.57</v>
      </c>
      <c r="S37" s="18" t="n">
        <v>4541.15</v>
      </c>
      <c r="T37" s="18" t="n">
        <v>4147.98</v>
      </c>
      <c r="U37" s="37">
        <f>SUM(Q37:T37)</f>
        <v/>
      </c>
      <c r="V37" s="18" t="n">
        <v>4377.6</v>
      </c>
      <c r="W37" s="18" t="n">
        <v>4098.71</v>
      </c>
      <c r="X37" s="18" t="n">
        <v>3406.55</v>
      </c>
      <c r="Y37" s="18" t="n">
        <v>3579.2</v>
      </c>
      <c r="Z37" s="37">
        <f>SUM(V37:Y37)</f>
        <v/>
      </c>
      <c r="AA37" s="18" t="n">
        <v>3559.35</v>
      </c>
      <c r="AB37" s="19" t="n">
        <v>3731.33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13.27</v>
      </c>
      <c r="F38" s="37" t="n"/>
      <c r="G38" s="18" t="n">
        <v>29.16</v>
      </c>
      <c r="H38" s="18" t="n">
        <v>-2.86</v>
      </c>
      <c r="I38" s="18" t="n">
        <v>5.1</v>
      </c>
      <c r="J38" s="18" t="n">
        <v>-310.35</v>
      </c>
      <c r="K38" s="37">
        <f>SUM(G38:J38)</f>
        <v/>
      </c>
      <c r="L38" s="18" t="n">
        <v>-76.05</v>
      </c>
      <c r="M38" s="18" t="n">
        <v>34.76</v>
      </c>
      <c r="N38" s="18" t="n">
        <v>12.49</v>
      </c>
      <c r="O38" s="18" t="n">
        <v>-169.72</v>
      </c>
      <c r="P38" s="37">
        <f>SUM(L38:O38)</f>
        <v/>
      </c>
      <c r="Q38" s="18" t="n">
        <v>67.98999999999999</v>
      </c>
      <c r="R38" s="18" t="n">
        <v>81.7</v>
      </c>
      <c r="S38" s="18" t="n">
        <v>97.64</v>
      </c>
      <c r="T38" s="18" t="n">
        <v>-6.96</v>
      </c>
      <c r="U38" s="37">
        <f>SUM(Q38:T38)</f>
        <v/>
      </c>
      <c r="V38" s="18" t="n">
        <v>95.12</v>
      </c>
      <c r="W38" s="18" t="n">
        <v>50.8</v>
      </c>
      <c r="X38" s="18" t="n">
        <v>37.37</v>
      </c>
      <c r="Y38" s="18" t="n">
        <v>-26.11</v>
      </c>
      <c r="Z38" s="37">
        <f>SUM(V38:Y38)</f>
        <v/>
      </c>
      <c r="AA38" s="18" t="n">
        <v>10.53</v>
      </c>
      <c r="AB38" s="19" t="n">
        <v>55.59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602.7</v>
      </c>
    </row>
    <row r="30">
      <c r="C30" s="2" t="inlineStr">
        <is>
          <t>bps_latest</t>
        </is>
      </c>
      <c r="D30" t="n">
        <v>20913.7</v>
      </c>
    </row>
    <row r="31">
      <c r="C31" s="2" t="inlineStr">
        <is>
          <t>per_now</t>
        </is>
      </c>
      <c r="D31" t="n">
        <v>8.93</v>
      </c>
    </row>
    <row r="32">
      <c r="C32" s="2" t="inlineStr">
        <is>
          <t>pbr_now</t>
        </is>
      </c>
      <c r="D32" t="n">
        <v>0.26</v>
      </c>
    </row>
    <row r="33">
      <c r="C33" s="2" t="inlineStr">
        <is>
          <t>roe_fwd</t>
        </is>
      </c>
      <c r="D33" t="n">
        <v>0.0288</v>
      </c>
    </row>
    <row r="34">
      <c r="C34" s="2" t="inlineStr">
        <is>
          <t>fair_pbr</t>
        </is>
      </c>
      <c r="D34" t="n">
        <v>0.32</v>
      </c>
    </row>
    <row r="35">
      <c r="C35" s="2" t="inlineStr">
        <is>
          <t>fair_value_pbr</t>
        </is>
      </c>
      <c r="D35" t="n">
        <v>6700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