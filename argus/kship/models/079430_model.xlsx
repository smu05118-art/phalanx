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모델값 역산(implied): v / 매출액
매출액 × 판관비율 16.37%(최근 4분기 중위)</t>
      </text>
    </comment>
    <comment ref="AD22" authorId="0" shapeId="0">
      <text>
        <t>모델값 역산(implied): v / 매출액
매출액 × 판관비율 16.37%(최근 4분기 중위)</t>
      </text>
    </comment>
    <comment ref="AF22" authorId="0" shapeId="0">
      <text>
        <t>모델값 역산(implied): v / 매출액
매출액 × 판관비율 16.37%(최근 4분기 중위)</t>
      </text>
    </comment>
    <comment ref="AG22" authorId="0" shapeId="0">
      <text>
        <t>모델값 역산(implied): v / 매출액
매출액 × 판관비율 16.37%(최근 4분기 중위)</t>
      </text>
    </comment>
    <comment ref="AH22" authorId="0" shapeId="0">
      <text>
        <t>모델값 역산(implied): v / 매출액
매출액 × 판관비율 16.37%(최근 4분기 중위)</t>
      </text>
    </comment>
    <comment ref="AI22" authorId="0" shapeId="0">
      <text>
        <t>모델값 역산(implied): v / 매출액
매출액 × 판관비율 16.37%(최근 4분기 중위)</t>
      </text>
    </comment>
    <comment ref="AK22" authorId="0" shapeId="0">
      <text>
        <t>모델값 역산(implied): v / 매출액
매출액 × 판관비율 16.37%(최근 4분기 중위)</t>
      </text>
    </comment>
    <comment ref="AL22" authorId="0" shapeId="0">
      <text>
        <t>모델값 역산(implied): v / 매출액
매출액 × 판관비율 16.37%(최근 4분기 중위)</t>
      </text>
    </comment>
    <comment ref="AM22" authorId="0" shapeId="0">
      <text>
        <t>모델값 역산(implied): v / 매출액
매출액 × 판관비율 16.37%(최근 4분기 중위)</t>
      </text>
    </comment>
    <comment ref="AN22" authorId="0" shapeId="0">
      <text>
        <t>모델값 역산(implied): v / 매출액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v / 전년동기 − 1
최근 8분기 OPM 중위 1.2% 유지(클립 −20~40%)</t>
      </text>
    </comment>
    <comment ref="AD24" authorId="0" shapeId="0">
      <text>
        <t>모델값 역산(implied): v / 전년동기 − 1
최근 8분기 OPM 중위 1.2% 유지(클립 −20~40%)</t>
      </text>
    </comment>
    <comment ref="AF24" authorId="0" shapeId="0">
      <text>
        <t>모델값 역산(implied): v / 전년동기 − 1
최근 8분기 OPM 중위 1.2% 유지(클립 −20~40%)</t>
      </text>
    </comment>
    <comment ref="AG24" authorId="0" shapeId="0">
      <text>
        <t>모델값 역산(implied): v / 전년동기 − 1
최근 8분기 OPM 중위 1.2% 유지(클립 −20~40%)</t>
      </text>
    </comment>
    <comment ref="AH24" authorId="0" shapeId="0">
      <text>
        <t>모델값 역산(implied): v / 전년동기 − 1
최근 8분기 OPM 중위 1.2% 유지(클립 −20~40%)</t>
      </text>
    </comment>
    <comment ref="AI24" authorId="0" shapeId="0">
      <text>
        <t>모델값 역산(implied): v / 전년동기 − 1
최근 8분기 OPM 중위 1.2% 유지(클립 −20~40%)</t>
      </text>
    </comment>
    <comment ref="AK24" authorId="0" shapeId="0">
      <text>
        <t>모델값 역산(implied): v / 전년동기 − 1
최근 8분기 OPM 중위 1.2% 유지(클립 −20~40%)</t>
      </text>
    </comment>
    <comment ref="AL24" authorId="0" shapeId="0">
      <text>
        <t>모델값 역산(implied): v / 전년동기 − 1
최근 8분기 OPM 중위 1.2% 유지(클립 −20~40%)</t>
      </text>
    </comment>
    <comment ref="AM24" authorId="0" shapeId="0">
      <text>
        <t>모델값 역산(implied): v / 전년동기 − 1
최근 8분기 OPM 중위 1.2% 유지(클립 −20~40%)</t>
      </text>
    </comment>
    <comment ref="AN24" authorId="0" shapeId="0">
      <text>
        <t>모델값 역산(implied): v / 전년동기 − 1
최근 8분기 OPM 중위 1.2% 유지(클립 −20~40%)</t>
      </text>
    </comment>
    <comment ref="AC25" authorId="0" shapeId="0">
      <text>
        <t>모델값 역산(implied): 모델 v 그대로
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</t>
      </text>
    </comment>
    <comment ref="AC26" authorId="0" shapeId="0">
      <text>
        <t>모델값 역산(implied): 모델 v 그대로
이자발생자산 900억 × 2.27%(주석 이자수익 ÷ 평균 이자발생자산(2025Q3~2026Q2)) − 총차입금 0억 × 4.70%(CF 이자지급 ÷ 평균 총차입금(2022Q3~2023Q2; 주석 이자비용 11분기 &lt; 4)) (연율) ÷ 4</t>
      </text>
    </comment>
    <comment ref="AD26" authorId="0" shapeId="0">
      <text>
        <t>모델값 역산(implied): 모델 v 그대로
이자발생자산 929억 × 2.27%(주석 이자수익 ÷ 평균 이자발생자산(2025Q3~2026Q2)) − 총차입금 0억 × 4.70%(CF 이자지급 ÷ 평균 총차입금(2022Q3~2023Q2; 주석 이자비용 11분기 &lt; 4)) (연율) ÷ 4</t>
      </text>
    </comment>
    <comment ref="AF26" authorId="0" shapeId="0">
      <text>
        <t>모델값 역산(implied): 모델 v 그대로
이자발생자산 960억 × 2.27%(주석 이자수익 ÷ 평균 이자발생자산(2025Q3~2026Q2)) − 총차입금 0억 × 4.70%(CF 이자지급 ÷ 평균 총차입금(2022Q3~2023Q2; 주석 이자비용 11분기 &lt; 4)) (연율) ÷ 4</t>
      </text>
    </comment>
    <comment ref="AG26" authorId="0" shapeId="0">
      <text>
        <t>모델값 역산(implied): 모델 v 그대로
이자발생자산 990억 × 2.27%(주석 이자수익 ÷ 평균 이자발생자산(2025Q3~2026Q2)) − 총차입금 0억 × 4.70%(CF 이자지급 ÷ 평균 총차입금(2022Q3~2023Q2; 주석 이자비용 11분기 &lt; 4)) (연율) ÷ 4</t>
      </text>
    </comment>
    <comment ref="AH26" authorId="0" shapeId="0">
      <text>
        <t>모델값 역산(implied): 모델 v 그대로
이자발생자산 996억 × 2.27%(주석 이자수익 ÷ 평균 이자발생자산(2025Q3~2026Q2)) − 총차입금 0억 × 4.70%(CF 이자지급 ÷ 평균 총차입금(2022Q3~2023Q2; 주석 이자비용 11분기 &lt; 4)) (연율) ÷ 4</t>
      </text>
    </comment>
    <comment ref="AI26" authorId="0" shapeId="0">
      <text>
        <t>모델값 역산(implied): 모델 v 그대로
이자발생자산 1023억 × 2.27%(주석 이자수익 ÷ 평균 이자발생자산(2025Q3~2026Q2)) − 총차입금 0억 × 4.70%(CF 이자지급 ÷ 평균 총차입금(2022Q3~2023Q2; 주석 이자비용 11분기 &lt; 4)) (연율) ÷ 4</t>
      </text>
    </comment>
    <comment ref="AK26" authorId="0" shapeId="0">
      <text>
        <t>모델값 역산(implied): 모델 v 그대로
이자발생자산 1051억 × 2.27%(주석 이자수익 ÷ 평균 이자발생자산(2025Q3~2026Q2)) − 총차입금 0억 × 4.70%(CF 이자지급 ÷ 평균 총차입금(2022Q3~2023Q2; 주석 이자비용 11분기 &lt; 4)) (연율) ÷ 4</t>
      </text>
    </comment>
    <comment ref="AL26" authorId="0" shapeId="0">
      <text>
        <t>모델값 역산(implied): 모델 v 그대로
이자발생자산 1080억 × 2.27%(주석 이자수익 ÷ 평균 이자발생자산(2025Q3~2026Q2)) − 총차입금 0억 × 4.70%(CF 이자지급 ÷ 평균 총차입금(2022Q3~2023Q2; 주석 이자비용 11분기 &lt; 4)) (연율) ÷ 4</t>
      </text>
    </comment>
    <comment ref="AM26" authorId="0" shapeId="0">
      <text>
        <t>모델값 역산(implied): 모델 v 그대로
이자발생자산 1083억 × 2.27%(주석 이자수익 ÷ 평균 이자발생자산(2025Q3~2026Q2)) − 총차입금 0억 × 4.70%(CF 이자지급 ÷ 평균 총차입금(2022Q3~2023Q2; 주석 이자비용 11분기 &lt; 4)) (연율) ÷ 4</t>
      </text>
    </comment>
    <comment ref="AN26" authorId="0" shapeId="0">
      <text>
        <t>모델값 역산(implied): 모델 v 그대로
이자발생자산 1110억 × 2.27%(주석 이자수익 ÷ 평균 이자발생자산(2025Q3~2026Q2)) − 총차입금 0억 × 4.70%(CF 이자지급 ÷ 평균 총차입금(2022Q3~2023Q2; 주석 이자비용 11분기 &lt; 4))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4분기(2025Q3~2026Q2) 잔차 중위</t>
      </text>
    </comment>
    <comment ref="AD29" authorId="0" shapeId="0">
      <text>
        <t>모델값 역산(implied): v / 전년동기 − 1
최근 4분기(2025Q3~2026Q2) 잔차 중위</t>
      </text>
    </comment>
    <comment ref="AF29" authorId="0" shapeId="0">
      <text>
        <t>모델값 역산(implied): v / 전년동기 − 1
최근 4분기(2025Q3~2026Q2) 잔차 중위</t>
      </text>
    </comment>
    <comment ref="AG29" authorId="0" shapeId="0">
      <text>
        <t>모델값 역산(implied): v / 전년동기 − 1
최근 4분기(2025Q3~2026Q2) 잔차 중위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D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F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G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H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I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K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L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M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N31" authorId="0" shapeId="0">
      <text>
        <t>모델값 역산(implied): v / 세전이익
max(세전, 0) × 세율 24.3%(최근 12분기 유효세율 177.6% 가 5~27% 밖 → 클립 대신 최근 8분기 중 세전 &gt; 0 인 7분기(2024Q3~2026Q2)의 법인세/세전 중위 24.3%)</t>
      </text>
    </comment>
    <comment ref="AC32" authorId="0" shapeId="0">
      <text>
        <t>모델값 역산(implied): v / 당기순이익
당기순이익 × (1 − 비지배 비중 0.0%, 최근 8분기 실측)</t>
      </text>
    </comment>
    <comment ref="AD32" authorId="0" shapeId="0">
      <text>
        <t>모델값 역산(implied): v / 당기순이익
당기순이익 × (1 − 비지배 비중 0.0%, 최근 8분기 실측)</t>
      </text>
    </comment>
    <comment ref="AF32" authorId="0" shapeId="0">
      <text>
        <t>모델값 역산(implied): v / 당기순이익
당기순이익 × (1 − 비지배 비중 0.0%, 최근 8분기 실측)</t>
      </text>
    </comment>
    <comment ref="AG32" authorId="0" shapeId="0">
      <text>
        <t>모델값 역산(implied): v / 당기순이익
당기순이익 × (1 − 비지배 비중 0.0%, 최근 8분기 실측)</t>
      </text>
    </comment>
    <comment ref="AH32" authorId="0" shapeId="0">
      <text>
        <t>모델값 역산(implied): v / 당기순이익
당기순이익 × (1 − 비지배 비중 0.0%, 최근 8분기 실측)</t>
      </text>
    </comment>
    <comment ref="AI32" authorId="0" shapeId="0">
      <text>
        <t>모델값 역산(implied): v / 당기순이익
당기순이익 × (1 − 비지배 비중 0.0%, 최근 8분기 실측)</t>
      </text>
    </comment>
    <comment ref="AK32" authorId="0" shapeId="0">
      <text>
        <t>모델값 역산(implied): v / 당기순이익
당기순이익 × (1 − 비지배 비중 0.0%, 최근 8분기 실측)</t>
      </text>
    </comment>
    <comment ref="AL32" authorId="0" shapeId="0">
      <text>
        <t>모델값 역산(implied): v / 당기순이익
당기순이익 × (1 − 비지배 비중 0.0%, 최근 8분기 실측)</t>
      </text>
    </comment>
    <comment ref="AM32" authorId="0" shapeId="0">
      <text>
        <t>모델값 역산(implied): v / 당기순이익
당기순이익 × (1 − 비지배 비중 0.0%, 최근 8분기 실측)</t>
      </text>
    </comment>
    <comment ref="AN32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130원 유지</t>
      </text>
    </comment>
    <comment ref="AI43" authorId="0" shapeId="0">
      <text>
        <t>모델값 역산(implied): v / 전년동기 − 1
직전 결산 DPS 130원 유지</t>
      </text>
    </comment>
    <comment ref="AN43" authorId="0" shapeId="0">
      <text>
        <t>모델값 역산(implied): v / 전년동기 − 1
직전 결산 DPS 130원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1.2% 유지(클립 −20~40%)
[yoy]</t>
      </text>
    </comment>
    <comment ref="AD10" authorId="0" shapeId="0">
      <text>
        <t>추정: 최근 8분기 OPM 중위 1.2% 유지(클립 −20~40%)
[yoy]</t>
      </text>
    </comment>
    <comment ref="AF10" authorId="0" shapeId="0">
      <text>
        <t>추정: 최근 8분기 OPM 중위 1.2% 유지(클립 −20~40%)
[yoy]</t>
      </text>
    </comment>
    <comment ref="AG10" authorId="0" shapeId="0">
      <text>
        <t>추정: 최근 8분기 OPM 중위 1.2% 유지(클립 −20~40%)
[yoy]</t>
      </text>
    </comment>
    <comment ref="AH10" authorId="0" shapeId="0">
      <text>
        <t>추정: 최근 8분기 OPM 중위 1.2% 유지(클립 −20~40%)
[yoy]</t>
      </text>
    </comment>
    <comment ref="AI10" authorId="0" shapeId="0">
      <text>
        <t>추정: 최근 8분기 OPM 중위 1.2% 유지(클립 −20~40%)
[yoy]</t>
      </text>
    </comment>
    <comment ref="AK10" authorId="0" shapeId="0">
      <text>
        <t>추정: 최근 8분기 OPM 중위 1.2% 유지(클립 −20~40%)
[yoy]</t>
      </text>
    </comment>
    <comment ref="AL10" authorId="0" shapeId="0">
      <text>
        <t>추정: 최근 8분기 OPM 중위 1.2% 유지(클립 −20~40%)
[yoy]</t>
      </text>
    </comment>
    <comment ref="AM10" authorId="0" shapeId="0">
      <text>
        <t>추정: 최근 8분기 OPM 중위 1.2% 유지(클립 −20~40%)
[yoy]</t>
      </text>
    </comment>
    <comment ref="AN10" authorId="0" shapeId="0">
      <text>
        <t>추정: 최근 8분기 OPM 중위 1.2% 유지(클립 −20~40%)
[yoy]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[abs]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[abs]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[abs]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[abs]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[abs]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[abs]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[abs]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[abs]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[abs]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[abs]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4분기(2025Q3~2026Q2) 잔차 중위
[yoy]</t>
      </text>
    </comment>
    <comment ref="AD15" authorId="0" shapeId="0">
      <text>
        <t>추정: 최근 4분기(2025Q3~2026Q2) 잔차 중위
[yoy]</t>
      </text>
    </comment>
    <comment ref="AF15" authorId="0" shapeId="0">
      <text>
        <t>추정: 최근 4분기(2025Q3~2026Q2) 잔차 중위
[yoy]</t>
      </text>
    </comment>
    <comment ref="AG15" authorId="0" shapeId="0">
      <text>
        <t>추정: 최근 4분기(2025Q3~2026Q2) 잔차 중위
[yoy]</t>
      </text>
    </comment>
    <comment ref="AH15" authorId="0" shapeId="0">
      <text>
        <t>추정(가정 셀 참조 불가 — 기준값 없음, 모델값 직접): 최근 4분기(2025Q3~2026Q2) 잔차 중위</t>
      </text>
    </comment>
    <comment ref="AI15" authorId="0" shapeId="0">
      <text>
        <t>추정(가정 셀 참조 불가 — 기준값 없음, 모델값 직접): 최근 4분기(2025Q3~2026Q2) 잔차 중위</t>
      </text>
    </comment>
    <comment ref="AK15" authorId="0" shapeId="0">
      <text>
        <t>추정(가정 셀 참조 불가 — 기준값 없음, 모델값 직접): 최근 4분기(2025Q3~2026Q2) 잔차 중위</t>
      </text>
    </comment>
    <comment ref="AL15" authorId="0" shapeId="0">
      <text>
        <t>추정(가정 셀 참조 불가 — 기준값 없음, 모델값 직접): 최근 4분기(2025Q3~2026Q2) 잔차 중위</t>
      </text>
    </comment>
    <comment ref="AM15" authorId="0" shapeId="0">
      <text>
        <t>추정(가정 셀 참조 불가 — 기준값 없음, 모델값 직접): 최근 4분기(2025Q3~2026Q2) 잔차 중위</t>
      </text>
    </comment>
    <comment ref="AN15" authorId="0" shapeId="0">
      <text>
        <t>추정(가정 셀 참조 불가 — 기준값 없음, 모델값 직접): 최근 4분기(2025Q3~2026Q2) 잔차 중위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130원 유지
[yoy]</t>
      </text>
    </comment>
    <comment ref="AI34" authorId="0" shapeId="0">
      <text>
        <t>추정: 직전 결산 DPS 130원 유지
[yoy]</t>
      </text>
    </comment>
    <comment ref="AN34" authorId="0" shapeId="0">
      <text>
        <t>추정: 직전 결산 DPS 130원 유지
[yoy]</t>
      </text>
    </comment>
    <comment ref="I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assets/models/079430.json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-0.168303</v>
      </c>
      <c r="AD21" s="24" t="n">
        <v>-0.168303</v>
      </c>
      <c r="AE21" s="25" t="n"/>
      <c r="AF21" s="24" t="n">
        <v>-0.168304</v>
      </c>
      <c r="AG21" s="24" t="n">
        <v>-0.168303</v>
      </c>
      <c r="AH21" s="24" t="n">
        <v>-0.084152</v>
      </c>
      <c r="AI21" s="24" t="n">
        <v>-0.08415</v>
      </c>
      <c r="AJ21" s="25" t="n"/>
      <c r="AK21" s="24" t="n">
        <v>-0.08415</v>
      </c>
      <c r="AL21" s="24" t="n">
        <v>-0.084151</v>
      </c>
      <c r="AM21" s="24" t="n">
        <v>-0.042076</v>
      </c>
      <c r="AN21" s="24" t="n">
        <v>-0.042079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0.163651</v>
      </c>
      <c r="AD22" s="24" t="n">
        <v>0.163652</v>
      </c>
      <c r="AE22" s="25">
        <f>IFERROR(subQ!AE8/subQ!AE5,"")</f>
        <v/>
      </c>
      <c r="AF22" s="24" t="n">
        <v>0.163652</v>
      </c>
      <c r="AG22" s="24" t="n">
        <v>0.163649</v>
      </c>
      <c r="AH22" s="24" t="n">
        <v>0.16365</v>
      </c>
      <c r="AI22" s="24" t="n">
        <v>0.16365</v>
      </c>
      <c r="AJ22" s="25">
        <f>IFERROR(subQ!AJ8/subQ!AJ5,"")</f>
        <v/>
      </c>
      <c r="AK22" s="24" t="n">
        <v>0.163651</v>
      </c>
      <c r="AL22" s="24" t="n">
        <v>0.163652</v>
      </c>
      <c r="AM22" s="24" t="n">
        <v>0.163649</v>
      </c>
      <c r="AN22" s="24" t="n">
        <v>0.163651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0.011683</v>
      </c>
      <c r="AD23" s="24" t="n">
        <v>0.011684</v>
      </c>
      <c r="AE23" s="25">
        <f>IFERROR(subQ!AE9/subQ!AE5,"")</f>
        <v/>
      </c>
      <c r="AF23" s="24" t="n">
        <v>0.011681</v>
      </c>
      <c r="AG23" s="24" t="n">
        <v>0.011681</v>
      </c>
      <c r="AH23" s="24" t="n">
        <v>0.011681</v>
      </c>
      <c r="AI23" s="24" t="n">
        <v>0.011682</v>
      </c>
      <c r="AJ23" s="25">
        <f>IFERROR(subQ!AJ9/subQ!AJ5,"")</f>
        <v/>
      </c>
      <c r="AK23" s="24" t="n">
        <v>0.011681</v>
      </c>
      <c r="AL23" s="24" t="n">
        <v>0.011681</v>
      </c>
      <c r="AM23" s="24" t="n">
        <v>0.011683</v>
      </c>
      <c r="AN23" s="24" t="n">
        <v>0.011683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0.063636</v>
      </c>
      <c r="AD24" s="24" t="n">
        <v>-2.60274</v>
      </c>
      <c r="AE24" s="25" t="n"/>
      <c r="AF24" s="24" t="n">
        <v>2.9</v>
      </c>
      <c r="AG24" s="24" t="n">
        <v>-0.214765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5.1</v>
      </c>
      <c r="AD25" s="29" t="n">
        <v>5.26</v>
      </c>
      <c r="AE25" s="30">
        <f>subQ!AE11</f>
        <v/>
      </c>
      <c r="AF25" s="29" t="n">
        <v>5.43</v>
      </c>
      <c r="AG25" s="29" t="n">
        <v>5.61</v>
      </c>
      <c r="AH25" s="29" t="n">
        <v>5.64</v>
      </c>
      <c r="AI25" s="29" t="n">
        <v>5.79</v>
      </c>
      <c r="AJ25" s="30">
        <f>subQ!AJ11</f>
        <v/>
      </c>
      <c r="AK25" s="29" t="n">
        <v>5.95</v>
      </c>
      <c r="AL25" s="29" t="n">
        <v>6.11</v>
      </c>
      <c r="AM25" s="29" t="n">
        <v>6.14</v>
      </c>
      <c r="AN25" s="29" t="n">
        <v>6.29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5.1</v>
      </c>
      <c r="AD26" s="29" t="n">
        <v>5.26</v>
      </c>
      <c r="AE26" s="30">
        <f>subQ!AE12</f>
        <v/>
      </c>
      <c r="AF26" s="29" t="n">
        <v>5.43</v>
      </c>
      <c r="AG26" s="29" t="n">
        <v>5.61</v>
      </c>
      <c r="AH26" s="29" t="n">
        <v>5.64</v>
      </c>
      <c r="AI26" s="29" t="n">
        <v>5.79</v>
      </c>
      <c r="AJ26" s="30">
        <f>subQ!AJ12</f>
        <v/>
      </c>
      <c r="AK26" s="29" t="n">
        <v>5.95</v>
      </c>
      <c r="AL26" s="29" t="n">
        <v>6.11</v>
      </c>
      <c r="AM26" s="29" t="n">
        <v>6.14</v>
      </c>
      <c r="AN26" s="29" t="n">
        <v>6.29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0.242932</v>
      </c>
      <c r="AD31" s="24" t="n">
        <v>0.242757</v>
      </c>
      <c r="AE31" s="25">
        <f>IFERROR(subQ!AE18/subQ!AE17,"")</f>
        <v/>
      </c>
      <c r="AF31" s="24" t="n">
        <v>0.242879</v>
      </c>
      <c r="AG31" s="24" t="n">
        <v>0.242953</v>
      </c>
      <c r="AH31" s="24" t="n">
        <v>0.242837</v>
      </c>
      <c r="AI31" s="24" t="n">
        <v>0.242827</v>
      </c>
      <c r="AJ31" s="25">
        <f>IFERROR(subQ!AJ18/subQ!AJ17,"")</f>
        <v/>
      </c>
      <c r="AK31" s="24" t="n">
        <v>0.242891</v>
      </c>
      <c r="AL31" s="24" t="n">
        <v>0.242879</v>
      </c>
      <c r="AM31" s="24" t="n">
        <v>0.242821</v>
      </c>
      <c r="AN31" s="24" t="n">
        <v>0.243001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1</v>
      </c>
      <c r="AD32" s="24" t="n">
        <v>1</v>
      </c>
      <c r="AE32" s="25">
        <f>IFERROR(subQ!AE20/subQ!AE19,"")</f>
        <v/>
      </c>
      <c r="AF32" s="24" t="n">
        <v>1</v>
      </c>
      <c r="AG32" s="24" t="n">
        <v>1</v>
      </c>
      <c r="AH32" s="24" t="n">
        <v>1</v>
      </c>
      <c r="AI32" s="24" t="n">
        <v>1</v>
      </c>
      <c r="AJ32" s="25">
        <f>IFERROR(subQ!AJ20/subQ!AJ19,"")</f>
        <v/>
      </c>
      <c r="AK32" s="24" t="n">
        <v>1</v>
      </c>
      <c r="AL32" s="24" t="n">
        <v>1</v>
      </c>
      <c r="AM32" s="24" t="n">
        <v>1</v>
      </c>
      <c r="AN32" s="24" t="n">
        <v>1</v>
      </c>
      <c r="AO32" s="25">
        <f>IFERROR(subQ!AO20/subQ!AO19,"")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0.0043</v>
      </c>
      <c r="AD34" s="29" t="n">
        <v>-0.01</v>
      </c>
      <c r="AE34" s="30" t="n"/>
      <c r="AF34" s="29" t="n">
        <v>0</v>
      </c>
      <c r="AG34" s="29" t="n">
        <v>26.15</v>
      </c>
      <c r="AH34" s="29" t="n">
        <v>0</v>
      </c>
      <c r="AI34" s="29" t="n">
        <v>0</v>
      </c>
      <c r="AJ34" s="30" t="n"/>
      <c r="AK34" s="29" t="n">
        <v>0</v>
      </c>
      <c r="AL34" s="29" t="n">
        <v>26.15</v>
      </c>
      <c r="AM34" s="29" t="n">
        <v>0</v>
      </c>
      <c r="AN34" s="29" t="n">
        <v>-0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0.0043</v>
      </c>
      <c r="AD35" s="29" t="n">
        <v>-0.01</v>
      </c>
      <c r="AE35" s="30" t="n"/>
      <c r="AF35" s="29" t="n">
        <v>0</v>
      </c>
      <c r="AG35" s="29" t="n">
        <v>26.15</v>
      </c>
      <c r="AH35" s="29" t="n">
        <v>0</v>
      </c>
      <c r="AI35" s="29" t="n">
        <v>0</v>
      </c>
      <c r="AJ35" s="30" t="n"/>
      <c r="AK35" s="29" t="n">
        <v>0</v>
      </c>
      <c r="AL35" s="29" t="n">
        <v>26.15</v>
      </c>
      <c r="AM35" s="29" t="n">
        <v>0</v>
      </c>
      <c r="AN35" s="29" t="n">
        <v>-0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0.032111</v>
      </c>
      <c r="AD38" s="24" t="n">
        <v>0.032623</v>
      </c>
      <c r="AE38" s="25" t="n"/>
      <c r="AF38" s="24" t="n">
        <v>0.031572</v>
      </c>
      <c r="AG38" s="24" t="n">
        <v>0.005596</v>
      </c>
      <c r="AH38" s="24" t="n">
        <v>0.027341</v>
      </c>
      <c r="AI38" s="24" t="n">
        <v>0.027865</v>
      </c>
      <c r="AJ38" s="25" t="n"/>
      <c r="AK38" s="24" t="n">
        <v>0.0271</v>
      </c>
      <c r="AL38" s="24" t="n">
        <v>0.003353</v>
      </c>
      <c r="AM38" s="24" t="n">
        <v>0.02458</v>
      </c>
      <c r="AN38" s="24" t="n">
        <v>0.025099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0.484277</v>
      </c>
      <c r="AD44" s="24" t="n">
        <v>-0.418028</v>
      </c>
      <c r="AE44" s="25" t="n"/>
      <c r="AF44" s="24" t="n">
        <v>-0.837147</v>
      </c>
      <c r="AG44" s="24" t="n">
        <v>-0.6097359999999999</v>
      </c>
      <c r="AH44" s="24" t="n">
        <v>-0.54049</v>
      </c>
      <c r="AI44" s="24" t="n">
        <v>-0.040658</v>
      </c>
      <c r="AJ44" s="25" t="n"/>
      <c r="AK44" s="24" t="n">
        <v>0.09694999999999999</v>
      </c>
      <c r="AL44" s="24" t="n">
        <v>0.06444900000000001</v>
      </c>
      <c r="AM44" s="24" t="n">
        <v>0.054303</v>
      </c>
      <c r="AN44" s="24" t="n">
        <v>0.0444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-0.243243</v>
      </c>
      <c r="AD45" s="24" t="n">
        <v>-0.129032</v>
      </c>
      <c r="AE45" s="25" t="n"/>
      <c r="AF45" s="24" t="n">
        <v>-0.181818</v>
      </c>
      <c r="AG45" s="24" t="n">
        <v>-0.181818</v>
      </c>
      <c r="AH45" s="24" t="n">
        <v>-0.035714</v>
      </c>
      <c r="AI45" s="24" t="n">
        <v>0</v>
      </c>
      <c r="AJ45" s="25" t="n"/>
      <c r="AK45" s="24" t="n">
        <v>0</v>
      </c>
      <c r="AL45" s="24" t="n">
        <v>0</v>
      </c>
      <c r="AM45" s="24" t="n">
        <v>-0.037037</v>
      </c>
      <c r="AN45" s="24" t="n">
        <v>-0.037037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0.011683</v>
      </c>
      <c r="AD47" s="24" t="n">
        <v>0.011684</v>
      </c>
      <c r="AE47" s="25">
        <f>IFERROR(subQ!AE38/subQ!AE37,"")</f>
        <v/>
      </c>
      <c r="AF47" s="24" t="n">
        <v>0.011681</v>
      </c>
      <c r="AG47" s="24" t="n">
        <v>0.011681</v>
      </c>
      <c r="AH47" s="24" t="n">
        <v>0.011681</v>
      </c>
      <c r="AI47" s="24" t="n">
        <v>0.011682</v>
      </c>
      <c r="AJ47" s="25">
        <f>IFERROR(subQ!AJ38/subQ!AJ37,"")</f>
        <v/>
      </c>
      <c r="AK47" s="24" t="n">
        <v>0.011681</v>
      </c>
      <c r="AL47" s="24" t="n">
        <v>0.011681</v>
      </c>
      <c r="AM47" s="24" t="n">
        <v>0.011683</v>
      </c>
      <c r="AN47" s="24" t="n">
        <v>0.011683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5800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12.8</v>
      </c>
      <c r="E53" s="2" t="inlineStr">
        <is>
          <t>PER 밴드 하단(배) — hist_quarterly(분기 평균가 ÷ TTM EPS, 8분기, 25/50/75 백분위) · 캡 5~30배 적용(원값 12.8/16.0/56.4)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16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30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0.2429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0.1637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0.353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4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4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4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4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4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4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4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4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4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4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4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4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4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4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4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4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4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4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4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4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4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4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4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4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4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4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4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4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4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4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4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4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4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4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4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4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4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4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4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4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4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4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4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4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4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4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4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4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4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4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4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4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4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4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4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4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4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4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4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4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4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4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4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4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4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4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4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4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4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4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4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4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4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4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4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4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4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4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4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4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4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4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4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4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4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4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4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4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4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4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4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4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4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4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4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4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4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4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4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4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4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4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4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4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4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4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4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4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4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4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4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4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4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4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4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4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4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4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4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4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4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4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4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4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4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4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4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4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4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4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4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4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4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4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4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4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4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4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4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4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4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4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4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4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4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4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4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4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4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4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4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4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4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4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4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4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4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4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4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4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4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4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4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4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4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4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4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4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4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4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4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4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4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4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4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4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4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4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4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4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4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4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4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4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4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4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4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4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4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4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4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4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4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4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4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4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4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4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4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4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4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4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4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4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4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4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4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4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4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4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4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4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4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4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4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4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4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4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4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4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4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4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4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4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4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4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4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4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4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4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4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4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4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4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4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4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4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4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4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4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4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4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4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4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4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4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4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4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4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4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4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4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4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4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4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4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4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4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4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4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4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4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4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4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4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4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4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4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4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4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4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4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4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4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4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4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4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4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4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4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4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4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4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4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4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4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4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4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4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4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4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4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4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4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4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4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4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4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4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4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4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4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4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4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4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4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4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4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4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4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4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4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4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4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4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4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4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4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4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4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4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4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4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4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4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4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4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4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4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4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4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4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4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4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4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4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4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4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4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4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4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4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4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4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4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4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4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4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4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4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4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4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4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4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4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4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I11" s="18" t="n">
        <v>27.11</v>
      </c>
      <c r="J11" s="18" t="n">
        <v>1821.24</v>
      </c>
      <c r="K11" s="34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4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4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4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4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4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4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4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4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4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4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4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4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4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4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4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4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4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4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4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4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4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4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4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4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4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4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4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4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4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4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4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4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4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4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4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4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4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4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4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4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4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4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4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4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4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4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4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4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4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4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4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4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4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4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4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4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4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4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4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4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4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4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4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4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4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4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4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4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4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4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4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4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4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4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4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4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4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4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4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4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4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4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4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4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4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4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4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4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4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4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4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4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4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4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4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4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4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4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4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4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4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4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4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4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4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4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4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4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4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4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4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4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4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4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4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4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4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4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4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4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4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4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4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4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4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4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4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4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4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4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4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4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4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4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4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4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4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4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4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4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4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4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4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4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4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4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4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4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4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4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4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4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4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4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4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4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4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4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4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4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4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4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4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4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4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4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4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4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4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4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4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4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4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4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4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4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4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4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4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4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4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4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4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4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4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4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4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4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4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4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4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4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4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4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4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4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4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4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4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4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4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4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4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4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4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4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4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4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4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4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4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4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4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4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4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4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4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4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4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4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4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4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4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4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4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4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4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4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4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4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4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4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4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4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4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4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4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4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4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4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4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4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4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4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4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4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4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4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4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4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4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4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4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4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4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4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4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4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4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4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4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4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4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4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4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4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4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4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4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4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4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4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4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0.0036</v>
      </c>
      <c r="F10" s="34" t="n"/>
      <c r="G10" s="18" t="n">
        <v>0.007900000000000001</v>
      </c>
      <c r="H10" s="18" t="n">
        <v>-0.0008</v>
      </c>
      <c r="I10" s="18" t="n">
        <v>0.0014</v>
      </c>
      <c r="J10" s="18" t="n">
        <v>-0.0771</v>
      </c>
      <c r="K10" s="34">
        <f>SUM(G10:J10)</f>
        <v/>
      </c>
      <c r="L10" s="18" t="n">
        <v>-0.0205</v>
      </c>
      <c r="M10" s="18" t="n">
        <v>0.008699999999999999</v>
      </c>
      <c r="N10" s="18" t="n">
        <v>0.0031</v>
      </c>
      <c r="O10" s="18" t="n">
        <v>-0.0404</v>
      </c>
      <c r="P10" s="34">
        <f>SUM(L10:O10)</f>
        <v/>
      </c>
      <c r="Q10" s="18" t="n">
        <v>0.0135</v>
      </c>
      <c r="R10" s="18" t="n">
        <v>0.0164</v>
      </c>
      <c r="S10" s="18" t="n">
        <v>0.0215</v>
      </c>
      <c r="T10" s="18" t="n">
        <v>-0.0017</v>
      </c>
      <c r="U10" s="34">
        <f>SUM(Q10:T10)</f>
        <v/>
      </c>
      <c r="V10" s="18" t="n">
        <v>0.0217</v>
      </c>
      <c r="W10" s="18" t="n">
        <v>0.0124</v>
      </c>
      <c r="X10" s="18" t="n">
        <v>0.011</v>
      </c>
      <c r="Y10" s="18" t="n">
        <v>-0.0073</v>
      </c>
      <c r="Z10" s="34">
        <f>SUM(V10:Y10)</f>
        <v/>
      </c>
      <c r="AA10" s="18" t="n">
        <v>0.003</v>
      </c>
      <c r="AB10" s="19" t="n">
        <v>0.0149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2.08</v>
      </c>
      <c r="H13" s="18" t="n">
        <v>-0.65</v>
      </c>
      <c r="I13" s="18" t="n">
        <v>10.9</v>
      </c>
      <c r="J13" s="18" t="n">
        <v>-60.76</v>
      </c>
      <c r="K13" s="34">
        <f>SUM(G13:J13)</f>
        <v/>
      </c>
      <c r="L13" s="18" t="n">
        <v>8.52</v>
      </c>
      <c r="M13" s="18" t="n"/>
      <c r="N13" s="18" t="n">
        <v>3.41</v>
      </c>
      <c r="O13" s="18" t="n">
        <v>-12.52</v>
      </c>
      <c r="P13" s="34">
        <f>SUM(L13:O13)</f>
        <v/>
      </c>
      <c r="Q13" s="18" t="n">
        <v>12.79</v>
      </c>
      <c r="R13" s="18" t="n"/>
      <c r="S13" s="18" t="n">
        <v>-19.56</v>
      </c>
      <c r="T13" s="18" t="n">
        <v>26.26</v>
      </c>
      <c r="U13" s="34">
        <f>SUM(Q13:T13)</f>
        <v/>
      </c>
      <c r="V13" s="18" t="n">
        <v>-0.98</v>
      </c>
      <c r="W13" s="18" t="n">
        <v>-26.06</v>
      </c>
      <c r="X13" s="18" t="n">
        <v>9.74</v>
      </c>
      <c r="Y13" s="18" t="n">
        <v>8.279999999999999</v>
      </c>
      <c r="Z13" s="34">
        <f>SUM(V13:Y13)</f>
        <v/>
      </c>
      <c r="AA13" s="18" t="n">
        <v>15.46</v>
      </c>
      <c r="AB13" s="19" t="n">
        <v>4.93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>
        <v>0.31</v>
      </c>
      <c r="W14" s="18" t="n">
        <v>-1.36</v>
      </c>
      <c r="X14" s="18" t="n">
        <v>0.59</v>
      </c>
      <c r="Y14" s="18" t="n">
        <v>0.49</v>
      </c>
      <c r="Z14" s="34">
        <f>SUM(V14:Y14)</f>
        <v/>
      </c>
      <c r="AA14" s="18" t="n">
        <v>1.42</v>
      </c>
      <c r="AB14" s="19" t="n">
        <v>0.6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>
        <v>0</v>
      </c>
      <c r="W15" s="18" t="n">
        <v>0.25</v>
      </c>
      <c r="X15" s="18" t="n">
        <v>-0.01</v>
      </c>
      <c r="Y15" s="18" t="n">
        <v>0.01</v>
      </c>
      <c r="Z15" s="34">
        <f>SUM(V15:Y15)</f>
        <v/>
      </c>
      <c r="AA15" s="18" t="n">
        <v>0.23</v>
      </c>
      <c r="AB15" s="19" t="n">
        <v>-1.15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4">
        <f>T21</f>
        <v/>
      </c>
      <c r="V21" s="18" t="n"/>
      <c r="W21" s="18" t="n"/>
      <c r="X21" s="18" t="n"/>
      <c r="Y21" s="18" t="n"/>
      <c r="Z21" s="34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4">
        <f>T25</f>
        <v/>
      </c>
      <c r="V25" s="18" t="n"/>
      <c r="W25" s="18" t="n"/>
      <c r="X25" s="18" t="n"/>
      <c r="Y25" s="18" t="n"/>
      <c r="Z25" s="34">
        <f>Y25</f>
        <v/>
      </c>
      <c r="AA25" s="18" t="n"/>
      <c r="AB25" s="19" t="n"/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4">
        <f>T26</f>
        <v/>
      </c>
      <c r="V26" s="18" t="n"/>
      <c r="W26" s="18" t="n"/>
      <c r="X26" s="18" t="n"/>
      <c r="Y26" s="18" t="n"/>
      <c r="Z26" s="34">
        <f>Y26</f>
        <v/>
      </c>
      <c r="AA26" s="18" t="n"/>
      <c r="AB26" s="19" t="n"/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4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-25.77</v>
      </c>
      <c r="F30" s="34" t="n"/>
      <c r="G30" s="18" t="n">
        <v>164.42</v>
      </c>
      <c r="H30" s="18" t="n">
        <v>22.62</v>
      </c>
      <c r="I30" s="18" t="n">
        <v>-144.92</v>
      </c>
      <c r="J30" s="18" t="n">
        <v>-468.79</v>
      </c>
      <c r="K30" s="34">
        <f>SUM(G30:J30)</f>
        <v/>
      </c>
      <c r="L30" s="18" t="n">
        <v>139.32</v>
      </c>
      <c r="M30" s="18" t="n">
        <v>-26.16</v>
      </c>
      <c r="N30" s="18" t="n">
        <v>-517.13</v>
      </c>
      <c r="O30" s="18" t="n">
        <v>431.51</v>
      </c>
      <c r="P30" s="34">
        <f>SUM(L30:O30)</f>
        <v/>
      </c>
      <c r="Q30" s="18" t="n">
        <v>-259.5</v>
      </c>
      <c r="R30" s="18" t="n">
        <v>284.85</v>
      </c>
      <c r="S30" s="18" t="n">
        <v>477.11</v>
      </c>
      <c r="T30" s="18" t="n">
        <v>-96.63</v>
      </c>
      <c r="U30" s="34">
        <f>SUM(Q30:T30)</f>
        <v/>
      </c>
      <c r="V30" s="18" t="n">
        <v>-84.73</v>
      </c>
      <c r="W30" s="18" t="n">
        <v>380.45</v>
      </c>
      <c r="X30" s="18" t="n">
        <v>-17.43</v>
      </c>
      <c r="Y30" s="18" t="n">
        <v>101.26</v>
      </c>
      <c r="Z30" s="34">
        <f>SUM(V30:Y30)</f>
        <v/>
      </c>
      <c r="AA30" s="18" t="n">
        <v>146.3</v>
      </c>
      <c r="AB30" s="19" t="n">
        <v>481.87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20.114</v>
      </c>
      <c r="F31" s="27">
        <f>E31</f>
        <v/>
      </c>
      <c r="G31" s="26" t="n">
        <v>20.114</v>
      </c>
      <c r="H31" s="26" t="n">
        <v>20.114</v>
      </c>
      <c r="I31" s="26" t="n">
        <v>20.114</v>
      </c>
      <c r="J31" s="26" t="n">
        <v>20.114</v>
      </c>
      <c r="K31" s="27">
        <f>J31</f>
        <v/>
      </c>
      <c r="L31" s="26" t="n">
        <v>20.114</v>
      </c>
      <c r="M31" s="26" t="n">
        <v>20.114</v>
      </c>
      <c r="N31" s="26" t="n">
        <v>20.114</v>
      </c>
      <c r="O31" s="26" t="n">
        <v>20.114</v>
      </c>
      <c r="P31" s="27">
        <f>O31</f>
        <v/>
      </c>
      <c r="Q31" s="26" t="n">
        <v>20.114</v>
      </c>
      <c r="R31" s="26" t="n">
        <v>20.114</v>
      </c>
      <c r="S31" s="26" t="n">
        <v>20.114</v>
      </c>
      <c r="T31" s="26" t="n">
        <v>20.114</v>
      </c>
      <c r="U31" s="27">
        <f>T31</f>
        <v/>
      </c>
      <c r="V31" s="26" t="n">
        <v>20.114</v>
      </c>
      <c r="W31" s="26" t="n">
        <v>20.114</v>
      </c>
      <c r="X31" s="26" t="n">
        <v>20.114</v>
      </c>
      <c r="Y31" s="26" t="n">
        <v>20.114</v>
      </c>
      <c r="Z31" s="27">
        <f>Y31</f>
        <v/>
      </c>
      <c r="AA31" s="26" t="n">
        <v>20.114</v>
      </c>
      <c r="AB31" s="28" t="n">
        <v>20.114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4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4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4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4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4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5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5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4" t="n">
        <v>100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0</v>
      </c>
      <c r="P34" s="34">
        <f>SUM(L34:O34)</f>
        <v/>
      </c>
      <c r="Q34" s="18" t="n"/>
      <c r="R34" s="18" t="n"/>
      <c r="S34" s="18" t="n"/>
      <c r="T34" s="18" t="n">
        <v>130</v>
      </c>
      <c r="U34" s="34">
        <f>SUM(Q34:T34)</f>
        <v/>
      </c>
      <c r="V34" s="18" t="n"/>
      <c r="W34" s="18" t="n"/>
      <c r="X34" s="18" t="n"/>
      <c r="Y34" s="18" t="n">
        <v>130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60.53</v>
      </c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>
        <v>10.54</v>
      </c>
      <c r="U35" s="34">
        <f>SUM(Q35:T35)</f>
        <v/>
      </c>
      <c r="V35" s="18" t="n">
        <v>8.84</v>
      </c>
      <c r="W35" s="18" t="n">
        <v>12.78</v>
      </c>
      <c r="X35" s="18" t="n">
        <v>14.31</v>
      </c>
      <c r="Y35" s="18" t="n">
        <v>17.75</v>
      </c>
      <c r="Z35" s="34">
        <f>SUM(V35:Y35)</f>
        <v/>
      </c>
      <c r="AA35" s="18" t="n">
        <v>56.37</v>
      </c>
      <c r="AB35" s="19" t="n">
        <v>24.65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0.64</v>
      </c>
      <c r="F36" s="34" t="n">
        <v>0.62</v>
      </c>
      <c r="G36" s="18" t="n">
        <v>0.59</v>
      </c>
      <c r="H36" s="18" t="n">
        <v>0.5600000000000001</v>
      </c>
      <c r="I36" s="18" t="n">
        <v>0.45</v>
      </c>
      <c r="J36" s="18" t="n">
        <v>0.42</v>
      </c>
      <c r="K36" s="34">
        <f>SUM(G36:J36)</f>
        <v/>
      </c>
      <c r="L36" s="18" t="n">
        <v>0.41</v>
      </c>
      <c r="M36" s="18" t="n">
        <v>0.38</v>
      </c>
      <c r="N36" s="18" t="n">
        <v>0.38</v>
      </c>
      <c r="O36" s="18" t="n">
        <v>0.4</v>
      </c>
      <c r="P36" s="34">
        <f>SUM(L36:O36)</f>
        <v/>
      </c>
      <c r="Q36" s="18" t="n">
        <v>0.37</v>
      </c>
      <c r="R36" s="18" t="n">
        <v>0.43</v>
      </c>
      <c r="S36" s="18" t="n">
        <v>0.43</v>
      </c>
      <c r="T36" s="18" t="n">
        <v>0.39</v>
      </c>
      <c r="U36" s="34">
        <f>SUM(Q36:T36)</f>
        <v/>
      </c>
      <c r="V36" s="18" t="n">
        <v>0.36</v>
      </c>
      <c r="W36" s="18" t="n">
        <v>0.37</v>
      </c>
      <c r="X36" s="18" t="n">
        <v>0.37</v>
      </c>
      <c r="Y36" s="18" t="n">
        <v>0.31</v>
      </c>
      <c r="Z36" s="34">
        <f>SUM(V36:Y36)</f>
        <v/>
      </c>
      <c r="AA36" s="18" t="n">
        <v>0.33</v>
      </c>
      <c r="AB36" s="19" t="n">
        <v>0.33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4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4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4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4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4">
        <f>SUM(V37:Y37)</f>
        <v/>
      </c>
      <c r="AA37" s="18" t="n">
        <v>3559.35</v>
      </c>
      <c r="AB37" s="19" t="n">
        <v>3731.33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4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4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4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4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4">
        <f>SUM(V38:Y38)</f>
        <v/>
      </c>
      <c r="AA38" s="18" t="n">
        <v>10.53</v>
      </c>
      <c r="AB38" s="19" t="n">
        <v>55.59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1">
        <f>IFERROR(AC20/AC5,"")</f>
        <v/>
      </c>
      <c r="AD41" s="31">
        <f>IFERROR(AD20/AD5,"")</f>
        <v/>
      </c>
      <c r="AE41" s="25">
        <f>IFERROR(AE20/AE5,"")</f>
        <v/>
      </c>
      <c r="AF41" s="31">
        <f>IFERROR(AF20/AF5,"")</f>
        <v/>
      </c>
      <c r="AG41" s="31">
        <f>IFERROR(AG20/AG5,"")</f>
        <v/>
      </c>
      <c r="AH41" s="31">
        <f>IFERROR(AH20/AH5,"")</f>
        <v/>
      </c>
      <c r="AI41" s="31">
        <f>IFERROR(AI20/AI5,"")</f>
        <v/>
      </c>
      <c r="AJ41" s="25">
        <f>IFERROR(AJ20/AJ5,"")</f>
        <v/>
      </c>
      <c r="AK41" s="31">
        <f>IFERROR(AK20/AK5,"")</f>
        <v/>
      </c>
      <c r="AL41" s="31">
        <f>IFERROR(AL20/AL5,"")</f>
        <v/>
      </c>
      <c r="AM41" s="31">
        <f>IFERROR(AM20/AM5,"")</f>
        <v/>
      </c>
      <c r="AN41" s="31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2">
        <f>IFERROR(W20/S20-1,"")</f>
        <v/>
      </c>
      <c r="X43" s="31">
        <f>IFERROR(X20/T20-1,"")</f>
        <v/>
      </c>
      <c r="Y43" s="31">
        <f>IFERROR(Y20/U20-1,"")</f>
        <v/>
      </c>
      <c r="Z43" s="31">
        <f>IFERROR(Z20/V20-1,"")</f>
        <v/>
      </c>
      <c r="AA43" s="31">
        <f>IFERROR(AA20/W20-1,"")</f>
        <v/>
      </c>
      <c r="AB43" s="31">
        <f>IFERROR(AB20/X20-1,"")</f>
        <v/>
      </c>
      <c r="AC43" s="31">
        <f>IFERROR(AC20/Y20-1,"")</f>
        <v/>
      </c>
      <c r="AD43" s="31">
        <f>IFERROR(AD20/Z20-1,"")</f>
        <v/>
      </c>
      <c r="AE43" s="31">
        <f>IFERROR(AE20/AA20-1,"")</f>
        <v/>
      </c>
      <c r="AF43" s="31">
        <f>IFERROR(AF20/AB20-1,"")</f>
        <v/>
      </c>
      <c r="AG43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2">
        <f>IFERROR(I20/H20-1,"")</f>
        <v/>
      </c>
      <c r="J43" s="31">
        <f>IFERROR(J20/I20-1,"")</f>
        <v/>
      </c>
      <c r="K43" s="31">
        <f>IFERROR(K20/J20-1,"")</f>
        <v/>
      </c>
      <c r="L43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9.619999999999999</v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