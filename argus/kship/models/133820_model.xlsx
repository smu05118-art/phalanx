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277599억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289467억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302149억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307067억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317683억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332605억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277599억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289467억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302149억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307067억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317683억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332605억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C12" authorId="0" shapeId="0">
      <text>
        <t>추정: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D12" authorId="0" shapeId="0">
      <text>
        <t>추정: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F12" authorId="0" shapeId="0">
      <text>
        <t>추정: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G12" authorId="0" shapeId="0">
      <text>
        <t>추정: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H12" authorId="0" shapeId="0">
      <text>
        <t>추정: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I12" authorId="0" shapeId="0">
      <text>
        <t>추정: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K12" authorId="0" shapeId="0">
      <text>
        <t>추정: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L12" authorId="0" shapeId="0">
      <text>
        <t>추정: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M12" authorId="0" shapeId="0">
      <text>
        <t>추정: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N12" authorId="0" shapeId="0">
      <text>
        <t>추정: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0.09% / 부채 0.00% — 이자손익 = (전분기 이자발생자산 × 자산이자율 − 전분기 총차입금 × 부채이자율)/4, 최소자승 역산(모델 assumptions [0.0009, None] 는 4자리 반올림이라 그대로 쓰면 ±1억 어긋남) · 출처: {"asset": "CF 이자수취 ÷ 평균 이자발생자산(2025Q3~2026Q2; 주석 이자수익 연율 46.0% 클립 — 주석 연율 46.0% &gt; 상한 20% · 주석/CF 508.90배 · CF 창 2025Q3~2026Q2(= la))",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이자발생자산 이자율: 주석 연율 46.0% 이상(주석 연율 46.0% &gt; 상한 20% · 주석/CF 508.90배 · CF 창 2025Q3~2026Q2(= la)) → CF 연율 0.1% 로 클립(assumptions.interest_rate_check) / 금융손익 실적→추정 단절: 최근 4분기 실적 -30/-15/-14/-14(중위 -14억) → 추정 2026Q3 +0억(차 +14억, +100%)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999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995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0.233043266</v>
      </c>
      <c r="AI21" s="24" t="n">
        <v>0.244014629</v>
      </c>
      <c r="AJ21" s="25" t="n"/>
      <c r="AK21" s="24" t="n">
        <v>0.239878837</v>
      </c>
      <c r="AL21" s="24" t="n">
        <v>0.174155886</v>
      </c>
      <c r="AM21" s="24" t="n">
        <v>0.144395343</v>
      </c>
      <c r="AN21" s="24" t="n">
        <v>0.149022579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0.013339709</v>
      </c>
      <c r="AI23" s="24" t="n">
        <v>0.013335354</v>
      </c>
      <c r="AJ23" s="25">
        <f>IFERROR(subQ!AJ9/subQ!AJ5,"")</f>
        <v/>
      </c>
      <c r="AK23" s="24" t="n">
        <v>0.01334273</v>
      </c>
      <c r="AL23" s="24" t="n">
        <v>0.013334766</v>
      </c>
      <c r="AM23" s="24" t="n">
        <v>0.013342363</v>
      </c>
      <c r="AN23" s="24" t="n">
        <v>0.013333509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0.000410193</v>
      </c>
      <c r="AD30" s="30" t="n">
        <v>-0.005496361</v>
      </c>
      <c r="AE30" s="31" t="n"/>
      <c r="AF30" s="30" t="n">
        <v>0.001310428</v>
      </c>
      <c r="AG30" s="30" t="n">
        <v>-0.002656071</v>
      </c>
      <c r="AH30" s="30" t="n">
        <v>-0.00178087</v>
      </c>
      <c r="AI30" s="30" t="n">
        <v>-0.005210338</v>
      </c>
      <c r="AJ30" s="31" t="n"/>
      <c r="AK30" s="30" t="n">
        <v>0.009457511</v>
      </c>
      <c r="AL30" s="30" t="n">
        <v>-0.00500445</v>
      </c>
      <c r="AM30" s="30" t="n">
        <v>0.00248034</v>
      </c>
      <c r="AN30" s="30" t="n">
        <v>-0.001613654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0.000910193</v>
      </c>
      <c r="AD31" s="30" t="n">
        <v>-0.005496361</v>
      </c>
      <c r="AE31" s="31" t="n"/>
      <c r="AF31" s="30" t="n">
        <v>0.001310428</v>
      </c>
      <c r="AG31" s="30" t="n">
        <v>-0.002656071</v>
      </c>
      <c r="AH31" s="30" t="n">
        <v>-0.00178087</v>
      </c>
      <c r="AI31" s="30" t="n">
        <v>-0.005210338</v>
      </c>
      <c r="AJ31" s="31" t="n"/>
      <c r="AK31" s="30" t="n">
        <v>-0.0005424889999999999</v>
      </c>
      <c r="AL31" s="30" t="n">
        <v>0.00499555</v>
      </c>
      <c r="AM31" s="30" t="n">
        <v>0.00248034</v>
      </c>
      <c r="AN31" s="30" t="n">
        <v>-0.001613654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-0.017075663</v>
      </c>
      <c r="AD33" s="24" t="n">
        <v>-0.017830609</v>
      </c>
      <c r="AE33" s="25" t="n"/>
      <c r="AF33" s="24" t="n">
        <v>-0.017977023</v>
      </c>
      <c r="AG33" s="24" t="n">
        <v>-0.018799572</v>
      </c>
      <c r="AH33" s="24" t="n">
        <v>-0.019834407</v>
      </c>
      <c r="AI33" s="24" t="n">
        <v>-0.020924063</v>
      </c>
      <c r="AJ33" s="25" t="n"/>
      <c r="AK33" s="24" t="n">
        <v>-0.021102817</v>
      </c>
      <c r="AL33" s="24" t="n">
        <v>-0.021727492</v>
      </c>
      <c r="AM33" s="24" t="n">
        <v>-0.022797347</v>
      </c>
      <c r="AN33" s="24" t="n">
        <v>-0.024257987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0.090500077</v>
      </c>
      <c r="AD34" s="24" t="n">
        <v>0.08517717499999999</v>
      </c>
      <c r="AE34" s="25" t="n"/>
      <c r="AF34" s="24" t="n">
        <v>0.077724973</v>
      </c>
      <c r="AG34" s="24" t="n">
        <v>0.074063537</v>
      </c>
      <c r="AH34" s="24" t="n">
        <v>0.071384425</v>
      </c>
      <c r="AI34" s="24" t="n">
        <v>0.068894474</v>
      </c>
      <c r="AJ34" s="25" t="n"/>
      <c r="AK34" s="24" t="n">
        <v>0.06360587500000001</v>
      </c>
      <c r="AL34" s="24" t="n">
        <v>0.060345765</v>
      </c>
      <c r="AM34" s="24" t="n">
        <v>0.058381187</v>
      </c>
      <c r="AN34" s="24" t="n">
        <v>0.057356931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999</v>
      </c>
      <c r="E42" s="2" t="inlineStr">
        <is>
          <t>원 — 네이버 정규장 종가(aik 확정종가 대조 · aik 980원)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0.2202002931118711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0.05202427723116311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0.0009239466175731165</v>
      </c>
      <c r="E52" s="2" t="inlineStr">
        <is>
          <t>연결 — 이자손익 = (전분기 이자발생자산 × 자산이자율 − 전분기 총차입금 × 부채이자율)/4(역산, 재현 오차 ≤ 0.05억 · 모델 assumptions 0.0009)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5.875565788663742e-06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O32" s="18" t="n">
        <v>307.76</v>
      </c>
      <c r="P32" s="37" t="n">
        <v>307.76</v>
      </c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710.4299999999999</v>
      </c>
      <c r="P52" s="37" t="n">
        <v>710.4299999999999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307.76</v>
      </c>
      <c r="P54" s="37" t="n">
        <v>307.76</v>
      </c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 t="n"/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59.1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16.9</v>
      </c>
    </row>
    <row r="32">
      <c r="C32" s="2" t="inlineStr">
        <is>
          <t>pbr_now</t>
        </is>
      </c>
      <c r="D32" t="n">
        <v>0.74</v>
      </c>
    </row>
    <row r="33">
      <c r="C33" s="2" t="inlineStr">
        <is>
          <t>roe_fwd</t>
        </is>
      </c>
      <c r="D33" t="n">
        <v>0.0435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11.63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