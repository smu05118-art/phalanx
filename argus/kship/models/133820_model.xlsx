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BS연결!$C$5:$AO$90</definedName>
    <definedName name="BS별도H">BS별도!$C$1:$AO$1</definedName>
    <definedName name="BS별도">BS별도!$C$5:$AO$93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277605억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289784억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303133억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308660억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319501억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333694억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모델값 역산(implied): v / 매출액
매출액 × 판관비율 5.20%(최근 4분기 중위)</t>
      </text>
    </comment>
    <comment ref="AD22" authorId="0" shapeId="0">
      <text>
        <t>모델값 역산(implied): v / 매출액
매출액 × 판관비율 5.20%(최근 4분기 중위)</t>
      </text>
    </comment>
    <comment ref="AF22" authorId="0" shapeId="0">
      <text>
        <t>모델값 역산(implied): v / 매출액
매출액 × 판관비율 5.20%(최근 4분기 중위)</t>
      </text>
    </comment>
    <comment ref="AG22" authorId="0" shapeId="0">
      <text>
        <t>모델값 역산(implied): v / 매출액
매출액 × 판관비율 5.20%(최근 4분기 중위)</t>
      </text>
    </comment>
    <comment ref="AH22" authorId="0" shapeId="0">
      <text>
        <t>모델값 역산(implied): v / 매출액
매출액 × 판관비율 5.20%(최근 4분기 중위)</t>
      </text>
    </comment>
    <comment ref="AI22" authorId="0" shapeId="0">
      <text>
        <t>모델값 역산(implied): v / 매출액
매출액 × 판관비율 5.20%(최근 4분기 중위)</t>
      </text>
    </comment>
    <comment ref="AK22" authorId="0" shapeId="0">
      <text>
        <t>모델값 역산(implied): v / 매출액
매출액 × 판관비율 5.20%(최근 4분기 중위)</t>
      </text>
    </comment>
    <comment ref="AL22" authorId="0" shapeId="0">
      <text>
        <t>모델값 역산(implied): v / 매출액
매출액 × 판관비율 5.20%(최근 4분기 중위)</t>
      </text>
    </comment>
    <comment ref="AM22" authorId="0" shapeId="0">
      <text>
        <t>모델값 역산(implied): v / 매출액
매출액 × 판관비율 5.20%(최근 4분기 중위)</t>
      </text>
    </comment>
    <comment ref="AN22" authorId="0" shapeId="0">
      <text>
        <t>모델값 역산(implied): v / 매출액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v / 전년동기 − 1
최근 8분기 OPM 중위 1.3% 유지</t>
      </text>
    </comment>
    <comment ref="AD24" authorId="0" shapeId="0">
      <text>
        <t>모델값 역산(implied): v / 전년동기 − 1
최근 8분기 OPM 중위 1.3% 유지</t>
      </text>
    </comment>
    <comment ref="AF24" authorId="0" shapeId="0">
      <text>
        <t>모델값 역산(implied): v / 전년동기 − 1
최근 8분기 OPM 중위 1.3% 유지</t>
      </text>
    </comment>
    <comment ref="AG24" authorId="0" shapeId="0">
      <text>
        <t>모델값 역산(implied): v / 전년동기 − 1
최근 8분기 OPM 중위 1.3% 유지</t>
      </text>
    </comment>
    <comment ref="AH24" authorId="0" shapeId="0">
      <text>
        <t>모델값 역산(implied): v / 전년동기 − 1
최근 8분기 OPM 중위 1.3% 유지</t>
      </text>
    </comment>
    <comment ref="AI24" authorId="0" shapeId="0">
      <text>
        <t>모델값 역산(implied): v / 전년동기 − 1
최근 8분기 OPM 중위 1.3% 유지</t>
      </text>
    </comment>
    <comment ref="AK24" authorId="0" shapeId="0">
      <text>
        <t>모델값 역산(implied): v / 전년동기 − 1
최근 8분기 OPM 중위 1.3% 유지</t>
      </text>
    </comment>
    <comment ref="AL24" authorId="0" shapeId="0">
      <text>
        <t>모델값 역산(implied): v / 전년동기 − 1
최근 8분기 OPM 중위 1.3% 유지</t>
      </text>
    </comment>
    <comment ref="AM24" authorId="0" shapeId="0">
      <text>
        <t>모델값 역산(implied): v / 전년동기 − 1
최근 8분기 OPM 중위 1.3% 유지</t>
      </text>
    </comment>
    <comment ref="AN24" authorId="0" shapeId="0">
      <text>
        <t>모델값 역산(implied): v / 전년동기 − 1
최근 8분기 OPM 중위 1.3% 유지</t>
      </text>
    </comment>
    <comment ref="AC25" authorId="0" shapeId="0">
      <text>
        <t>모델값 역산(implied): 모델 v 그대로
이자손익 = 이자발생자산 165억 × 0.09% − 총차입금 0억 × 0.00% (연율, CF 실측) ÷ 4; 환·평가손익 0 가정</t>
      </text>
    </comment>
    <comment ref="AD25" authorId="0" shapeId="0">
      <text>
        <t>모델값 역산(implied): 모델 v 그대로
이자손익 = 이자발생자산 171억 × 0.09% − 총차입금 0억 × 0.00% (연율, CF 실측) ÷ 4; 환·평가손익 0 가정</t>
      </text>
    </comment>
    <comment ref="AF25" authorId="0" shapeId="0">
      <text>
        <t>모델값 역산(implied): 모델 v 그대로
이자손익 = 이자발생자산 176억 × 0.09% − 총차입금 0억 × 0.00% (연율, CF 실측) ÷ 4; 환·평가손익 0 가정</t>
      </text>
    </comment>
    <comment ref="AG25" authorId="0" shapeId="0">
      <text>
        <t>모델값 역산(implied): 모델 v 그대로
이자손익 = 이자발생자산 181억 × 0.09% − 총차입금 0억 × 0.00% (연율, CF 실측) ÷ 4; 환·평가손익 0 가정</t>
      </text>
    </comment>
    <comment ref="AH25" authorId="0" shapeId="0">
      <text>
        <t>모델값 역산(implied): 모델 v 그대로
이자손익 = 이자발생자산 187억 × 0.09% − 총차입금 0억 × 0.00% (연율, CF 실측) ÷ 4; 환·평가손익 0 가정</t>
      </text>
    </comment>
    <comment ref="AI25" authorId="0" shapeId="0">
      <text>
        <t>모델값 역산(implied): 모델 v 그대로
이자손익 = 이자발생자산 194억 × 0.09% − 총차입금 0억 × 0.00% (연율, CF 실측) ÷ 4; 환·평가손익 0 가정</t>
      </text>
    </comment>
    <comment ref="AK25" authorId="0" shapeId="0">
      <text>
        <t>모델값 역산(implied): 모델 v 그대로
이자손익 = 이자발생자산 200억 × 0.09% − 총차입금 0억 × 0.00% (연율, CF 실측) ÷ 4; 환·평가손익 0 가정</t>
      </text>
    </comment>
    <comment ref="AL25" authorId="0" shapeId="0">
      <text>
        <t>모델값 역산(implied): 모델 v 그대로
이자손익 = 이자발생자산 207억 × 0.09% − 총차입금 0억 × 0.00% (연율, CF 실측) ÷ 4; 환·평가손익 0 가정</t>
      </text>
    </comment>
    <comment ref="AM25" authorId="0" shapeId="0">
      <text>
        <t>모델값 역산(implied): 모델 v 그대로
이자손익 = 이자발생자산 214억 × 0.09% − 총차입금 0억 × 0.00% (연율, CF 실측) ÷ 4; 환·평가손익 0 가정</t>
      </text>
    </comment>
    <comment ref="AN25" authorId="0" shapeId="0">
      <text>
        <t>모델값 역산(implied): 모델 v 그대로
이자손익 = 이자발생자산 221억 × 0.09%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277605억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289784억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303133억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308660억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319501억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333694억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1.3% 유지
[yoy]</t>
      </text>
    </comment>
    <comment ref="AD10" authorId="0" shapeId="0">
      <text>
        <t>추정: 최근 8분기 OPM 중위 1.3% 유지
[yoy]</t>
      </text>
    </comment>
    <comment ref="AF10" authorId="0" shapeId="0">
      <text>
        <t>추정: 최근 8분기 OPM 중위 1.3% 유지
[yoy]</t>
      </text>
    </comment>
    <comment ref="AG10" authorId="0" shapeId="0">
      <text>
        <t>추정: 최근 8분기 OPM 중위 1.3% 유지
[yoy]</t>
      </text>
    </comment>
    <comment ref="AH10" authorId="0" shapeId="0">
      <text>
        <t>추정: 최근 8분기 OPM 중위 1.3% 유지
[yoy]</t>
      </text>
    </comment>
    <comment ref="AI10" authorId="0" shapeId="0">
      <text>
        <t>추정: 최근 8분기 OPM 중위 1.3% 유지
[yoy]</t>
      </text>
    </comment>
    <comment ref="AK10" authorId="0" shapeId="0">
      <text>
        <t>추정: 최근 8분기 OPM 중위 1.3% 유지
[yoy]</t>
      </text>
    </comment>
    <comment ref="AL10" authorId="0" shapeId="0">
      <text>
        <t>추정: 최근 8분기 OPM 중위 1.3% 유지
[yoy]</t>
      </text>
    </comment>
    <comment ref="AM10" authorId="0" shapeId="0">
      <text>
        <t>추정: 최근 8분기 OPM 중위 1.3% 유지
[yoy]</t>
      </text>
    </comment>
    <comment ref="AN10" authorId="0" shapeId="0">
      <text>
        <t>추정: 최근 8분기 OPM 중위 1.3% 유지
[yoy]</t>
      </text>
    </comment>
    <comment ref="AC11" authorId="0" shapeId="0">
      <text>
        <t>추정: 이자손익 = 이자발생자산 165억 × 0.09% − 총차입금 0억 × 0.00% (연율, CF 실측) ÷ 4; 환·평가손익 0 가정
[abs]</t>
      </text>
    </comment>
    <comment ref="AD11" authorId="0" shapeId="0">
      <text>
        <t>추정: 이자손익 = 이자발생자산 171억 × 0.09% − 총차입금 0억 × 0.00% (연율, CF 실측) ÷ 4; 환·평가손익 0 가정
[abs]</t>
      </text>
    </comment>
    <comment ref="AF11" authorId="0" shapeId="0">
      <text>
        <t>추정: 이자손익 = 이자발생자산 176억 × 0.09% − 총차입금 0억 × 0.00% (연율, CF 실측) ÷ 4; 환·평가손익 0 가정
[abs]</t>
      </text>
    </comment>
    <comment ref="AG11" authorId="0" shapeId="0">
      <text>
        <t>추정: 이자손익 = 이자발생자산 181억 × 0.09% − 총차입금 0억 × 0.00% (연율, CF 실측) ÷ 4; 환·평가손익 0 가정
[abs]</t>
      </text>
    </comment>
    <comment ref="AH11" authorId="0" shapeId="0">
      <text>
        <t>추정: 이자손익 = 이자발생자산 187억 × 0.09% − 총차입금 0억 × 0.00% (연율, CF 실측) ÷ 4; 환·평가손익 0 가정
[abs]</t>
      </text>
    </comment>
    <comment ref="AI11" authorId="0" shapeId="0">
      <text>
        <t>추정: 이자손익 = 이자발생자산 194억 × 0.09% − 총차입금 0억 × 0.00% (연율, CF 실측) ÷ 4; 환·평가손익 0 가정
[abs]</t>
      </text>
    </comment>
    <comment ref="AK11" authorId="0" shapeId="0">
      <text>
        <t>추정: 이자손익 = 이자발생자산 200억 × 0.09% − 총차입금 0억 × 0.00% (연율, CF 실측) ÷ 4; 환·평가손익 0 가정
[abs]</t>
      </text>
    </comment>
    <comment ref="AL11" authorId="0" shapeId="0">
      <text>
        <t>추정: 이자손익 = 이자발생자산 207억 × 0.09% − 총차입금 0억 × 0.00% (연율, CF 실측) ÷ 4; 환·평가손익 0 가정
[abs]</t>
      </text>
    </comment>
    <comment ref="AM11" authorId="0" shapeId="0">
      <text>
        <t>추정: 이자손익 = 이자발생자산 214억 × 0.09% − 총차입금 0억 × 0.00% (연율, CF 실측) ÷ 4; 환·평가손익 0 가정
[abs]</t>
      </text>
    </comment>
    <comment ref="AN11" authorId="0" shapeId="0">
      <text>
        <t>추정: 이자손익 = 이자발생자산 221억 × 0.09%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추정(가정 셀 참조 불가 — 기준값 없음, 모델값 직접): 마지막 실적 유지(가정)</t>
      </text>
    </comment>
    <comment ref="AD23" authorId="0" shapeId="0">
      <text>
        <t>추정(가정 셀 참조 불가 — 기준값 없음, 모델값 직접): 마지막 실적 유지(가정)</t>
      </text>
    </comment>
    <comment ref="AF23" authorId="0" shapeId="0">
      <text>
        <t>추정(가정 셀 참조 불가 — 기준값 없음, 모델값 직접): 마지막 실적 유지(가정)</t>
      </text>
    </comment>
    <comment ref="AG23" authorId="0" shapeId="0">
      <text>
        <t>추정(가정 셀 참조 불가 — 기준값 없음, 모델값 직접): 마지막 실적 유지(가정)</t>
      </text>
    </comment>
    <comment ref="AH23" authorId="0" shapeId="0">
      <text>
        <t>추정(가정 셀 참조 불가 — 기준값 없음, 모델값 직접): 마지막 실적 유지(가정)</t>
      </text>
    </comment>
    <comment ref="AI23" authorId="0" shapeId="0">
      <text>
        <t>추정(가정 셀 참조 불가 — 기준값 없음, 모델값 직접): 마지막 실적 유지(가정)</t>
      </text>
    </comment>
    <comment ref="AK23" authorId="0" shapeId="0">
      <text>
        <t>추정(가정 셀 참조 불가 — 기준값 없음, 모델값 직접): 마지막 실적 유지(가정)</t>
      </text>
    </comment>
    <comment ref="AL23" authorId="0" shapeId="0">
      <text>
        <t>추정(가정 셀 참조 불가 — 기준값 없음, 모델값 직접): 마지막 실적 유지(가정)</t>
      </text>
    </comment>
    <comment ref="AM23" authorId="0" shapeId="0">
      <text>
        <t>추정(가정 셀 참조 불가 — 기준값 없음, 모델값 직접): 마지막 실적 유지(가정)</t>
      </text>
    </comment>
    <comment ref="AN23" authorId="0" shapeId="0">
      <text>
        <t>추정(가정 셀 참조 불가 — 기준값 없음, 모델값 직접): 마지막 실적 유지(가정)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F26" authorId="0" shapeId="0">
      <text>
        <t>연간 실측(BS 시트에 2021.12A 없음 — 모델 a 값 직접)</t>
      </text>
    </comment>
    <comment ref="E28" authorId="0" shapeId="0">
      <text>
        <t>실측(계정 매핑 없음 — 모델값 직접) — fin.sep.cf.영업활동으로인한현금흐름 (연결 손익 없는 분기 → 별도 보충)</t>
      </text>
    </comment>
    <comment ref="G28" authorId="0" shapeId="0">
      <text>
        <t>실측(계정 매핑 없음 — 모델값 직접) — fin.sep.cf.영업활동으로인한현금흐름 (연결 손익 없는 분기 → 별도 보충)</t>
      </text>
    </comment>
    <comment ref="H28" authorId="0" shapeId="0">
      <text>
        <t>실측(계정 매핑 없음 — 모델값 직접) — fin.sep.cf.영업활동으로인한현금흐름 (연결 손익 없는 분기 → 별도 보충)</t>
      </text>
    </comment>
    <comment ref="I28" authorId="0" shapeId="0">
      <text>
        <t>실측(계정 매핑 없음 — 모델값 직접) — fin.sep.cf.영업활동으로인한현금흐름 (연결 손익 없는 분기 → 별도 보충)</t>
      </text>
    </comment>
    <comment ref="J28" authorId="0" shapeId="0">
      <text>
        <t>실측(계정 매핑 없음 — 모델값 직접) — fin.sep.cf.영업활동으로인한현금흐름 (연결 손익 없는 분기 → 별도 보충)</t>
      </text>
    </comment>
    <comment ref="L28" authorId="0" shapeId="0">
      <text>
        <t>실측(계정 매핑 없음 — 모델값 직접) — fin.sep.cf.영업활동으로인한현금흐름 (연결 손익 없는 분기 → 별도 보충)</t>
      </text>
    </comment>
    <comment ref="M28" authorId="0" shapeId="0">
      <text>
        <t>실측(계정 매핑 없음 — 모델값 직접) — fin.sep.cf.영업활동으로인한현금흐름 (연결 손익 없는 분기 → 별도 보충)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D33" authorId="0" shapeId="0">
      <text>
        <t>추정(가정 셀 참조 불가 — 기준값 없음, 모델값 직접): 현재 종가 ÷ TTM EPS(추정 포함)</t>
      </text>
    </comment>
    <comment ref="AF33" authorId="0" shapeId="0">
      <text>
        <t>추정: 현재 종가 ÷ TTM EPS(추정 포함)
[yoy]</t>
      </text>
    </comment>
    <comment ref="AG33" authorId="0" shapeId="0">
      <text>
        <t>추정(가정 셀 참조 불가 — 기준값 없음, 모델값 직접): 현재 종가 ÷ TTM EPS(추정 포함)</t>
      </text>
    </comment>
    <comment ref="AH33" authorId="0" shapeId="0">
      <text>
        <t>추정(가정 셀 참조 불가 — 기준값 없음, 모델값 직접): 현재 종가 ÷ TTM EPS(추정 포함)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assets/models/133820.json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</t>
        </is>
      </c>
    </row>
    <row r="22">
      <c r="A22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24.8, "wape_trend": 39.8,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0.013804</v>
      </c>
      <c r="AD21" s="24" t="n">
        <v>-0.006342</v>
      </c>
      <c r="AE21" s="25" t="n"/>
      <c r="AF21" s="24" t="n">
        <v>0.017405</v>
      </c>
      <c r="AG21" s="24" t="n">
        <v>0.129553</v>
      </c>
      <c r="AH21" s="24" t="n">
        <v>0.233064</v>
      </c>
      <c r="AI21" s="24" t="n">
        <v>0.245372</v>
      </c>
      <c r="AJ21" s="25" t="n"/>
      <c r="AK21" s="24" t="n">
        <v>0.243918</v>
      </c>
      <c r="AL21" s="24" t="n">
        <v>0.180246</v>
      </c>
      <c r="AM21" s="24" t="n">
        <v>0.150923</v>
      </c>
      <c r="AN21" s="24" t="n">
        <v>0.151524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0.052029</v>
      </c>
      <c r="AD22" s="24" t="n">
        <v>0.05203</v>
      </c>
      <c r="AE22" s="25">
        <f>IFERROR(subQ!AE8/subQ!AE5,"")</f>
        <v/>
      </c>
      <c r="AF22" s="24" t="n">
        <v>0.052018</v>
      </c>
      <c r="AG22" s="24" t="n">
        <v>0.052016</v>
      </c>
      <c r="AH22" s="24" t="n">
        <v>0.052022</v>
      </c>
      <c r="AI22" s="24" t="n">
        <v>0.052027</v>
      </c>
      <c r="AJ22" s="25">
        <f>IFERROR(subQ!AJ8/subQ!AJ5,"")</f>
        <v/>
      </c>
      <c r="AK22" s="24" t="n">
        <v>0.052027</v>
      </c>
      <c r="AL22" s="24" t="n">
        <v>0.052026</v>
      </c>
      <c r="AM22" s="24" t="n">
        <v>0.05202</v>
      </c>
      <c r="AN22" s="24" t="n">
        <v>0.05203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0.013338</v>
      </c>
      <c r="AD23" s="24" t="n">
        <v>0.013328</v>
      </c>
      <c r="AE23" s="25">
        <f>IFERROR(subQ!AE9/subQ!AE5,"")</f>
        <v/>
      </c>
      <c r="AF23" s="24" t="n">
        <v>0.01334</v>
      </c>
      <c r="AG23" s="24" t="n">
        <v>0.013333</v>
      </c>
      <c r="AH23" s="24" t="n">
        <v>0.013339</v>
      </c>
      <c r="AI23" s="24" t="n">
        <v>0.013336</v>
      </c>
      <c r="AJ23" s="25">
        <f>IFERROR(subQ!AJ9/subQ!AJ5,"")</f>
        <v/>
      </c>
      <c r="AK23" s="24" t="n">
        <v>0.013331</v>
      </c>
      <c r="AL23" s="24" t="n">
        <v>0.013342</v>
      </c>
      <c r="AM23" s="24" t="n">
        <v>0.013338</v>
      </c>
      <c r="AN23" s="24" t="n">
        <v>0.013329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18</v>
      </c>
      <c r="AD24" s="24" t="n">
        <v>-0.672414</v>
      </c>
      <c r="AE24" s="25" t="n"/>
      <c r="AF24" s="24" t="n">
        <v>-0.516364</v>
      </c>
      <c r="AG24" s="24" t="n">
        <v>-0.488462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0.04</v>
      </c>
      <c r="AD25" s="29" t="n">
        <v>0.04</v>
      </c>
      <c r="AE25" s="30">
        <f>subQ!AE11</f>
        <v/>
      </c>
      <c r="AF25" s="29" t="n">
        <v>0.04</v>
      </c>
      <c r="AG25" s="29" t="n">
        <v>0.04</v>
      </c>
      <c r="AH25" s="29" t="n">
        <v>0.04</v>
      </c>
      <c r="AI25" s="29" t="n">
        <v>0.04</v>
      </c>
      <c r="AJ25" s="30">
        <f>subQ!AJ11</f>
        <v/>
      </c>
      <c r="AK25" s="29" t="n">
        <v>0.05</v>
      </c>
      <c r="AL25" s="29" t="n">
        <v>0.05</v>
      </c>
      <c r="AM25" s="29" t="n">
        <v>0.05</v>
      </c>
      <c r="AN25" s="29" t="n">
        <v>0.05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0.219697</v>
      </c>
      <c r="AD27" s="24" t="n">
        <v>0.219409</v>
      </c>
      <c r="AE27" s="25">
        <f>IFERROR(subQ!AE14/subQ!AE13,"")</f>
        <v/>
      </c>
      <c r="AF27" s="24" t="n">
        <v>0.219971</v>
      </c>
      <c r="AG27" s="24" t="n">
        <v>0.22043</v>
      </c>
      <c r="AH27" s="24" t="n">
        <v>0.220172</v>
      </c>
      <c r="AI27" s="24" t="n">
        <v>0.220339</v>
      </c>
      <c r="AJ27" s="25">
        <f>IFERROR(subQ!AJ14/subQ!AJ13,"")</f>
        <v/>
      </c>
      <c r="AK27" s="24" t="n">
        <v>0.220023</v>
      </c>
      <c r="AL27" s="24" t="n">
        <v>0.219818</v>
      </c>
      <c r="AM27" s="24" t="n">
        <v>0.220085</v>
      </c>
      <c r="AN27" s="24" t="n">
        <v>0.219823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0.057576</v>
      </c>
      <c r="AI30" s="24" t="n">
        <v>0.06466</v>
      </c>
      <c r="AJ30" s="25" t="n"/>
      <c r="AK30" s="24" t="n">
        <v>0.062921</v>
      </c>
      <c r="AL30" s="24" t="n">
        <v>0.048825</v>
      </c>
      <c r="AM30" s="24" t="n">
        <v>0.043696</v>
      </c>
      <c r="AN30" s="24" t="n">
        <v>0.046422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3e-06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0.0063</v>
      </c>
      <c r="AD32" s="29" t="n">
        <v>-0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0.0068</v>
      </c>
      <c r="AD33" s="29" t="n">
        <v>0</v>
      </c>
      <c r="AE33" s="30" t="n"/>
      <c r="AF33" s="29" t="n">
        <v>0</v>
      </c>
      <c r="AG33" s="29" t="n">
        <v>0</v>
      </c>
      <c r="AH33" s="29" t="n">
        <v>0</v>
      </c>
      <c r="AI33" s="29" t="n">
        <v>0</v>
      </c>
      <c r="AJ33" s="30" t="n"/>
      <c r="AK33" s="29" t="n">
        <v>0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0.037291</v>
      </c>
      <c r="AD35" s="24" t="n">
        <v>0.038765</v>
      </c>
      <c r="AE35" s="25" t="n"/>
      <c r="AF35" s="24" t="n">
        <v>0.036175</v>
      </c>
      <c r="AG35" s="24" t="n">
        <v>0.037703</v>
      </c>
      <c r="AH35" s="24" t="n">
        <v>0.039647</v>
      </c>
      <c r="AI35" s="24" t="n">
        <v>0.041564</v>
      </c>
      <c r="AJ35" s="25" t="n"/>
      <c r="AK35" s="24" t="n">
        <v>0.038635</v>
      </c>
      <c r="AL35" s="24" t="n">
        <v>0.038087</v>
      </c>
      <c r="AM35" s="24" t="n">
        <v>0.0391</v>
      </c>
      <c r="AN35" s="24" t="n">
        <v>0.040979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0.031116</v>
      </c>
      <c r="AD36" s="24" t="n">
        <v>0.032549</v>
      </c>
      <c r="AE36" s="25" t="n"/>
      <c r="AF36" s="24" t="n">
        <v>0.030615</v>
      </c>
      <c r="AG36" s="24" t="n">
        <v>0.031965</v>
      </c>
      <c r="AH36" s="24" t="n">
        <v>0.033858</v>
      </c>
      <c r="AI36" s="24" t="n">
        <v>0.035694</v>
      </c>
      <c r="AJ36" s="25" t="n"/>
      <c r="AK36" s="24" t="n">
        <v>0.033416</v>
      </c>
      <c r="AL36" s="24" t="n">
        <v>0.03306</v>
      </c>
      <c r="AM36" s="24" t="n">
        <v>0.034057</v>
      </c>
      <c r="AN36" s="24" t="n">
        <v>0.035963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24" t="n">
        <v>-0.268013</v>
      </c>
      <c r="AG42" s="31" t="n"/>
      <c r="AH42" s="31" t="n"/>
      <c r="AI42" s="24" t="n">
        <v>-0.44535</v>
      </c>
      <c r="AJ42" s="25" t="n"/>
      <c r="AK42" s="24" t="n">
        <v>-0.346366</v>
      </c>
      <c r="AL42" s="24" t="n">
        <v>-0.184211</v>
      </c>
      <c r="AM42" s="24" t="n">
        <v>-0.169609</v>
      </c>
      <c r="AN42" s="24" t="n">
        <v>-0.152305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-0.217391</v>
      </c>
      <c r="AD43" s="24" t="n">
        <v>-0.5</v>
      </c>
      <c r="AE43" s="25" t="n"/>
      <c r="AF43" s="24" t="n">
        <v>-0.385965</v>
      </c>
      <c r="AG43" s="24" t="n">
        <v>-0.270833</v>
      </c>
      <c r="AH43" s="24" t="n">
        <v>-0.041667</v>
      </c>
      <c r="AI43" s="24" t="n">
        <v>-0.042254</v>
      </c>
      <c r="AJ43" s="25" t="n"/>
      <c r="AK43" s="24" t="n">
        <v>-0.042857</v>
      </c>
      <c r="AL43" s="24" t="n">
        <v>-0.057143</v>
      </c>
      <c r="AM43" s="24" t="n">
        <v>-0.057971</v>
      </c>
      <c r="AN43" s="24" t="n">
        <v>-0.058824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0.013338</v>
      </c>
      <c r="AD45" s="24" t="n">
        <v>0.013328</v>
      </c>
      <c r="AE45" s="25">
        <f>IFERROR(subQ!AE36/subQ!AE35,"")</f>
        <v/>
      </c>
      <c r="AF45" s="24" t="n">
        <v>0.01334</v>
      </c>
      <c r="AG45" s="24" t="n">
        <v>0.013333</v>
      </c>
      <c r="AH45" s="24" t="n">
        <v>0.013339</v>
      </c>
      <c r="AI45" s="24" t="n">
        <v>0.013336</v>
      </c>
      <c r="AJ45" s="25">
        <f>IFERROR(subQ!AJ36/subQ!AJ35,"")</f>
        <v/>
      </c>
      <c r="AK45" s="24" t="n">
        <v>0.013331</v>
      </c>
      <c r="AL45" s="24" t="n">
        <v>0.013342</v>
      </c>
      <c r="AM45" s="24" t="n">
        <v>0.013338</v>
      </c>
      <c r="AN45" s="24" t="n">
        <v>0.013329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985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2개 &lt; 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0.052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4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4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4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4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4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4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4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4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4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4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4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4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4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4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4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4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4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4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4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4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4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4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4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4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4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4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4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4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4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4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4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4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4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4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4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4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4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4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4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4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4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4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4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4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4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4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4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4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4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4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4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4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4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4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402.67</v>
      </c>
      <c r="P26" s="34" t="n">
        <v>402.67</v>
      </c>
      <c r="Q26" s="18" t="n">
        <v>392.43</v>
      </c>
      <c r="R26" s="18" t="n">
        <v>451.05</v>
      </c>
      <c r="S26" s="18" t="n">
        <v>426.05</v>
      </c>
      <c r="T26" s="18" t="n">
        <v>462.15</v>
      </c>
      <c r="U26" s="34" t="n">
        <v>462.15</v>
      </c>
      <c r="V26" s="18" t="n">
        <v>425.9</v>
      </c>
      <c r="W26" s="18" t="n">
        <v>311.56</v>
      </c>
      <c r="X26" s="18" t="n">
        <v>244.04</v>
      </c>
      <c r="Y26" s="18" t="n">
        <v>193.27</v>
      </c>
      <c r="Z26" s="34" t="n">
        <v>193.27</v>
      </c>
      <c r="AA26" s="18" t="n">
        <v>138.85</v>
      </c>
      <c r="AB26" s="19" t="n">
        <v>128.13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4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4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4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4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4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4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4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4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4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4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4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4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4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4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4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4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4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4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4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4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4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4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4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4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4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4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4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4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4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4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4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4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4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4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4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4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4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4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4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4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4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4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4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4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4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4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4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단기투자자산(공정가치)</t>
        </is>
      </c>
      <c r="F45" s="9" t="n"/>
      <c r="K45" s="9" t="n"/>
      <c r="O45" s="18" t="n">
        <v>336.78</v>
      </c>
      <c r="P45" s="34" t="n">
        <v>336.78</v>
      </c>
      <c r="Q45" s="18" t="n">
        <v>336.78</v>
      </c>
      <c r="R45" s="18" t="n">
        <v>122.93</v>
      </c>
      <c r="S45" s="18" t="n">
        <v>121.95</v>
      </c>
      <c r="T45" s="18" t="n">
        <v>29.46</v>
      </c>
      <c r="U45" s="34" t="n">
        <v>29.46</v>
      </c>
      <c r="V45" s="18" t="n">
        <v>29.46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O46" s="18" t="n">
        <v>402.67</v>
      </c>
      <c r="P46" s="34" t="n">
        <v>402.67</v>
      </c>
      <c r="Q46" s="18" t="n">
        <v>392.43</v>
      </c>
      <c r="R46" s="18" t="n">
        <v>451.05</v>
      </c>
      <c r="S46" s="18" t="n">
        <v>426.05</v>
      </c>
      <c r="T46" s="18" t="n">
        <v>462.15</v>
      </c>
      <c r="U46" s="34" t="n">
        <v>462.15</v>
      </c>
      <c r="V46" s="18" t="n">
        <v>425.9</v>
      </c>
      <c r="W46" s="18" t="n">
        <v>311.56</v>
      </c>
      <c r="X46" s="18" t="n">
        <v>244.04</v>
      </c>
      <c r="Y46" s="18" t="n">
        <v>193.27</v>
      </c>
      <c r="Z46" s="34" t="n">
        <v>193.27</v>
      </c>
      <c r="AA46" s="18" t="n">
        <v>138.85</v>
      </c>
      <c r="AB46" s="19" t="n">
        <v>128.13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O47" s="18" t="n">
        <v>402.67</v>
      </c>
      <c r="P47" s="34" t="n">
        <v>402.67</v>
      </c>
      <c r="Q47" s="18" t="n">
        <v>759.71</v>
      </c>
      <c r="R47" s="18" t="n">
        <v>852.46</v>
      </c>
      <c r="S47" s="18" t="n">
        <v>762.12</v>
      </c>
      <c r="T47" s="18" t="n">
        <v>750.13</v>
      </c>
      <c r="U47" s="34" t="n">
        <v>750.13</v>
      </c>
      <c r="V47" s="18" t="n">
        <v>631.0599999999999</v>
      </c>
      <c r="W47" s="18" t="n">
        <v>407.51</v>
      </c>
      <c r="X47" s="18" t="n">
        <v>324.62</v>
      </c>
      <c r="Y47" s="18" t="n">
        <v>298.5</v>
      </c>
      <c r="Z47" s="34" t="n">
        <v>298.5</v>
      </c>
      <c r="AA47" s="18" t="n">
        <v>236.49</v>
      </c>
      <c r="AB47" s="19" t="n">
        <v>211.4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단기차입금</t>
        </is>
      </c>
      <c r="F48" s="9" t="n"/>
      <c r="K48" s="9" t="n"/>
      <c r="O48" s="18" t="n">
        <v>80119.03999999999</v>
      </c>
      <c r="P48" s="34" t="n">
        <v>80119.03999999999</v>
      </c>
      <c r="Q48" s="18" t="n">
        <v>83482.58</v>
      </c>
      <c r="R48" s="18" t="n">
        <v>75920.57000000001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O49" s="18" t="n">
        <v>80119.03999999999</v>
      </c>
      <c r="P49" s="34" t="n">
        <v>80119.03999999999</v>
      </c>
      <c r="Q49" s="18" t="n">
        <v>83482.58</v>
      </c>
      <c r="R49" s="18" t="n">
        <v>75920.57000000001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O50" s="18" t="n">
        <v>11753.65</v>
      </c>
      <c r="P50" s="34" t="n">
        <v>11753.65</v>
      </c>
      <c r="Q50" s="18" t="n">
        <v>11099.32</v>
      </c>
      <c r="S50" s="18" t="n">
        <v>10223.43</v>
      </c>
      <c r="T50" s="18" t="n">
        <v>10739.31</v>
      </c>
      <c r="U50" s="34" t="n">
        <v>10739.31</v>
      </c>
      <c r="V50" s="18" t="n">
        <v>11269.57</v>
      </c>
      <c r="W50" s="18" t="n">
        <v>11832.32</v>
      </c>
      <c r="X50" s="18" t="n">
        <v>907.02</v>
      </c>
      <c r="Y50" s="18" t="n">
        <v>958.38</v>
      </c>
      <c r="Z50" s="34" t="n">
        <v>958.38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O51" s="18" t="n">
        <v>773.13</v>
      </c>
      <c r="P51" s="34" t="n">
        <v>773.13</v>
      </c>
      <c r="Q51" s="18" t="n">
        <v>737.22</v>
      </c>
      <c r="R51" s="18" t="n">
        <v>701.3200000000001</v>
      </c>
      <c r="S51" s="18" t="n">
        <v>665.42</v>
      </c>
      <c r="T51" s="18" t="n">
        <v>629.51</v>
      </c>
      <c r="U51" s="34" t="n">
        <v>629.51</v>
      </c>
      <c r="V51" s="18" t="n">
        <v>593.61</v>
      </c>
      <c r="W51" s="18" t="n">
        <v>557.7</v>
      </c>
      <c r="X51" s="18" t="n">
        <v>2365.27</v>
      </c>
      <c r="Y51" s="18" t="n">
        <v>2337.83</v>
      </c>
      <c r="Z51" s="34" t="n">
        <v>2337.83</v>
      </c>
      <c r="AA51" s="18" t="n">
        <v>2319</v>
      </c>
      <c r="AB51" s="19" t="n">
        <v>2254.86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장기차입금</t>
        </is>
      </c>
      <c r="F52" s="9" t="n"/>
      <c r="K52" s="9" t="n"/>
      <c r="O52" s="18" t="n">
        <v>742.88</v>
      </c>
      <c r="P52" s="34" t="n">
        <v>742.88</v>
      </c>
      <c r="Q52" s="18" t="n">
        <v>706.64</v>
      </c>
      <c r="R52" s="18" t="n">
        <v>1083.4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F53" s="9" t="n"/>
      <c r="K53" s="9" t="n"/>
      <c r="O53" s="18" t="n">
        <v>92615.57000000001</v>
      </c>
      <c r="P53" s="34" t="n">
        <v>92615.57000000001</v>
      </c>
      <c r="Q53" s="18" t="n">
        <v>95288.53999999999</v>
      </c>
      <c r="R53" s="18" t="n">
        <v>77003.97</v>
      </c>
      <c r="S53" s="18" t="n">
        <v>10223.43</v>
      </c>
      <c r="T53" s="18" t="n">
        <v>10739.31</v>
      </c>
      <c r="U53" s="34" t="n">
        <v>10739.31</v>
      </c>
      <c r="V53" s="18" t="n">
        <v>11269.57</v>
      </c>
      <c r="W53" s="18" t="n">
        <v>11832.32</v>
      </c>
      <c r="X53" s="18" t="n">
        <v>907.02</v>
      </c>
      <c r="Y53" s="18" t="n">
        <v>958.38</v>
      </c>
      <c r="Z53" s="34" t="n">
        <v>958.38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F54" s="9" t="n"/>
      <c r="K54" s="9" t="n"/>
      <c r="O54" s="18" t="n">
        <v>87203.74000000001</v>
      </c>
      <c r="P54" s="34" t="n">
        <v>87203.74000000001</v>
      </c>
      <c r="Q54" s="18" t="n">
        <v>87400.75</v>
      </c>
      <c r="R54" s="18" t="n">
        <v>66861.71000000001</v>
      </c>
      <c r="S54" s="18" t="n">
        <v>4362.91</v>
      </c>
      <c r="T54" s="18" t="n">
        <v>4637.67</v>
      </c>
      <c r="U54" s="34" t="n">
        <v>4637.67</v>
      </c>
      <c r="V54" s="18" t="n">
        <v>6188.02</v>
      </c>
      <c r="W54" s="18" t="n">
        <v>6378.36</v>
      </c>
      <c r="X54" s="18" t="n">
        <v>-12186.31</v>
      </c>
      <c r="Y54" s="18" t="n">
        <v>-7090.88</v>
      </c>
      <c r="Z54" s="34" t="n">
        <v>-7090.88</v>
      </c>
      <c r="AB54" s="19" t="n">
        <v>-13802.3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K55" s="9" t="n"/>
      <c r="P55" s="9" t="n"/>
      <c r="Q55" s="18" t="n">
        <v>367.28</v>
      </c>
      <c r="R55" s="18" t="n">
        <v>401.41</v>
      </c>
      <c r="S55" s="18" t="n">
        <v>336.07</v>
      </c>
      <c r="T55" s="18" t="n">
        <v>287.98</v>
      </c>
      <c r="U55" s="34" t="n">
        <v>287.98</v>
      </c>
      <c r="V55" s="18" t="n">
        <v>205.16</v>
      </c>
      <c r="W55" s="18" t="n">
        <v>95.95</v>
      </c>
      <c r="X55" s="18" t="n">
        <v>80.58</v>
      </c>
      <c r="Y55" s="18" t="n">
        <v>105.23</v>
      </c>
      <c r="Z55" s="34" t="n">
        <v>105.23</v>
      </c>
      <c r="AA55" s="18" t="n">
        <v>97.64</v>
      </c>
      <c r="AB55" s="19" t="n">
        <v>83.27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4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4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4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4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4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4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4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4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4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4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4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4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4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4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4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4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4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4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4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4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4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4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4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4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4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4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4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4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4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4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4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4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4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4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4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4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F75" s="9" t="n"/>
      <c r="K75" s="9" t="n"/>
      <c r="N75" s="18" t="n">
        <v>-3167.93</v>
      </c>
      <c r="O75" s="18" t="n">
        <v>-482.77</v>
      </c>
      <c r="P75" s="9" t="n"/>
      <c r="Q75" s="18" t="n">
        <v>-4439.69</v>
      </c>
      <c r="R75" s="18" t="n">
        <v>12379.25</v>
      </c>
      <c r="S75" s="18" t="n">
        <v>-3408.45</v>
      </c>
      <c r="T75" s="18" t="n">
        <v>2530.82</v>
      </c>
      <c r="U75" s="34" t="n">
        <v>7061.93</v>
      </c>
      <c r="V75" s="18" t="n">
        <v>-934.4299999999999</v>
      </c>
      <c r="W75" s="18" t="n">
        <v>2161.65</v>
      </c>
      <c r="X75" s="18" t="n">
        <v>1397.78</v>
      </c>
      <c r="Y75" s="18" t="n">
        <v>-6228.95</v>
      </c>
      <c r="Z75" s="34" t="n">
        <v>-3603.95</v>
      </c>
      <c r="AA75" s="18" t="n">
        <v>-2527.45</v>
      </c>
      <c r="AB75" s="19" t="n">
        <v>693.63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F76" s="9" t="n"/>
      <c r="K76" s="9" t="n"/>
      <c r="N76" s="18" t="n">
        <v>0</v>
      </c>
      <c r="O76" s="18" t="n">
        <v>1.6</v>
      </c>
      <c r="P76" s="9" t="n"/>
      <c r="S76" s="18" t="n">
        <v>3.2</v>
      </c>
      <c r="T76" s="18" t="n">
        <v>0</v>
      </c>
      <c r="U76" s="9" t="n"/>
      <c r="X76" s="18" t="n">
        <v>1.92</v>
      </c>
      <c r="Y76" s="18" t="n">
        <v>11.95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이자수취(CF)</t>
        </is>
      </c>
      <c r="F77" s="9" t="n"/>
      <c r="K77" s="9" t="n"/>
      <c r="N77" s="18" t="n">
        <v>-0.9</v>
      </c>
      <c r="O77" s="18" t="n">
        <v>44.02</v>
      </c>
      <c r="P77" s="9" t="n"/>
      <c r="Q77" s="18" t="n">
        <v>31.24</v>
      </c>
      <c r="R77" s="18" t="n">
        <v>57.16</v>
      </c>
      <c r="S77" s="18" t="n">
        <v>30.06</v>
      </c>
      <c r="T77" s="18" t="n">
        <v>13.48</v>
      </c>
      <c r="U77" s="34" t="n">
        <v>131.94</v>
      </c>
      <c r="V77" s="18" t="n">
        <v>5.69</v>
      </c>
      <c r="W77" s="18" t="n">
        <v>1.66</v>
      </c>
      <c r="X77" s="18" t="n">
        <v>5.66</v>
      </c>
      <c r="Y77" s="18" t="n">
        <v>1.11</v>
      </c>
      <c r="Z77" s="34" t="n">
        <v>14.12</v>
      </c>
      <c r="AA77" s="18" t="n">
        <v>1.37</v>
      </c>
      <c r="AB77" s="19" t="n">
        <v>3.69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F78" s="9" t="n"/>
      <c r="K78" s="9" t="n"/>
      <c r="N78" s="18" t="n">
        <v>-0.16</v>
      </c>
      <c r="O78" s="18" t="n">
        <v>-1.6</v>
      </c>
      <c r="P78" s="9" t="n"/>
      <c r="Q78" s="18" t="n">
        <v>-14.66</v>
      </c>
      <c r="R78" s="18" t="n">
        <v>-9.449999999999999</v>
      </c>
      <c r="S78" s="18" t="n">
        <v>-7.43</v>
      </c>
      <c r="T78" s="18" t="n">
        <v>-2.15</v>
      </c>
      <c r="U78" s="34" t="n">
        <v>-33.69</v>
      </c>
      <c r="V78" s="18" t="n">
        <v>-23.59</v>
      </c>
      <c r="W78" s="18" t="n">
        <v>32.86</v>
      </c>
      <c r="X78" s="18" t="n">
        <v>-0.9</v>
      </c>
      <c r="Y78" s="18" t="n">
        <v>2.24</v>
      </c>
      <c r="Z78" s="34" t="n">
        <v>10.61</v>
      </c>
      <c r="AA78" s="18" t="n">
        <v>-0.31</v>
      </c>
      <c r="AB78" s="19" t="n">
        <v>21.77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F79" s="9" t="n"/>
      <c r="K79" s="9" t="n"/>
      <c r="N79" s="18" t="n">
        <v>-5525.92</v>
      </c>
      <c r="O79" s="18" t="n">
        <v>-8309.780000000001</v>
      </c>
      <c r="P79" s="9" t="n"/>
      <c r="Q79" s="18" t="n">
        <v>3367.83</v>
      </c>
      <c r="R79" s="18" t="n">
        <v>-999.01</v>
      </c>
      <c r="S79" s="18" t="n">
        <v>-481.4</v>
      </c>
      <c r="T79" s="18" t="n">
        <v>678.41</v>
      </c>
      <c r="U79" s="34" t="n">
        <v>2565.83</v>
      </c>
      <c r="V79" s="18" t="n">
        <v>201.77</v>
      </c>
      <c r="W79" s="18" t="n">
        <v>-522.95</v>
      </c>
      <c r="X79" s="18" t="n">
        <v>7395.16</v>
      </c>
      <c r="Y79" s="18" t="n">
        <v>-2058.34</v>
      </c>
      <c r="Z79" s="34" t="n">
        <v>5015.64</v>
      </c>
      <c r="AA79" s="18" t="n">
        <v>1039.04</v>
      </c>
      <c r="AB79" s="19" t="n">
        <v>-11095.81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F80" s="9" t="n"/>
      <c r="K80" s="9" t="n"/>
      <c r="N80" s="18" t="n">
        <v>609.9299999999999</v>
      </c>
      <c r="O80" s="18" t="n">
        <v>5044.6</v>
      </c>
      <c r="P80" s="9" t="n"/>
      <c r="Q80" s="18" t="n">
        <v>677.61</v>
      </c>
      <c r="R80" s="18" t="n">
        <v>227.96</v>
      </c>
      <c r="S80" s="18" t="n">
        <v>929.67</v>
      </c>
      <c r="T80" s="18" t="n">
        <v>391.87</v>
      </c>
      <c r="U80" s="34" t="n">
        <v>2227.11</v>
      </c>
      <c r="V80" s="18" t="n">
        <v>154.09</v>
      </c>
      <c r="W80" s="18" t="n">
        <v>460.05</v>
      </c>
      <c r="X80" s="18" t="n">
        <v>736.01</v>
      </c>
      <c r="Y80" s="18" t="n">
        <v>1268.09</v>
      </c>
      <c r="Z80" s="34" t="n">
        <v>2618.24</v>
      </c>
      <c r="AA80" s="18" t="n">
        <v>327.13</v>
      </c>
      <c r="AB80" s="19" t="n">
        <v>4565.02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F81" s="9" t="n"/>
      <c r="K81" s="9" t="n"/>
      <c r="N81" s="18" t="n">
        <v>609.9299999999999</v>
      </c>
      <c r="O81" s="18" t="n">
        <v>5058.06</v>
      </c>
      <c r="P81" s="9" t="n"/>
      <c r="Q81" s="18" t="n">
        <v>677.61</v>
      </c>
      <c r="R81" s="18" t="n">
        <v>227.96</v>
      </c>
      <c r="S81" s="18" t="n">
        <v>929.67</v>
      </c>
      <c r="T81" s="18" t="n">
        <v>391.87</v>
      </c>
      <c r="U81" s="34" t="n">
        <v>2227.11</v>
      </c>
      <c r="V81" s="18" t="n">
        <v>182.09</v>
      </c>
      <c r="W81" s="18" t="n">
        <v>460.05</v>
      </c>
      <c r="X81" s="18" t="n">
        <v>736.01</v>
      </c>
      <c r="Y81" s="18" t="n">
        <v>1268.09</v>
      </c>
      <c r="Z81" s="34" t="n">
        <v>2646.24</v>
      </c>
      <c r="AA81" s="18" t="n">
        <v>327.13</v>
      </c>
      <c r="AB81" s="19" t="n">
        <v>4565.02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F82" s="9" t="n"/>
      <c r="K82" s="9" t="n"/>
      <c r="N82" s="18" t="n">
        <v>16723.73</v>
      </c>
      <c r="O82" s="18" t="n">
        <v>3870.8</v>
      </c>
      <c r="P82" s="9" t="n"/>
      <c r="Q82" s="18" t="n">
        <v>2937.68</v>
      </c>
      <c r="R82" s="18" t="n">
        <v>-9116.5</v>
      </c>
      <c r="S82" s="18" t="n">
        <v>-158.52</v>
      </c>
      <c r="T82" s="18" t="n">
        <v>-720.48</v>
      </c>
      <c r="U82" s="34" t="n">
        <v>-7057.82</v>
      </c>
      <c r="V82" s="18" t="n">
        <v>-287.43</v>
      </c>
      <c r="W82" s="18" t="n">
        <v>-1266.3</v>
      </c>
      <c r="X82" s="18" t="n">
        <v>-1153.56</v>
      </c>
      <c r="Y82" s="18" t="n">
        <v>3050.97</v>
      </c>
      <c r="Z82" s="34" t="n">
        <v>343.68</v>
      </c>
      <c r="AA82" s="18" t="n">
        <v>-3867.2</v>
      </c>
      <c r="AB82" s="19" t="n">
        <v>19999.9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F83" s="9" t="n"/>
      <c r="K83" s="9" t="n"/>
      <c r="N83" s="18" t="n">
        <v>730.75</v>
      </c>
      <c r="O83" s="18" t="n">
        <v>23162.54</v>
      </c>
      <c r="P83" s="9" t="n"/>
      <c r="Q83" s="18" t="n">
        <v>18077.94</v>
      </c>
      <c r="R83" s="18" t="n">
        <v>501.6</v>
      </c>
      <c r="S83" s="18" t="n">
        <v>11318.52</v>
      </c>
      <c r="T83" s="18" t="n">
        <v>16225</v>
      </c>
      <c r="U83" s="34" t="n">
        <v>46123.06</v>
      </c>
      <c r="V83" s="18" t="n">
        <v>18726.62</v>
      </c>
      <c r="W83" s="18" t="n">
        <v>31177.49</v>
      </c>
      <c r="X83" s="18" t="n">
        <v>24613.54</v>
      </c>
      <c r="Y83" s="18" t="n">
        <v>35936.34</v>
      </c>
      <c r="Z83" s="34" t="n">
        <v>110453.99</v>
      </c>
      <c r="AA83" s="18" t="n">
        <v>30375.63</v>
      </c>
      <c r="AB83" s="19" t="n">
        <v>41927.78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N84" s="18" t="n">
        <v>279.87</v>
      </c>
      <c r="O84" s="18" t="n">
        <v>17421.08</v>
      </c>
      <c r="P84" s="9" t="n"/>
      <c r="Q84" s="18" t="n">
        <v>14695.99</v>
      </c>
      <c r="R84" s="18" t="n">
        <v>7834.27</v>
      </c>
      <c r="S84" s="18" t="n">
        <v>11320.24</v>
      </c>
      <c r="T84" s="18" t="n">
        <v>16725.67</v>
      </c>
      <c r="U84" s="34" t="n">
        <v>50576.17</v>
      </c>
      <c r="V84" s="18" t="n">
        <v>18849.35</v>
      </c>
      <c r="W84" s="18" t="n">
        <v>32355.1</v>
      </c>
      <c r="X84" s="18" t="n">
        <v>15187.73</v>
      </c>
      <c r="Y84" s="18" t="n">
        <v>42712.17</v>
      </c>
      <c r="Z84" s="34" t="n">
        <v>109104.35</v>
      </c>
      <c r="AA84" s="18" t="n">
        <v>33215</v>
      </c>
      <c r="AB84" s="19" t="n">
        <v>51777.45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K85" s="9" t="n"/>
      <c r="N85" s="18" t="n">
        <v>247.99</v>
      </c>
      <c r="O85" s="18" t="n">
        <v>546.24</v>
      </c>
      <c r="P85" s="9" t="n"/>
      <c r="Q85" s="18" t="n">
        <v>54.64</v>
      </c>
      <c r="R85" s="18" t="n">
        <v>45.59</v>
      </c>
      <c r="S85" s="18" t="n">
        <v>36.24</v>
      </c>
      <c r="T85" s="18" t="n">
        <v>556.24</v>
      </c>
      <c r="U85" s="34" t="n">
        <v>692.71</v>
      </c>
      <c r="V85" s="18" t="n">
        <v>36.24</v>
      </c>
      <c r="Z85" s="9" t="n"/>
      <c r="AA85" s="18" t="n">
        <v>39.99</v>
      </c>
      <c r="AB85" s="19" t="n">
        <v>88.98999999999999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F86" s="9" t="n"/>
      <c r="K86" s="9" t="n"/>
      <c r="N86" s="18" t="n">
        <v>8029.87</v>
      </c>
      <c r="O86" s="18" t="n">
        <v>-4921.74</v>
      </c>
      <c r="P86" s="9" t="n"/>
      <c r="Q86" s="18" t="n">
        <v>1865.83</v>
      </c>
      <c r="R86" s="18" t="n">
        <v>2263.73</v>
      </c>
      <c r="S86" s="18" t="n">
        <v>-4048.37</v>
      </c>
      <c r="T86" s="18" t="n">
        <v>2488.75</v>
      </c>
      <c r="U86" s="34" t="n">
        <v>2569.94</v>
      </c>
      <c r="V86" s="18" t="n">
        <v>-1020.09</v>
      </c>
      <c r="W86" s="18" t="n">
        <v>372.4</v>
      </c>
      <c r="X86" s="18" t="n">
        <v>7639.37</v>
      </c>
      <c r="Y86" s="18" t="n">
        <v>-5236.31</v>
      </c>
      <c r="Z86" s="34" t="n">
        <v>1755.37</v>
      </c>
      <c r="AA86" s="18" t="n">
        <v>-5355.61</v>
      </c>
      <c r="AB86" s="19" t="n">
        <v>9597.719999999999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F87" s="9" t="n"/>
      <c r="K87" s="9" t="n"/>
      <c r="N87" s="18" t="n">
        <v>8029.87</v>
      </c>
      <c r="O87" s="18" t="n">
        <v>-4921.75</v>
      </c>
      <c r="P87" s="9" t="n"/>
      <c r="Q87" s="18" t="n">
        <v>5395.63</v>
      </c>
      <c r="R87" s="18" t="n">
        <v>2263.74</v>
      </c>
      <c r="S87" s="18" t="n">
        <v>-4048.37</v>
      </c>
      <c r="T87" s="18" t="n">
        <v>2488.74</v>
      </c>
      <c r="U87" s="34" t="n">
        <v>6099.74</v>
      </c>
      <c r="V87" s="18" t="n">
        <v>5079.65</v>
      </c>
      <c r="W87" s="18" t="n">
        <v>372.4</v>
      </c>
      <c r="X87" s="18" t="n">
        <v>7639.37</v>
      </c>
      <c r="Y87" s="18" t="n">
        <v>-5236.31</v>
      </c>
      <c r="Z87" s="34" t="n">
        <v>7855.11</v>
      </c>
      <c r="AA87" s="18" t="n">
        <v>2499.51</v>
      </c>
      <c r="AB87" s="19" t="n">
        <v>9597.709999999999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K88" s="9" t="n"/>
      <c r="P88" s="9" t="n"/>
      <c r="Q88" s="18" t="n">
        <v>24</v>
      </c>
      <c r="R88" s="18" t="n">
        <v>43.73</v>
      </c>
      <c r="S88" s="18" t="n">
        <v>65.59</v>
      </c>
      <c r="T88" s="18" t="n">
        <v>0</v>
      </c>
      <c r="U88" s="34" t="n">
        <v>133.32</v>
      </c>
      <c r="V88" s="18" t="n">
        <v>352</v>
      </c>
      <c r="W88" s="18" t="n">
        <v>145.25</v>
      </c>
      <c r="X88" s="18" t="n">
        <v>5961.91</v>
      </c>
      <c r="Y88" s="18" t="n">
        <v>32.18</v>
      </c>
      <c r="Z88" s="34" t="n">
        <v>6491.34</v>
      </c>
      <c r="AA88" s="18" t="n">
        <v>5.64</v>
      </c>
      <c r="AB88" s="19" t="n">
        <v>1.7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P89" s="9" t="n"/>
      <c r="S89" s="18" t="n">
        <v>0</v>
      </c>
      <c r="T89" s="18" t="n">
        <v>520</v>
      </c>
      <c r="U89" s="9" t="n"/>
      <c r="Z89" s="9" t="n"/>
      <c r="AA89" s="18" t="n">
        <v>32.1</v>
      </c>
      <c r="AB89" s="19" t="n">
        <v>30000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K90" s="9" t="n"/>
      <c r="P90" s="9" t="n"/>
      <c r="U90" s="9" t="n"/>
      <c r="V90" s="18" t="n">
        <v>28</v>
      </c>
      <c r="W90" s="18" t="n">
        <v>0</v>
      </c>
      <c r="X90" s="18" t="n">
        <v>0</v>
      </c>
      <c r="Y90" s="18" t="n">
        <v>0</v>
      </c>
      <c r="Z90" s="34" t="n">
        <v>28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4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4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4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4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4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4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4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4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4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4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4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4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4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4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4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4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4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4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4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4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4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4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4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4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4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4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4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4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4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4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4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4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4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4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4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4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4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4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4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4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4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4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4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4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4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4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4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4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4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4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4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4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4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4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4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4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4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4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4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4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4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4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4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4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4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4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4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4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4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4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4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4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4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4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4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4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4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4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4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4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4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4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4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4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4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4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4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4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4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4" t="n">
        <v>77926.33</v>
      </c>
      <c r="Q23" s="18" t="n">
        <v>81428.28</v>
      </c>
      <c r="R23" s="18" t="n">
        <v>74095.61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4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4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4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4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4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4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4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4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4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4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4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4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4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4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4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2912.1</v>
      </c>
      <c r="F27" s="34" t="n">
        <v>2912.1</v>
      </c>
      <c r="G27" s="18" t="n">
        <v>2920.82</v>
      </c>
      <c r="H27" s="18" t="n">
        <v>2986.94</v>
      </c>
      <c r="I27" s="18" t="n">
        <v>2993.64</v>
      </c>
      <c r="J27" s="18" t="n">
        <v>2143.71</v>
      </c>
      <c r="K27" s="34" t="n">
        <v>2143.71</v>
      </c>
      <c r="L27" s="18" t="n">
        <v>2154.97</v>
      </c>
      <c r="M27" s="18" t="n">
        <v>1187.93</v>
      </c>
      <c r="N27" s="18" t="n">
        <v>1172</v>
      </c>
      <c r="O27" s="18" t="n">
        <v>176.21</v>
      </c>
      <c r="P27" s="34" t="n">
        <v>176.21</v>
      </c>
      <c r="Q27" s="18" t="n">
        <v>175.72</v>
      </c>
      <c r="R27" s="18" t="n">
        <v>175.72</v>
      </c>
      <c r="S27" s="18" t="n">
        <v>174.56</v>
      </c>
      <c r="T27" s="18" t="n">
        <v>196.72</v>
      </c>
      <c r="U27" s="34" t="n">
        <v>196.72</v>
      </c>
      <c r="V27" s="18" t="n">
        <v>184.41</v>
      </c>
      <c r="W27" s="18" t="n">
        <v>164.73</v>
      </c>
      <c r="X27" s="18" t="n">
        <v>132.32</v>
      </c>
      <c r="Y27" s="18" t="n">
        <v>115.43</v>
      </c>
      <c r="Z27" s="34" t="n">
        <v>115.43</v>
      </c>
      <c r="AA27" s="18" t="n">
        <v>87.22</v>
      </c>
      <c r="AB27" s="19" t="n">
        <v>71.68000000000001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4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2847.14</v>
      </c>
      <c r="F29" s="34" t="n">
        <v>2847.14</v>
      </c>
      <c r="G29" s="18" t="n">
        <v>2847.14</v>
      </c>
      <c r="H29" s="18" t="n">
        <v>2877.53</v>
      </c>
      <c r="I29" s="18" t="n">
        <v>2884.23</v>
      </c>
      <c r="J29" s="18" t="n">
        <v>2013.89</v>
      </c>
      <c r="K29" s="34" t="n">
        <v>2013.89</v>
      </c>
      <c r="L29" s="18" t="n">
        <v>1998.69</v>
      </c>
      <c r="M29" s="18" t="n">
        <v>1024.21</v>
      </c>
      <c r="N29" s="18" t="n">
        <v>993.85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4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4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4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4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4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4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4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4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4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4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4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4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4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4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4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4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4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4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4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4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4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4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4" t="n">
        <v>78.8</v>
      </c>
      <c r="V36" s="18" t="n">
        <v>41.74</v>
      </c>
      <c r="W36" s="18" t="n">
        <v>11.17</v>
      </c>
      <c r="Y36" s="18" t="n">
        <v>46.4</v>
      </c>
      <c r="Z36" s="34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4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4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4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4" t="n">
        <v>78.8</v>
      </c>
      <c r="V37" s="18" t="n">
        <v>41.74</v>
      </c>
      <c r="W37" s="18" t="n">
        <v>11.17</v>
      </c>
      <c r="Y37" s="18" t="n">
        <v>46.4</v>
      </c>
      <c r="Z37" s="34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4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4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4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4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4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4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4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4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4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4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4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4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4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4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4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4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4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4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4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4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4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4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4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4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4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4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4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4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4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4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4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4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4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4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4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4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4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4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4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4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4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4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4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4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4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4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4" t="n">
        <v>73902.99000000001</v>
      </c>
      <c r="L47" s="18" t="n">
        <v>75459.28999999999</v>
      </c>
      <c r="M47" s="18" t="n">
        <v>76050.69</v>
      </c>
      <c r="N47" s="18" t="n">
        <v>84133.73</v>
      </c>
      <c r="O47" s="18" t="n">
        <v>89679.98</v>
      </c>
      <c r="P47" s="34" t="n">
        <v>89679.98</v>
      </c>
      <c r="Q47" s="18" t="n">
        <v>92527.60000000001</v>
      </c>
      <c r="R47" s="18" t="n">
        <v>83828.05</v>
      </c>
      <c r="S47" s="18" t="n">
        <v>10223.43</v>
      </c>
      <c r="T47" s="18" t="n">
        <v>10739.31</v>
      </c>
      <c r="U47" s="34" t="n">
        <v>10739.31</v>
      </c>
      <c r="V47" s="18" t="n">
        <v>11269.57</v>
      </c>
      <c r="W47" s="18" t="n">
        <v>11832.32</v>
      </c>
      <c r="X47" s="18" t="n">
        <v>907.02</v>
      </c>
      <c r="Y47" s="18" t="n">
        <v>958.38</v>
      </c>
      <c r="Z47" s="34" t="n">
        <v>958.38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4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4" t="n">
        <v>69105.13</v>
      </c>
      <c r="L48" s="18" t="n">
        <v>71317.91</v>
      </c>
      <c r="M48" s="18" t="n">
        <v>74465.22</v>
      </c>
      <c r="N48" s="18" t="n">
        <v>82442.33</v>
      </c>
      <c r="O48" s="18" t="n">
        <v>87458.89999999999</v>
      </c>
      <c r="P48" s="34" t="n">
        <v>87458.89999999999</v>
      </c>
      <c r="Q48" s="18" t="n">
        <v>89594.64</v>
      </c>
      <c r="R48" s="18" t="n">
        <v>77407.09</v>
      </c>
      <c r="S48" s="18" t="n">
        <v>7442.39</v>
      </c>
      <c r="T48" s="18" t="n">
        <v>6997.19</v>
      </c>
      <c r="U48" s="34" t="n">
        <v>6997.19</v>
      </c>
      <c r="V48" s="18" t="n">
        <v>7489.38</v>
      </c>
      <c r="W48" s="18" t="n">
        <v>7746.24</v>
      </c>
      <c r="X48" s="18" t="n">
        <v>-10662.06</v>
      </c>
      <c r="Y48" s="18" t="n">
        <v>-5426.87</v>
      </c>
      <c r="Z48" s="34" t="n">
        <v>-5426.87</v>
      </c>
      <c r="AB48" s="19" t="n">
        <v>-13525.91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4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4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4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4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4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4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4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4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4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4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4" t="n">
        <v>50.67</v>
      </c>
      <c r="L52" s="18" t="n">
        <v>50.67</v>
      </c>
      <c r="M52" s="18" t="n">
        <v>54.22</v>
      </c>
      <c r="O52" s="18" t="n">
        <v>55.38</v>
      </c>
      <c r="P52" s="34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4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4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4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4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4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4" t="n">
        <v>77926.33</v>
      </c>
      <c r="Q55" s="18" t="n">
        <v>81428.28</v>
      </c>
      <c r="R55" s="18" t="n">
        <v>74095.61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4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4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4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45212.84</v>
      </c>
      <c r="F59" s="9" t="n"/>
      <c r="G59" s="18" t="n">
        <v>34513.15</v>
      </c>
      <c r="H59" s="18" t="n">
        <v>35573.35</v>
      </c>
      <c r="I59" s="18" t="n">
        <v>34052.6</v>
      </c>
      <c r="J59" s="18" t="n">
        <v>35465.13</v>
      </c>
      <c r="K59" s="34" t="n">
        <v>139604.23</v>
      </c>
      <c r="L59" s="18" t="n">
        <v>39070.45</v>
      </c>
      <c r="M59" s="18" t="n">
        <v>34077.9</v>
      </c>
      <c r="N59" s="18" t="n">
        <v>30365.11</v>
      </c>
      <c r="O59" s="18" t="n">
        <v>26214.09</v>
      </c>
      <c r="P59" s="34" t="n">
        <v>129727.55</v>
      </c>
      <c r="Q59" s="18" t="n">
        <v>26805.16</v>
      </c>
      <c r="R59" s="18" t="n">
        <v>24539.59</v>
      </c>
      <c r="S59" s="18" t="n">
        <v>30202.37</v>
      </c>
      <c r="T59" s="18" t="n">
        <v>32951.15</v>
      </c>
      <c r="U59" s="34" t="n">
        <v>114498.27</v>
      </c>
      <c r="V59" s="18" t="n">
        <v>35794.76</v>
      </c>
      <c r="W59" s="18" t="n">
        <v>46322.79</v>
      </c>
      <c r="X59" s="18" t="n">
        <v>46877.87</v>
      </c>
      <c r="Y59" s="18" t="n">
        <v>51567.04</v>
      </c>
      <c r="Z59" s="34" t="n">
        <v>180562.46</v>
      </c>
      <c r="AA59" s="18" t="n">
        <v>49824.19</v>
      </c>
      <c r="AB59" s="19" t="n">
        <v>48260.87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34080.73</v>
      </c>
      <c r="F60" s="9" t="n"/>
      <c r="G60" s="18" t="n">
        <v>30190.09</v>
      </c>
      <c r="H60" s="18" t="n">
        <v>32389.36</v>
      </c>
      <c r="I60" s="18" t="n">
        <v>33169.29</v>
      </c>
      <c r="J60" s="18" t="n">
        <v>36741.1</v>
      </c>
      <c r="K60" s="34" t="n">
        <v>132489.84</v>
      </c>
      <c r="L60" s="18" t="n">
        <v>39400.5</v>
      </c>
      <c r="M60" s="18" t="n">
        <v>33410.48</v>
      </c>
      <c r="N60" s="18" t="n">
        <v>29702.96</v>
      </c>
      <c r="O60" s="18" t="n">
        <v>29684.17</v>
      </c>
      <c r="P60" s="34" t="n">
        <v>132198.11</v>
      </c>
      <c r="Q60" s="18" t="n">
        <v>27794.14</v>
      </c>
      <c r="R60" s="18" t="n">
        <v>29186.35</v>
      </c>
      <c r="S60" s="18" t="n">
        <v>33498.67</v>
      </c>
      <c r="T60" s="18" t="n">
        <v>36676.35</v>
      </c>
      <c r="U60" s="34" t="n">
        <v>127155.51</v>
      </c>
      <c r="V60" s="18" t="n">
        <v>37953.71</v>
      </c>
      <c r="W60" s="18" t="n">
        <v>43873.25</v>
      </c>
      <c r="X60" s="18" t="n">
        <v>44968.68</v>
      </c>
      <c r="Y60" s="18" t="n">
        <v>47363.68</v>
      </c>
      <c r="Z60" s="34" t="n">
        <v>174159.32</v>
      </c>
      <c r="AA60" s="18" t="n">
        <v>45667.99</v>
      </c>
      <c r="AB60" s="19" t="n">
        <v>43709.79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11132.11</v>
      </c>
      <c r="F61" s="9" t="n"/>
      <c r="G61" s="18" t="n">
        <v>4323.07</v>
      </c>
      <c r="H61" s="18" t="n">
        <v>3183.99</v>
      </c>
      <c r="I61" s="18" t="n">
        <v>883.3</v>
      </c>
      <c r="J61" s="18" t="n">
        <v>-1275.97</v>
      </c>
      <c r="K61" s="34" t="n">
        <v>7114.39</v>
      </c>
      <c r="L61" s="18" t="n">
        <v>-330.05</v>
      </c>
      <c r="M61" s="18" t="n">
        <v>667.42</v>
      </c>
      <c r="N61" s="18" t="n">
        <v>662.15</v>
      </c>
      <c r="O61" s="18" t="n">
        <v>-3470.07</v>
      </c>
      <c r="P61" s="34" t="n">
        <v>-2470.55</v>
      </c>
      <c r="Q61" s="18" t="n">
        <v>-988.98</v>
      </c>
      <c r="R61" s="18" t="n">
        <v>-4646.76</v>
      </c>
      <c r="S61" s="18" t="n">
        <v>-3296.3</v>
      </c>
      <c r="T61" s="18" t="n">
        <v>-3725.2</v>
      </c>
      <c r="U61" s="34" t="n">
        <v>-12657.24</v>
      </c>
      <c r="V61" s="18" t="n">
        <v>-2158.95</v>
      </c>
      <c r="W61" s="18" t="n">
        <v>2449.54</v>
      </c>
      <c r="X61" s="18" t="n">
        <v>1909.19</v>
      </c>
      <c r="Y61" s="18" t="n">
        <v>4203.36</v>
      </c>
      <c r="Z61" s="34" t="n">
        <v>6403.14</v>
      </c>
      <c r="AA61" s="18" t="n">
        <v>4156.2</v>
      </c>
      <c r="AB61" s="19" t="n">
        <v>4551.08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1069.64</v>
      </c>
      <c r="F62" s="9" t="n"/>
      <c r="G62" s="18" t="n">
        <v>1524.01</v>
      </c>
      <c r="H62" s="18" t="n">
        <v>1469.68</v>
      </c>
      <c r="I62" s="18" t="n">
        <v>1515.82</v>
      </c>
      <c r="J62" s="18" t="n">
        <v>1885.79</v>
      </c>
      <c r="K62" s="34" t="n">
        <v>6395.3</v>
      </c>
      <c r="L62" s="18" t="n">
        <v>1846.67</v>
      </c>
      <c r="M62" s="18" t="n">
        <v>4066.45</v>
      </c>
      <c r="N62" s="18" t="n">
        <v>2424.86</v>
      </c>
      <c r="O62" s="18" t="n">
        <v>6504.41</v>
      </c>
      <c r="P62" s="34" t="n">
        <v>14842.39</v>
      </c>
      <c r="Q62" s="18" t="n">
        <v>1890.23</v>
      </c>
      <c r="R62" s="18" t="n">
        <v>-4566.32</v>
      </c>
      <c r="S62" s="18" t="n">
        <v>2052.58</v>
      </c>
      <c r="T62" s="18" t="n">
        <v>2876.17</v>
      </c>
      <c r="U62" s="34" t="n">
        <v>2252.66</v>
      </c>
      <c r="V62" s="18" t="n">
        <v>2115.38</v>
      </c>
      <c r="W62" s="18" t="n">
        <v>-17.16</v>
      </c>
      <c r="X62" s="18" t="n">
        <v>1264.44</v>
      </c>
      <c r="Y62" s="18" t="n">
        <v>2221.21</v>
      </c>
      <c r="Z62" s="34" t="n">
        <v>5583.87</v>
      </c>
      <c r="AA62" s="18" t="n">
        <v>2327.09</v>
      </c>
      <c r="AB62" s="19" t="n">
        <v>2913.98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10062.47</v>
      </c>
      <c r="F63" s="9" t="n"/>
      <c r="G63" s="18" t="n">
        <v>2799.06</v>
      </c>
      <c r="H63" s="18" t="n">
        <v>1714.31</v>
      </c>
      <c r="I63" s="18" t="n">
        <v>-632.52</v>
      </c>
      <c r="J63" s="18" t="n">
        <v>-3161.77</v>
      </c>
      <c r="K63" s="34" t="n">
        <v>719.08</v>
      </c>
      <c r="L63" s="18" t="n">
        <v>-2176.72</v>
      </c>
      <c r="M63" s="18" t="n">
        <v>-3399.03</v>
      </c>
      <c r="N63" s="18" t="n">
        <v>-1762.71</v>
      </c>
      <c r="O63" s="18" t="n">
        <v>-9974.48</v>
      </c>
      <c r="P63" s="34" t="n">
        <v>-17312.94</v>
      </c>
      <c r="Q63" s="18" t="n">
        <v>-2879.21</v>
      </c>
      <c r="R63" s="18" t="n">
        <v>-80.44</v>
      </c>
      <c r="S63" s="18" t="n">
        <v>-5348.88</v>
      </c>
      <c r="T63" s="18" t="n">
        <v>-6601.38</v>
      </c>
      <c r="U63" s="34" t="n">
        <v>-14909.91</v>
      </c>
      <c r="V63" s="18" t="n">
        <v>-4274.33</v>
      </c>
      <c r="W63" s="18" t="n">
        <v>2466.7</v>
      </c>
      <c r="X63" s="18" t="n">
        <v>644.75</v>
      </c>
      <c r="Y63" s="18" t="n">
        <v>1982.16</v>
      </c>
      <c r="Z63" s="34" t="n">
        <v>819.28</v>
      </c>
      <c r="AA63" s="18" t="n">
        <v>1829.11</v>
      </c>
      <c r="AB63" s="19" t="n">
        <v>1637.1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0.34</v>
      </c>
      <c r="F64" s="9" t="n"/>
      <c r="G64" s="18" t="n">
        <v>0.18</v>
      </c>
      <c r="H64" s="18" t="n">
        <v>21.11</v>
      </c>
      <c r="I64" s="18" t="n">
        <v>0.2</v>
      </c>
      <c r="J64" s="18" t="n">
        <v>1326.1</v>
      </c>
      <c r="K64" s="34" t="n">
        <v>1347.59</v>
      </c>
      <c r="L64" s="18" t="n">
        <v>363.98</v>
      </c>
      <c r="M64" s="18" t="n">
        <v>538.22</v>
      </c>
      <c r="N64" s="18" t="n">
        <v>2295.08</v>
      </c>
      <c r="O64" s="18" t="n">
        <v>4175.4</v>
      </c>
      <c r="P64" s="34" t="n">
        <v>7372.68</v>
      </c>
      <c r="Q64" s="18" t="n">
        <v>687.14</v>
      </c>
      <c r="R64" s="18" t="n">
        <v>1385.98</v>
      </c>
      <c r="S64" s="18" t="n">
        <v>800.03</v>
      </c>
      <c r="T64" s="18" t="n">
        <v>-919.27</v>
      </c>
      <c r="U64" s="34" t="n">
        <v>1953.88</v>
      </c>
      <c r="V64" s="18" t="n">
        <v>217.07</v>
      </c>
      <c r="W64" s="18" t="n">
        <v>7953.7</v>
      </c>
      <c r="X64" s="18" t="n">
        <v>7.48</v>
      </c>
      <c r="Y64" s="18" t="n">
        <v>365.98</v>
      </c>
      <c r="Z64" s="34" t="n">
        <v>8544.23</v>
      </c>
      <c r="AA64" s="18" t="n">
        <v>0.85</v>
      </c>
      <c r="AB64" s="19" t="n">
        <v>134.93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1058.79</v>
      </c>
      <c r="F65" s="9" t="n"/>
      <c r="G65" s="18" t="n">
        <v>1112.97</v>
      </c>
      <c r="H65" s="18" t="n">
        <v>962.58</v>
      </c>
      <c r="I65" s="18" t="n">
        <v>1060.56</v>
      </c>
      <c r="J65" s="18" t="n">
        <v>1882.67</v>
      </c>
      <c r="K65" s="34" t="n">
        <v>5018.78</v>
      </c>
      <c r="L65" s="18" t="n">
        <v>1447.53</v>
      </c>
      <c r="M65" s="18" t="n">
        <v>1797.78</v>
      </c>
      <c r="N65" s="18" t="n">
        <v>1817.46</v>
      </c>
      <c r="O65" s="18" t="n">
        <v>1788.12</v>
      </c>
      <c r="P65" s="34" t="n">
        <v>6850.89</v>
      </c>
      <c r="Q65" s="18" t="n">
        <v>1905.2</v>
      </c>
      <c r="R65" s="18" t="n">
        <v>2144.23</v>
      </c>
      <c r="S65" s="18" t="n">
        <v>2563.57</v>
      </c>
      <c r="T65" s="18" t="n">
        <v>4937.49</v>
      </c>
      <c r="U65" s="34" t="n">
        <v>11550.49</v>
      </c>
      <c r="V65" s="18" t="n">
        <v>1690.2</v>
      </c>
      <c r="W65" s="18" t="n">
        <v>1679.41</v>
      </c>
      <c r="X65" s="18" t="n">
        <v>3019.37</v>
      </c>
      <c r="Y65" s="18" t="n">
        <v>1812.61</v>
      </c>
      <c r="Z65" s="34" t="n">
        <v>8201.59</v>
      </c>
      <c r="AA65" s="18" t="n">
        <v>1347.91</v>
      </c>
      <c r="AB65" s="19" t="n">
        <v>1495.13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457.93</v>
      </c>
      <c r="F66" s="9" t="n"/>
      <c r="G66" s="18" t="n">
        <v>105.43</v>
      </c>
      <c r="H66" s="18" t="n">
        <v>560.71</v>
      </c>
      <c r="I66" s="18" t="n">
        <v>343.72</v>
      </c>
      <c r="J66" s="18" t="n">
        <v>-352.05</v>
      </c>
      <c r="K66" s="34" t="n">
        <v>657.8099999999999</v>
      </c>
      <c r="L66" s="18" t="n">
        <v>187.04</v>
      </c>
      <c r="M66" s="18" t="n">
        <v>129.04</v>
      </c>
      <c r="N66" s="18" t="n">
        <v>59.23</v>
      </c>
      <c r="O66" s="18" t="n">
        <v>153.06</v>
      </c>
      <c r="P66" s="34" t="n">
        <v>528.37</v>
      </c>
      <c r="Q66" s="18" t="n">
        <v>77.31</v>
      </c>
      <c r="R66" s="18" t="n">
        <v>90.39</v>
      </c>
      <c r="S66" s="18" t="n">
        <v>62.97</v>
      </c>
      <c r="T66" s="18" t="n">
        <v>100.39</v>
      </c>
      <c r="U66" s="34" t="n">
        <v>331.06</v>
      </c>
      <c r="V66" s="18" t="n">
        <v>433.71</v>
      </c>
      <c r="W66" s="18" t="n">
        <v>204.09</v>
      </c>
      <c r="X66" s="18" t="n">
        <v>4035.84</v>
      </c>
      <c r="Y66" s="18" t="n">
        <v>87.53</v>
      </c>
      <c r="Z66" s="34" t="n">
        <v>4761.17</v>
      </c>
      <c r="AA66" s="18" t="n">
        <v>88.89</v>
      </c>
      <c r="AB66" s="19" t="n">
        <v>53.8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32.03</v>
      </c>
      <c r="F67" s="9" t="n"/>
      <c r="G67" s="18" t="n">
        <v>36.49</v>
      </c>
      <c r="H67" s="18" t="n">
        <v>26.02</v>
      </c>
      <c r="I67" s="18" t="n">
        <v>644.03</v>
      </c>
      <c r="J67" s="18" t="n">
        <v>-166.92</v>
      </c>
      <c r="K67" s="34" t="n">
        <v>539.62</v>
      </c>
      <c r="L67" s="18" t="n">
        <v>33.99</v>
      </c>
      <c r="M67" s="18" t="n">
        <v>30.99</v>
      </c>
      <c r="N67" s="18" t="n">
        <v>109.57</v>
      </c>
      <c r="O67" s="18" t="n">
        <v>-17.07</v>
      </c>
      <c r="P67" s="34" t="n">
        <v>157.48</v>
      </c>
      <c r="Q67" s="18" t="n">
        <v>60.99</v>
      </c>
      <c r="R67" s="18" t="n">
        <v>36.77</v>
      </c>
      <c r="S67" s="18" t="n">
        <v>26.02</v>
      </c>
      <c r="T67" s="18" t="n">
        <v>5159.52</v>
      </c>
      <c r="U67" s="34" t="n">
        <v>5283.3</v>
      </c>
      <c r="V67" s="18" t="n">
        <v>27.99</v>
      </c>
      <c r="W67" s="18" t="n">
        <v>31.55</v>
      </c>
      <c r="X67" s="18" t="n">
        <v>4160.64</v>
      </c>
      <c r="Y67" s="18" t="n">
        <v>2983.98</v>
      </c>
      <c r="Z67" s="34" t="n">
        <v>7204.16</v>
      </c>
      <c r="AA67" s="18" t="n">
        <v>26.49</v>
      </c>
      <c r="AB67" s="19" t="n">
        <v>26.49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9429.91</v>
      </c>
      <c r="F68" s="9" t="n"/>
      <c r="G68" s="18" t="n">
        <v>1755.21</v>
      </c>
      <c r="H68" s="18" t="n">
        <v>1307.53</v>
      </c>
      <c r="I68" s="18" t="n">
        <v>-1993.19</v>
      </c>
      <c r="J68" s="18" t="n">
        <v>-3903.47</v>
      </c>
      <c r="K68" s="34" t="n">
        <v>-2833.92</v>
      </c>
      <c r="L68" s="18" t="n">
        <v>-3107.22</v>
      </c>
      <c r="M68" s="18" t="n">
        <v>-4560.53</v>
      </c>
      <c r="N68" s="18" t="n">
        <v>-1335.42</v>
      </c>
      <c r="O68" s="18" t="n">
        <v>-7417.06</v>
      </c>
      <c r="P68" s="34" t="n">
        <v>-16420.23</v>
      </c>
      <c r="Q68" s="18" t="n">
        <v>-4080.96</v>
      </c>
      <c r="R68" s="18" t="n">
        <v>-785.0700000000001</v>
      </c>
      <c r="S68" s="18" t="n">
        <v>-7075.47</v>
      </c>
      <c r="T68" s="18" t="n">
        <v>-17517.27</v>
      </c>
      <c r="U68" s="34" t="n">
        <v>-29458.77</v>
      </c>
      <c r="V68" s="18" t="n">
        <v>-5341.73</v>
      </c>
      <c r="W68" s="18" t="n">
        <v>8913.52</v>
      </c>
      <c r="X68" s="18" t="n">
        <v>-2491.93</v>
      </c>
      <c r="Y68" s="18" t="n">
        <v>-2360.92</v>
      </c>
      <c r="Z68" s="34" t="n">
        <v>-1281.06</v>
      </c>
      <c r="AA68" s="18" t="n">
        <v>544.45</v>
      </c>
      <c r="AB68" s="19" t="n">
        <v>304.2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631.8099999999999</v>
      </c>
      <c r="F69" s="9" t="n"/>
      <c r="G69" s="18" t="n">
        <v>-157.08</v>
      </c>
      <c r="H69" s="18" t="n">
        <v>-50.17</v>
      </c>
      <c r="I69" s="18" t="n">
        <v>19.29</v>
      </c>
      <c r="J69" s="18" t="n">
        <v>-46.99</v>
      </c>
      <c r="K69" s="34" t="n">
        <v>-234.95</v>
      </c>
      <c r="L69" s="18" t="n">
        <v>-105.97</v>
      </c>
      <c r="M69" s="18" t="n">
        <v>-619.77</v>
      </c>
      <c r="N69" s="18" t="n">
        <v>-101.82</v>
      </c>
      <c r="O69" s="18" t="n">
        <v>-588.22</v>
      </c>
      <c r="P69" s="34" t="n">
        <v>-1415.78</v>
      </c>
      <c r="Q69" s="18" t="n">
        <v>-152.56</v>
      </c>
      <c r="R69" s="18" t="n">
        <v>1450.45</v>
      </c>
      <c r="S69" s="18" t="n">
        <v>-277.47</v>
      </c>
      <c r="T69" s="18" t="n">
        <v>-1211.77</v>
      </c>
      <c r="U69" s="34" t="n">
        <v>-191.35</v>
      </c>
      <c r="V69" s="18" t="n">
        <v>-141.55</v>
      </c>
      <c r="W69" s="18" t="n">
        <v>2427.82</v>
      </c>
      <c r="X69" s="18" t="n">
        <v>296.07</v>
      </c>
      <c r="Y69" s="18" t="n">
        <v>219.33</v>
      </c>
      <c r="Z69" s="34" t="n">
        <v>2801.67</v>
      </c>
      <c r="AA69" s="18" t="n">
        <v>11.85</v>
      </c>
      <c r="AB69" s="19" t="n">
        <v>6.25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8798.09</v>
      </c>
      <c r="F70" s="9" t="n"/>
      <c r="G70" s="18" t="n">
        <v>1912.29</v>
      </c>
      <c r="H70" s="18" t="n">
        <v>1357.7</v>
      </c>
      <c r="I70" s="18" t="n">
        <v>-2012.49</v>
      </c>
      <c r="J70" s="18" t="n">
        <v>-3856.49</v>
      </c>
      <c r="K70" s="34" t="n">
        <v>-2598.99</v>
      </c>
      <c r="L70" s="18" t="n">
        <v>-3001.25</v>
      </c>
      <c r="M70" s="18" t="n">
        <v>-3940.76</v>
      </c>
      <c r="N70" s="18" t="n">
        <v>-1233.6</v>
      </c>
      <c r="O70" s="18" t="n">
        <v>-6828.85</v>
      </c>
      <c r="P70" s="34" t="n">
        <v>-15004.46</v>
      </c>
      <c r="Q70" s="18" t="n">
        <v>-3928.4</v>
      </c>
      <c r="R70" s="18" t="n">
        <v>-2235.52</v>
      </c>
      <c r="S70" s="18" t="n">
        <v>-6798</v>
      </c>
      <c r="T70" s="18" t="n">
        <v>-16305.51</v>
      </c>
      <c r="U70" s="34" t="n">
        <v>-29267.43</v>
      </c>
      <c r="V70" s="18" t="n">
        <v>-5200.18</v>
      </c>
      <c r="W70" s="18" t="n">
        <v>6485.7</v>
      </c>
      <c r="X70" s="18" t="n">
        <v>-2787.99</v>
      </c>
      <c r="Y70" s="18" t="n">
        <v>-2580.26</v>
      </c>
      <c r="Z70" s="34" t="n">
        <v>-4082.73</v>
      </c>
      <c r="AA70" s="18" t="n">
        <v>532.6</v>
      </c>
      <c r="AB70" s="19" t="n">
        <v>297.95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8314.110000000001</v>
      </c>
      <c r="F71" s="9" t="n"/>
      <c r="G71" s="18" t="n">
        <v>2088.95</v>
      </c>
      <c r="H71" s="18" t="n">
        <v>1342.1</v>
      </c>
      <c r="I71" s="18" t="n">
        <v>-2021.1</v>
      </c>
      <c r="J71" s="18" t="n">
        <v>-3383.03</v>
      </c>
      <c r="K71" s="34" t="n">
        <v>-1973.08</v>
      </c>
      <c r="L71" s="18" t="n">
        <v>-3001.12</v>
      </c>
      <c r="M71" s="18" t="n">
        <v>-3935.45</v>
      </c>
      <c r="N71" s="18" t="n">
        <v>-1235.04</v>
      </c>
      <c r="O71" s="18" t="n">
        <v>-6943.5</v>
      </c>
      <c r="P71" s="34" t="n">
        <v>-15115.11</v>
      </c>
      <c r="Q71" s="18" t="n">
        <v>-3920.43</v>
      </c>
      <c r="R71" s="18" t="n">
        <v>-2226.66</v>
      </c>
      <c r="S71" s="18" t="n">
        <v>-6790.79</v>
      </c>
      <c r="T71" s="18" t="n">
        <v>-17177.2</v>
      </c>
      <c r="U71" s="34" t="n">
        <v>-30115.08</v>
      </c>
      <c r="V71" s="18" t="n">
        <v>-5201.32</v>
      </c>
      <c r="W71" s="18" t="n">
        <v>6513.54</v>
      </c>
      <c r="X71" s="18" t="n">
        <v>10548.89</v>
      </c>
      <c r="Y71" s="18" t="n">
        <v>-4023.66</v>
      </c>
      <c r="Z71" s="34" t="n">
        <v>7837.45</v>
      </c>
      <c r="AA71" s="18" t="n">
        <v>557.8099999999999</v>
      </c>
      <c r="AB71" s="19" t="n">
        <v>287.47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-1058.45</v>
      </c>
      <c r="F72" s="9" t="n"/>
      <c r="G72" s="18" t="n">
        <v>-1112.79</v>
      </c>
      <c r="H72" s="18" t="n">
        <v>-941.47</v>
      </c>
      <c r="I72" s="18" t="n">
        <v>-1060.36</v>
      </c>
      <c r="J72" s="18" t="n">
        <v>-556.5700000000001</v>
      </c>
      <c r="K72" s="34" t="n">
        <v>-3671.19</v>
      </c>
      <c r="L72" s="18" t="n">
        <v>-1083.55</v>
      </c>
      <c r="M72" s="18" t="n">
        <v>-1259.56</v>
      </c>
      <c r="N72" s="18" t="n">
        <v>477.62</v>
      </c>
      <c r="O72" s="18" t="n">
        <v>2387.28</v>
      </c>
      <c r="P72" s="34" t="n">
        <v>521.79</v>
      </c>
      <c r="Q72" s="18" t="n">
        <v>-1218.06</v>
      </c>
      <c r="R72" s="18" t="n">
        <v>-758.25</v>
      </c>
      <c r="S72" s="18" t="n">
        <v>-1763.54</v>
      </c>
      <c r="T72" s="18" t="n">
        <v>-5856.76</v>
      </c>
      <c r="U72" s="34" t="n">
        <v>-9596.610000000001</v>
      </c>
      <c r="V72" s="18" t="n">
        <v>-1473.13</v>
      </c>
      <c r="W72" s="18" t="n">
        <v>6274.29</v>
      </c>
      <c r="X72" s="18" t="n">
        <v>-3011.89</v>
      </c>
      <c r="Y72" s="18" t="n">
        <v>-1446.63</v>
      </c>
      <c r="Z72" s="34" t="n">
        <v>342.64</v>
      </c>
      <c r="AA72" s="18" t="n">
        <v>-1347.06</v>
      </c>
      <c r="AB72" s="19" t="n">
        <v>-1360.2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425.9</v>
      </c>
      <c r="F73" s="9" t="n"/>
      <c r="G73" s="18" t="n">
        <v>68.94</v>
      </c>
      <c r="H73" s="18" t="n">
        <v>534.6900000000001</v>
      </c>
      <c r="I73" s="18" t="n">
        <v>-300.31</v>
      </c>
      <c r="J73" s="18" t="n">
        <v>-185.13</v>
      </c>
      <c r="K73" s="34" t="n">
        <v>118.19</v>
      </c>
      <c r="L73" s="18" t="n">
        <v>153.05</v>
      </c>
      <c r="M73" s="18" t="n">
        <v>98.05</v>
      </c>
      <c r="N73" s="18" t="n">
        <v>-50.34</v>
      </c>
      <c r="O73" s="18" t="n">
        <v>170.13</v>
      </c>
      <c r="P73" s="34" t="n">
        <v>370.89</v>
      </c>
      <c r="Q73" s="18" t="n">
        <v>16.32</v>
      </c>
      <c r="R73" s="18" t="n">
        <v>53.62</v>
      </c>
      <c r="S73" s="18" t="n">
        <v>36.95</v>
      </c>
      <c r="T73" s="18" t="n">
        <v>-5059.13</v>
      </c>
      <c r="U73" s="34" t="n">
        <v>-4952.24</v>
      </c>
      <c r="V73" s="18" t="n">
        <v>405.72</v>
      </c>
      <c r="W73" s="18" t="n">
        <v>172.54</v>
      </c>
      <c r="X73" s="18" t="n">
        <v>-124.8</v>
      </c>
      <c r="Y73" s="18" t="n">
        <v>-2896.45</v>
      </c>
      <c r="Z73" s="34" t="n">
        <v>-2442.99</v>
      </c>
      <c r="AA73" s="18" t="n">
        <v>62.4</v>
      </c>
      <c r="AB73" s="19" t="n">
        <v>27.31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8798.09</v>
      </c>
      <c r="F74" s="9" t="n"/>
      <c r="G74" s="18" t="n">
        <v>1912.29</v>
      </c>
      <c r="H74" s="18" t="n">
        <v>1357.7</v>
      </c>
      <c r="I74" s="18" t="n">
        <v>-2012.49</v>
      </c>
      <c r="J74" s="18" t="n">
        <v>-3856.49</v>
      </c>
      <c r="K74" s="34" t="n">
        <v>-2598.99</v>
      </c>
      <c r="L74" s="18" t="n">
        <v>-3001.25</v>
      </c>
      <c r="M74" s="18" t="n">
        <v>-3940.76</v>
      </c>
      <c r="N74" s="18" t="n">
        <v>-1233.6</v>
      </c>
      <c r="O74" s="18" t="n">
        <v>-6828.85</v>
      </c>
      <c r="P74" s="34" t="n">
        <v>-15004.46</v>
      </c>
      <c r="Q74" s="18" t="n">
        <v>-3928.4</v>
      </c>
      <c r="R74" s="18" t="n">
        <v>-2235.52</v>
      </c>
      <c r="S74" s="18" t="n">
        <v>-6798</v>
      </c>
      <c r="T74" s="18" t="n">
        <v>-16305.51</v>
      </c>
      <c r="U74" s="34" t="n">
        <v>-29267.43</v>
      </c>
      <c r="V74" s="18" t="n">
        <v>-5200.18</v>
      </c>
      <c r="W74" s="18" t="n">
        <v>6485.7</v>
      </c>
      <c r="X74" s="18" t="n">
        <v>-2787.99</v>
      </c>
      <c r="Y74" s="18" t="n">
        <v>-2580.26</v>
      </c>
      <c r="Z74" s="34" t="n">
        <v>-4082.73</v>
      </c>
      <c r="AA74" s="18" t="n">
        <v>532.6</v>
      </c>
      <c r="AB74" s="19" t="n">
        <v>297.95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4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4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4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4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0.18</v>
      </c>
      <c r="H76" s="18" t="n">
        <v>0.15</v>
      </c>
      <c r="K76" s="9" t="n"/>
      <c r="L76" s="18" t="n">
        <v>0.46</v>
      </c>
      <c r="M76" s="18" t="n">
        <v>891.73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K77" s="9" t="n"/>
      <c r="L77" s="18" t="n">
        <v>1325.63</v>
      </c>
      <c r="M77" s="18" t="n">
        <v>1443.13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K78" s="9" t="n"/>
      <c r="L78" s="18" t="n">
        <v>-1325.17</v>
      </c>
      <c r="M78" s="18" t="n">
        <v>-551.4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3778.79</v>
      </c>
      <c r="F79" s="9" t="n"/>
      <c r="G79" s="18" t="n">
        <v>-6951</v>
      </c>
      <c r="H79" s="18" t="n">
        <v>21821.16</v>
      </c>
      <c r="I79" s="18" t="n">
        <v>-12731.4</v>
      </c>
      <c r="J79" s="18" t="n">
        <v>4207.52</v>
      </c>
      <c r="K79" s="34" t="n">
        <v>6346.28</v>
      </c>
      <c r="L79" s="18" t="n">
        <v>-1822.97</v>
      </c>
      <c r="M79" s="18" t="n">
        <v>-912.14</v>
      </c>
      <c r="N79" s="18" t="n">
        <v>-2028.01</v>
      </c>
      <c r="O79" s="18" t="n">
        <v>-170.81</v>
      </c>
      <c r="P79" s="34" t="n">
        <v>-4933.93</v>
      </c>
      <c r="Q79" s="18" t="n">
        <v>-2677.23</v>
      </c>
      <c r="R79" s="18" t="n">
        <v>13178.24</v>
      </c>
      <c r="S79" s="18" t="n">
        <v>-2604.55</v>
      </c>
      <c r="T79" s="18" t="n">
        <v>2996.85</v>
      </c>
      <c r="U79" s="34" t="n">
        <v>10893.31</v>
      </c>
      <c r="V79" s="18" t="n">
        <v>-240.26</v>
      </c>
      <c r="W79" s="18" t="n">
        <v>1984.33</v>
      </c>
      <c r="X79" s="18" t="n">
        <v>2964.72</v>
      </c>
      <c r="Y79" s="18" t="n">
        <v>-5992.57</v>
      </c>
      <c r="Z79" s="34" t="n">
        <v>-1283.78</v>
      </c>
      <c r="AA79" s="18" t="n">
        <v>-1680.28</v>
      </c>
      <c r="AB79" s="19" t="n">
        <v>1255.16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1968.07</v>
      </c>
      <c r="F80" s="9" t="n"/>
      <c r="G80" s="18" t="n">
        <v>1961.06</v>
      </c>
      <c r="H80" s="18" t="n">
        <v>1956.7</v>
      </c>
      <c r="I80" s="18" t="n">
        <v>1950.02</v>
      </c>
      <c r="J80" s="18" t="n">
        <v>1982.4</v>
      </c>
      <c r="K80" s="34" t="n">
        <v>7850.18</v>
      </c>
      <c r="L80" s="18" t="n">
        <v>1984.9</v>
      </c>
      <c r="M80" s="18" t="n">
        <v>1996.76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0</v>
      </c>
      <c r="H81" s="18" t="n">
        <v>20.96</v>
      </c>
      <c r="I81" s="18" t="n">
        <v>0</v>
      </c>
      <c r="J81" s="18" t="n">
        <v>0</v>
      </c>
      <c r="K81" s="34" t="n">
        <v>20.96</v>
      </c>
      <c r="L81" s="18" t="n">
        <v>10</v>
      </c>
      <c r="M81" s="18" t="n">
        <v>0</v>
      </c>
      <c r="N81" s="18" t="n">
        <v>1.6</v>
      </c>
      <c r="O81" s="18" t="n">
        <v>0</v>
      </c>
      <c r="P81" s="34" t="n">
        <v>11.6</v>
      </c>
      <c r="S81" s="18" t="n">
        <v>3.2</v>
      </c>
      <c r="T81" s="18" t="n">
        <v>0</v>
      </c>
      <c r="U81" s="9" t="n"/>
      <c r="X81" s="18" t="n">
        <v>1.92</v>
      </c>
      <c r="Y81" s="18" t="n">
        <v>1.92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-0.06</v>
      </c>
      <c r="F82" s="9" t="n"/>
      <c r="G82" s="18" t="n">
        <v>-526.62</v>
      </c>
      <c r="H82" s="18" t="n">
        <v>0.91</v>
      </c>
      <c r="I82" s="18" t="n">
        <v>0</v>
      </c>
      <c r="J82" s="18" t="n">
        <v>-0.2</v>
      </c>
      <c r="K82" s="34" t="n">
        <v>-525.91</v>
      </c>
      <c r="N82" s="18" t="n">
        <v>-0.16</v>
      </c>
      <c r="O82" s="18" t="n">
        <v>-1.6</v>
      </c>
      <c r="P82" s="9" t="n"/>
      <c r="Q82" s="18" t="n">
        <v>-0.84</v>
      </c>
      <c r="R82" s="18" t="n">
        <v>-6.14</v>
      </c>
      <c r="S82" s="18" t="n">
        <v>-0.86</v>
      </c>
      <c r="T82" s="18" t="n">
        <v>-0.16</v>
      </c>
      <c r="U82" s="34" t="n">
        <v>-8</v>
      </c>
      <c r="V82" s="18" t="n">
        <v>-22.84</v>
      </c>
      <c r="W82" s="18" t="n">
        <v>9.06</v>
      </c>
      <c r="X82" s="18" t="n">
        <v>-0.88</v>
      </c>
      <c r="Y82" s="18" t="n">
        <v>-0.04</v>
      </c>
      <c r="Z82" s="34" t="n">
        <v>-14.7</v>
      </c>
      <c r="AA82" s="18" t="n">
        <v>-0.21</v>
      </c>
      <c r="AB82" s="19" t="n">
        <v>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-3810.47</v>
      </c>
      <c r="F83" s="9" t="n"/>
      <c r="G83" s="18" t="n">
        <v>343.97</v>
      </c>
      <c r="H83" s="18" t="n">
        <v>-154.75</v>
      </c>
      <c r="I83" s="18" t="n">
        <v>-1420.45</v>
      </c>
      <c r="J83" s="18" t="n">
        <v>-456.04</v>
      </c>
      <c r="K83" s="34" t="n">
        <v>-1687.27</v>
      </c>
      <c r="L83" s="18" t="n">
        <v>-627.8200000000001</v>
      </c>
      <c r="M83" s="18" t="n">
        <v>-1811.14</v>
      </c>
      <c r="N83" s="18" t="n">
        <v>-17914.77</v>
      </c>
      <c r="O83" s="18" t="n">
        <v>-1302.24</v>
      </c>
      <c r="P83" s="34" t="n">
        <v>-21655.97</v>
      </c>
      <c r="Q83" s="18" t="n">
        <v>-449.17</v>
      </c>
      <c r="R83" s="18" t="n">
        <v>-453.35</v>
      </c>
      <c r="S83" s="18" t="n">
        <v>-759.4</v>
      </c>
      <c r="T83" s="18" t="n">
        <v>771.89</v>
      </c>
      <c r="U83" s="34" t="n">
        <v>-890.03</v>
      </c>
      <c r="V83" s="18" t="n">
        <v>330.43</v>
      </c>
      <c r="W83" s="18" t="n">
        <v>-575.05</v>
      </c>
      <c r="X83" s="18" t="n">
        <v>5525.89</v>
      </c>
      <c r="Y83" s="18" t="n">
        <v>-2592.89</v>
      </c>
      <c r="Z83" s="34" t="n">
        <v>2688.38</v>
      </c>
      <c r="AA83" s="18" t="n">
        <v>760.6</v>
      </c>
      <c r="AB83" s="19" t="n">
        <v>-10867.5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11.3</v>
      </c>
      <c r="F84" s="9" t="n"/>
      <c r="K84" s="9" t="n"/>
      <c r="P84" s="9" t="n"/>
      <c r="S84" s="18" t="n">
        <v>0</v>
      </c>
      <c r="T84" s="18" t="n">
        <v>0</v>
      </c>
      <c r="U84" s="9" t="n"/>
      <c r="V84" s="18" t="n">
        <v>352</v>
      </c>
      <c r="W84" s="18" t="n">
        <v>145.25</v>
      </c>
      <c r="X84" s="18" t="n">
        <v>5961.91</v>
      </c>
      <c r="Y84" s="18" t="n">
        <v>32.18</v>
      </c>
      <c r="Z84" s="34" t="n">
        <v>6491.34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1164.48</v>
      </c>
      <c r="F85" s="9" t="n"/>
      <c r="G85" s="18" t="n">
        <v>446.33</v>
      </c>
      <c r="H85" s="18" t="n">
        <v>110.65</v>
      </c>
      <c r="I85" s="18" t="n">
        <v>181.87</v>
      </c>
      <c r="J85" s="18" t="n">
        <v>790.4400000000001</v>
      </c>
      <c r="K85" s="34" t="n">
        <v>1529.29</v>
      </c>
      <c r="L85" s="18" t="n">
        <v>88.97</v>
      </c>
      <c r="M85" s="18" t="n">
        <v>830.6900000000001</v>
      </c>
      <c r="N85" s="18" t="n">
        <v>565.47</v>
      </c>
      <c r="O85" s="18" t="n">
        <v>209.97</v>
      </c>
      <c r="P85" s="34" t="n">
        <v>1695.1</v>
      </c>
      <c r="Q85" s="18" t="n">
        <v>669.61</v>
      </c>
      <c r="R85" s="18" t="n">
        <v>0.34</v>
      </c>
      <c r="S85" s="18" t="n">
        <v>938.8099999999999</v>
      </c>
      <c r="T85" s="18" t="n">
        <v>383.6</v>
      </c>
      <c r="U85" s="34" t="n">
        <v>1992.36</v>
      </c>
      <c r="V85" s="18" t="n">
        <v>151.62</v>
      </c>
      <c r="W85" s="18" t="n">
        <v>418.48</v>
      </c>
      <c r="X85" s="18" t="n">
        <v>736.01</v>
      </c>
      <c r="Y85" s="18" t="n">
        <v>1161.66</v>
      </c>
      <c r="Z85" s="34" t="n">
        <v>2467.77</v>
      </c>
      <c r="AA85" s="18" t="n">
        <v>324.93</v>
      </c>
      <c r="AB85" s="19" t="n">
        <v>4565.02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4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4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4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4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854.1799999999999</v>
      </c>
      <c r="F87" s="9" t="n"/>
      <c r="G87" s="18" t="n">
        <v>5712.27</v>
      </c>
      <c r="H87" s="18" t="n">
        <v>-21140.58</v>
      </c>
      <c r="I87" s="18" t="n">
        <v>14358.8</v>
      </c>
      <c r="J87" s="18" t="n">
        <v>-398.8</v>
      </c>
      <c r="K87" s="34" t="n">
        <v>-1468.31</v>
      </c>
      <c r="L87" s="18" t="n">
        <v>1298.12</v>
      </c>
      <c r="M87" s="18" t="n">
        <v>-194.32</v>
      </c>
      <c r="N87" s="18" t="n">
        <v>19731.4</v>
      </c>
      <c r="O87" s="18" t="n">
        <v>1601.83</v>
      </c>
      <c r="P87" s="34" t="n">
        <v>22437.03</v>
      </c>
      <c r="Q87" s="18" t="n">
        <v>3228.15</v>
      </c>
      <c r="R87" s="18" t="n">
        <v>-9227.620000000001</v>
      </c>
      <c r="S87" s="18" t="n">
        <v>-42.6</v>
      </c>
      <c r="T87" s="18" t="n">
        <v>-560.04</v>
      </c>
      <c r="U87" s="34" t="n">
        <v>-6602.11</v>
      </c>
      <c r="V87" s="18" t="n">
        <v>-52.11</v>
      </c>
      <c r="W87" s="18" t="n">
        <v>-1103.39</v>
      </c>
      <c r="X87" s="18" t="n">
        <v>-1007.62</v>
      </c>
      <c r="Y87" s="18" t="n">
        <v>3209.4</v>
      </c>
      <c r="Z87" s="34" t="n">
        <v>1046.28</v>
      </c>
      <c r="AA87" s="18" t="n">
        <v>-3843.72</v>
      </c>
      <c r="AB87" s="19" t="n">
        <v>20005.47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30716.87</v>
      </c>
      <c r="F88" s="9" t="n"/>
      <c r="G88" s="18" t="n">
        <v>28556.69</v>
      </c>
      <c r="H88" s="18" t="n">
        <v>3665.08</v>
      </c>
      <c r="I88" s="18" t="n">
        <v>32176.09</v>
      </c>
      <c r="J88" s="18" t="n">
        <v>23959.22</v>
      </c>
      <c r="K88" s="34" t="n">
        <v>88357.08</v>
      </c>
      <c r="L88" s="18" t="n">
        <v>14584.25</v>
      </c>
      <c r="M88" s="18" t="n">
        <v>5861.66</v>
      </c>
      <c r="N88" s="18" t="n">
        <v>730.75</v>
      </c>
      <c r="O88" s="18" t="n">
        <v>22862.54</v>
      </c>
      <c r="P88" s="34" t="n">
        <v>44039.2</v>
      </c>
      <c r="Q88" s="18" t="n">
        <v>18077.94</v>
      </c>
      <c r="R88" s="18" t="n">
        <v>501.6</v>
      </c>
      <c r="S88" s="18" t="n">
        <v>11318.52</v>
      </c>
      <c r="T88" s="18" t="n">
        <v>16225</v>
      </c>
      <c r="U88" s="34" t="n">
        <v>46123.06</v>
      </c>
      <c r="V88" s="18" t="n">
        <v>18726.62</v>
      </c>
      <c r="W88" s="18" t="n">
        <v>31177.49</v>
      </c>
      <c r="X88" s="18" t="n">
        <v>24013.54</v>
      </c>
      <c r="Y88" s="18" t="n">
        <v>36336.34</v>
      </c>
      <c r="Z88" s="34" t="n">
        <v>110253.99</v>
      </c>
      <c r="AA88" s="18" t="n">
        <v>30375.63</v>
      </c>
      <c r="AB88" s="19" t="n">
        <v>41727.78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29238.75</v>
      </c>
      <c r="F89" s="9" t="n"/>
      <c r="G89" s="18" t="n">
        <v>22232.14</v>
      </c>
      <c r="H89" s="18" t="n">
        <v>24193.82</v>
      </c>
      <c r="I89" s="18" t="n">
        <v>17195.49</v>
      </c>
      <c r="J89" s="18" t="n">
        <v>23730.67</v>
      </c>
      <c r="K89" s="34" t="n">
        <v>87352.12</v>
      </c>
      <c r="L89" s="18" t="n">
        <v>12982.9</v>
      </c>
      <c r="M89" s="18" t="n">
        <v>1028.93</v>
      </c>
      <c r="O89" s="18" t="n">
        <v>17421.09</v>
      </c>
      <c r="P89" s="9" t="n"/>
      <c r="Q89" s="18" t="n">
        <v>14575.99</v>
      </c>
      <c r="R89" s="18" t="n">
        <v>7834.27</v>
      </c>
      <c r="S89" s="18" t="n">
        <v>11320.24</v>
      </c>
      <c r="T89" s="18" t="n">
        <v>16725.67</v>
      </c>
      <c r="U89" s="34" t="n">
        <v>50456.17</v>
      </c>
      <c r="V89" s="18" t="n">
        <v>18729.35</v>
      </c>
      <c r="W89" s="18" t="n">
        <v>32230.62</v>
      </c>
      <c r="X89" s="18" t="n">
        <v>14712.21</v>
      </c>
      <c r="Y89" s="18" t="n">
        <v>42842.19</v>
      </c>
      <c r="Z89" s="34" t="n">
        <v>108514.37</v>
      </c>
      <c r="AA89" s="18" t="n">
        <v>33215</v>
      </c>
      <c r="AB89" s="19" t="n">
        <v>51677.45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589.4400000000001</v>
      </c>
      <c r="F90" s="9" t="n"/>
      <c r="G90" s="18" t="n">
        <v>591.42</v>
      </c>
      <c r="H90" s="18" t="n">
        <v>594.08</v>
      </c>
      <c r="I90" s="18" t="n">
        <v>596.3200000000001</v>
      </c>
      <c r="J90" s="18" t="n">
        <v>598.8200000000001</v>
      </c>
      <c r="K90" s="34" t="n">
        <v>2380.64</v>
      </c>
      <c r="L90" s="18" t="n">
        <v>269.74</v>
      </c>
      <c r="M90" s="18" t="n">
        <v>274.56</v>
      </c>
      <c r="N90" s="18" t="n">
        <v>185.65</v>
      </c>
      <c r="O90" s="18" t="n">
        <v>187.8</v>
      </c>
      <c r="P90" s="34" t="n">
        <v>917.75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822.5</v>
      </c>
      <c r="F91" s="9" t="n"/>
      <c r="G91" s="18" t="n">
        <v>-894.76</v>
      </c>
      <c r="H91" s="18" t="n">
        <v>525.83</v>
      </c>
      <c r="I91" s="18" t="n">
        <v>206.94</v>
      </c>
      <c r="J91" s="18" t="n">
        <v>3352.69</v>
      </c>
      <c r="K91" s="34" t="n">
        <v>3190.7</v>
      </c>
      <c r="L91" s="18" t="n">
        <v>-1152.67</v>
      </c>
      <c r="M91" s="18" t="n">
        <v>-2917.59</v>
      </c>
      <c r="N91" s="18" t="n">
        <v>-211.39</v>
      </c>
      <c r="O91" s="18" t="n">
        <v>128.77</v>
      </c>
      <c r="P91" s="34" t="n">
        <v>-4152.88</v>
      </c>
      <c r="Q91" s="18" t="n">
        <v>101.75</v>
      </c>
      <c r="R91" s="18" t="n">
        <v>3497.27</v>
      </c>
      <c r="S91" s="18" t="n">
        <v>-3406.55</v>
      </c>
      <c r="T91" s="18" t="n">
        <v>3208.71</v>
      </c>
      <c r="U91" s="34" t="n">
        <v>3401.18</v>
      </c>
      <c r="V91" s="18" t="n">
        <v>38.06</v>
      </c>
      <c r="W91" s="18" t="n">
        <v>305.89</v>
      </c>
      <c r="X91" s="18" t="n">
        <v>7482.99</v>
      </c>
      <c r="Y91" s="18" t="n">
        <v>-5376.06</v>
      </c>
      <c r="Z91" s="34" t="n">
        <v>2450.88</v>
      </c>
      <c r="AA91" s="18" t="n">
        <v>-4763.4</v>
      </c>
      <c r="AB91" s="19" t="n">
        <v>10393.12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822.5</v>
      </c>
      <c r="F92" s="9" t="n"/>
      <c r="G92" s="18" t="n">
        <v>406.48</v>
      </c>
      <c r="H92" s="18" t="n">
        <v>525.83</v>
      </c>
      <c r="I92" s="18" t="n">
        <v>206.94</v>
      </c>
      <c r="J92" s="18" t="n">
        <v>3352.69</v>
      </c>
      <c r="K92" s="34" t="n">
        <v>4491.94</v>
      </c>
      <c r="L92" s="18" t="n">
        <v>3339.27</v>
      </c>
      <c r="M92" s="18" t="n">
        <v>-2917.59</v>
      </c>
      <c r="N92" s="18" t="n">
        <v>-211.4</v>
      </c>
      <c r="O92" s="18" t="n">
        <v>128.78</v>
      </c>
      <c r="P92" s="34" t="n">
        <v>339.06</v>
      </c>
      <c r="Q92" s="18" t="n">
        <v>440.82</v>
      </c>
      <c r="R92" s="18" t="n">
        <v>3497.27</v>
      </c>
      <c r="S92" s="18" t="n">
        <v>-3406.56</v>
      </c>
      <c r="T92" s="18" t="n">
        <v>3208.71</v>
      </c>
      <c r="U92" s="34" t="n">
        <v>3740.24</v>
      </c>
      <c r="V92" s="18" t="n">
        <v>3778.3</v>
      </c>
      <c r="W92" s="18" t="n">
        <v>305.89</v>
      </c>
      <c r="X92" s="18" t="n">
        <v>7482.99</v>
      </c>
      <c r="Y92" s="18" t="n">
        <v>-5376.06</v>
      </c>
      <c r="Z92" s="34" t="n">
        <v>6191.12</v>
      </c>
      <c r="AA92" s="18" t="n">
        <v>1427.71</v>
      </c>
      <c r="AB92" s="19" t="n">
        <v>10393.13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8.66</v>
      </c>
      <c r="P93" s="9" t="n"/>
      <c r="Q93" s="18" t="n">
        <v>4.56</v>
      </c>
      <c r="R93" s="18" t="n">
        <v>31.52</v>
      </c>
      <c r="S93" s="18" t="n">
        <v>5.59</v>
      </c>
      <c r="T93" s="18" t="n">
        <v>2.23</v>
      </c>
      <c r="U93" s="34" t="n">
        <v>43.9</v>
      </c>
      <c r="V93" s="18" t="n">
        <v>0.8100000000000001</v>
      </c>
      <c r="W93" s="18" t="n">
        <v>1.13</v>
      </c>
      <c r="X93" s="18" t="n">
        <v>5.56</v>
      </c>
      <c r="Y93" s="18" t="n">
        <v>0.43</v>
      </c>
      <c r="Z93" s="34" t="n">
        <v>7.93</v>
      </c>
      <c r="AA93" s="18" t="n">
        <v>0.85</v>
      </c>
      <c r="AB93" s="19" t="n">
        <v>3.43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0.2226</v>
      </c>
      <c r="F10" s="34" t="n"/>
      <c r="G10" s="18" t="n">
        <v>0.08110000000000001</v>
      </c>
      <c r="H10" s="18" t="n">
        <v>0.0482</v>
      </c>
      <c r="I10" s="18" t="n">
        <v>-0.0186</v>
      </c>
      <c r="J10" s="18" t="n">
        <v>-0.0892</v>
      </c>
      <c r="K10" s="34">
        <f>SUM(G10:J10)</f>
        <v/>
      </c>
      <c r="L10" s="18" t="n">
        <v>-0.0557</v>
      </c>
      <c r="M10" s="18" t="n">
        <v>-0.0997</v>
      </c>
      <c r="N10" s="18" t="n">
        <v>-0.109</v>
      </c>
      <c r="O10" s="18" t="n">
        <v>-0.3871</v>
      </c>
      <c r="P10" s="34">
        <f>SUM(L10:O10)</f>
        <v/>
      </c>
      <c r="Q10" s="18" t="n">
        <v>-0.156</v>
      </c>
      <c r="R10" s="18" t="n">
        <v>-0.036</v>
      </c>
      <c r="S10" s="18" t="n">
        <v>-0.2217</v>
      </c>
      <c r="T10" s="18" t="n">
        <v>-0.2042</v>
      </c>
      <c r="U10" s="34">
        <f>SUM(Q10:T10)</f>
        <v/>
      </c>
      <c r="V10" s="18" t="n">
        <v>-0.1488</v>
      </c>
      <c r="W10" s="18" t="n">
        <v>0.0332</v>
      </c>
      <c r="X10" s="18" t="n">
        <v>0.0007</v>
      </c>
      <c r="Y10" s="18" t="n">
        <v>0.0406</v>
      </c>
      <c r="Z10" s="34">
        <f>SUM(V10:Y10)</f>
        <v/>
      </c>
      <c r="AA10" s="18" t="n">
        <v>0.0275</v>
      </c>
      <c r="AB10" s="19" t="n">
        <v>0.026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19.84</v>
      </c>
      <c r="AD17" s="20" t="n">
        <v>19.84</v>
      </c>
      <c r="AE17" s="35">
        <f>SUM(AA17:AD17)</f>
        <v/>
      </c>
      <c r="AF17" s="20" t="n">
        <v>19.84</v>
      </c>
      <c r="AG17" s="20" t="n">
        <v>19.84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120.31</v>
      </c>
      <c r="F18" s="34" t="n"/>
      <c r="G18" s="18" t="n">
        <v>47.6</v>
      </c>
      <c r="H18" s="18" t="n">
        <v>36.71</v>
      </c>
      <c r="I18" s="18" t="n">
        <v>13.18</v>
      </c>
      <c r="J18" s="18" t="n">
        <v>-11.79</v>
      </c>
      <c r="K18" s="34">
        <f>SUM(G18:J18)</f>
        <v/>
      </c>
      <c r="L18" s="18" t="n">
        <v>-1.92</v>
      </c>
      <c r="M18" s="18" t="n">
        <v>-14.02</v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26.4</v>
      </c>
      <c r="AD18" s="20" t="n">
        <v>26.91</v>
      </c>
      <c r="AE18" s="35">
        <f>SUM(AA18:AD18)</f>
        <v/>
      </c>
      <c r="AF18" s="20" t="n">
        <v>26.7</v>
      </c>
      <c r="AG18" s="20" t="n">
        <v>27.24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1832.39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1037.41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794.98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794.98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4" t="n">
        <v>748.35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 t="n"/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 t="n"/>
      <c r="AB23" s="19">
        <f>IFERROR(VLOOKUP($D23,BS연결,MATCH(AB$1,BS연결H,0),0)/100,"")</f>
        <v/>
      </c>
      <c r="AC23" s="20" t="n">
        <v>0</v>
      </c>
      <c r="AD23" s="20" t="n">
        <v>0</v>
      </c>
      <c r="AE23" s="35">
        <f>AD23</f>
        <v/>
      </c>
      <c r="AF23" s="20" t="n">
        <v>0</v>
      </c>
      <c r="AG23" s="20" t="n">
        <v>0</v>
      </c>
      <c r="AH23" s="20" t="n">
        <v>0</v>
      </c>
      <c r="AI23" s="20" t="n">
        <v>0</v>
      </c>
      <c r="AJ23" s="35">
        <f>AI23</f>
        <v/>
      </c>
      <c r="AK23" s="20" t="n">
        <v>0</v>
      </c>
      <c r="AL23" s="20" t="n">
        <v>0</v>
      </c>
      <c r="AM23" s="20" t="n">
        <v>0</v>
      </c>
      <c r="AN23" s="20" t="n">
        <v>0</v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4" t="n">
        <v>735.34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 t="n"/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 t="n"/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19.76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13.01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4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37.79</v>
      </c>
      <c r="F28" s="34" t="n"/>
      <c r="G28" s="18" t="n">
        <v>-69.51000000000001</v>
      </c>
      <c r="H28" s="18" t="n">
        <v>218.21</v>
      </c>
      <c r="I28" s="18" t="n">
        <v>-127.31</v>
      </c>
      <c r="J28" s="18" t="n">
        <v>42.08</v>
      </c>
      <c r="K28" s="34">
        <f>SUM(G28:J28)</f>
        <v/>
      </c>
      <c r="L28" s="18" t="n">
        <v>-18.23</v>
      </c>
      <c r="M28" s="18" t="n">
        <v>-9.119999999999999</v>
      </c>
      <c r="N28" s="18" t="n">
        <v>-31.68</v>
      </c>
      <c r="O28" s="18" t="n">
        <v>-4.83</v>
      </c>
      <c r="P28" s="34">
        <f>SUM(L28:O28)</f>
        <v/>
      </c>
      <c r="Q28" s="18" t="n">
        <v>-44.4</v>
      </c>
      <c r="R28" s="18" t="n">
        <v>123.79</v>
      </c>
      <c r="S28" s="18" t="n">
        <v>-34.08</v>
      </c>
      <c r="T28" s="18" t="n">
        <v>25.31</v>
      </c>
      <c r="U28" s="34">
        <f>SUM(Q28:T28)</f>
        <v/>
      </c>
      <c r="V28" s="18" t="n">
        <v>-9.34</v>
      </c>
      <c r="W28" s="18" t="n">
        <v>21.62</v>
      </c>
      <c r="X28" s="18" t="n">
        <v>13.98</v>
      </c>
      <c r="Y28" s="18" t="n">
        <v>-62.29</v>
      </c>
      <c r="Z28" s="34">
        <f>SUM(V28:Y28)</f>
        <v/>
      </c>
      <c r="AA28" s="18" t="n">
        <v>-25.27</v>
      </c>
      <c r="AB28" s="19" t="n">
        <v>6.94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29.55</v>
      </c>
      <c r="F29" s="27">
        <f>E29</f>
        <v/>
      </c>
      <c r="G29" s="26" t="n">
        <v>29.55</v>
      </c>
      <c r="H29" s="26" t="n">
        <v>29.782</v>
      </c>
      <c r="I29" s="26" t="n">
        <v>29.782</v>
      </c>
      <c r="J29" s="26" t="n">
        <v>29.782</v>
      </c>
      <c r="K29" s="27">
        <f>J29</f>
        <v/>
      </c>
      <c r="L29" s="26" t="n">
        <v>29.782</v>
      </c>
      <c r="M29" s="26" t="n">
        <v>29.918</v>
      </c>
      <c r="N29" s="26" t="n">
        <v>29.918</v>
      </c>
      <c r="O29" s="26" t="n">
        <v>30.826</v>
      </c>
      <c r="P29" s="27">
        <f>O29</f>
        <v/>
      </c>
      <c r="Q29" s="26" t="n">
        <v>30.826</v>
      </c>
      <c r="R29" s="26" t="n">
        <v>30.826</v>
      </c>
      <c r="S29" s="26" t="n">
        <v>30.826</v>
      </c>
      <c r="T29" s="26" t="n">
        <v>30.826</v>
      </c>
      <c r="U29" s="27">
        <f>T29</f>
        <v/>
      </c>
      <c r="V29" s="26" t="n">
        <v>30.826</v>
      </c>
      <c r="W29" s="26" t="n">
        <v>30.826</v>
      </c>
      <c r="X29" s="26" t="n">
        <v>30.826</v>
      </c>
      <c r="Y29" s="26" t="n">
        <v>37.115</v>
      </c>
      <c r="Z29" s="27">
        <f>Y29</f>
        <v/>
      </c>
      <c r="AA29" s="26" t="n">
        <v>37.115</v>
      </c>
      <c r="AB29" s="28" t="n">
        <v>37.115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7.71</v>
      </c>
      <c r="J33" s="18" t="n"/>
      <c r="K33" s="34">
        <f>SUM(G33:J33)</f>
        <v/>
      </c>
      <c r="L33" s="18" t="n"/>
      <c r="M33" s="18" t="n"/>
      <c r="N33" s="18" t="n"/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>
        <v>29.7</v>
      </c>
      <c r="AB33" s="19" t="n"/>
      <c r="AC33" s="20" t="n"/>
      <c r="AD33" s="20" t="n">
        <v>26.99</v>
      </c>
      <c r="AE33" s="35">
        <f>SUM(AA33:AD33)</f>
        <v/>
      </c>
      <c r="AF33" s="20">
        <f>IFERROR(AA33*(1+변수!AF42),"")</f>
        <v/>
      </c>
      <c r="AG33" s="20" t="n">
        <v>16.72</v>
      </c>
      <c r="AH33" s="20" t="n">
        <v>15.86</v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1.15</v>
      </c>
      <c r="F34" s="34" t="n">
        <v>1.13</v>
      </c>
      <c r="G34" s="18" t="n">
        <v>1.22</v>
      </c>
      <c r="H34" s="18" t="n">
        <v>1.11</v>
      </c>
      <c r="I34" s="18" t="n">
        <v>0.96</v>
      </c>
      <c r="J34" s="18" t="n">
        <v>0.85</v>
      </c>
      <c r="K34" s="34">
        <f>SUM(G34:J34)</f>
        <v/>
      </c>
      <c r="L34" s="18" t="n">
        <v>0.8</v>
      </c>
      <c r="M34" s="18" t="n">
        <v>0.9399999999999999</v>
      </c>
      <c r="N34" s="18" t="n">
        <v>0.87</v>
      </c>
      <c r="O34" s="18" t="n">
        <v>0.65</v>
      </c>
      <c r="P34" s="34">
        <f>SUM(L34:O34)</f>
        <v/>
      </c>
      <c r="Q34" s="18" t="n">
        <v>0.63</v>
      </c>
      <c r="R34" s="18" t="n">
        <v>0.71</v>
      </c>
      <c r="S34" s="18" t="n">
        <v>0.64</v>
      </c>
      <c r="T34" s="18" t="n">
        <v>0.9</v>
      </c>
      <c r="U34" s="34">
        <f>SUM(Q34:T34)</f>
        <v/>
      </c>
      <c r="V34" s="18" t="n">
        <v>1.23</v>
      </c>
      <c r="W34" s="18" t="n">
        <v>0.86</v>
      </c>
      <c r="X34" s="18" t="n">
        <v>0.92</v>
      </c>
      <c r="Y34" s="18" t="n">
        <v>1.42</v>
      </c>
      <c r="Z34" s="34">
        <f>SUM(V34:Y34)</f>
        <v/>
      </c>
      <c r="AA34" s="18" t="n">
        <v>1.14</v>
      </c>
      <c r="AB34" s="19" t="n">
        <v>0.96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452.13</v>
      </c>
      <c r="F35" s="34" t="n"/>
      <c r="G35" s="18" t="n">
        <v>345.13</v>
      </c>
      <c r="H35" s="18" t="n">
        <v>355.73</v>
      </c>
      <c r="I35" s="18" t="n">
        <v>340.53</v>
      </c>
      <c r="J35" s="18" t="n">
        <v>354.65</v>
      </c>
      <c r="K35" s="34">
        <f>SUM(G35:J35)</f>
        <v/>
      </c>
      <c r="L35" s="18" t="n">
        <v>390.7</v>
      </c>
      <c r="M35" s="18" t="n">
        <v>340.78</v>
      </c>
      <c r="N35" s="18" t="n">
        <v>311.25</v>
      </c>
      <c r="O35" s="18" t="n">
        <v>279.24</v>
      </c>
      <c r="P35" s="34">
        <f>SUM(L35:O35)</f>
        <v/>
      </c>
      <c r="Q35" s="18" t="n">
        <v>281.67</v>
      </c>
      <c r="R35" s="18" t="n">
        <v>260.06</v>
      </c>
      <c r="S35" s="18" t="n">
        <v>306.63</v>
      </c>
      <c r="T35" s="18" t="n">
        <v>343.36</v>
      </c>
      <c r="U35" s="34">
        <f>SUM(Q35:T35)</f>
        <v/>
      </c>
      <c r="V35" s="18" t="n">
        <v>366.46</v>
      </c>
      <c r="W35" s="18" t="n">
        <v>476.27</v>
      </c>
      <c r="X35" s="18" t="n">
        <v>485.14</v>
      </c>
      <c r="Y35" s="18" t="n">
        <v>533.85</v>
      </c>
      <c r="Z35" s="34">
        <f>SUM(V35:Y35)</f>
        <v/>
      </c>
      <c r="AA35" s="18" t="n">
        <v>506.2</v>
      </c>
      <c r="AB35" s="19" t="n">
        <v>491.36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100.62</v>
      </c>
      <c r="F36" s="34" t="n"/>
      <c r="G36" s="18" t="n">
        <v>27.99</v>
      </c>
      <c r="H36" s="18" t="n">
        <v>17.14</v>
      </c>
      <c r="I36" s="18" t="n">
        <v>-6.33</v>
      </c>
      <c r="J36" s="18" t="n">
        <v>-31.62</v>
      </c>
      <c r="K36" s="34">
        <f>SUM(G36:J36)</f>
        <v/>
      </c>
      <c r="L36" s="18" t="n">
        <v>-21.77</v>
      </c>
      <c r="M36" s="18" t="n">
        <v>-33.99</v>
      </c>
      <c r="N36" s="18" t="n">
        <v>-33.91</v>
      </c>
      <c r="O36" s="18" t="n">
        <v>-108.1</v>
      </c>
      <c r="P36" s="34">
        <f>SUM(L36:O36)</f>
        <v/>
      </c>
      <c r="Q36" s="18" t="n">
        <v>-43.94</v>
      </c>
      <c r="R36" s="18" t="n">
        <v>-9.35</v>
      </c>
      <c r="S36" s="18" t="n">
        <v>-67.98</v>
      </c>
      <c r="T36" s="18" t="n">
        <v>-70.11</v>
      </c>
      <c r="U36" s="34">
        <f>SUM(Q36:T36)</f>
        <v/>
      </c>
      <c r="V36" s="18" t="n">
        <v>-54.52</v>
      </c>
      <c r="W36" s="18" t="n">
        <v>15.83</v>
      </c>
      <c r="X36" s="18" t="n">
        <v>0.32</v>
      </c>
      <c r="Y36" s="18" t="n">
        <v>21.67</v>
      </c>
      <c r="Z36" s="34">
        <f>SUM(V36:Y36)</f>
        <v/>
      </c>
      <c r="AA36" s="18" t="n">
        <v>13.94</v>
      </c>
      <c r="AB36" s="19" t="n">
        <v>12.78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58.9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16.72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0.0434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2.12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