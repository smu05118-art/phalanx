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BS연결!$C$5:$AO$93</definedName>
    <definedName name="BS별도H">BS별도!$C$1:$AO$1</definedName>
    <definedName name="BS별도">BS별도!$C$5:$AO$94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이동합(t−4) 225134억 × 비례계수 0.0087 × 계절비중 Q3 0.251(계절비중 — 최근 3개 연도(2026, 2025, 2024) 분기/연간 비중 평균; 격자 lag0~4×창8/12/19×수준·YoY·4Q합 중 최대 r=0.99, n=8, 창 8)</t>
      </text>
    </comment>
    <comment ref="AD21" authorId="0" shapeId="0">
      <text>
        <t>모델값 역산(implied): v / 전년동기 − 1
고객지수 4분기 이동합(t−4) 232686억 × 비례계수 0.0087 × 계절비중 Q4 0.262(계절비중 — 최근 3개 연도(2026, 2025, 2024) 분기/연간 비중 평균; 격자 lag0~4×창8/12/19×수준·YoY·4Q합 중 최대 r=0.99, n=8, 창 8)</t>
      </text>
    </comment>
    <comment ref="AF21" authorId="0" shapeId="0">
      <text>
        <t>모델값 역산(implied): v / 전년동기 − 1
고객지수 4분기 이동합(t−4) 243693억 × 비례계수 0.0087 × 계절비중 Q1 0.243(계절비중 — 최근 3개 연도(2026, 2025, 2024) 분기/연간 비중 평균; 격자 lag0~4×창8/12/19×수준·YoY·4Q합 중 최대 r=0.99, n=8, 창 8)</t>
      </text>
    </comment>
    <comment ref="AG21" authorId="0" shapeId="0">
      <text>
        <t>모델값 역산(implied): v / 전년동기 − 1
고객지수 4분기 이동합(t−4) 261518억 × 비례계수 0.0087 × 계절비중 Q2 0.244(계절비중 — 최근 3개 연도(2026, 2025, 2024) 분기/연간 비중 평균; 격자 lag0~4×창8/12/19×수준·YoY·4Q합 중 최대 r=0.99, n=8, 창 8)</t>
      </text>
    </comment>
    <comment ref="AH21" authorId="0" shapeId="0">
      <text>
        <t>모델값 역산(implied): v / 전년동기 − 1
고객지수 4분기 이동합(t−4) 277599억 × 비례계수 0.0087 × 계절비중 Q3 0.251(계절비중 — 최근 3개 연도(2026, 2025, 2024) 분기/연간 비중 평균; 격자 lag0~4×창8/12/19×수준·YoY·4Q합 중 최대 r=0.99, n=8, 창 8)</t>
      </text>
    </comment>
    <comment ref="AI21" authorId="0" shapeId="0">
      <text>
        <t>모델값 역산(implied): v / 전년동기 − 1
고객지수 4분기 이동합(t−4) 289449억 × 비례계수 0.0087 × 계절비중 Q4 0.262(계절비중 — 최근 3개 연도(2026, 2025, 2024) 분기/연간 비중 평균; 격자 lag0~4×창8/12/19×수준·YoY·4Q합 중 최대 r=0.99, n=8, 창 8)</t>
      </text>
    </comment>
    <comment ref="AK21" authorId="0" shapeId="0">
      <text>
        <t>모델값 역산(implied): v / 전년동기 − 1
고객지수 4분기 이동합(t−4) 302092억 × 비례계수 0.0087 × 계절비중 Q1 0.243(계절비중 — 최근 3개 연도(2026, 2025, 2024) 분기/연간 비중 평균; 격자 lag0~4×창8/12/19×수준·YoY·4Q합 중 최대 r=0.99, n=8, 창 8)</t>
      </text>
    </comment>
    <comment ref="AL21" authorId="0" shapeId="0">
      <text>
        <t>모델값 역산(implied): v / 전년동기 − 1
고객지수 4분기 이동합(t−4) 306971억 × 비례계수 0.0087 × 계절비중 Q2 0.244(계절비중 — 최근 3개 연도(2026, 2025, 2024) 분기/연간 비중 평균; 격자 lag0~4×창8/12/19×수준·YoY·4Q합 중 최대 r=0.99, n=8, 창 8)</t>
      </text>
    </comment>
    <comment ref="AM21" authorId="0" shapeId="0">
      <text>
        <t>모델값 역산(implied): v / 전년동기 − 1
고객지수 4분기 이동합(t−4) 317544억 × 비례계수 0.0087 × 계절비중 Q3 0.251(계절비중 — 최근 3개 연도(2026, 2025, 2024) 분기/연간 비중 평균; 격자 lag0~4×창8/12/19×수준·YoY·4Q합 중 최대 r=0.99, n=8, 창 8)</t>
      </text>
    </comment>
    <comment ref="AN21" authorId="0" shapeId="0">
      <text>
        <t>모델값 역산(implied): v / 전년동기 − 1
고객지수 4분기 이동합(t−4) 332441억 × 비례계수 0.0087 × 계절비중 Q4 0.262(계절비중 — 최근 3개 연도(2026, 2025, 2024) 분기/연간 비중 평균; 격자 lag0~4×창8/12/19×수준·YoY·4Q합 중 최대 r=0.99, n=8, 창 8)</t>
      </text>
    </comment>
    <comment ref="AC22" authorId="0" shapeId="0">
      <text>
        <t>3절 스칼라 '판관비율' 참조 — 숫자로 덮어쓰면 이 분기만 바뀐다
매출액 × 판관비율 5.20%(최근 4분기 중위)</t>
      </text>
    </comment>
    <comment ref="AD22" authorId="0" shapeId="0">
      <text>
        <t>3절 스칼라 '판관비율' 참조 — 숫자로 덮어쓰면 이 분기만 바뀐다
매출액 × 판관비율 5.20%(최근 4분기 중위)</t>
      </text>
    </comment>
    <comment ref="AF22" authorId="0" shapeId="0">
      <text>
        <t>3절 스칼라 '판관비율' 참조 — 숫자로 덮어쓰면 이 분기만 바뀐다
매출액 × 판관비율 5.20%(최근 4분기 중위)</t>
      </text>
    </comment>
    <comment ref="AG22" authorId="0" shapeId="0">
      <text>
        <t>3절 스칼라 '판관비율' 참조 — 숫자로 덮어쓰면 이 분기만 바뀐다
매출액 × 판관비율 5.20%(최근 4분기 중위)</t>
      </text>
    </comment>
    <comment ref="AH22" authorId="0" shapeId="0">
      <text>
        <t>3절 스칼라 '판관비율' 참조 — 숫자로 덮어쓰면 이 분기만 바뀐다
매출액 × 판관비율 5.20%(최근 4분기 중위)</t>
      </text>
    </comment>
    <comment ref="AI22" authorId="0" shapeId="0">
      <text>
        <t>3절 스칼라 '판관비율' 참조 — 숫자로 덮어쓰면 이 분기만 바뀐다
매출액 × 판관비율 5.20%(최근 4분기 중위)</t>
      </text>
    </comment>
    <comment ref="AK22" authorId="0" shapeId="0">
      <text>
        <t>3절 스칼라 '판관비율' 참조 — 숫자로 덮어쓰면 이 분기만 바뀐다
매출액 × 판관비율 5.20%(최근 4분기 중위)</t>
      </text>
    </comment>
    <comment ref="AL22" authorId="0" shapeId="0">
      <text>
        <t>3절 스칼라 '판관비율' 참조 — 숫자로 덮어쓰면 이 분기만 바뀐다
매출액 × 판관비율 5.20%(최근 4분기 중위)</t>
      </text>
    </comment>
    <comment ref="AM22" authorId="0" shapeId="0">
      <text>
        <t>3절 스칼라 '판관비율' 참조 — 숫자로 덮어쓰면 이 분기만 바뀐다
매출액 × 판관비율 5.20%(최근 4분기 중위)</t>
      </text>
    </comment>
    <comment ref="AN22" authorId="0" shapeId="0">
      <text>
        <t>3절 스칼라 '판관비율' 참조 — 숫자로 덮어쓰면 이 분기만 바뀐다
매출액 × 판관비율 5.20%(최근 4분기 중위)</t>
      </text>
    </comment>
    <comment ref="AC23" authorId="0" shapeId="0">
      <text>
        <t>모델값 역산(implied): v / 매출액
매출액 × OPM(최근 8분기 OPM 중위 1.3% 유지)</t>
      </text>
    </comment>
    <comment ref="AD23" authorId="0" shapeId="0">
      <text>
        <t>모델값 역산(implied): v / 매출액
매출액 × OPM(최근 8분기 OPM 중위 1.3% 유지)</t>
      </text>
    </comment>
    <comment ref="AF23" authorId="0" shapeId="0">
      <text>
        <t>모델값 역산(implied): v / 매출액
매출액 × OPM(최근 8분기 OPM 중위 1.3% 유지)</t>
      </text>
    </comment>
    <comment ref="AG23" authorId="0" shapeId="0">
      <text>
        <t>모델값 역산(implied): v / 매출액
매출액 × OPM(최근 8분기 OPM 중위 1.3% 유지)</t>
      </text>
    </comment>
    <comment ref="AH23" authorId="0" shapeId="0">
      <text>
        <t>모델값 역산(implied): v / 매출액
매출액 × OPM(최근 8분기 OPM 중위 1.3% 유지)</t>
      </text>
    </comment>
    <comment ref="AI23" authorId="0" shapeId="0">
      <text>
        <t>모델값 역산(implied): v / 매출액
매출액 × OPM(최근 8분기 OPM 중위 1.3% 유지)</t>
      </text>
    </comment>
    <comment ref="AK23" authorId="0" shapeId="0">
      <text>
        <t>모델값 역산(implied): v / 매출액
매출액 × OPM(최근 8분기 OPM 중위 1.3% 유지)</t>
      </text>
    </comment>
    <comment ref="AL23" authorId="0" shapeId="0">
      <text>
        <t>모델값 역산(implied): v / 매출액
매출액 × OPM(최근 8분기 OPM 중위 1.3% 유지)</t>
      </text>
    </comment>
    <comment ref="AM23" authorId="0" shapeId="0">
      <text>
        <t>모델값 역산(implied): v / 매출액
매출액 × OPM(최근 8분기 OPM 중위 1.3% 유지)</t>
      </text>
    </comment>
    <comment ref="AN23" authorId="0" shapeId="0">
      <text>
        <t>모델값 역산(implied): v / 매출액
매출액 × OPM(최근 8분기 OPM 중위 1.3% 유지)</t>
      </text>
    </comment>
    <comment ref="AC24" authorId="0" shapeId="0">
      <text>
        <t>모델값 역산(implied): 모델 v 그대로
파생상품 평가·거래손익 0 가정</t>
      </text>
    </comment>
    <comment ref="AD24" authorId="0" shapeId="0">
      <text>
        <t>모델값 역산(implied): 모델 v 그대로
파생상품 평가·거래손익 0 가정</t>
      </text>
    </comment>
    <comment ref="AF24" authorId="0" shapeId="0">
      <text>
        <t>모델값 역산(implied): 모델 v 그대로
파생상품 평가·거래손익 0 가정</t>
      </text>
    </comment>
    <comment ref="AG24" authorId="0" shapeId="0">
      <text>
        <t>모델값 역산(implied): 모델 v 그대로
파생상품 평가·거래손익 0 가정</t>
      </text>
    </comment>
    <comment ref="AH24" authorId="0" shapeId="0">
      <text>
        <t>모델값 역산(implied): 모델 v 그대로
파생상품 평가·거래손익 0 가정</t>
      </text>
    </comment>
    <comment ref="AI24" authorId="0" shapeId="0">
      <text>
        <t>모델값 역산(implied): 모델 v 그대로
파생상품 평가·거래손익 0 가정</t>
      </text>
    </comment>
    <comment ref="AK24" authorId="0" shapeId="0">
      <text>
        <t>모델값 역산(implied): 모델 v 그대로
파생상품 평가·거래손익 0 가정</t>
      </text>
    </comment>
    <comment ref="AL24" authorId="0" shapeId="0">
      <text>
        <t>모델값 역산(implied): 모델 v 그대로
파생상품 평가·거래손익 0 가정</t>
      </text>
    </comment>
    <comment ref="AM24" authorId="0" shapeId="0">
      <text>
        <t>모델값 역산(implied): 모델 v 그대로
파생상품 평가·거래손익 0 가정</t>
      </text>
    </comment>
    <comment ref="AN24" authorId="0" shapeId="0">
      <text>
        <t>모델값 역산(implied): 모델 v 그대로
파생상품 평가·거래손익 0 가정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D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F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G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H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I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K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L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M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N26" authorId="0" shapeId="0">
      <text>
        <t>3절 스칼라 '세율' 참조 — 숫자로 덮어쓰면 이 분기만 바뀐다
max(세전, 0) × 세율 22.0%(최근 12분기 세전 합 ≤ 0; 세전 &gt; 0 분기 중위 -1.7% 도 5~27% 밖 → 법정세율 근사 22% 가정)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8" authorId="0" shapeId="0">
      <text>
        <t>모델값 역산(implied): 모델 v 그대로
최근 4분기 감가상각비 중위 유지</t>
      </text>
    </comment>
    <comment ref="AD28" authorId="0" shapeId="0">
      <text>
        <t>모델값 역산(implied): 모델 v 그대로
최근 4분기 감가상각비 중위 유지</t>
      </text>
    </comment>
    <comment ref="AF28" authorId="0" shapeId="0">
      <text>
        <t>모델값 역산(implied): 모델 v 그대로
최근 4분기 감가상각비 중위 유지</t>
      </text>
    </comment>
    <comment ref="AG28" authorId="0" shapeId="0">
      <text>
        <t>모델값 역산(implied): 모델 v 그대로
최근 4분기 감가상각비 중위 유지</t>
      </text>
    </comment>
    <comment ref="AH28" authorId="0" shapeId="0">
      <text>
        <t>모델값 역산(implied): 모델 v 그대로
최근 4분기 감가상각비 중위 유지</t>
      </text>
    </comment>
    <comment ref="AI28" authorId="0" shapeId="0">
      <text>
        <t>모델값 역산(implied): 모델 v 그대로
최근 4분기 감가상각비 중위 유지</t>
      </text>
    </comment>
    <comment ref="AK28" authorId="0" shapeId="0">
      <text>
        <t>모델값 역산(implied): 모델 v 그대로
최근 4분기 감가상각비 중위 유지</t>
      </text>
    </comment>
    <comment ref="AL28" authorId="0" shapeId="0">
      <text>
        <t>모델값 역산(implied): 모델 v 그대로
최근 4분기 감가상각비 중위 유지</t>
      </text>
    </comment>
    <comment ref="AM28" authorId="0" shapeId="0">
      <text>
        <t>모델값 역산(implied): 모델 v 그대로
최근 4분기 감가상각비 중위 유지</t>
      </text>
    </comment>
    <comment ref="AN28" authorId="0" shapeId="0">
      <text>
        <t>모델값 역산(implied): 모델 v 그대로
최근 4분기 감가상각비 중위 유지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D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F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G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H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I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K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L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M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N33" authorId="0" shapeId="0">
      <text>
        <t>모델값 역산(implied): v / 전분기 − 1
전분기 − FCF 근사[순이익 + 감가상각비 20억 − CAPEX 10억(각 최근 4분기 중위) − 배당]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반영(FCF 근사)</t>
      </text>
    </comment>
    <comment ref="AD36" authorId="0" shapeId="0">
      <text>
        <t>모델값 역산(implied): v / 전년동기 − 1
최근 4분기(2025Q3~2026Q2) CAPEX 중위 유지 — 순차입금 롤에 반영(FCF 근사)</t>
      </text>
    </comment>
    <comment ref="AF36" authorId="0" shapeId="0">
      <text>
        <t>모델값 역산(implied): v / 전년동기 − 1
최근 4분기(2025Q3~2026Q2) CAPEX 중위 유지 — 순차입금 롤에 반영(FCF 근사)</t>
      </text>
    </comment>
    <comment ref="AG36" authorId="0" shapeId="0">
      <text>
        <t>모델값 역산(implied): v / 전년동기 − 1
최근 4분기(2025Q3~2026Q2) CAPEX 중위 유지 — 순차입금 롤에 반영(FCF 근사)</t>
      </text>
    </comment>
    <comment ref="AH36" authorId="0" shapeId="0">
      <text>
        <t>모델값 역산(implied): v / 전년동기 − 1
최근 4분기(2025Q3~2026Q2) CAPEX 중위 유지 — 순차입금 롤에 반영(FCF 근사)</t>
      </text>
    </comment>
    <comment ref="AI36" authorId="0" shapeId="0">
      <text>
        <t>모델값 역산(implied): v / 전년동기 − 1
최근 4분기(2025Q3~2026Q2) CAPEX 중위 유지 — 순차입금 롤에 반영(FCF 근사)</t>
      </text>
    </comment>
    <comment ref="AK36" authorId="0" shapeId="0">
      <text>
        <t>모델값 역산(implied): v / 전년동기 − 1
최근 4분기(2025Q3~2026Q2) CAPEX 중위 유지 — 순차입금 롤에 반영(FCF 근사)</t>
      </text>
    </comment>
    <comment ref="AL36" authorId="0" shapeId="0">
      <text>
        <t>모델값 역산(implied): v / 전년동기 − 1
최근 4분기(2025Q3~2026Q2) CAPEX 중위 유지 — 순차입금 롤에 반영(FCF 근사)</t>
      </text>
    </comment>
    <comment ref="AM36" authorId="0" shapeId="0">
      <text>
        <t>모델값 역산(implied): v / 전년동기 − 1
최근 4분기(2025Q3~2026Q2) CAPEX 중위 유지 — 순차입금 롤에 반영(FCF 근사)</t>
      </text>
    </comment>
    <comment ref="AN36" authorId="0" shapeId="0">
      <text>
        <t>모델값 역산(implied): v / 전년동기 − 1
최근 4분기(2025Q3~2026Q2) CAPEX 중위 유지 — 순차입금 롤에 반영(FCF 근사)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0원 유지</t>
      </text>
    </comment>
    <comment ref="AI39" authorId="0" shapeId="0">
      <text>
        <t>모델값 역산(implied): 모델 v 그대로
직전 결산 DPS 0원 유지</t>
      </text>
    </comment>
    <comment ref="AN39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이동합(t−4) 225134억 × 비례계수 0.0087 × 계절비중 Q3 0.251(계절비중 — 최근 3개 연도(2026, 2025, 2024) 분기/연간 비중 평균; 격자 lag0~4×창8/12/19×수준·YoY·4Q합 중 최대 r=0.99, n=8, 창 8)
[yoy]</t>
      </text>
    </comment>
    <comment ref="AD5" authorId="0" shapeId="0">
      <text>
        <t>추정: 고객지수 4분기 이동합(t−4) 232686억 × 비례계수 0.0087 × 계절비중 Q4 0.262(계절비중 — 최근 3개 연도(2026, 2025, 2024) 분기/연간 비중 평균; 격자 lag0~4×창8/12/19×수준·YoY·4Q합 중 최대 r=0.99, n=8, 창 8)
[yoy]</t>
      </text>
    </comment>
    <comment ref="AF5" authorId="0" shapeId="0">
      <text>
        <t>추정: 고객지수 4분기 이동합(t−4) 243693억 × 비례계수 0.0087 × 계절비중 Q1 0.243(계절비중 — 최근 3개 연도(2026, 2025, 2024) 분기/연간 비중 평균; 격자 lag0~4×창8/12/19×수준·YoY·4Q합 중 최대 r=0.99, n=8, 창 8)
[yoy]</t>
      </text>
    </comment>
    <comment ref="AG5" authorId="0" shapeId="0">
      <text>
        <t>추정: 고객지수 4분기 이동합(t−4) 261518억 × 비례계수 0.0087 × 계절비중 Q2 0.244(계절비중 — 최근 3개 연도(2026, 2025, 2024) 분기/연간 비중 평균; 격자 lag0~4×창8/12/19×수준·YoY·4Q합 중 최대 r=0.99, n=8, 창 8)
[yoy]</t>
      </text>
    </comment>
    <comment ref="AH5" authorId="0" shapeId="0">
      <text>
        <t>추정: 고객지수 4분기 이동합(t−4) 277599억 × 비례계수 0.0087 × 계절비중 Q3 0.251(계절비중 — 최근 3개 연도(2026, 2025, 2024) 분기/연간 비중 평균; 격자 lag0~4×창8/12/19×수준·YoY·4Q합 중 최대 r=0.99, n=8, 창 8)
[yoy]</t>
      </text>
    </comment>
    <comment ref="AI5" authorId="0" shapeId="0">
      <text>
        <t>추정: 고객지수 4분기 이동합(t−4) 289449억 × 비례계수 0.0087 × 계절비중 Q4 0.262(계절비중 — 최근 3개 연도(2026, 2025, 2024) 분기/연간 비중 평균; 격자 lag0~4×창8/12/19×수준·YoY·4Q합 중 최대 r=0.99, n=8, 창 8)
[yoy]</t>
      </text>
    </comment>
    <comment ref="AK5" authorId="0" shapeId="0">
      <text>
        <t>추정: 고객지수 4분기 이동합(t−4) 302092억 × 비례계수 0.0087 × 계절비중 Q1 0.243(계절비중 — 최근 3개 연도(2026, 2025, 2024) 분기/연간 비중 평균; 격자 lag0~4×창8/12/19×수준·YoY·4Q합 중 최대 r=0.99, n=8, 창 8)
[yoy]</t>
      </text>
    </comment>
    <comment ref="AL5" authorId="0" shapeId="0">
      <text>
        <t>추정: 고객지수 4분기 이동합(t−4) 306971억 × 비례계수 0.0087 × 계절비중 Q2 0.244(계절비중 — 최근 3개 연도(2026, 2025, 2024) 분기/연간 비중 평균; 격자 lag0~4×창8/12/19×수준·YoY·4Q합 중 최대 r=0.99, n=8, 창 8)
[yoy]</t>
      </text>
    </comment>
    <comment ref="AM5" authorId="0" shapeId="0">
      <text>
        <t>추정: 고객지수 4분기 이동합(t−4) 317544억 × 비례계수 0.0087 × 계절비중 Q3 0.251(계절비중 — 최근 3개 연도(2026, 2025, 2024) 분기/연간 비중 평균; 격자 lag0~4×창8/12/19×수준·YoY·4Q합 중 최대 r=0.99, n=8, 창 8)
[yoy]</t>
      </text>
    </comment>
    <comment ref="AN5" authorId="0" shapeId="0">
      <text>
        <t>추정: 고객지수 4분기 이동합(t−4) 332441억 × 비례계수 0.0087 × 계절비중 Q4 0.262(계절비중 — 최근 3개 연도(2026, 2025, 2024) 분기/연간 비중 평균; 격자 lag0~4×창8/12/19×수준·YoY·4Q합 중 최대 r=0.99,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5.20%(최근 4분기 중위)
[ratio]</t>
      </text>
    </comment>
    <comment ref="AD8" authorId="0" shapeId="0">
      <text>
        <t>추정: 매출액 × 판관비율 5.20%(최근 4분기 중위)
[ratio]</t>
      </text>
    </comment>
    <comment ref="AF8" authorId="0" shapeId="0">
      <text>
        <t>추정: 매출액 × 판관비율 5.20%(최근 4분기 중위)
[ratio]</t>
      </text>
    </comment>
    <comment ref="AG8" authorId="0" shapeId="0">
      <text>
        <t>추정: 매출액 × 판관비율 5.20%(최근 4분기 중위)
[ratio]</t>
      </text>
    </comment>
    <comment ref="AH8" authorId="0" shapeId="0">
      <text>
        <t>추정: 매출액 × 판관비율 5.20%(최근 4분기 중위)
[ratio]</t>
      </text>
    </comment>
    <comment ref="AI8" authorId="0" shapeId="0">
      <text>
        <t>추정: 매출액 × 판관비율 5.20%(최근 4분기 중위)
[ratio]</t>
      </text>
    </comment>
    <comment ref="AK8" authorId="0" shapeId="0">
      <text>
        <t>추정: 매출액 × 판관비율 5.20%(최근 4분기 중위)
[ratio]</t>
      </text>
    </comment>
    <comment ref="AL8" authorId="0" shapeId="0">
      <text>
        <t>추정: 매출액 × 판관비율 5.20%(최근 4분기 중위)
[ratio]</t>
      </text>
    </comment>
    <comment ref="AM8" authorId="0" shapeId="0">
      <text>
        <t>추정: 매출액 × 판관비율 5.20%(최근 4분기 중위)
[ratio]</t>
      </text>
    </comment>
    <comment ref="AN8" authorId="0" shapeId="0">
      <text>
        <t>추정: 매출액 × 판관비율 5.20%(최근 4분기 중위)
[ratio]</t>
      </text>
    </comment>
    <comment ref="AC9" authorId="0" shapeId="0">
      <text>
        <t>추정: 매출액 × OPM(최근 8분기 OPM 중위 1.3% 유지)
[ratio]</t>
      </text>
    </comment>
    <comment ref="AD9" authorId="0" shapeId="0">
      <text>
        <t>추정: 매출액 × OPM(최근 8분기 OPM 중위 1.3% 유지)
[ratio]</t>
      </text>
    </comment>
    <comment ref="AF9" authorId="0" shapeId="0">
      <text>
        <t>추정: 매출액 × OPM(최근 8분기 OPM 중위 1.3% 유지)
[ratio]</t>
      </text>
    </comment>
    <comment ref="AG9" authorId="0" shapeId="0">
      <text>
        <t>추정: 매출액 × OPM(최근 8분기 OPM 중위 1.3% 유지)
[ratio]</t>
      </text>
    </comment>
    <comment ref="AH9" authorId="0" shapeId="0">
      <text>
        <t>추정: 매출액 × OPM(최근 8분기 OPM 중위 1.3% 유지)
[ratio]</t>
      </text>
    </comment>
    <comment ref="AI9" authorId="0" shapeId="0">
      <text>
        <t>추정: 매출액 × OPM(최근 8분기 OPM 중위 1.3% 유지)
[ratio]</t>
      </text>
    </comment>
    <comment ref="AK9" authorId="0" shapeId="0">
      <text>
        <t>추정: 매출액 × OPM(최근 8분기 OPM 중위 1.3% 유지)
[ratio]</t>
      </text>
    </comment>
    <comment ref="AL9" authorId="0" shapeId="0">
      <text>
        <t>추정: 매출액 × OPM(최근 8분기 OPM 중위 1.3% 유지)
[ratio]</t>
      </text>
    </comment>
    <comment ref="AM9" authorId="0" shapeId="0">
      <text>
        <t>추정: 매출액 × OPM(최근 8분기 OPM 중위 1.3% 유지)
[ratio]</t>
      </text>
    </comment>
    <comment ref="AN9" authorId="0" shapeId="0">
      <text>
        <t>추정: 매출액 × OPM(최근 8분기 OPM 중위 1.3% 유지)
[ratio]</t>
      </text>
    </comment>
    <comment ref="AC10" authorId="0" shapeId="0">
      <text>
        <t>추정: 최근 8분기 OPM 중위 1.3% 유지
[divide]</t>
      </text>
    </comment>
    <comment ref="AD10" authorId="0" shapeId="0">
      <text>
        <t>추정: 최근 8분기 OPM 중위 1.3% 유지
[divide]</t>
      </text>
    </comment>
    <comment ref="AF10" authorId="0" shapeId="0">
      <text>
        <t>추정: 최근 8분기 OPM 중위 1.3% 유지
[divide]</t>
      </text>
    </comment>
    <comment ref="AG10" authorId="0" shapeId="0">
      <text>
        <t>추정: 최근 8분기 OPM 중위 1.3% 유지
[divide]</t>
      </text>
    </comment>
    <comment ref="AH10" authorId="0" shapeId="0">
      <text>
        <t>추정: 최근 8분기 OPM 중위 1.3% 유지
[divide]</t>
      </text>
    </comment>
    <comment ref="AI10" authorId="0" shapeId="0">
      <text>
        <t>추정: 최근 8분기 OPM 중위 1.3% 유지
[divide]</t>
      </text>
    </comment>
    <comment ref="AK10" authorId="0" shapeId="0">
      <text>
        <t>추정: 최근 8분기 OPM 중위 1.3% 유지
[divide]</t>
      </text>
    </comment>
    <comment ref="AL10" authorId="0" shapeId="0">
      <text>
        <t>추정: 최근 8분기 OPM 중위 1.3% 유지
[divide]</t>
      </text>
    </comment>
    <comment ref="AM10" authorId="0" shapeId="0">
      <text>
        <t>추정: 최근 8분기 OPM 중위 1.3% 유지
[divide]</t>
      </text>
    </comment>
    <comment ref="AN10" authorId="0" shapeId="0">
      <text>
        <t>추정: 최근 8분기 OPM 중위 1.3% 유지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165억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180억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196억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211억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227억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243억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259억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276억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293억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310억 × 0.09%(CF 이자수취 ÷ 평균 이자발생자산(2025Q3~2026Q2; 주석 이자수익 연율 46.0% 클립 — 주석 연율 46.0% &gt; 상한 20% · 주석/CF 508.90배 · CF 창 2025Q3~2026Q2(= la))) − 총차입금 1014억 × 0.00%(없음) (연율) ÷ 4; 환율 효과는 환관련손익 행 별도
[identity]</t>
      </text>
    </comment>
    <comment ref="AC12" authorId="0" shapeId="0">
      <text>
        <t>추정: 이자발생자산 165억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D12" authorId="0" shapeId="0">
      <text>
        <t>추정: 이자발생자산 180억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F12" authorId="0" shapeId="0">
      <text>
        <t>추정: 이자발생자산 196억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G12" authorId="0" shapeId="0">
      <text>
        <t>추정: 이자발생자산 211억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H12" authorId="0" shapeId="0">
      <text>
        <t>추정: 이자발생자산 227억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I12" authorId="0" shapeId="0">
      <text>
        <t>추정: 이자발생자산 243억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K12" authorId="0" shapeId="0">
      <text>
        <t>추정: 이자발생자산 259억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L12" authorId="0" shapeId="0">
      <text>
        <t>추정: 이자발생자산 276억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M12" authorId="0" shapeId="0">
      <text>
        <t>추정: 이자발생자산 293억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N12" authorId="0" shapeId="0">
      <text>
        <t>추정: 이자발생자산 310억 × 0.09%(CF 이자수취 ÷ 평균 이자발생자산(2025Q3~2026Q2; 주석 이자수익 연율 46.0% 클립 — 주석 연율 46.0% &gt; 상한 20% · 주석/CF 508.90배 · CF 창 2025Q3~2026Q2(= la))) − 총차입금 1014억 × 0.00%(없음) (연율) ÷ 4
[interest]</t>
      </text>
    </comment>
    <comment ref="AB13" authorId="0" shapeId="0">
      <text>
        <t>BS 계정 합·차: +파생상품이익 -파생상품손실</t>
      </text>
    </comment>
    <comment ref="AC13" authorId="0" shapeId="0">
      <text>
        <t>추정: 파생상품 평가·거래손익 0 가정
[abs]</t>
      </text>
    </comment>
    <comment ref="AD13" authorId="0" shapeId="0">
      <text>
        <t>추정: 파생상품 평가·거래손익 0 가정
[abs]</t>
      </text>
    </comment>
    <comment ref="AF13" authorId="0" shapeId="0">
      <text>
        <t>추정: 파생상품 평가·거래손익 0 가정
[abs]</t>
      </text>
    </comment>
    <comment ref="AG13" authorId="0" shapeId="0">
      <text>
        <t>추정: 파생상품 평가·거래손익 0 가정
[abs]</t>
      </text>
    </comment>
    <comment ref="AH13" authorId="0" shapeId="0">
      <text>
        <t>추정: 파생상품 평가·거래손익 0 가정
[abs]</t>
      </text>
    </comment>
    <comment ref="AI13" authorId="0" shapeId="0">
      <text>
        <t>추정: 파생상품 평가·거래손익 0 가정
[abs]</t>
      </text>
    </comment>
    <comment ref="AK13" authorId="0" shapeId="0">
      <text>
        <t>추정: 파생상품 평가·거래손익 0 가정
[abs]</t>
      </text>
    </comment>
    <comment ref="AL13" authorId="0" shapeId="0">
      <text>
        <t>추정: 파생상품 평가·거래손익 0 가정
[abs]</t>
      </text>
    </comment>
    <comment ref="AM13" authorId="0" shapeId="0">
      <text>
        <t>추정: 파생상품 평가·거래손익 0 가정
[abs]</t>
      </text>
    </comment>
    <comment ref="AN13" authorId="0" shapeId="0">
      <text>
        <t>추정: 파생상품 평가·거래손익 0 가정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22.0%(최근 12분기 세전 합 ≤ 0; 세전 &gt; 0 분기 중위 -1.7% 도 5~27% 밖 → 법정세율 근사 22% 가정)
[tax]</t>
      </text>
    </comment>
    <comment ref="AD16" authorId="0" shapeId="0">
      <text>
        <t>추정: max(세전, 0) × 세율 22.0%(최근 12분기 세전 합 ≤ 0; 세전 &gt; 0 분기 중위 -1.7% 도 5~27% 밖 → 법정세율 근사 22% 가정)
[tax]</t>
      </text>
    </comment>
    <comment ref="AF16" authorId="0" shapeId="0">
      <text>
        <t>추정: max(세전, 0) × 세율 22.0%(최근 12분기 세전 합 ≤ 0; 세전 &gt; 0 분기 중위 -1.7% 도 5~27% 밖 → 법정세율 근사 22% 가정)
[tax]</t>
      </text>
    </comment>
    <comment ref="AG16" authorId="0" shapeId="0">
      <text>
        <t>추정: max(세전, 0) × 세율 22.0%(최근 12분기 세전 합 ≤ 0; 세전 &gt; 0 분기 중위 -1.7% 도 5~27% 밖 → 법정세율 근사 22% 가정)
[tax]</t>
      </text>
    </comment>
    <comment ref="AH16" authorId="0" shapeId="0">
      <text>
        <t>추정: max(세전, 0) × 세율 22.0%(최근 12분기 세전 합 ≤ 0; 세전 &gt; 0 분기 중위 -1.7% 도 5~27% 밖 → 법정세율 근사 22% 가정)
[tax]</t>
      </text>
    </comment>
    <comment ref="AI16" authorId="0" shapeId="0">
      <text>
        <t>추정: max(세전, 0) × 세율 22.0%(최근 12분기 세전 합 ≤ 0; 세전 &gt; 0 분기 중위 -1.7% 도 5~27% 밖 → 법정세율 근사 22% 가정)
[tax]</t>
      </text>
    </comment>
    <comment ref="AK16" authorId="0" shapeId="0">
      <text>
        <t>추정: max(세전, 0) × 세율 22.0%(최근 12분기 세전 합 ≤ 0; 세전 &gt; 0 분기 중위 -1.7% 도 5~27% 밖 → 법정세율 근사 22% 가정)
[tax]</t>
      </text>
    </comment>
    <comment ref="AL16" authorId="0" shapeId="0">
      <text>
        <t>추정: max(세전, 0) × 세율 22.0%(최근 12분기 세전 합 ≤ 0; 세전 &gt; 0 분기 중위 -1.7% 도 5~27% 밖 → 법정세율 근사 22% 가정)
[tax]</t>
      </text>
    </comment>
    <comment ref="AM16" authorId="0" shapeId="0">
      <text>
        <t>추정: max(세전, 0) × 세율 22.0%(최근 12분기 세전 합 ≤ 0; 세전 &gt; 0 분기 중위 -1.7% 도 5~27% 밖 → 법정세율 근사 22% 가정)
[tax]</t>
      </text>
    </comment>
    <comment ref="AN16" authorId="0" shapeId="0">
      <text>
        <t>추정: max(세전, 0) × 세율 22.0%(최근 12분기 세전 합 ≤ 0; 세전 &gt; 0 분기 중위 -1.7% 도 5~27% 밖 → 법정세율 근사 22% 가정)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19" authorId="0" shapeId="0">
      <text>
        <t>추정: 최근 4분기 감가상각비 중위 유지
[abs]</t>
      </text>
    </comment>
    <comment ref="AD19" authorId="0" shapeId="0">
      <text>
        <t>추정: 최근 4분기 감가상각비 중위 유지
[abs]</t>
      </text>
    </comment>
    <comment ref="AF19" authorId="0" shapeId="0">
      <text>
        <t>추정: 최근 4분기 감가상각비 중위 유지
[abs]</t>
      </text>
    </comment>
    <comment ref="AG19" authorId="0" shapeId="0">
      <text>
        <t>추정: 최근 4분기 감가상각비 중위 유지
[abs]</t>
      </text>
    </comment>
    <comment ref="AH19" authorId="0" shapeId="0">
      <text>
        <t>추정: 최근 4분기 감가상각비 중위 유지
[abs]</t>
      </text>
    </comment>
    <comment ref="AI19" authorId="0" shapeId="0">
      <text>
        <t>추정: 최근 4분기 감가상각비 중위 유지
[abs]</t>
      </text>
    </comment>
    <comment ref="AK19" authorId="0" shapeId="0">
      <text>
        <t>추정: 최근 4분기 감가상각비 중위 유지
[abs]</t>
      </text>
    </comment>
    <comment ref="AL19" authorId="0" shapeId="0">
      <text>
        <t>추정: 최근 4분기 감가상각비 중위 유지
[abs]</t>
      </text>
    </comment>
    <comment ref="AM19" authorId="0" shapeId="0">
      <text>
        <t>추정: 최근 4분기 감가상각비 중위 유지
[abs]</t>
      </text>
    </comment>
    <comment ref="AN19" authorId="0" shapeId="0">
      <text>
        <t>추정: 최근 4분기 감가상각비 중위 유지
[abs]</t>
      </text>
    </comment>
    <comment ref="E20" authorId="0" shapeId="0">
      <text>
        <t>실측(계정 매핑 없음(파생·부문·시세 행) — 모델값 직접) — 영업이익 + 감가상각비(CF)</t>
      </text>
    </comment>
    <comment ref="G20" authorId="0" shapeId="0">
      <text>
        <t>실측(계정 매핑 없음(파생·부문·시세 행) — 모델값 직접) — 영업이익 + 감가상각비(CF)</t>
      </text>
    </comment>
    <comment ref="H20" authorId="0" shapeId="0">
      <text>
        <t>실측(계정 매핑 없음(파생·부문·시세 행) — 모델값 직접) — 영업이익 + 감가상각비(CF)</t>
      </text>
    </comment>
    <comment ref="I20" authorId="0" shapeId="0">
      <text>
        <t>실측(계정 매핑 없음(파생·부문·시세 행) — 모델값 직접) — 영업이익 + 감가상각비(CF)</t>
      </text>
    </comment>
    <comment ref="J20" authorId="0" shapeId="0">
      <text>
        <t>실측(계정 매핑 없음(파생·부문·시세 행) — 모델값 직접) — 영업이익 + 감가상각비(CF)</t>
      </text>
    </comment>
    <comment ref="L20" authorId="0" shapeId="0">
      <text>
        <t>실측(계정 매핑 없음(파생·부문·시세 행) — 모델값 직접) — 영업이익 + 감가상각비(CF)</t>
      </text>
    </comment>
    <comment ref="M20" authorId="0" shapeId="0">
      <text>
        <t>실측(계정 매핑 없음(파생·부문·시세 행) — 모델값 직접) — 영업이익 + 감가상각비(CF)</t>
      </text>
    </comment>
    <comment ref="AC20" authorId="0" shapeId="0">
      <text>
        <t>추정: 영업이익 + 감가상각비
[identity]</t>
      </text>
    </comment>
    <comment ref="AD20" authorId="0" shapeId="0">
      <text>
        <t>추정: 영업이익 + 감가상각비
[identity]</t>
      </text>
    </comment>
    <comment ref="AF20" authorId="0" shapeId="0">
      <text>
        <t>추정: 영업이익 + 감가상각비
[identity]</t>
      </text>
    </comment>
    <comment ref="AG20" authorId="0" shapeId="0">
      <text>
        <t>추정: 영업이익 + 감가상각비
[identity]</t>
      </text>
    </comment>
    <comment ref="AH20" authorId="0" shapeId="0">
      <text>
        <t>추정: 영업이익 + 감가상각비
[identity]</t>
      </text>
    </comment>
    <comment ref="AI20" authorId="0" shapeId="0">
      <text>
        <t>추정: 영업이익 + 감가상각비
[identity]</t>
      </text>
    </comment>
    <comment ref="AK20" authorId="0" shapeId="0">
      <text>
        <t>추정: 영업이익 + 감가상각비
[identity]</t>
      </text>
    </comment>
    <comment ref="AL20" authorId="0" shapeId="0">
      <text>
        <t>추정: 영업이익 + 감가상각비
[identity]</t>
      </text>
    </comment>
    <comment ref="AM20" authorId="0" shapeId="0">
      <text>
        <t>추정: 영업이익 + 감가상각비
[identity]</t>
      </text>
    </comment>
    <comment ref="AN20" authorId="0" shapeId="0">
      <text>
        <t>추정: 영업이익 + 감가상각비
[identity]</t>
      </text>
    </comment>
    <comment ref="F21" authorId="0" shapeId="0">
      <text>
        <t>연간 실측(BS 시트에 2021.12A 없음 — 모델 a 값 직접)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F22" authorId="0" shapeId="0">
      <text>
        <t>연간 실측(BS 시트에 2021.12A 없음 — 모델 a 값 직접)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F23" authorId="0" shapeId="0">
      <text>
        <t>연간 실측(BS 시트에 2021.12A 없음 — 모델 a 값 직접)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F24" authorId="0" shapeId="0">
      <text>
        <t>연간 실측(BS 시트에 2021.12A 없음 — 모델 a 값 직접)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F25" authorId="0" shapeId="0">
      <text>
        <t>연간 실측(BS 시트에 2021.12A 없음 — 모델 a 값 직접)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F26" authorId="0" shapeId="0">
      <text>
        <t>연간 실측(BS 시트에 2021.12A 없음 — 모델 a 값 직접)</t>
      </text>
    </comment>
    <comment ref="AC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D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F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G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H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I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K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L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M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AN26" authorId="0" shapeId="0">
      <text>
        <t>추정: 전분기 − FCF 근사[순이익 + 감가상각비 20억 − CAPEX 10억(각 최근 4분기 중위) − 배당] (운전자본 불변·총차입금 유지 가정 → 변동은 전부 현금)
[qoq]</t>
      </text>
    </comment>
    <comment ref="F27" authorId="0" shapeId="0">
      <text>
        <t>연간 실측(BS 시트에 2021.12A 없음 — 모델 a 값 직접)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F28" authorId="0" shapeId="0">
      <text>
        <t>연간 실측(BS 시트에 2021.12A 없음 — 모델 a 값 직접)</t>
      </text>
    </comment>
    <comment ref="AC29" authorId="0" shapeId="0">
      <text>
        <t>추정: 최근 4분기(2025Q3~2026Q2) CAPEX 중위 유지 — 순차입금 롤에 반영(FCF 근사)
[yoy]</t>
      </text>
    </comment>
    <comment ref="AD29" authorId="0" shapeId="0">
      <text>
        <t>추정: 최근 4분기(2025Q3~2026Q2) CAPEX 중위 유지 — 순차입금 롤에 반영(FCF 근사)
[yoy]</t>
      </text>
    </comment>
    <comment ref="AF29" authorId="0" shapeId="0">
      <text>
        <t>추정: 최근 4분기(2025Q3~2026Q2) CAPEX 중위 유지 — 순차입금 롤에 반영(FCF 근사)
[yoy]</t>
      </text>
    </comment>
    <comment ref="AG29" authorId="0" shapeId="0">
      <text>
        <t>추정: 최근 4분기(2025Q3~2026Q2) CAPEX 중위 유지 — 순차입금 롤에 반영(FCF 근사)
[yoy]</t>
      </text>
    </comment>
    <comment ref="AH29" authorId="0" shapeId="0">
      <text>
        <t>추정: 최근 4분기(2025Q3~2026Q2) CAPEX 중위 유지 — 순차입금 롤에 반영(FCF 근사)
[yoy]</t>
      </text>
    </comment>
    <comment ref="AI29" authorId="0" shapeId="0">
      <text>
        <t>추정: 최근 4분기(2025Q3~2026Q2) CAPEX 중위 유지 — 순차입금 롤에 반영(FCF 근사)
[yoy]</t>
      </text>
    </comment>
    <comment ref="AK29" authorId="0" shapeId="0">
      <text>
        <t>추정: 최근 4분기(2025Q3~2026Q2) CAPEX 중위 유지 — 순차입금 롤에 반영(FCF 근사)
[yoy]</t>
      </text>
    </comment>
    <comment ref="AL29" authorId="0" shapeId="0">
      <text>
        <t>추정: 최근 4분기(2025Q3~2026Q2) CAPEX 중위 유지 — 순차입금 롤에 반영(FCF 근사)
[yoy]</t>
      </text>
    </comment>
    <comment ref="AM29" authorId="0" shapeId="0">
      <text>
        <t>추정: 최근 4분기(2025Q3~2026Q2) CAPEX 중위 유지 — 순차입금 롤에 반영(FCF 근사)
[yoy]</t>
      </text>
    </comment>
    <comment ref="AN29" authorId="0" shapeId="0">
      <text>
        <t>추정: 최근 4분기(2025Q3~2026Q2) CAPEX 중위 유지 — 순차입금 롤에 반영(FCF 근사)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0원 유지
[abs]</t>
      </text>
    </comment>
    <comment ref="AI34" authorId="0" shapeId="0">
      <text>
        <t>추정: 직전 결산 DPS 0원 유지
[abs]</t>
      </text>
    </comment>
    <comment ref="AN34" authorId="0" shapeId="0">
      <text>
        <t>추정: 직전 결산 DPS 0원 유지
[abs]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화인베스틸(133820)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22.02% — 법인세 = MAX(세전,0) × 세율, 추정 전 분기 연결(Σ법인세/Σmax(세전,0) 역산, 재현 오차 ≤ 0.05억). 모델 가정 22.00% · 근거: 최근 12분기 세전 합 ≤ 0; 세전 &gt; 0 분기 중위 -1.7% 도 5~27% 밖 → 법정세율 근사 22% 가정</t>
        </is>
      </c>
    </row>
    <row r="23">
      <c r="A23" t="inlineStr">
        <is>
          <t>· 판관비율 5.20%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0.09% / 부채 0.00% — 이자손익 = (전분기 이자발생자산 × 자산이자율 − 전분기 총차입금 × 부채이자율)/4, 최소자승 역산(모델 assumptions [0.0009, None] 는 4자리 반올림이라 그대로 쓰면 ±1억 어긋남) · 출처: {"asset": "CF 이자수취 ÷ 평균 이자발생자산(2025Q3~2026Q2; 주석 이자수익 연율 46.0% 클립 — 주석 연율 46.0% &gt; 상한 20% · 주석/CF 508.90배 · CF 창 2025Q3~2026Q2(= la))",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양(+)EPS 분기 2개 &lt; 4))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assets/models/133820.json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연결 손익 없는 분기 7개는 별도 재무제표로 보충(셀 src 표기; fin issues no_cons_statements·no_prior_ytd; 겹치는 마지막 분기 2026Q2 연결/별도 매출 +1.8%): 2021Q4, 2022Q1, 2022Q2, 2022Q3, 2022Q4, 2023Q1, 2023Q2 / 이자발생자산 이자율: 주석 연율 46.0% 이상(주석 연율 46.0% &gt; 상한 20% · 주석/CF 508.90배 · CF 창 2025Q3~2026Q2(= la)) → CF 연율 0.1% 로 클립(assumptions.interest_rate_check) / 금융손익 실적→추정 단절: 최근 4분기 실적 -30/-15/-14/-14(중위 -14억) → 추정 2026Q3 +0억(차 +14억, +100%)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17.2, "op_wape_pct": 622.3, "n": 4, "note": "단일 회사 4분기 — 통계 아님", "driver_at_freeze": "customer_yard_revenue_weighted", "selection_oos_at_freeze": {"freeze": "2024Q2", "n": 4, "wape_link": 17.3, "wape_trend": 39.8,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393.21, "rev_act": 485.14, "op_pred": -59.92, "op_act": 0.32}, {"q": "2025Q4", "rev_pred": 427.6, "rev_act": 533.85, "op_pred": -65.16, "op_act": 21.67}, {"q": "2026Q1", "rev_pred": 424.35, "rev_act": 506.2, "op_pred": -64.67, "op_act": 13.94}, {"q": "2026Q2", "rev_pred": 424.35, "rev_act": 491.36, "op_pred": -64.67, "op_act": 12.78}]}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3045</v>
      </c>
      <c r="F15" s="9" t="n"/>
      <c r="G15" s="18" t="n">
        <v>3355</v>
      </c>
      <c r="H15" s="18" t="n">
        <v>2805</v>
      </c>
      <c r="I15" s="18" t="n">
        <v>2280</v>
      </c>
      <c r="J15" s="18" t="n">
        <v>2090</v>
      </c>
      <c r="K15" s="9" t="n"/>
      <c r="L15" s="18" t="n">
        <v>1819</v>
      </c>
      <c r="M15" s="18" t="n">
        <v>2490</v>
      </c>
      <c r="N15" s="18" t="n">
        <v>1431</v>
      </c>
      <c r="O15" s="18" t="n">
        <v>1263</v>
      </c>
      <c r="P15" s="9" t="n"/>
      <c r="Q15" s="18" t="n">
        <v>1331</v>
      </c>
      <c r="R15" s="18" t="n">
        <v>1087</v>
      </c>
      <c r="S15" s="18" t="n">
        <v>900</v>
      </c>
      <c r="T15" s="18" t="n">
        <v>916</v>
      </c>
      <c r="U15" s="9" t="n"/>
      <c r="V15" s="18" t="n">
        <v>810</v>
      </c>
      <c r="W15" s="18" t="n">
        <v>829</v>
      </c>
      <c r="X15" s="18" t="n">
        <v>1860</v>
      </c>
      <c r="Y15" s="18" t="n">
        <v>1643</v>
      </c>
      <c r="Z15" s="9" t="n"/>
      <c r="AA15" s="18" t="n">
        <v>1217</v>
      </c>
      <c r="AB15" s="19" t="n">
        <v>1002</v>
      </c>
      <c r="AC15" s="20" t="n">
        <v>1004</v>
      </c>
      <c r="AD15" s="20" t="n">
        <v>978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3670</v>
      </c>
      <c r="F16" s="9" t="n"/>
      <c r="G16" s="18" t="n">
        <v>3960</v>
      </c>
      <c r="H16" s="18" t="n">
        <v>3755</v>
      </c>
      <c r="I16" s="18" t="n">
        <v>3055</v>
      </c>
      <c r="J16" s="18" t="n">
        <v>2390</v>
      </c>
      <c r="K16" s="9" t="n"/>
      <c r="L16" s="18" t="n">
        <v>2245</v>
      </c>
      <c r="M16" s="18" t="n">
        <v>2985</v>
      </c>
      <c r="N16" s="18" t="n">
        <v>2765</v>
      </c>
      <c r="O16" s="18" t="n">
        <v>1460</v>
      </c>
      <c r="P16" s="9" t="n"/>
      <c r="Q16" s="18" t="n">
        <v>1557</v>
      </c>
      <c r="R16" s="18" t="n">
        <v>1483</v>
      </c>
      <c r="S16" s="18" t="n">
        <v>1149</v>
      </c>
      <c r="T16" s="18" t="n">
        <v>1201</v>
      </c>
      <c r="U16" s="9" t="n"/>
      <c r="V16" s="18" t="n">
        <v>1300</v>
      </c>
      <c r="W16" s="18" t="n">
        <v>1029</v>
      </c>
      <c r="X16" s="18" t="n">
        <v>2950</v>
      </c>
      <c r="Y16" s="18" t="n">
        <v>2620</v>
      </c>
      <c r="Z16" s="9" t="n"/>
      <c r="AA16" s="18" t="n">
        <v>1985</v>
      </c>
      <c r="AB16" s="19" t="n">
        <v>1838</v>
      </c>
      <c r="AC16" s="20" t="n">
        <v>1219</v>
      </c>
      <c r="AD16" s="20" t="n">
        <v>1149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2610</v>
      </c>
      <c r="F17" s="9" t="n"/>
      <c r="G17" s="18" t="n">
        <v>2930</v>
      </c>
      <c r="H17" s="18" t="n">
        <v>2475</v>
      </c>
      <c r="I17" s="18" t="n">
        <v>2105</v>
      </c>
      <c r="J17" s="18" t="n">
        <v>2005</v>
      </c>
      <c r="K17" s="9" t="n"/>
      <c r="L17" s="18" t="n">
        <v>1682</v>
      </c>
      <c r="M17" s="18" t="n">
        <v>1686</v>
      </c>
      <c r="N17" s="18" t="n">
        <v>1350</v>
      </c>
      <c r="O17" s="18" t="n">
        <v>1125</v>
      </c>
      <c r="P17" s="9" t="n"/>
      <c r="Q17" s="18" t="n">
        <v>973</v>
      </c>
      <c r="R17" s="18" t="n">
        <v>1078</v>
      </c>
      <c r="S17" s="18" t="n">
        <v>801</v>
      </c>
      <c r="T17" s="18" t="n">
        <v>831</v>
      </c>
      <c r="U17" s="9" t="n"/>
      <c r="V17" s="18" t="n">
        <v>810</v>
      </c>
      <c r="W17" s="18" t="n">
        <v>782</v>
      </c>
      <c r="X17" s="18" t="n">
        <v>821</v>
      </c>
      <c r="Y17" s="18" t="n">
        <v>1622</v>
      </c>
      <c r="Z17" s="9" t="n"/>
      <c r="AA17" s="18" t="n">
        <v>1151</v>
      </c>
      <c r="AB17" s="19" t="n">
        <v>921</v>
      </c>
      <c r="AC17" s="20" t="n">
        <v>875</v>
      </c>
      <c r="AD17" s="20" t="n">
        <v>940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3083.4</v>
      </c>
      <c r="F18" s="9" t="n"/>
      <c r="G18" s="18" t="n">
        <v>3366.2</v>
      </c>
      <c r="H18" s="18" t="n">
        <v>3127</v>
      </c>
      <c r="I18" s="18" t="n">
        <v>2624.3</v>
      </c>
      <c r="J18" s="18" t="n">
        <v>2222.2</v>
      </c>
      <c r="K18" s="9" t="n"/>
      <c r="L18" s="18" t="n">
        <v>2017.2</v>
      </c>
      <c r="M18" s="18" t="n">
        <v>2246</v>
      </c>
      <c r="N18" s="18" t="n">
        <v>1953.1</v>
      </c>
      <c r="O18" s="18" t="n">
        <v>1297.3</v>
      </c>
      <c r="P18" s="9" t="n"/>
      <c r="Q18" s="18" t="n">
        <v>1144.6</v>
      </c>
      <c r="R18" s="18" t="n">
        <v>1233.4</v>
      </c>
      <c r="S18" s="18" t="n">
        <v>958.7</v>
      </c>
      <c r="T18" s="18" t="n">
        <v>968.4</v>
      </c>
      <c r="U18" s="9" t="n"/>
      <c r="V18" s="18" t="n">
        <v>1060.7</v>
      </c>
      <c r="W18" s="18" t="n">
        <v>861.7</v>
      </c>
      <c r="X18" s="18" t="n">
        <v>1506.7</v>
      </c>
      <c r="Y18" s="18" t="n">
        <v>1930</v>
      </c>
      <c r="Z18" s="9" t="n"/>
      <c r="AA18" s="18" t="n">
        <v>1541.3</v>
      </c>
      <c r="AB18" s="19" t="n">
        <v>1302.1</v>
      </c>
      <c r="AC18" s="20" t="n">
        <v>1003.3</v>
      </c>
      <c r="AD18" s="20" t="n">
        <v>990.6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0.013803759</v>
      </c>
      <c r="AD21" s="24" t="n">
        <v>-0.006342281</v>
      </c>
      <c r="AE21" s="25" t="n"/>
      <c r="AF21" s="24" t="n">
        <v>0.017404791</v>
      </c>
      <c r="AG21" s="24" t="n">
        <v>0.129553029</v>
      </c>
      <c r="AH21" s="24" t="n">
        <v>0.233043266</v>
      </c>
      <c r="AI21" s="24" t="n">
        <v>0.243939223</v>
      </c>
      <c r="AJ21" s="25" t="n"/>
      <c r="AK21" s="24" t="n">
        <v>0.239645832</v>
      </c>
      <c r="AL21" s="24" t="n">
        <v>0.173795539</v>
      </c>
      <c r="AM21" s="24" t="n">
        <v>0.143900669</v>
      </c>
      <c r="AN21" s="24" t="n">
        <v>0.148516352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  <c r="AK22" s="26">
        <f>$D$50</f>
        <v/>
      </c>
      <c r="AL22" s="26">
        <f>$D$50</f>
        <v/>
      </c>
      <c r="AM22" s="26">
        <f>$D$50</f>
        <v/>
      </c>
      <c r="AN22" s="26">
        <f>$D$50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0.013337671</v>
      </c>
      <c r="AD23" s="24" t="n">
        <v>0.013328055</v>
      </c>
      <c r="AE23" s="25">
        <f>IFERROR(subQ!AE9/subQ!AE5,"")</f>
        <v/>
      </c>
      <c r="AF23" s="24" t="n">
        <v>0.013339547</v>
      </c>
      <c r="AG23" s="24" t="n">
        <v>0.013332853</v>
      </c>
      <c r="AH23" s="24" t="n">
        <v>0.013339709</v>
      </c>
      <c r="AI23" s="24" t="n">
        <v>0.013336162</v>
      </c>
      <c r="AJ23" s="25">
        <f>IFERROR(subQ!AJ9/subQ!AJ5,"")</f>
        <v/>
      </c>
      <c r="AK23" s="24" t="n">
        <v>0.013329574</v>
      </c>
      <c r="AL23" s="24" t="n">
        <v>0.013338859</v>
      </c>
      <c r="AM23" s="24" t="n">
        <v>0.013333718</v>
      </c>
      <c r="AN23" s="24" t="n">
        <v>0.013340195</v>
      </c>
      <c r="AO23" s="25">
        <f>IFERROR(subQ!AO9/subQ!AO5,"")</f>
        <v/>
      </c>
    </row>
    <row r="24">
      <c r="A24" s="12" t="inlineStr">
        <is>
          <t>drv:파생상품손익</t>
        </is>
      </c>
      <c r="B24" s="2" t="inlineStr">
        <is>
          <t>abs</t>
        </is>
      </c>
      <c r="C24" t="inlineStr">
        <is>
          <t>파생상품손익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$D$49</f>
        <v/>
      </c>
      <c r="AD26" s="26">
        <f>$D$49</f>
        <v/>
      </c>
      <c r="AE26" s="25">
        <f>IFERROR(subQ!AE16/subQ!AE15,"")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IFERROR(subQ!AJ16/subQ!AJ15,"")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$D$51</f>
        <v/>
      </c>
      <c r="AD27" s="26">
        <f>$D$51</f>
        <v/>
      </c>
      <c r="AE27" s="25">
        <f>IFERROR(subQ!AE18/subQ!AE17,"")</f>
        <v/>
      </c>
      <c r="AF27" s="26">
        <f>$D$51</f>
        <v/>
      </c>
      <c r="AG27" s="26">
        <f>$D$51</f>
        <v/>
      </c>
      <c r="AH27" s="26">
        <f>$D$51</f>
        <v/>
      </c>
      <c r="AI27" s="26">
        <f>$D$51</f>
        <v/>
      </c>
      <c r="AJ27" s="25">
        <f>IFERROR(subQ!AJ18/subQ!AJ17,"")</f>
        <v/>
      </c>
      <c r="AK27" s="26">
        <f>$D$51</f>
        <v/>
      </c>
      <c r="AL27" s="26">
        <f>$D$51</f>
        <v/>
      </c>
      <c r="AM27" s="26">
        <f>$D$51</f>
        <v/>
      </c>
      <c r="AN27" s="26">
        <f>$D$51</f>
        <v/>
      </c>
      <c r="AO27" s="25">
        <f>IFERROR(subQ!AO18/subQ!AO17,"")</f>
        <v/>
      </c>
    </row>
    <row r="28">
      <c r="A28" s="12" t="inlineStr">
        <is>
          <t>drv:감가상각비</t>
        </is>
      </c>
      <c r="B28" s="2" t="inlineStr">
        <is>
          <t>abs</t>
        </is>
      </c>
      <c r="C28" t="inlineStr">
        <is>
          <t>감가상각비 (가정, 억원)</t>
        </is>
      </c>
      <c r="E28" s="27">
        <f>subQ!E19</f>
        <v/>
      </c>
      <c r="F28" s="28">
        <f>subQ!F19</f>
        <v/>
      </c>
      <c r="G28" s="27">
        <f>subQ!G19</f>
        <v/>
      </c>
      <c r="H28" s="27">
        <f>subQ!H19</f>
        <v/>
      </c>
      <c r="I28" s="27">
        <f>subQ!I19</f>
        <v/>
      </c>
      <c r="J28" s="27">
        <f>subQ!J19</f>
        <v/>
      </c>
      <c r="K28" s="28">
        <f>subQ!K19</f>
        <v/>
      </c>
      <c r="L28" s="27">
        <f>subQ!L19</f>
        <v/>
      </c>
      <c r="M28" s="27">
        <f>subQ!M19</f>
        <v/>
      </c>
      <c r="N28" s="27">
        <f>subQ!N19</f>
        <v/>
      </c>
      <c r="O28" s="27">
        <f>subQ!O19</f>
        <v/>
      </c>
      <c r="P28" s="28">
        <f>subQ!P19</f>
        <v/>
      </c>
      <c r="Q28" s="27">
        <f>subQ!Q19</f>
        <v/>
      </c>
      <c r="R28" s="27">
        <f>subQ!R19</f>
        <v/>
      </c>
      <c r="S28" s="27">
        <f>subQ!S19</f>
        <v/>
      </c>
      <c r="T28" s="27">
        <f>subQ!T19</f>
        <v/>
      </c>
      <c r="U28" s="28">
        <f>subQ!U19</f>
        <v/>
      </c>
      <c r="V28" s="27">
        <f>subQ!V19</f>
        <v/>
      </c>
      <c r="W28" s="27">
        <f>subQ!W19</f>
        <v/>
      </c>
      <c r="X28" s="27">
        <f>subQ!X19</f>
        <v/>
      </c>
      <c r="Y28" s="27">
        <f>subQ!Y19</f>
        <v/>
      </c>
      <c r="Z28" s="28">
        <f>subQ!Z19</f>
        <v/>
      </c>
      <c r="AA28" s="27">
        <f>subQ!AA19</f>
        <v/>
      </c>
      <c r="AB28" s="29">
        <f>subQ!AB19</f>
        <v/>
      </c>
      <c r="AC28" s="30" t="n">
        <v>19.84</v>
      </c>
      <c r="AD28" s="30" t="n">
        <v>19.84</v>
      </c>
      <c r="AE28" s="31">
        <f>subQ!AE19</f>
        <v/>
      </c>
      <c r="AF28" s="30" t="n">
        <v>19.84</v>
      </c>
      <c r="AG28" s="30" t="n">
        <v>19.84</v>
      </c>
      <c r="AH28" s="30" t="n">
        <v>19.84</v>
      </c>
      <c r="AI28" s="30" t="n">
        <v>19.84</v>
      </c>
      <c r="AJ28" s="31">
        <f>subQ!AJ19</f>
        <v/>
      </c>
      <c r="AK28" s="30" t="n">
        <v>19.84</v>
      </c>
      <c r="AL28" s="30" t="n">
        <v>19.84</v>
      </c>
      <c r="AM28" s="30" t="n">
        <v>19.84</v>
      </c>
      <c r="AN28" s="30" t="n">
        <v>19.84</v>
      </c>
      <c r="AO28" s="31">
        <f>subQ!AO19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IFERROR(subQ!G22/subQ!E22-1,"")</f>
        <v/>
      </c>
      <c r="H29" s="21">
        <f>IFERROR(subQ!H22/subQ!G22-1,"")</f>
        <v/>
      </c>
      <c r="I29" s="21">
        <f>IFERROR(subQ!I22/subQ!H22-1,"")</f>
        <v/>
      </c>
      <c r="J29" s="21">
        <f>IFERROR(subQ!J22/subQ!I22-1,"")</f>
        <v/>
      </c>
      <c r="K29" s="22" t="n"/>
      <c r="L29" s="21">
        <f>IFERROR(subQ!L22/subQ!J22-1,"")</f>
        <v/>
      </c>
      <c r="M29" s="21">
        <f>IFERROR(subQ!M22/subQ!L22-1,"")</f>
        <v/>
      </c>
      <c r="N29" s="21">
        <f>IFERROR(subQ!N22/subQ!M22-1,"")</f>
        <v/>
      </c>
      <c r="O29" s="21">
        <f>IFERROR(subQ!O22/subQ!N22-1,"")</f>
        <v/>
      </c>
      <c r="P29" s="22" t="n"/>
      <c r="Q29" s="21">
        <f>IFERROR(subQ!Q22/subQ!O22-1,"")</f>
        <v/>
      </c>
      <c r="R29" s="21">
        <f>IFERROR(subQ!R22/subQ!Q22-1,"")</f>
        <v/>
      </c>
      <c r="S29" s="21">
        <f>IFERROR(subQ!S22/subQ!R22-1,"")</f>
        <v/>
      </c>
      <c r="T29" s="21">
        <f>IFERROR(subQ!T22/subQ!S22-1,"")</f>
        <v/>
      </c>
      <c r="U29" s="22" t="n"/>
      <c r="V29" s="21">
        <f>IFERROR(subQ!V22/subQ!T22-1,"")</f>
        <v/>
      </c>
      <c r="W29" s="21">
        <f>IFERROR(subQ!W22/subQ!V22-1,"")</f>
        <v/>
      </c>
      <c r="X29" s="21">
        <f>IFERROR(subQ!X22/subQ!W22-1,"")</f>
        <v/>
      </c>
      <c r="Y29" s="21">
        <f>IFERROR(subQ!Y22/subQ!X22-1,"")</f>
        <v/>
      </c>
      <c r="Z29" s="22" t="n"/>
      <c r="AA29" s="21">
        <f>IFERROR(subQ!AA22/subQ!Y22-1,"")</f>
        <v/>
      </c>
      <c r="AB29" s="23">
        <f>IFERROR(subQ!AB22/subQ!AA22-1,"")</f>
        <v/>
      </c>
      <c r="AC29" s="24" t="n">
        <v>2.695e-06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  <c r="AK29" s="24" t="n">
        <v>0</v>
      </c>
      <c r="AL29" s="24" t="n">
        <v>0</v>
      </c>
      <c r="AM29" s="24" t="n">
        <v>0</v>
      </c>
      <c r="AN29" s="24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IFERROR(subQ!E23+subQ!G17-subQ!G23,"")</f>
        <v/>
      </c>
      <c r="H30" s="27">
        <f>IFERROR(subQ!G23+subQ!H17-subQ!H23,"")</f>
        <v/>
      </c>
      <c r="I30" s="27">
        <f>IFERROR(subQ!H23+subQ!I17-subQ!I23,"")</f>
        <v/>
      </c>
      <c r="J30" s="27">
        <f>IFERROR(subQ!I23+subQ!J17-subQ!J23,"")</f>
        <v/>
      </c>
      <c r="K30" s="28" t="n"/>
      <c r="L30" s="27">
        <f>IFERROR(subQ!J23+subQ!L17-subQ!L23,"")</f>
        <v/>
      </c>
      <c r="M30" s="27">
        <f>IFERROR(subQ!L23+subQ!M17-subQ!M23,"")</f>
        <v/>
      </c>
      <c r="N30" s="27">
        <f>IFERROR(subQ!M23+subQ!N17-subQ!N23,"")</f>
        <v/>
      </c>
      <c r="O30" s="27">
        <f>IFERROR(subQ!N23+subQ!O17-subQ!O23,"")</f>
        <v/>
      </c>
      <c r="P30" s="28" t="n"/>
      <c r="Q30" s="27">
        <f>IFERROR(subQ!O23+subQ!Q17-subQ!Q23,"")</f>
        <v/>
      </c>
      <c r="R30" s="27">
        <f>IFERROR(subQ!Q23+subQ!R17-subQ!R23,"")</f>
        <v/>
      </c>
      <c r="S30" s="27">
        <f>IFERROR(subQ!R23+subQ!S17-subQ!S23,"")</f>
        <v/>
      </c>
      <c r="T30" s="27">
        <f>IFERROR(subQ!S23+subQ!T17-subQ!T23,"")</f>
        <v/>
      </c>
      <c r="U30" s="28" t="n"/>
      <c r="V30" s="27">
        <f>IFERROR(subQ!T23+subQ!V17-subQ!V23,"")</f>
        <v/>
      </c>
      <c r="W30" s="27">
        <f>IFERROR(subQ!V23+subQ!W17-subQ!W23,"")</f>
        <v/>
      </c>
      <c r="X30" s="27">
        <f>IFERROR(subQ!W23+subQ!X17-subQ!X23,"")</f>
        <v/>
      </c>
      <c r="Y30" s="27">
        <f>IFERROR(subQ!X23+subQ!Y17-subQ!Y23,"")</f>
        <v/>
      </c>
      <c r="Z30" s="28" t="n"/>
      <c r="AA30" s="27">
        <f>IFERROR(subQ!Y23+subQ!AA17-subQ!AA23,"")</f>
        <v/>
      </c>
      <c r="AB30" s="29">
        <f>IFERROR(subQ!AA23+subQ!AB17-subQ!AB23,"")</f>
        <v/>
      </c>
      <c r="AC30" s="30" t="n">
        <v>0.000410135</v>
      </c>
      <c r="AD30" s="30" t="n">
        <v>-0.005496367</v>
      </c>
      <c r="AE30" s="31" t="n"/>
      <c r="AF30" s="30" t="n">
        <v>0.001310473</v>
      </c>
      <c r="AG30" s="30" t="n">
        <v>-0.002655976</v>
      </c>
      <c r="AH30" s="30" t="n">
        <v>-0.001780722</v>
      </c>
      <c r="AI30" s="30" t="n">
        <v>-0.005210326</v>
      </c>
      <c r="AJ30" s="31" t="n"/>
      <c r="AK30" s="30" t="n">
        <v>0.001659531</v>
      </c>
      <c r="AL30" s="30" t="n">
        <v>-0.005004481</v>
      </c>
      <c r="AM30" s="30" t="n">
        <v>-0.005319091</v>
      </c>
      <c r="AN30" s="30" t="n">
        <v>0.008387026000000001</v>
      </c>
      <c r="AO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IFERROR(subQ!E24+subQ!G18-subQ!G24,"")</f>
        <v/>
      </c>
      <c r="H31" s="27">
        <f>IFERROR(subQ!G24+subQ!H18-subQ!H24,"")</f>
        <v/>
      </c>
      <c r="I31" s="27">
        <f>IFERROR(subQ!H24+subQ!I18-subQ!I24,"")</f>
        <v/>
      </c>
      <c r="J31" s="27">
        <f>IFERROR(subQ!I24+subQ!J18-subQ!J24,"")</f>
        <v/>
      </c>
      <c r="K31" s="28" t="n"/>
      <c r="L31" s="27">
        <f>IFERROR(subQ!J24+subQ!L18-subQ!L24,"")</f>
        <v/>
      </c>
      <c r="M31" s="27">
        <f>IFERROR(subQ!L24+subQ!M18-subQ!M24,"")</f>
        <v/>
      </c>
      <c r="N31" s="27">
        <f>IFERROR(subQ!M24+subQ!N18-subQ!N24,"")</f>
        <v/>
      </c>
      <c r="O31" s="27">
        <f>IFERROR(subQ!N24+subQ!O18-subQ!O24,"")</f>
        <v/>
      </c>
      <c r="P31" s="28" t="n"/>
      <c r="Q31" s="27">
        <f>IFERROR(subQ!O24+subQ!Q18-subQ!Q24,"")</f>
        <v/>
      </c>
      <c r="R31" s="27">
        <f>IFERROR(subQ!Q24+subQ!R18-subQ!R24,"")</f>
        <v/>
      </c>
      <c r="S31" s="27">
        <f>IFERROR(subQ!R24+subQ!S18-subQ!S24,"")</f>
        <v/>
      </c>
      <c r="T31" s="27">
        <f>IFERROR(subQ!S24+subQ!T18-subQ!T24,"")</f>
        <v/>
      </c>
      <c r="U31" s="28" t="n"/>
      <c r="V31" s="27">
        <f>IFERROR(subQ!T24+subQ!V18-subQ!V24,"")</f>
        <v/>
      </c>
      <c r="W31" s="27">
        <f>IFERROR(subQ!V24+subQ!W18-subQ!W24,"")</f>
        <v/>
      </c>
      <c r="X31" s="27">
        <f>IFERROR(subQ!W24+subQ!X18-subQ!X24,"")</f>
        <v/>
      </c>
      <c r="Y31" s="27">
        <f>IFERROR(subQ!X24+subQ!Y18-subQ!Y24,"")</f>
        <v/>
      </c>
      <c r="Z31" s="28" t="n"/>
      <c r="AA31" s="27">
        <f>IFERROR(subQ!Y24+subQ!AA18-subQ!AA24,"")</f>
        <v/>
      </c>
      <c r="AB31" s="29">
        <f>IFERROR(subQ!AA24+subQ!AB18-subQ!AB24,"")</f>
        <v/>
      </c>
      <c r="AC31" s="30" t="n">
        <v>0.000910135</v>
      </c>
      <c r="AD31" s="30" t="n">
        <v>-0.005496367</v>
      </c>
      <c r="AE31" s="31" t="n"/>
      <c r="AF31" s="30" t="n">
        <v>0.001310473</v>
      </c>
      <c r="AG31" s="30" t="n">
        <v>-0.002655976</v>
      </c>
      <c r="AH31" s="30" t="n">
        <v>-0.001780722</v>
      </c>
      <c r="AI31" s="30" t="n">
        <v>-0.005210326</v>
      </c>
      <c r="AJ31" s="31" t="n"/>
      <c r="AK31" s="30" t="n">
        <v>0.001659531</v>
      </c>
      <c r="AL31" s="30" t="n">
        <v>-0.005004481</v>
      </c>
      <c r="AM31" s="30" t="n">
        <v>-0.005319091</v>
      </c>
      <c r="AN31" s="30" t="n">
        <v>0.008387026000000001</v>
      </c>
      <c r="AO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IFERROR(subQ!G25/subQ!E25-1,"")</f>
        <v/>
      </c>
      <c r="H32" s="21">
        <f>IFERROR(subQ!H25/subQ!G25-1,"")</f>
        <v/>
      </c>
      <c r="I32" s="21">
        <f>IFERROR(subQ!I25/subQ!H25-1,"")</f>
        <v/>
      </c>
      <c r="J32" s="21">
        <f>IFERROR(subQ!J25/subQ!I25-1,"")</f>
        <v/>
      </c>
      <c r="K32" s="22" t="n"/>
      <c r="L32" s="21">
        <f>IFERROR(subQ!L25/subQ!J25-1,"")</f>
        <v/>
      </c>
      <c r="M32" s="21">
        <f>IFERROR(subQ!M25/subQ!L25-1,"")</f>
        <v/>
      </c>
      <c r="N32" s="21">
        <f>IFERROR(subQ!N25/subQ!M25-1,"")</f>
        <v/>
      </c>
      <c r="O32" s="21">
        <f>IFERROR(subQ!O25/subQ!N25-1,"")</f>
        <v/>
      </c>
      <c r="P32" s="22" t="n"/>
      <c r="Q32" s="21">
        <f>IFERROR(subQ!Q25/subQ!O25-1,"")</f>
        <v/>
      </c>
      <c r="R32" s="21">
        <f>IFERROR(subQ!R25/subQ!Q25-1,"")</f>
        <v/>
      </c>
      <c r="S32" s="21">
        <f>IFERROR(subQ!S25/subQ!R25-1,"")</f>
        <v/>
      </c>
      <c r="T32" s="21">
        <f>IFERROR(subQ!T25/subQ!S25-1,"")</f>
        <v/>
      </c>
      <c r="U32" s="22" t="n"/>
      <c r="V32" s="21">
        <f>IFERROR(subQ!V25/subQ!T25-1,"")</f>
        <v/>
      </c>
      <c r="W32" s="21">
        <f>IFERROR(subQ!W25/subQ!V25-1,"")</f>
        <v/>
      </c>
      <c r="X32" s="21">
        <f>IFERROR(subQ!X25/subQ!W25-1,"")</f>
        <v/>
      </c>
      <c r="Y32" s="21">
        <f>IFERROR(subQ!Y25/subQ!X25-1,"")</f>
        <v/>
      </c>
      <c r="Z32" s="22" t="n"/>
      <c r="AA32" s="21">
        <f>IFERROR(subQ!AA25/subQ!Y25-1,"")</f>
        <v/>
      </c>
      <c r="AB32" s="23">
        <f>IFERROR(subQ!AB25/subQ!AA25-1,"")</f>
        <v/>
      </c>
      <c r="AC32" s="24" t="n">
        <v>1.774e-06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IFERROR(subQ!G26/subQ!E26-1,"")</f>
        <v/>
      </c>
      <c r="H33" s="21">
        <f>IFERROR(subQ!H26/subQ!G26-1,"")</f>
        <v/>
      </c>
      <c r="I33" s="21">
        <f>IFERROR(subQ!I26/subQ!H26-1,"")</f>
        <v/>
      </c>
      <c r="J33" s="21">
        <f>IFERROR(subQ!J26/subQ!I26-1,"")</f>
        <v/>
      </c>
      <c r="K33" s="22" t="n"/>
      <c r="L33" s="21">
        <f>IFERROR(subQ!L26/subQ!J26-1,"")</f>
        <v/>
      </c>
      <c r="M33" s="21">
        <f>IFERROR(subQ!M26/subQ!L26-1,"")</f>
        <v/>
      </c>
      <c r="N33" s="21">
        <f>IFERROR(subQ!N26/subQ!M26-1,"")</f>
        <v/>
      </c>
      <c r="O33" s="21">
        <f>IFERROR(subQ!O26/subQ!N26-1,"")</f>
        <v/>
      </c>
      <c r="P33" s="22" t="n"/>
      <c r="Q33" s="21">
        <f>IFERROR(subQ!Q26/subQ!O26-1,"")</f>
        <v/>
      </c>
      <c r="R33" s="21">
        <f>IFERROR(subQ!R26/subQ!Q26-1,"")</f>
        <v/>
      </c>
      <c r="S33" s="21">
        <f>IFERROR(subQ!S26/subQ!R26-1,"")</f>
        <v/>
      </c>
      <c r="T33" s="21">
        <f>IFERROR(subQ!T26/subQ!S26-1,"")</f>
        <v/>
      </c>
      <c r="U33" s="22" t="n"/>
      <c r="V33" s="21">
        <f>IFERROR(subQ!V26/subQ!T26-1,"")</f>
        <v/>
      </c>
      <c r="W33" s="21">
        <f>IFERROR(subQ!W26/subQ!V26-1,"")</f>
        <v/>
      </c>
      <c r="X33" s="21">
        <f>IFERROR(subQ!X26/subQ!W26-1,"")</f>
        <v/>
      </c>
      <c r="Y33" s="21">
        <f>IFERROR(subQ!Y26/subQ!X26-1,"")</f>
        <v/>
      </c>
      <c r="Z33" s="22" t="n"/>
      <c r="AA33" s="21">
        <f>IFERROR(subQ!AA26/subQ!Y26-1,"")</f>
        <v/>
      </c>
      <c r="AB33" s="23">
        <f>IFERROR(subQ!AB26/subQ!AA26-1,"")</f>
        <v/>
      </c>
      <c r="AC33" s="24" t="n">
        <v>-0.017075663</v>
      </c>
      <c r="AD33" s="24" t="n">
        <v>-0.017830609</v>
      </c>
      <c r="AE33" s="25" t="n"/>
      <c r="AF33" s="24" t="n">
        <v>-0.017977023</v>
      </c>
      <c r="AG33" s="24" t="n">
        <v>-0.018799572</v>
      </c>
      <c r="AH33" s="24" t="n">
        <v>-0.019834407</v>
      </c>
      <c r="AI33" s="24" t="n">
        <v>-0.020924063</v>
      </c>
      <c r="AJ33" s="25" t="n"/>
      <c r="AK33" s="24" t="n">
        <v>-0.021090035</v>
      </c>
      <c r="AL33" s="24" t="n">
        <v>-0.021727209</v>
      </c>
      <c r="AM33" s="24" t="n">
        <v>-0.022810389</v>
      </c>
      <c r="AN33" s="24" t="n">
        <v>-0.024244328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IFERROR(subQ!G27/subQ!E27-1,"")</f>
        <v/>
      </c>
      <c r="H34" s="21">
        <f>IFERROR(subQ!H27/subQ!G27-1,"")</f>
        <v/>
      </c>
      <c r="I34" s="21">
        <f>IFERROR(subQ!I27/subQ!H27-1,"")</f>
        <v/>
      </c>
      <c r="J34" s="21">
        <f>IFERROR(subQ!J27/subQ!I27-1,"")</f>
        <v/>
      </c>
      <c r="K34" s="22" t="n"/>
      <c r="L34" s="21">
        <f>IFERROR(subQ!L27/subQ!J27-1,"")</f>
        <v/>
      </c>
      <c r="M34" s="21">
        <f>IFERROR(subQ!M27/subQ!L27-1,"")</f>
        <v/>
      </c>
      <c r="N34" s="21">
        <f>IFERROR(subQ!N27/subQ!M27-1,"")</f>
        <v/>
      </c>
      <c r="O34" s="21">
        <f>IFERROR(subQ!O27/subQ!N27-1,"")</f>
        <v/>
      </c>
      <c r="P34" s="22" t="n"/>
      <c r="Q34" s="21">
        <f>IFERROR(subQ!Q27/subQ!O27-1,"")</f>
        <v/>
      </c>
      <c r="R34" s="21">
        <f>IFERROR(subQ!R27/subQ!Q27-1,"")</f>
        <v/>
      </c>
      <c r="S34" s="21">
        <f>IFERROR(subQ!S27/subQ!R27-1,"")</f>
        <v/>
      </c>
      <c r="T34" s="21">
        <f>IFERROR(subQ!T27/subQ!S27-1,"")</f>
        <v/>
      </c>
      <c r="U34" s="22" t="n"/>
      <c r="V34" s="21">
        <f>IFERROR(subQ!V27/subQ!T27-1,"")</f>
        <v/>
      </c>
      <c r="W34" s="21">
        <f>IFERROR(subQ!W27/subQ!V27-1,"")</f>
        <v/>
      </c>
      <c r="X34" s="21">
        <f>IFERROR(subQ!X27/subQ!W27-1,"")</f>
        <v/>
      </c>
      <c r="Y34" s="21">
        <f>IFERROR(subQ!Y27/subQ!X27-1,"")</f>
        <v/>
      </c>
      <c r="Z34" s="22" t="n"/>
      <c r="AA34" s="21">
        <f>IFERROR(subQ!AA27/subQ!Y27-1,"")</f>
        <v/>
      </c>
      <c r="AB34" s="23">
        <f>IFERROR(subQ!AB27/subQ!AA27-1,"")</f>
        <v/>
      </c>
      <c r="AC34" s="24" t="n">
        <v>0.090500077</v>
      </c>
      <c r="AD34" s="24" t="n">
        <v>0.08517717499999999</v>
      </c>
      <c r="AE34" s="25" t="n"/>
      <c r="AF34" s="24" t="n">
        <v>0.077724973</v>
      </c>
      <c r="AG34" s="24" t="n">
        <v>0.074063537</v>
      </c>
      <c r="AH34" s="24" t="n">
        <v>0.071384425</v>
      </c>
      <c r="AI34" s="24" t="n">
        <v>0.068894474</v>
      </c>
      <c r="AJ34" s="25" t="n"/>
      <c r="AK34" s="24" t="n">
        <v>0.06360587500000001</v>
      </c>
      <c r="AL34" s="24" t="n">
        <v>0.060309521</v>
      </c>
      <c r="AM34" s="24" t="n">
        <v>0.058417365</v>
      </c>
      <c r="AN34" s="24" t="n">
        <v>0.057324635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IFERROR(subQ!J29/subQ!E29-1,"")</f>
        <v/>
      </c>
      <c r="K36" s="22" t="n"/>
      <c r="L36" s="21">
        <f>IFERROR(subQ!L29/subQ!G29-1,"")</f>
        <v/>
      </c>
      <c r="M36" s="21">
        <f>IFERROR(subQ!M29/subQ!H29-1,"")</f>
        <v/>
      </c>
      <c r="N36" s="21">
        <f>IFERROR(subQ!N29/subQ!I29-1,"")</f>
        <v/>
      </c>
      <c r="O36" s="21">
        <f>IFERROR(subQ!O29/subQ!J29-1,"")</f>
        <v/>
      </c>
      <c r="P36" s="22" t="n"/>
      <c r="Q36" s="21">
        <f>IFERROR(subQ!Q29/subQ!L29-1,"")</f>
        <v/>
      </c>
      <c r="R36" s="21">
        <f>IFERROR(subQ!R29/subQ!M29-1,"")</f>
        <v/>
      </c>
      <c r="S36" s="21">
        <f>IFERROR(subQ!S29/subQ!N29-1,"")</f>
        <v/>
      </c>
      <c r="T36" s="21">
        <f>IFERROR(subQ!T29/subQ!O29-1,"")</f>
        <v/>
      </c>
      <c r="U36" s="22" t="n"/>
      <c r="V36" s="21">
        <f>IFERROR(subQ!V29/subQ!Q29-1,"")</f>
        <v/>
      </c>
      <c r="W36" s="21">
        <f>IFERROR(subQ!W29/subQ!R29-1,"")</f>
        <v/>
      </c>
      <c r="X36" s="21">
        <f>IFERROR(subQ!X29/subQ!S29-1,"")</f>
        <v/>
      </c>
      <c r="Y36" s="21">
        <f>IFERROR(subQ!Y29/subQ!T29-1,"")</f>
        <v/>
      </c>
      <c r="Z36" s="22" t="n"/>
      <c r="AA36" s="21">
        <f>IFERROR(subQ!AA29/subQ!V29-1,"")</f>
        <v/>
      </c>
      <c r="AB36" s="23">
        <f>IFERROR(subQ!AB29/subQ!W29-1,"")</f>
        <v/>
      </c>
      <c r="AC36" s="24" t="n">
        <v>0.361394546</v>
      </c>
      <c r="AD36" s="24" t="n">
        <v>-0.209835264</v>
      </c>
      <c r="AE36" s="25" t="n"/>
      <c r="AF36" s="24" t="n">
        <v>2.063002476</v>
      </c>
      <c r="AG36" s="24" t="n">
        <v>-0.780504795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IFERROR(subQ!J30/subQ!E30-1,"")</f>
        <v/>
      </c>
      <c r="K37" s="22" t="n"/>
      <c r="L37" s="21">
        <f>IFERROR(subQ!L30/subQ!G30-1,"")</f>
        <v/>
      </c>
      <c r="M37" s="21">
        <f>IFERROR(subQ!M30/subQ!H30-1,"")</f>
        <v/>
      </c>
      <c r="N37" s="21">
        <f>IFERROR(subQ!N30/subQ!I30-1,"")</f>
        <v/>
      </c>
      <c r="O37" s="21">
        <f>IFERROR(subQ!O30/subQ!J30-1,"")</f>
        <v/>
      </c>
      <c r="P37" s="22" t="n"/>
      <c r="Q37" s="21">
        <f>IFERROR(subQ!Q30/subQ!L30-1,"")</f>
        <v/>
      </c>
      <c r="R37" s="21">
        <f>IFERROR(subQ!R30/subQ!M30-1,"")</f>
        <v/>
      </c>
      <c r="S37" s="21">
        <f>IFERROR(subQ!S30/subQ!N30-1,"")</f>
        <v/>
      </c>
      <c r="T37" s="21">
        <f>IFERROR(subQ!T30/subQ!O30-1,"")</f>
        <v/>
      </c>
      <c r="U37" s="22" t="n"/>
      <c r="V37" s="21">
        <f>IFERROR(subQ!V30/subQ!Q30-1,"")</f>
        <v/>
      </c>
      <c r="W37" s="21">
        <f>IFERROR(subQ!W30/subQ!R30-1,"")</f>
        <v/>
      </c>
      <c r="X37" s="21">
        <f>IFERROR(subQ!X30/subQ!S30-1,"")</f>
        <v/>
      </c>
      <c r="Y37" s="21">
        <f>IFERROR(subQ!Y30/subQ!T30-1,"")</f>
        <v/>
      </c>
      <c r="Z37" s="22" t="n"/>
      <c r="AA37" s="21">
        <f>IFERROR(subQ!AA30/subQ!V30-1,"")</f>
        <v/>
      </c>
      <c r="AB37" s="23">
        <f>IFERROR(subQ!AB30/subQ!W30-1,"")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IFERROR(subQ!G31/subQ!E31-1,"")</f>
        <v/>
      </c>
      <c r="H38" s="21">
        <f>IFERROR(subQ!H31/subQ!G31-1,"")</f>
        <v/>
      </c>
      <c r="I38" s="21">
        <f>IFERROR(subQ!I31/subQ!H31-1,"")</f>
        <v/>
      </c>
      <c r="J38" s="21">
        <f>IFERROR(subQ!J31/subQ!I31-1,"")</f>
        <v/>
      </c>
      <c r="K38" s="22" t="n"/>
      <c r="L38" s="21">
        <f>IFERROR(subQ!L31/subQ!J31-1,"")</f>
        <v/>
      </c>
      <c r="M38" s="21">
        <f>IFERROR(subQ!M31/subQ!L31-1,"")</f>
        <v/>
      </c>
      <c r="N38" s="21">
        <f>IFERROR(subQ!N31/subQ!M31-1,"")</f>
        <v/>
      </c>
      <c r="O38" s="21">
        <f>IFERROR(subQ!O31/subQ!N31-1,"")</f>
        <v/>
      </c>
      <c r="P38" s="22" t="n"/>
      <c r="Q38" s="21">
        <f>IFERROR(subQ!Q31/subQ!O31-1,"")</f>
        <v/>
      </c>
      <c r="R38" s="21">
        <f>IFERROR(subQ!R31/subQ!Q31-1,"")</f>
        <v/>
      </c>
      <c r="S38" s="21">
        <f>IFERROR(subQ!S31/subQ!R31-1,"")</f>
        <v/>
      </c>
      <c r="T38" s="21">
        <f>IFERROR(subQ!T31/subQ!S31-1,"")</f>
        <v/>
      </c>
      <c r="U38" s="22" t="n"/>
      <c r="V38" s="21">
        <f>IFERROR(subQ!V31/subQ!T31-1,"")</f>
        <v/>
      </c>
      <c r="W38" s="21">
        <f>IFERROR(subQ!W31/subQ!V31-1,"")</f>
        <v/>
      </c>
      <c r="X38" s="21">
        <f>IFERROR(subQ!X31/subQ!W31-1,"")</f>
        <v/>
      </c>
      <c r="Y38" s="21">
        <f>IFERROR(subQ!Y31/subQ!X31-1,"")</f>
        <v/>
      </c>
      <c r="Z38" s="22" t="n"/>
      <c r="AA38" s="21">
        <f>IFERROR(subQ!AA31/subQ!Y31-1,"")</f>
        <v/>
      </c>
      <c r="AB38" s="23">
        <f>IFERROR(subQ!AB31/subQ!AA31-1,"")</f>
        <v/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subQ!E34</f>
        <v/>
      </c>
      <c r="F39" s="28">
        <f>subQ!F34</f>
        <v/>
      </c>
      <c r="G39" s="27">
        <f>subQ!G34</f>
        <v/>
      </c>
      <c r="H39" s="27">
        <f>subQ!H34</f>
        <v/>
      </c>
      <c r="I39" s="27">
        <f>subQ!I34</f>
        <v/>
      </c>
      <c r="J39" s="27">
        <f>subQ!J34</f>
        <v/>
      </c>
      <c r="K39" s="28">
        <f>subQ!K34</f>
        <v/>
      </c>
      <c r="L39" s="27">
        <f>subQ!L34</f>
        <v/>
      </c>
      <c r="M39" s="27">
        <f>subQ!M34</f>
        <v/>
      </c>
      <c r="N39" s="27">
        <f>subQ!N34</f>
        <v/>
      </c>
      <c r="O39" s="27">
        <f>subQ!O34</f>
        <v/>
      </c>
      <c r="P39" s="28">
        <f>subQ!P34</f>
        <v/>
      </c>
      <c r="Q39" s="27">
        <f>subQ!Q34</f>
        <v/>
      </c>
      <c r="R39" s="27">
        <f>subQ!R34</f>
        <v/>
      </c>
      <c r="S39" s="27">
        <f>subQ!S34</f>
        <v/>
      </c>
      <c r="T39" s="27">
        <f>subQ!T34</f>
        <v/>
      </c>
      <c r="U39" s="28">
        <f>subQ!U34</f>
        <v/>
      </c>
      <c r="V39" s="27">
        <f>subQ!V34</f>
        <v/>
      </c>
      <c r="W39" s="27">
        <f>subQ!W34</f>
        <v/>
      </c>
      <c r="X39" s="27">
        <f>subQ!X34</f>
        <v/>
      </c>
      <c r="Y39" s="27">
        <f>subQ!Y34</f>
        <v/>
      </c>
      <c r="Z39" s="28">
        <f>subQ!Z34</f>
        <v/>
      </c>
      <c r="AA39" s="27">
        <f>subQ!AA34</f>
        <v/>
      </c>
      <c r="AB39" s="29">
        <f>subQ!AB34</f>
        <v/>
      </c>
      <c r="AC39" s="33" t="n"/>
      <c r="AD39" s="30" t="n">
        <v>0</v>
      </c>
      <c r="AE39" s="31">
        <f>subQ!AE34</f>
        <v/>
      </c>
      <c r="AF39" s="33" t="n"/>
      <c r="AG39" s="33" t="n"/>
      <c r="AH39" s="33" t="n"/>
      <c r="AI39" s="30" t="n">
        <v>0</v>
      </c>
      <c r="AJ39" s="31">
        <f>subQ!AJ34</f>
        <v/>
      </c>
      <c r="AK39" s="33" t="n"/>
      <c r="AL39" s="33" t="n"/>
      <c r="AM39" s="33" t="n"/>
      <c r="AN39" s="30" t="n">
        <v>0</v>
      </c>
      <c r="AO39" s="31">
        <f>subQ!AO34</f>
        <v/>
      </c>
    </row>
    <row r="40"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978</v>
      </c>
      <c r="E42" s="2" t="inlineStr">
        <is>
          <t>원 — 네이버 정규장 종가(aik 확정종가 대조 · aik 1,000원)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20261013</t>
        </is>
      </c>
      <c r="E43" s="2" t="inlineStr">
        <is>
          <t>종가 기준일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10</v>
      </c>
      <c r="E45" s="2" t="inlineStr">
        <is>
          <t>PER 밴드 하단(배) — sector_default(레퍼런스 TP_PE PB 예시 10/15/20배; 과거 양(+)EPS 분기 2개 &lt; 4)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15</v>
      </c>
      <c r="E46" s="2" t="inlineStr">
        <is>
          <t>PER 밴드 중단(배)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20</v>
      </c>
      <c r="E47" s="2" t="inlineStr">
        <is>
          <t>PER 밴드 상단(배)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0.2202002931118711</v>
      </c>
      <c r="E49" s="2" t="inlineStr">
        <is>
          <t>연결 — 법인세 = MAX(세전,0) × 세율(역산, 재현 오차 ≤ 0.05억 · 모델 assumptions 0.22) · 최근 12분기 세전 합 ≤ 0; 세전 &gt; 0 분기 중위 -1.7% 도 5~27% 밖 → 법정세율 근사 22% 가정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0.05202331090219096</v>
      </c>
      <c r="E50" s="2" t="inlineStr">
        <is>
          <t>연결 — 판관비 = 매출액 × 판관비율(역산, 재현 오차 ≤ 0.05억 · 모델 assumptions 0.052)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1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0.0009239638922769186</v>
      </c>
      <c r="E52" s="2" t="inlineStr">
        <is>
          <t>연결 — 이자손익 = (전분기 이자발생자산 × 자산이자율 − 전분기 총차입금 × 부채이자율)/4(역산, 재현 오차 ≤ 0.05억 · 모델 assumptions 0.0009)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5.878672128573719e-06</v>
      </c>
      <c r="E53" s="2" t="inlineStr">
        <is>
          <t>연결 — 같은 수식의 부채 쪽(총차입금 행이 없으면 0)(역산,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/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화인베스틸(연)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F5" s="9" t="n"/>
      <c r="K5" s="9" t="n"/>
      <c r="N5" s="18" t="n">
        <v>80500.2</v>
      </c>
      <c r="O5" s="18" t="n">
        <v>72783.2</v>
      </c>
      <c r="P5" s="37" t="n">
        <v>72783.2</v>
      </c>
      <c r="Q5" s="18" t="n">
        <v>65031.36</v>
      </c>
      <c r="R5" s="18" t="n">
        <v>64331.43</v>
      </c>
      <c r="S5" s="18" t="n">
        <v>49508.5</v>
      </c>
      <c r="T5" s="18" t="n">
        <v>43473.53</v>
      </c>
      <c r="U5" s="37" t="n">
        <v>43473.53</v>
      </c>
      <c r="V5" s="18" t="n">
        <v>49010.07</v>
      </c>
      <c r="W5" s="18" t="n">
        <v>47356.74</v>
      </c>
      <c r="X5" s="18" t="n">
        <v>69246.14999999999</v>
      </c>
      <c r="Y5" s="18" t="n">
        <v>62163.93</v>
      </c>
      <c r="Z5" s="37" t="n">
        <v>62163.93</v>
      </c>
      <c r="AA5" s="18" t="n">
        <v>67737.44</v>
      </c>
      <c r="AB5" s="19" t="n">
        <v>90132.46000000001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F6" s="9" t="n"/>
      <c r="K6" s="9" t="n"/>
      <c r="N6" s="18" t="n">
        <v>8451.549999999999</v>
      </c>
      <c r="O6" s="18" t="n">
        <v>3529.8</v>
      </c>
      <c r="P6" s="37" t="n">
        <v>3529.8</v>
      </c>
      <c r="Q6" s="18" t="n">
        <v>5395.63</v>
      </c>
      <c r="R6" s="18" t="n">
        <v>7659.37</v>
      </c>
      <c r="S6" s="18" t="n">
        <v>3611</v>
      </c>
      <c r="T6" s="18" t="n">
        <v>6099.74</v>
      </c>
      <c r="U6" s="37" t="n">
        <v>6099.74</v>
      </c>
      <c r="V6" s="18" t="n">
        <v>5079.65</v>
      </c>
      <c r="W6" s="18" t="n">
        <v>5452.05</v>
      </c>
      <c r="X6" s="18" t="n">
        <v>13091.42</v>
      </c>
      <c r="Y6" s="18" t="n">
        <v>7855.11</v>
      </c>
      <c r="Z6" s="37" t="n">
        <v>7855.11</v>
      </c>
      <c r="AA6" s="18" t="n">
        <v>2499.51</v>
      </c>
      <c r="AB6" s="19" t="n">
        <v>12097.22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F7" s="9" t="n"/>
      <c r="K7" s="9" t="n"/>
      <c r="N7" s="18" t="n">
        <v>1481.14</v>
      </c>
      <c r="O7" s="18" t="n">
        <v>1882.03</v>
      </c>
      <c r="P7" s="37" t="n">
        <v>1882.03</v>
      </c>
      <c r="Q7" s="18" t="n">
        <v>2492.16</v>
      </c>
      <c r="R7" s="18" t="n">
        <v>2482.89</v>
      </c>
      <c r="S7" s="18" t="n">
        <v>2249.52</v>
      </c>
      <c r="T7" s="18" t="n">
        <v>1.9</v>
      </c>
      <c r="U7" s="37" t="n">
        <v>1.9</v>
      </c>
      <c r="V7" s="18" t="n">
        <v>1.9</v>
      </c>
      <c r="W7" s="18" t="n">
        <v>1.91</v>
      </c>
      <c r="X7" s="18" t="n">
        <v>1.91</v>
      </c>
      <c r="Y7" s="18" t="n">
        <v>194.15</v>
      </c>
      <c r="Z7" s="37" t="n">
        <v>194.15</v>
      </c>
      <c r="AA7" s="18" t="n">
        <v>277.82</v>
      </c>
      <c r="AB7" s="19" t="n">
        <v>1705.08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F8" s="9" t="n"/>
      <c r="K8" s="9" t="n"/>
      <c r="N8" s="18" t="n">
        <v>1481.14</v>
      </c>
      <c r="O8" s="18" t="n">
        <v>1882.03</v>
      </c>
      <c r="P8" s="37" t="n">
        <v>1882.03</v>
      </c>
      <c r="Q8" s="18" t="n">
        <v>2492.16</v>
      </c>
      <c r="R8" s="18" t="n">
        <v>2482.89</v>
      </c>
      <c r="S8" s="18" t="n">
        <v>2249.52</v>
      </c>
      <c r="T8" s="18" t="n">
        <v>1.9</v>
      </c>
      <c r="U8" s="37" t="n">
        <v>1.9</v>
      </c>
      <c r="V8" s="18" t="n">
        <v>1.9</v>
      </c>
      <c r="W8" s="18" t="n">
        <v>1.91</v>
      </c>
      <c r="X8" s="18" t="n">
        <v>1.91</v>
      </c>
      <c r="Y8" s="18" t="n">
        <v>194.15</v>
      </c>
      <c r="Z8" s="37" t="n">
        <v>194.15</v>
      </c>
      <c r="AA8" s="18" t="n">
        <v>277.82</v>
      </c>
      <c r="AB8" s="19" t="n">
        <v>1705.08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F9" s="9" t="n"/>
      <c r="K9" s="9" t="n"/>
      <c r="N9" s="18" t="n">
        <v>32090</v>
      </c>
      <c r="O9" s="18" t="n">
        <v>32239.63</v>
      </c>
      <c r="P9" s="37" t="n">
        <v>32239.63</v>
      </c>
      <c r="Q9" s="18" t="n">
        <v>25706.86</v>
      </c>
      <c r="R9" s="18" t="n">
        <v>29650.85</v>
      </c>
      <c r="S9" s="18" t="n">
        <v>18103.16</v>
      </c>
      <c r="T9" s="18" t="n">
        <v>19614.94</v>
      </c>
      <c r="U9" s="37" t="n">
        <v>19614.94</v>
      </c>
      <c r="V9" s="18" t="n">
        <v>21841.42</v>
      </c>
      <c r="W9" s="18" t="n">
        <v>20397.82</v>
      </c>
      <c r="X9" s="18" t="n">
        <v>26696.39</v>
      </c>
      <c r="Y9" s="18" t="n">
        <v>20184.13</v>
      </c>
      <c r="Z9" s="37" t="n">
        <v>20184.13</v>
      </c>
      <c r="AA9" s="18" t="n">
        <v>21495.12</v>
      </c>
      <c r="AB9" s="19" t="n">
        <v>27862.2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당기법인세자산(선급법인세)</t>
        </is>
      </c>
      <c r="F10" s="9" t="n"/>
      <c r="K10" s="9" t="n"/>
      <c r="N10" s="18" t="n">
        <v>0.91</v>
      </c>
      <c r="O10" s="18" t="n">
        <v>2.51</v>
      </c>
      <c r="P10" s="37" t="n">
        <v>2.51</v>
      </c>
      <c r="Q10" s="18" t="n">
        <v>17.17</v>
      </c>
      <c r="R10" s="18" t="n">
        <v>26.62</v>
      </c>
      <c r="S10" s="18" t="n">
        <v>34.05</v>
      </c>
      <c r="T10" s="18" t="n">
        <v>36.2</v>
      </c>
      <c r="U10" s="37" t="n">
        <v>36.2</v>
      </c>
      <c r="V10" s="18" t="n">
        <v>59.78</v>
      </c>
      <c r="W10" s="18" t="n">
        <v>26.93</v>
      </c>
      <c r="X10" s="18" t="n">
        <v>27.82</v>
      </c>
      <c r="Y10" s="18" t="n">
        <v>25.63</v>
      </c>
      <c r="Z10" s="37" t="n">
        <v>25.63</v>
      </c>
      <c r="AA10" s="18" t="n">
        <v>25.84</v>
      </c>
      <c r="AB10" s="19" t="n">
        <v>3.03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F11" s="9" t="n"/>
      <c r="K11" s="9" t="n"/>
      <c r="N11" s="18" t="n">
        <v>34597.77</v>
      </c>
      <c r="O11" s="18" t="n">
        <v>32576.48</v>
      </c>
      <c r="P11" s="37" t="n">
        <v>32576.48</v>
      </c>
      <c r="Q11" s="18" t="n">
        <v>28935.28</v>
      </c>
      <c r="R11" s="18" t="n">
        <v>24303.7</v>
      </c>
      <c r="S11" s="18" t="n">
        <v>24988.01</v>
      </c>
      <c r="T11" s="18" t="n">
        <v>16715</v>
      </c>
      <c r="U11" s="37" t="n">
        <v>16715</v>
      </c>
      <c r="V11" s="18" t="n">
        <v>21863.63</v>
      </c>
      <c r="W11" s="18" t="n">
        <v>18734.09</v>
      </c>
      <c r="X11" s="18" t="n">
        <v>28953.2</v>
      </c>
      <c r="Y11" s="18" t="n">
        <v>32098.86</v>
      </c>
      <c r="Z11" s="37" t="n">
        <v>32098.86</v>
      </c>
      <c r="AA11" s="18" t="n">
        <v>34655.61</v>
      </c>
      <c r="AB11" s="19" t="n">
        <v>48349.61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기타유동금융자산</t>
        </is>
      </c>
      <c r="F12" s="9" t="n"/>
      <c r="K12" s="9" t="n"/>
      <c r="N12" s="18" t="n">
        <v>1496.28</v>
      </c>
      <c r="P12" s="9" t="n"/>
      <c r="U12" s="9" t="n"/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F13" s="9" t="n"/>
      <c r="K13" s="9" t="n"/>
      <c r="N13" s="18" t="n">
        <v>2382.56</v>
      </c>
      <c r="O13" s="18" t="n">
        <v>2215.96</v>
      </c>
      <c r="P13" s="37" t="n">
        <v>2215.96</v>
      </c>
      <c r="Q13" s="18" t="n">
        <v>2147.49</v>
      </c>
      <c r="R13" s="18" t="n">
        <v>85.06999999999999</v>
      </c>
      <c r="S13" s="18" t="n">
        <v>400.81</v>
      </c>
      <c r="T13" s="18" t="n">
        <v>976.3</v>
      </c>
      <c r="U13" s="37" t="n">
        <v>976.3</v>
      </c>
      <c r="V13" s="18" t="n">
        <v>134.22</v>
      </c>
      <c r="W13" s="18" t="n">
        <v>2743.95</v>
      </c>
      <c r="X13" s="18" t="n">
        <v>475.39</v>
      </c>
      <c r="Y13" s="18" t="n">
        <v>1806.06</v>
      </c>
      <c r="Z13" s="37" t="n">
        <v>1806.06</v>
      </c>
      <c r="AA13" s="18" t="n">
        <v>8783.540000000001</v>
      </c>
      <c r="AB13" s="19" t="n">
        <v>115.32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F14" s="9" t="n"/>
      <c r="K14" s="9" t="n"/>
      <c r="N14" s="18" t="n">
        <v>110568.15</v>
      </c>
      <c r="O14" s="18" t="n">
        <v>117512.76</v>
      </c>
      <c r="P14" s="37" t="n">
        <v>117512.76</v>
      </c>
      <c r="Q14" s="18" t="n">
        <v>114140.93</v>
      </c>
      <c r="R14" s="18" t="n">
        <v>112704.4</v>
      </c>
      <c r="S14" s="18" t="n">
        <v>112124.81</v>
      </c>
      <c r="T14" s="18" t="n">
        <v>108899.31</v>
      </c>
      <c r="U14" s="37" t="n">
        <v>108899.31</v>
      </c>
      <c r="V14" s="18" t="n">
        <v>106872.1</v>
      </c>
      <c r="W14" s="18" t="n">
        <v>102447.53</v>
      </c>
      <c r="X14" s="18" t="n">
        <v>115492.63</v>
      </c>
      <c r="Y14" s="18" t="n">
        <v>109453.55</v>
      </c>
      <c r="Z14" s="37" t="n">
        <v>109453.55</v>
      </c>
      <c r="AA14" s="18" t="n">
        <v>106646.68</v>
      </c>
      <c r="AB14" s="19" t="n">
        <v>109737.78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F15" s="9" t="n"/>
      <c r="K15" s="9" t="n"/>
      <c r="N15" s="18" t="n">
        <v>228.65</v>
      </c>
      <c r="O15" s="18" t="n">
        <v>5110.56</v>
      </c>
      <c r="P15" s="37" t="n">
        <v>5110.56</v>
      </c>
      <c r="Q15" s="18" t="n">
        <v>2923.03</v>
      </c>
      <c r="R15" s="18" t="n">
        <v>4844.58</v>
      </c>
      <c r="S15" s="18" t="n">
        <v>5585.4</v>
      </c>
      <c r="T15" s="18" t="n">
        <v>5030.98</v>
      </c>
      <c r="U15" s="37" t="n">
        <v>5030.98</v>
      </c>
      <c r="V15" s="18" t="n">
        <v>4899.68</v>
      </c>
      <c r="W15" s="18" t="n">
        <v>4825.79</v>
      </c>
      <c r="X15" s="18" t="n">
        <v>6495.54</v>
      </c>
      <c r="Y15" s="18" t="n">
        <v>3116.31</v>
      </c>
      <c r="Z15" s="37" t="n">
        <v>3116.31</v>
      </c>
      <c r="AA15" s="18" t="n">
        <v>2257.74</v>
      </c>
      <c r="AB15" s="19" t="n">
        <v>2734.15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F16" s="9" t="n"/>
      <c r="K16" s="9" t="n"/>
      <c r="N16" s="18" t="n">
        <v>228.65</v>
      </c>
      <c r="O16" s="18" t="n">
        <v>5110.56</v>
      </c>
      <c r="P16" s="37" t="n">
        <v>5110.56</v>
      </c>
      <c r="Q16" s="18" t="n">
        <v>2923.03</v>
      </c>
      <c r="R16" s="18" t="n">
        <v>4844.58</v>
      </c>
      <c r="S16" s="18" t="n">
        <v>5585.4</v>
      </c>
      <c r="T16" s="18" t="n">
        <v>5030.98</v>
      </c>
      <c r="U16" s="37" t="n">
        <v>5030.98</v>
      </c>
      <c r="V16" s="18" t="n">
        <v>4899.68</v>
      </c>
      <c r="W16" s="18" t="n">
        <v>4825.79</v>
      </c>
      <c r="X16" s="18" t="n">
        <v>6495.54</v>
      </c>
      <c r="Y16" s="18" t="n">
        <v>3116.31</v>
      </c>
      <c r="Z16" s="37" t="n">
        <v>3116.31</v>
      </c>
      <c r="AA16" s="18" t="n">
        <v>2257.74</v>
      </c>
      <c r="AB16" s="19" t="n">
        <v>2734.15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장기매출채권및기타채권</t>
        </is>
      </c>
      <c r="F17" s="9" t="n"/>
      <c r="K17" s="9" t="n"/>
      <c r="N17" s="18" t="n">
        <v>1154.78</v>
      </c>
      <c r="O17" s="18" t="n">
        <v>1063.32</v>
      </c>
      <c r="P17" s="37" t="n">
        <v>1063.32</v>
      </c>
      <c r="Q17" s="18" t="n">
        <v>1272.29</v>
      </c>
      <c r="R17" s="18" t="n">
        <v>1297.12</v>
      </c>
      <c r="S17" s="18" t="n">
        <v>1070.17</v>
      </c>
      <c r="T17" s="18" t="n">
        <v>541.73</v>
      </c>
      <c r="U17" s="37" t="n">
        <v>541.73</v>
      </c>
      <c r="V17" s="18" t="n">
        <v>502.06</v>
      </c>
      <c r="W17" s="18" t="n">
        <v>393.12</v>
      </c>
      <c r="X17" s="18" t="n">
        <v>451.12</v>
      </c>
      <c r="Y17" s="18" t="n">
        <v>507.2</v>
      </c>
      <c r="Z17" s="37" t="n">
        <v>507.2</v>
      </c>
      <c r="AA17" s="18" t="n">
        <v>243.25</v>
      </c>
      <c r="AB17" s="19" t="n">
        <v>228.25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F18" s="9" t="n"/>
      <c r="K18" s="9" t="n"/>
      <c r="N18" s="18" t="n">
        <v>84925.63</v>
      </c>
      <c r="O18" s="18" t="n">
        <v>83235.47</v>
      </c>
      <c r="P18" s="37" t="n">
        <v>83235.47</v>
      </c>
      <c r="Q18" s="18" t="n">
        <v>81890.95</v>
      </c>
      <c r="R18" s="18" t="n">
        <v>80146.78</v>
      </c>
      <c r="S18" s="18" t="n">
        <v>78976.96000000001</v>
      </c>
      <c r="T18" s="18" t="n">
        <v>77558.31</v>
      </c>
      <c r="U18" s="37" t="n">
        <v>77558.31</v>
      </c>
      <c r="V18" s="18" t="n">
        <v>75717.07000000001</v>
      </c>
      <c r="W18" s="18" t="n">
        <v>74111.35000000001</v>
      </c>
      <c r="X18" s="18" t="n">
        <v>90267.03999999999</v>
      </c>
      <c r="Y18" s="18" t="n">
        <v>89708.07000000001</v>
      </c>
      <c r="Z18" s="37" t="n">
        <v>89708.07000000001</v>
      </c>
      <c r="AA18" s="18" t="n">
        <v>88224.57000000001</v>
      </c>
      <c r="AB18" s="19" t="n">
        <v>91055.10000000001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투자부동산</t>
        </is>
      </c>
      <c r="F19" s="9" t="n"/>
      <c r="K19" s="9" t="n"/>
      <c r="N19" s="18" t="n">
        <v>9149.02</v>
      </c>
      <c r="O19" s="18" t="n">
        <v>11492.49</v>
      </c>
      <c r="P19" s="37" t="n">
        <v>11492.49</v>
      </c>
      <c r="Q19" s="18" t="n">
        <v>11465.98</v>
      </c>
      <c r="R19" s="18" t="n">
        <v>11439.47</v>
      </c>
      <c r="S19" s="18" t="n">
        <v>11412.96</v>
      </c>
      <c r="T19" s="18" t="n">
        <v>11386.44</v>
      </c>
      <c r="U19" s="37" t="n">
        <v>11386.44</v>
      </c>
      <c r="V19" s="18" t="n">
        <v>11359.93</v>
      </c>
      <c r="W19" s="18" t="n">
        <v>11333.42</v>
      </c>
      <c r="X19" s="18" t="n">
        <v>8645.940000000001</v>
      </c>
      <c r="Y19" s="18" t="n">
        <v>8619.459999999999</v>
      </c>
      <c r="Z19" s="37" t="n">
        <v>8619.459999999999</v>
      </c>
      <c r="AA19" s="18" t="n">
        <v>8592.950000000001</v>
      </c>
      <c r="AB19" s="19" t="n">
        <v>7153.85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F20" s="9" t="n"/>
      <c r="K20" s="9" t="n"/>
      <c r="N20" s="18" t="n">
        <v>11825.4</v>
      </c>
      <c r="O20" s="18" t="n">
        <v>12572.58</v>
      </c>
      <c r="P20" s="37" t="n">
        <v>12572.58</v>
      </c>
      <c r="Q20" s="18" t="n">
        <v>12399.65</v>
      </c>
      <c r="R20" s="18" t="n">
        <v>12226.71</v>
      </c>
      <c r="S20" s="18" t="n">
        <v>12053.77</v>
      </c>
      <c r="T20" s="18" t="n">
        <v>10127.56</v>
      </c>
      <c r="U20" s="37" t="n">
        <v>10127.56</v>
      </c>
      <c r="V20" s="18" t="n">
        <v>9981.690000000001</v>
      </c>
      <c r="W20" s="18" t="n">
        <v>9807.35</v>
      </c>
      <c r="X20" s="18" t="n">
        <v>9632.99</v>
      </c>
      <c r="Y20" s="18" t="n">
        <v>7502.53</v>
      </c>
      <c r="Z20" s="37" t="n">
        <v>7502.53</v>
      </c>
      <c r="AA20" s="18" t="n">
        <v>7328.19</v>
      </c>
      <c r="AB20" s="19" t="n">
        <v>8566.440000000001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이연법인세자산</t>
        </is>
      </c>
      <c r="F21" s="9" t="n"/>
      <c r="K21" s="9" t="n"/>
      <c r="N21" s="18" t="n">
        <v>3284.67</v>
      </c>
      <c r="O21" s="18" t="n">
        <v>4038.33</v>
      </c>
      <c r="P21" s="37" t="n">
        <v>4038.33</v>
      </c>
      <c r="Q21" s="18" t="n">
        <v>4189.02</v>
      </c>
      <c r="R21" s="18" t="n">
        <v>2749.74</v>
      </c>
      <c r="S21" s="18" t="n">
        <v>3025.55</v>
      </c>
      <c r="T21" s="18" t="n">
        <v>4254.28</v>
      </c>
      <c r="U21" s="37" t="n">
        <v>4254.28</v>
      </c>
      <c r="V21" s="18" t="n">
        <v>4411.67</v>
      </c>
      <c r="W21" s="18" t="n">
        <v>1976.5</v>
      </c>
      <c r="Z21" s="9" t="n"/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F22" s="9" t="n"/>
      <c r="K22" s="9" t="n"/>
      <c r="N22" s="18" t="n">
        <v>191068.35</v>
      </c>
      <c r="O22" s="18" t="n">
        <v>190295.96</v>
      </c>
      <c r="P22" s="37" t="n">
        <v>190295.96</v>
      </c>
      <c r="Q22" s="18" t="n">
        <v>179172.29</v>
      </c>
      <c r="R22" s="18" t="n">
        <v>177035.83</v>
      </c>
      <c r="S22" s="18" t="n">
        <v>161633.31</v>
      </c>
      <c r="T22" s="18" t="n">
        <v>152372.84</v>
      </c>
      <c r="U22" s="37" t="n">
        <v>152372.84</v>
      </c>
      <c r="V22" s="18" t="n">
        <v>155882.17</v>
      </c>
      <c r="W22" s="18" t="n">
        <v>149804.27</v>
      </c>
      <c r="X22" s="18" t="n">
        <v>184738.77</v>
      </c>
      <c r="Y22" s="18" t="n">
        <v>171617.47</v>
      </c>
      <c r="Z22" s="37" t="n">
        <v>171617.47</v>
      </c>
      <c r="AA22" s="18" t="n">
        <v>174384.12</v>
      </c>
      <c r="AB22" s="19" t="n">
        <v>199870.23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F23" s="9" t="n"/>
      <c r="K23" s="9" t="n"/>
      <c r="N23" s="18" t="n">
        <v>94862.88</v>
      </c>
      <c r="O23" s="18" t="n">
        <v>119570.95</v>
      </c>
      <c r="P23" s="37" t="n">
        <v>119570.95</v>
      </c>
      <c r="Q23" s="18" t="n">
        <v>115069.1</v>
      </c>
      <c r="R23" s="18" t="n">
        <v>115775.1</v>
      </c>
      <c r="S23" s="18" t="n">
        <v>107417.35</v>
      </c>
      <c r="T23" s="18" t="n">
        <v>111705.16</v>
      </c>
      <c r="U23" s="37" t="n">
        <v>111705.16</v>
      </c>
      <c r="V23" s="18" t="n">
        <v>122013.56</v>
      </c>
      <c r="W23" s="18" t="n">
        <v>111044.2</v>
      </c>
      <c r="X23" s="18" t="n">
        <v>123539.14</v>
      </c>
      <c r="Y23" s="18" t="n">
        <v>106919.48</v>
      </c>
      <c r="Z23" s="37" t="n">
        <v>106919.48</v>
      </c>
      <c r="AA23" s="18" t="n">
        <v>110973.12</v>
      </c>
      <c r="AB23" s="19" t="n">
        <v>113539.58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F24" s="9" t="n"/>
      <c r="K24" s="9" t="n"/>
      <c r="N24" s="18" t="n">
        <v>92871.75</v>
      </c>
      <c r="O24" s="18" t="n">
        <v>19440.14</v>
      </c>
      <c r="P24" s="37" t="n">
        <v>19440.14</v>
      </c>
      <c r="Q24" s="18" t="n">
        <v>12959.28</v>
      </c>
      <c r="R24" s="18" t="n">
        <v>23456.22</v>
      </c>
      <c r="S24" s="18" t="n">
        <v>14261.42</v>
      </c>
      <c r="T24" s="18" t="n">
        <v>16319.29</v>
      </c>
      <c r="U24" s="37" t="n">
        <v>16319.29</v>
      </c>
      <c r="V24" s="18" t="n">
        <v>25902.6</v>
      </c>
      <c r="W24" s="18" t="n">
        <v>22774.71</v>
      </c>
      <c r="X24" s="18" t="n">
        <v>36613.25</v>
      </c>
      <c r="Y24" s="18" t="n">
        <v>25077.03</v>
      </c>
      <c r="Z24" s="37" t="n">
        <v>25077.03</v>
      </c>
      <c r="AA24" s="18" t="n">
        <v>32337.41</v>
      </c>
      <c r="AB24" s="19" t="n">
        <v>38240.86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기타유동금융부채</t>
        </is>
      </c>
      <c r="F25" s="9" t="n"/>
      <c r="K25" s="9" t="n"/>
      <c r="N25" s="18" t="n">
        <v>993.85</v>
      </c>
      <c r="O25" s="18" t="n">
        <v>6926.4</v>
      </c>
      <c r="P25" s="37" t="n">
        <v>6926.4</v>
      </c>
      <c r="Q25" s="18" t="n">
        <v>6831.94</v>
      </c>
      <c r="R25" s="18" t="n">
        <v>5743.68</v>
      </c>
      <c r="S25" s="18" t="n">
        <v>5743.68</v>
      </c>
      <c r="T25" s="18" t="n">
        <v>8276.1</v>
      </c>
      <c r="U25" s="37" t="n">
        <v>8276.1</v>
      </c>
      <c r="V25" s="18" t="n">
        <v>8276.1</v>
      </c>
      <c r="W25" s="18" t="n">
        <v>303.18</v>
      </c>
      <c r="X25" s="18" t="n">
        <v>303.18</v>
      </c>
      <c r="Z25" s="9" t="n"/>
      <c r="AA25" s="18" t="n">
        <v>44</v>
      </c>
      <c r="AB25" s="19" t="n">
        <v>15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</t>
        </is>
      </c>
      <c r="F26" s="9" t="n"/>
      <c r="K26" s="9" t="n"/>
      <c r="N26" s="18" t="n">
        <v>993.85</v>
      </c>
      <c r="O26" s="18" t="n">
        <v>7329.07</v>
      </c>
      <c r="P26" s="37" t="n">
        <v>7329.07</v>
      </c>
      <c r="Q26" s="18" t="n">
        <v>7224.37</v>
      </c>
      <c r="R26" s="18" t="n">
        <v>6194.73</v>
      </c>
      <c r="S26" s="18" t="n">
        <v>6169.73</v>
      </c>
      <c r="T26" s="18" t="n">
        <v>8738.25</v>
      </c>
      <c r="U26" s="37" t="n">
        <v>8738.25</v>
      </c>
      <c r="V26" s="18" t="n">
        <v>8702</v>
      </c>
      <c r="W26" s="18" t="n">
        <v>614.74</v>
      </c>
      <c r="X26" s="18" t="n">
        <v>547.22</v>
      </c>
      <c r="Y26" s="18" t="n">
        <v>193.27</v>
      </c>
      <c r="Z26" s="37" t="n">
        <v>193.27</v>
      </c>
      <c r="AA26" s="18" t="n">
        <v>182.85</v>
      </c>
      <c r="AB26" s="19" t="n">
        <v>143.13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단기충당부채</t>
        </is>
      </c>
      <c r="F27" s="9" t="n"/>
      <c r="K27" s="9" t="n"/>
      <c r="N27" s="18" t="n">
        <v>30.9</v>
      </c>
      <c r="P27" s="9" t="n"/>
      <c r="U27" s="9" t="n"/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기타유동부채</t>
        </is>
      </c>
      <c r="F28" s="9" t="n"/>
      <c r="K28" s="9" t="n"/>
      <c r="N28" s="18" t="n">
        <v>966.38</v>
      </c>
      <c r="O28" s="18" t="n">
        <v>929.05</v>
      </c>
      <c r="P28" s="37" t="n">
        <v>929.05</v>
      </c>
      <c r="Q28" s="18" t="n">
        <v>303.54</v>
      </c>
      <c r="R28" s="18" t="n">
        <v>471.14</v>
      </c>
      <c r="S28" s="18" t="n">
        <v>843.92</v>
      </c>
      <c r="T28" s="18" t="n">
        <v>277.21</v>
      </c>
      <c r="U28" s="37" t="n">
        <v>277.21</v>
      </c>
      <c r="V28" s="18" t="n">
        <v>312.18</v>
      </c>
      <c r="W28" s="18" t="n">
        <v>1136.59</v>
      </c>
      <c r="X28" s="18" t="n">
        <v>1545.82</v>
      </c>
      <c r="Y28" s="18" t="n">
        <v>1088.21</v>
      </c>
      <c r="Z28" s="37" t="n">
        <v>1088.21</v>
      </c>
      <c r="AA28" s="18" t="n">
        <v>1161.93</v>
      </c>
      <c r="AB28" s="19" t="n">
        <v>1065.09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비유동부채</t>
        </is>
      </c>
      <c r="F29" s="9" t="n"/>
      <c r="K29" s="9" t="n"/>
      <c r="N29" s="18" t="n">
        <v>25880.05</v>
      </c>
      <c r="O29" s="18" t="n">
        <v>5734.35</v>
      </c>
      <c r="P29" s="37" t="n">
        <v>5734.35</v>
      </c>
      <c r="Q29" s="18" t="n">
        <v>5998.2</v>
      </c>
      <c r="R29" s="18" t="n">
        <v>6234.23</v>
      </c>
      <c r="S29" s="18" t="n">
        <v>6623.41</v>
      </c>
      <c r="T29" s="18" t="n">
        <v>7074.63</v>
      </c>
      <c r="U29" s="37" t="n">
        <v>7074.63</v>
      </c>
      <c r="V29" s="18" t="n">
        <v>6927.41</v>
      </c>
      <c r="W29" s="18" t="n">
        <v>6784.78</v>
      </c>
      <c r="X29" s="18" t="n">
        <v>8924.84</v>
      </c>
      <c r="Y29" s="18" t="n">
        <v>12932.78</v>
      </c>
      <c r="Z29" s="37" t="n">
        <v>12932.78</v>
      </c>
      <c r="AA29" s="18" t="n">
        <v>12438.68</v>
      </c>
      <c r="AB29" s="19" t="n">
        <v>34903.02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장기매입채무및기타채무</t>
        </is>
      </c>
      <c r="F30" s="9" t="n"/>
      <c r="K30" s="9" t="n"/>
      <c r="N30" s="18" t="n">
        <v>9165.889999999999</v>
      </c>
      <c r="O30" s="18" t="n">
        <v>371.44</v>
      </c>
      <c r="P30" s="37" t="n">
        <v>371.44</v>
      </c>
      <c r="Q30" s="18" t="n">
        <v>310</v>
      </c>
      <c r="R30" s="18" t="n">
        <v>310</v>
      </c>
      <c r="S30" s="18" t="n">
        <v>300</v>
      </c>
      <c r="T30" s="18" t="n">
        <v>300</v>
      </c>
      <c r="U30" s="37" t="n">
        <v>300</v>
      </c>
      <c r="V30" s="18" t="n">
        <v>310</v>
      </c>
      <c r="W30" s="18" t="n">
        <v>310</v>
      </c>
      <c r="X30" s="18" t="n">
        <v>310</v>
      </c>
      <c r="Y30" s="18" t="n">
        <v>310</v>
      </c>
      <c r="Z30" s="37" t="n">
        <v>310</v>
      </c>
      <c r="AA30" s="18" t="n">
        <v>310</v>
      </c>
      <c r="AB30" s="19" t="n">
        <v>310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기타비유동금융부채</t>
        </is>
      </c>
      <c r="F31" s="9" t="n"/>
      <c r="K31" s="9" t="n"/>
      <c r="N31" s="18" t="n">
        <v>13311.6</v>
      </c>
      <c r="P31" s="9" t="n"/>
      <c r="U31" s="9" t="n"/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장기금융부채</t>
        </is>
      </c>
      <c r="F32" s="9" t="n"/>
      <c r="K32" s="9" t="n"/>
      <c r="N32" s="18" t="n">
        <v>13311.6</v>
      </c>
      <c r="O32" s="18" t="n">
        <v>307.76</v>
      </c>
      <c r="P32" s="37" t="n">
        <v>307.76</v>
      </c>
      <c r="Q32" s="18" t="n">
        <v>367.28</v>
      </c>
      <c r="R32" s="18" t="n">
        <v>401.41</v>
      </c>
      <c r="S32" s="18" t="n">
        <v>336.07</v>
      </c>
      <c r="T32" s="18" t="n">
        <v>287.98</v>
      </c>
      <c r="U32" s="37" t="n">
        <v>287.98</v>
      </c>
      <c r="V32" s="18" t="n">
        <v>205.16</v>
      </c>
      <c r="W32" s="18" t="n">
        <v>95.95</v>
      </c>
      <c r="X32" s="18" t="n">
        <v>80.58</v>
      </c>
      <c r="Y32" s="18" t="n">
        <v>105.23</v>
      </c>
      <c r="Z32" s="37" t="n">
        <v>105.23</v>
      </c>
      <c r="AA32" s="18" t="n">
        <v>97.64</v>
      </c>
      <c r="AB32" s="19" t="n">
        <v>83.27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장기충당부채</t>
        </is>
      </c>
      <c r="F33" s="9" t="n"/>
      <c r="K33" s="9" t="n"/>
      <c r="N33" s="18" t="n">
        <v>50.67</v>
      </c>
      <c r="O33" s="18" t="n">
        <v>55.38</v>
      </c>
      <c r="P33" s="37" t="n">
        <v>55.38</v>
      </c>
      <c r="Q33" s="18" t="n">
        <v>55.38</v>
      </c>
      <c r="R33" s="18" t="n">
        <v>28.4</v>
      </c>
      <c r="S33" s="18" t="n">
        <v>25.02</v>
      </c>
      <c r="T33" s="18" t="n">
        <v>160.37</v>
      </c>
      <c r="U33" s="37" t="n">
        <v>160.37</v>
      </c>
      <c r="V33" s="18" t="n">
        <v>160.37</v>
      </c>
      <c r="W33" s="18" t="n">
        <v>158.97</v>
      </c>
      <c r="X33" s="18" t="n">
        <v>149.9</v>
      </c>
      <c r="Y33" s="18" t="n">
        <v>170.7</v>
      </c>
      <c r="Z33" s="37" t="n">
        <v>170.7</v>
      </c>
      <c r="AA33" s="18" t="n">
        <v>170.7</v>
      </c>
      <c r="AB33" s="19" t="n">
        <v>177.63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F34" s="9" t="n"/>
      <c r="K34" s="9" t="n"/>
      <c r="N34" s="18" t="n">
        <v>3351.89</v>
      </c>
      <c r="O34" s="18" t="n">
        <v>3483.76</v>
      </c>
      <c r="P34" s="37" t="n">
        <v>3483.76</v>
      </c>
      <c r="Q34" s="18" t="n">
        <v>3821.67</v>
      </c>
      <c r="R34" s="18" t="n">
        <v>3709.69</v>
      </c>
      <c r="S34" s="18" t="n">
        <v>4249.74</v>
      </c>
      <c r="T34" s="18" t="n">
        <v>4898.77</v>
      </c>
      <c r="U34" s="37" t="n">
        <v>4898.77</v>
      </c>
      <c r="V34" s="18" t="n">
        <v>5215.37</v>
      </c>
      <c r="W34" s="18" t="n">
        <v>5219.26</v>
      </c>
      <c r="X34" s="18" t="n">
        <v>5626.31</v>
      </c>
      <c r="Y34" s="18" t="n">
        <v>5382.88</v>
      </c>
      <c r="Z34" s="37" t="n">
        <v>5382.88</v>
      </c>
      <c r="AA34" s="18" t="n">
        <v>5449.73</v>
      </c>
      <c r="AB34" s="19" t="n">
        <v>4695.29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부채총계</t>
        </is>
      </c>
      <c r="F35" s="9" t="n"/>
      <c r="K35" s="9" t="n"/>
      <c r="N35" s="18" t="n">
        <v>120742.93</v>
      </c>
      <c r="O35" s="18" t="n">
        <v>125305.3</v>
      </c>
      <c r="P35" s="37" t="n">
        <v>125305.3</v>
      </c>
      <c r="Q35" s="18" t="n">
        <v>121067.3</v>
      </c>
      <c r="R35" s="18" t="n">
        <v>122009.33</v>
      </c>
      <c r="S35" s="18" t="n">
        <v>114040.76</v>
      </c>
      <c r="T35" s="18" t="n">
        <v>118779.79</v>
      </c>
      <c r="U35" s="37" t="n">
        <v>118779.79</v>
      </c>
      <c r="V35" s="18" t="n">
        <v>128940.98</v>
      </c>
      <c r="W35" s="18" t="n">
        <v>117828.98</v>
      </c>
      <c r="X35" s="18" t="n">
        <v>132463.99</v>
      </c>
      <c r="Y35" s="18" t="n">
        <v>119852.26</v>
      </c>
      <c r="Z35" s="37" t="n">
        <v>119852.26</v>
      </c>
      <c r="AA35" s="18" t="n">
        <v>123411.79</v>
      </c>
      <c r="AB35" s="19" t="n">
        <v>148442.6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지배주주지분</t>
        </is>
      </c>
      <c r="F36" s="9" t="n"/>
      <c r="K36" s="9" t="n"/>
      <c r="N36" s="18" t="n">
        <v>67428.99000000001</v>
      </c>
      <c r="O36" s="18" t="n">
        <v>61109.44</v>
      </c>
      <c r="P36" s="37" t="n">
        <v>61109.44</v>
      </c>
      <c r="Q36" s="18" t="n">
        <v>56349.01</v>
      </c>
      <c r="R36" s="18" t="n">
        <v>53662.97</v>
      </c>
      <c r="S36" s="18" t="n">
        <v>46514.14</v>
      </c>
      <c r="T36" s="18" t="n">
        <v>33041.82</v>
      </c>
      <c r="U36" s="37" t="n">
        <v>33041.82</v>
      </c>
      <c r="V36" s="18" t="n">
        <v>26686.19</v>
      </c>
      <c r="W36" s="18" t="n">
        <v>31060.57</v>
      </c>
      <c r="X36" s="18" t="n">
        <v>50240.53</v>
      </c>
      <c r="Y36" s="18" t="n">
        <v>50334.12</v>
      </c>
      <c r="Z36" s="37" t="n">
        <v>50334.12</v>
      </c>
      <c r="AA36" s="18" t="n">
        <v>50002.77</v>
      </c>
      <c r="AB36" s="19" t="n">
        <v>50402.68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자본금</t>
        </is>
      </c>
      <c r="F37" s="9" t="n"/>
      <c r="K37" s="9" t="n"/>
      <c r="N37" s="18" t="n">
        <v>16234.06</v>
      </c>
      <c r="O37" s="18" t="n">
        <v>16234.06</v>
      </c>
      <c r="P37" s="37" t="n">
        <v>16234.06</v>
      </c>
      <c r="Q37" s="18" t="n">
        <v>16688.06</v>
      </c>
      <c r="R37" s="18" t="n">
        <v>16688.06</v>
      </c>
      <c r="S37" s="18" t="n">
        <v>16688.06</v>
      </c>
      <c r="T37" s="18" t="n">
        <v>16688.06</v>
      </c>
      <c r="U37" s="37" t="n">
        <v>16688.06</v>
      </c>
      <c r="V37" s="18" t="n">
        <v>16688.06</v>
      </c>
      <c r="W37" s="18" t="n">
        <v>16688.06</v>
      </c>
      <c r="X37" s="18" t="n">
        <v>18732.25</v>
      </c>
      <c r="Y37" s="18" t="n">
        <v>19832.25</v>
      </c>
      <c r="Z37" s="37" t="n">
        <v>19832.25</v>
      </c>
      <c r="AA37" s="18" t="n">
        <v>19832.25</v>
      </c>
      <c r="AB37" s="19" t="n">
        <v>19832.25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자본잉여금</t>
        </is>
      </c>
      <c r="F38" s="9" t="n"/>
      <c r="K38" s="9" t="n"/>
      <c r="N38" s="18" t="n">
        <v>61458.33</v>
      </c>
      <c r="O38" s="18" t="n">
        <v>61458.33</v>
      </c>
      <c r="P38" s="37" t="n">
        <v>61458.33</v>
      </c>
      <c r="Q38" s="18" t="n">
        <v>62004.04</v>
      </c>
      <c r="R38" s="18" t="n">
        <v>62223.59</v>
      </c>
      <c r="S38" s="18" t="n">
        <v>62285.66</v>
      </c>
      <c r="T38" s="18" t="n">
        <v>62302.9</v>
      </c>
      <c r="U38" s="37" t="n">
        <v>62302.9</v>
      </c>
      <c r="V38" s="18" t="n">
        <v>62302.9</v>
      </c>
      <c r="W38" s="18" t="n">
        <v>60879.15</v>
      </c>
      <c r="X38" s="18" t="n">
        <v>65331.39</v>
      </c>
      <c r="Y38" s="18" t="n">
        <v>68187.8</v>
      </c>
      <c r="Z38" s="37" t="n">
        <v>68187.8</v>
      </c>
      <c r="AA38" s="18" t="n">
        <v>68215.06</v>
      </c>
      <c r="AB38" s="19" t="n">
        <v>68215.06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기타자본</t>
        </is>
      </c>
      <c r="F39" s="9" t="n"/>
      <c r="K39" s="9" t="n"/>
      <c r="N39" s="18" t="n">
        <v>-26.25</v>
      </c>
      <c r="O39" s="18" t="n">
        <v>-73.04000000000001</v>
      </c>
      <c r="P39" s="37" t="n">
        <v>-73.04000000000001</v>
      </c>
      <c r="Q39" s="18" t="n">
        <v>-1233.55</v>
      </c>
      <c r="R39" s="18" t="n">
        <v>-1099.88</v>
      </c>
      <c r="S39" s="18" t="n">
        <v>-703.61</v>
      </c>
      <c r="T39" s="18" t="n">
        <v>-1101.98</v>
      </c>
      <c r="U39" s="37" t="n">
        <v>-1101.98</v>
      </c>
      <c r="V39" s="18" t="n">
        <v>-1189.82</v>
      </c>
      <c r="W39" s="18" t="n">
        <v>-1341.16</v>
      </c>
      <c r="X39" s="18" t="n">
        <v>14317.66</v>
      </c>
      <c r="Y39" s="18" t="n">
        <v>12120.4</v>
      </c>
      <c r="Z39" s="37" t="n">
        <v>12120.4</v>
      </c>
      <c r="AA39" s="18" t="n">
        <v>11550.76</v>
      </c>
      <c r="AB39" s="19" t="n">
        <v>11876.19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이익잉여금</t>
        </is>
      </c>
      <c r="F40" s="9" t="n"/>
      <c r="K40" s="9" t="n"/>
      <c r="N40" s="18" t="n">
        <v>-10237.14</v>
      </c>
      <c r="O40" s="18" t="n">
        <v>-16509.91</v>
      </c>
      <c r="P40" s="37" t="n">
        <v>-16509.91</v>
      </c>
      <c r="Q40" s="18" t="n">
        <v>-21109.53</v>
      </c>
      <c r="R40" s="18" t="n">
        <v>-24148.8</v>
      </c>
      <c r="S40" s="18" t="n">
        <v>-31755.97</v>
      </c>
      <c r="T40" s="18" t="n">
        <v>-44847.16</v>
      </c>
      <c r="U40" s="37" t="n">
        <v>-44847.16</v>
      </c>
      <c r="V40" s="18" t="n">
        <v>-51114.94</v>
      </c>
      <c r="W40" s="18" t="n">
        <v>-45165.47</v>
      </c>
      <c r="X40" s="18" t="n">
        <v>-48140.78</v>
      </c>
      <c r="Y40" s="18" t="n">
        <v>-49806.33</v>
      </c>
      <c r="Z40" s="37" t="n">
        <v>-49806.33</v>
      </c>
      <c r="AA40" s="18" t="n">
        <v>-49595.29</v>
      </c>
      <c r="AB40" s="19" t="n">
        <v>-49520.82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비지배주주지분</t>
        </is>
      </c>
      <c r="F41" s="9" t="n"/>
      <c r="K41" s="9" t="n"/>
      <c r="N41" s="18" t="n">
        <v>2896.43</v>
      </c>
      <c r="O41" s="18" t="n">
        <v>3881.22</v>
      </c>
      <c r="P41" s="37" t="n">
        <v>3881.22</v>
      </c>
      <c r="Q41" s="18" t="n">
        <v>1755.98</v>
      </c>
      <c r="R41" s="18" t="n">
        <v>1363.53</v>
      </c>
      <c r="S41" s="18" t="n">
        <v>1078.41</v>
      </c>
      <c r="T41" s="18" t="n">
        <v>551.23</v>
      </c>
      <c r="U41" s="37" t="n">
        <v>551.23</v>
      </c>
      <c r="V41" s="18" t="n">
        <v>255</v>
      </c>
      <c r="W41" s="18" t="n">
        <v>914.71</v>
      </c>
      <c r="X41" s="18" t="n">
        <v>2034.26</v>
      </c>
      <c r="Y41" s="18" t="n">
        <v>1431.1</v>
      </c>
      <c r="Z41" s="37" t="n">
        <v>1431.1</v>
      </c>
      <c r="AA41" s="18" t="n">
        <v>969.5599999999999</v>
      </c>
      <c r="AB41" s="19" t="n">
        <v>1024.95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자본총계</t>
        </is>
      </c>
      <c r="F42" s="9" t="n"/>
      <c r="K42" s="9" t="n"/>
      <c r="N42" s="18" t="n">
        <v>70325.42</v>
      </c>
      <c r="O42" s="18" t="n">
        <v>64990.66</v>
      </c>
      <c r="P42" s="37" t="n">
        <v>64990.66</v>
      </c>
      <c r="Q42" s="18" t="n">
        <v>58104.99</v>
      </c>
      <c r="R42" s="18" t="n">
        <v>55026.5</v>
      </c>
      <c r="S42" s="18" t="n">
        <v>47592.55</v>
      </c>
      <c r="T42" s="18" t="n">
        <v>33593.05</v>
      </c>
      <c r="U42" s="37" t="n">
        <v>33593.05</v>
      </c>
      <c r="V42" s="18" t="n">
        <v>26941.2</v>
      </c>
      <c r="W42" s="18" t="n">
        <v>31975.29</v>
      </c>
      <c r="X42" s="18" t="n">
        <v>52274.79</v>
      </c>
      <c r="Y42" s="18" t="n">
        <v>51765.22</v>
      </c>
      <c r="Z42" s="37" t="n">
        <v>51765.22</v>
      </c>
      <c r="AA42" s="18" t="n">
        <v>50972.33</v>
      </c>
      <c r="AB42" s="19" t="n">
        <v>51427.63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부채와자본총계</t>
        </is>
      </c>
      <c r="F43" s="9" t="n"/>
      <c r="K43" s="9" t="n"/>
      <c r="N43" s="18" t="n">
        <v>191068.35</v>
      </c>
      <c r="O43" s="18" t="n">
        <v>190295.96</v>
      </c>
      <c r="P43" s="37" t="n">
        <v>190295.96</v>
      </c>
      <c r="Q43" s="18" t="n">
        <v>179172.29</v>
      </c>
      <c r="R43" s="18" t="n">
        <v>177035.83</v>
      </c>
      <c r="S43" s="18" t="n">
        <v>161633.31</v>
      </c>
      <c r="T43" s="18" t="n">
        <v>152372.84</v>
      </c>
      <c r="U43" s="37" t="n">
        <v>152372.84</v>
      </c>
      <c r="V43" s="18" t="n">
        <v>155882.17</v>
      </c>
      <c r="W43" s="18" t="n">
        <v>149804.27</v>
      </c>
      <c r="X43" s="18" t="n">
        <v>184738.77</v>
      </c>
      <c r="Y43" s="18" t="n">
        <v>171617.47</v>
      </c>
      <c r="Z43" s="37" t="n">
        <v>171617.47</v>
      </c>
      <c r="AA43" s="18" t="n">
        <v>174384.12</v>
      </c>
      <c r="AB43" s="19" t="n">
        <v>199870.23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이자발생자산</t>
        </is>
      </c>
      <c r="F44" s="9" t="n"/>
      <c r="K44" s="9" t="n"/>
      <c r="N44" s="18" t="n">
        <v>10161.34</v>
      </c>
      <c r="O44" s="18" t="n">
        <v>10522.39</v>
      </c>
      <c r="P44" s="37" t="n">
        <v>10522.39</v>
      </c>
      <c r="Q44" s="18" t="n">
        <v>10810.82</v>
      </c>
      <c r="R44" s="18" t="n">
        <v>14986.84</v>
      </c>
      <c r="S44" s="18" t="n">
        <v>11445.92</v>
      </c>
      <c r="T44" s="18" t="n">
        <v>11132.62</v>
      </c>
      <c r="U44" s="37" t="n">
        <v>11132.62</v>
      </c>
      <c r="V44" s="18" t="n">
        <v>9981.23</v>
      </c>
      <c r="W44" s="18" t="n">
        <v>10279.75</v>
      </c>
      <c r="X44" s="18" t="n">
        <v>19588.87</v>
      </c>
      <c r="Y44" s="18" t="n">
        <v>11165.57</v>
      </c>
      <c r="Z44" s="37" t="n">
        <v>11165.57</v>
      </c>
      <c r="AA44" s="18" t="n">
        <v>5035.07</v>
      </c>
      <c r="AB44" s="19" t="n">
        <v>16536.45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단기차입금</t>
        </is>
      </c>
      <c r="F45" s="9" t="n"/>
      <c r="K45" s="9" t="n"/>
      <c r="N45" s="18" t="n">
        <v>73684.88</v>
      </c>
      <c r="O45" s="18" t="n">
        <v>79426.33</v>
      </c>
      <c r="P45" s="37" t="n">
        <v>79426.33</v>
      </c>
      <c r="Q45" s="18" t="n">
        <v>82808.27</v>
      </c>
      <c r="R45" s="18" t="n">
        <v>75475.61</v>
      </c>
      <c r="S45" s="18" t="n">
        <v>75473.89</v>
      </c>
      <c r="T45" s="18" t="n">
        <v>74973.21000000001</v>
      </c>
      <c r="U45" s="37" t="n">
        <v>74973.21000000001</v>
      </c>
      <c r="V45" s="18" t="n">
        <v>74850.48</v>
      </c>
      <c r="W45" s="18" t="n">
        <v>73797.34</v>
      </c>
      <c r="X45" s="18" t="n">
        <v>83098.69</v>
      </c>
      <c r="Y45" s="18" t="n">
        <v>79602.60000000001</v>
      </c>
      <c r="Z45" s="37" t="n">
        <v>79602.60000000001</v>
      </c>
      <c r="AA45" s="18" t="n">
        <v>77289.87</v>
      </c>
      <c r="AB45" s="19" t="n">
        <v>74060.86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유동성장기부채</t>
        </is>
      </c>
      <c r="F46" s="9" t="n"/>
      <c r="K46" s="9" t="n"/>
      <c r="N46" s="18" t="n">
        <v>1142.71</v>
      </c>
      <c r="O46" s="18" t="n">
        <v>12446.36</v>
      </c>
      <c r="P46" s="37" t="n">
        <v>12446.36</v>
      </c>
      <c r="Q46" s="18" t="n">
        <v>11773.63</v>
      </c>
      <c r="R46" s="18" t="n">
        <v>10177.4</v>
      </c>
      <c r="S46" s="18" t="n">
        <v>10668.39</v>
      </c>
      <c r="T46" s="18" t="n">
        <v>11397.19</v>
      </c>
      <c r="U46" s="37" t="n">
        <v>11397.19</v>
      </c>
      <c r="V46" s="18" t="n">
        <v>12246.31</v>
      </c>
      <c r="W46" s="18" t="n">
        <v>12720.82</v>
      </c>
      <c r="X46" s="18" t="n">
        <v>1734.17</v>
      </c>
      <c r="Y46" s="18" t="n">
        <v>958.38</v>
      </c>
      <c r="Z46" s="37" t="n">
        <v>958.38</v>
      </c>
      <c r="AB46" s="19" t="n">
        <v>0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장기차입금</t>
        </is>
      </c>
      <c r="F47" s="9" t="n"/>
      <c r="K47" s="9" t="n"/>
      <c r="N47" s="18" t="n">
        <v>839.12</v>
      </c>
      <c r="O47" s="18" t="n">
        <v>742.88</v>
      </c>
      <c r="P47" s="37" t="n">
        <v>742.88</v>
      </c>
      <c r="Q47" s="18" t="n">
        <v>706.64</v>
      </c>
      <c r="R47" s="18" t="n">
        <v>1083.4</v>
      </c>
      <c r="S47" s="18" t="n">
        <v>1047.16</v>
      </c>
      <c r="T47" s="18" t="n">
        <v>798</v>
      </c>
      <c r="U47" s="37" t="n">
        <v>798</v>
      </c>
      <c r="V47" s="18" t="n">
        <v>442.9</v>
      </c>
      <c r="W47" s="18" t="n">
        <v>442.9</v>
      </c>
      <c r="X47" s="18" t="n">
        <v>392.77</v>
      </c>
      <c r="Y47" s="18" t="n">
        <v>4626.14</v>
      </c>
      <c r="Z47" s="37" t="n">
        <v>4626.14</v>
      </c>
      <c r="AA47" s="18" t="n">
        <v>4091.6</v>
      </c>
      <c r="AB47" s="19" t="n">
        <v>27381.96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총차입금</t>
        </is>
      </c>
      <c r="F48" s="9" t="n"/>
      <c r="K48" s="9" t="n"/>
      <c r="N48" s="18" t="n">
        <v>75666.71000000001</v>
      </c>
      <c r="O48" s="18" t="n">
        <v>92615.57000000001</v>
      </c>
      <c r="P48" s="37" t="n">
        <v>92615.57000000001</v>
      </c>
      <c r="Q48" s="18" t="n">
        <v>95288.53999999999</v>
      </c>
      <c r="R48" s="18" t="n">
        <v>86736.41</v>
      </c>
      <c r="S48" s="18" t="n">
        <v>87189.44</v>
      </c>
      <c r="T48" s="18" t="n">
        <v>87168.39999999999</v>
      </c>
      <c r="U48" s="37" t="n">
        <v>87168.39999999999</v>
      </c>
      <c r="V48" s="18" t="n">
        <v>87539.69</v>
      </c>
      <c r="W48" s="18" t="n">
        <v>86961.06</v>
      </c>
      <c r="X48" s="18" t="n">
        <v>85225.63</v>
      </c>
      <c r="Y48" s="18" t="n">
        <v>85187.12</v>
      </c>
      <c r="Z48" s="37" t="n">
        <v>85187.12</v>
      </c>
      <c r="AA48" s="18" t="n">
        <v>81381.47</v>
      </c>
      <c r="AB48" s="19" t="n">
        <v>101442.82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순차입금</t>
        </is>
      </c>
      <c r="F49" s="9" t="n"/>
      <c r="K49" s="9" t="n"/>
      <c r="N49" s="18" t="n">
        <v>65734.02</v>
      </c>
      <c r="O49" s="18" t="n">
        <v>87203.74000000001</v>
      </c>
      <c r="P49" s="37" t="n">
        <v>87203.74000000001</v>
      </c>
      <c r="Q49" s="18" t="n">
        <v>87400.75</v>
      </c>
      <c r="R49" s="18" t="n">
        <v>76594.14999999999</v>
      </c>
      <c r="S49" s="18" t="n">
        <v>81328.92</v>
      </c>
      <c r="T49" s="18" t="n">
        <v>81066.75999999999</v>
      </c>
      <c r="U49" s="37" t="n">
        <v>81066.75999999999</v>
      </c>
      <c r="V49" s="18" t="n">
        <v>82458.14</v>
      </c>
      <c r="W49" s="18" t="n">
        <v>81507.10000000001</v>
      </c>
      <c r="X49" s="18" t="n">
        <v>72132.3</v>
      </c>
      <c r="Y49" s="18" t="n">
        <v>77137.86</v>
      </c>
      <c r="Z49" s="37" t="n">
        <v>77137.86</v>
      </c>
      <c r="AA49" s="18" t="n">
        <v>78604.14</v>
      </c>
      <c r="AB49" s="19" t="n">
        <v>87640.52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단기투자자산(공정가치)</t>
        </is>
      </c>
      <c r="F50" s="9" t="n"/>
      <c r="K50" s="9" t="n"/>
      <c r="O50" s="18" t="n">
        <v>336.78</v>
      </c>
      <c r="P50" s="37" t="n">
        <v>336.78</v>
      </c>
      <c r="Q50" s="18" t="n">
        <v>336.78</v>
      </c>
      <c r="R50" s="18" t="n">
        <v>122.93</v>
      </c>
      <c r="S50" s="18" t="n">
        <v>121.95</v>
      </c>
      <c r="T50" s="18" t="n">
        <v>29.46</v>
      </c>
      <c r="U50" s="37" t="n">
        <v>29.46</v>
      </c>
      <c r="V50" s="18" t="n">
        <v>29.46</v>
      </c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유동리스부채</t>
        </is>
      </c>
      <c r="F51" s="9" t="n"/>
      <c r="K51" s="9" t="n"/>
      <c r="O51" s="18" t="n">
        <v>402.67</v>
      </c>
      <c r="P51" s="37" t="n">
        <v>402.67</v>
      </c>
      <c r="Q51" s="18" t="n">
        <v>392.43</v>
      </c>
      <c r="R51" s="18" t="n">
        <v>451.05</v>
      </c>
      <c r="S51" s="18" t="n">
        <v>426.05</v>
      </c>
      <c r="T51" s="18" t="n">
        <v>462.15</v>
      </c>
      <c r="U51" s="37" t="n">
        <v>462.15</v>
      </c>
      <c r="V51" s="18" t="n">
        <v>425.9</v>
      </c>
      <c r="W51" s="18" t="n">
        <v>311.56</v>
      </c>
      <c r="X51" s="18" t="n">
        <v>244.04</v>
      </c>
      <c r="Y51" s="18" t="n">
        <v>193.27</v>
      </c>
      <c r="Z51" s="37" t="n">
        <v>193.27</v>
      </c>
      <c r="AA51" s="18" t="n">
        <v>138.85</v>
      </c>
      <c r="AB51" s="19" t="n">
        <v>128.13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리스부채</t>
        </is>
      </c>
      <c r="F52" s="9" t="n"/>
      <c r="K52" s="9" t="n"/>
      <c r="O52" s="18" t="n">
        <v>710.4299999999999</v>
      </c>
      <c r="P52" s="37" t="n">
        <v>710.4299999999999</v>
      </c>
      <c r="Q52" s="18" t="n">
        <v>759.71</v>
      </c>
      <c r="R52" s="18" t="n">
        <v>852.46</v>
      </c>
      <c r="S52" s="18" t="n">
        <v>762.12</v>
      </c>
      <c r="T52" s="18" t="n">
        <v>750.13</v>
      </c>
      <c r="U52" s="37" t="n">
        <v>750.13</v>
      </c>
      <c r="V52" s="18" t="n">
        <v>631.0599999999999</v>
      </c>
      <c r="W52" s="18" t="n">
        <v>407.51</v>
      </c>
      <c r="X52" s="18" t="n">
        <v>324.62</v>
      </c>
      <c r="Y52" s="18" t="n">
        <v>298.5</v>
      </c>
      <c r="Z52" s="37" t="n">
        <v>298.5</v>
      </c>
      <c r="AA52" s="18" t="n">
        <v>236.49</v>
      </c>
      <c r="AB52" s="19" t="n">
        <v>211.4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이연법인세부채</t>
        </is>
      </c>
      <c r="F53" s="9" t="n"/>
      <c r="K53" s="9" t="n"/>
      <c r="O53" s="18" t="n">
        <v>773.13</v>
      </c>
      <c r="P53" s="37" t="n">
        <v>773.13</v>
      </c>
      <c r="Q53" s="18" t="n">
        <v>737.22</v>
      </c>
      <c r="R53" s="18" t="n">
        <v>701.3200000000001</v>
      </c>
      <c r="S53" s="18" t="n">
        <v>665.42</v>
      </c>
      <c r="T53" s="18" t="n">
        <v>629.51</v>
      </c>
      <c r="U53" s="37" t="n">
        <v>629.51</v>
      </c>
      <c r="V53" s="18" t="n">
        <v>593.61</v>
      </c>
      <c r="W53" s="18" t="n">
        <v>557.7</v>
      </c>
      <c r="X53" s="18" t="n">
        <v>2365.27</v>
      </c>
      <c r="Y53" s="18" t="n">
        <v>2337.83</v>
      </c>
      <c r="Z53" s="37" t="n">
        <v>2337.83</v>
      </c>
      <c r="AA53" s="18" t="n">
        <v>2319</v>
      </c>
      <c r="AB53" s="19" t="n">
        <v>2254.86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비유동리스부채</t>
        </is>
      </c>
      <c r="F54" s="9" t="n"/>
      <c r="K54" s="9" t="n"/>
      <c r="O54" s="18" t="n">
        <v>307.76</v>
      </c>
      <c r="P54" s="37" t="n">
        <v>307.76</v>
      </c>
      <c r="Q54" s="18" t="n">
        <v>367.28</v>
      </c>
      <c r="R54" s="18" t="n">
        <v>401.41</v>
      </c>
      <c r="S54" s="18" t="n">
        <v>336.07</v>
      </c>
      <c r="T54" s="18" t="n">
        <v>287.98</v>
      </c>
      <c r="U54" s="37" t="n">
        <v>287.98</v>
      </c>
      <c r="V54" s="18" t="n">
        <v>205.16</v>
      </c>
      <c r="W54" s="18" t="n">
        <v>95.95</v>
      </c>
      <c r="X54" s="18" t="n">
        <v>80.58</v>
      </c>
      <c r="Y54" s="18" t="n">
        <v>105.23</v>
      </c>
      <c r="Z54" s="37" t="n">
        <v>105.23</v>
      </c>
      <c r="AA54" s="18" t="n">
        <v>97.64</v>
      </c>
      <c r="AB54" s="19" t="n">
        <v>83.27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단기금융부채(face)</t>
        </is>
      </c>
      <c r="F55" s="9" t="n"/>
      <c r="K55" s="9" t="n"/>
      <c r="P55" s="9" t="n"/>
      <c r="U55" s="9" t="n"/>
      <c r="Y55" s="18" t="n">
        <v>79602.60000000001</v>
      </c>
      <c r="Z55" s="37" t="n">
        <v>79602.60000000001</v>
      </c>
      <c r="AA55" s="18" t="n">
        <v>77289.87</v>
      </c>
      <c r="AB55" s="19" t="n">
        <v>74060.86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당기법인세부채(미지급법인세)</t>
        </is>
      </c>
      <c r="F56" s="9" t="n"/>
      <c r="K56" s="9" t="n"/>
      <c r="P56" s="9" t="n"/>
      <c r="U56" s="9" t="n"/>
      <c r="Z56" s="9" t="n"/>
      <c r="AA56" s="18" t="n">
        <v>1.05</v>
      </c>
      <c r="AB56" s="19" t="n">
        <v>29.64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F57" s="9" t="n"/>
      <c r="K57" s="9" t="n"/>
      <c r="N57" s="18" t="n">
        <v>31125.15</v>
      </c>
      <c r="O57" s="18" t="n">
        <v>27924.2</v>
      </c>
      <c r="P57" s="9" t="n"/>
      <c r="Q57" s="18" t="n">
        <v>28167.21</v>
      </c>
      <c r="R57" s="18" t="n">
        <v>26005.86</v>
      </c>
      <c r="S57" s="18" t="n">
        <v>30662.72</v>
      </c>
      <c r="T57" s="18" t="n">
        <v>34336.15</v>
      </c>
      <c r="U57" s="37" t="n">
        <v>119171.94</v>
      </c>
      <c r="V57" s="18" t="n">
        <v>36645.73</v>
      </c>
      <c r="W57" s="18" t="n">
        <v>47626.54</v>
      </c>
      <c r="X57" s="18" t="n">
        <v>48514.32</v>
      </c>
      <c r="Y57" s="18" t="n">
        <v>53384.58</v>
      </c>
      <c r="Z57" s="37" t="n">
        <v>186171.17</v>
      </c>
      <c r="AA57" s="18" t="n">
        <v>50619.97</v>
      </c>
      <c r="AB57" s="19" t="n">
        <v>49136.25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F58" s="9" t="n"/>
      <c r="K58" s="9" t="n"/>
      <c r="N58" s="18" t="n">
        <v>31653.59</v>
      </c>
      <c r="O58" s="18" t="n">
        <v>31358.04</v>
      </c>
      <c r="P58" s="9" t="n"/>
      <c r="Q58" s="18" t="n">
        <v>29349.93</v>
      </c>
      <c r="R58" s="18" t="n">
        <v>30456.13</v>
      </c>
      <c r="S58" s="18" t="n">
        <v>34633.44</v>
      </c>
      <c r="T58" s="18" t="n">
        <v>38177.14</v>
      </c>
      <c r="U58" s="37" t="n">
        <v>132616.64</v>
      </c>
      <c r="V58" s="18" t="n">
        <v>39266.93</v>
      </c>
      <c r="W58" s="18" t="n">
        <v>45540.36</v>
      </c>
      <c r="X58" s="18" t="n">
        <v>46699.86</v>
      </c>
      <c r="Y58" s="18" t="n">
        <v>48572.11</v>
      </c>
      <c r="Z58" s="37" t="n">
        <v>180079.26</v>
      </c>
      <c r="AA58" s="18" t="n">
        <v>46467.94</v>
      </c>
      <c r="AB58" s="19" t="n">
        <v>44569.76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매출총이익</t>
        </is>
      </c>
      <c r="F59" s="9" t="n"/>
      <c r="K59" s="9" t="n"/>
      <c r="N59" s="18" t="n">
        <v>-528.4400000000001</v>
      </c>
      <c r="O59" s="18" t="n">
        <v>-3433.83</v>
      </c>
      <c r="P59" s="9" t="n"/>
      <c r="Q59" s="18" t="n">
        <v>-1182.71</v>
      </c>
      <c r="R59" s="18" t="n">
        <v>-4450.28</v>
      </c>
      <c r="S59" s="18" t="n">
        <v>-3970.72</v>
      </c>
      <c r="T59" s="18" t="n">
        <v>-3840.99</v>
      </c>
      <c r="U59" s="37" t="n">
        <v>-13444.7</v>
      </c>
      <c r="V59" s="18" t="n">
        <v>-2621.2</v>
      </c>
      <c r="W59" s="18" t="n">
        <v>2086.18</v>
      </c>
      <c r="X59" s="18" t="n">
        <v>1814.45</v>
      </c>
      <c r="Y59" s="18" t="n">
        <v>4812.47</v>
      </c>
      <c r="Z59" s="37" t="n">
        <v>6091.9</v>
      </c>
      <c r="AA59" s="18" t="n">
        <v>4152.04</v>
      </c>
      <c r="AB59" s="19" t="n">
        <v>4566.49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판관비</t>
        </is>
      </c>
      <c r="F60" s="9" t="n"/>
      <c r="K60" s="9" t="n"/>
      <c r="N60" s="18" t="n">
        <v>2862.67</v>
      </c>
      <c r="O60" s="18" t="n">
        <v>7376.09</v>
      </c>
      <c r="P60" s="9" t="n"/>
      <c r="Q60" s="18" t="n">
        <v>3211.59</v>
      </c>
      <c r="R60" s="18" t="n">
        <v>-3514.85</v>
      </c>
      <c r="S60" s="18" t="n">
        <v>2827</v>
      </c>
      <c r="T60" s="18" t="n">
        <v>3169.59</v>
      </c>
      <c r="U60" s="37" t="n">
        <v>5693.33</v>
      </c>
      <c r="V60" s="18" t="n">
        <v>2830.52</v>
      </c>
      <c r="W60" s="18" t="n">
        <v>503.43</v>
      </c>
      <c r="X60" s="18" t="n">
        <v>1782.58</v>
      </c>
      <c r="Y60" s="18" t="n">
        <v>2645.87</v>
      </c>
      <c r="Z60" s="37" t="n">
        <v>7762.4</v>
      </c>
      <c r="AA60" s="18" t="n">
        <v>2758.03</v>
      </c>
      <c r="AB60" s="19" t="n">
        <v>3288.29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영업이익</t>
        </is>
      </c>
      <c r="F61" s="9" t="n"/>
      <c r="K61" s="9" t="n"/>
      <c r="N61" s="18" t="n">
        <v>-3391.11</v>
      </c>
      <c r="O61" s="18" t="n">
        <v>-10809.92</v>
      </c>
      <c r="P61" s="9" t="n"/>
      <c r="Q61" s="18" t="n">
        <v>-4394.3</v>
      </c>
      <c r="R61" s="18" t="n">
        <v>-935.4299999999999</v>
      </c>
      <c r="S61" s="18" t="n">
        <v>-6797.72</v>
      </c>
      <c r="T61" s="18" t="n">
        <v>-7010.58</v>
      </c>
      <c r="U61" s="37" t="n">
        <v>-19138.03</v>
      </c>
      <c r="V61" s="18" t="n">
        <v>-5451.73</v>
      </c>
      <c r="W61" s="18" t="n">
        <v>1582.75</v>
      </c>
      <c r="X61" s="18" t="n">
        <v>31.88</v>
      </c>
      <c r="Y61" s="18" t="n">
        <v>2166.6</v>
      </c>
      <c r="Z61" s="37" t="n">
        <v>-1670.5</v>
      </c>
      <c r="AA61" s="18" t="n">
        <v>1394.01</v>
      </c>
      <c r="AB61" s="19" t="n">
        <v>1278.2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기타영업외수익</t>
        </is>
      </c>
      <c r="F62" s="9" t="n"/>
      <c r="K62" s="9" t="n"/>
      <c r="N62" s="18" t="n">
        <v>84.37</v>
      </c>
      <c r="O62" s="18" t="n">
        <v>199.88</v>
      </c>
      <c r="P62" s="9" t="n"/>
      <c r="Q62" s="18" t="n">
        <v>77.34</v>
      </c>
      <c r="R62" s="18" t="n">
        <v>125.31</v>
      </c>
      <c r="S62" s="18" t="n">
        <v>45.38</v>
      </c>
      <c r="T62" s="18" t="n">
        <v>100.75</v>
      </c>
      <c r="U62" s="37" t="n">
        <v>348.78</v>
      </c>
      <c r="V62" s="18" t="n">
        <v>433.97</v>
      </c>
      <c r="W62" s="18" t="n">
        <v>248.17</v>
      </c>
      <c r="X62" s="18" t="n">
        <v>4074.42</v>
      </c>
      <c r="Y62" s="18" t="n">
        <v>38.24</v>
      </c>
      <c r="Z62" s="37" t="n">
        <v>4794.8</v>
      </c>
      <c r="AA62" s="18" t="n">
        <v>104.82</v>
      </c>
      <c r="AB62" s="19" t="n">
        <v>73.26000000000001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기타영업외비용</t>
        </is>
      </c>
      <c r="F63" s="9" t="n"/>
      <c r="K63" s="9" t="n"/>
      <c r="N63" s="18" t="n">
        <v>110.8</v>
      </c>
      <c r="O63" s="18" t="n">
        <v>-13.94</v>
      </c>
      <c r="P63" s="9" t="n"/>
      <c r="Q63" s="18" t="n">
        <v>168.77</v>
      </c>
      <c r="R63" s="18" t="n">
        <v>92.68000000000001</v>
      </c>
      <c r="S63" s="18" t="n">
        <v>3.57</v>
      </c>
      <c r="T63" s="18" t="n">
        <v>1850.71</v>
      </c>
      <c r="U63" s="37" t="n">
        <v>2115.73</v>
      </c>
      <c r="V63" s="18" t="n">
        <v>41.65</v>
      </c>
      <c r="W63" s="18" t="n">
        <v>81.17</v>
      </c>
      <c r="X63" s="18" t="n">
        <v>4184.71</v>
      </c>
      <c r="Y63" s="18" t="n">
        <v>2264.05</v>
      </c>
      <c r="Z63" s="37" t="n">
        <v>6571.58</v>
      </c>
      <c r="AA63" s="18" t="n">
        <v>42.1</v>
      </c>
      <c r="AB63" s="19" t="n">
        <v>29.13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금융수익</t>
        </is>
      </c>
      <c r="F64" s="9" t="n"/>
      <c r="K64" s="9" t="n"/>
      <c r="N64" s="18" t="n">
        <v>409.58</v>
      </c>
      <c r="O64" s="18" t="n">
        <v>5273.77</v>
      </c>
      <c r="P64" s="9" t="n"/>
      <c r="Q64" s="18" t="n">
        <v>712.67</v>
      </c>
      <c r="R64" s="18" t="n">
        <v>1347.89</v>
      </c>
      <c r="S64" s="18" t="n">
        <v>823.34</v>
      </c>
      <c r="T64" s="18" t="n">
        <v>-835.76</v>
      </c>
      <c r="U64" s="37" t="n">
        <v>2048.14</v>
      </c>
      <c r="V64" s="18" t="n">
        <v>4.96</v>
      </c>
      <c r="W64" s="18" t="n">
        <v>7966.52</v>
      </c>
      <c r="X64" s="18" t="n">
        <v>17.51</v>
      </c>
      <c r="Y64" s="18" t="n">
        <v>376.69</v>
      </c>
      <c r="Z64" s="37" t="n">
        <v>8365.68</v>
      </c>
      <c r="AA64" s="18" t="n">
        <v>1.37</v>
      </c>
      <c r="AB64" s="19" t="n">
        <v>139.13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금융비용</t>
        </is>
      </c>
      <c r="F65" s="9" t="n"/>
      <c r="K65" s="9" t="n"/>
      <c r="N65" s="18" t="n">
        <v>1862.74</v>
      </c>
      <c r="O65" s="18" t="n">
        <v>1838.99</v>
      </c>
      <c r="P65" s="9" t="n"/>
      <c r="Q65" s="18" t="n">
        <v>1944.72</v>
      </c>
      <c r="R65" s="18" t="n">
        <v>2187.83</v>
      </c>
      <c r="S65" s="18" t="n">
        <v>2607.12</v>
      </c>
      <c r="T65" s="18" t="n">
        <v>4036.3</v>
      </c>
      <c r="U65" s="37" t="n">
        <v>10775.97</v>
      </c>
      <c r="V65" s="18" t="n">
        <v>1725.87</v>
      </c>
      <c r="W65" s="18" t="n">
        <v>1719.65</v>
      </c>
      <c r="X65" s="18" t="n">
        <v>3063.21</v>
      </c>
      <c r="Y65" s="18" t="n">
        <v>1849.33</v>
      </c>
      <c r="Z65" s="37" t="n">
        <v>8358.059999999999</v>
      </c>
      <c r="AA65" s="18" t="n">
        <v>1383.69</v>
      </c>
      <c r="AB65" s="19" t="n">
        <v>1533.64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법인세비용차감전계속사업이익</t>
        </is>
      </c>
      <c r="F66" s="9" t="n"/>
      <c r="K66" s="9" t="n"/>
      <c r="N66" s="18" t="n">
        <v>-4870.69</v>
      </c>
      <c r="O66" s="18" t="n">
        <v>-7161.32</v>
      </c>
      <c r="P66" s="9" t="n"/>
      <c r="Q66" s="18" t="n">
        <v>-5717.78</v>
      </c>
      <c r="R66" s="18" t="n">
        <v>-1742.75</v>
      </c>
      <c r="S66" s="18" t="n">
        <v>-8539.690000000001</v>
      </c>
      <c r="T66" s="18" t="n">
        <v>-13632.6</v>
      </c>
      <c r="U66" s="37" t="n">
        <v>-29632.82</v>
      </c>
      <c r="V66" s="18" t="n">
        <v>-6780.31</v>
      </c>
      <c r="W66" s="18" t="n">
        <v>7996.61</v>
      </c>
      <c r="X66" s="18" t="n">
        <v>-3124.12</v>
      </c>
      <c r="Y66" s="18" t="n">
        <v>-1531.86</v>
      </c>
      <c r="Z66" s="37" t="n">
        <v>-3439.68</v>
      </c>
      <c r="AA66" s="18" t="n">
        <v>74.41</v>
      </c>
      <c r="AB66" s="19" t="n">
        <v>-72.18000000000001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</t>
        </is>
      </c>
      <c r="F67" s="9" t="n"/>
      <c r="K67" s="9" t="n"/>
      <c r="N67" s="18" t="n">
        <v>-101.82</v>
      </c>
      <c r="O67" s="18" t="n">
        <v>-843.85</v>
      </c>
      <c r="P67" s="9" t="n"/>
      <c r="Q67" s="18" t="n">
        <v>-188.7</v>
      </c>
      <c r="R67" s="18" t="n">
        <v>1401.04</v>
      </c>
      <c r="S67" s="18" t="n">
        <v>-313.62</v>
      </c>
      <c r="T67" s="18" t="n">
        <v>-1034.31</v>
      </c>
      <c r="U67" s="37" t="n">
        <v>-135.59</v>
      </c>
      <c r="V67" s="18" t="n">
        <v>-193</v>
      </c>
      <c r="W67" s="18" t="n">
        <v>2391.91</v>
      </c>
      <c r="X67" s="18" t="n">
        <v>260.16</v>
      </c>
      <c r="Y67" s="18" t="n">
        <v>207.71</v>
      </c>
      <c r="Z67" s="37" t="n">
        <v>2666.78</v>
      </c>
      <c r="AA67" s="18" t="n">
        <v>-24.8</v>
      </c>
      <c r="AB67" s="19" t="n">
        <v>-31.54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당기순이익</t>
        </is>
      </c>
      <c r="F68" s="9" t="n"/>
      <c r="K68" s="9" t="n"/>
      <c r="N68" s="18" t="n">
        <v>-4768.87</v>
      </c>
      <c r="O68" s="18" t="n">
        <v>-6317.47</v>
      </c>
      <c r="P68" s="9" t="n"/>
      <c r="Q68" s="18" t="n">
        <v>-5529.07</v>
      </c>
      <c r="R68" s="18" t="n">
        <v>-3143.79</v>
      </c>
      <c r="S68" s="18" t="n">
        <v>-8226.07</v>
      </c>
      <c r="T68" s="18" t="n">
        <v>-12598.29</v>
      </c>
      <c r="U68" s="37" t="n">
        <v>-29497.22</v>
      </c>
      <c r="V68" s="18" t="n">
        <v>-6587.31</v>
      </c>
      <c r="W68" s="18" t="n">
        <v>5604.69</v>
      </c>
      <c r="X68" s="18" t="n">
        <v>-3384.28</v>
      </c>
      <c r="Y68" s="18" t="n">
        <v>-1739.57</v>
      </c>
      <c r="Z68" s="37" t="n">
        <v>-6106.47</v>
      </c>
      <c r="AA68" s="18" t="n">
        <v>99.2</v>
      </c>
      <c r="AB68" s="19" t="n">
        <v>-40.64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(지배주주지분)당기순이익</t>
        </is>
      </c>
      <c r="F69" s="9" t="n"/>
      <c r="K69" s="9" t="n"/>
      <c r="N69" s="18" t="n">
        <v>-4213.4</v>
      </c>
      <c r="O69" s="18" t="n">
        <v>-6080.65</v>
      </c>
      <c r="P69" s="9" t="n"/>
      <c r="Q69" s="18" t="n">
        <v>-4599.63</v>
      </c>
      <c r="R69" s="18" t="n">
        <v>-3039.27</v>
      </c>
      <c r="S69" s="18" t="n">
        <v>-7607.17</v>
      </c>
      <c r="T69" s="18" t="n">
        <v>-12255.9</v>
      </c>
      <c r="U69" s="37" t="n">
        <v>-27501.97</v>
      </c>
      <c r="V69" s="18" t="n">
        <v>-6267.78</v>
      </c>
      <c r="W69" s="18" t="n">
        <v>5949.47</v>
      </c>
      <c r="X69" s="18" t="n">
        <v>-3212.52</v>
      </c>
      <c r="Y69" s="18" t="n">
        <v>-1581.83</v>
      </c>
      <c r="Z69" s="37" t="n">
        <v>-5112.66</v>
      </c>
      <c r="AA69" s="18" t="n">
        <v>211.03</v>
      </c>
      <c r="AB69" s="19" t="n">
        <v>74.48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(비지배주주지분)당기순이익</t>
        </is>
      </c>
      <c r="F70" s="9" t="n"/>
      <c r="K70" s="9" t="n"/>
      <c r="N70" s="18" t="n">
        <v>-555.47</v>
      </c>
      <c r="O70" s="18" t="n">
        <v>-236.82</v>
      </c>
      <c r="P70" s="9" t="n"/>
      <c r="Q70" s="18" t="n">
        <v>-929.45</v>
      </c>
      <c r="R70" s="18" t="n">
        <v>-104.52</v>
      </c>
      <c r="S70" s="18" t="n">
        <v>-618.9</v>
      </c>
      <c r="T70" s="18" t="n">
        <v>-342.39</v>
      </c>
      <c r="U70" s="37" t="n">
        <v>-1995.26</v>
      </c>
      <c r="V70" s="18" t="n">
        <v>-319.53</v>
      </c>
      <c r="W70" s="18" t="n">
        <v>-344.78</v>
      </c>
      <c r="X70" s="18" t="n">
        <v>-171.76</v>
      </c>
      <c r="Y70" s="18" t="n">
        <v>-157.74</v>
      </c>
      <c r="Z70" s="37" t="n">
        <v>-993.8099999999999</v>
      </c>
      <c r="AA70" s="18" t="n">
        <v>-111.83</v>
      </c>
      <c r="AB70" s="19" t="n">
        <v>-115.11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총포괄손익</t>
        </is>
      </c>
      <c r="F71" s="9" t="n"/>
      <c r="K71" s="9" t="n"/>
      <c r="N71" s="18" t="n">
        <v>-4770.31</v>
      </c>
      <c r="O71" s="18" t="n">
        <v>-6665.81</v>
      </c>
      <c r="P71" s="9" t="n"/>
      <c r="Q71" s="18" t="n">
        <v>-7718.71</v>
      </c>
      <c r="R71" s="18" t="n">
        <v>-2900.18</v>
      </c>
      <c r="S71" s="18" t="n">
        <v>-7487.15</v>
      </c>
      <c r="T71" s="18" t="n">
        <v>-14150.75</v>
      </c>
      <c r="U71" s="37" t="n">
        <v>-32256.79</v>
      </c>
      <c r="V71" s="18" t="n">
        <v>-6718.31</v>
      </c>
      <c r="W71" s="18" t="n">
        <v>5335.36</v>
      </c>
      <c r="X71" s="18" t="n">
        <v>13430.12</v>
      </c>
      <c r="Y71" s="18" t="n">
        <v>-4082.12</v>
      </c>
      <c r="Z71" s="37" t="n">
        <v>7965.05</v>
      </c>
      <c r="AA71" s="18" t="n">
        <v>-766.47</v>
      </c>
      <c r="AB71" s="19" t="n">
        <v>451.97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금융손익</t>
        </is>
      </c>
      <c r="F72" s="9" t="n"/>
      <c r="K72" s="9" t="n"/>
      <c r="N72" s="18" t="n">
        <v>-1453.16</v>
      </c>
      <c r="O72" s="18" t="n">
        <v>3434.78</v>
      </c>
      <c r="P72" s="9" t="n"/>
      <c r="Q72" s="18" t="n">
        <v>-1232.05</v>
      </c>
      <c r="R72" s="18" t="n">
        <v>-839.9400000000001</v>
      </c>
      <c r="S72" s="18" t="n">
        <v>-1783.78</v>
      </c>
      <c r="T72" s="18" t="n">
        <v>-4872.06</v>
      </c>
      <c r="U72" s="37" t="n">
        <v>-8727.83</v>
      </c>
      <c r="V72" s="18" t="n">
        <v>-1720.91</v>
      </c>
      <c r="W72" s="18" t="n">
        <v>6246.87</v>
      </c>
      <c r="X72" s="18" t="n">
        <v>-3045.7</v>
      </c>
      <c r="Y72" s="18" t="n">
        <v>-1472.64</v>
      </c>
      <c r="Z72" s="37" t="n">
        <v>7.62</v>
      </c>
      <c r="AA72" s="18" t="n">
        <v>-1382.32</v>
      </c>
      <c r="AB72" s="19" t="n">
        <v>-1394.51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기타영업외손익</t>
        </is>
      </c>
      <c r="F73" s="9" t="n"/>
      <c r="K73" s="9" t="n"/>
      <c r="N73" s="18" t="n">
        <v>-26.43</v>
      </c>
      <c r="O73" s="18" t="n">
        <v>213.82</v>
      </c>
      <c r="P73" s="9" t="n"/>
      <c r="Q73" s="18" t="n">
        <v>-91.43000000000001</v>
      </c>
      <c r="R73" s="18" t="n">
        <v>32.63</v>
      </c>
      <c r="S73" s="18" t="n">
        <v>41.81</v>
      </c>
      <c r="T73" s="18" t="n">
        <v>-1749.96</v>
      </c>
      <c r="U73" s="37" t="n">
        <v>-1766.95</v>
      </c>
      <c r="V73" s="18" t="n">
        <v>392.32</v>
      </c>
      <c r="W73" s="18" t="n">
        <v>167</v>
      </c>
      <c r="X73" s="18" t="n">
        <v>-110.29</v>
      </c>
      <c r="Y73" s="18" t="n">
        <v>-2225.81</v>
      </c>
      <c r="Z73" s="37" t="n">
        <v>-1776.78</v>
      </c>
      <c r="AA73" s="18" t="n">
        <v>62.72</v>
      </c>
      <c r="AB73" s="19" t="n">
        <v>44.13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계속사업이익</t>
        </is>
      </c>
      <c r="F74" s="9" t="n"/>
      <c r="K74" s="9" t="n"/>
      <c r="N74" s="18" t="n">
        <v>-4768.87</v>
      </c>
      <c r="O74" s="18" t="n">
        <v>-6317.47</v>
      </c>
      <c r="P74" s="9" t="n"/>
      <c r="Q74" s="18" t="n">
        <v>-5529.07</v>
      </c>
      <c r="R74" s="18" t="n">
        <v>-3143.79</v>
      </c>
      <c r="S74" s="18" t="n">
        <v>-8226.07</v>
      </c>
      <c r="T74" s="18" t="n">
        <v>-12598.29</v>
      </c>
      <c r="U74" s="37" t="n">
        <v>-29497.22</v>
      </c>
      <c r="V74" s="18" t="n">
        <v>-6587.31</v>
      </c>
      <c r="W74" s="18" t="n">
        <v>5604.69</v>
      </c>
      <c r="X74" s="18" t="n">
        <v>-3384.28</v>
      </c>
      <c r="Y74" s="18" t="n">
        <v>-1739.57</v>
      </c>
      <c r="Z74" s="37" t="n">
        <v>-6106.47</v>
      </c>
      <c r="AA74" s="18" t="n">
        <v>99.2</v>
      </c>
      <c r="AB74" s="19" t="n">
        <v>-40.64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배당금수익</t>
        </is>
      </c>
      <c r="F75" s="9" t="n"/>
      <c r="K75" s="9" t="n"/>
      <c r="P75" s="9" t="n"/>
      <c r="U75" s="9" t="n"/>
      <c r="Z75" s="9" t="n"/>
      <c r="AB75" s="19" t="n">
        <v>9.24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파생상품이익</t>
        </is>
      </c>
      <c r="F76" s="9" t="n"/>
      <c r="K76" s="9" t="n"/>
      <c r="P76" s="9" t="n"/>
      <c r="U76" s="9" t="n"/>
      <c r="Z76" s="9" t="n"/>
      <c r="AB76" s="19" t="n">
        <v>123.1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파생상품손실</t>
        </is>
      </c>
      <c r="F77" s="9" t="n"/>
      <c r="K77" s="9" t="n"/>
      <c r="P77" s="9" t="n"/>
      <c r="U77" s="9" t="n"/>
      <c r="Z77" s="9" t="n"/>
      <c r="AB77" s="19" t="n">
        <v>46.05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영업활동으로인한현금흐름</t>
        </is>
      </c>
      <c r="F78" s="9" t="n"/>
      <c r="K78" s="9" t="n"/>
      <c r="N78" s="18" t="n">
        <v>-3167.93</v>
      </c>
      <c r="O78" s="18" t="n">
        <v>-482.77</v>
      </c>
      <c r="P78" s="9" t="n"/>
      <c r="Q78" s="18" t="n">
        <v>-4439.69</v>
      </c>
      <c r="R78" s="18" t="n">
        <v>12379.25</v>
      </c>
      <c r="S78" s="18" t="n">
        <v>-3408.45</v>
      </c>
      <c r="T78" s="18" t="n">
        <v>2530.82</v>
      </c>
      <c r="U78" s="37" t="n">
        <v>7061.93</v>
      </c>
      <c r="V78" s="18" t="n">
        <v>-934.4299999999999</v>
      </c>
      <c r="W78" s="18" t="n">
        <v>2161.65</v>
      </c>
      <c r="X78" s="18" t="n">
        <v>1397.78</v>
      </c>
      <c r="Y78" s="18" t="n">
        <v>-6228.95</v>
      </c>
      <c r="Z78" s="37" t="n">
        <v>-3603.95</v>
      </c>
      <c r="AA78" s="18" t="n">
        <v>-2527.45</v>
      </c>
      <c r="AB78" s="19" t="n">
        <v>693.63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배당금수취(CF)</t>
        </is>
      </c>
      <c r="F79" s="9" t="n"/>
      <c r="K79" s="9" t="n"/>
      <c r="N79" s="18" t="n">
        <v>0</v>
      </c>
      <c r="O79" s="18" t="n">
        <v>1.6</v>
      </c>
      <c r="P79" s="9" t="n"/>
      <c r="S79" s="18" t="n">
        <v>3.2</v>
      </c>
      <c r="T79" s="18" t="n">
        <v>0</v>
      </c>
      <c r="U79" s="9" t="n"/>
      <c r="X79" s="18" t="n">
        <v>1.92</v>
      </c>
      <c r="Y79" s="18" t="n">
        <v>11.95</v>
      </c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이자수취(CF)</t>
        </is>
      </c>
      <c r="F80" s="9" t="n"/>
      <c r="K80" s="9" t="n"/>
      <c r="N80" s="18" t="n">
        <v>-0.9</v>
      </c>
      <c r="O80" s="18" t="n">
        <v>44.02</v>
      </c>
      <c r="P80" s="9" t="n"/>
      <c r="Q80" s="18" t="n">
        <v>31.24</v>
      </c>
      <c r="R80" s="18" t="n">
        <v>57.16</v>
      </c>
      <c r="S80" s="18" t="n">
        <v>30.06</v>
      </c>
      <c r="T80" s="18" t="n">
        <v>13.48</v>
      </c>
      <c r="U80" s="37" t="n">
        <v>131.94</v>
      </c>
      <c r="V80" s="18" t="n">
        <v>5.69</v>
      </c>
      <c r="W80" s="18" t="n">
        <v>1.66</v>
      </c>
      <c r="X80" s="18" t="n">
        <v>5.66</v>
      </c>
      <c r="Y80" s="18" t="n">
        <v>1.11</v>
      </c>
      <c r="Z80" s="37" t="n">
        <v>14.12</v>
      </c>
      <c r="AA80" s="18" t="n">
        <v>1.37</v>
      </c>
      <c r="AB80" s="19" t="n">
        <v>3.69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법인세납부(CF)</t>
        </is>
      </c>
      <c r="F81" s="9" t="n"/>
      <c r="K81" s="9" t="n"/>
      <c r="N81" s="18" t="n">
        <v>-0.16</v>
      </c>
      <c r="O81" s="18" t="n">
        <v>-1.6</v>
      </c>
      <c r="P81" s="9" t="n"/>
      <c r="Q81" s="18" t="n">
        <v>-14.66</v>
      </c>
      <c r="R81" s="18" t="n">
        <v>-9.449999999999999</v>
      </c>
      <c r="S81" s="18" t="n">
        <v>-7.43</v>
      </c>
      <c r="T81" s="18" t="n">
        <v>-2.15</v>
      </c>
      <c r="U81" s="37" t="n">
        <v>-33.69</v>
      </c>
      <c r="V81" s="18" t="n">
        <v>-23.59</v>
      </c>
      <c r="W81" s="18" t="n">
        <v>32.86</v>
      </c>
      <c r="X81" s="18" t="n">
        <v>-0.9</v>
      </c>
      <c r="Y81" s="18" t="n">
        <v>2.24</v>
      </c>
      <c r="Z81" s="37" t="n">
        <v>10.61</v>
      </c>
      <c r="AA81" s="18" t="n">
        <v>-0.31</v>
      </c>
      <c r="AB81" s="19" t="n">
        <v>21.77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투자활동으로인한현금흐름</t>
        </is>
      </c>
      <c r="F82" s="9" t="n"/>
      <c r="K82" s="9" t="n"/>
      <c r="N82" s="18" t="n">
        <v>-5525.92</v>
      </c>
      <c r="O82" s="18" t="n">
        <v>-8309.780000000001</v>
      </c>
      <c r="P82" s="9" t="n"/>
      <c r="Q82" s="18" t="n">
        <v>3367.83</v>
      </c>
      <c r="R82" s="18" t="n">
        <v>-999.01</v>
      </c>
      <c r="S82" s="18" t="n">
        <v>-481.4</v>
      </c>
      <c r="T82" s="18" t="n">
        <v>678.41</v>
      </c>
      <c r="U82" s="37" t="n">
        <v>2565.83</v>
      </c>
      <c r="V82" s="18" t="n">
        <v>201.77</v>
      </c>
      <c r="W82" s="18" t="n">
        <v>-522.95</v>
      </c>
      <c r="X82" s="18" t="n">
        <v>7395.16</v>
      </c>
      <c r="Y82" s="18" t="n">
        <v>-2058.34</v>
      </c>
      <c r="Z82" s="37" t="n">
        <v>5015.64</v>
      </c>
      <c r="AA82" s="18" t="n">
        <v>1039.04</v>
      </c>
      <c r="AB82" s="19" t="n">
        <v>-11095.81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유형자산의증가</t>
        </is>
      </c>
      <c r="F83" s="9" t="n"/>
      <c r="K83" s="9" t="n"/>
      <c r="N83" s="18" t="n">
        <v>609.9299999999999</v>
      </c>
      <c r="O83" s="18" t="n">
        <v>5044.6</v>
      </c>
      <c r="P83" s="9" t="n"/>
      <c r="Q83" s="18" t="n">
        <v>677.61</v>
      </c>
      <c r="R83" s="18" t="n">
        <v>227.96</v>
      </c>
      <c r="S83" s="18" t="n">
        <v>929.67</v>
      </c>
      <c r="T83" s="18" t="n">
        <v>391.87</v>
      </c>
      <c r="U83" s="37" t="n">
        <v>2227.11</v>
      </c>
      <c r="V83" s="18" t="n">
        <v>154.09</v>
      </c>
      <c r="W83" s="18" t="n">
        <v>460.05</v>
      </c>
      <c r="X83" s="18" t="n">
        <v>736.01</v>
      </c>
      <c r="Y83" s="18" t="n">
        <v>1268.09</v>
      </c>
      <c r="Z83" s="37" t="n">
        <v>2618.24</v>
      </c>
      <c r="AA83" s="18" t="n">
        <v>327.13</v>
      </c>
      <c r="AB83" s="19" t="n">
        <v>4565.02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CAPEX</t>
        </is>
      </c>
      <c r="F84" s="9" t="n"/>
      <c r="K84" s="9" t="n"/>
      <c r="N84" s="18" t="n">
        <v>609.9299999999999</v>
      </c>
      <c r="O84" s="18" t="n">
        <v>5058.06</v>
      </c>
      <c r="P84" s="9" t="n"/>
      <c r="Q84" s="18" t="n">
        <v>677.61</v>
      </c>
      <c r="R84" s="18" t="n">
        <v>227.96</v>
      </c>
      <c r="S84" s="18" t="n">
        <v>929.67</v>
      </c>
      <c r="T84" s="18" t="n">
        <v>391.87</v>
      </c>
      <c r="U84" s="37" t="n">
        <v>2227.11</v>
      </c>
      <c r="V84" s="18" t="n">
        <v>182.09</v>
      </c>
      <c r="W84" s="18" t="n">
        <v>460.05</v>
      </c>
      <c r="X84" s="18" t="n">
        <v>736.01</v>
      </c>
      <c r="Y84" s="18" t="n">
        <v>1268.09</v>
      </c>
      <c r="Z84" s="37" t="n">
        <v>2646.24</v>
      </c>
      <c r="AA84" s="18" t="n">
        <v>327.13</v>
      </c>
      <c r="AB84" s="19" t="n">
        <v>4565.02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재무활동으로인한현금흐름</t>
        </is>
      </c>
      <c r="F85" s="9" t="n"/>
      <c r="K85" s="9" t="n"/>
      <c r="N85" s="18" t="n">
        <v>16723.73</v>
      </c>
      <c r="O85" s="18" t="n">
        <v>3870.8</v>
      </c>
      <c r="P85" s="9" t="n"/>
      <c r="Q85" s="18" t="n">
        <v>2937.68</v>
      </c>
      <c r="R85" s="18" t="n">
        <v>-9116.5</v>
      </c>
      <c r="S85" s="18" t="n">
        <v>-158.52</v>
      </c>
      <c r="T85" s="18" t="n">
        <v>-720.48</v>
      </c>
      <c r="U85" s="37" t="n">
        <v>-7057.82</v>
      </c>
      <c r="V85" s="18" t="n">
        <v>-287.43</v>
      </c>
      <c r="W85" s="18" t="n">
        <v>-1266.3</v>
      </c>
      <c r="X85" s="18" t="n">
        <v>-1153.56</v>
      </c>
      <c r="Y85" s="18" t="n">
        <v>3050.97</v>
      </c>
      <c r="Z85" s="37" t="n">
        <v>343.68</v>
      </c>
      <c r="AA85" s="18" t="n">
        <v>-3867.2</v>
      </c>
      <c r="AB85" s="19" t="n">
        <v>19999.9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단기차입금의증가</t>
        </is>
      </c>
      <c r="F86" s="9" t="n"/>
      <c r="K86" s="9" t="n"/>
      <c r="N86" s="18" t="n">
        <v>730.75</v>
      </c>
      <c r="O86" s="18" t="n">
        <v>23162.54</v>
      </c>
      <c r="P86" s="9" t="n"/>
      <c r="Q86" s="18" t="n">
        <v>18077.94</v>
      </c>
      <c r="R86" s="18" t="n">
        <v>501.6</v>
      </c>
      <c r="S86" s="18" t="n">
        <v>11318.52</v>
      </c>
      <c r="T86" s="18" t="n">
        <v>16225</v>
      </c>
      <c r="U86" s="37" t="n">
        <v>46123.06</v>
      </c>
      <c r="V86" s="18" t="n">
        <v>18726.62</v>
      </c>
      <c r="W86" s="18" t="n">
        <v>31177.49</v>
      </c>
      <c r="X86" s="18" t="n">
        <v>24613.54</v>
      </c>
      <c r="Y86" s="18" t="n">
        <v>35936.34</v>
      </c>
      <c r="Z86" s="37" t="n">
        <v>110453.99</v>
      </c>
      <c r="AA86" s="18" t="n">
        <v>30375.63</v>
      </c>
      <c r="AB86" s="19" t="n">
        <v>41927.78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단기차입금의감소</t>
        </is>
      </c>
      <c r="F87" s="9" t="n"/>
      <c r="K87" s="9" t="n"/>
      <c r="N87" s="18" t="n">
        <v>279.87</v>
      </c>
      <c r="O87" s="18" t="n">
        <v>17421.08</v>
      </c>
      <c r="P87" s="9" t="n"/>
      <c r="Q87" s="18" t="n">
        <v>14695.99</v>
      </c>
      <c r="R87" s="18" t="n">
        <v>7834.27</v>
      </c>
      <c r="S87" s="18" t="n">
        <v>11320.24</v>
      </c>
      <c r="T87" s="18" t="n">
        <v>16725.67</v>
      </c>
      <c r="U87" s="37" t="n">
        <v>50576.17</v>
      </c>
      <c r="V87" s="18" t="n">
        <v>18849.35</v>
      </c>
      <c r="W87" s="18" t="n">
        <v>32355.1</v>
      </c>
      <c r="X87" s="18" t="n">
        <v>15187.73</v>
      </c>
      <c r="Y87" s="18" t="n">
        <v>42712.17</v>
      </c>
      <c r="Z87" s="37" t="n">
        <v>109104.35</v>
      </c>
      <c r="AA87" s="18" t="n">
        <v>33215</v>
      </c>
      <c r="AB87" s="19" t="n">
        <v>51777.45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장기차입금의감소</t>
        </is>
      </c>
      <c r="F88" s="9" t="n"/>
      <c r="K88" s="9" t="n"/>
      <c r="N88" s="18" t="n">
        <v>247.99</v>
      </c>
      <c r="O88" s="18" t="n">
        <v>546.24</v>
      </c>
      <c r="P88" s="9" t="n"/>
      <c r="Q88" s="18" t="n">
        <v>54.64</v>
      </c>
      <c r="R88" s="18" t="n">
        <v>45.59</v>
      </c>
      <c r="S88" s="18" t="n">
        <v>36.24</v>
      </c>
      <c r="T88" s="18" t="n">
        <v>556.24</v>
      </c>
      <c r="U88" s="37" t="n">
        <v>692.71</v>
      </c>
      <c r="V88" s="18" t="n">
        <v>36.24</v>
      </c>
      <c r="Z88" s="9" t="n"/>
      <c r="AA88" s="18" t="n">
        <v>39.99</v>
      </c>
      <c r="AB88" s="19" t="n">
        <v>88.98999999999999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현금및현금성자산의증감</t>
        </is>
      </c>
      <c r="F89" s="9" t="n"/>
      <c r="K89" s="9" t="n"/>
      <c r="N89" s="18" t="n">
        <v>8029.87</v>
      </c>
      <c r="O89" s="18" t="n">
        <v>-4921.74</v>
      </c>
      <c r="P89" s="9" t="n"/>
      <c r="Q89" s="18" t="n">
        <v>1865.83</v>
      </c>
      <c r="R89" s="18" t="n">
        <v>2263.73</v>
      </c>
      <c r="S89" s="18" t="n">
        <v>-4048.37</v>
      </c>
      <c r="T89" s="18" t="n">
        <v>2488.75</v>
      </c>
      <c r="U89" s="37" t="n">
        <v>2569.94</v>
      </c>
      <c r="V89" s="18" t="n">
        <v>-1020.09</v>
      </c>
      <c r="W89" s="18" t="n">
        <v>372.4</v>
      </c>
      <c r="X89" s="18" t="n">
        <v>7639.37</v>
      </c>
      <c r="Y89" s="18" t="n">
        <v>-5236.31</v>
      </c>
      <c r="Z89" s="37" t="n">
        <v>1755.37</v>
      </c>
      <c r="AA89" s="18" t="n">
        <v>-5355.61</v>
      </c>
      <c r="AB89" s="19" t="n">
        <v>9597.719999999999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기말현금및현금성자산</t>
        </is>
      </c>
      <c r="F90" s="9" t="n"/>
      <c r="K90" s="9" t="n"/>
      <c r="N90" s="18" t="n">
        <v>8029.87</v>
      </c>
      <c r="O90" s="18" t="n">
        <v>-4921.75</v>
      </c>
      <c r="P90" s="9" t="n"/>
      <c r="Q90" s="18" t="n">
        <v>5395.63</v>
      </c>
      <c r="R90" s="18" t="n">
        <v>2263.74</v>
      </c>
      <c r="S90" s="18" t="n">
        <v>-4048.37</v>
      </c>
      <c r="T90" s="18" t="n">
        <v>2488.74</v>
      </c>
      <c r="U90" s="37" t="n">
        <v>6099.74</v>
      </c>
      <c r="V90" s="18" t="n">
        <v>5079.65</v>
      </c>
      <c r="W90" s="18" t="n">
        <v>372.4</v>
      </c>
      <c r="X90" s="18" t="n">
        <v>7639.37</v>
      </c>
      <c r="Y90" s="18" t="n">
        <v>-5236.31</v>
      </c>
      <c r="Z90" s="37" t="n">
        <v>7855.11</v>
      </c>
      <c r="AA90" s="18" t="n">
        <v>2499.51</v>
      </c>
      <c r="AB90" s="19" t="n">
        <v>9597.709999999999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유형자산의감소</t>
        </is>
      </c>
      <c r="F91" s="9" t="n"/>
      <c r="K91" s="9" t="n"/>
      <c r="P91" s="9" t="n"/>
      <c r="Q91" s="18" t="n">
        <v>24</v>
      </c>
      <c r="R91" s="18" t="n">
        <v>43.73</v>
      </c>
      <c r="S91" s="18" t="n">
        <v>65.59</v>
      </c>
      <c r="T91" s="18" t="n">
        <v>0</v>
      </c>
      <c r="U91" s="37" t="n">
        <v>133.32</v>
      </c>
      <c r="V91" s="18" t="n">
        <v>352</v>
      </c>
      <c r="W91" s="18" t="n">
        <v>145.25</v>
      </c>
      <c r="X91" s="18" t="n">
        <v>5961.91</v>
      </c>
      <c r="Y91" s="18" t="n">
        <v>32.18</v>
      </c>
      <c r="Z91" s="37" t="n">
        <v>6491.34</v>
      </c>
      <c r="AA91" s="18" t="n">
        <v>5.64</v>
      </c>
      <c r="AB91" s="19" t="n">
        <v>1.7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장기차입금의증가</t>
        </is>
      </c>
      <c r="F92" s="9" t="n"/>
      <c r="K92" s="9" t="n"/>
      <c r="P92" s="9" t="n"/>
      <c r="S92" s="18" t="n">
        <v>0</v>
      </c>
      <c r="T92" s="18" t="n">
        <v>520</v>
      </c>
      <c r="U92" s="9" t="n"/>
      <c r="Z92" s="9" t="n"/>
      <c r="AA92" s="18" t="n">
        <v>32.1</v>
      </c>
      <c r="AB92" s="19" t="n">
        <v>30000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무형자산의증가</t>
        </is>
      </c>
      <c r="F93" s="9" t="n"/>
      <c r="K93" s="9" t="n"/>
      <c r="P93" s="9" t="n"/>
      <c r="U93" s="9" t="n"/>
      <c r="V93" s="18" t="n">
        <v>28</v>
      </c>
      <c r="W93" s="18" t="n">
        <v>0</v>
      </c>
      <c r="X93" s="18" t="n">
        <v>0</v>
      </c>
      <c r="Y93" s="18" t="n">
        <v>0</v>
      </c>
      <c r="Z93" s="37" t="n">
        <v>28</v>
      </c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화인베스틸(별)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76618.87</v>
      </c>
      <c r="F5" s="37" t="n">
        <v>76618.87</v>
      </c>
      <c r="G5" s="18" t="n">
        <v>71249.67999999999</v>
      </c>
      <c r="H5" s="18" t="n">
        <v>67165.39</v>
      </c>
      <c r="I5" s="18" t="n">
        <v>74556.08</v>
      </c>
      <c r="J5" s="18" t="n">
        <v>78946.83</v>
      </c>
      <c r="K5" s="37" t="n">
        <v>78946.83</v>
      </c>
      <c r="L5" s="18" t="n">
        <v>70165.67999999999</v>
      </c>
      <c r="M5" s="18" t="n">
        <v>68759.5</v>
      </c>
      <c r="N5" s="18" t="n">
        <v>67419.53999999999</v>
      </c>
      <c r="O5" s="18" t="n">
        <v>64638.05</v>
      </c>
      <c r="P5" s="37" t="n">
        <v>64638.05</v>
      </c>
      <c r="Q5" s="18" t="n">
        <v>59298.97</v>
      </c>
      <c r="R5" s="18" t="n">
        <v>59606.47</v>
      </c>
      <c r="S5" s="18" t="n">
        <v>45440.73</v>
      </c>
      <c r="T5" s="18" t="n">
        <v>40903.14</v>
      </c>
      <c r="U5" s="37" t="n">
        <v>40903.14</v>
      </c>
      <c r="V5" s="18" t="n">
        <v>47270.01</v>
      </c>
      <c r="W5" s="18" t="n">
        <v>45893.3</v>
      </c>
      <c r="X5" s="18" t="n">
        <v>66350.89999999999</v>
      </c>
      <c r="Y5" s="18" t="n">
        <v>59676.67</v>
      </c>
      <c r="Z5" s="37" t="n">
        <v>59676.67</v>
      </c>
      <c r="AA5" s="18" t="n">
        <v>65331.3</v>
      </c>
      <c r="AB5" s="19" t="n">
        <v>87978.69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1301.24</v>
      </c>
      <c r="F6" s="37" t="n">
        <v>1301.24</v>
      </c>
      <c r="G6" s="18" t="n">
        <v>406.48</v>
      </c>
      <c r="H6" s="18" t="n">
        <v>932.3099999999999</v>
      </c>
      <c r="I6" s="18" t="n">
        <v>1139.25</v>
      </c>
      <c r="J6" s="18" t="n">
        <v>4491.94</v>
      </c>
      <c r="K6" s="37" t="n">
        <v>4491.94</v>
      </c>
      <c r="L6" s="18" t="n">
        <v>3339.27</v>
      </c>
      <c r="M6" s="18" t="n">
        <v>421.68</v>
      </c>
      <c r="N6" s="18" t="n">
        <v>210.28</v>
      </c>
      <c r="O6" s="18" t="n">
        <v>339.06</v>
      </c>
      <c r="P6" s="37" t="n">
        <v>339.06</v>
      </c>
      <c r="Q6" s="18" t="n">
        <v>440.82</v>
      </c>
      <c r="R6" s="18" t="n">
        <v>3938.09</v>
      </c>
      <c r="S6" s="18" t="n">
        <v>531.53</v>
      </c>
      <c r="T6" s="18" t="n">
        <v>3740.24</v>
      </c>
      <c r="U6" s="37" t="n">
        <v>3740.24</v>
      </c>
      <c r="V6" s="18" t="n">
        <v>3778.3</v>
      </c>
      <c r="W6" s="18" t="n">
        <v>4084.19</v>
      </c>
      <c r="X6" s="18" t="n">
        <v>11567.18</v>
      </c>
      <c r="Y6" s="18" t="n">
        <v>6191.12</v>
      </c>
      <c r="Z6" s="37" t="n">
        <v>6191.12</v>
      </c>
      <c r="AA6" s="18" t="n">
        <v>1427.71</v>
      </c>
      <c r="AB6" s="19" t="n">
        <v>11820.84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0.06</v>
      </c>
      <c r="F7" s="37" t="n">
        <v>0.06</v>
      </c>
      <c r="G7" s="18" t="n">
        <v>0.06</v>
      </c>
      <c r="H7" s="18" t="n">
        <v>0.06</v>
      </c>
      <c r="I7" s="18" t="n">
        <v>764.34</v>
      </c>
      <c r="J7" s="18" t="n">
        <v>305.92</v>
      </c>
      <c r="K7" s="37" t="n">
        <v>305.92</v>
      </c>
      <c r="L7" s="18" t="n">
        <v>802.11</v>
      </c>
      <c r="M7" s="18" t="n">
        <v>1163.79</v>
      </c>
      <c r="N7" s="18" t="n">
        <v>1481.12</v>
      </c>
      <c r="O7" s="18" t="n">
        <v>1882.02</v>
      </c>
      <c r="P7" s="37" t="n">
        <v>1882.02</v>
      </c>
      <c r="Q7" s="18" t="n">
        <v>2492.14</v>
      </c>
      <c r="R7" s="18" t="n">
        <v>2482.87</v>
      </c>
      <c r="S7" s="18" t="n">
        <v>2249.51</v>
      </c>
      <c r="T7" s="18" t="n">
        <v>1.88</v>
      </c>
      <c r="U7" s="37" t="n">
        <v>1.88</v>
      </c>
      <c r="V7" s="18" t="n">
        <v>1.89</v>
      </c>
      <c r="W7" s="18" t="n">
        <v>1.89</v>
      </c>
      <c r="X7" s="18" t="n">
        <v>1.9</v>
      </c>
      <c r="Y7" s="18" t="n">
        <v>194.13</v>
      </c>
      <c r="Z7" s="37" t="n">
        <v>194.13</v>
      </c>
      <c r="AA7" s="18" t="n">
        <v>277.8</v>
      </c>
      <c r="AB7" s="19" t="n">
        <v>1705.07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0.06</v>
      </c>
      <c r="F8" s="37" t="n">
        <v>0.06</v>
      </c>
      <c r="G8" s="18" t="n">
        <v>0.06</v>
      </c>
      <c r="H8" s="18" t="n">
        <v>0.06</v>
      </c>
      <c r="I8" s="18" t="n">
        <v>764.34</v>
      </c>
      <c r="J8" s="18" t="n">
        <v>305.92</v>
      </c>
      <c r="K8" s="37" t="n">
        <v>305.92</v>
      </c>
      <c r="L8" s="18" t="n">
        <v>802.11</v>
      </c>
      <c r="M8" s="18" t="n">
        <v>1163.79</v>
      </c>
      <c r="N8" s="18" t="n">
        <v>1481.12</v>
      </c>
      <c r="O8" s="18" t="n">
        <v>1882.02</v>
      </c>
      <c r="P8" s="37" t="n">
        <v>1882.02</v>
      </c>
      <c r="Q8" s="18" t="n">
        <v>2492.14</v>
      </c>
      <c r="R8" s="18" t="n">
        <v>2482.87</v>
      </c>
      <c r="S8" s="18" t="n">
        <v>2249.51</v>
      </c>
      <c r="T8" s="18" t="n">
        <v>1.88</v>
      </c>
      <c r="U8" s="37" t="n">
        <v>1.88</v>
      </c>
      <c r="V8" s="18" t="n">
        <v>1.89</v>
      </c>
      <c r="W8" s="18" t="n">
        <v>1.89</v>
      </c>
      <c r="X8" s="18" t="n">
        <v>1.9</v>
      </c>
      <c r="Y8" s="18" t="n">
        <v>194.13</v>
      </c>
      <c r="Z8" s="37" t="n">
        <v>194.13</v>
      </c>
      <c r="AA8" s="18" t="n">
        <v>277.8</v>
      </c>
      <c r="AB8" s="19" t="n">
        <v>1705.07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34607</v>
      </c>
      <c r="F9" s="37" t="n">
        <v>34607</v>
      </c>
      <c r="G9" s="18" t="n">
        <v>27578.88</v>
      </c>
      <c r="H9" s="18" t="n">
        <v>24043.96</v>
      </c>
      <c r="I9" s="18" t="n">
        <v>26163.63</v>
      </c>
      <c r="J9" s="18" t="n">
        <v>25018.66</v>
      </c>
      <c r="K9" s="37" t="n">
        <v>25018.66</v>
      </c>
      <c r="L9" s="18" t="n">
        <v>28603.8</v>
      </c>
      <c r="M9" s="18" t="n">
        <v>28119.84</v>
      </c>
      <c r="N9" s="18" t="n">
        <v>27671.89</v>
      </c>
      <c r="O9" s="18" t="n">
        <v>27311.27</v>
      </c>
      <c r="P9" s="37" t="n">
        <v>27311.27</v>
      </c>
      <c r="Q9" s="18" t="n">
        <v>25295.68</v>
      </c>
      <c r="R9" s="18" t="n">
        <v>28697.81</v>
      </c>
      <c r="S9" s="18" t="n">
        <v>17228.58</v>
      </c>
      <c r="T9" s="18" t="n">
        <v>19475.52</v>
      </c>
      <c r="U9" s="37" t="n">
        <v>19475.52</v>
      </c>
      <c r="V9" s="18" t="n">
        <v>21488.43</v>
      </c>
      <c r="W9" s="18" t="n">
        <v>20391.43</v>
      </c>
      <c r="X9" s="18" t="n">
        <v>25395.91</v>
      </c>
      <c r="Y9" s="18" t="n">
        <v>19435.74</v>
      </c>
      <c r="Z9" s="37" t="n">
        <v>19435.74</v>
      </c>
      <c r="AA9" s="18" t="n">
        <v>20203.12</v>
      </c>
      <c r="AB9" s="19" t="n">
        <v>26034.91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2703.72</v>
      </c>
      <c r="F10" s="37" t="n">
        <v>2703.72</v>
      </c>
      <c r="G10" s="18" t="n">
        <v>2722.15</v>
      </c>
      <c r="H10" s="18" t="n">
        <v>2647.12</v>
      </c>
      <c r="I10" s="18" t="n">
        <v>3168.19</v>
      </c>
      <c r="J10" s="18" t="n">
        <v>3291.39</v>
      </c>
      <c r="K10" s="37" t="n">
        <v>3291.39</v>
      </c>
      <c r="L10" s="18" t="n">
        <v>2230.49</v>
      </c>
      <c r="M10" s="18" t="n">
        <v>2903.39</v>
      </c>
      <c r="N10" s="18" t="n">
        <v>2321.89</v>
      </c>
      <c r="O10" s="18" t="n">
        <v>2190.46</v>
      </c>
      <c r="P10" s="37" t="n">
        <v>2190.46</v>
      </c>
      <c r="Q10" s="18" t="n">
        <v>1795.46</v>
      </c>
      <c r="R10" s="18" t="n">
        <v>52.11</v>
      </c>
      <c r="S10" s="18" t="n">
        <v>311.33</v>
      </c>
      <c r="T10" s="18" t="n">
        <v>931.05</v>
      </c>
      <c r="U10" s="37" t="n">
        <v>931.05</v>
      </c>
      <c r="V10" s="18" t="n">
        <v>75.48</v>
      </c>
      <c r="W10" s="18" t="n">
        <v>2657.95</v>
      </c>
      <c r="X10" s="18" t="n">
        <v>408.07</v>
      </c>
      <c r="Y10" s="18" t="n">
        <v>1740.07</v>
      </c>
      <c r="Z10" s="37" t="n">
        <v>1740.07</v>
      </c>
      <c r="AA10" s="18" t="n">
        <v>8742.16</v>
      </c>
      <c r="AB10" s="19" t="n">
        <v>65.38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38006.86</v>
      </c>
      <c r="F11" s="37" t="n">
        <v>38006.86</v>
      </c>
      <c r="G11" s="18" t="n">
        <v>40541.19</v>
      </c>
      <c r="H11" s="18" t="n">
        <v>38775.86</v>
      </c>
      <c r="I11" s="18" t="n">
        <v>42554.55</v>
      </c>
      <c r="J11" s="18" t="n">
        <v>45440.89</v>
      </c>
      <c r="K11" s="37" t="n">
        <v>45440.89</v>
      </c>
      <c r="L11" s="18" t="n">
        <v>34775.11</v>
      </c>
      <c r="M11" s="18" t="n">
        <v>36145.19</v>
      </c>
      <c r="N11" s="18" t="n">
        <v>34597.77</v>
      </c>
      <c r="O11" s="18" t="n">
        <v>32576.48</v>
      </c>
      <c r="P11" s="37" t="n">
        <v>32576.48</v>
      </c>
      <c r="Q11" s="18" t="n">
        <v>28935.28</v>
      </c>
      <c r="R11" s="18" t="n">
        <v>24303.7</v>
      </c>
      <c r="S11" s="18" t="n">
        <v>24988.01</v>
      </c>
      <c r="T11" s="18" t="n">
        <v>16715</v>
      </c>
      <c r="U11" s="37" t="n">
        <v>16715</v>
      </c>
      <c r="V11" s="18" t="n">
        <v>21863.63</v>
      </c>
      <c r="W11" s="18" t="n">
        <v>18734.09</v>
      </c>
      <c r="X11" s="18" t="n">
        <v>28953.2</v>
      </c>
      <c r="Y11" s="18" t="n">
        <v>32090.94</v>
      </c>
      <c r="Z11" s="37" t="n">
        <v>32090.94</v>
      </c>
      <c r="AA11" s="18" t="n">
        <v>34655.61</v>
      </c>
      <c r="AB11" s="19" t="n">
        <v>48349.61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106620.06</v>
      </c>
      <c r="F12" s="37" t="n">
        <v>106620.06</v>
      </c>
      <c r="G12" s="18" t="n">
        <v>104709.19</v>
      </c>
      <c r="H12" s="18" t="n">
        <v>103085.9</v>
      </c>
      <c r="I12" s="18" t="n">
        <v>101764.84</v>
      </c>
      <c r="J12" s="18" t="n">
        <v>100676.08</v>
      </c>
      <c r="K12" s="37" t="n">
        <v>100676.08</v>
      </c>
      <c r="L12" s="18" t="n">
        <v>99006.78</v>
      </c>
      <c r="M12" s="18" t="n">
        <v>99663.09</v>
      </c>
      <c r="N12" s="18" t="n">
        <v>117572.86</v>
      </c>
      <c r="O12" s="18" t="n">
        <v>117998.24</v>
      </c>
      <c r="P12" s="37" t="n">
        <v>117998.24</v>
      </c>
      <c r="Q12" s="18" t="n">
        <v>116836.43</v>
      </c>
      <c r="R12" s="18" t="n">
        <v>114855.65</v>
      </c>
      <c r="S12" s="18" t="n">
        <v>114131.32</v>
      </c>
      <c r="T12" s="18" t="n">
        <v>107327.81</v>
      </c>
      <c r="U12" s="37" t="n">
        <v>107327.81</v>
      </c>
      <c r="V12" s="18" t="n">
        <v>105868.83</v>
      </c>
      <c r="W12" s="18" t="n">
        <v>101911.56</v>
      </c>
      <c r="X12" s="18" t="n">
        <v>113532.7</v>
      </c>
      <c r="Y12" s="18" t="n">
        <v>109010.15</v>
      </c>
      <c r="Z12" s="37" t="n">
        <v>109010.15</v>
      </c>
      <c r="AA12" s="18" t="n">
        <v>107625</v>
      </c>
      <c r="AB12" s="19" t="n">
        <v>110436.75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674.3</v>
      </c>
      <c r="F13" s="37" t="n">
        <v>674.3</v>
      </c>
      <c r="G13" s="18" t="n">
        <v>129.26</v>
      </c>
      <c r="H13" s="18" t="n">
        <v>109.26</v>
      </c>
      <c r="I13" s="18" t="n">
        <v>98.22</v>
      </c>
      <c r="J13" s="18" t="n">
        <v>223.05</v>
      </c>
      <c r="K13" s="37" t="n">
        <v>223.05</v>
      </c>
      <c r="L13" s="18" t="n">
        <v>223.21</v>
      </c>
      <c r="M13" s="18" t="n">
        <v>229.93</v>
      </c>
      <c r="N13" s="18" t="n">
        <v>6007.83</v>
      </c>
      <c r="O13" s="18" t="n">
        <v>5115.75</v>
      </c>
      <c r="P13" s="37" t="n">
        <v>5115.75</v>
      </c>
      <c r="Q13" s="18" t="n">
        <v>5125.83</v>
      </c>
      <c r="R13" s="18" t="n">
        <v>6576.44</v>
      </c>
      <c r="S13" s="18" t="n">
        <v>6585.56</v>
      </c>
      <c r="T13" s="18" t="n">
        <v>5446.16</v>
      </c>
      <c r="U13" s="37" t="n">
        <v>5446.16</v>
      </c>
      <c r="V13" s="18" t="n">
        <v>1525.48</v>
      </c>
      <c r="W13" s="18" t="n">
        <v>1563.5</v>
      </c>
      <c r="X13" s="18" t="n">
        <v>1597.74</v>
      </c>
      <c r="Y13" s="18" t="n">
        <v>273.27</v>
      </c>
      <c r="Z13" s="37" t="n">
        <v>273.27</v>
      </c>
      <c r="AA13" s="18" t="n">
        <v>305.59</v>
      </c>
      <c r="AB13" s="19" t="n">
        <v>278.91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674.3</v>
      </c>
      <c r="F14" s="37" t="n">
        <v>674.3</v>
      </c>
      <c r="G14" s="18" t="n">
        <v>129.26</v>
      </c>
      <c r="H14" s="18" t="n">
        <v>109.26</v>
      </c>
      <c r="I14" s="18" t="n">
        <v>98.22</v>
      </c>
      <c r="J14" s="18" t="n">
        <v>223.05</v>
      </c>
      <c r="K14" s="37" t="n">
        <v>223.05</v>
      </c>
      <c r="L14" s="18" t="n">
        <v>223.21</v>
      </c>
      <c r="M14" s="18" t="n">
        <v>1399.93</v>
      </c>
      <c r="N14" s="18" t="n">
        <v>20537.83</v>
      </c>
      <c r="O14" s="18" t="n">
        <v>19915.75</v>
      </c>
      <c r="P14" s="37" t="n">
        <v>19915.75</v>
      </c>
      <c r="Q14" s="18" t="n">
        <v>19925.83</v>
      </c>
      <c r="R14" s="18" t="n">
        <v>21376.44</v>
      </c>
      <c r="S14" s="18" t="n">
        <v>21385.56</v>
      </c>
      <c r="T14" s="18" t="n">
        <v>15123.06</v>
      </c>
      <c r="U14" s="37" t="n">
        <v>15123.06</v>
      </c>
      <c r="V14" s="18" t="n">
        <v>15316.82</v>
      </c>
      <c r="W14" s="18" t="n">
        <v>15354.84</v>
      </c>
      <c r="X14" s="18" t="n">
        <v>15389.08</v>
      </c>
      <c r="Y14" s="18" t="n">
        <v>11358.33</v>
      </c>
      <c r="Z14" s="37" t="n">
        <v>11358.33</v>
      </c>
      <c r="AA14" s="18" t="n">
        <v>11390.65</v>
      </c>
      <c r="AB14" s="19" t="n">
        <v>11363.97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장기매출채권및기타채권</t>
        </is>
      </c>
      <c r="E15" s="18" t="n">
        <v>95.29000000000001</v>
      </c>
      <c r="F15" s="37" t="n">
        <v>95.29000000000001</v>
      </c>
      <c r="G15" s="18" t="n">
        <v>113.41</v>
      </c>
      <c r="H15" s="18" t="n">
        <v>157.52</v>
      </c>
      <c r="I15" s="18" t="n">
        <v>632.52</v>
      </c>
      <c r="J15" s="18" t="n">
        <v>637.71</v>
      </c>
      <c r="K15" s="37" t="n">
        <v>637.71</v>
      </c>
      <c r="L15" s="18" t="n">
        <v>675.35</v>
      </c>
      <c r="M15" s="18" t="n">
        <v>675.02</v>
      </c>
      <c r="N15" s="18" t="n">
        <v>675</v>
      </c>
      <c r="O15" s="18" t="n">
        <v>678.02</v>
      </c>
      <c r="P15" s="37" t="n">
        <v>678.02</v>
      </c>
      <c r="Q15" s="18" t="n">
        <v>687.99</v>
      </c>
      <c r="R15" s="18" t="n">
        <v>719.8200000000001</v>
      </c>
      <c r="S15" s="18" t="n">
        <v>719.8</v>
      </c>
      <c r="T15" s="18" t="n">
        <v>221.36</v>
      </c>
      <c r="U15" s="37" t="n">
        <v>221.36</v>
      </c>
      <c r="V15" s="18" t="n">
        <v>183.69</v>
      </c>
      <c r="W15" s="18" t="n">
        <v>79.43000000000001</v>
      </c>
      <c r="X15" s="18" t="n">
        <v>79.43000000000001</v>
      </c>
      <c r="Y15" s="18" t="n">
        <v>135.7</v>
      </c>
      <c r="Z15" s="37" t="n">
        <v>135.7</v>
      </c>
      <c r="AA15" s="18" t="n">
        <v>146.75</v>
      </c>
      <c r="AB15" s="19" t="n">
        <v>146.75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94583.32000000001</v>
      </c>
      <c r="F16" s="37" t="n">
        <v>94583.32000000001</v>
      </c>
      <c r="G16" s="18" t="n">
        <v>93104.91</v>
      </c>
      <c r="H16" s="18" t="n">
        <v>91415.75</v>
      </c>
      <c r="I16" s="18" t="n">
        <v>89660.41</v>
      </c>
      <c r="J16" s="18" t="n">
        <v>88540.98</v>
      </c>
      <c r="K16" s="37" t="n">
        <v>88540.98</v>
      </c>
      <c r="L16" s="18" t="n">
        <v>86740.75999999999</v>
      </c>
      <c r="M16" s="18" t="n">
        <v>85615.12</v>
      </c>
      <c r="N16" s="18" t="n">
        <v>84188.56</v>
      </c>
      <c r="O16" s="18" t="n">
        <v>82426.7</v>
      </c>
      <c r="P16" s="37" t="n">
        <v>82426.7</v>
      </c>
      <c r="Q16" s="18" t="n">
        <v>81118.31</v>
      </c>
      <c r="R16" s="18" t="n">
        <v>79131.81</v>
      </c>
      <c r="S16" s="18" t="n">
        <v>78146.74000000001</v>
      </c>
      <c r="T16" s="18" t="n">
        <v>76686</v>
      </c>
      <c r="U16" s="37" t="n">
        <v>76686</v>
      </c>
      <c r="V16" s="18" t="n">
        <v>74953.00999999999</v>
      </c>
      <c r="W16" s="18" t="n">
        <v>73521.08</v>
      </c>
      <c r="X16" s="18" t="n">
        <v>89769.34</v>
      </c>
      <c r="Y16" s="18" t="n">
        <v>89245.19</v>
      </c>
      <c r="Z16" s="37" t="n">
        <v>89245.19</v>
      </c>
      <c r="AA16" s="18" t="n">
        <v>87840.59</v>
      </c>
      <c r="AB16" s="19" t="n">
        <v>90702.94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투자부동산</t>
        </is>
      </c>
      <c r="E17" s="18" t="n">
        <v>8682.91</v>
      </c>
      <c r="F17" s="37" t="n">
        <v>8682.91</v>
      </c>
      <c r="G17" s="18" t="n">
        <v>8670.1</v>
      </c>
      <c r="H17" s="18" t="n">
        <v>8657.290000000001</v>
      </c>
      <c r="I17" s="18" t="n">
        <v>8644.48</v>
      </c>
      <c r="J17" s="18" t="n">
        <v>8631.67</v>
      </c>
      <c r="K17" s="37" t="n">
        <v>8631.67</v>
      </c>
      <c r="L17" s="18" t="n">
        <v>8618.860000000001</v>
      </c>
      <c r="M17" s="18" t="n">
        <v>8606.059999999999</v>
      </c>
      <c r="N17" s="18" t="n">
        <v>8593.25</v>
      </c>
      <c r="O17" s="18" t="n">
        <v>10939.3</v>
      </c>
      <c r="P17" s="37" t="n">
        <v>10939.3</v>
      </c>
      <c r="Q17" s="18" t="n">
        <v>10915.38</v>
      </c>
      <c r="R17" s="18" t="n">
        <v>10891.45</v>
      </c>
      <c r="S17" s="18" t="n">
        <v>10867.53</v>
      </c>
      <c r="T17" s="18" t="n">
        <v>10843.61</v>
      </c>
      <c r="U17" s="37" t="n">
        <v>10843.61</v>
      </c>
      <c r="V17" s="18" t="n">
        <v>10819.68</v>
      </c>
      <c r="W17" s="18" t="n">
        <v>10795.76</v>
      </c>
      <c r="X17" s="18" t="n">
        <v>8110.89</v>
      </c>
      <c r="Y17" s="18" t="n">
        <v>8086.97</v>
      </c>
      <c r="Z17" s="37" t="n">
        <v>8086.97</v>
      </c>
      <c r="AA17" s="18" t="n">
        <v>8063.05</v>
      </c>
      <c r="AB17" s="19" t="n">
        <v>8039.13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무형자산</t>
        </is>
      </c>
      <c r="E18" s="18" t="n">
        <v>183.96</v>
      </c>
      <c r="F18" s="37" t="n">
        <v>183.96</v>
      </c>
      <c r="G18" s="18" t="n">
        <v>183.96</v>
      </c>
      <c r="H18" s="18" t="n">
        <v>183.96</v>
      </c>
      <c r="I18" s="18" t="n">
        <v>183.96</v>
      </c>
      <c r="J18" s="18" t="n">
        <v>183.96</v>
      </c>
      <c r="K18" s="37" t="n">
        <v>183.96</v>
      </c>
      <c r="L18" s="18" t="n">
        <v>183.96</v>
      </c>
      <c r="M18" s="18" t="n">
        <v>183.96</v>
      </c>
      <c r="N18" s="18" t="n">
        <v>183.96</v>
      </c>
      <c r="O18" s="18" t="n">
        <v>183.96</v>
      </c>
      <c r="P18" s="37" t="n">
        <v>183.96</v>
      </c>
      <c r="Q18" s="18" t="n">
        <v>183.96</v>
      </c>
      <c r="R18" s="18" t="n">
        <v>183.96</v>
      </c>
      <c r="S18" s="18" t="n">
        <v>183.96</v>
      </c>
      <c r="T18" s="18" t="n">
        <v>183.96</v>
      </c>
      <c r="U18" s="37" t="n">
        <v>183.96</v>
      </c>
      <c r="V18" s="18" t="n">
        <v>183.96</v>
      </c>
      <c r="W18" s="18" t="n">
        <v>183.96</v>
      </c>
      <c r="X18" s="18" t="n">
        <v>183.96</v>
      </c>
      <c r="Y18" s="18" t="n">
        <v>183.96</v>
      </c>
      <c r="Z18" s="37" t="n">
        <v>183.96</v>
      </c>
      <c r="AA18" s="18" t="n">
        <v>183.96</v>
      </c>
      <c r="AB18" s="19" t="n">
        <v>183.96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이연법인세자산</t>
        </is>
      </c>
      <c r="E19" s="18" t="n">
        <v>2400.29</v>
      </c>
      <c r="F19" s="37" t="n">
        <v>2400.29</v>
      </c>
      <c r="G19" s="18" t="n">
        <v>2507.55</v>
      </c>
      <c r="H19" s="18" t="n">
        <v>2562.12</v>
      </c>
      <c r="I19" s="18" t="n">
        <v>2545.26</v>
      </c>
      <c r="J19" s="18" t="n">
        <v>2458.71</v>
      </c>
      <c r="K19" s="37" t="n">
        <v>2458.71</v>
      </c>
      <c r="L19" s="18" t="n">
        <v>2564.64</v>
      </c>
      <c r="M19" s="18" t="n">
        <v>3183.01</v>
      </c>
      <c r="N19" s="18" t="n">
        <v>3284.67</v>
      </c>
      <c r="O19" s="18" t="n">
        <v>3854.5</v>
      </c>
      <c r="P19" s="37" t="n">
        <v>3854.5</v>
      </c>
      <c r="Q19" s="18" t="n">
        <v>4004.96</v>
      </c>
      <c r="R19" s="18" t="n">
        <v>2552.16</v>
      </c>
      <c r="S19" s="18" t="n">
        <v>2827.73</v>
      </c>
      <c r="T19" s="18" t="n">
        <v>4269.82</v>
      </c>
      <c r="U19" s="37" t="n">
        <v>4269.82</v>
      </c>
      <c r="V19" s="18" t="n">
        <v>4411.67</v>
      </c>
      <c r="W19" s="18" t="n">
        <v>1976.5</v>
      </c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183238.94</v>
      </c>
      <c r="F20" s="37" t="n">
        <v>183238.94</v>
      </c>
      <c r="G20" s="18" t="n">
        <v>175958.87</v>
      </c>
      <c r="H20" s="18" t="n">
        <v>170251.29</v>
      </c>
      <c r="I20" s="18" t="n">
        <v>176320.93</v>
      </c>
      <c r="J20" s="18" t="n">
        <v>179622.91</v>
      </c>
      <c r="K20" s="37" t="n">
        <v>179622.91</v>
      </c>
      <c r="L20" s="18" t="n">
        <v>169172.46</v>
      </c>
      <c r="M20" s="18" t="n">
        <v>168422.59</v>
      </c>
      <c r="N20" s="18" t="n">
        <v>184992.4</v>
      </c>
      <c r="O20" s="18" t="n">
        <v>182636.29</v>
      </c>
      <c r="P20" s="37" t="n">
        <v>182636.29</v>
      </c>
      <c r="Q20" s="18" t="n">
        <v>176135.4</v>
      </c>
      <c r="R20" s="18" t="n">
        <v>174462.12</v>
      </c>
      <c r="S20" s="18" t="n">
        <v>159572.05</v>
      </c>
      <c r="T20" s="18" t="n">
        <v>148230.95</v>
      </c>
      <c r="U20" s="37" t="n">
        <v>148230.95</v>
      </c>
      <c r="V20" s="18" t="n">
        <v>153138.84</v>
      </c>
      <c r="W20" s="18" t="n">
        <v>147804.86</v>
      </c>
      <c r="X20" s="18" t="n">
        <v>179883.6</v>
      </c>
      <c r="Y20" s="18" t="n">
        <v>168686.82</v>
      </c>
      <c r="Z20" s="37" t="n">
        <v>168686.82</v>
      </c>
      <c r="AA20" s="18" t="n">
        <v>172956.3</v>
      </c>
      <c r="AB20" s="19" t="n">
        <v>198415.43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유동부채</t>
        </is>
      </c>
      <c r="E21" s="18" t="n">
        <v>95245.46000000001</v>
      </c>
      <c r="F21" s="37" t="n">
        <v>95245.46000000001</v>
      </c>
      <c r="G21" s="18" t="n">
        <v>86135.39999999999</v>
      </c>
      <c r="H21" s="18" t="n">
        <v>82372.42</v>
      </c>
      <c r="I21" s="18" t="n">
        <v>91532.42</v>
      </c>
      <c r="J21" s="18" t="n">
        <v>98773.91</v>
      </c>
      <c r="K21" s="37" t="n">
        <v>98773.91</v>
      </c>
      <c r="L21" s="18" t="n">
        <v>91023.52</v>
      </c>
      <c r="M21" s="18" t="n">
        <v>93923.81</v>
      </c>
      <c r="N21" s="18" t="n">
        <v>90246.94</v>
      </c>
      <c r="O21" s="18" t="n">
        <v>115884.38</v>
      </c>
      <c r="P21" s="37" t="n">
        <v>115884.38</v>
      </c>
      <c r="Q21" s="18" t="n">
        <v>112053.39</v>
      </c>
      <c r="R21" s="18" t="n">
        <v>112709.77</v>
      </c>
      <c r="S21" s="18" t="n">
        <v>104267.49</v>
      </c>
      <c r="T21" s="18" t="n">
        <v>108961.82</v>
      </c>
      <c r="U21" s="37" t="n">
        <v>108961.82</v>
      </c>
      <c r="V21" s="18" t="n">
        <v>118840.02</v>
      </c>
      <c r="W21" s="18" t="n">
        <v>106951.27</v>
      </c>
      <c r="X21" s="18" t="n">
        <v>119734.59</v>
      </c>
      <c r="Y21" s="18" t="n">
        <v>104319.91</v>
      </c>
      <c r="Z21" s="37" t="n">
        <v>104319.91</v>
      </c>
      <c r="AA21" s="18" t="n">
        <v>108329.95</v>
      </c>
      <c r="AB21" s="19" t="n">
        <v>110814.9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매입채무및기타채무</t>
        </is>
      </c>
      <c r="E22" s="18" t="n">
        <v>91715.21000000001</v>
      </c>
      <c r="F22" s="37" t="n">
        <v>91715.21000000001</v>
      </c>
      <c r="G22" s="18" t="n">
        <v>83107.57000000001</v>
      </c>
      <c r="H22" s="18" t="n">
        <v>78205.12</v>
      </c>
      <c r="I22" s="18" t="n">
        <v>87980.42999999999</v>
      </c>
      <c r="J22" s="18" t="n">
        <v>94820.74000000001</v>
      </c>
      <c r="K22" s="37" t="n">
        <v>94820.74000000001</v>
      </c>
      <c r="L22" s="18" t="n">
        <v>88797.25999999999</v>
      </c>
      <c r="M22" s="18" t="n">
        <v>91434.39</v>
      </c>
      <c r="N22" s="18" t="n">
        <v>88586.07000000001</v>
      </c>
      <c r="O22" s="18" t="n">
        <v>18691.38</v>
      </c>
      <c r="P22" s="37" t="n">
        <v>18691.38</v>
      </c>
      <c r="Q22" s="18" t="n">
        <v>12282.7</v>
      </c>
      <c r="R22" s="18" t="n">
        <v>22755.79</v>
      </c>
      <c r="S22" s="18" t="n">
        <v>13762.08</v>
      </c>
      <c r="T22" s="18" t="n">
        <v>15943.76</v>
      </c>
      <c r="U22" s="37" t="n">
        <v>15943.76</v>
      </c>
      <c r="V22" s="18" t="n">
        <v>25287.86</v>
      </c>
      <c r="W22" s="18" t="n">
        <v>21874.88</v>
      </c>
      <c r="X22" s="18" t="n">
        <v>35615.68</v>
      </c>
      <c r="Y22" s="18" t="n">
        <v>24734.44</v>
      </c>
      <c r="Z22" s="37" t="n">
        <v>24734.44</v>
      </c>
      <c r="AA22" s="18" t="n">
        <v>31875.22</v>
      </c>
      <c r="AB22" s="19" t="n">
        <v>37876.73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단기차입금</t>
        </is>
      </c>
      <c r="E23" s="18" t="n">
        <v>66952.56</v>
      </c>
      <c r="F23" s="37" t="n">
        <v>66952.56</v>
      </c>
      <c r="G23" s="18" t="n">
        <v>72954.56</v>
      </c>
      <c r="H23" s="18" t="n">
        <v>52105.3</v>
      </c>
      <c r="I23" s="18" t="n">
        <v>66987.73</v>
      </c>
      <c r="J23" s="18" t="n">
        <v>66237.78999999999</v>
      </c>
      <c r="K23" s="37" t="n">
        <v>66237.78999999999</v>
      </c>
      <c r="L23" s="18" t="n">
        <v>67470.47</v>
      </c>
      <c r="M23" s="18" t="n">
        <v>72127.57000000001</v>
      </c>
      <c r="N23" s="18" t="n">
        <v>72672.67999999999</v>
      </c>
      <c r="O23" s="18" t="n">
        <v>77926.33</v>
      </c>
      <c r="P23" s="37" t="n">
        <v>77926.33</v>
      </c>
      <c r="Q23" s="18" t="n">
        <v>81428.28</v>
      </c>
      <c r="R23" s="18" t="n">
        <v>74095.61</v>
      </c>
      <c r="S23" s="18" t="n">
        <v>74093.89</v>
      </c>
      <c r="T23" s="18" t="n">
        <v>73593.21000000001</v>
      </c>
      <c r="U23" s="37" t="n">
        <v>73593.21000000001</v>
      </c>
      <c r="V23" s="18" t="n">
        <v>73590.48</v>
      </c>
      <c r="W23" s="18" t="n">
        <v>72537.34</v>
      </c>
      <c r="X23" s="18" t="n">
        <v>81838.69</v>
      </c>
      <c r="Y23" s="18" t="n">
        <v>77499.64</v>
      </c>
      <c r="Z23" s="37" t="n">
        <v>77499.64</v>
      </c>
      <c r="AA23" s="18" t="n">
        <v>75201.91</v>
      </c>
      <c r="AB23" s="5" t="n"/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유동성장기부채</t>
        </is>
      </c>
      <c r="E24" s="18" t="n">
        <v>2787.87</v>
      </c>
      <c r="F24" s="37" t="n">
        <v>2787.87</v>
      </c>
      <c r="G24" s="18" t="n">
        <v>3082.13</v>
      </c>
      <c r="H24" s="18" t="n">
        <v>7043.89</v>
      </c>
      <c r="I24" s="18" t="n">
        <v>7347.98</v>
      </c>
      <c r="J24" s="18" t="n">
        <v>7665.2</v>
      </c>
      <c r="K24" s="37" t="n">
        <v>7665.2</v>
      </c>
      <c r="L24" s="18" t="n">
        <v>7988.82</v>
      </c>
      <c r="M24" s="18" t="n">
        <v>3923.12</v>
      </c>
      <c r="N24" s="18" t="n">
        <v>3812.18</v>
      </c>
      <c r="O24" s="18" t="n">
        <v>11753.65</v>
      </c>
      <c r="P24" s="37" t="n">
        <v>11753.65</v>
      </c>
      <c r="Q24" s="18" t="n">
        <v>11099.32</v>
      </c>
      <c r="R24" s="18" t="n">
        <v>9732.440000000001</v>
      </c>
      <c r="S24" s="18" t="n">
        <v>10223.43</v>
      </c>
      <c r="T24" s="18" t="n">
        <v>10739.31</v>
      </c>
      <c r="U24" s="37" t="n">
        <v>10739.31</v>
      </c>
      <c r="V24" s="18" t="n">
        <v>11269.57</v>
      </c>
      <c r="W24" s="18" t="n">
        <v>11832.32</v>
      </c>
      <c r="X24" s="18" t="n">
        <v>907.02</v>
      </c>
      <c r="Y24" s="18" t="n">
        <v>958.38</v>
      </c>
      <c r="Z24" s="37" t="n">
        <v>958.38</v>
      </c>
      <c r="AB24" s="19" t="n">
        <v>0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유동리스부채</t>
        </is>
      </c>
      <c r="E25" s="18" t="n">
        <v>64.95999999999999</v>
      </c>
      <c r="F25" s="37" t="n">
        <v>64.95999999999999</v>
      </c>
      <c r="G25" s="18" t="n">
        <v>73.68000000000001</v>
      </c>
      <c r="H25" s="18" t="n">
        <v>109.41</v>
      </c>
      <c r="I25" s="18" t="n">
        <v>109.41</v>
      </c>
      <c r="J25" s="18" t="n">
        <v>129.82</v>
      </c>
      <c r="K25" s="37" t="n">
        <v>129.82</v>
      </c>
      <c r="L25" s="18" t="n">
        <v>156.28</v>
      </c>
      <c r="M25" s="18" t="n">
        <v>163.72</v>
      </c>
      <c r="N25" s="18" t="n">
        <v>178.15</v>
      </c>
      <c r="O25" s="18" t="n">
        <v>176.21</v>
      </c>
      <c r="P25" s="37" t="n">
        <v>176.21</v>
      </c>
      <c r="Q25" s="18" t="n">
        <v>175.72</v>
      </c>
      <c r="R25" s="18" t="n">
        <v>175.72</v>
      </c>
      <c r="S25" s="18" t="n">
        <v>174.56</v>
      </c>
      <c r="T25" s="18" t="n">
        <v>196.72</v>
      </c>
      <c r="U25" s="37" t="n">
        <v>196.72</v>
      </c>
      <c r="V25" s="18" t="n">
        <v>184.41</v>
      </c>
      <c r="W25" s="18" t="n">
        <v>164.73</v>
      </c>
      <c r="X25" s="18" t="n">
        <v>132.32</v>
      </c>
      <c r="Y25" s="18" t="n">
        <v>115.43</v>
      </c>
      <c r="Z25" s="37" t="n">
        <v>115.43</v>
      </c>
      <c r="AA25" s="18" t="n">
        <v>87.22</v>
      </c>
      <c r="AB25" s="19" t="n">
        <v>71.68000000000001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리스부채</t>
        </is>
      </c>
      <c r="E26" s="18" t="n">
        <v>296.81</v>
      </c>
      <c r="F26" s="37" t="n">
        <v>296.81</v>
      </c>
      <c r="G26" s="18" t="n">
        <v>299.47</v>
      </c>
      <c r="H26" s="18" t="n">
        <v>425.71</v>
      </c>
      <c r="I26" s="18" t="n">
        <v>400.23</v>
      </c>
      <c r="J26" s="18" t="n">
        <v>430.63</v>
      </c>
      <c r="K26" s="37" t="n">
        <v>430.63</v>
      </c>
      <c r="L26" s="18" t="n">
        <v>480.05</v>
      </c>
      <c r="M26" s="18" t="n">
        <v>468.24</v>
      </c>
      <c r="N26" s="18" t="n">
        <v>436.62</v>
      </c>
      <c r="O26" s="18" t="n">
        <v>395.69</v>
      </c>
      <c r="P26" s="37" t="n">
        <v>395.69</v>
      </c>
      <c r="Q26" s="18" t="n">
        <v>355.6</v>
      </c>
      <c r="R26" s="18" t="n">
        <v>315.39</v>
      </c>
      <c r="S26" s="18" t="n">
        <v>278.24</v>
      </c>
      <c r="T26" s="18" t="n">
        <v>275.52</v>
      </c>
      <c r="U26" s="37" t="n">
        <v>275.52</v>
      </c>
      <c r="V26" s="18" t="n">
        <v>226.15</v>
      </c>
      <c r="W26" s="18" t="n">
        <v>175.9</v>
      </c>
      <c r="X26" s="18" t="n">
        <v>132.32</v>
      </c>
      <c r="Y26" s="18" t="n">
        <v>161.83</v>
      </c>
      <c r="Z26" s="37" t="n">
        <v>161.83</v>
      </c>
      <c r="AA26" s="18" t="n">
        <v>132.09</v>
      </c>
      <c r="AB26" s="19" t="n">
        <v>109.1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단기금융부채</t>
        </is>
      </c>
      <c r="E27" s="18" t="n">
        <v>5759.24</v>
      </c>
      <c r="F27" s="37" t="n">
        <v>5759.24</v>
      </c>
      <c r="G27" s="18" t="n">
        <v>5767.96</v>
      </c>
      <c r="H27" s="18" t="n">
        <v>2986.94</v>
      </c>
      <c r="I27" s="18" t="n">
        <v>2993.64</v>
      </c>
      <c r="J27" s="18" t="n">
        <v>2143.71</v>
      </c>
      <c r="K27" s="37" t="n">
        <v>2143.71</v>
      </c>
      <c r="L27" s="18" t="n">
        <v>2154.97</v>
      </c>
      <c r="M27" s="18" t="n">
        <v>1187.93</v>
      </c>
      <c r="N27" s="18" t="n">
        <v>1172</v>
      </c>
      <c r="O27" s="18" t="n">
        <v>7102.61</v>
      </c>
      <c r="P27" s="37" t="n">
        <v>7102.61</v>
      </c>
      <c r="Q27" s="18" t="n">
        <v>7007.66</v>
      </c>
      <c r="R27" s="18" t="n">
        <v>5919.4</v>
      </c>
      <c r="S27" s="18" t="n">
        <v>5918.24</v>
      </c>
      <c r="T27" s="18" t="n">
        <v>8472.82</v>
      </c>
      <c r="U27" s="37" t="n">
        <v>8472.82</v>
      </c>
      <c r="V27" s="18" t="n">
        <v>8460.51</v>
      </c>
      <c r="W27" s="18" t="n">
        <v>467.91</v>
      </c>
      <c r="X27" s="18" t="n">
        <v>435.5</v>
      </c>
      <c r="Y27" s="18" t="n">
        <v>115.43</v>
      </c>
      <c r="Z27" s="37" t="n">
        <v>115.43</v>
      </c>
      <c r="AA27" s="18" t="n">
        <v>131.22</v>
      </c>
      <c r="AB27" s="19" t="n">
        <v>86.68000000000001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당기법인세부채(미지급법인세)</t>
        </is>
      </c>
      <c r="E28" s="18" t="n">
        <v>525.71</v>
      </c>
      <c r="F28" s="37" t="n">
        <v>525.71</v>
      </c>
      <c r="K28" s="9" t="n"/>
      <c r="P28" s="9" t="n"/>
      <c r="U28" s="9" t="n"/>
      <c r="Z28" s="9" t="n"/>
      <c r="AB28" s="19" t="n">
        <v>29.64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기타유동금융부채</t>
        </is>
      </c>
      <c r="E29" s="18" t="n">
        <v>5694.28</v>
      </c>
      <c r="F29" s="37" t="n">
        <v>5694.28</v>
      </c>
      <c r="G29" s="18" t="n">
        <v>5694.28</v>
      </c>
      <c r="H29" s="18" t="n">
        <v>2877.53</v>
      </c>
      <c r="I29" s="18" t="n">
        <v>2884.23</v>
      </c>
      <c r="J29" s="18" t="n">
        <v>2013.89</v>
      </c>
      <c r="K29" s="37" t="n">
        <v>2013.89</v>
      </c>
      <c r="L29" s="18" t="n">
        <v>1998.69</v>
      </c>
      <c r="M29" s="18" t="n">
        <v>1024.21</v>
      </c>
      <c r="N29" s="18" t="n">
        <v>993.85</v>
      </c>
      <c r="O29" s="18" t="n">
        <v>6926.4</v>
      </c>
      <c r="P29" s="37" t="n">
        <v>6926.4</v>
      </c>
      <c r="Q29" s="18" t="n">
        <v>6831.94</v>
      </c>
      <c r="R29" s="18" t="n">
        <v>5743.68</v>
      </c>
      <c r="S29" s="18" t="n">
        <v>5743.68</v>
      </c>
      <c r="T29" s="18" t="n">
        <v>8276.1</v>
      </c>
      <c r="U29" s="37" t="n">
        <v>8276.1</v>
      </c>
      <c r="V29" s="18" t="n">
        <v>8276.1</v>
      </c>
      <c r="W29" s="18" t="n">
        <v>303.18</v>
      </c>
      <c r="X29" s="18" t="n">
        <v>303.18</v>
      </c>
      <c r="Z29" s="9" t="n"/>
      <c r="AA29" s="18" t="n">
        <v>44</v>
      </c>
      <c r="AB29" s="19" t="n">
        <v>15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기타유동부채</t>
        </is>
      </c>
      <c r="E30" s="18" t="n">
        <v>157.41</v>
      </c>
      <c r="F30" s="37" t="n">
        <v>157.41</v>
      </c>
      <c r="G30" s="18" t="n">
        <v>180.7</v>
      </c>
      <c r="H30" s="18" t="n">
        <v>1289.76</v>
      </c>
      <c r="I30" s="18" t="n">
        <v>667.76</v>
      </c>
      <c r="J30" s="18" t="n">
        <v>1939.27</v>
      </c>
      <c r="K30" s="37" t="n">
        <v>1939.27</v>
      </c>
      <c r="L30" s="18" t="n">
        <v>227.56</v>
      </c>
      <c r="M30" s="18" t="n">
        <v>1465.21</v>
      </c>
      <c r="N30" s="18" t="n">
        <v>667.02</v>
      </c>
      <c r="O30" s="18" t="n">
        <v>410.41</v>
      </c>
      <c r="P30" s="37" t="n">
        <v>410.41</v>
      </c>
      <c r="Q30" s="18" t="n">
        <v>235.43</v>
      </c>
      <c r="R30" s="18" t="n">
        <v>206.52</v>
      </c>
      <c r="S30" s="18" t="n">
        <v>269.84</v>
      </c>
      <c r="T30" s="18" t="n">
        <v>212.72</v>
      </c>
      <c r="U30" s="37" t="n">
        <v>212.72</v>
      </c>
      <c r="V30" s="18" t="n">
        <v>231.6</v>
      </c>
      <c r="W30" s="18" t="n">
        <v>238.82</v>
      </c>
      <c r="X30" s="18" t="n">
        <v>937.6900000000001</v>
      </c>
      <c r="Y30" s="18" t="n">
        <v>1012.02</v>
      </c>
      <c r="Z30" s="37" t="n">
        <v>1012.02</v>
      </c>
      <c r="AA30" s="18" t="n">
        <v>1121.6</v>
      </c>
      <c r="AB30" s="19" t="n">
        <v>1027.95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8495.610000000001</v>
      </c>
      <c r="F31" s="37" t="n">
        <v>8495.610000000001</v>
      </c>
      <c r="G31" s="18" t="n">
        <v>8236.65</v>
      </c>
      <c r="H31" s="18" t="n">
        <v>4211.76</v>
      </c>
      <c r="I31" s="18" t="n">
        <v>3142.49</v>
      </c>
      <c r="J31" s="18" t="n">
        <v>2586.01</v>
      </c>
      <c r="K31" s="37" t="n">
        <v>2586.01</v>
      </c>
      <c r="L31" s="18" t="n">
        <v>2887.08</v>
      </c>
      <c r="M31" s="18" t="n">
        <v>2852.66</v>
      </c>
      <c r="N31" s="18" t="n">
        <v>24334.38</v>
      </c>
      <c r="O31" s="18" t="n">
        <v>3284.33</v>
      </c>
      <c r="P31" s="37" t="n">
        <v>3284.33</v>
      </c>
      <c r="Q31" s="18" t="n">
        <v>3535.15</v>
      </c>
      <c r="R31" s="18" t="n">
        <v>3432.15</v>
      </c>
      <c r="S31" s="18" t="n">
        <v>3775.15</v>
      </c>
      <c r="T31" s="18" t="n">
        <v>4916.92</v>
      </c>
      <c r="U31" s="37" t="n">
        <v>4916.92</v>
      </c>
      <c r="V31" s="18" t="n">
        <v>5147.92</v>
      </c>
      <c r="W31" s="18" t="n">
        <v>5189.15</v>
      </c>
      <c r="X31" s="18" t="n">
        <v>7439.25</v>
      </c>
      <c r="Y31" s="18" t="n">
        <v>11761.59</v>
      </c>
      <c r="Z31" s="37" t="n">
        <v>11761.59</v>
      </c>
      <c r="AA31" s="18" t="n">
        <v>11463.21</v>
      </c>
      <c r="AB31" s="19" t="n">
        <v>34149.94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장기매입채무및기타채무</t>
        </is>
      </c>
      <c r="E32" s="18" t="n">
        <v>5626.69</v>
      </c>
      <c r="F32" s="37" t="n">
        <v>5626.69</v>
      </c>
      <c r="G32" s="18" t="n">
        <v>5351.76</v>
      </c>
      <c r="H32" s="18" t="n">
        <v>986.89</v>
      </c>
      <c r="I32" s="18" t="n">
        <v>684.5599999999999</v>
      </c>
      <c r="J32" s="18" t="n">
        <v>600.8099999999999</v>
      </c>
      <c r="K32" s="37" t="n">
        <v>600.8099999999999</v>
      </c>
      <c r="L32" s="18" t="n">
        <v>623.77</v>
      </c>
      <c r="M32" s="18" t="n">
        <v>604.52</v>
      </c>
      <c r="N32" s="18" t="n">
        <v>8207.34</v>
      </c>
      <c r="O32" s="18" t="n">
        <v>300</v>
      </c>
      <c r="P32" s="37" t="n">
        <v>300</v>
      </c>
      <c r="Q32" s="18" t="n">
        <v>300</v>
      </c>
      <c r="R32" s="18" t="n">
        <v>300</v>
      </c>
      <c r="S32" s="18" t="n">
        <v>300</v>
      </c>
      <c r="T32" s="18" t="n">
        <v>300</v>
      </c>
      <c r="U32" s="37" t="n">
        <v>300</v>
      </c>
      <c r="V32" s="18" t="n">
        <v>300</v>
      </c>
      <c r="W32" s="18" t="n">
        <v>300</v>
      </c>
      <c r="X32" s="18" t="n">
        <v>300</v>
      </c>
      <c r="Y32" s="18" t="n">
        <v>300</v>
      </c>
      <c r="Z32" s="37" t="n">
        <v>300</v>
      </c>
      <c r="AA32" s="18" t="n">
        <v>300</v>
      </c>
      <c r="AB32" s="19" t="n">
        <v>300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기타비유동부채</t>
        </is>
      </c>
      <c r="E33" s="18" t="n">
        <v>300</v>
      </c>
      <c r="F33" s="37" t="n">
        <v>300</v>
      </c>
      <c r="G33" s="18" t="n">
        <v>300</v>
      </c>
      <c r="H33" s="18" t="n">
        <v>300</v>
      </c>
      <c r="I33" s="18" t="n">
        <v>300</v>
      </c>
      <c r="J33" s="18" t="n">
        <v>300</v>
      </c>
      <c r="K33" s="37" t="n">
        <v>300</v>
      </c>
      <c r="L33" s="18" t="n">
        <v>300</v>
      </c>
      <c r="M33" s="18" t="n">
        <v>300</v>
      </c>
      <c r="N33" s="18" t="n">
        <v>3064.77</v>
      </c>
      <c r="P33" s="9" t="n"/>
      <c r="U33" s="9" t="n"/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장기차입금</t>
        </is>
      </c>
      <c r="E34" s="18" t="n">
        <v>913.03</v>
      </c>
      <c r="F34" s="37" t="n">
        <v>913.03</v>
      </c>
      <c r="G34" s="18" t="n">
        <v>644.15</v>
      </c>
      <c r="H34" s="18" t="n">
        <v>370.59</v>
      </c>
      <c r="I34" s="18" t="n">
        <v>93.73999999999999</v>
      </c>
      <c r="K34" s="9" t="n"/>
      <c r="M34" s="18" t="n">
        <v>373.45</v>
      </c>
      <c r="P34" s="9" t="n"/>
      <c r="U34" s="9" t="n"/>
      <c r="Y34" s="18" t="n">
        <v>4333.2</v>
      </c>
      <c r="Z34" s="37" t="n">
        <v>4333.2</v>
      </c>
      <c r="AA34" s="18" t="n">
        <v>3791.55</v>
      </c>
      <c r="AB34" s="19" t="n">
        <v>27249.9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사채</t>
        </is>
      </c>
      <c r="E35" s="18" t="n">
        <v>4181.81</v>
      </c>
      <c r="F35" s="37" t="n">
        <v>4181.81</v>
      </c>
      <c r="G35" s="18" t="n">
        <v>4181.81</v>
      </c>
      <c r="K35" s="9" t="n"/>
      <c r="N35" s="18" t="n">
        <v>7648.87</v>
      </c>
      <c r="P35" s="9" t="n"/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비유동리스부채</t>
        </is>
      </c>
      <c r="E36" s="18" t="n">
        <v>231.85</v>
      </c>
      <c r="F36" s="37" t="n">
        <v>231.85</v>
      </c>
      <c r="G36" s="18" t="n">
        <v>225.79</v>
      </c>
      <c r="H36" s="18" t="n">
        <v>316.3</v>
      </c>
      <c r="I36" s="18" t="n">
        <v>290.82</v>
      </c>
      <c r="J36" s="18" t="n">
        <v>300.81</v>
      </c>
      <c r="K36" s="37" t="n">
        <v>300.81</v>
      </c>
      <c r="L36" s="18" t="n">
        <v>323.77</v>
      </c>
      <c r="M36" s="18" t="n">
        <v>304.52</v>
      </c>
      <c r="N36" s="18" t="n">
        <v>258.47</v>
      </c>
      <c r="O36" s="18" t="n">
        <v>219.48</v>
      </c>
      <c r="P36" s="37" t="n">
        <v>219.48</v>
      </c>
      <c r="Q36" s="18" t="n">
        <v>179.88</v>
      </c>
      <c r="R36" s="18" t="n">
        <v>139.67</v>
      </c>
      <c r="S36" s="18" t="n">
        <v>103.68</v>
      </c>
      <c r="T36" s="18" t="n">
        <v>78.8</v>
      </c>
      <c r="U36" s="37" t="n">
        <v>78.8</v>
      </c>
      <c r="V36" s="18" t="n">
        <v>41.74</v>
      </c>
      <c r="W36" s="18" t="n">
        <v>11.17</v>
      </c>
      <c r="Y36" s="18" t="n">
        <v>46.4</v>
      </c>
      <c r="Z36" s="37" t="n">
        <v>46.4</v>
      </c>
      <c r="AA36" s="18" t="n">
        <v>44.87</v>
      </c>
      <c r="AB36" s="19" t="n">
        <v>37.42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231.85</v>
      </c>
      <c r="F37" s="37" t="n">
        <v>231.85</v>
      </c>
      <c r="G37" s="18" t="n">
        <v>225.79</v>
      </c>
      <c r="H37" s="18" t="n">
        <v>316.3</v>
      </c>
      <c r="I37" s="18" t="n">
        <v>290.82</v>
      </c>
      <c r="J37" s="18" t="n">
        <v>300.81</v>
      </c>
      <c r="K37" s="37" t="n">
        <v>300.81</v>
      </c>
      <c r="L37" s="18" t="n">
        <v>323.77</v>
      </c>
      <c r="M37" s="18" t="n">
        <v>304.52</v>
      </c>
      <c r="N37" s="18" t="n">
        <v>13570.07</v>
      </c>
      <c r="O37" s="18" t="n">
        <v>219.48</v>
      </c>
      <c r="P37" s="37" t="n">
        <v>219.48</v>
      </c>
      <c r="Q37" s="18" t="n">
        <v>179.88</v>
      </c>
      <c r="R37" s="18" t="n">
        <v>139.67</v>
      </c>
      <c r="S37" s="18" t="n">
        <v>103.68</v>
      </c>
      <c r="T37" s="18" t="n">
        <v>78.8</v>
      </c>
      <c r="U37" s="37" t="n">
        <v>78.8</v>
      </c>
      <c r="V37" s="18" t="n">
        <v>41.74</v>
      </c>
      <c r="W37" s="18" t="n">
        <v>11.17</v>
      </c>
      <c r="Y37" s="18" t="n">
        <v>46.4</v>
      </c>
      <c r="Z37" s="37" t="n">
        <v>46.4</v>
      </c>
      <c r="AA37" s="18" t="n">
        <v>44.87</v>
      </c>
      <c r="AB37" s="19" t="n">
        <v>37.42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확정급여부채</t>
        </is>
      </c>
      <c r="E38" s="18" t="n">
        <v>2868.92</v>
      </c>
      <c r="F38" s="37" t="n">
        <v>2868.92</v>
      </c>
      <c r="G38" s="18" t="n">
        <v>2884.9</v>
      </c>
      <c r="H38" s="18" t="n">
        <v>3224.87</v>
      </c>
      <c r="I38" s="18" t="n">
        <v>2457.93</v>
      </c>
      <c r="J38" s="18" t="n">
        <v>1934.53</v>
      </c>
      <c r="K38" s="37" t="n">
        <v>1934.53</v>
      </c>
      <c r="L38" s="18" t="n">
        <v>2212.64</v>
      </c>
      <c r="M38" s="18" t="n">
        <v>2193.92</v>
      </c>
      <c r="N38" s="18" t="n">
        <v>50.67</v>
      </c>
      <c r="O38" s="18" t="n">
        <v>2709.47</v>
      </c>
      <c r="P38" s="37" t="n">
        <v>2709.47</v>
      </c>
      <c r="Q38" s="18" t="n">
        <v>2999.89</v>
      </c>
      <c r="R38" s="18" t="n">
        <v>2964.08</v>
      </c>
      <c r="S38" s="18" t="n">
        <v>3346.45</v>
      </c>
      <c r="T38" s="18" t="n">
        <v>4377.75</v>
      </c>
      <c r="U38" s="37" t="n">
        <v>4377.75</v>
      </c>
      <c r="V38" s="18" t="n">
        <v>4645.82</v>
      </c>
      <c r="W38" s="18" t="n">
        <v>4719.01</v>
      </c>
      <c r="X38" s="18" t="n">
        <v>5145.87</v>
      </c>
      <c r="Y38" s="18" t="n">
        <v>5083.64</v>
      </c>
      <c r="Z38" s="37" t="n">
        <v>5083.64</v>
      </c>
      <c r="AA38" s="18" t="n">
        <v>5309.48</v>
      </c>
      <c r="AB38" s="19" t="n">
        <v>4564.72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부채총계</t>
        </is>
      </c>
      <c r="E39" s="18" t="n">
        <v>103741.07</v>
      </c>
      <c r="F39" s="37" t="n">
        <v>103741.07</v>
      </c>
      <c r="G39" s="18" t="n">
        <v>94372.05</v>
      </c>
      <c r="H39" s="18" t="n">
        <v>86584.17999999999</v>
      </c>
      <c r="I39" s="18" t="n">
        <v>94674.91</v>
      </c>
      <c r="J39" s="18" t="n">
        <v>101359.93</v>
      </c>
      <c r="K39" s="37" t="n">
        <v>101359.93</v>
      </c>
      <c r="L39" s="18" t="n">
        <v>93910.60000000001</v>
      </c>
      <c r="M39" s="18" t="n">
        <v>96776.48</v>
      </c>
      <c r="N39" s="18" t="n">
        <v>114581.33</v>
      </c>
      <c r="O39" s="18" t="n">
        <v>119168.71</v>
      </c>
      <c r="P39" s="37" t="n">
        <v>119168.71</v>
      </c>
      <c r="Q39" s="18" t="n">
        <v>115588.54</v>
      </c>
      <c r="R39" s="18" t="n">
        <v>116141.92</v>
      </c>
      <c r="S39" s="18" t="n">
        <v>108042.64</v>
      </c>
      <c r="T39" s="18" t="n">
        <v>113878.74</v>
      </c>
      <c r="U39" s="37" t="n">
        <v>113878.74</v>
      </c>
      <c r="V39" s="18" t="n">
        <v>123987.94</v>
      </c>
      <c r="W39" s="18" t="n">
        <v>112140.42</v>
      </c>
      <c r="X39" s="18" t="n">
        <v>127173.83</v>
      </c>
      <c r="Y39" s="18" t="n">
        <v>116081.5</v>
      </c>
      <c r="Z39" s="37" t="n">
        <v>116081.5</v>
      </c>
      <c r="AA39" s="18" t="n">
        <v>119793.16</v>
      </c>
      <c r="AB39" s="19" t="n">
        <v>144964.83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자본금</t>
        </is>
      </c>
      <c r="E40" s="18" t="n">
        <v>16050</v>
      </c>
      <c r="F40" s="37" t="n">
        <v>16050</v>
      </c>
      <c r="G40" s="18" t="n">
        <v>16050</v>
      </c>
      <c r="H40" s="18" t="n">
        <v>16165.97</v>
      </c>
      <c r="I40" s="18" t="n">
        <v>16165.97</v>
      </c>
      <c r="J40" s="18" t="n">
        <v>16165.97</v>
      </c>
      <c r="K40" s="37" t="n">
        <v>16165.97</v>
      </c>
      <c r="L40" s="18" t="n">
        <v>16165.97</v>
      </c>
      <c r="M40" s="18" t="n">
        <v>16234.06</v>
      </c>
      <c r="N40" s="18" t="n">
        <v>16234.06</v>
      </c>
      <c r="O40" s="18" t="n">
        <v>16234.06</v>
      </c>
      <c r="P40" s="37" t="n">
        <v>16234.06</v>
      </c>
      <c r="Q40" s="18" t="n">
        <v>16688.06</v>
      </c>
      <c r="R40" s="18" t="n">
        <v>16688.06</v>
      </c>
      <c r="S40" s="18" t="n">
        <v>16688.06</v>
      </c>
      <c r="T40" s="18" t="n">
        <v>16688.06</v>
      </c>
      <c r="U40" s="37" t="n">
        <v>16688.06</v>
      </c>
      <c r="V40" s="18" t="n">
        <v>16688.06</v>
      </c>
      <c r="W40" s="18" t="n">
        <v>16688.06</v>
      </c>
      <c r="X40" s="18" t="n">
        <v>18732.25</v>
      </c>
      <c r="Y40" s="18" t="n">
        <v>19832.25</v>
      </c>
      <c r="Z40" s="37" t="n">
        <v>19832.25</v>
      </c>
      <c r="AA40" s="18" t="n">
        <v>19832.25</v>
      </c>
      <c r="AB40" s="19" t="n">
        <v>19832.25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자본잉여금</t>
        </is>
      </c>
      <c r="E41" s="18" t="n">
        <v>60586.78</v>
      </c>
      <c r="F41" s="37" t="n">
        <v>60586.78</v>
      </c>
      <c r="G41" s="18" t="n">
        <v>60586.78</v>
      </c>
      <c r="H41" s="18" t="n">
        <v>61209</v>
      </c>
      <c r="I41" s="18" t="n">
        <v>61209</v>
      </c>
      <c r="J41" s="18" t="n">
        <v>61209</v>
      </c>
      <c r="K41" s="37" t="n">
        <v>61209</v>
      </c>
      <c r="L41" s="18" t="n">
        <v>61209</v>
      </c>
      <c r="M41" s="18" t="n">
        <v>61460.62</v>
      </c>
      <c r="N41" s="18" t="n">
        <v>61460.62</v>
      </c>
      <c r="O41" s="18" t="n">
        <v>61460.62</v>
      </c>
      <c r="P41" s="37" t="n">
        <v>61460.62</v>
      </c>
      <c r="Q41" s="18" t="n">
        <v>62006.32</v>
      </c>
      <c r="R41" s="18" t="n">
        <v>62006.32</v>
      </c>
      <c r="S41" s="18" t="n">
        <v>62006.32</v>
      </c>
      <c r="T41" s="18" t="n">
        <v>62006.32</v>
      </c>
      <c r="U41" s="37" t="n">
        <v>62006.32</v>
      </c>
      <c r="V41" s="18" t="n">
        <v>62006.32</v>
      </c>
      <c r="W41" s="18" t="n">
        <v>62006.32</v>
      </c>
      <c r="X41" s="18" t="n">
        <v>66458.57000000001</v>
      </c>
      <c r="Y41" s="18" t="n">
        <v>69277.78999999999</v>
      </c>
      <c r="Z41" s="37" t="n">
        <v>69277.78999999999</v>
      </c>
      <c r="AA41" s="18" t="n">
        <v>69277.78999999999</v>
      </c>
      <c r="AB41" s="19" t="n">
        <v>69277.78999999999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기타자본</t>
        </is>
      </c>
      <c r="E42" s="18" t="n">
        <v>-27.83</v>
      </c>
      <c r="F42" s="37" t="n">
        <v>-27.83</v>
      </c>
      <c r="G42" s="18" t="n">
        <v>-12.04</v>
      </c>
      <c r="H42" s="18" t="n">
        <v>-27.64</v>
      </c>
      <c r="I42" s="18" t="n">
        <v>-36.25</v>
      </c>
      <c r="J42" s="18" t="n">
        <v>-30.26</v>
      </c>
      <c r="K42" s="37" t="n">
        <v>-30.26</v>
      </c>
      <c r="L42" s="18" t="n">
        <v>-30.13</v>
      </c>
      <c r="M42" s="18" t="n">
        <v>-24.82</v>
      </c>
      <c r="N42" s="18" t="n">
        <v>-26.25</v>
      </c>
      <c r="O42" s="18" t="n">
        <v>-22.58</v>
      </c>
      <c r="P42" s="37" t="n">
        <v>-22.58</v>
      </c>
      <c r="Q42" s="18" t="n">
        <v>-14.61</v>
      </c>
      <c r="R42" s="18" t="n">
        <v>-5.75</v>
      </c>
      <c r="S42" s="18" t="n">
        <v>1.46</v>
      </c>
      <c r="T42" s="18" t="n">
        <v>0.12</v>
      </c>
      <c r="U42" s="37" t="n">
        <v>0.12</v>
      </c>
      <c r="V42" s="18" t="n">
        <v>-1.02</v>
      </c>
      <c r="W42" s="18" t="n">
        <v>26.82</v>
      </c>
      <c r="X42" s="18" t="n">
        <v>13363.71</v>
      </c>
      <c r="Y42" s="18" t="n">
        <v>12138.19</v>
      </c>
      <c r="Z42" s="37" t="n">
        <v>12138.19</v>
      </c>
      <c r="AA42" s="18" t="n">
        <v>12163.4</v>
      </c>
      <c r="AB42" s="19" t="n">
        <v>12152.91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2888.91</v>
      </c>
      <c r="F43" s="37" t="n">
        <v>2888.91</v>
      </c>
      <c r="G43" s="18" t="n">
        <v>4962.07</v>
      </c>
      <c r="H43" s="18" t="n">
        <v>6319.77</v>
      </c>
      <c r="I43" s="18" t="n">
        <v>4307.29</v>
      </c>
      <c r="J43" s="18" t="n">
        <v>918.27</v>
      </c>
      <c r="K43" s="37" t="n">
        <v>918.27</v>
      </c>
      <c r="L43" s="18" t="n">
        <v>-2082.98</v>
      </c>
      <c r="M43" s="18" t="n">
        <v>-6023.74</v>
      </c>
      <c r="N43" s="18" t="n">
        <v>-7257.34</v>
      </c>
      <c r="O43" s="18" t="n">
        <v>-14204.51</v>
      </c>
      <c r="P43" s="37" t="n">
        <v>-14204.51</v>
      </c>
      <c r="Q43" s="18" t="n">
        <v>-18132.91</v>
      </c>
      <c r="R43" s="18" t="n">
        <v>-20368.43</v>
      </c>
      <c r="S43" s="18" t="n">
        <v>-27166.43</v>
      </c>
      <c r="T43" s="18" t="n">
        <v>-44342.29</v>
      </c>
      <c r="U43" s="37" t="n">
        <v>-44342.29</v>
      </c>
      <c r="V43" s="18" t="n">
        <v>-49542.47</v>
      </c>
      <c r="W43" s="18" t="n">
        <v>-43056.77</v>
      </c>
      <c r="X43" s="18" t="n">
        <v>-45844.76</v>
      </c>
      <c r="Y43" s="18" t="n">
        <v>-48642.9</v>
      </c>
      <c r="Z43" s="37" t="n">
        <v>-48642.9</v>
      </c>
      <c r="AA43" s="18" t="n">
        <v>-48110.3</v>
      </c>
      <c r="AB43" s="19" t="n">
        <v>-47812.35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자본총계</t>
        </is>
      </c>
      <c r="E44" s="18" t="n">
        <v>79497.87</v>
      </c>
      <c r="F44" s="37" t="n">
        <v>79497.87</v>
      </c>
      <c r="G44" s="18" t="n">
        <v>81586.82000000001</v>
      </c>
      <c r="H44" s="18" t="n">
        <v>83667.11</v>
      </c>
      <c r="I44" s="18" t="n">
        <v>81646.00999999999</v>
      </c>
      <c r="J44" s="18" t="n">
        <v>78262.98</v>
      </c>
      <c r="K44" s="37" t="n">
        <v>78262.98</v>
      </c>
      <c r="L44" s="18" t="n">
        <v>75261.86</v>
      </c>
      <c r="M44" s="18" t="n">
        <v>71646.12</v>
      </c>
      <c r="N44" s="18" t="n">
        <v>70411.08</v>
      </c>
      <c r="O44" s="18" t="n">
        <v>63467.58</v>
      </c>
      <c r="P44" s="37" t="n">
        <v>63467.58</v>
      </c>
      <c r="Q44" s="18" t="n">
        <v>60546.86</v>
      </c>
      <c r="R44" s="18" t="n">
        <v>58320.2</v>
      </c>
      <c r="S44" s="18" t="n">
        <v>51529.41</v>
      </c>
      <c r="T44" s="18" t="n">
        <v>34352.21</v>
      </c>
      <c r="U44" s="37" t="n">
        <v>34352.21</v>
      </c>
      <c r="V44" s="18" t="n">
        <v>29150.9</v>
      </c>
      <c r="W44" s="18" t="n">
        <v>35664.44</v>
      </c>
      <c r="X44" s="18" t="n">
        <v>52709.77</v>
      </c>
      <c r="Y44" s="18" t="n">
        <v>52605.32</v>
      </c>
      <c r="Z44" s="37" t="n">
        <v>52605.32</v>
      </c>
      <c r="AA44" s="18" t="n">
        <v>53163.14</v>
      </c>
      <c r="AB44" s="19" t="n">
        <v>53450.6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부채와자본총계</t>
        </is>
      </c>
      <c r="E45" s="18" t="n">
        <v>183238.94</v>
      </c>
      <c r="F45" s="37" t="n">
        <v>183238.94</v>
      </c>
      <c r="G45" s="18" t="n">
        <v>175958.87</v>
      </c>
      <c r="H45" s="18" t="n">
        <v>170251.29</v>
      </c>
      <c r="I45" s="18" t="n">
        <v>176320.93</v>
      </c>
      <c r="J45" s="18" t="n">
        <v>179622.91</v>
      </c>
      <c r="K45" s="37" t="n">
        <v>179622.91</v>
      </c>
      <c r="L45" s="18" t="n">
        <v>169172.46</v>
      </c>
      <c r="M45" s="18" t="n">
        <v>168422.59</v>
      </c>
      <c r="N45" s="18" t="n">
        <v>184992.4</v>
      </c>
      <c r="O45" s="18" t="n">
        <v>182636.29</v>
      </c>
      <c r="P45" s="37" t="n">
        <v>182636.29</v>
      </c>
      <c r="Q45" s="18" t="n">
        <v>176135.4</v>
      </c>
      <c r="R45" s="18" t="n">
        <v>174462.12</v>
      </c>
      <c r="S45" s="18" t="n">
        <v>159572.05</v>
      </c>
      <c r="T45" s="18" t="n">
        <v>148230.95</v>
      </c>
      <c r="U45" s="37" t="n">
        <v>148230.95</v>
      </c>
      <c r="V45" s="18" t="n">
        <v>153138.84</v>
      </c>
      <c r="W45" s="18" t="n">
        <v>147804.86</v>
      </c>
      <c r="X45" s="18" t="n">
        <v>179883.6</v>
      </c>
      <c r="Y45" s="18" t="n">
        <v>168686.82</v>
      </c>
      <c r="Z45" s="37" t="n">
        <v>168686.82</v>
      </c>
      <c r="AA45" s="18" t="n">
        <v>172956.3</v>
      </c>
      <c r="AB45" s="19" t="n">
        <v>198415.43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지배주주지분</t>
        </is>
      </c>
      <c r="E46" s="18" t="n">
        <v>79497.87</v>
      </c>
      <c r="F46" s="37" t="n">
        <v>79497.87</v>
      </c>
      <c r="G46" s="18" t="n">
        <v>81586.82000000001</v>
      </c>
      <c r="H46" s="18" t="n">
        <v>83667.11</v>
      </c>
      <c r="I46" s="18" t="n">
        <v>81646.00999999999</v>
      </c>
      <c r="J46" s="18" t="n">
        <v>78262.98</v>
      </c>
      <c r="K46" s="37" t="n">
        <v>78262.98</v>
      </c>
      <c r="L46" s="18" t="n">
        <v>75261.86</v>
      </c>
      <c r="M46" s="18" t="n">
        <v>71646.12</v>
      </c>
      <c r="N46" s="18" t="n">
        <v>70411.08</v>
      </c>
      <c r="O46" s="18" t="n">
        <v>63467.58</v>
      </c>
      <c r="P46" s="37" t="n">
        <v>63467.58</v>
      </c>
      <c r="Q46" s="18" t="n">
        <v>60546.86</v>
      </c>
      <c r="R46" s="18" t="n">
        <v>58320.2</v>
      </c>
      <c r="S46" s="18" t="n">
        <v>51529.41</v>
      </c>
      <c r="T46" s="18" t="n">
        <v>34352.21</v>
      </c>
      <c r="U46" s="37" t="n">
        <v>34352.21</v>
      </c>
      <c r="V46" s="18" t="n">
        <v>29150.9</v>
      </c>
      <c r="W46" s="18" t="n">
        <v>35664.44</v>
      </c>
      <c r="X46" s="18" t="n">
        <v>52709.77</v>
      </c>
      <c r="Y46" s="18" t="n">
        <v>52605.32</v>
      </c>
      <c r="Z46" s="37" t="n">
        <v>52605.32</v>
      </c>
      <c r="AA46" s="18" t="n">
        <v>53163.14</v>
      </c>
      <c r="AB46" s="19" t="n">
        <v>53450.6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74835.27</v>
      </c>
      <c r="F47" s="37" t="n">
        <v>74835.27</v>
      </c>
      <c r="G47" s="18" t="n">
        <v>80862.64999999999</v>
      </c>
      <c r="H47" s="18" t="n">
        <v>59519.78</v>
      </c>
      <c r="I47" s="18" t="n">
        <v>74429.45</v>
      </c>
      <c r="J47" s="18" t="n">
        <v>73902.99000000001</v>
      </c>
      <c r="K47" s="37" t="n">
        <v>73902.99000000001</v>
      </c>
      <c r="L47" s="18" t="n">
        <v>75459.28999999999</v>
      </c>
      <c r="M47" s="18" t="n">
        <v>76424.14</v>
      </c>
      <c r="N47" s="18" t="n">
        <v>84133.73</v>
      </c>
      <c r="O47" s="18" t="n">
        <v>89679.98</v>
      </c>
      <c r="P47" s="37" t="n">
        <v>89679.98</v>
      </c>
      <c r="Q47" s="18" t="n">
        <v>92527.60000000001</v>
      </c>
      <c r="R47" s="18" t="n">
        <v>83828.05</v>
      </c>
      <c r="S47" s="18" t="n">
        <v>84317.32000000001</v>
      </c>
      <c r="T47" s="18" t="n">
        <v>84332.52</v>
      </c>
      <c r="U47" s="37" t="n">
        <v>84332.52</v>
      </c>
      <c r="V47" s="18" t="n">
        <v>84860.05</v>
      </c>
      <c r="W47" s="18" t="n">
        <v>84369.66</v>
      </c>
      <c r="X47" s="18" t="n">
        <v>82745.71000000001</v>
      </c>
      <c r="Y47" s="18" t="n">
        <v>82791.22</v>
      </c>
      <c r="Z47" s="37" t="n">
        <v>82791.22</v>
      </c>
      <c r="AA47" s="18" t="n">
        <v>78993.46000000001</v>
      </c>
      <c r="AB47" s="19" t="n">
        <v>27249.9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73533.97</v>
      </c>
      <c r="F48" s="37" t="n">
        <v>73533.97</v>
      </c>
      <c r="G48" s="18" t="n">
        <v>80456.11</v>
      </c>
      <c r="H48" s="18" t="n">
        <v>58587.41</v>
      </c>
      <c r="I48" s="18" t="n">
        <v>72525.86</v>
      </c>
      <c r="J48" s="18" t="n">
        <v>69105.13</v>
      </c>
      <c r="K48" s="37" t="n">
        <v>69105.13</v>
      </c>
      <c r="L48" s="18" t="n">
        <v>71317.91</v>
      </c>
      <c r="M48" s="18" t="n">
        <v>74838.67</v>
      </c>
      <c r="N48" s="18" t="n">
        <v>82442.33</v>
      </c>
      <c r="O48" s="18" t="n">
        <v>87458.89999999999</v>
      </c>
      <c r="P48" s="37" t="n">
        <v>87458.89999999999</v>
      </c>
      <c r="Q48" s="18" t="n">
        <v>89594.64</v>
      </c>
      <c r="R48" s="18" t="n">
        <v>77407.09</v>
      </c>
      <c r="S48" s="18" t="n">
        <v>81536.28</v>
      </c>
      <c r="T48" s="18" t="n">
        <v>80590.39999999999</v>
      </c>
      <c r="U48" s="37" t="n">
        <v>80590.39999999999</v>
      </c>
      <c r="V48" s="18" t="n">
        <v>81079.86</v>
      </c>
      <c r="W48" s="18" t="n">
        <v>80283.58</v>
      </c>
      <c r="X48" s="18" t="n">
        <v>71176.63</v>
      </c>
      <c r="Y48" s="18" t="n">
        <v>76405.97</v>
      </c>
      <c r="Z48" s="37" t="n">
        <v>76405.97</v>
      </c>
      <c r="AA48" s="18" t="n">
        <v>77287.95</v>
      </c>
      <c r="AB48" s="19" t="n">
        <v>13723.99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1975.6</v>
      </c>
      <c r="F49" s="37" t="n">
        <v>1975.6</v>
      </c>
      <c r="G49" s="18" t="n">
        <v>535.8</v>
      </c>
      <c r="H49" s="18" t="n">
        <v>1041.63</v>
      </c>
      <c r="I49" s="18" t="n">
        <v>2001.81</v>
      </c>
      <c r="J49" s="18" t="n">
        <v>5020.91</v>
      </c>
      <c r="K49" s="37" t="n">
        <v>5020.91</v>
      </c>
      <c r="L49" s="18" t="n">
        <v>4364.59</v>
      </c>
      <c r="M49" s="18" t="n">
        <v>1815.4</v>
      </c>
      <c r="N49" s="18" t="n">
        <v>7699.23</v>
      </c>
      <c r="O49" s="18" t="n">
        <v>7336.83</v>
      </c>
      <c r="P49" s="37" t="n">
        <v>7336.83</v>
      </c>
      <c r="Q49" s="18" t="n">
        <v>8058.79</v>
      </c>
      <c r="R49" s="18" t="n">
        <v>12997.4</v>
      </c>
      <c r="S49" s="18" t="n">
        <v>9366.6</v>
      </c>
      <c r="T49" s="18" t="n">
        <v>9188.280000000001</v>
      </c>
      <c r="U49" s="37" t="n">
        <v>9188.280000000001</v>
      </c>
      <c r="V49" s="18" t="n">
        <v>5305.67</v>
      </c>
      <c r="W49" s="18" t="n">
        <v>5649.58</v>
      </c>
      <c r="X49" s="18" t="n">
        <v>13166.82</v>
      </c>
      <c r="Y49" s="18" t="n">
        <v>6658.52</v>
      </c>
      <c r="Z49" s="37" t="n">
        <v>6658.52</v>
      </c>
      <c r="AA49" s="18" t="n">
        <v>2011.1</v>
      </c>
      <c r="AB49" s="19" t="n">
        <v>13804.82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당기법인세자산(선급법인세)</t>
        </is>
      </c>
      <c r="F50" s="9" t="n"/>
      <c r="G50" s="18" t="n">
        <v>0.92</v>
      </c>
      <c r="H50" s="18" t="n">
        <v>0.05</v>
      </c>
      <c r="I50" s="18" t="n">
        <v>0.08</v>
      </c>
      <c r="J50" s="18" t="n">
        <v>0.2</v>
      </c>
      <c r="K50" s="37" t="n">
        <v>0.2</v>
      </c>
      <c r="L50" s="18" t="n">
        <v>0.27</v>
      </c>
      <c r="M50" s="18" t="n">
        <v>0.23</v>
      </c>
      <c r="N50" s="18" t="n">
        <v>0.38</v>
      </c>
      <c r="O50" s="18" t="n">
        <v>1.98</v>
      </c>
      <c r="P50" s="37" t="n">
        <v>1.98</v>
      </c>
      <c r="Q50" s="18" t="n">
        <v>2.82</v>
      </c>
      <c r="R50" s="18" t="n">
        <v>8.960000000000001</v>
      </c>
      <c r="S50" s="18" t="n">
        <v>9.82</v>
      </c>
      <c r="T50" s="18" t="n">
        <v>9.98</v>
      </c>
      <c r="U50" s="37" t="n">
        <v>9.98</v>
      </c>
      <c r="V50" s="18" t="n">
        <v>32.82</v>
      </c>
      <c r="W50" s="18" t="n">
        <v>23.76</v>
      </c>
      <c r="X50" s="18" t="n">
        <v>24.64</v>
      </c>
      <c r="Y50" s="18" t="n">
        <v>24.68</v>
      </c>
      <c r="Z50" s="37" t="n">
        <v>24.68</v>
      </c>
      <c r="AA50" s="18" t="n">
        <v>24.89</v>
      </c>
      <c r="AB50" s="19" t="n">
        <v>2.89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기타유동금융자산</t>
        </is>
      </c>
      <c r="F51" s="9" t="n"/>
      <c r="H51" s="18" t="n">
        <v>766.03</v>
      </c>
      <c r="I51" s="18" t="n">
        <v>766.03</v>
      </c>
      <c r="J51" s="18" t="n">
        <v>397.82</v>
      </c>
      <c r="K51" s="37" t="n">
        <v>397.82</v>
      </c>
      <c r="L51" s="18" t="n">
        <v>414.62</v>
      </c>
      <c r="M51" s="18" t="n">
        <v>5.4</v>
      </c>
      <c r="N51" s="18" t="n">
        <v>1136.21</v>
      </c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장기충당부채</t>
        </is>
      </c>
      <c r="F52" s="9" t="n"/>
      <c r="J52" s="18" t="n">
        <v>50.67</v>
      </c>
      <c r="K52" s="37" t="n">
        <v>50.67</v>
      </c>
      <c r="L52" s="18" t="n">
        <v>50.67</v>
      </c>
      <c r="M52" s="18" t="n">
        <v>54.22</v>
      </c>
      <c r="O52" s="18" t="n">
        <v>55.38</v>
      </c>
      <c r="P52" s="37" t="n">
        <v>55.38</v>
      </c>
      <c r="Q52" s="18" t="n">
        <v>55.38</v>
      </c>
      <c r="R52" s="18" t="n">
        <v>28.4</v>
      </c>
      <c r="S52" s="18" t="n">
        <v>25.02</v>
      </c>
      <c r="T52" s="18" t="n">
        <v>160.37</v>
      </c>
      <c r="U52" s="37" t="n">
        <v>160.37</v>
      </c>
      <c r="V52" s="18" t="n">
        <v>160.37</v>
      </c>
      <c r="W52" s="18" t="n">
        <v>158.97</v>
      </c>
      <c r="X52" s="18" t="n">
        <v>149.9</v>
      </c>
      <c r="Y52" s="18" t="n">
        <v>170.7</v>
      </c>
      <c r="Z52" s="37" t="n">
        <v>170.7</v>
      </c>
      <c r="AA52" s="18" t="n">
        <v>170.7</v>
      </c>
      <c r="AB52" s="19" t="n">
        <v>177.63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종속기업및관계기업투자</t>
        </is>
      </c>
      <c r="F53" s="9" t="n"/>
      <c r="K53" s="9" t="n"/>
      <c r="M53" s="18" t="n">
        <v>1170</v>
      </c>
      <c r="N53" s="18" t="n">
        <v>14530</v>
      </c>
      <c r="O53" s="18" t="n">
        <v>14800</v>
      </c>
      <c r="P53" s="37" t="n">
        <v>14800</v>
      </c>
      <c r="Q53" s="18" t="n">
        <v>14800</v>
      </c>
      <c r="R53" s="18" t="n">
        <v>14800</v>
      </c>
      <c r="S53" s="18" t="n">
        <v>14800</v>
      </c>
      <c r="T53" s="18" t="n">
        <v>9676.9</v>
      </c>
      <c r="U53" s="37" t="n">
        <v>9676.9</v>
      </c>
      <c r="V53" s="18" t="n">
        <v>13791.34</v>
      </c>
      <c r="W53" s="18" t="n">
        <v>13791.34</v>
      </c>
      <c r="X53" s="18" t="n">
        <v>13791.34</v>
      </c>
      <c r="Y53" s="18" t="n">
        <v>11085.06</v>
      </c>
      <c r="Z53" s="37" t="n">
        <v>11085.06</v>
      </c>
      <c r="AA53" s="18" t="n">
        <v>11085.06</v>
      </c>
      <c r="AB53" s="19" t="n">
        <v>11085.06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기타비유동자산</t>
        </is>
      </c>
      <c r="F54" s="9" t="n"/>
      <c r="K54" s="9" t="n"/>
      <c r="N54" s="18" t="n">
        <v>109.6</v>
      </c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단기금융부채(face)</t>
        </is>
      </c>
      <c r="F55" s="9" t="n"/>
      <c r="K55" s="9" t="n"/>
      <c r="N55" s="18" t="n">
        <v>72672.67999999999</v>
      </c>
      <c r="O55" s="18" t="n">
        <v>77926.33</v>
      </c>
      <c r="P55" s="37" t="n">
        <v>77926.33</v>
      </c>
      <c r="Q55" s="18" t="n">
        <v>81428.28</v>
      </c>
      <c r="R55" s="18" t="n">
        <v>74095.61</v>
      </c>
      <c r="S55" s="18" t="n">
        <v>74093.89</v>
      </c>
      <c r="T55" s="18" t="n">
        <v>73593.21000000001</v>
      </c>
      <c r="U55" s="37" t="n">
        <v>73593.21000000001</v>
      </c>
      <c r="V55" s="18" t="n">
        <v>73590.48</v>
      </c>
      <c r="W55" s="18" t="n">
        <v>72537.34</v>
      </c>
      <c r="X55" s="18" t="n">
        <v>81838.69</v>
      </c>
      <c r="Y55" s="18" t="n">
        <v>77499.64</v>
      </c>
      <c r="Z55" s="37" t="n">
        <v>77499.64</v>
      </c>
      <c r="AA55" s="18" t="n">
        <v>75201.91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기타비유동금융부채</t>
        </is>
      </c>
      <c r="F56" s="9" t="n"/>
      <c r="K56" s="9" t="n"/>
      <c r="N56" s="18" t="n">
        <v>13311.6</v>
      </c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단기투자자산(공정가치)</t>
        </is>
      </c>
      <c r="F57" s="9" t="n"/>
      <c r="K57" s="9" t="n"/>
      <c r="O57" s="18" t="n">
        <v>336.78</v>
      </c>
      <c r="P57" s="37" t="n">
        <v>336.78</v>
      </c>
      <c r="Q57" s="18" t="n">
        <v>336.78</v>
      </c>
      <c r="R57" s="18" t="n">
        <v>122.93</v>
      </c>
      <c r="S57" s="18" t="n">
        <v>121.95</v>
      </c>
      <c r="T57" s="18" t="n">
        <v>29.46</v>
      </c>
      <c r="U57" s="37" t="n">
        <v>29.46</v>
      </c>
      <c r="V57" s="18" t="n">
        <v>29.46</v>
      </c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이연법인세부채</t>
        </is>
      </c>
      <c r="F58" s="9" t="n"/>
      <c r="K58" s="9" t="n"/>
      <c r="P58" s="9" t="n"/>
      <c r="U58" s="9" t="n"/>
      <c r="X58" s="18" t="n">
        <v>1843.47</v>
      </c>
      <c r="Y58" s="18" t="n">
        <v>1827.65</v>
      </c>
      <c r="Z58" s="37" t="n">
        <v>1827.65</v>
      </c>
      <c r="AA58" s="18" t="n">
        <v>1846.61</v>
      </c>
      <c r="AB58" s="19" t="n">
        <v>1820.26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장기금융부채(face)</t>
        </is>
      </c>
      <c r="F59" s="9" t="n"/>
      <c r="K59" s="9" t="n"/>
      <c r="P59" s="9" t="n"/>
      <c r="U59" s="9" t="n"/>
      <c r="Y59" s="18" t="n">
        <v>4333.2</v>
      </c>
      <c r="Z59" s="37" t="n">
        <v>4333.2</v>
      </c>
      <c r="AA59" s="18" t="n">
        <v>3791.55</v>
      </c>
      <c r="AB59" s="19" t="n">
        <v>27249.9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매출액(수익)</t>
        </is>
      </c>
      <c r="E60" s="18" t="n">
        <v>45212.84</v>
      </c>
      <c r="F60" s="9" t="n"/>
      <c r="G60" s="18" t="n">
        <v>34513.15</v>
      </c>
      <c r="H60" s="18" t="n">
        <v>35573.35</v>
      </c>
      <c r="I60" s="18" t="n">
        <v>34052.6</v>
      </c>
      <c r="J60" s="18" t="n">
        <v>35465.13</v>
      </c>
      <c r="K60" s="37" t="n">
        <v>139604.23</v>
      </c>
      <c r="L60" s="18" t="n">
        <v>39070.45</v>
      </c>
      <c r="M60" s="18" t="n">
        <v>34077.9</v>
      </c>
      <c r="N60" s="18" t="n">
        <v>30365.11</v>
      </c>
      <c r="O60" s="18" t="n">
        <v>26214.09</v>
      </c>
      <c r="P60" s="37" t="n">
        <v>129727.55</v>
      </c>
      <c r="Q60" s="18" t="n">
        <v>26805.16</v>
      </c>
      <c r="R60" s="18" t="n">
        <v>24539.59</v>
      </c>
      <c r="S60" s="18" t="n">
        <v>30202.37</v>
      </c>
      <c r="T60" s="18" t="n">
        <v>32951.15</v>
      </c>
      <c r="U60" s="37" t="n">
        <v>114498.27</v>
      </c>
      <c r="V60" s="18" t="n">
        <v>35794.76</v>
      </c>
      <c r="W60" s="18" t="n">
        <v>46322.79</v>
      </c>
      <c r="X60" s="18" t="n">
        <v>46877.87</v>
      </c>
      <c r="Y60" s="18" t="n">
        <v>51567.04</v>
      </c>
      <c r="Z60" s="37" t="n">
        <v>180562.46</v>
      </c>
      <c r="AA60" s="18" t="n">
        <v>49824.19</v>
      </c>
      <c r="AB60" s="19" t="n">
        <v>48260.87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매출원가</t>
        </is>
      </c>
      <c r="E61" s="18" t="n">
        <v>34080.73</v>
      </c>
      <c r="F61" s="9" t="n"/>
      <c r="G61" s="18" t="n">
        <v>30190.09</v>
      </c>
      <c r="H61" s="18" t="n">
        <v>32389.36</v>
      </c>
      <c r="I61" s="18" t="n">
        <v>33169.29</v>
      </c>
      <c r="J61" s="18" t="n">
        <v>36741.1</v>
      </c>
      <c r="K61" s="37" t="n">
        <v>132489.84</v>
      </c>
      <c r="L61" s="18" t="n">
        <v>39400.5</v>
      </c>
      <c r="M61" s="18" t="n">
        <v>33410.48</v>
      </c>
      <c r="N61" s="18" t="n">
        <v>29702.96</v>
      </c>
      <c r="O61" s="18" t="n">
        <v>29684.17</v>
      </c>
      <c r="P61" s="37" t="n">
        <v>132198.11</v>
      </c>
      <c r="Q61" s="18" t="n">
        <v>27794.14</v>
      </c>
      <c r="R61" s="18" t="n">
        <v>29186.35</v>
      </c>
      <c r="S61" s="18" t="n">
        <v>33498.67</v>
      </c>
      <c r="T61" s="18" t="n">
        <v>36676.35</v>
      </c>
      <c r="U61" s="37" t="n">
        <v>127155.51</v>
      </c>
      <c r="V61" s="18" t="n">
        <v>37953.71</v>
      </c>
      <c r="W61" s="18" t="n">
        <v>43873.25</v>
      </c>
      <c r="X61" s="18" t="n">
        <v>44968.68</v>
      </c>
      <c r="Y61" s="18" t="n">
        <v>47363.68</v>
      </c>
      <c r="Z61" s="37" t="n">
        <v>174159.32</v>
      </c>
      <c r="AA61" s="18" t="n">
        <v>45667.99</v>
      </c>
      <c r="AB61" s="19" t="n">
        <v>43709.79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매출총이익</t>
        </is>
      </c>
      <c r="E62" s="18" t="n">
        <v>11132.11</v>
      </c>
      <c r="F62" s="9" t="n"/>
      <c r="G62" s="18" t="n">
        <v>4323.07</v>
      </c>
      <c r="H62" s="18" t="n">
        <v>3183.99</v>
      </c>
      <c r="I62" s="18" t="n">
        <v>883.3</v>
      </c>
      <c r="J62" s="18" t="n">
        <v>-1275.97</v>
      </c>
      <c r="K62" s="37" t="n">
        <v>7114.39</v>
      </c>
      <c r="L62" s="18" t="n">
        <v>-330.05</v>
      </c>
      <c r="M62" s="18" t="n">
        <v>667.42</v>
      </c>
      <c r="N62" s="18" t="n">
        <v>662.15</v>
      </c>
      <c r="O62" s="18" t="n">
        <v>-3470.07</v>
      </c>
      <c r="P62" s="37" t="n">
        <v>-2470.55</v>
      </c>
      <c r="Q62" s="18" t="n">
        <v>-988.98</v>
      </c>
      <c r="R62" s="18" t="n">
        <v>-4646.76</v>
      </c>
      <c r="S62" s="18" t="n">
        <v>-3296.3</v>
      </c>
      <c r="T62" s="18" t="n">
        <v>-3725.2</v>
      </c>
      <c r="U62" s="37" t="n">
        <v>-12657.24</v>
      </c>
      <c r="V62" s="18" t="n">
        <v>-2158.95</v>
      </c>
      <c r="W62" s="18" t="n">
        <v>2449.54</v>
      </c>
      <c r="X62" s="18" t="n">
        <v>1909.19</v>
      </c>
      <c r="Y62" s="18" t="n">
        <v>4203.36</v>
      </c>
      <c r="Z62" s="37" t="n">
        <v>6403.14</v>
      </c>
      <c r="AA62" s="18" t="n">
        <v>4156.2</v>
      </c>
      <c r="AB62" s="19" t="n">
        <v>4551.08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판관비</t>
        </is>
      </c>
      <c r="E63" s="18" t="n">
        <v>1069.64</v>
      </c>
      <c r="F63" s="9" t="n"/>
      <c r="G63" s="18" t="n">
        <v>1524.01</v>
      </c>
      <c r="H63" s="18" t="n">
        <v>1469.68</v>
      </c>
      <c r="I63" s="18" t="n">
        <v>1515.82</v>
      </c>
      <c r="J63" s="18" t="n">
        <v>1885.79</v>
      </c>
      <c r="K63" s="37" t="n">
        <v>6395.3</v>
      </c>
      <c r="L63" s="18" t="n">
        <v>1846.67</v>
      </c>
      <c r="M63" s="18" t="n">
        <v>4066.45</v>
      </c>
      <c r="N63" s="18" t="n">
        <v>2424.86</v>
      </c>
      <c r="O63" s="18" t="n">
        <v>6504.41</v>
      </c>
      <c r="P63" s="37" t="n">
        <v>14842.39</v>
      </c>
      <c r="Q63" s="18" t="n">
        <v>1890.23</v>
      </c>
      <c r="R63" s="18" t="n">
        <v>-4566.32</v>
      </c>
      <c r="S63" s="18" t="n">
        <v>2052.58</v>
      </c>
      <c r="T63" s="18" t="n">
        <v>2876.17</v>
      </c>
      <c r="U63" s="37" t="n">
        <v>2252.66</v>
      </c>
      <c r="V63" s="18" t="n">
        <v>2115.38</v>
      </c>
      <c r="W63" s="18" t="n">
        <v>-17.16</v>
      </c>
      <c r="X63" s="18" t="n">
        <v>1264.44</v>
      </c>
      <c r="Y63" s="18" t="n">
        <v>2221.21</v>
      </c>
      <c r="Z63" s="37" t="n">
        <v>5583.87</v>
      </c>
      <c r="AA63" s="18" t="n">
        <v>2327.09</v>
      </c>
      <c r="AB63" s="19" t="n">
        <v>2913.98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영업이익</t>
        </is>
      </c>
      <c r="E64" s="18" t="n">
        <v>10062.47</v>
      </c>
      <c r="F64" s="9" t="n"/>
      <c r="G64" s="18" t="n">
        <v>2799.06</v>
      </c>
      <c r="H64" s="18" t="n">
        <v>1714.31</v>
      </c>
      <c r="I64" s="18" t="n">
        <v>-632.52</v>
      </c>
      <c r="J64" s="18" t="n">
        <v>-3161.77</v>
      </c>
      <c r="K64" s="37" t="n">
        <v>719.08</v>
      </c>
      <c r="L64" s="18" t="n">
        <v>-2176.72</v>
      </c>
      <c r="M64" s="18" t="n">
        <v>-3399.03</v>
      </c>
      <c r="N64" s="18" t="n">
        <v>-1762.71</v>
      </c>
      <c r="O64" s="18" t="n">
        <v>-9974.48</v>
      </c>
      <c r="P64" s="37" t="n">
        <v>-17312.94</v>
      </c>
      <c r="Q64" s="18" t="n">
        <v>-2879.21</v>
      </c>
      <c r="R64" s="18" t="n">
        <v>-80.44</v>
      </c>
      <c r="S64" s="18" t="n">
        <v>-5348.88</v>
      </c>
      <c r="T64" s="18" t="n">
        <v>-6601.38</v>
      </c>
      <c r="U64" s="37" t="n">
        <v>-14909.91</v>
      </c>
      <c r="V64" s="18" t="n">
        <v>-4274.33</v>
      </c>
      <c r="W64" s="18" t="n">
        <v>2466.7</v>
      </c>
      <c r="X64" s="18" t="n">
        <v>644.75</v>
      </c>
      <c r="Y64" s="18" t="n">
        <v>1982.16</v>
      </c>
      <c r="Z64" s="37" t="n">
        <v>819.28</v>
      </c>
      <c r="AA64" s="18" t="n">
        <v>1829.11</v>
      </c>
      <c r="AB64" s="19" t="n">
        <v>1637.1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금융수익</t>
        </is>
      </c>
      <c r="E65" s="18" t="n">
        <v>0.34</v>
      </c>
      <c r="F65" s="9" t="n"/>
      <c r="G65" s="18" t="n">
        <v>0.18</v>
      </c>
      <c r="H65" s="18" t="n">
        <v>21.11</v>
      </c>
      <c r="I65" s="18" t="n">
        <v>0.2</v>
      </c>
      <c r="J65" s="18" t="n">
        <v>1326.1</v>
      </c>
      <c r="K65" s="37" t="n">
        <v>1347.59</v>
      </c>
      <c r="L65" s="18" t="n">
        <v>363.98</v>
      </c>
      <c r="M65" s="18" t="n">
        <v>538.22</v>
      </c>
      <c r="N65" s="18" t="n">
        <v>2295.08</v>
      </c>
      <c r="O65" s="18" t="n">
        <v>4175.4</v>
      </c>
      <c r="P65" s="37" t="n">
        <v>7372.68</v>
      </c>
      <c r="Q65" s="18" t="n">
        <v>687.14</v>
      </c>
      <c r="R65" s="18" t="n">
        <v>1385.98</v>
      </c>
      <c r="S65" s="18" t="n">
        <v>800.03</v>
      </c>
      <c r="T65" s="18" t="n">
        <v>-919.27</v>
      </c>
      <c r="U65" s="37" t="n">
        <v>1953.88</v>
      </c>
      <c r="V65" s="18" t="n">
        <v>217.07</v>
      </c>
      <c r="W65" s="18" t="n">
        <v>7953.7</v>
      </c>
      <c r="X65" s="18" t="n">
        <v>7.48</v>
      </c>
      <c r="Y65" s="18" t="n">
        <v>365.98</v>
      </c>
      <c r="Z65" s="37" t="n">
        <v>8544.23</v>
      </c>
      <c r="AA65" s="18" t="n">
        <v>0.85</v>
      </c>
      <c r="AB65" s="19" t="n">
        <v>134.93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금융비용</t>
        </is>
      </c>
      <c r="E66" s="18" t="n">
        <v>1058.79</v>
      </c>
      <c r="F66" s="9" t="n"/>
      <c r="G66" s="18" t="n">
        <v>1112.97</v>
      </c>
      <c r="H66" s="18" t="n">
        <v>962.58</v>
      </c>
      <c r="I66" s="18" t="n">
        <v>1060.56</v>
      </c>
      <c r="J66" s="18" t="n">
        <v>1882.67</v>
      </c>
      <c r="K66" s="37" t="n">
        <v>5018.78</v>
      </c>
      <c r="L66" s="18" t="n">
        <v>1447.53</v>
      </c>
      <c r="M66" s="18" t="n">
        <v>1797.78</v>
      </c>
      <c r="N66" s="18" t="n">
        <v>1817.46</v>
      </c>
      <c r="O66" s="18" t="n">
        <v>1788.12</v>
      </c>
      <c r="P66" s="37" t="n">
        <v>6850.89</v>
      </c>
      <c r="Q66" s="18" t="n">
        <v>1905.2</v>
      </c>
      <c r="R66" s="18" t="n">
        <v>2144.23</v>
      </c>
      <c r="S66" s="18" t="n">
        <v>2563.57</v>
      </c>
      <c r="T66" s="18" t="n">
        <v>4937.49</v>
      </c>
      <c r="U66" s="37" t="n">
        <v>11550.49</v>
      </c>
      <c r="V66" s="18" t="n">
        <v>1690.2</v>
      </c>
      <c r="W66" s="18" t="n">
        <v>1679.41</v>
      </c>
      <c r="X66" s="18" t="n">
        <v>3019.37</v>
      </c>
      <c r="Y66" s="18" t="n">
        <v>1812.61</v>
      </c>
      <c r="Z66" s="37" t="n">
        <v>8201.59</v>
      </c>
      <c r="AA66" s="18" t="n">
        <v>1347.91</v>
      </c>
      <c r="AB66" s="19" t="n">
        <v>1495.13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기타영업외수익</t>
        </is>
      </c>
      <c r="E67" s="18" t="n">
        <v>457.93</v>
      </c>
      <c r="F67" s="9" t="n"/>
      <c r="G67" s="18" t="n">
        <v>105.43</v>
      </c>
      <c r="H67" s="18" t="n">
        <v>560.71</v>
      </c>
      <c r="I67" s="18" t="n">
        <v>343.72</v>
      </c>
      <c r="J67" s="18" t="n">
        <v>-352.05</v>
      </c>
      <c r="K67" s="37" t="n">
        <v>657.8099999999999</v>
      </c>
      <c r="L67" s="18" t="n">
        <v>187.04</v>
      </c>
      <c r="M67" s="18" t="n">
        <v>129.04</v>
      </c>
      <c r="N67" s="18" t="n">
        <v>59.23</v>
      </c>
      <c r="O67" s="18" t="n">
        <v>153.06</v>
      </c>
      <c r="P67" s="37" t="n">
        <v>528.37</v>
      </c>
      <c r="Q67" s="18" t="n">
        <v>77.31</v>
      </c>
      <c r="R67" s="18" t="n">
        <v>90.39</v>
      </c>
      <c r="S67" s="18" t="n">
        <v>62.97</v>
      </c>
      <c r="T67" s="18" t="n">
        <v>100.39</v>
      </c>
      <c r="U67" s="37" t="n">
        <v>331.06</v>
      </c>
      <c r="V67" s="18" t="n">
        <v>433.71</v>
      </c>
      <c r="W67" s="18" t="n">
        <v>204.09</v>
      </c>
      <c r="X67" s="18" t="n">
        <v>4035.84</v>
      </c>
      <c r="Y67" s="18" t="n">
        <v>87.53</v>
      </c>
      <c r="Z67" s="37" t="n">
        <v>4761.17</v>
      </c>
      <c r="AA67" s="18" t="n">
        <v>88.89</v>
      </c>
      <c r="AB67" s="19" t="n">
        <v>53.8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기타영업외비용</t>
        </is>
      </c>
      <c r="E68" s="18" t="n">
        <v>32.03</v>
      </c>
      <c r="F68" s="9" t="n"/>
      <c r="G68" s="18" t="n">
        <v>36.49</v>
      </c>
      <c r="H68" s="18" t="n">
        <v>26.02</v>
      </c>
      <c r="I68" s="18" t="n">
        <v>644.03</v>
      </c>
      <c r="J68" s="18" t="n">
        <v>-166.92</v>
      </c>
      <c r="K68" s="37" t="n">
        <v>539.62</v>
      </c>
      <c r="L68" s="18" t="n">
        <v>33.99</v>
      </c>
      <c r="M68" s="18" t="n">
        <v>30.99</v>
      </c>
      <c r="N68" s="18" t="n">
        <v>109.57</v>
      </c>
      <c r="O68" s="18" t="n">
        <v>-17.07</v>
      </c>
      <c r="P68" s="37" t="n">
        <v>157.48</v>
      </c>
      <c r="Q68" s="18" t="n">
        <v>60.99</v>
      </c>
      <c r="R68" s="18" t="n">
        <v>36.77</v>
      </c>
      <c r="S68" s="18" t="n">
        <v>26.02</v>
      </c>
      <c r="T68" s="18" t="n">
        <v>5159.52</v>
      </c>
      <c r="U68" s="37" t="n">
        <v>5283.3</v>
      </c>
      <c r="V68" s="18" t="n">
        <v>27.99</v>
      </c>
      <c r="W68" s="18" t="n">
        <v>31.55</v>
      </c>
      <c r="X68" s="18" t="n">
        <v>4160.64</v>
      </c>
      <c r="Y68" s="18" t="n">
        <v>2983.98</v>
      </c>
      <c r="Z68" s="37" t="n">
        <v>7204.16</v>
      </c>
      <c r="AA68" s="18" t="n">
        <v>26.49</v>
      </c>
      <c r="AB68" s="19" t="n">
        <v>26.49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9429.91</v>
      </c>
      <c r="F69" s="9" t="n"/>
      <c r="G69" s="18" t="n">
        <v>1755.21</v>
      </c>
      <c r="H69" s="18" t="n">
        <v>1307.53</v>
      </c>
      <c r="I69" s="18" t="n">
        <v>-1993.19</v>
      </c>
      <c r="J69" s="18" t="n">
        <v>-3903.47</v>
      </c>
      <c r="K69" s="37" t="n">
        <v>-2833.92</v>
      </c>
      <c r="L69" s="18" t="n">
        <v>-3107.22</v>
      </c>
      <c r="M69" s="18" t="n">
        <v>-4560.53</v>
      </c>
      <c r="N69" s="18" t="n">
        <v>-1335.42</v>
      </c>
      <c r="O69" s="18" t="n">
        <v>-7417.06</v>
      </c>
      <c r="P69" s="37" t="n">
        <v>-16420.23</v>
      </c>
      <c r="Q69" s="18" t="n">
        <v>-4080.96</v>
      </c>
      <c r="R69" s="18" t="n">
        <v>-785.0700000000001</v>
      </c>
      <c r="S69" s="18" t="n">
        <v>-7075.47</v>
      </c>
      <c r="T69" s="18" t="n">
        <v>-17517.27</v>
      </c>
      <c r="U69" s="37" t="n">
        <v>-29458.77</v>
      </c>
      <c r="V69" s="18" t="n">
        <v>-5341.73</v>
      </c>
      <c r="W69" s="18" t="n">
        <v>8913.52</v>
      </c>
      <c r="X69" s="18" t="n">
        <v>-2491.93</v>
      </c>
      <c r="Y69" s="18" t="n">
        <v>-2360.92</v>
      </c>
      <c r="Z69" s="37" t="n">
        <v>-1281.06</v>
      </c>
      <c r="AA69" s="18" t="n">
        <v>544.45</v>
      </c>
      <c r="AB69" s="19" t="n">
        <v>304.2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631.8099999999999</v>
      </c>
      <c r="F70" s="9" t="n"/>
      <c r="G70" s="18" t="n">
        <v>-157.08</v>
      </c>
      <c r="H70" s="18" t="n">
        <v>-50.17</v>
      </c>
      <c r="I70" s="18" t="n">
        <v>19.29</v>
      </c>
      <c r="J70" s="18" t="n">
        <v>-46.99</v>
      </c>
      <c r="K70" s="37" t="n">
        <v>-234.95</v>
      </c>
      <c r="L70" s="18" t="n">
        <v>-105.97</v>
      </c>
      <c r="M70" s="18" t="n">
        <v>-619.77</v>
      </c>
      <c r="N70" s="18" t="n">
        <v>-101.82</v>
      </c>
      <c r="O70" s="18" t="n">
        <v>-588.22</v>
      </c>
      <c r="P70" s="37" t="n">
        <v>-1415.78</v>
      </c>
      <c r="Q70" s="18" t="n">
        <v>-152.56</v>
      </c>
      <c r="R70" s="18" t="n">
        <v>1450.45</v>
      </c>
      <c r="S70" s="18" t="n">
        <v>-277.47</v>
      </c>
      <c r="T70" s="18" t="n">
        <v>-1211.77</v>
      </c>
      <c r="U70" s="37" t="n">
        <v>-191.35</v>
      </c>
      <c r="V70" s="18" t="n">
        <v>-141.55</v>
      </c>
      <c r="W70" s="18" t="n">
        <v>2427.82</v>
      </c>
      <c r="X70" s="18" t="n">
        <v>296.07</v>
      </c>
      <c r="Y70" s="18" t="n">
        <v>219.33</v>
      </c>
      <c r="Z70" s="37" t="n">
        <v>2801.67</v>
      </c>
      <c r="AA70" s="18" t="n">
        <v>11.85</v>
      </c>
      <c r="AB70" s="19" t="n">
        <v>6.25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8798.09</v>
      </c>
      <c r="F71" s="9" t="n"/>
      <c r="G71" s="18" t="n">
        <v>1912.29</v>
      </c>
      <c r="H71" s="18" t="n">
        <v>1357.7</v>
      </c>
      <c r="I71" s="18" t="n">
        <v>-2012.49</v>
      </c>
      <c r="J71" s="18" t="n">
        <v>-3856.49</v>
      </c>
      <c r="K71" s="37" t="n">
        <v>-2598.99</v>
      </c>
      <c r="L71" s="18" t="n">
        <v>-3001.25</v>
      </c>
      <c r="M71" s="18" t="n">
        <v>-3940.76</v>
      </c>
      <c r="N71" s="18" t="n">
        <v>-1233.6</v>
      </c>
      <c r="O71" s="18" t="n">
        <v>-6828.85</v>
      </c>
      <c r="P71" s="37" t="n">
        <v>-15004.46</v>
      </c>
      <c r="Q71" s="18" t="n">
        <v>-3928.4</v>
      </c>
      <c r="R71" s="18" t="n">
        <v>-2235.52</v>
      </c>
      <c r="S71" s="18" t="n">
        <v>-6798</v>
      </c>
      <c r="T71" s="18" t="n">
        <v>-16305.51</v>
      </c>
      <c r="U71" s="37" t="n">
        <v>-29267.43</v>
      </c>
      <c r="V71" s="18" t="n">
        <v>-5200.18</v>
      </c>
      <c r="W71" s="18" t="n">
        <v>6485.7</v>
      </c>
      <c r="X71" s="18" t="n">
        <v>-2787.99</v>
      </c>
      <c r="Y71" s="18" t="n">
        <v>-2580.26</v>
      </c>
      <c r="Z71" s="37" t="n">
        <v>-4082.73</v>
      </c>
      <c r="AA71" s="18" t="n">
        <v>532.6</v>
      </c>
      <c r="AB71" s="19" t="n">
        <v>297.95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8314.110000000001</v>
      </c>
      <c r="F72" s="9" t="n"/>
      <c r="G72" s="18" t="n">
        <v>2088.95</v>
      </c>
      <c r="H72" s="18" t="n">
        <v>1342.1</v>
      </c>
      <c r="I72" s="18" t="n">
        <v>-2021.1</v>
      </c>
      <c r="J72" s="18" t="n">
        <v>-3383.03</v>
      </c>
      <c r="K72" s="37" t="n">
        <v>-1973.08</v>
      </c>
      <c r="L72" s="18" t="n">
        <v>-3001.12</v>
      </c>
      <c r="M72" s="18" t="n">
        <v>-3935.45</v>
      </c>
      <c r="N72" s="18" t="n">
        <v>-1235.04</v>
      </c>
      <c r="O72" s="18" t="n">
        <v>-6943.5</v>
      </c>
      <c r="P72" s="37" t="n">
        <v>-15115.11</v>
      </c>
      <c r="Q72" s="18" t="n">
        <v>-3920.43</v>
      </c>
      <c r="R72" s="18" t="n">
        <v>-2226.66</v>
      </c>
      <c r="S72" s="18" t="n">
        <v>-6790.79</v>
      </c>
      <c r="T72" s="18" t="n">
        <v>-17177.2</v>
      </c>
      <c r="U72" s="37" t="n">
        <v>-30115.08</v>
      </c>
      <c r="V72" s="18" t="n">
        <v>-5201.32</v>
      </c>
      <c r="W72" s="18" t="n">
        <v>6513.54</v>
      </c>
      <c r="X72" s="18" t="n">
        <v>10548.89</v>
      </c>
      <c r="Y72" s="18" t="n">
        <v>-4023.66</v>
      </c>
      <c r="Z72" s="37" t="n">
        <v>7837.45</v>
      </c>
      <c r="AA72" s="18" t="n">
        <v>557.8099999999999</v>
      </c>
      <c r="AB72" s="19" t="n">
        <v>287.47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18" t="n">
        <v>-1058.45</v>
      </c>
      <c r="F73" s="9" t="n"/>
      <c r="G73" s="18" t="n">
        <v>-1112.79</v>
      </c>
      <c r="H73" s="18" t="n">
        <v>-941.47</v>
      </c>
      <c r="I73" s="18" t="n">
        <v>-1060.36</v>
      </c>
      <c r="J73" s="18" t="n">
        <v>-556.5700000000001</v>
      </c>
      <c r="K73" s="37" t="n">
        <v>-3671.19</v>
      </c>
      <c r="L73" s="18" t="n">
        <v>-1083.55</v>
      </c>
      <c r="M73" s="18" t="n">
        <v>-1259.56</v>
      </c>
      <c r="N73" s="18" t="n">
        <v>477.62</v>
      </c>
      <c r="O73" s="18" t="n">
        <v>2387.28</v>
      </c>
      <c r="P73" s="37" t="n">
        <v>521.79</v>
      </c>
      <c r="Q73" s="18" t="n">
        <v>-1218.06</v>
      </c>
      <c r="R73" s="18" t="n">
        <v>-758.25</v>
      </c>
      <c r="S73" s="18" t="n">
        <v>-1763.54</v>
      </c>
      <c r="T73" s="18" t="n">
        <v>-5856.76</v>
      </c>
      <c r="U73" s="37" t="n">
        <v>-9596.610000000001</v>
      </c>
      <c r="V73" s="18" t="n">
        <v>-1473.13</v>
      </c>
      <c r="W73" s="18" t="n">
        <v>6274.29</v>
      </c>
      <c r="X73" s="18" t="n">
        <v>-3011.89</v>
      </c>
      <c r="Y73" s="18" t="n">
        <v>-1446.63</v>
      </c>
      <c r="Z73" s="37" t="n">
        <v>342.64</v>
      </c>
      <c r="AA73" s="18" t="n">
        <v>-1347.06</v>
      </c>
      <c r="AB73" s="19" t="n">
        <v>-1360.2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</t>
        </is>
      </c>
      <c r="E74" s="18" t="n">
        <v>425.9</v>
      </c>
      <c r="F74" s="9" t="n"/>
      <c r="G74" s="18" t="n">
        <v>68.94</v>
      </c>
      <c r="H74" s="18" t="n">
        <v>534.6900000000001</v>
      </c>
      <c r="I74" s="18" t="n">
        <v>-300.31</v>
      </c>
      <c r="J74" s="18" t="n">
        <v>-185.13</v>
      </c>
      <c r="K74" s="37" t="n">
        <v>118.19</v>
      </c>
      <c r="L74" s="18" t="n">
        <v>153.05</v>
      </c>
      <c r="M74" s="18" t="n">
        <v>98.05</v>
      </c>
      <c r="N74" s="18" t="n">
        <v>-50.34</v>
      </c>
      <c r="O74" s="18" t="n">
        <v>170.13</v>
      </c>
      <c r="P74" s="37" t="n">
        <v>370.89</v>
      </c>
      <c r="Q74" s="18" t="n">
        <v>16.32</v>
      </c>
      <c r="R74" s="18" t="n">
        <v>53.62</v>
      </c>
      <c r="S74" s="18" t="n">
        <v>36.95</v>
      </c>
      <c r="T74" s="18" t="n">
        <v>-5059.13</v>
      </c>
      <c r="U74" s="37" t="n">
        <v>-4952.24</v>
      </c>
      <c r="V74" s="18" t="n">
        <v>405.72</v>
      </c>
      <c r="W74" s="18" t="n">
        <v>172.54</v>
      </c>
      <c r="X74" s="18" t="n">
        <v>-124.8</v>
      </c>
      <c r="Y74" s="18" t="n">
        <v>-2896.45</v>
      </c>
      <c r="Z74" s="37" t="n">
        <v>-2442.99</v>
      </c>
      <c r="AA74" s="18" t="n">
        <v>62.4</v>
      </c>
      <c r="AB74" s="19" t="n">
        <v>27.31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18" t="n">
        <v>8798.09</v>
      </c>
      <c r="F75" s="9" t="n"/>
      <c r="G75" s="18" t="n">
        <v>1912.29</v>
      </c>
      <c r="H75" s="18" t="n">
        <v>1357.7</v>
      </c>
      <c r="I75" s="18" t="n">
        <v>-2012.49</v>
      </c>
      <c r="J75" s="18" t="n">
        <v>-3856.49</v>
      </c>
      <c r="K75" s="37" t="n">
        <v>-2598.99</v>
      </c>
      <c r="L75" s="18" t="n">
        <v>-3001.25</v>
      </c>
      <c r="M75" s="18" t="n">
        <v>-3940.76</v>
      </c>
      <c r="N75" s="18" t="n">
        <v>-1233.6</v>
      </c>
      <c r="O75" s="18" t="n">
        <v>-6828.85</v>
      </c>
      <c r="P75" s="37" t="n">
        <v>-15004.46</v>
      </c>
      <c r="Q75" s="18" t="n">
        <v>-3928.4</v>
      </c>
      <c r="R75" s="18" t="n">
        <v>-2235.52</v>
      </c>
      <c r="S75" s="18" t="n">
        <v>-6798</v>
      </c>
      <c r="T75" s="18" t="n">
        <v>-16305.51</v>
      </c>
      <c r="U75" s="37" t="n">
        <v>-29267.43</v>
      </c>
      <c r="V75" s="18" t="n">
        <v>-5200.18</v>
      </c>
      <c r="W75" s="18" t="n">
        <v>6485.7</v>
      </c>
      <c r="X75" s="18" t="n">
        <v>-2787.99</v>
      </c>
      <c r="Y75" s="18" t="n">
        <v>-2580.26</v>
      </c>
      <c r="Z75" s="37" t="n">
        <v>-4082.73</v>
      </c>
      <c r="AA75" s="18" t="n">
        <v>532.6</v>
      </c>
      <c r="AB75" s="19" t="n">
        <v>297.95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8798.09</v>
      </c>
      <c r="F76" s="9" t="n"/>
      <c r="G76" s="18" t="n">
        <v>1912.29</v>
      </c>
      <c r="H76" s="18" t="n">
        <v>1357.7</v>
      </c>
      <c r="I76" s="18" t="n">
        <v>-2012.49</v>
      </c>
      <c r="J76" s="18" t="n">
        <v>-3856.49</v>
      </c>
      <c r="K76" s="37" t="n">
        <v>-2598.99</v>
      </c>
      <c r="L76" s="18" t="n">
        <v>-3001.25</v>
      </c>
      <c r="M76" s="18" t="n">
        <v>-3940.76</v>
      </c>
      <c r="N76" s="18" t="n">
        <v>-1233.6</v>
      </c>
      <c r="O76" s="18" t="n">
        <v>-6828.85</v>
      </c>
      <c r="P76" s="37" t="n">
        <v>-15004.46</v>
      </c>
      <c r="Q76" s="18" t="n">
        <v>-3928.4</v>
      </c>
      <c r="R76" s="18" t="n">
        <v>-2235.52</v>
      </c>
      <c r="S76" s="18" t="n">
        <v>-6798</v>
      </c>
      <c r="T76" s="18" t="n">
        <v>-16305.51</v>
      </c>
      <c r="U76" s="37" t="n">
        <v>-29267.43</v>
      </c>
      <c r="V76" s="18" t="n">
        <v>-5200.18</v>
      </c>
      <c r="W76" s="18" t="n">
        <v>6485.7</v>
      </c>
      <c r="X76" s="18" t="n">
        <v>-2787.99</v>
      </c>
      <c r="Y76" s="18" t="n">
        <v>-2580.26</v>
      </c>
      <c r="Z76" s="37" t="n">
        <v>-4082.73</v>
      </c>
      <c r="AA76" s="18" t="n">
        <v>532.6</v>
      </c>
      <c r="AB76" s="19" t="n">
        <v>297.95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이자수익</t>
        </is>
      </c>
      <c r="F77" s="9" t="n"/>
      <c r="G77" s="18" t="n">
        <v>0.18</v>
      </c>
      <c r="H77" s="18" t="n">
        <v>0.15</v>
      </c>
      <c r="K77" s="9" t="n"/>
      <c r="L77" s="18" t="n">
        <v>0.46</v>
      </c>
      <c r="M77" s="18" t="n">
        <v>891.73</v>
      </c>
      <c r="P77" s="9" t="n"/>
      <c r="U77" s="9" t="n"/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이자비용</t>
        </is>
      </c>
      <c r="F78" s="9" t="n"/>
      <c r="K78" s="9" t="n"/>
      <c r="L78" s="18" t="n">
        <v>1325.63</v>
      </c>
      <c r="M78" s="18" t="n">
        <v>1443.13</v>
      </c>
      <c r="P78" s="9" t="n"/>
      <c r="U78" s="9" t="n"/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이자손익</t>
        </is>
      </c>
      <c r="F79" s="9" t="n"/>
      <c r="K79" s="9" t="n"/>
      <c r="L79" s="18" t="n">
        <v>-1325.17</v>
      </c>
      <c r="M79" s="18" t="n">
        <v>-551.4</v>
      </c>
      <c r="P79" s="9" t="n"/>
      <c r="U79" s="9" t="n"/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3778.79</v>
      </c>
      <c r="F80" s="9" t="n"/>
      <c r="G80" s="18" t="n">
        <v>-6951</v>
      </c>
      <c r="H80" s="18" t="n">
        <v>21821.16</v>
      </c>
      <c r="I80" s="18" t="n">
        <v>-12731.4</v>
      </c>
      <c r="J80" s="18" t="n">
        <v>4207.52</v>
      </c>
      <c r="K80" s="37" t="n">
        <v>6346.28</v>
      </c>
      <c r="L80" s="18" t="n">
        <v>-1822.97</v>
      </c>
      <c r="M80" s="18" t="n">
        <v>-912.14</v>
      </c>
      <c r="N80" s="18" t="n">
        <v>-2028.01</v>
      </c>
      <c r="O80" s="18" t="n">
        <v>-170.81</v>
      </c>
      <c r="P80" s="37" t="n">
        <v>-4933.93</v>
      </c>
      <c r="Q80" s="18" t="n">
        <v>-2677.23</v>
      </c>
      <c r="R80" s="18" t="n">
        <v>13178.24</v>
      </c>
      <c r="S80" s="18" t="n">
        <v>-2604.55</v>
      </c>
      <c r="T80" s="18" t="n">
        <v>2996.85</v>
      </c>
      <c r="U80" s="37" t="n">
        <v>10893.31</v>
      </c>
      <c r="V80" s="18" t="n">
        <v>-240.26</v>
      </c>
      <c r="W80" s="18" t="n">
        <v>1984.33</v>
      </c>
      <c r="X80" s="18" t="n">
        <v>2964.72</v>
      </c>
      <c r="Y80" s="18" t="n">
        <v>-5992.57</v>
      </c>
      <c r="Z80" s="37" t="n">
        <v>-1283.78</v>
      </c>
      <c r="AA80" s="18" t="n">
        <v>-1680.28</v>
      </c>
      <c r="AB80" s="19" t="n">
        <v>1255.16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감가상각비</t>
        </is>
      </c>
      <c r="E81" s="18" t="n">
        <v>1968.07</v>
      </c>
      <c r="F81" s="9" t="n"/>
      <c r="G81" s="18" t="n">
        <v>1961.06</v>
      </c>
      <c r="H81" s="18" t="n">
        <v>1956.7</v>
      </c>
      <c r="I81" s="18" t="n">
        <v>1950.02</v>
      </c>
      <c r="J81" s="18" t="n">
        <v>1982.4</v>
      </c>
      <c r="K81" s="37" t="n">
        <v>7850.18</v>
      </c>
      <c r="L81" s="18" t="n">
        <v>1984.9</v>
      </c>
      <c r="M81" s="18" t="n">
        <v>1996.76</v>
      </c>
      <c r="P81" s="9" t="n"/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배당금수취(CF)</t>
        </is>
      </c>
      <c r="E82" s="18" t="n">
        <v>0</v>
      </c>
      <c r="F82" s="9" t="n"/>
      <c r="G82" s="18" t="n">
        <v>0</v>
      </c>
      <c r="H82" s="18" t="n">
        <v>20.96</v>
      </c>
      <c r="I82" s="18" t="n">
        <v>0</v>
      </c>
      <c r="J82" s="18" t="n">
        <v>0</v>
      </c>
      <c r="K82" s="37" t="n">
        <v>20.96</v>
      </c>
      <c r="L82" s="18" t="n">
        <v>10</v>
      </c>
      <c r="M82" s="18" t="n">
        <v>0</v>
      </c>
      <c r="N82" s="18" t="n">
        <v>1.6</v>
      </c>
      <c r="O82" s="18" t="n">
        <v>0</v>
      </c>
      <c r="P82" s="37" t="n">
        <v>11.6</v>
      </c>
      <c r="S82" s="18" t="n">
        <v>3.2</v>
      </c>
      <c r="T82" s="18" t="n">
        <v>0</v>
      </c>
      <c r="U82" s="9" t="n"/>
      <c r="X82" s="18" t="n">
        <v>1.92</v>
      </c>
      <c r="Y82" s="18" t="n">
        <v>1.92</v>
      </c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법인세납부(CF)</t>
        </is>
      </c>
      <c r="E83" s="18" t="n">
        <v>-0.06</v>
      </c>
      <c r="F83" s="9" t="n"/>
      <c r="G83" s="18" t="n">
        <v>-526.62</v>
      </c>
      <c r="H83" s="18" t="n">
        <v>0.91</v>
      </c>
      <c r="I83" s="18" t="n">
        <v>0</v>
      </c>
      <c r="J83" s="18" t="n">
        <v>-0.2</v>
      </c>
      <c r="K83" s="37" t="n">
        <v>-525.91</v>
      </c>
      <c r="N83" s="18" t="n">
        <v>-0.16</v>
      </c>
      <c r="O83" s="18" t="n">
        <v>-1.6</v>
      </c>
      <c r="P83" s="9" t="n"/>
      <c r="Q83" s="18" t="n">
        <v>-0.84</v>
      </c>
      <c r="R83" s="18" t="n">
        <v>-6.14</v>
      </c>
      <c r="S83" s="18" t="n">
        <v>-0.86</v>
      </c>
      <c r="T83" s="18" t="n">
        <v>-0.16</v>
      </c>
      <c r="U83" s="37" t="n">
        <v>-8</v>
      </c>
      <c r="V83" s="18" t="n">
        <v>-22.84</v>
      </c>
      <c r="W83" s="18" t="n">
        <v>9.06</v>
      </c>
      <c r="X83" s="18" t="n">
        <v>-0.88</v>
      </c>
      <c r="Y83" s="18" t="n">
        <v>-0.04</v>
      </c>
      <c r="Z83" s="37" t="n">
        <v>-14.7</v>
      </c>
      <c r="AA83" s="18" t="n">
        <v>-0.21</v>
      </c>
      <c r="AB83" s="19" t="n">
        <v>22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투자활동으로인한현금흐름</t>
        </is>
      </c>
      <c r="E84" s="18" t="n">
        <v>-3810.47</v>
      </c>
      <c r="F84" s="9" t="n"/>
      <c r="G84" s="18" t="n">
        <v>343.97</v>
      </c>
      <c r="H84" s="18" t="n">
        <v>-154.75</v>
      </c>
      <c r="I84" s="18" t="n">
        <v>-1420.45</v>
      </c>
      <c r="J84" s="18" t="n">
        <v>-456.04</v>
      </c>
      <c r="K84" s="37" t="n">
        <v>-1687.27</v>
      </c>
      <c r="L84" s="18" t="n">
        <v>-627.8200000000001</v>
      </c>
      <c r="M84" s="18" t="n">
        <v>-1811.14</v>
      </c>
      <c r="N84" s="18" t="n">
        <v>-17914.77</v>
      </c>
      <c r="O84" s="18" t="n">
        <v>-1302.24</v>
      </c>
      <c r="P84" s="37" t="n">
        <v>-21655.97</v>
      </c>
      <c r="Q84" s="18" t="n">
        <v>-449.17</v>
      </c>
      <c r="R84" s="18" t="n">
        <v>-453.35</v>
      </c>
      <c r="S84" s="18" t="n">
        <v>-759.4</v>
      </c>
      <c r="T84" s="18" t="n">
        <v>771.89</v>
      </c>
      <c r="U84" s="37" t="n">
        <v>-890.03</v>
      </c>
      <c r="V84" s="18" t="n">
        <v>330.43</v>
      </c>
      <c r="W84" s="18" t="n">
        <v>-575.05</v>
      </c>
      <c r="X84" s="18" t="n">
        <v>5525.89</v>
      </c>
      <c r="Y84" s="18" t="n">
        <v>-2592.89</v>
      </c>
      <c r="Z84" s="37" t="n">
        <v>2688.38</v>
      </c>
      <c r="AA84" s="18" t="n">
        <v>760.6</v>
      </c>
      <c r="AB84" s="19" t="n">
        <v>-10867.5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유형자산의감소</t>
        </is>
      </c>
      <c r="E85" s="18" t="n">
        <v>11.3</v>
      </c>
      <c r="F85" s="9" t="n"/>
      <c r="K85" s="9" t="n"/>
      <c r="P85" s="9" t="n"/>
      <c r="S85" s="18" t="n">
        <v>0</v>
      </c>
      <c r="T85" s="18" t="n">
        <v>0</v>
      </c>
      <c r="U85" s="9" t="n"/>
      <c r="V85" s="18" t="n">
        <v>352</v>
      </c>
      <c r="W85" s="18" t="n">
        <v>145.25</v>
      </c>
      <c r="X85" s="18" t="n">
        <v>5961.91</v>
      </c>
      <c r="Y85" s="18" t="n">
        <v>32.18</v>
      </c>
      <c r="Z85" s="37" t="n">
        <v>6491.34</v>
      </c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유형자산의증가</t>
        </is>
      </c>
      <c r="E86" s="18" t="n">
        <v>1164.48</v>
      </c>
      <c r="F86" s="9" t="n"/>
      <c r="G86" s="18" t="n">
        <v>446.33</v>
      </c>
      <c r="H86" s="18" t="n">
        <v>110.65</v>
      </c>
      <c r="I86" s="18" t="n">
        <v>181.87</v>
      </c>
      <c r="J86" s="18" t="n">
        <v>790.4400000000001</v>
      </c>
      <c r="K86" s="37" t="n">
        <v>1529.29</v>
      </c>
      <c r="L86" s="18" t="n">
        <v>88.97</v>
      </c>
      <c r="M86" s="18" t="n">
        <v>830.6900000000001</v>
      </c>
      <c r="N86" s="18" t="n">
        <v>565.47</v>
      </c>
      <c r="O86" s="18" t="n">
        <v>209.97</v>
      </c>
      <c r="P86" s="37" t="n">
        <v>1695.1</v>
      </c>
      <c r="Q86" s="18" t="n">
        <v>669.61</v>
      </c>
      <c r="R86" s="18" t="n">
        <v>0.34</v>
      </c>
      <c r="S86" s="18" t="n">
        <v>938.8099999999999</v>
      </c>
      <c r="T86" s="18" t="n">
        <v>383.6</v>
      </c>
      <c r="U86" s="37" t="n">
        <v>1992.36</v>
      </c>
      <c r="V86" s="18" t="n">
        <v>151.62</v>
      </c>
      <c r="W86" s="18" t="n">
        <v>418.48</v>
      </c>
      <c r="X86" s="18" t="n">
        <v>736.01</v>
      </c>
      <c r="Y86" s="18" t="n">
        <v>1161.66</v>
      </c>
      <c r="Z86" s="37" t="n">
        <v>2467.77</v>
      </c>
      <c r="AA86" s="18" t="n">
        <v>324.93</v>
      </c>
      <c r="AB86" s="19" t="n">
        <v>4565.02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CAPEX</t>
        </is>
      </c>
      <c r="E87" s="18" t="n">
        <v>1164.48</v>
      </c>
      <c r="F87" s="9" t="n"/>
      <c r="G87" s="18" t="n">
        <v>446.33</v>
      </c>
      <c r="H87" s="18" t="n">
        <v>110.65</v>
      </c>
      <c r="I87" s="18" t="n">
        <v>181.87</v>
      </c>
      <c r="J87" s="18" t="n">
        <v>790.4400000000001</v>
      </c>
      <c r="K87" s="37" t="n">
        <v>1529.29</v>
      </c>
      <c r="L87" s="18" t="n">
        <v>88.97</v>
      </c>
      <c r="M87" s="18" t="n">
        <v>830.6900000000001</v>
      </c>
      <c r="N87" s="18" t="n">
        <v>565.47</v>
      </c>
      <c r="O87" s="18" t="n">
        <v>209.97</v>
      </c>
      <c r="P87" s="37" t="n">
        <v>1695.1</v>
      </c>
      <c r="Q87" s="18" t="n">
        <v>669.61</v>
      </c>
      <c r="R87" s="18" t="n">
        <v>0.34</v>
      </c>
      <c r="S87" s="18" t="n">
        <v>938.8099999999999</v>
      </c>
      <c r="T87" s="18" t="n">
        <v>383.6</v>
      </c>
      <c r="U87" s="37" t="n">
        <v>1992.36</v>
      </c>
      <c r="V87" s="18" t="n">
        <v>151.62</v>
      </c>
      <c r="W87" s="18" t="n">
        <v>418.48</v>
      </c>
      <c r="X87" s="18" t="n">
        <v>736.01</v>
      </c>
      <c r="Y87" s="18" t="n">
        <v>1161.66</v>
      </c>
      <c r="Z87" s="37" t="n">
        <v>2467.77</v>
      </c>
      <c r="AA87" s="18" t="n">
        <v>324.93</v>
      </c>
      <c r="AB87" s="19" t="n">
        <v>4565.02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재무활동으로인한현금흐름</t>
        </is>
      </c>
      <c r="E88" s="18" t="n">
        <v>854.1799999999999</v>
      </c>
      <c r="F88" s="9" t="n"/>
      <c r="G88" s="18" t="n">
        <v>5712.27</v>
      </c>
      <c r="H88" s="18" t="n">
        <v>-21140.58</v>
      </c>
      <c r="I88" s="18" t="n">
        <v>14358.8</v>
      </c>
      <c r="J88" s="18" t="n">
        <v>-398.8</v>
      </c>
      <c r="K88" s="37" t="n">
        <v>-1468.31</v>
      </c>
      <c r="L88" s="18" t="n">
        <v>1298.12</v>
      </c>
      <c r="M88" s="18" t="n">
        <v>-194.32</v>
      </c>
      <c r="N88" s="18" t="n">
        <v>19731.4</v>
      </c>
      <c r="O88" s="18" t="n">
        <v>1601.83</v>
      </c>
      <c r="P88" s="37" t="n">
        <v>22437.03</v>
      </c>
      <c r="Q88" s="18" t="n">
        <v>3228.15</v>
      </c>
      <c r="R88" s="18" t="n">
        <v>-9227.620000000001</v>
      </c>
      <c r="S88" s="18" t="n">
        <v>-42.6</v>
      </c>
      <c r="T88" s="18" t="n">
        <v>-560.04</v>
      </c>
      <c r="U88" s="37" t="n">
        <v>-6602.11</v>
      </c>
      <c r="V88" s="18" t="n">
        <v>-52.11</v>
      </c>
      <c r="W88" s="18" t="n">
        <v>-1103.39</v>
      </c>
      <c r="X88" s="18" t="n">
        <v>-1007.62</v>
      </c>
      <c r="Y88" s="18" t="n">
        <v>3209.4</v>
      </c>
      <c r="Z88" s="37" t="n">
        <v>1046.28</v>
      </c>
      <c r="AA88" s="18" t="n">
        <v>-3843.72</v>
      </c>
      <c r="AB88" s="19" t="n">
        <v>20005.47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단기차입금의증가</t>
        </is>
      </c>
      <c r="E89" s="18" t="n">
        <v>30716.87</v>
      </c>
      <c r="F89" s="9" t="n"/>
      <c r="G89" s="18" t="n">
        <v>28556.69</v>
      </c>
      <c r="H89" s="18" t="n">
        <v>3665.08</v>
      </c>
      <c r="I89" s="18" t="n">
        <v>32176.09</v>
      </c>
      <c r="J89" s="18" t="n">
        <v>23959.22</v>
      </c>
      <c r="K89" s="37" t="n">
        <v>88357.08</v>
      </c>
      <c r="L89" s="18" t="n">
        <v>14584.25</v>
      </c>
      <c r="M89" s="18" t="n">
        <v>5861.66</v>
      </c>
      <c r="N89" s="18" t="n">
        <v>730.75</v>
      </c>
      <c r="O89" s="18" t="n">
        <v>22862.54</v>
      </c>
      <c r="P89" s="37" t="n">
        <v>44039.2</v>
      </c>
      <c r="Q89" s="18" t="n">
        <v>18077.94</v>
      </c>
      <c r="R89" s="18" t="n">
        <v>501.6</v>
      </c>
      <c r="S89" s="18" t="n">
        <v>11318.52</v>
      </c>
      <c r="T89" s="18" t="n">
        <v>16225</v>
      </c>
      <c r="U89" s="37" t="n">
        <v>46123.06</v>
      </c>
      <c r="V89" s="18" t="n">
        <v>18726.62</v>
      </c>
      <c r="W89" s="18" t="n">
        <v>31177.49</v>
      </c>
      <c r="X89" s="18" t="n">
        <v>24013.54</v>
      </c>
      <c r="Y89" s="18" t="n">
        <v>36336.34</v>
      </c>
      <c r="Z89" s="37" t="n">
        <v>110253.99</v>
      </c>
      <c r="AA89" s="18" t="n">
        <v>30375.63</v>
      </c>
      <c r="AB89" s="19" t="n">
        <v>41727.78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단기차입금의감소</t>
        </is>
      </c>
      <c r="E90" s="18" t="n">
        <v>29238.75</v>
      </c>
      <c r="F90" s="9" t="n"/>
      <c r="G90" s="18" t="n">
        <v>22232.14</v>
      </c>
      <c r="H90" s="18" t="n">
        <v>24193.82</v>
      </c>
      <c r="I90" s="18" t="n">
        <v>17195.49</v>
      </c>
      <c r="J90" s="18" t="n">
        <v>23730.67</v>
      </c>
      <c r="K90" s="37" t="n">
        <v>87352.12</v>
      </c>
      <c r="L90" s="18" t="n">
        <v>12982.9</v>
      </c>
      <c r="M90" s="18" t="n">
        <v>1028.93</v>
      </c>
      <c r="O90" s="18" t="n">
        <v>17421.09</v>
      </c>
      <c r="P90" s="9" t="n"/>
      <c r="Q90" s="18" t="n">
        <v>14575.99</v>
      </c>
      <c r="R90" s="18" t="n">
        <v>7834.27</v>
      </c>
      <c r="S90" s="18" t="n">
        <v>11320.24</v>
      </c>
      <c r="T90" s="18" t="n">
        <v>16725.67</v>
      </c>
      <c r="U90" s="37" t="n">
        <v>50456.17</v>
      </c>
      <c r="V90" s="18" t="n">
        <v>18729.35</v>
      </c>
      <c r="W90" s="18" t="n">
        <v>32230.62</v>
      </c>
      <c r="X90" s="18" t="n">
        <v>14712.21</v>
      </c>
      <c r="Y90" s="18" t="n">
        <v>42842.19</v>
      </c>
      <c r="Z90" s="37" t="n">
        <v>108514.37</v>
      </c>
      <c r="AA90" s="18" t="n">
        <v>33215</v>
      </c>
      <c r="AB90" s="19" t="n">
        <v>51677.45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장기차입금의감소</t>
        </is>
      </c>
      <c r="E91" s="18" t="n">
        <v>589.4400000000001</v>
      </c>
      <c r="F91" s="9" t="n"/>
      <c r="G91" s="18" t="n">
        <v>591.42</v>
      </c>
      <c r="H91" s="18" t="n">
        <v>594.08</v>
      </c>
      <c r="I91" s="18" t="n">
        <v>596.3200000000001</v>
      </c>
      <c r="J91" s="18" t="n">
        <v>598.8200000000001</v>
      </c>
      <c r="K91" s="37" t="n">
        <v>2380.64</v>
      </c>
      <c r="L91" s="18" t="n">
        <v>269.74</v>
      </c>
      <c r="M91" s="18" t="n">
        <v>274.56</v>
      </c>
      <c r="N91" s="18" t="n">
        <v>185.65</v>
      </c>
      <c r="O91" s="18" t="n">
        <v>187.8</v>
      </c>
      <c r="P91" s="37" t="n">
        <v>917.75</v>
      </c>
      <c r="U91" s="9" t="n"/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현금및현금성자산의증감</t>
        </is>
      </c>
      <c r="E92" s="18" t="n">
        <v>822.5</v>
      </c>
      <c r="F92" s="9" t="n"/>
      <c r="G92" s="18" t="n">
        <v>-894.76</v>
      </c>
      <c r="H92" s="18" t="n">
        <v>525.83</v>
      </c>
      <c r="I92" s="18" t="n">
        <v>206.94</v>
      </c>
      <c r="J92" s="18" t="n">
        <v>3352.69</v>
      </c>
      <c r="K92" s="37" t="n">
        <v>3190.7</v>
      </c>
      <c r="L92" s="18" t="n">
        <v>-1152.67</v>
      </c>
      <c r="M92" s="18" t="n">
        <v>-2917.59</v>
      </c>
      <c r="N92" s="18" t="n">
        <v>-211.39</v>
      </c>
      <c r="O92" s="18" t="n">
        <v>128.77</v>
      </c>
      <c r="P92" s="37" t="n">
        <v>-4152.88</v>
      </c>
      <c r="Q92" s="18" t="n">
        <v>101.75</v>
      </c>
      <c r="R92" s="18" t="n">
        <v>3497.27</v>
      </c>
      <c r="S92" s="18" t="n">
        <v>-3406.55</v>
      </c>
      <c r="T92" s="18" t="n">
        <v>3208.71</v>
      </c>
      <c r="U92" s="37" t="n">
        <v>3401.18</v>
      </c>
      <c r="V92" s="18" t="n">
        <v>38.06</v>
      </c>
      <c r="W92" s="18" t="n">
        <v>305.89</v>
      </c>
      <c r="X92" s="18" t="n">
        <v>7482.99</v>
      </c>
      <c r="Y92" s="18" t="n">
        <v>-5376.06</v>
      </c>
      <c r="Z92" s="37" t="n">
        <v>2450.88</v>
      </c>
      <c r="AA92" s="18" t="n">
        <v>-4763.4</v>
      </c>
      <c r="AB92" s="19" t="n">
        <v>10393.12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기말현금및현금성자산</t>
        </is>
      </c>
      <c r="E93" s="18" t="n">
        <v>822.5</v>
      </c>
      <c r="F93" s="9" t="n"/>
      <c r="G93" s="18" t="n">
        <v>406.48</v>
      </c>
      <c r="H93" s="18" t="n">
        <v>525.83</v>
      </c>
      <c r="I93" s="18" t="n">
        <v>206.94</v>
      </c>
      <c r="J93" s="18" t="n">
        <v>3352.69</v>
      </c>
      <c r="K93" s="37" t="n">
        <v>4491.94</v>
      </c>
      <c r="L93" s="18" t="n">
        <v>3339.27</v>
      </c>
      <c r="M93" s="18" t="n">
        <v>-2917.59</v>
      </c>
      <c r="N93" s="18" t="n">
        <v>-211.4</v>
      </c>
      <c r="O93" s="18" t="n">
        <v>128.78</v>
      </c>
      <c r="P93" s="37" t="n">
        <v>339.06</v>
      </c>
      <c r="Q93" s="18" t="n">
        <v>440.82</v>
      </c>
      <c r="R93" s="18" t="n">
        <v>3497.27</v>
      </c>
      <c r="S93" s="18" t="n">
        <v>-3406.56</v>
      </c>
      <c r="T93" s="18" t="n">
        <v>3208.71</v>
      </c>
      <c r="U93" s="37" t="n">
        <v>3740.24</v>
      </c>
      <c r="V93" s="18" t="n">
        <v>3778.3</v>
      </c>
      <c r="W93" s="18" t="n">
        <v>305.89</v>
      </c>
      <c r="X93" s="18" t="n">
        <v>7482.99</v>
      </c>
      <c r="Y93" s="18" t="n">
        <v>-5376.06</v>
      </c>
      <c r="Z93" s="37" t="n">
        <v>6191.12</v>
      </c>
      <c r="AA93" s="18" t="n">
        <v>1427.71</v>
      </c>
      <c r="AB93" s="19" t="n">
        <v>10393.13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이자수취(CF)</t>
        </is>
      </c>
      <c r="F94" s="9" t="n"/>
      <c r="K94" s="9" t="n"/>
      <c r="O94" s="18" t="n">
        <v>8.66</v>
      </c>
      <c r="P94" s="9" t="n"/>
      <c r="Q94" s="18" t="n">
        <v>4.56</v>
      </c>
      <c r="R94" s="18" t="n">
        <v>31.52</v>
      </c>
      <c r="S94" s="18" t="n">
        <v>5.59</v>
      </c>
      <c r="T94" s="18" t="n">
        <v>2.23</v>
      </c>
      <c r="U94" s="37" t="n">
        <v>43.9</v>
      </c>
      <c r="V94" s="18" t="n">
        <v>0.8100000000000001</v>
      </c>
      <c r="W94" s="18" t="n">
        <v>1.13</v>
      </c>
      <c r="X94" s="18" t="n">
        <v>5.56</v>
      </c>
      <c r="Y94" s="18" t="n">
        <v>0.43</v>
      </c>
      <c r="Z94" s="37" t="n">
        <v>7.93</v>
      </c>
      <c r="AA94" s="18" t="n">
        <v>0.85</v>
      </c>
      <c r="AB94" s="19" t="n">
        <v>3.43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7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7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SUM(L5:O5)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7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7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SUM(L6:O6)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7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7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SUM(L7:O7)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7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7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SUM(L8:O8)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7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7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SUM(L9:O9)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7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7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SUM(L11:O11)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>
        <f>IFERROR(VLOOKUP($D12,BS별도,MATCH(L$1,BS별도H,0),0)/100,"")</f>
        <v/>
      </c>
      <c r="M12" s="18">
        <f>IFERROR(VLOOKUP($D12,BS별도,MATCH(M$1,BS별도H,0),0)/100,"")</f>
        <v/>
      </c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 t="n"/>
      <c r="AC12" s="20">
        <f>IFERROR((AB27*변수!$D$52-AB25*변수!$D$53)/4,"")</f>
        <v/>
      </c>
      <c r="AD12" s="20">
        <f>IFERROR((AC27*변수!$D$52-AC25*변수!$D$53)/4,"")</f>
        <v/>
      </c>
      <c r="AE12" s="38">
        <f>SUM(AA12:AD12)</f>
        <v/>
      </c>
      <c r="AF12" s="20">
        <f>IFERROR((AD27*변수!$D$52-AD25*변수!$D$53)/4,"")</f>
        <v/>
      </c>
      <c r="AG12" s="20">
        <f>IFERROR((AF27*변수!$D$52-AF25*변수!$D$53)/4,"")</f>
        <v/>
      </c>
      <c r="AH12" s="20">
        <f>IFERROR((AG27*변수!$D$52-AG25*변수!$D$53)/4,"")</f>
        <v/>
      </c>
      <c r="AI12" s="20">
        <f>IFERROR((AH27*변수!$D$52-AH25*변수!$D$53)/4,"")</f>
        <v/>
      </c>
      <c r="AJ12" s="38">
        <f>SUM(AF12:AI12)</f>
        <v/>
      </c>
      <c r="AK12" s="20">
        <f>IFERROR((AI27*변수!$D$52-AI25*변수!$D$53)/4,"")</f>
        <v/>
      </c>
      <c r="AL12" s="20">
        <f>IFERROR((AK27*변수!$D$52-AK25*변수!$D$53)/4,"")</f>
        <v/>
      </c>
      <c r="AM12" s="20">
        <f>IFERROR((AL27*변수!$D$52-AL25*변수!$D$53)/4,"")</f>
        <v/>
      </c>
      <c r="AN12" s="20">
        <f>IFERROR((AM27*변수!$D$52-AM25*변수!$D$53)/4,"")</f>
        <v/>
      </c>
      <c r="AO12" s="38">
        <f>SUM(AK12:AN12)</f>
        <v/>
      </c>
    </row>
    <row r="13">
      <c r="A13" s="12" t="inlineStr">
        <is>
          <t>파생상품손익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파생상품손익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 t="n"/>
      <c r="R13" s="18" t="n"/>
      <c r="S13" s="18" t="n"/>
      <c r="T13" s="18" t="n"/>
      <c r="U13" s="37">
        <f>SUM(Q13:T13)</f>
        <v/>
      </c>
      <c r="V13" s="18" t="n"/>
      <c r="W13" s="18" t="n"/>
      <c r="X13" s="18" t="n"/>
      <c r="Y13" s="18" t="n"/>
      <c r="Z13" s="37">
        <f>SUM(V13:Y13)</f>
        <v/>
      </c>
      <c r="AA13" s="18" t="n"/>
      <c r="AB13" s="19">
        <f>IFERROR((VLOOKUP("파생상품이익",BS연결,MATCH(AB$1,BS연결H,0),0)-VLOOKUP("파생상품손실",BS연결,MATCH(AB$1,BS연결H,0),0))/100,"")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IFERROR(VLOOKUP($D14,BS별도,MATCH(E$1,BS별도H,0),0)/100,"")</f>
        <v/>
      </c>
      <c r="F14" s="37" t="n"/>
      <c r="G14" s="18">
        <f>IFERROR(VLOOKUP($D14,BS별도,MATCH(G$1,BS별도H,0),0)/100,"")</f>
        <v/>
      </c>
      <c r="H14" s="18">
        <f>IFERROR(VLOOKUP($D14,BS별도,MATCH(H$1,BS별도H,0),0)/100,"")</f>
        <v/>
      </c>
      <c r="I14" s="18">
        <f>IFERROR(VLOOKUP($D14,BS별도,MATCH(I$1,BS별도H,0),0)/100,"")</f>
        <v/>
      </c>
      <c r="J14" s="18">
        <f>IFERROR(VLOOKUP($D14,BS별도,MATCH(J$1,BS별도H,0),0)/100,"")</f>
        <v/>
      </c>
      <c r="K14" s="37">
        <f>SUM(G14:J14)</f>
        <v/>
      </c>
      <c r="L14" s="18">
        <f>IFERROR(VLOOKUP($D14,BS별도,MATCH(L$1,BS별도H,0),0)/100,"")</f>
        <v/>
      </c>
      <c r="M14" s="18">
        <f>IFERROR(VLOOKUP($D14,BS별도,MATCH(M$1,BS별도H,0),0)/100,"")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SUM(L14:O14)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IFERROR(VLOOKUP($D15,BS별도,MATCH(E$1,BS별도H,0),0)/100,"")</f>
        <v/>
      </c>
      <c r="F15" s="37" t="n"/>
      <c r="G15" s="18">
        <f>IFERROR(VLOOKUP($D15,BS별도,MATCH(G$1,BS별도H,0),0)/100,"")</f>
        <v/>
      </c>
      <c r="H15" s="18">
        <f>IFERROR(VLOOKUP($D15,BS별도,MATCH(H$1,BS별도H,0),0)/100,"")</f>
        <v/>
      </c>
      <c r="I15" s="18">
        <f>IFERROR(VLOOKUP($D15,BS별도,MATCH(I$1,BS별도H,0),0)/100,"")</f>
        <v/>
      </c>
      <c r="J15" s="18">
        <f>IFERROR(VLOOKUP($D15,BS별도,MATCH(J$1,BS별도H,0),0)/100,"")</f>
        <v/>
      </c>
      <c r="K15" s="37">
        <f>SUM(G15:J15)</f>
        <v/>
      </c>
      <c r="L15" s="18">
        <f>IFERROR(VLOOKUP($D15,BS별도,MATCH(L$1,BS별도H,0),0)/100,"")</f>
        <v/>
      </c>
      <c r="M15" s="18">
        <f>IFERROR(VLOOKUP($D15,BS별도,MATCH(M$1,BS별도H,0),0)/100,"")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SUM(L15:O15)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SUM(Q15:T15)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  <c r="AF15" s="20">
        <f>IFERROR(AF9+AF11+AF14,"")</f>
        <v/>
      </c>
      <c r="AG15" s="20">
        <f>IFERROR(AG9+AG11+AG14,"")</f>
        <v/>
      </c>
      <c r="AH15" s="20">
        <f>IFERROR(AH9+AH11+AH14,"")</f>
        <v/>
      </c>
      <c r="AI15" s="20">
        <f>IFERROR(AI9+AI11+AI14,"")</f>
        <v/>
      </c>
      <c r="AJ15" s="38">
        <f>SUM(AF15:AI15)</f>
        <v/>
      </c>
      <c r="AK15" s="20">
        <f>IFERROR(AK9+AK11+AK14,"")</f>
        <v/>
      </c>
      <c r="AL15" s="20">
        <f>IFERROR(AL9+AL11+AL14,"")</f>
        <v/>
      </c>
      <c r="AM15" s="20">
        <f>IFERROR(AM9+AM11+AM14,"")</f>
        <v/>
      </c>
      <c r="AN15" s="20">
        <f>IFERROR(AN9+AN11+AN14,"")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IFERROR(VLOOKUP($D16,BS별도,MATCH(E$1,BS별도H,0),0)/100,"")</f>
        <v/>
      </c>
      <c r="F16" s="37" t="n"/>
      <c r="G16" s="18">
        <f>IFERROR(VLOOKUP($D16,BS별도,MATCH(G$1,BS별도H,0),0)/100,"")</f>
        <v/>
      </c>
      <c r="H16" s="18">
        <f>IFERROR(VLOOKUP($D16,BS별도,MATCH(H$1,BS별도H,0),0)/100,"")</f>
        <v/>
      </c>
      <c r="I16" s="18">
        <f>IFERROR(VLOOKUP($D16,BS별도,MATCH(I$1,BS별도H,0),0)/100,"")</f>
        <v/>
      </c>
      <c r="J16" s="18">
        <f>IFERROR(VLOOKUP($D16,BS별도,MATCH(J$1,BS별도H,0),0)/100,"")</f>
        <v/>
      </c>
      <c r="K16" s="37">
        <f>SUM(G16:J16)</f>
        <v/>
      </c>
      <c r="L16" s="18">
        <f>IFERROR(VLOOKUP($D16,BS별도,MATCH(L$1,BS별도H,0),0)/100,"")</f>
        <v/>
      </c>
      <c r="M16" s="18">
        <f>IFERROR(VLOOKUP($D16,BS별도,MATCH(M$1,BS별도H,0),0)/100,"")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SUM(L16:O16)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IFERROR(VLOOKUP($D17,BS별도,MATCH(E$1,BS별도H,0),0)/100,"")</f>
        <v/>
      </c>
      <c r="F17" s="37" t="n"/>
      <c r="G17" s="18">
        <f>IFERROR(VLOOKUP($D17,BS별도,MATCH(G$1,BS별도H,0),0)/100,"")</f>
        <v/>
      </c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>
        <f>IFERROR(VLOOKUP($D17,BS별도,MATCH(J$1,BS별도H,0),0)/100,"")</f>
        <v/>
      </c>
      <c r="K17" s="37">
        <f>SUM(G17:J17)</f>
        <v/>
      </c>
      <c r="L17" s="18">
        <f>IFERROR(VLOOKUP($D17,BS별도,MATCH(L$1,BS별도H,0),0)/100,"")</f>
        <v/>
      </c>
      <c r="M17" s="18">
        <f>IFERROR(VLOOKUP($D17,BS별도,MATCH(M$1,BS별도H,0),0)/100,"")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SUM(L17:O17)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IFERROR(VLOOKUP($D18,BS별도,MATCH(E$1,BS별도H,0),0)/100,"")</f>
        <v/>
      </c>
      <c r="F18" s="37" t="n"/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7">
        <f>SUM(G18:J18)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SUM(L18:O18)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SUM(V18:Y18)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감가상각비</t>
        </is>
      </c>
      <c r="B19" t="inlineStr">
        <is>
          <t>손익</t>
        </is>
      </c>
      <c r="C19" t="inlineStr">
        <is>
          <t>억원</t>
        </is>
      </c>
      <c r="D19" t="inlineStr">
        <is>
          <t>감가상각비</t>
        </is>
      </c>
      <c r="E19" s="18">
        <f>IFERROR(VLOOKUP($D19,BS별도,MATCH(E$1,BS별도H,0),0)/100,"")</f>
        <v/>
      </c>
      <c r="F19" s="37" t="n"/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7">
        <f>SUM(G19:J19)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 t="n"/>
      <c r="O19" s="18" t="n"/>
      <c r="P19" s="37">
        <f>SUM(L19:O19)</f>
        <v/>
      </c>
      <c r="Q19" s="18" t="n"/>
      <c r="R19" s="18" t="n"/>
      <c r="S19" s="18" t="n"/>
      <c r="T19" s="18" t="n"/>
      <c r="U19" s="37">
        <f>SUM(Q19:T19)</f>
        <v/>
      </c>
      <c r="V19" s="18" t="n"/>
      <c r="W19" s="18" t="n"/>
      <c r="X19" s="18" t="n"/>
      <c r="Y19" s="18" t="n"/>
      <c r="Z19" s="37">
        <f>SUM(V19:Y19)</f>
        <v/>
      </c>
      <c r="AA19" s="18" t="n"/>
      <c r="AB19" s="19" t="n"/>
      <c r="AC19" s="20">
        <f>변수!AC28</f>
        <v/>
      </c>
      <c r="AD19" s="20">
        <f>변수!AD28</f>
        <v/>
      </c>
      <c r="AE19" s="38">
        <f>SUM(AA19:AD19)</f>
        <v/>
      </c>
      <c r="AF19" s="20">
        <f>변수!AF28</f>
        <v/>
      </c>
      <c r="AG19" s="20">
        <f>변수!AG28</f>
        <v/>
      </c>
      <c r="AH19" s="20">
        <f>변수!AH28</f>
        <v/>
      </c>
      <c r="AI19" s="20">
        <f>변수!AI28</f>
        <v/>
      </c>
      <c r="AJ19" s="38">
        <f>SUM(AF19:AI19)</f>
        <v/>
      </c>
      <c r="AK19" s="20">
        <f>변수!AK28</f>
        <v/>
      </c>
      <c r="AL19" s="20">
        <f>변수!AL28</f>
        <v/>
      </c>
      <c r="AM19" s="20">
        <f>변수!AM28</f>
        <v/>
      </c>
      <c r="AN19" s="20">
        <f>변수!AN28</f>
        <v/>
      </c>
      <c r="AO19" s="38">
        <f>SUM(AK19:AN19)</f>
        <v/>
      </c>
    </row>
    <row r="20">
      <c r="A20" s="12" t="inlineStr">
        <is>
          <t>EBITDA</t>
        </is>
      </c>
      <c r="B20" t="inlineStr">
        <is>
          <t>손익</t>
        </is>
      </c>
      <c r="C20" t="inlineStr">
        <is>
          <t>억원</t>
        </is>
      </c>
      <c r="D20" t="inlineStr">
        <is>
          <t>EBITDA</t>
        </is>
      </c>
      <c r="E20" s="18" t="n">
        <v>120.31</v>
      </c>
      <c r="F20" s="37" t="n"/>
      <c r="G20" s="18" t="n">
        <v>47.6</v>
      </c>
      <c r="H20" s="18" t="n">
        <v>36.71</v>
      </c>
      <c r="I20" s="18" t="n">
        <v>13.18</v>
      </c>
      <c r="J20" s="18" t="n">
        <v>-11.79</v>
      </c>
      <c r="K20" s="37">
        <f>SUM(G20:J20)</f>
        <v/>
      </c>
      <c r="L20" s="18" t="n">
        <v>-1.92</v>
      </c>
      <c r="M20" s="18" t="n">
        <v>-14.02</v>
      </c>
      <c r="N20" s="18" t="n"/>
      <c r="O20" s="18" t="n"/>
      <c r="P20" s="37">
        <f>SUM(L20:O20)</f>
        <v/>
      </c>
      <c r="Q20" s="18" t="n"/>
      <c r="R20" s="18" t="n"/>
      <c r="S20" s="18" t="n"/>
      <c r="T20" s="18" t="n"/>
      <c r="U20" s="37">
        <f>SUM(Q20:T20)</f>
        <v/>
      </c>
      <c r="V20" s="18" t="n"/>
      <c r="W20" s="18" t="n"/>
      <c r="X20" s="18" t="n"/>
      <c r="Y20" s="18" t="n"/>
      <c r="Z20" s="37">
        <f>SUM(V20:Y20)</f>
        <v/>
      </c>
      <c r="AA20" s="18" t="n"/>
      <c r="AB20" s="19" t="n"/>
      <c r="AC20" s="20">
        <f>IFERROR(AC9+AC19,"")</f>
        <v/>
      </c>
      <c r="AD20" s="20">
        <f>IFERROR(AD9+AD19,"")</f>
        <v/>
      </c>
      <c r="AE20" s="38">
        <f>SUM(AA20:AD20)</f>
        <v/>
      </c>
      <c r="AF20" s="20">
        <f>IFERROR(AF9+AF19,"")</f>
        <v/>
      </c>
      <c r="AG20" s="20">
        <f>IFERROR(AG9+AG19,"")</f>
        <v/>
      </c>
      <c r="AH20" s="20">
        <f>IFERROR(AH9+AH19,"")</f>
        <v/>
      </c>
      <c r="AI20" s="20">
        <f>IFERROR(AI9+AI19,"")</f>
        <v/>
      </c>
      <c r="AJ20" s="38">
        <f>SUM(AF20:AI20)</f>
        <v/>
      </c>
      <c r="AK20" s="20">
        <f>IFERROR(AK9+AK19,"")</f>
        <v/>
      </c>
      <c r="AL20" s="20">
        <f>IFERROR(AL9+AL19,"")</f>
        <v/>
      </c>
      <c r="AM20" s="20">
        <f>IFERROR(AM9+AM19,"")</f>
        <v/>
      </c>
      <c r="AN20" s="20">
        <f>IFERROR(AN9+AN19,"")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IFERROR(VLOOKUP($D21,BS별도,MATCH(E$1,BS별도H,0),0)/100,"")</f>
        <v/>
      </c>
      <c r="F21" s="37" t="n">
        <v>1832.39</v>
      </c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7">
        <f>J21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IFERROR(VLOOKUP($D22,BS별도,MATCH(E$1,BS별도H,0),0)/100,"")</f>
        <v/>
      </c>
      <c r="F22" s="37" t="n">
        <v>1037.41</v>
      </c>
      <c r="G22" s="18">
        <f>IFERROR(VLOOKUP($D22,BS별도,MATCH(G$1,BS별도H,0),0)/100,"")</f>
        <v/>
      </c>
      <c r="H22" s="18">
        <f>IFERROR(VLOOKUP($D22,BS별도,MATCH(H$1,BS별도H,0),0)/100,"")</f>
        <v/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37">
        <f>J22</f>
        <v/>
      </c>
      <c r="L22" s="18">
        <f>IFERROR(VLOOKUP($D22,BS별도,MATCH(L$1,BS별도H,0),0)/100,"")</f>
        <v/>
      </c>
      <c r="M22" s="18">
        <f>IFERROR(VLOOKUP($D22,BS별도,MATCH(M$1,BS별도H,0),0)/100,"")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IFERROR(AB22*(1+변수!AC29),"")</f>
        <v/>
      </c>
      <c r="AD22" s="20">
        <f>IFERROR(AC22*(1+변수!AD29),"")</f>
        <v/>
      </c>
      <c r="AE22" s="38">
        <f>AD22</f>
        <v/>
      </c>
      <c r="AF22" s="20">
        <f>IFERROR(AD22*(1+변수!AF29),"")</f>
        <v/>
      </c>
      <c r="AG22" s="20">
        <f>IFERROR(AF22*(1+변수!AG29),"")</f>
        <v/>
      </c>
      <c r="AH22" s="20">
        <f>IFERROR(AG22*(1+변수!AH29),"")</f>
        <v/>
      </c>
      <c r="AI22" s="20">
        <f>IFERROR(AH22*(1+변수!AI29),"")</f>
        <v/>
      </c>
      <c r="AJ22" s="38">
        <f>AI22</f>
        <v/>
      </c>
      <c r="AK22" s="20">
        <f>IFERROR(AI22*(1+변수!AK29),"")</f>
        <v/>
      </c>
      <c r="AL22" s="20">
        <f>IFERROR(AK22*(1+변수!AL29),"")</f>
        <v/>
      </c>
      <c r="AM22" s="20">
        <f>IFERROR(AL22*(1+변수!AM29),"")</f>
        <v/>
      </c>
      <c r="AN22" s="20">
        <f>IFERROR(AM22*(1+변수!AN29),"")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IFERROR(VLOOKUP($D23,BS별도,MATCH(E$1,BS별도H,0),0)/100,"")</f>
        <v/>
      </c>
      <c r="F23" s="37" t="n">
        <v>794.98</v>
      </c>
      <c r="G23" s="18">
        <f>IFERROR(VLOOKUP($D23,BS별도,MATCH(G$1,BS별도H,0),0)/100,"")</f>
        <v/>
      </c>
      <c r="H23" s="18">
        <f>IFERROR(VLOOKUP($D23,BS별도,MATCH(H$1,BS별도H,0),0)/100,"")</f>
        <v/>
      </c>
      <c r="I23" s="18">
        <f>IFERROR(VLOOKUP($D23,BS별도,MATCH(I$1,BS별도H,0),0)/100,"")</f>
        <v/>
      </c>
      <c r="J23" s="18">
        <f>IFERROR(VLOOKUP($D23,BS별도,MATCH(J$1,BS별도H,0),0)/100,"")</f>
        <v/>
      </c>
      <c r="K23" s="37">
        <f>J23</f>
        <v/>
      </c>
      <c r="L23" s="18">
        <f>IFERROR(VLOOKUP($D23,BS별도,MATCH(L$1,BS별도H,0),0)/100,"")</f>
        <v/>
      </c>
      <c r="M23" s="18">
        <f>IFERROR(VLOOKUP($D23,BS별도,MATCH(M$1,BS별도H,0),0)/100,"")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IFERROR(AB23+AC17-변수!AC30,"")</f>
        <v/>
      </c>
      <c r="AD23" s="20">
        <f>IFERROR(AC23+AD17-변수!AD30,"")</f>
        <v/>
      </c>
      <c r="AE23" s="38">
        <f>AD23</f>
        <v/>
      </c>
      <c r="AF23" s="20">
        <f>IFERROR(AD23+AF17-변수!AF30,"")</f>
        <v/>
      </c>
      <c r="AG23" s="20">
        <f>IFERROR(AF23+AG17-변수!AG30,"")</f>
        <v/>
      </c>
      <c r="AH23" s="20">
        <f>IFERROR(AG23+AH17-변수!AH30,"")</f>
        <v/>
      </c>
      <c r="AI23" s="20">
        <f>IFERROR(AH23+AI17-변수!AI30,"")</f>
        <v/>
      </c>
      <c r="AJ23" s="38">
        <f>AI23</f>
        <v/>
      </c>
      <c r="AK23" s="20">
        <f>IFERROR(AI23+AK17-변수!AK30,"")</f>
        <v/>
      </c>
      <c r="AL23" s="20">
        <f>IFERROR(AK23+AL17-변수!AL30,"")</f>
        <v/>
      </c>
      <c r="AM23" s="20">
        <f>IFERROR(AL23+AM17-변수!AM30,"")</f>
        <v/>
      </c>
      <c r="AN23" s="20">
        <f>IFERROR(AM23+AN17-변수!AN30,"")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IFERROR(VLOOKUP($D24,BS별도,MATCH(E$1,BS별도H,0),0)/100,"")</f>
        <v/>
      </c>
      <c r="F24" s="37" t="n">
        <v>794.98</v>
      </c>
      <c r="G24" s="18">
        <f>IFERROR(VLOOKUP($D24,BS별도,MATCH(G$1,BS별도H,0),0)/100,"")</f>
        <v/>
      </c>
      <c r="H24" s="18">
        <f>IFERROR(VLOOKUP($D24,BS별도,MATCH(H$1,BS별도H,0),0)/100,"")</f>
        <v/>
      </c>
      <c r="I24" s="18">
        <f>IFERROR(VLOOKUP($D24,BS별도,MATCH(I$1,BS별도H,0),0)/100,"")</f>
        <v/>
      </c>
      <c r="J24" s="18">
        <f>IFERROR(VLOOKUP($D24,BS별도,MATCH(J$1,BS별도H,0),0)/100,"")</f>
        <v/>
      </c>
      <c r="K24" s="37">
        <f>J24</f>
        <v/>
      </c>
      <c r="L24" s="18">
        <f>IFERROR(VLOOKUP($D24,BS별도,MATCH(L$1,BS별도H,0),0)/100,"")</f>
        <v/>
      </c>
      <c r="M24" s="18">
        <f>IFERROR(VLOOKUP($D24,BS별도,MATCH(M$1,BS별도H,0),0)/100,"")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IFERROR(AB24+AC18-변수!AC31,"")</f>
        <v/>
      </c>
      <c r="AD24" s="20">
        <f>IFERROR(AC24+AD18-변수!AD31,"")</f>
        <v/>
      </c>
      <c r="AE24" s="38">
        <f>AD24</f>
        <v/>
      </c>
      <c r="AF24" s="20">
        <f>IFERROR(AD24+AF18-변수!AF31,"")</f>
        <v/>
      </c>
      <c r="AG24" s="20">
        <f>IFERROR(AF24+AG18-변수!AG31,"")</f>
        <v/>
      </c>
      <c r="AH24" s="20">
        <f>IFERROR(AG24+AH18-변수!AH31,"")</f>
        <v/>
      </c>
      <c r="AI24" s="20">
        <f>IFERROR(AH24+AI18-변수!AI31,"")</f>
        <v/>
      </c>
      <c r="AJ24" s="38">
        <f>AI24</f>
        <v/>
      </c>
      <c r="AK24" s="20">
        <f>IFERROR(AI24+AK18-변수!AK31,"")</f>
        <v/>
      </c>
      <c r="AL24" s="20">
        <f>IFERROR(AK24+AL18-변수!AL31,"")</f>
        <v/>
      </c>
      <c r="AM24" s="20">
        <f>IFERROR(AL24+AM18-변수!AM31,"")</f>
        <v/>
      </c>
      <c r="AN24" s="20">
        <f>IFERROR(AM24+AN18-변수!AN31,"")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IFERROR(VLOOKUP($D25,BS별도,MATCH(E$1,BS별도H,0),0)/100,"")</f>
        <v/>
      </c>
      <c r="F25" s="37" t="n">
        <v>748.35</v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7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IFERROR(AB25*(1+변수!AC32),"")</f>
        <v/>
      </c>
      <c r="AD25" s="20">
        <f>IFERROR(AC25*(1+변수!AD32),"")</f>
        <v/>
      </c>
      <c r="AE25" s="38">
        <f>AD25</f>
        <v/>
      </c>
      <c r="AF25" s="20">
        <f>IFERROR(AD25*(1+변수!AF32),"")</f>
        <v/>
      </c>
      <c r="AG25" s="20">
        <f>IFERROR(AF25*(1+변수!AG32),"")</f>
        <v/>
      </c>
      <c r="AH25" s="20">
        <f>IFERROR(AG25*(1+변수!AH32),"")</f>
        <v/>
      </c>
      <c r="AI25" s="20">
        <f>IFERROR(AH25*(1+변수!AI32),"")</f>
        <v/>
      </c>
      <c r="AJ25" s="38">
        <f>AI25</f>
        <v/>
      </c>
      <c r="AK25" s="20">
        <f>IFERROR(AI25*(1+변수!AK32),"")</f>
        <v/>
      </c>
      <c r="AL25" s="20">
        <f>IFERROR(AK25*(1+변수!AL32),"")</f>
        <v/>
      </c>
      <c r="AM25" s="20">
        <f>IFERROR(AL25*(1+변수!AM32),"")</f>
        <v/>
      </c>
      <c r="AN25" s="20">
        <f>IFERROR(AM25*(1+변수!AN32),"")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IFERROR(VLOOKUP($D26,BS별도,MATCH(E$1,BS별도H,0),0)/100,"")</f>
        <v/>
      </c>
      <c r="F26" s="37" t="n">
        <v>735.34</v>
      </c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7">
        <f>J26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IFERROR(AB26*(1+변수!AC33),"")</f>
        <v/>
      </c>
      <c r="AD26" s="20">
        <f>IFERROR(AC26*(1+변수!AD33),"")</f>
        <v/>
      </c>
      <c r="AE26" s="38">
        <f>AD26</f>
        <v/>
      </c>
      <c r="AF26" s="20">
        <f>IFERROR(AD26*(1+변수!AF33),"")</f>
        <v/>
      </c>
      <c r="AG26" s="20">
        <f>IFERROR(AF26*(1+변수!AG33),"")</f>
        <v/>
      </c>
      <c r="AH26" s="20">
        <f>IFERROR(AG26*(1+변수!AH33),"")</f>
        <v/>
      </c>
      <c r="AI26" s="20">
        <f>IFERROR(AH26*(1+변수!AI33),"")</f>
        <v/>
      </c>
      <c r="AJ26" s="38">
        <f>AI26</f>
        <v/>
      </c>
      <c r="AK26" s="20">
        <f>IFERROR(AI26*(1+변수!AK33),"")</f>
        <v/>
      </c>
      <c r="AL26" s="20">
        <f>IFERROR(AK26*(1+변수!AL33),"")</f>
        <v/>
      </c>
      <c r="AM26" s="20">
        <f>IFERROR(AL26*(1+변수!AM33),"")</f>
        <v/>
      </c>
      <c r="AN26" s="20">
        <f>IFERROR(AM26*(1+변수!AN33),"")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IFERROR(VLOOKUP($D27,BS별도,MATCH(E$1,BS별도H,0),0)/100,"")</f>
        <v/>
      </c>
      <c r="F27" s="37" t="n">
        <v>19.76</v>
      </c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7">
        <f>J27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IFERROR(AB27*(1+변수!AC34),"")</f>
        <v/>
      </c>
      <c r="AD27" s="20">
        <f>IFERROR(AC27*(1+변수!AD34),"")</f>
        <v/>
      </c>
      <c r="AE27" s="38">
        <f>AD27</f>
        <v/>
      </c>
      <c r="AF27" s="20">
        <f>IFERROR(AD27*(1+변수!AF34),"")</f>
        <v/>
      </c>
      <c r="AG27" s="20">
        <f>IFERROR(AF27*(1+변수!AG34),"")</f>
        <v/>
      </c>
      <c r="AH27" s="20">
        <f>IFERROR(AG27*(1+변수!AH34),"")</f>
        <v/>
      </c>
      <c r="AI27" s="20">
        <f>IFERROR(AH27*(1+변수!AI34),"")</f>
        <v/>
      </c>
      <c r="AJ27" s="38">
        <f>AI27</f>
        <v/>
      </c>
      <c r="AK27" s="20">
        <f>IFERROR(AI27*(1+변수!AK34),"")</f>
        <v/>
      </c>
      <c r="AL27" s="20">
        <f>IFERROR(AK27*(1+변수!AL34),"")</f>
        <v/>
      </c>
      <c r="AM27" s="20">
        <f>IFERROR(AL27*(1+변수!AM34),"")</f>
        <v/>
      </c>
      <c r="AN27" s="20">
        <f>IFERROR(AM27*(1+변수!AN34),"")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IFERROR(VLOOKUP($D28,BS별도,MATCH(E$1,BS별도H,0),0)/100,"")</f>
        <v/>
      </c>
      <c r="F28" s="37" t="n">
        <v>13.01</v>
      </c>
      <c r="G28" s="18">
        <f>IFERROR(VLOOKUP($D28,BS별도,MATCH(G$1,BS별도H,0),0)/100,"")</f>
        <v/>
      </c>
      <c r="H28" s="18">
        <f>IFERROR(VLOOKUP($D28,BS별도,MATCH(H$1,BS별도H,0),0)/100,"")</f>
        <v/>
      </c>
      <c r="I28" s="18">
        <f>IFERROR(VLOOKUP($D28,BS별도,MATCH(I$1,BS별도H,0),0)/100,"")</f>
        <v/>
      </c>
      <c r="J28" s="18">
        <f>IFERROR(VLOOKUP($D28,BS별도,MATCH(J$1,BS별도H,0),0)/100,"")</f>
        <v/>
      </c>
      <c r="K28" s="37">
        <f>J28</f>
        <v/>
      </c>
      <c r="L28" s="18">
        <f>IFERROR(VLOOKUP($D28,BS별도,MATCH(L$1,BS별도H,0),0)/100,"")</f>
        <v/>
      </c>
      <c r="M28" s="18">
        <f>IFERROR(VLOOKUP($D28,BS별도,MATCH(M$1,BS별도H,0),0)/100,"")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IFERROR(VLOOKUP($D29,BS별도,MATCH(E$1,BS별도H,0),0)/100,"")</f>
        <v/>
      </c>
      <c r="F29" s="37" t="n"/>
      <c r="G29" s="18">
        <f>IFERROR(VLOOKUP($D29,BS별도,MATCH(G$1,BS별도H,0),0)/100,"")</f>
        <v/>
      </c>
      <c r="H29" s="18">
        <f>IFERROR(VLOOKUP($D29,BS별도,MATCH(H$1,BS별도H,0),0)/100,"")</f>
        <v/>
      </c>
      <c r="I29" s="18">
        <f>IFERROR(VLOOKUP($D29,BS별도,MATCH(I$1,BS별도H,0),0)/100,"")</f>
        <v/>
      </c>
      <c r="J29" s="18">
        <f>IFERROR(VLOOKUP($D29,BS별도,MATCH(J$1,BS별도H,0),0)/100,"")</f>
        <v/>
      </c>
      <c r="K29" s="37">
        <f>SUM(G29:J29)</f>
        <v/>
      </c>
      <c r="L29" s="18">
        <f>IFERROR(VLOOKUP($D29,BS별도,MATCH(L$1,BS별도H,0),0)/100,"")</f>
        <v/>
      </c>
      <c r="M29" s="18">
        <f>IFERROR(VLOOKUP($D29,BS별도,MATCH(M$1,BS별도H,0),0)/100,"")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SUM(L29:O29)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IFERROR(X29*(1+변수!AC36),"")</f>
        <v/>
      </c>
      <c r="AD29" s="20">
        <f>IFERROR(Y29*(1+변수!AD36),"")</f>
        <v/>
      </c>
      <c r="AE29" s="38">
        <f>SUM(AA29:AD29)</f>
        <v/>
      </c>
      <c r="AF29" s="20">
        <f>IFERROR(AA29*(1+변수!AF36),"")</f>
        <v/>
      </c>
      <c r="AG29" s="20">
        <f>IFERROR(AB29*(1+변수!AG36),"")</f>
        <v/>
      </c>
      <c r="AH29" s="20">
        <f>IFERROR(AC29*(1+변수!AH36),"")</f>
        <v/>
      </c>
      <c r="AI29" s="20">
        <f>IFERROR(AD29*(1+변수!AI36),"")</f>
        <v/>
      </c>
      <c r="AJ29" s="38">
        <f>SUM(AF29:AI29)</f>
        <v/>
      </c>
      <c r="AK29" s="20">
        <f>IFERROR(AF29*(1+변수!AK36),"")</f>
        <v/>
      </c>
      <c r="AL29" s="20">
        <f>IFERROR(AG29*(1+변수!AL36),"")</f>
        <v/>
      </c>
      <c r="AM29" s="20">
        <f>IFERROR(AH29*(1+변수!AM36),"")</f>
        <v/>
      </c>
      <c r="AN29" s="20">
        <f>IFERROR(AI29*(1+변수!AN36),"")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IFERROR(VLOOKUP($D30,BS별도,MATCH(E$1,BS별도H,0),0)/100,"")</f>
        <v/>
      </c>
      <c r="F30" s="37" t="n"/>
      <c r="G30" s="18">
        <f>IFERROR(VLOOKUP($D30,BS별도,MATCH(G$1,BS별도H,0),0)/100,"")</f>
        <v/>
      </c>
      <c r="H30" s="18">
        <f>IFERROR(VLOOKUP($D30,BS별도,MATCH(H$1,BS별도H,0),0)/100,"")</f>
        <v/>
      </c>
      <c r="I30" s="18">
        <f>IFERROR(VLOOKUP($D30,BS별도,MATCH(I$1,BS별도H,0),0)/100,"")</f>
        <v/>
      </c>
      <c r="J30" s="18">
        <f>IFERROR(VLOOKUP($D30,BS별도,MATCH(J$1,BS별도H,0),0)/100,"")</f>
        <v/>
      </c>
      <c r="K30" s="37">
        <f>SUM(G30:J30)</f>
        <v/>
      </c>
      <c r="L30" s="18">
        <f>IFERROR(VLOOKUP($D30,BS별도,MATCH(L$1,BS별도H,0),0)/100,"")</f>
        <v/>
      </c>
      <c r="M30" s="18">
        <f>IFERROR(VLOOKUP($D30,BS별도,MATCH(M$1,BS별도H,0),0)/100,"")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SUM(L30:O30)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29.55</v>
      </c>
      <c r="F31" s="28">
        <f>E31</f>
        <v/>
      </c>
      <c r="G31" s="27" t="n">
        <v>29.55</v>
      </c>
      <c r="H31" s="27" t="n">
        <v>29.782</v>
      </c>
      <c r="I31" s="27" t="n">
        <v>29.782</v>
      </c>
      <c r="J31" s="27" t="n">
        <v>29.782</v>
      </c>
      <c r="K31" s="28">
        <f>J31</f>
        <v/>
      </c>
      <c r="L31" s="27" t="n">
        <v>29.782</v>
      </c>
      <c r="M31" s="27" t="n">
        <v>29.918</v>
      </c>
      <c r="N31" s="27" t="n">
        <v>29.918</v>
      </c>
      <c r="O31" s="27" t="n">
        <v>30.826</v>
      </c>
      <c r="P31" s="28">
        <f>O31</f>
        <v/>
      </c>
      <c r="Q31" s="27" t="n">
        <v>30.826</v>
      </c>
      <c r="R31" s="27" t="n">
        <v>30.826</v>
      </c>
      <c r="S31" s="27" t="n">
        <v>30.826</v>
      </c>
      <c r="T31" s="27" t="n">
        <v>30.826</v>
      </c>
      <c r="U31" s="28">
        <f>T31</f>
        <v/>
      </c>
      <c r="V31" s="27" t="n">
        <v>30.826</v>
      </c>
      <c r="W31" s="27" t="n">
        <v>30.826</v>
      </c>
      <c r="X31" s="27" t="n">
        <v>30.826</v>
      </c>
      <c r="Y31" s="27" t="n">
        <v>37.115</v>
      </c>
      <c r="Z31" s="28">
        <f>Y31</f>
        <v/>
      </c>
      <c r="AA31" s="27" t="n">
        <v>37.115</v>
      </c>
      <c r="AB31" s="29" t="n">
        <v>37.115</v>
      </c>
      <c r="AC31" s="33">
        <f>IFERROR(AB31*(1+변수!AC38),"")</f>
        <v/>
      </c>
      <c r="AD31" s="33">
        <f>IFERROR(AC31*(1+변수!AD38),"")</f>
        <v/>
      </c>
      <c r="AE31" s="31">
        <f>AD31</f>
        <v/>
      </c>
      <c r="AF31" s="33">
        <f>IFERROR(AD31*(1+변수!AF38),"")</f>
        <v/>
      </c>
      <c r="AG31" s="33">
        <f>IFERROR(AF31*(1+변수!AG38),"")</f>
        <v/>
      </c>
      <c r="AH31" s="33">
        <f>IFERROR(AG31*(1+변수!AH38),"")</f>
        <v/>
      </c>
      <c r="AI31" s="33">
        <f>IFERROR(AH31*(1+변수!AI38),"")</f>
        <v/>
      </c>
      <c r="AJ31" s="31">
        <f>AI31</f>
        <v/>
      </c>
      <c r="AK31" s="33">
        <f>IFERROR(AI31*(1+변수!AK38),"")</f>
        <v/>
      </c>
      <c r="AL31" s="33">
        <f>IFERROR(AK31*(1+변수!AL38),"")</f>
        <v/>
      </c>
      <c r="AM31" s="33">
        <f>IFERROR(AL31*(1+변수!AM38),"")</f>
        <v/>
      </c>
      <c r="AN31" s="33">
        <f>IFERROR(AM31*(1+변수!AN38),"")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IFERROR(E18*100/E31,"")</f>
        <v/>
      </c>
      <c r="F32" s="37" t="n"/>
      <c r="G32" s="18">
        <f>IFERROR(G18*100/G31,"")</f>
        <v/>
      </c>
      <c r="H32" s="18">
        <f>IFERROR(H18*100/H31,"")</f>
        <v/>
      </c>
      <c r="I32" s="18">
        <f>IFERROR(I18*100/I31,"")</f>
        <v/>
      </c>
      <c r="J32" s="18">
        <f>IFERROR(J18*100/J31,"")</f>
        <v/>
      </c>
      <c r="K32" s="37">
        <f>SUM(G32:J32)</f>
        <v/>
      </c>
      <c r="L32" s="18">
        <f>IFERROR(L18*100/L31,"")</f>
        <v/>
      </c>
      <c r="M32" s="18">
        <f>IFERROR(M18*100/M31,"")</f>
        <v/>
      </c>
      <c r="N32" s="18">
        <f>IFERROR(N18*100/N31,"")</f>
        <v/>
      </c>
      <c r="O32" s="18">
        <f>IFERROR(O18*100/O31,"")</f>
        <v/>
      </c>
      <c r="P32" s="37">
        <f>SUM(L32:O32)</f>
        <v/>
      </c>
      <c r="Q32" s="18">
        <f>IFERROR(Q18*100/Q31,"")</f>
        <v/>
      </c>
      <c r="R32" s="18">
        <f>IFERROR(R18*100/R31,"")</f>
        <v/>
      </c>
      <c r="S32" s="18">
        <f>IFERROR(S18*100/S31,"")</f>
        <v/>
      </c>
      <c r="T32" s="18">
        <f>IFERROR(T18*100/T31,"")</f>
        <v/>
      </c>
      <c r="U32" s="37">
        <f>SUM(Q32:T32)</f>
        <v/>
      </c>
      <c r="V32" s="18">
        <f>IFERROR(V18*100/V31,"")</f>
        <v/>
      </c>
      <c r="W32" s="18">
        <f>IFERROR(W18*100/W31,"")</f>
        <v/>
      </c>
      <c r="X32" s="18">
        <f>IFERROR(X18*100/X31,"")</f>
        <v/>
      </c>
      <c r="Y32" s="18">
        <f>IFERROR(Y18*100/Y31,"")</f>
        <v/>
      </c>
      <c r="Z32" s="37">
        <f>SUM(V32:Y32)</f>
        <v/>
      </c>
      <c r="AA32" s="18">
        <f>IFERROR(AA18*100/AA31,"")</f>
        <v/>
      </c>
      <c r="AB32" s="19">
        <f>IFERROR(AB18*100/AB31,"")</f>
        <v/>
      </c>
      <c r="AC32" s="20">
        <f>IFERROR(AC18*100/AC31,"")</f>
        <v/>
      </c>
      <c r="AD32" s="20">
        <f>IFERROR(AD18*100/AD31,"")</f>
        <v/>
      </c>
      <c r="AE32" s="38">
        <f>SUM(AA32:AD32)</f>
        <v/>
      </c>
      <c r="AF32" s="20">
        <f>IFERROR(AF18*100/AF31,"")</f>
        <v/>
      </c>
      <c r="AG32" s="20">
        <f>IFERROR(AG18*100/AG31,"")</f>
        <v/>
      </c>
      <c r="AH32" s="20">
        <f>IFERROR(AH18*100/AH31,"")</f>
        <v/>
      </c>
      <c r="AI32" s="20">
        <f>IFERROR(AI18*100/AI31,"")</f>
        <v/>
      </c>
      <c r="AJ32" s="38">
        <f>SUM(AF32:AI32)</f>
        <v/>
      </c>
      <c r="AK32" s="20">
        <f>IFERROR(AK18*100/AK31,"")</f>
        <v/>
      </c>
      <c r="AL32" s="20">
        <f>IFERROR(AL18*100/AL31,"")</f>
        <v/>
      </c>
      <c r="AM32" s="20">
        <f>IFERROR(AM18*100/AM31,"")</f>
        <v/>
      </c>
      <c r="AN32" s="20">
        <f>IFERROR(AN18*100/AN31,"")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0</v>
      </c>
      <c r="F34" s="37" t="n">
        <v>0</v>
      </c>
      <c r="G34" s="18" t="n"/>
      <c r="H34" s="18" t="n"/>
      <c r="I34" s="18" t="n"/>
      <c r="J34" s="18" t="n">
        <v>0</v>
      </c>
      <c r="K34" s="37">
        <f>SUM(G34:J34)</f>
        <v/>
      </c>
      <c r="L34" s="18" t="n"/>
      <c r="M34" s="18" t="n"/>
      <c r="N34" s="18" t="n"/>
      <c r="O34" s="18" t="n">
        <v>0</v>
      </c>
      <c r="P34" s="37">
        <f>SUM(L34:O34)</f>
        <v/>
      </c>
      <c r="Q34" s="18" t="n"/>
      <c r="R34" s="18" t="n"/>
      <c r="S34" s="18" t="n"/>
      <c r="T34" s="18" t="n">
        <v>0</v>
      </c>
      <c r="U34" s="37">
        <f>SUM(Q34:T34)</f>
        <v/>
      </c>
      <c r="V34" s="18" t="n"/>
      <c r="W34" s="18" t="n"/>
      <c r="X34" s="18" t="n"/>
      <c r="Y34" s="18" t="n">
        <v>0</v>
      </c>
      <c r="Z34" s="37">
        <f>SUM(V34:Y34)</f>
        <v/>
      </c>
      <c r="AA34" s="18" t="n"/>
      <c r="AB34" s="19" t="n"/>
      <c r="AC34" s="20" t="n"/>
      <c r="AD34" s="20">
        <f>변수!AD39</f>
        <v/>
      </c>
      <c r="AE34" s="38">
        <f>SUM(AA34:AD34)</f>
        <v/>
      </c>
      <c r="AF34" s="20" t="n"/>
      <c r="AG34" s="20" t="n"/>
      <c r="AH34" s="20" t="n"/>
      <c r="AI34" s="20">
        <f>변수!AI39</f>
        <v/>
      </c>
      <c r="AJ34" s="38">
        <f>SUM(AF34:AI34)</f>
        <v/>
      </c>
      <c r="AK34" s="20" t="n"/>
      <c r="AL34" s="20" t="n"/>
      <c r="AM34" s="20" t="n"/>
      <c r="AN34" s="20">
        <f>변수!AN39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>
        <f>IFERROR(변수!I18/(E32+G32+H32+I32),"")</f>
        <v/>
      </c>
      <c r="J35" s="13" t="n"/>
      <c r="K35" s="14">
        <f>J35</f>
        <v/>
      </c>
      <c r="L35" s="13" t="n"/>
      <c r="M35" s="13" t="n"/>
      <c r="N35" s="13" t="n"/>
      <c r="O35" s="13" t="n"/>
      <c r="P35" s="14">
        <f>O35</f>
        <v/>
      </c>
      <c r="Q35" s="13" t="n"/>
      <c r="R35" s="13" t="n"/>
      <c r="S35" s="13" t="n"/>
      <c r="T35" s="13" t="n"/>
      <c r="U35" s="14">
        <f>T35</f>
        <v/>
      </c>
      <c r="V35" s="13" t="n"/>
      <c r="W35" s="13" t="n"/>
      <c r="X35" s="13" t="n"/>
      <c r="Y35" s="13" t="n"/>
      <c r="Z35" s="14">
        <f>Y35</f>
        <v/>
      </c>
      <c r="AA35" s="13">
        <f>IFERROR(변수!AA18/(W32+X32+Y32+AA32),"")</f>
        <v/>
      </c>
      <c r="AB35" s="15" t="n"/>
      <c r="AC35" s="39" t="n"/>
      <c r="AD35" s="39">
        <f>IFERROR(변수!$D$42/(AA32+AB32+AC32+AD32),"")</f>
        <v/>
      </c>
      <c r="AE35" s="40">
        <f>AD35</f>
        <v/>
      </c>
      <c r="AF35" s="39">
        <f>IFERROR(변수!$D$42/(AB32+AC32+AD32+AF32),"")</f>
        <v/>
      </c>
      <c r="AG35" s="39">
        <f>IFERROR(변수!$D$42/(AC32+AD32+AF32+AG32),"")</f>
        <v/>
      </c>
      <c r="AH35" s="39">
        <f>IFERROR(변수!$D$42/(AD32+AF32+AG32+AH32),"")</f>
        <v/>
      </c>
      <c r="AI35" s="39">
        <f>IFERROR(변수!$D$42/(AF32+AG32+AH32+AI32),"")</f>
        <v/>
      </c>
      <c r="AJ35" s="40">
        <f>AI35</f>
        <v/>
      </c>
      <c r="AK35" s="39">
        <f>IFERROR(변수!$D$42/(AG32+AH32+AI32+AK32),"")</f>
        <v/>
      </c>
      <c r="AL35" s="39">
        <f>IFERROR(변수!$D$42/(AH32+AI32+AK32+AL32),"")</f>
        <v/>
      </c>
      <c r="AM35" s="39">
        <f>IFERROR(변수!$D$42/(AI32+AK32+AL32+AM32),"")</f>
        <v/>
      </c>
      <c r="AN35" s="39">
        <f>IFERROR(변수!$D$42/(AK32+AL32+AM32+AN32),"")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IFERROR(변수!$D$42/AC33,"")</f>
        <v/>
      </c>
      <c r="AD36" s="39">
        <f>IFERROR(변수!$D$42/AD33,"")</f>
        <v/>
      </c>
      <c r="AE36" s="40">
        <f>AD36</f>
        <v/>
      </c>
      <c r="AF36" s="39">
        <f>IFERROR(변수!$D$42/AF33,"")</f>
        <v/>
      </c>
      <c r="AG36" s="39">
        <f>IFERROR(변수!$D$42/AG33,"")</f>
        <v/>
      </c>
      <c r="AH36" s="39">
        <f>IFERROR(변수!$D$42/AH33,"")</f>
        <v/>
      </c>
      <c r="AI36" s="39">
        <f>IFERROR(변수!$D$42/AI33,"")</f>
        <v/>
      </c>
      <c r="AJ36" s="40">
        <f>AI36</f>
        <v/>
      </c>
      <c r="AK36" s="39">
        <f>IFERROR(변수!$D$42/AK33,"")</f>
        <v/>
      </c>
      <c r="AL36" s="39">
        <f>IFERROR(변수!$D$42/AL33,"")</f>
        <v/>
      </c>
      <c r="AM36" s="39">
        <f>IFERROR(변수!$D$42/AM33,"")</f>
        <v/>
      </c>
      <c r="AN36" s="39">
        <f>IFERROR(변수!$D$42/AN33,"")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452.13</v>
      </c>
      <c r="F37" s="37" t="n"/>
      <c r="G37" s="18" t="n">
        <v>345.13</v>
      </c>
      <c r="H37" s="18" t="n">
        <v>355.73</v>
      </c>
      <c r="I37" s="18" t="n">
        <v>340.53</v>
      </c>
      <c r="J37" s="18" t="n">
        <v>354.65</v>
      </c>
      <c r="K37" s="37">
        <f>SUM(G37:J37)</f>
        <v/>
      </c>
      <c r="L37" s="18" t="n">
        <v>390.7</v>
      </c>
      <c r="M37" s="18" t="n">
        <v>340.78</v>
      </c>
      <c r="N37" s="18" t="n">
        <v>311.25</v>
      </c>
      <c r="O37" s="18" t="n">
        <v>279.24</v>
      </c>
      <c r="P37" s="37">
        <f>SUM(L37:O37)</f>
        <v/>
      </c>
      <c r="Q37" s="18" t="n">
        <v>281.67</v>
      </c>
      <c r="R37" s="18" t="n">
        <v>260.06</v>
      </c>
      <c r="S37" s="18" t="n">
        <v>306.63</v>
      </c>
      <c r="T37" s="18" t="n">
        <v>343.36</v>
      </c>
      <c r="U37" s="37">
        <f>SUM(Q37:T37)</f>
        <v/>
      </c>
      <c r="V37" s="18" t="n">
        <v>366.46</v>
      </c>
      <c r="W37" s="18" t="n">
        <v>476.27</v>
      </c>
      <c r="X37" s="18" t="n">
        <v>485.14</v>
      </c>
      <c r="Y37" s="18" t="n">
        <v>533.85</v>
      </c>
      <c r="Z37" s="37">
        <f>SUM(V37:Y37)</f>
        <v/>
      </c>
      <c r="AA37" s="18" t="n">
        <v>506.2</v>
      </c>
      <c r="AB37" s="19" t="n">
        <v>491.36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100.62</v>
      </c>
      <c r="F38" s="37" t="n"/>
      <c r="G38" s="18" t="n">
        <v>27.99</v>
      </c>
      <c r="H38" s="18" t="n">
        <v>17.14</v>
      </c>
      <c r="I38" s="18" t="n">
        <v>-6.33</v>
      </c>
      <c r="J38" s="18" t="n">
        <v>-31.62</v>
      </c>
      <c r="K38" s="37">
        <f>SUM(G38:J38)</f>
        <v/>
      </c>
      <c r="L38" s="18" t="n">
        <v>-21.77</v>
      </c>
      <c r="M38" s="18" t="n">
        <v>-33.99</v>
      </c>
      <c r="N38" s="18" t="n">
        <v>-33.91</v>
      </c>
      <c r="O38" s="18" t="n">
        <v>-108.1</v>
      </c>
      <c r="P38" s="37">
        <f>SUM(L38:O38)</f>
        <v/>
      </c>
      <c r="Q38" s="18" t="n">
        <v>-43.94</v>
      </c>
      <c r="R38" s="18" t="n">
        <v>-9.35</v>
      </c>
      <c r="S38" s="18" t="n">
        <v>-67.98</v>
      </c>
      <c r="T38" s="18" t="n">
        <v>-70.11</v>
      </c>
      <c r="U38" s="37">
        <f>SUM(Q38:T38)</f>
        <v/>
      </c>
      <c r="V38" s="18" t="n">
        <v>-54.52</v>
      </c>
      <c r="W38" s="18" t="n">
        <v>15.83</v>
      </c>
      <c r="X38" s="18" t="n">
        <v>0.32</v>
      </c>
      <c r="Y38" s="18" t="n">
        <v>21.67</v>
      </c>
      <c r="Z38" s="37">
        <f>SUM(V38:Y38)</f>
        <v/>
      </c>
      <c r="AA38" s="18" t="n">
        <v>13.94</v>
      </c>
      <c r="AB38" s="19" t="n">
        <v>12.78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IFERROR(E18/E5,"")</f>
        <v/>
      </c>
      <c r="F40" s="22">
        <f>IFERROR(F18/F5,"")</f>
        <v/>
      </c>
      <c r="G40" s="21">
        <f>IFERROR(G18/G5,"")</f>
        <v/>
      </c>
      <c r="H40" s="21">
        <f>IFERROR(H18/H5,"")</f>
        <v/>
      </c>
      <c r="I40" s="21">
        <f>IFERROR(I18/I5,"")</f>
        <v/>
      </c>
      <c r="J40" s="21">
        <f>IFERROR(J18/J5,"")</f>
        <v/>
      </c>
      <c r="K40" s="22">
        <f>IFERROR(K18/K5,"")</f>
        <v/>
      </c>
      <c r="L40" s="21">
        <f>IFERROR(L18/L5,"")</f>
        <v/>
      </c>
      <c r="M40" s="21">
        <f>IFERROR(M18/M5,"")</f>
        <v/>
      </c>
      <c r="N40" s="21">
        <f>IFERROR(N18/N5,"")</f>
        <v/>
      </c>
      <c r="O40" s="21">
        <f>IFERROR(O18/O5,"")</f>
        <v/>
      </c>
      <c r="P40" s="22">
        <f>IFERROR(P18/P5,"")</f>
        <v/>
      </c>
      <c r="Q40" s="21">
        <f>IFERROR(Q18/Q5,"")</f>
        <v/>
      </c>
      <c r="R40" s="21">
        <f>IFERROR(R18/R5,"")</f>
        <v/>
      </c>
      <c r="S40" s="21">
        <f>IFERROR(S18/S5,"")</f>
        <v/>
      </c>
      <c r="T40" s="21">
        <f>IFERROR(T18/T5,"")</f>
        <v/>
      </c>
      <c r="U40" s="22">
        <f>IFERROR(U18/U5,"")</f>
        <v/>
      </c>
      <c r="V40" s="21">
        <f>IFERROR(V18/V5,"")</f>
        <v/>
      </c>
      <c r="W40" s="21">
        <f>IFERROR(W18/W5,"")</f>
        <v/>
      </c>
      <c r="X40" s="21">
        <f>IFERROR(X18/X5,"")</f>
        <v/>
      </c>
      <c r="Y40" s="21">
        <f>IFERROR(Y18/Y5,"")</f>
        <v/>
      </c>
      <c r="Z40" s="22">
        <f>IFERROR(Z18/Z5,"")</f>
        <v/>
      </c>
      <c r="AA40" s="21">
        <f>IFERROR(AA18/AA5,"")</f>
        <v/>
      </c>
      <c r="AB40" s="23">
        <f>IFERROR(AB18/AB5,"")</f>
        <v/>
      </c>
      <c r="AC40" s="32">
        <f>IFERROR(AC18/AC5,"")</f>
        <v/>
      </c>
      <c r="AD40" s="32">
        <f>IFERROR(AD18/AD5,"")</f>
        <v/>
      </c>
      <c r="AE40" s="25">
        <f>IFERROR(AE18/AE5,"")</f>
        <v/>
      </c>
      <c r="AF40" s="32">
        <f>IFERROR(AF18/AF5,"")</f>
        <v/>
      </c>
      <c r="AG40" s="32">
        <f>IFERROR(AG18/AG5,"")</f>
        <v/>
      </c>
      <c r="AH40" s="32">
        <f>IFERROR(AH18/AH5,"")</f>
        <v/>
      </c>
      <c r="AI40" s="32">
        <f>IFERROR(AI18/AI5,"")</f>
        <v/>
      </c>
      <c r="AJ40" s="25">
        <f>IFERROR(AJ18/AJ5,"")</f>
        <v/>
      </c>
      <c r="AK40" s="32">
        <f>IFERROR(AK18/AK5,"")</f>
        <v/>
      </c>
      <c r="AL40" s="32">
        <f>IFERROR(AL18/AL5,"")</f>
        <v/>
      </c>
      <c r="AM40" s="32">
        <f>IFERROR(AM18/AM5,"")</f>
        <v/>
      </c>
      <c r="AN40" s="32">
        <f>IFERROR(AN18/AN5,"")</f>
        <v/>
      </c>
      <c r="AO40" s="25">
        <f>IFERROR(AO18/AO5,"")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파생상품손익</t>
        </is>
      </c>
      <c r="D13" t="inlineStr">
        <is>
          <t>파생상품손익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감가상각비</t>
        </is>
      </c>
      <c r="D19" t="inlineStr">
        <is>
          <t>감가상각비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EBITDA</t>
        </is>
      </c>
      <c r="D20" t="inlineStr">
        <is>
          <t>EBITDA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IFERROR(I18/E18-1,"")</f>
        <v/>
      </c>
      <c r="J42" s="21">
        <f>IFERROR(J18/F18-1,"")</f>
        <v/>
      </c>
      <c r="K42" s="21">
        <f>IFERROR(K18/G18-1,"")</f>
        <v/>
      </c>
      <c r="L42" s="21">
        <f>IFERROR(L18/H18-1,"")</f>
        <v/>
      </c>
      <c r="M42" s="21">
        <f>IFERROR(M18/I18-1,"")</f>
        <v/>
      </c>
      <c r="N42" s="21">
        <f>IFERROR(N18/J18-1,"")</f>
        <v/>
      </c>
      <c r="O42" s="21">
        <f>IFERROR(O18/K18-1,"")</f>
        <v/>
      </c>
      <c r="P42" s="21">
        <f>IFERROR(P18/L18-1,"")</f>
        <v/>
      </c>
      <c r="Q42" s="21">
        <f>IFERROR(Q18/M18-1,"")</f>
        <v/>
      </c>
      <c r="R42" s="21">
        <f>IFERROR(R18/N18-1,"")</f>
        <v/>
      </c>
      <c r="S42" s="21">
        <f>IFERROR(S18/O18-1,"")</f>
        <v/>
      </c>
      <c r="T42" s="21">
        <f>IFERROR(T18/P18-1,"")</f>
        <v/>
      </c>
      <c r="U42" s="21">
        <f>IFERROR(U18/Q18-1,"")</f>
        <v/>
      </c>
      <c r="V42" s="21">
        <f>IFERROR(V18/R18-1,"")</f>
        <v/>
      </c>
      <c r="W42" s="46">
        <f>IFERROR(W18/S18-1,"")</f>
        <v/>
      </c>
      <c r="X42" s="32">
        <f>IFERROR(X18/T18-1,"")</f>
        <v/>
      </c>
      <c r="Y42" s="32">
        <f>IFERROR(Y18/U18-1,"")</f>
        <v/>
      </c>
      <c r="Z42" s="32">
        <f>IFERROR(Z18/V18-1,"")</f>
        <v/>
      </c>
      <c r="AA42" s="32">
        <f>IFERROR(AA18/W18-1,"")</f>
        <v/>
      </c>
      <c r="AB42" s="32">
        <f>IFERROR(AB18/X18-1,"")</f>
        <v/>
      </c>
      <c r="AC42" s="32">
        <f>IFERROR(AC18/Y18-1,"")</f>
        <v/>
      </c>
      <c r="AD42" s="32">
        <f>IFERROR(AD18/Z18-1,"")</f>
        <v/>
      </c>
      <c r="AE42" s="32">
        <f>IFERROR(AE18/AA18-1,"")</f>
        <v/>
      </c>
      <c r="AF42" s="32">
        <f>IFERROR(AF18/AB18-1,"")</f>
        <v/>
      </c>
      <c r="AG42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변수!D42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파생상품손익</t>
        </is>
      </c>
      <c r="D13" t="inlineStr">
        <is>
          <t>파생상품손익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감가상각비</t>
        </is>
      </c>
      <c r="D19" t="inlineStr">
        <is>
          <t>감가상각비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EBITDA</t>
        </is>
      </c>
      <c r="D20" t="inlineStr">
        <is>
          <t>EBITDA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IFERROR(F18/E18-1,"")</f>
        <v/>
      </c>
      <c r="G42" s="21">
        <f>IFERROR(G18/F18-1,"")</f>
        <v/>
      </c>
      <c r="H42" s="21">
        <f>IFERROR(H18/G18-1,"")</f>
        <v/>
      </c>
      <c r="I42" s="46">
        <f>IFERROR(I18/H18-1,"")</f>
        <v/>
      </c>
      <c r="J42" s="32">
        <f>IFERROR(J18/I18-1,"")</f>
        <v/>
      </c>
      <c r="K42" s="32">
        <f>IFERROR(K18/J18-1,"")</f>
        <v/>
      </c>
      <c r="L42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59.1</v>
      </c>
    </row>
    <row r="30">
      <c r="C30" s="2" t="inlineStr">
        <is>
          <t>bps_latest</t>
        </is>
      </c>
      <c r="D30" t="n">
        <v>1358</v>
      </c>
    </row>
    <row r="31">
      <c r="C31" s="2" t="inlineStr">
        <is>
          <t>per_now</t>
        </is>
      </c>
      <c r="D31" t="n">
        <v>16.55</v>
      </c>
    </row>
    <row r="32">
      <c r="C32" s="2" t="inlineStr">
        <is>
          <t>pbr_now</t>
        </is>
      </c>
      <c r="D32" t="n">
        <v>0.72</v>
      </c>
    </row>
    <row r="33">
      <c r="C33" s="2" t="inlineStr">
        <is>
          <t>roe_fwd</t>
        </is>
      </c>
      <c r="D33" t="n">
        <v>0.0435</v>
      </c>
    </row>
    <row r="34">
      <c r="C34" s="2" t="inlineStr">
        <is>
          <t>fair_pbr</t>
        </is>
      </c>
      <c r="D34" t="n">
        <v>0.48</v>
      </c>
    </row>
    <row r="35">
      <c r="C35" s="2" t="inlineStr">
        <is>
          <t>fair_value_pbr</t>
        </is>
      </c>
      <c r="D35" t="n">
        <v>700</v>
      </c>
    </row>
    <row r="36">
      <c r="C36" s="2" t="inlineStr">
        <is>
          <t>ev_ebitda</t>
        </is>
      </c>
      <c r="D36" t="n">
        <v>11.56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