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276806억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287510억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299791억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304873억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316863억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333821억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276806억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287510억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299791억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304873억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316863억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333821억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46.02%(주석 이자수익 ÷ 평균 이자발생자산(2022Q1~2023Q2))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195억 × 46.02%(주석 이자수익 ÷ 평균 이자발생자산(2022Q1~2023Q2))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228억 × 46.02%(주석 이자수익 ÷ 평균 이자발생자산(2022Q1~2023Q2))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264억 × 46.02%(주석 이자수익 ÷ 평균 이자발생자산(2022Q1~2023Q2))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303억 × 46.02%(주석 이자수익 ÷ 평균 이자발생자산(2022Q1~2023Q2))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346억 × 46.02%(주석 이자수익 ÷ 평균 이자발생자산(2022Q1~2023Q2))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394억 × 46.02%(주석 이자수익 ÷ 평균 이자발생자산(2022Q1~2023Q2))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446억 × 46.02%(주석 이자수익 ÷ 평균 이자발생자산(2022Q1~2023Q2))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502억 × 46.02%(주석 이자수익 ÷ 평균 이자발생자산(2022Q1~2023Q2))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564억 × 46.02%(주석 이자수익 ÷ 평균 이자발생자산(2022Q1~2023Q2)) − 총차입금 1014억 × 0.00%(없음) (연율) ÷ 4; 환율 효과는 환관련손익 행 별도
[identity]</t>
      </text>
    </comment>
    <comment ref="AC12" authorId="0" shapeId="0">
      <text>
        <t>추정: 이자발생자산 165억 × 46.02%(주석 이자수익 ÷ 평균 이자발생자산(2022Q1~2023Q2)) − 총차입금 1014억 × 0.00%(없음) (연율) ÷ 4
[interest]</t>
      </text>
    </comment>
    <comment ref="AD12" authorId="0" shapeId="0">
      <text>
        <t>추정: 이자발생자산 195억 × 46.02%(주석 이자수익 ÷ 평균 이자발생자산(2022Q1~2023Q2)) − 총차입금 1014억 × 0.00%(없음) (연율) ÷ 4
[interest]</t>
      </text>
    </comment>
    <comment ref="AF12" authorId="0" shapeId="0">
      <text>
        <t>추정: 이자발생자산 228억 × 46.02%(주석 이자수익 ÷ 평균 이자발생자산(2022Q1~2023Q2)) − 총차입금 1014억 × 0.00%(없음) (연율) ÷ 4
[interest]</t>
      </text>
    </comment>
    <comment ref="AG12" authorId="0" shapeId="0">
      <text>
        <t>추정: 이자발생자산 264억 × 46.02%(주석 이자수익 ÷ 평균 이자발생자산(2022Q1~2023Q2)) − 총차입금 1014억 × 0.00%(없음) (연율) ÷ 4
[interest]</t>
      </text>
    </comment>
    <comment ref="AH12" authorId="0" shapeId="0">
      <text>
        <t>추정: 이자발생자산 303억 × 46.02%(주석 이자수익 ÷ 평균 이자발생자산(2022Q1~2023Q2)) − 총차입금 1014억 × 0.00%(없음) (연율) ÷ 4
[interest]</t>
      </text>
    </comment>
    <comment ref="AI12" authorId="0" shapeId="0">
      <text>
        <t>추정: 이자발생자산 346억 × 46.02%(주석 이자수익 ÷ 평균 이자발생자산(2022Q1~2023Q2)) − 총차입금 1014억 × 0.00%(없음) (연율) ÷ 4
[interest]</t>
      </text>
    </comment>
    <comment ref="AK12" authorId="0" shapeId="0">
      <text>
        <t>추정: 이자발생자산 394억 × 46.02%(주석 이자수익 ÷ 평균 이자발생자산(2022Q1~2023Q2)) − 총차입금 1014억 × 0.00%(없음) (연율) ÷ 4
[interest]</t>
      </text>
    </comment>
    <comment ref="AL12" authorId="0" shapeId="0">
      <text>
        <t>추정: 이자발생자산 446억 × 46.02%(주석 이자수익 ÷ 평균 이자발생자산(2022Q1~2023Q2)) − 총차입금 1014억 × 0.00%(없음) (연율) ÷ 4
[interest]</t>
      </text>
    </comment>
    <comment ref="AM12" authorId="0" shapeId="0">
      <text>
        <t>추정: 이자발생자산 502억 × 46.02%(주석 이자수익 ÷ 평균 이자발생자산(2022Q1~2023Q2)) − 총차입금 1014억 × 0.00%(없음) (연율) ÷ 4
[interest]</t>
      </text>
    </comment>
    <comment ref="AN12" authorId="0" shapeId="0">
      <text>
        <t>추정: 이자발생자산 564억 × 46.02%(주석 이자수익 ÷ 평균 이자발생자산(2022Q1~2023Q2))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46.02% / 부채 0.00% — 이자손익 = (전분기 이자발생자산 × 자산이자율 − 전분기 총차입금 × 부채이자율)/4, 최소자승 역산(모델 assumptions [0.4602, None] 는 4자리 반올림이라 그대로 쓰면 ±1억 어긋남) · 출처: {"asset": "주석 이자수익 ÷ 평균 이자발생자산(2022Q1~2023Q2)",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금융손익 실적→추정 단절: 최근 4분기 실적 -30/-15/-14/-14(중위 -14억) → 추정 2026Q3 +19억(차 +33억, +233%)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999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995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0.229525862</v>
      </c>
      <c r="AI21" s="24" t="n">
        <v>0.235606832</v>
      </c>
      <c r="AJ21" s="25" t="n"/>
      <c r="AK21" s="24" t="n">
        <v>0.230209122</v>
      </c>
      <c r="AL21" s="24" t="n">
        <v>0.16577781</v>
      </c>
      <c r="AM21" s="24" t="n">
        <v>0.144709209</v>
      </c>
      <c r="AN21" s="24" t="n">
        <v>0.161067375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0.013328262</v>
      </c>
      <c r="AI23" s="24" t="n">
        <v>0.013334554</v>
      </c>
      <c r="AJ23" s="25">
        <f>IFERROR(subQ!AJ9/subQ!AJ5,"")</f>
        <v/>
      </c>
      <c r="AK23" s="24" t="n">
        <v>0.013337121</v>
      </c>
      <c r="AL23" s="24" t="n">
        <v>0.013337867</v>
      </c>
      <c r="AM23" s="24" t="n">
        <v>0.013333526</v>
      </c>
      <c r="AN23" s="24" t="n">
        <v>0.013337538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0.00318258</v>
      </c>
      <c r="AD30" s="30" t="n">
        <v>-0.00321308</v>
      </c>
      <c r="AE30" s="31" t="n"/>
      <c r="AF30" s="30" t="n">
        <v>-0.002092932</v>
      </c>
      <c r="AG30" s="30" t="n">
        <v>-0.001195476</v>
      </c>
      <c r="AH30" s="30" t="n">
        <v>-0.004033349</v>
      </c>
      <c r="AI30" s="30" t="n">
        <v>0.001285757</v>
      </c>
      <c r="AJ30" s="31" t="n"/>
      <c r="AK30" s="30" t="n">
        <v>0.004871083</v>
      </c>
      <c r="AL30" s="30" t="n">
        <v>-0.0005929210000000001</v>
      </c>
      <c r="AM30" s="30" t="n">
        <v>0.001404573</v>
      </c>
      <c r="AN30" s="30" t="n">
        <v>0.000170362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0.00368258</v>
      </c>
      <c r="AD31" s="30" t="n">
        <v>-0.00321308</v>
      </c>
      <c r="AE31" s="31" t="n"/>
      <c r="AF31" s="30" t="n">
        <v>-0.002092932</v>
      </c>
      <c r="AG31" s="30" t="n">
        <v>-0.001195476</v>
      </c>
      <c r="AH31" s="30" t="n">
        <v>-0.004033349</v>
      </c>
      <c r="AI31" s="30" t="n">
        <v>0.001285757</v>
      </c>
      <c r="AJ31" s="31" t="n"/>
      <c r="AK31" s="30" t="n">
        <v>0.004871083</v>
      </c>
      <c r="AL31" s="30" t="n">
        <v>-0.0005929210000000001</v>
      </c>
      <c r="AM31" s="30" t="n">
        <v>0.001404573</v>
      </c>
      <c r="AN31" s="30" t="n">
        <v>0.000170362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-0.033974239</v>
      </c>
      <c r="AD33" s="24" t="n">
        <v>-0.038789081</v>
      </c>
      <c r="AE33" s="25" t="n"/>
      <c r="AF33" s="24" t="n">
        <v>-0.043782794</v>
      </c>
      <c r="AG33" s="24" t="n">
        <v>-0.050439498</v>
      </c>
      <c r="AH33" s="24" t="n">
        <v>-0.058586296</v>
      </c>
      <c r="AI33" s="24" t="n">
        <v>-0.068557546</v>
      </c>
      <c r="AJ33" s="25" t="n"/>
      <c r="AK33" s="24" t="n">
        <v>-0.079869739</v>
      </c>
      <c r="AL33" s="24" t="n">
        <v>-0.09483713000000001</v>
      </c>
      <c r="AM33" s="24" t="n">
        <v>-0.115039656</v>
      </c>
      <c r="AN33" s="24" t="n">
        <v>-0.143144317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0.180059807</v>
      </c>
      <c r="AD34" s="24" t="n">
        <v>0.168289433</v>
      </c>
      <c r="AE34" s="25" t="n"/>
      <c r="AF34" s="24" t="n">
        <v>0.156285639</v>
      </c>
      <c r="AG34" s="24" t="n">
        <v>0.1488942</v>
      </c>
      <c r="AH34" s="24" t="n">
        <v>0.142937331</v>
      </c>
      <c r="AI34" s="24" t="n">
        <v>0.137772642</v>
      </c>
      <c r="AJ34" s="25" t="n"/>
      <c r="AK34" s="24" t="n">
        <v>0.131398537</v>
      </c>
      <c r="AL34" s="24" t="n">
        <v>0.126887946</v>
      </c>
      <c r="AM34" s="24" t="n">
        <v>0.123633322</v>
      </c>
      <c r="AN34" s="24" t="n">
        <v>0.121160561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999</v>
      </c>
      <c r="E42" s="2" t="inlineStr">
        <is>
          <t>원 — 네이버 정규장 종가(aik 확정종가 대조 · aik 980원)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0.2200029590176062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0.05202296943159693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0.4602159195779293</v>
      </c>
      <c r="E52" s="2" t="inlineStr">
        <is>
          <t>연결 — 이자손익 = (전분기 이자발생자산 × 자산이자율 − 전분기 총차입금 × 부채이자율)/4(역산, 재현 오차 ≤ 0.05억 · 모델 assumptions 0.4602)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P32" s="9" t="n"/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402.67</v>
      </c>
      <c r="P52" s="37" t="n">
        <v>402.67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P54" s="9" t="n"/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264.7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3.77</v>
      </c>
    </row>
    <row r="32">
      <c r="C32" s="2" t="inlineStr">
        <is>
          <t>pbr_now</t>
        </is>
      </c>
      <c r="D32" t="n">
        <v>0.74</v>
      </c>
    </row>
    <row r="33">
      <c r="C33" s="2" t="inlineStr">
        <is>
          <t>roe_fwd</t>
        </is>
      </c>
      <c r="D33" t="n">
        <v>0.1949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2900</v>
      </c>
    </row>
    <row r="36">
      <c r="C36" s="2" t="inlineStr">
        <is>
          <t>ev_ebitda</t>
        </is>
      </c>
      <c r="D36" t="n">
        <v>11.63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