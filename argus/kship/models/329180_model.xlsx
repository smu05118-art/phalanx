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21874억(sls.by_quarter.marine_hedged_krw_m(헤지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21365억(sls.by_quarter.marine_hedged_krw_m(헤지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982억 유지(패널 신규수주 체결 분기별 상계, net_panel)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21204억(sls.by_quarter.marine_hedged_krw_m(헤지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993억 유지(패널 신규수주 체결 분기별 상계, net_panel)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20380억(sls.by_quarter.marine_hedged_krw_m(헤지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19630억(sls.by_quarter.marine_hedged_krw_m(헤지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18729억(sls.by_quarter.marine_hedged_krw_m(헤지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993억 유지(패널 신규수주 체결 분기별 상계, net_panel)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18090억(sls.by_quarter.marine_hedged_krw_m(헤지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993억 유지(패널 신규수주 체결 분기별 상계, net_panel)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16760억(sls.by_quarter.marine_hedged_krw_m(헤지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14979억(sls.by_quarter.marine_hedged_krw_m(헤지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80674억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88204억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90207억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98588억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107523억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117035억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121216억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131815억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80674억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88204억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90207억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98588억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107523억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117035억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121216억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131815억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
[sls_link]</t>
      </text>
    </comment>
    <comment ref="AD39" authorId="0" shapeId="0">
      <text>
        <t>추정: SLS 해양 원화 21874억(sls.by_quarter.marine_hedged_krw_m(헤지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
[sls_link]</t>
      </text>
    </comment>
    <comment ref="AF39" authorId="0" shapeId="0">
      <text>
        <t>추정: SLS 해양 원화 21365억(sls.by_quarter.marine_hedged_krw_m(헤지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982억 유지(패널 신규수주 체결 분기별 상계, net_panel)
[sls_link]</t>
      </text>
    </comment>
    <comment ref="AG39" authorId="0" shapeId="0">
      <text>
        <t>추정: SLS 해양 원화 21204억(sls.by_quarter.marine_hedged_krw_m(헤지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993억 유지(패널 신규수주 체결 분기별 상계, net_panel)
[sls_link]</t>
      </text>
    </comment>
    <comment ref="AH39" authorId="0" shapeId="0">
      <text>
        <t>추정: SLS 해양 원화 20380억(sls.by_quarter.marine_hedged_krw_m(헤지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
[sls_link]</t>
      </text>
    </comment>
    <comment ref="AI39" authorId="0" shapeId="0">
      <text>
        <t>추정: SLS 해양 원화 19630억(sls.by_quarter.marine_hedged_krw_m(헤지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
[sls_link]</t>
      </text>
    </comment>
    <comment ref="AK39" authorId="0" shapeId="0">
      <text>
        <t>추정: SLS 해양 원화 18729억(sls.by_quarter.marine_hedged_krw_m(헤지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993억 유지(패널 신규수주 체결 분기별 상계, net_panel)
[sls_link]</t>
      </text>
    </comment>
    <comment ref="AL39" authorId="0" shapeId="0">
      <text>
        <t>추정: SLS 해양 원화 18090억(sls.by_quarter.marine_hedged_krw_m(헤지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993억 유지(패널 신규수주 체결 분기별 상계, net_panel)
[sls_link]</t>
      </text>
    </comment>
    <comment ref="AM39" authorId="0" shapeId="0">
      <text>
        <t>추정: SLS 해양 원화 16760억(sls.by_quarter.marine_hedged_krw_m(헤지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
[sls_link]</t>
      </text>
    </comment>
    <comment ref="AN39" authorId="0" shapeId="0">
      <text>
        <t>추정: SLS 해양 원화 14979억(sls.by_quarter.marine_hedged_krw_m(헤지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1004억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8.1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new_order_revenue 신규수주 매출(미보정 book-value proxy, status partial; FY합 163,971억) — 보수/낙관은 scenarios 블록(합산 안 함) / origin 이후 공시 수주 3건 13,215억은 SLS 일정으로 전부 유지, 패널 신규수주에서 체결 분기별 상계(2026Q3 패널 47,475억 − 공시 13,215억 = 34,260억) — 패널 base 신규 매출 −11,241억(2026 275억 · 2027 4,902억 · 2028 6,064억)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유지 SLS(공시) vs 패널 base 신규 매출(상계 후): 2026 1,562억 vs 714억 · 2027 3,984억 vs 38,092억 · 2028 3,995억 vs 125,165억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384500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383000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412700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-0.007408938</v>
      </c>
      <c r="AD30" s="29" t="n">
        <v>0.001303595</v>
      </c>
      <c r="AE30" s="30" t="n"/>
      <c r="AF30" s="29" t="n">
        <v>-0.004136055</v>
      </c>
      <c r="AG30" s="29" t="n">
        <v>5940.241590988</v>
      </c>
      <c r="AH30" s="29" t="n">
        <v>0.004678229</v>
      </c>
      <c r="AI30" s="29" t="n">
        <v>-0.005786608</v>
      </c>
      <c r="AJ30" s="30" t="n"/>
      <c r="AK30" s="29" t="n">
        <v>0.003482107</v>
      </c>
      <c r="AL30" s="29" t="n">
        <v>5940.243275892</v>
      </c>
      <c r="AM30" s="29" t="n">
        <v>0.007927188</v>
      </c>
      <c r="AN30" s="29" t="n">
        <v>0.002003492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-0.010008938</v>
      </c>
      <c r="AD31" s="29" t="n">
        <v>0.001303595</v>
      </c>
      <c r="AE31" s="30" t="n"/>
      <c r="AF31" s="29" t="n">
        <v>-0.004136055</v>
      </c>
      <c r="AG31" s="29" t="n">
        <v>5940.251590988</v>
      </c>
      <c r="AH31" s="29" t="n">
        <v>-0.005321771</v>
      </c>
      <c r="AI31" s="29" t="n">
        <v>0.004213392</v>
      </c>
      <c r="AJ31" s="30" t="n"/>
      <c r="AK31" s="29" t="n">
        <v>0.003482107</v>
      </c>
      <c r="AL31" s="29" t="n">
        <v>5940.243275892</v>
      </c>
      <c r="AM31" s="29" t="n">
        <v>0.007927188</v>
      </c>
      <c r="AN31" s="29" t="n">
        <v>0.002003492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0.120009447</v>
      </c>
      <c r="AD33" s="31" t="n">
        <v>0.10785701</v>
      </c>
      <c r="AE33" s="25" t="n"/>
      <c r="AF33" s="31" t="n">
        <v>0.100146758</v>
      </c>
      <c r="AG33" s="31" t="n">
        <v>0.024220456</v>
      </c>
      <c r="AH33" s="31" t="n">
        <v>0.098934509</v>
      </c>
      <c r="AI33" s="31" t="n">
        <v>0.095964125</v>
      </c>
      <c r="AJ33" s="25" t="n"/>
      <c r="AK33" s="31" t="n">
        <v>0.09322971100000001</v>
      </c>
      <c r="AL33" s="31" t="n">
        <v>0.037483367</v>
      </c>
      <c r="AM33" s="31" t="n">
        <v>0.091586822</v>
      </c>
      <c r="AN33" s="31" t="n">
        <v>0.086960576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0.110040893</v>
      </c>
      <c r="AD34" s="31" t="n">
        <v>0.099785888</v>
      </c>
      <c r="AE34" s="25" t="n"/>
      <c r="AF34" s="31" t="n">
        <v>0.093332819</v>
      </c>
      <c r="AG34" s="31" t="n">
        <v>0.022713155</v>
      </c>
      <c r="AH34" s="31" t="n">
        <v>0.09291430000000001</v>
      </c>
      <c r="AI34" s="31" t="n">
        <v>0.09062110800000001</v>
      </c>
      <c r="AJ34" s="25" t="n"/>
      <c r="AK34" s="31" t="n">
        <v>0.088470246</v>
      </c>
      <c r="AL34" s="31" t="n">
        <v>0.035725253</v>
      </c>
      <c r="AM34" s="31" t="n">
        <v>0.087439514</v>
      </c>
      <c r="AN34" s="31" t="n">
        <v>0.083339314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35385.264339</v>
      </c>
      <c r="AD40" s="29" t="n">
        <v>35835.318114</v>
      </c>
      <c r="AE40" s="30" t="n"/>
      <c r="AF40" s="29" t="n">
        <v>35811.865704</v>
      </c>
      <c r="AG40" s="29" t="n">
        <v>35822.808695</v>
      </c>
      <c r="AH40" s="29" t="n">
        <v>35833.641719</v>
      </c>
      <c r="AI40" s="29" t="n">
        <v>35833.706163</v>
      </c>
      <c r="AJ40" s="30" t="n"/>
      <c r="AK40" s="29" t="n">
        <v>35822.733631</v>
      </c>
      <c r="AL40" s="29" t="n">
        <v>35822.72872</v>
      </c>
      <c r="AM40" s="29" t="n">
        <v>35833.713844</v>
      </c>
      <c r="AN40" s="29" t="n">
        <v>35833.766985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2954</v>
      </c>
      <c r="AG41" s="29" t="n">
        <v>6661.68</v>
      </c>
      <c r="AH41" s="29" t="n">
        <v>11468.92</v>
      </c>
      <c r="AI41" s="29" t="n">
        <v>17007.63</v>
      </c>
      <c r="AJ41" s="30">
        <f>subQ!AJ40</f>
        <v/>
      </c>
      <c r="AK41" s="29" t="n">
        <v>22909.76</v>
      </c>
      <c r="AL41" s="29" t="n">
        <v>28807.24</v>
      </c>
      <c r="AM41" s="29" t="n">
        <v>34331.99</v>
      </c>
      <c r="AN41" s="29" t="n">
        <v>39115.96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0.140604211</v>
      </c>
      <c r="AD42" s="31" t="n">
        <v>0.140904281</v>
      </c>
      <c r="AE42" s="25">
        <f>IFERROR(subQ!AE41/subQ!AE39,"")</f>
        <v/>
      </c>
      <c r="AF42" s="31" t="n">
        <v>0.14090432</v>
      </c>
      <c r="AG42" s="31" t="n">
        <v>0.140932691</v>
      </c>
      <c r="AH42" s="31" t="n">
        <v>0.141014883</v>
      </c>
      <c r="AI42" s="31" t="n">
        <v>0.141074862</v>
      </c>
      <c r="AJ42" s="25">
        <f>IFERROR(subQ!AJ41/subQ!AJ39,"")</f>
        <v/>
      </c>
      <c r="AK42" s="31" t="n">
        <v>0.141134868</v>
      </c>
      <c r="AL42" s="31" t="n">
        <v>0.141194886</v>
      </c>
      <c r="AM42" s="31" t="n">
        <v>0.141346535</v>
      </c>
      <c r="AN42" s="31" t="n">
        <v>0.141567651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384500</v>
      </c>
      <c r="E47" s="2" t="inlineStr">
        <is>
          <t>원 — 네이버 정규장 종가(aik 확정종가 대조 · aik 420,500원)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0.2449401529793631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0.04875937702661385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0.02472805216887641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0.1390177467320359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1346.2</v>
      </c>
      <c r="S20" s="13" t="n">
        <v>1338.69</v>
      </c>
      <c r="T20" s="13" t="n">
        <v>1338.69</v>
      </c>
      <c r="U20" s="13" t="n">
        <v>1338.69</v>
      </c>
      <c r="V20" s="13" t="n">
        <v>1338.69</v>
      </c>
      <c r="W20" s="13" t="n">
        <v>1338.69</v>
      </c>
      <c r="X20" s="13" t="n">
        <v>1338.69</v>
      </c>
      <c r="Y20" s="13" t="n">
        <v>1338.69</v>
      </c>
      <c r="Z20" s="13" t="n">
        <v>1338.69</v>
      </c>
      <c r="AA20" s="13" t="n">
        <v>1338.69</v>
      </c>
      <c r="AB20" s="13" t="n">
        <v>1338.69</v>
      </c>
      <c r="AC20" s="13" t="n">
        <v>1338.69</v>
      </c>
      <c r="AD20" s="13" t="n">
        <v>1338.69</v>
      </c>
      <c r="AE20" s="13" t="n">
        <v>1338.69</v>
      </c>
      <c r="AF20" s="13" t="n">
        <v>1338.69</v>
      </c>
      <c r="AG20" s="13" t="n">
        <v>1338.69</v>
      </c>
      <c r="AH20" s="13" t="n">
        <v>1338.69</v>
      </c>
      <c r="AI20" s="13" t="n">
        <v>1338.69</v>
      </c>
      <c r="AJ20" s="13" t="n">
        <v>1338.69</v>
      </c>
      <c r="AK20" s="13" t="n">
        <v>1338.69</v>
      </c>
      <c r="AL20" s="13" t="n">
        <v>1338.69</v>
      </c>
      <c r="AM20" s="13" t="n">
        <v>1338.69</v>
      </c>
      <c r="AN20" s="13" t="n">
        <v>1338.69</v>
      </c>
      <c r="AO20" s="13" t="n">
        <v>1338.69</v>
      </c>
      <c r="AP20" s="13" t="n">
        <v>1338.69</v>
      </c>
      <c r="AQ20" s="13" t="n">
        <v>1338.69</v>
      </c>
      <c r="AR20" s="13" t="n">
        <v>1338.69</v>
      </c>
      <c r="AS20" s="13" t="n">
        <v>1338.69</v>
      </c>
      <c r="AT20" s="13" t="n">
        <v>1338.69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1416.98</v>
      </c>
      <c r="S21" s="13" t="n">
        <v>1414.73</v>
      </c>
      <c r="T21" s="13" t="n">
        <v>1416.51</v>
      </c>
      <c r="U21" s="13" t="n">
        <v>1421.09</v>
      </c>
      <c r="V21" s="13" t="n">
        <v>1422.75</v>
      </c>
      <c r="W21" s="13" t="n">
        <v>1423.84</v>
      </c>
      <c r="X21" s="13" t="n">
        <v>1425.63</v>
      </c>
      <c r="Y21" s="13" t="n">
        <v>1425.67</v>
      </c>
      <c r="Z21" s="13" t="n">
        <v>1427.55</v>
      </c>
      <c r="AA21" s="13" t="n">
        <v>1433.99</v>
      </c>
      <c r="AB21" s="13" t="n">
        <v>1431.82</v>
      </c>
      <c r="AC21" s="13" t="n">
        <v>1431.63</v>
      </c>
      <c r="AD21" s="13" t="n">
        <v>1423.21</v>
      </c>
      <c r="AE21" s="13" t="n">
        <v>1419.95</v>
      </c>
      <c r="AF21" s="13" t="n">
        <v>1424.14</v>
      </c>
      <c r="AG21" s="13" t="n">
        <v>1411.65</v>
      </c>
      <c r="AH21" s="13" t="n">
        <v>1396.7</v>
      </c>
      <c r="AI21" s="13" t="n">
        <v>1386.24</v>
      </c>
      <c r="AJ21" s="13" t="n">
        <v>1406.42</v>
      </c>
      <c r="AK21" s="13" t="n">
        <v>1416.04</v>
      </c>
      <c r="AL21" s="13" t="n">
        <v>1416.04</v>
      </c>
      <c r="AM21" s="13" t="n">
        <v>1416.04</v>
      </c>
      <c r="AN21" s="13" t="n">
        <v>1416.04</v>
      </c>
      <c r="AO21" s="13" t="n">
        <v>1416.04</v>
      </c>
      <c r="AP21" s="13" t="n">
        <v>1416.04</v>
      </c>
      <c r="AQ21" s="13" t="n">
        <v>1416.04</v>
      </c>
      <c r="AR21" s="13" t="n">
        <v>1416.04</v>
      </c>
      <c r="AS21" s="13" t="n">
        <v>1416.04</v>
      </c>
      <c r="AT21" s="13" t="n">
        <v>1416.04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2280959.9</v>
      </c>
      <c r="S22" s="18" t="n">
        <v>2227825.9</v>
      </c>
      <c r="T22" s="18" t="n">
        <v>2212802.8</v>
      </c>
      <c r="U22" s="18" t="n">
        <v>2131376.6</v>
      </c>
      <c r="V22" s="18" t="n">
        <v>2056386.6</v>
      </c>
      <c r="W22" s="18" t="n">
        <v>1965319.2</v>
      </c>
      <c r="X22" s="18" t="n">
        <v>1901334.9</v>
      </c>
      <c r="Y22" s="18" t="n">
        <v>1769436.3</v>
      </c>
      <c r="Z22" s="18" t="n">
        <v>1591279.2</v>
      </c>
      <c r="AA22" s="18" t="n">
        <v>1051714.6</v>
      </c>
      <c r="AB22" s="18" t="n">
        <v>823845.4</v>
      </c>
      <c r="AC22" s="18" t="n">
        <v>675059.2</v>
      </c>
      <c r="AD22" s="18" t="n">
        <v>427319.5</v>
      </c>
      <c r="AE22" s="18" t="n">
        <v>247299.9</v>
      </c>
      <c r="AF22" s="18" t="n">
        <v>215091.3</v>
      </c>
      <c r="AG22" s="18" t="n">
        <v>92961.3</v>
      </c>
      <c r="AH22" s="18" t="n">
        <v>47385.7</v>
      </c>
      <c r="AI22" s="18" t="n">
        <v>38779.2</v>
      </c>
      <c r="AJ22" s="18" t="n">
        <v>17614.1</v>
      </c>
      <c r="AK22" s="18" t="n">
        <v>14168.7</v>
      </c>
      <c r="AL22" s="18" t="n">
        <v>14168.7</v>
      </c>
      <c r="AM22" s="18" t="n">
        <v>14014.7</v>
      </c>
      <c r="AN22" s="18" t="n">
        <v>14014.7</v>
      </c>
      <c r="AO22" s="18" t="n">
        <v>14168.7</v>
      </c>
      <c r="AP22" s="18" t="n">
        <v>14168.7</v>
      </c>
      <c r="AQ22" s="18" t="n">
        <v>13860.7</v>
      </c>
      <c r="AR22" s="18" t="n">
        <v>14014.7</v>
      </c>
      <c r="AS22" s="18" t="n">
        <v>14168.7</v>
      </c>
      <c r="AT22" s="18" t="n">
        <v>12474.7</v>
      </c>
      <c r="AU22" s="18" t="n">
        <v>251181.4</v>
      </c>
      <c r="AV22" s="18" t="n">
        <v>692104.4</v>
      </c>
      <c r="AW22" s="18" t="n">
        <v>2596376.9</v>
      </c>
      <c r="AX22" s="18" t="n">
        <v>7675912.1</v>
      </c>
      <c r="AY22" s="18" t="n">
        <v>8628391.9</v>
      </c>
      <c r="AZ22" s="18" t="n">
        <v>7227369.6</v>
      </c>
      <c r="BA22" s="18" t="n">
        <v>2977938.7</v>
      </c>
      <c r="BB22" s="18" t="n">
        <v>602738.2</v>
      </c>
      <c r="BC22" s="18" t="n">
        <v>84730.7</v>
      </c>
      <c r="BD22" s="18" t="n">
        <v>56366.8</v>
      </c>
      <c r="BE22" s="18" t="n">
        <v>54518.8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2187416.1</v>
      </c>
      <c r="S23" s="18" t="n">
        <v>2136461.2</v>
      </c>
      <c r="T23" s="18" t="n">
        <v>2120422.9</v>
      </c>
      <c r="U23" s="18" t="n">
        <v>2037981.5</v>
      </c>
      <c r="V23" s="18" t="n">
        <v>1962991.5</v>
      </c>
      <c r="W23" s="18" t="n">
        <v>1872939.3</v>
      </c>
      <c r="X23" s="18" t="n">
        <v>1808955</v>
      </c>
      <c r="Y23" s="18" t="n">
        <v>1676041.3</v>
      </c>
      <c r="Z23" s="18" t="n">
        <v>1497884.1</v>
      </c>
      <c r="AA23" s="18" t="n">
        <v>960349.8</v>
      </c>
      <c r="AB23" s="18" t="n">
        <v>731465.5</v>
      </c>
      <c r="AC23" s="18" t="n">
        <v>581664.1</v>
      </c>
      <c r="AD23" s="18" t="n">
        <v>333924.4</v>
      </c>
      <c r="AE23" s="18" t="n">
        <v>155935.2</v>
      </c>
      <c r="AF23" s="18" t="n">
        <v>122711.4</v>
      </c>
      <c r="AG23" s="18" t="n">
        <v>39641</v>
      </c>
      <c r="AH23" s="18" t="n">
        <v>39641</v>
      </c>
      <c r="AI23" s="18" t="n">
        <v>38779.2</v>
      </c>
      <c r="AJ23" s="18" t="n">
        <v>17614.1</v>
      </c>
      <c r="AK23" s="18" t="n">
        <v>14168.7</v>
      </c>
      <c r="AL23" s="18" t="n">
        <v>14168.7</v>
      </c>
      <c r="AM23" s="18" t="n">
        <v>14014.7</v>
      </c>
      <c r="AN23" s="18" t="n">
        <v>14014.7</v>
      </c>
      <c r="AO23" s="18" t="n">
        <v>14168.7</v>
      </c>
      <c r="AP23" s="18" t="n">
        <v>14168.7</v>
      </c>
      <c r="AQ23" s="18" t="n">
        <v>13860.7</v>
      </c>
      <c r="AR23" s="18" t="n">
        <v>14014.7</v>
      </c>
      <c r="AS23" s="18" t="n">
        <v>14168.7</v>
      </c>
      <c r="AT23" s="18" t="n">
        <v>12474.7</v>
      </c>
      <c r="AU23" s="18" t="n">
        <v>251181.4</v>
      </c>
      <c r="AV23" s="18" t="n">
        <v>692104.4</v>
      </c>
      <c r="AW23" s="18" t="n">
        <v>2596376.9</v>
      </c>
      <c r="AX23" s="18" t="n">
        <v>7484649.4</v>
      </c>
      <c r="AY23" s="18" t="n">
        <v>8257857.1</v>
      </c>
      <c r="AZ23" s="18" t="n">
        <v>6855819.7</v>
      </c>
      <c r="BA23" s="18" t="n">
        <v>2607403.8</v>
      </c>
      <c r="BB23" s="18" t="n">
        <v>357928.6</v>
      </c>
      <c r="BC23" s="18" t="n">
        <v>84730.7</v>
      </c>
      <c r="BD23" s="18" t="n">
        <v>56366.8</v>
      </c>
      <c r="BE23" s="18" t="n">
        <v>54518.8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2086832.2</v>
      </c>
      <c r="S24" s="18" t="n">
        <v>2038222.6</v>
      </c>
      <c r="T24" s="18" t="n">
        <v>2021092.8</v>
      </c>
      <c r="U24" s="18" t="n">
        <v>1937559.8</v>
      </c>
      <c r="V24" s="18" t="n">
        <v>1862569.8</v>
      </c>
      <c r="W24" s="18" t="n">
        <v>1773609.1</v>
      </c>
      <c r="X24" s="18" t="n">
        <v>1709624.9</v>
      </c>
      <c r="Y24" s="18" t="n">
        <v>1575619.6</v>
      </c>
      <c r="Z24" s="18" t="n">
        <v>1397462.4</v>
      </c>
      <c r="AA24" s="18" t="n">
        <v>862111.2</v>
      </c>
      <c r="AB24" s="18" t="n">
        <v>632135.4</v>
      </c>
      <c r="AC24" s="18" t="n">
        <v>520268.1</v>
      </c>
      <c r="AD24" s="18" t="n">
        <v>281307.9</v>
      </c>
      <c r="AE24" s="18" t="n">
        <v>121363</v>
      </c>
      <c r="AF24" s="18" t="n">
        <v>122711.4</v>
      </c>
      <c r="AG24" s="18" t="n">
        <v>39641</v>
      </c>
      <c r="AH24" s="18" t="n">
        <v>39641</v>
      </c>
      <c r="AI24" s="18" t="n">
        <v>38779.2</v>
      </c>
      <c r="AJ24" s="18" t="n">
        <v>17614.1</v>
      </c>
      <c r="AK24" s="18" t="n">
        <v>14168.7</v>
      </c>
      <c r="AL24" s="18" t="n">
        <v>14168.7</v>
      </c>
      <c r="AM24" s="18" t="n">
        <v>14014.7</v>
      </c>
      <c r="AN24" s="18" t="n">
        <v>14014.7</v>
      </c>
      <c r="AO24" s="18" t="n">
        <v>14168.7</v>
      </c>
      <c r="AP24" s="18" t="n">
        <v>14168.7</v>
      </c>
      <c r="AQ24" s="18" t="n">
        <v>13860.7</v>
      </c>
      <c r="AR24" s="18" t="n">
        <v>14014.7</v>
      </c>
      <c r="AS24" s="18" t="n">
        <v>14168.7</v>
      </c>
      <c r="AT24" s="18" t="n">
        <v>12474.7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100583.9</v>
      </c>
      <c r="S25" s="18" t="n">
        <v>98238.60000000001</v>
      </c>
      <c r="T25" s="18" t="n">
        <v>99330.10000000001</v>
      </c>
      <c r="U25" s="18" t="n">
        <v>100421.7</v>
      </c>
      <c r="V25" s="18" t="n">
        <v>100421.7</v>
      </c>
      <c r="W25" s="18" t="n">
        <v>99330.10000000001</v>
      </c>
      <c r="X25" s="18" t="n">
        <v>99330.10000000001</v>
      </c>
      <c r="Y25" s="18" t="n">
        <v>100421.7</v>
      </c>
      <c r="Z25" s="18" t="n">
        <v>100421.7</v>
      </c>
      <c r="AA25" s="18" t="n">
        <v>98238.60000000001</v>
      </c>
      <c r="AB25" s="18" t="n">
        <v>99330.10000000001</v>
      </c>
      <c r="AC25" s="18" t="n">
        <v>61396</v>
      </c>
      <c r="AD25" s="18" t="n">
        <v>52616.4</v>
      </c>
      <c r="AE25" s="18" t="n">
        <v>34572.2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원/달러(평균)",환율,MATCH(R$1,변수H,0),0),1346.2)</f>
        <v/>
      </c>
      <c r="S31" s="13">
        <f>IFERROR(VLOOKUP(" 원/달러(평균)",환율,MATCH(S$1,변수H,0),0),1338.69)</f>
        <v/>
      </c>
      <c r="T31" s="13">
        <f>IFERROR(VLOOKUP(" 원/달러(평균)",환율,MATCH(T$1,변수H,0),0),1338.69)</f>
        <v/>
      </c>
      <c r="U31" s="13">
        <f>IFERROR(VLOOKUP(" 원/달러(평균)",환율,MATCH(U$1,변수H,0),0),1338.69)</f>
        <v/>
      </c>
      <c r="V31" s="13">
        <f>IFERROR(VLOOKUP(" 원/달러(평균)",환율,MATCH(V$1,변수H,0),0),1338.69)</f>
        <v/>
      </c>
      <c r="W31" s="13">
        <f>IFERROR(VLOOKUP(" 원/달러(평균)",환율,MATCH(W$1,변수H,0),0),1338.69)</f>
        <v/>
      </c>
      <c r="X31" s="13">
        <f>IFERROR(VLOOKUP(" 원/달러(평균)",환율,MATCH(X$1,변수H,0),0),1338.69)</f>
        <v/>
      </c>
      <c r="Y31" s="13">
        <f>IFERROR(VLOOKUP(" 원/달러(평균)",환율,MATCH(Y$1,변수H,0),0),1338.69)</f>
        <v/>
      </c>
      <c r="Z31" s="13">
        <f>IFERROR(VLOOKUP(" 원/달러(평균)",환율,MATCH(Z$1,변수H,0),0),1338.69)</f>
        <v/>
      </c>
      <c r="AA31" s="13">
        <f>IFERROR(VLOOKUP(" 원/달러(평균)",환율,MATCH(AA$1,변수H,0),0),1338.69)</f>
        <v/>
      </c>
      <c r="AB31" s="13">
        <f>IFERROR(VLOOKUP(" 원/달러(평균)",환율,MATCH(AB$1,변수H,0),0),1338.69)</f>
        <v/>
      </c>
      <c r="AC31" s="13">
        <f>IFERROR(VLOOKUP(" 원/달러(평균)",환율,MATCH(AC$1,변수H,0),0),1338.69)</f>
        <v/>
      </c>
      <c r="AD31" s="13">
        <f>IFERROR(VLOOKUP(" 원/달러(평균)",환율,MATCH(AD$1,변수H,0),0),1338.69)</f>
        <v/>
      </c>
      <c r="AE31" s="13">
        <f>IFERROR(VLOOKUP(" 원/달러(평균)",환율,MATCH(AE$1,변수H,0),0),1338.69)</f>
        <v/>
      </c>
      <c r="AF31" s="13">
        <f>IFERROR(VLOOKUP(" 원/달러(평균)",환율,MATCH(AF$1,변수H,0),0),1338.69)</f>
        <v/>
      </c>
      <c r="AG31" s="13">
        <f>IFERROR(VLOOKUP(" 원/달러(평균)",환율,MATCH(AG$1,변수H,0),0),1338.69)</f>
        <v/>
      </c>
      <c r="AH31" s="13">
        <f>IFERROR(VLOOKUP(" 원/달러(평균)",환율,MATCH(AH$1,변수H,0),0),1338.69)</f>
        <v/>
      </c>
      <c r="AI31" s="13">
        <f>IFERROR(VLOOKUP(" 원/달러(평균)",환율,MATCH(AI$1,변수H,0),0),1338.69)</f>
        <v/>
      </c>
      <c r="AJ31" s="13">
        <f>IFERROR(VLOOKUP(" 원/달러(평균)",환율,MATCH(AJ$1,변수H,0),0),1338.69)</f>
        <v/>
      </c>
      <c r="AK31" s="13">
        <f>IFERROR(VLOOKUP(" 원/달러(평균)",환율,MATCH(AK$1,변수H,0),0),1338.69)</f>
        <v/>
      </c>
      <c r="AL31" s="13">
        <f>IFERROR(VLOOKUP(" 원/달러(평균)",환율,MATCH(AL$1,변수H,0),0),1338.69)</f>
        <v/>
      </c>
      <c r="AM31" s="13">
        <f>IFERROR(VLOOKUP(" 원/달러(평균)",환율,MATCH(AM$1,변수H,0),0),1338.69)</f>
        <v/>
      </c>
      <c r="AN31" s="13">
        <f>IFERROR(VLOOKUP(" 원/달러(평균)",환율,MATCH(AN$1,변수H,0),0),1338.69)</f>
        <v/>
      </c>
      <c r="AO31" s="13">
        <f>IFERROR(VLOOKUP(" 원/달러(평균)",환율,MATCH(AO$1,변수H,0),0),1338.69)</f>
        <v/>
      </c>
      <c r="AP31" s="13">
        <f>IFERROR(VLOOKUP(" 원/달러(평균)",환율,MATCH(AP$1,변수H,0),0),1338.69)</f>
        <v/>
      </c>
      <c r="AQ31" s="13">
        <f>IFERROR(VLOOKUP(" 원/달러(평균)",환율,MATCH(AQ$1,변수H,0),0),1338.69)</f>
        <v/>
      </c>
      <c r="AR31" s="13">
        <f>IFERROR(VLOOKUP(" 원/달러(평균)",환율,MATCH(AR$1,변수H,0),0),1338.69)</f>
        <v/>
      </c>
      <c r="AS31" s="13">
        <f>IFERROR(VLOOKUP(" 원/달러(평균)",환율,MATCH(AS$1,변수H,0),0),1338.69)</f>
        <v/>
      </c>
      <c r="AT31" s="13">
        <f>IFERROR(VLOOKUP(" 원/달러(평균)",환율,MATCH(AT$1,변수H,0),0),1338.69)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1912.08</v>
      </c>
      <c r="I18" s="34" t="n">
        <v>4473.45</v>
      </c>
      <c r="J18" s="34" t="n">
        <v>7855.15</v>
      </c>
      <c r="K18" s="34" t="n">
        <v>11792.16</v>
      </c>
      <c r="L18" s="20">
        <f>SUM(H18:K18)</f>
        <v/>
      </c>
      <c r="M18" s="34" t="n">
        <v>16019.47</v>
      </c>
      <c r="N18" s="34" t="n">
        <v>20272.08</v>
      </c>
      <c r="O18" s="34" t="n">
        <v>24284.98</v>
      </c>
      <c r="P18" s="34" t="n">
        <v>27793.15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4965.7</v>
      </c>
      <c r="I24" s="34" t="n">
        <v>10888.12</v>
      </c>
      <c r="J24" s="34" t="n">
        <v>18450.7</v>
      </c>
      <c r="K24" s="34" t="n">
        <v>27086.66</v>
      </c>
      <c r="L24" s="20">
        <f>SUM(H24:K24)</f>
        <v/>
      </c>
      <c r="M24" s="34" t="n">
        <v>36229.2</v>
      </c>
      <c r="N24" s="34" t="n">
        <v>45311.53</v>
      </c>
      <c r="O24" s="34" t="n">
        <v>53766.84</v>
      </c>
      <c r="P24" s="34" t="n">
        <v>61028.36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28651.3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13.42</v>
      </c>
    </row>
    <row r="32">
      <c r="C32" s="2" t="inlineStr">
        <is>
          <t>pbr_now</t>
        </is>
      </c>
      <c r="D32" t="n">
        <v>3.83</v>
      </c>
    </row>
    <row r="33">
      <c r="C33" s="2" t="inlineStr">
        <is>
          <t>roe_fwd</t>
        </is>
      </c>
      <c r="D33" t="n">
        <v>0.2852</v>
      </c>
    </row>
    <row r="34">
      <c r="C34" s="2" t="inlineStr">
        <is>
          <t>fair_pbr</t>
        </is>
      </c>
      <c r="D34" t="n">
        <v>3.17</v>
      </c>
    </row>
    <row r="35">
      <c r="C35" s="2" t="inlineStr">
        <is>
          <t>fair_value_pbr</t>
        </is>
      </c>
      <c r="D35" t="n">
        <v>318500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11.23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