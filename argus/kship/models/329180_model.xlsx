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21869억(sls.by_quarter.marine_hedged_krw_m(헤지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21377억(sls.by_quarter.marine_hedged_krw_m(헤지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983억 유지(패널 신규수주 체결 분기별 상계, net_panel)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21217억(sls.by_quarter.marine_hedged_krw_m(헤지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20392억(sls.by_quarter.marine_hedged_krw_m(헤지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19642억(sls.by_quarter.marine_hedged_krw_m(헤지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18740억(sls.by_quarter.marine_hedged_krw_m(헤지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18100억(sls.by_quarter.marine_hedged_krw_m(헤지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16770억(sls.by_quarter.marine_hedged_krw_m(헤지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14988억(sls.by_quarter.marine_hedged_krw_m(헤지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G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G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73354억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80672억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88203억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90208억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98590억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107526억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117040억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121222억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131822억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73354억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80672억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88203억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90208억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98590억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107526억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117040억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121222억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131822억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
[sls_link]</t>
      </text>
    </comment>
    <comment ref="AD39" authorId="0" shapeId="0">
      <text>
        <t>추정: SLS 해양 원화 21869억(sls.by_quarter.marine_hedged_krw_m(헤지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
[sls_link]</t>
      </text>
    </comment>
    <comment ref="AF39" authorId="0" shapeId="0">
      <text>
        <t>추정: SLS 해양 원화 21377억(sls.by_quarter.marine_hedged_krw_m(헤지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983억 유지(패널 신규수주 체결 분기별 상계, net_panel)
[sls_link]</t>
      </text>
    </comment>
    <comment ref="AG39" authorId="0" shapeId="0">
      <text>
        <t>추정: SLS 해양 원화 21217억(sls.by_quarter.marine_hedged_krw_m(헤지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H39" authorId="0" shapeId="0">
      <text>
        <t>추정: SLS 해양 원화 20392억(sls.by_quarter.marine_hedged_krw_m(헤지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I39" authorId="0" shapeId="0">
      <text>
        <t>추정: SLS 해양 원화 19642억(sls.by_quarter.marine_hedged_krw_m(헤지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K39" authorId="0" shapeId="0">
      <text>
        <t>추정: SLS 해양 원화 18740억(sls.by_quarter.marine_hedged_krw_m(헤지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L39" authorId="0" shapeId="0">
      <text>
        <t>추정: SLS 해양 원화 18100억(sls.by_quarter.marine_hedged_krw_m(헤지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M39" authorId="0" shapeId="0">
      <text>
        <t>추정: SLS 해양 원화 16770억(sls.by_quarter.marine_hedged_krw_m(헤지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N39" authorId="0" shapeId="0">
      <text>
        <t>추정: SLS 해양 원화 14988억(sls.by_quarter.marine_hedged_krw_m(헤지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8.2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10.92%→11.02%) / 추정 매출조선 = 2026Q2 기준 잔고 소진분 + forecast_panel base new_order_revenue 신규수주 매출(미보정 book-value proxy, status partial; FY합 163,971억) — 보수/낙관은 scenarios 블록(합산 안 함) / origin 이후 공시 수주 3건 13,215억은 SLS 일정으로 전부 유지, 패널 신규수주에서 체결 분기별 상계(2026Q3 패널 47,475억 − 공시 13,215억 = 34,260억) — 패널 base 신규 매출 −11,241억(2026 275억 · 2027 4,902억 · 2028 6,064억)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유지 SLS(공시) vs 패널 base 신규 매출(상계 후): 2026 1,561억 vs 714억 · 2027 3,987억 vs 38,092억 · 2028 3,997억 vs 125,165억 / 총차입금 이자율: 주석 연율 13.9% 가 CF 연율 4.5% 의 3.1배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362000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361500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404250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-0.005934642</v>
      </c>
      <c r="AD30" s="29" t="n">
        <v>0.001251888</v>
      </c>
      <c r="AE30" s="30" t="n"/>
      <c r="AF30" s="29" t="n">
        <v>-0.000608067</v>
      </c>
      <c r="AG30" s="29" t="n">
        <v>5940.253555232</v>
      </c>
      <c r="AH30" s="29" t="n">
        <v>0.002408892</v>
      </c>
      <c r="AI30" s="29" t="n">
        <v>0.002374049</v>
      </c>
      <c r="AJ30" s="30" t="n"/>
      <c r="AK30" s="29" t="n">
        <v>0.006750451</v>
      </c>
      <c r="AL30" s="29" t="n">
        <v>5940.24407727</v>
      </c>
      <c r="AM30" s="29" t="n">
        <v>0.010963121</v>
      </c>
      <c r="AN30" s="29" t="n">
        <v>-0.003579079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-0.010176006</v>
      </c>
      <c r="AD31" s="29" t="n">
        <v>-0.000399862</v>
      </c>
      <c r="AE31" s="30" t="n"/>
      <c r="AF31" s="29" t="n">
        <v>-0.002307914</v>
      </c>
      <c r="AG31" s="29" t="n">
        <v>5940.251761917</v>
      </c>
      <c r="AH31" s="29" t="n">
        <v>0.000516748</v>
      </c>
      <c r="AI31" s="29" t="n">
        <v>0.010357168</v>
      </c>
      <c r="AJ31" s="30" t="n"/>
      <c r="AK31" s="29" t="n">
        <v>-0.005396967</v>
      </c>
      <c r="AL31" s="29" t="n">
        <v>5940.251792442</v>
      </c>
      <c r="AM31" s="29" t="n">
        <v>-0.001429521</v>
      </c>
      <c r="AN31" s="29" t="n">
        <v>0.003941107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0.120009447</v>
      </c>
      <c r="AD33" s="31" t="n">
        <v>0.107828276</v>
      </c>
      <c r="AE33" s="25" t="n"/>
      <c r="AF33" s="31" t="n">
        <v>0.100167312</v>
      </c>
      <c r="AG33" s="31" t="n">
        <v>0.024236711</v>
      </c>
      <c r="AH33" s="31" t="n">
        <v>0.098948884</v>
      </c>
      <c r="AI33" s="31" t="n">
        <v>0.09597536199999999</v>
      </c>
      <c r="AJ33" s="25" t="n"/>
      <c r="AK33" s="31" t="n">
        <v>0.093238395</v>
      </c>
      <c r="AL33" s="31" t="n">
        <v>0.03749227</v>
      </c>
      <c r="AM33" s="31" t="n">
        <v>0.091591714</v>
      </c>
      <c r="AN33" s="31" t="n">
        <v>0.086963728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0.110040893</v>
      </c>
      <c r="AD34" s="31" t="n">
        <v>0.099759441</v>
      </c>
      <c r="AE34" s="25" t="n"/>
      <c r="AF34" s="31" t="n">
        <v>0.093351674</v>
      </c>
      <c r="AG34" s="31" t="n">
        <v>0.022728388</v>
      </c>
      <c r="AH34" s="31" t="n">
        <v>0.09292784799999999</v>
      </c>
      <c r="AI34" s="31" t="n">
        <v>0.090631828</v>
      </c>
      <c r="AJ34" s="25" t="n"/>
      <c r="AK34" s="31" t="n">
        <v>0.088478631</v>
      </c>
      <c r="AL34" s="31" t="n">
        <v>0.035733891</v>
      </c>
      <c r="AM34" s="31" t="n">
        <v>0.087444287</v>
      </c>
      <c r="AN34" s="31" t="n">
        <v>0.083342519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35385.264339</v>
      </c>
      <c r="AD40" s="29" t="n">
        <v>35835.088241</v>
      </c>
      <c r="AE40" s="30" t="n"/>
      <c r="AF40" s="29" t="n">
        <v>35812.461863</v>
      </c>
      <c r="AG40" s="29" t="n">
        <v>35823.403118</v>
      </c>
      <c r="AH40" s="29" t="n">
        <v>35834.242347</v>
      </c>
      <c r="AI40" s="29" t="n">
        <v>35834.314247</v>
      </c>
      <c r="AJ40" s="30" t="n"/>
      <c r="AK40" s="29" t="n">
        <v>35823.335627</v>
      </c>
      <c r="AL40" s="29" t="n">
        <v>35823.332324</v>
      </c>
      <c r="AM40" s="29" t="n">
        <v>35834.31751</v>
      </c>
      <c r="AN40" s="29" t="n">
        <v>35834.372722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713.92</v>
      </c>
      <c r="AE41" s="30">
        <f>subQ!AE40</f>
        <v/>
      </c>
      <c r="AF41" s="29" t="n">
        <v>2954</v>
      </c>
      <c r="AG41" s="29" t="n">
        <v>6661.68</v>
      </c>
      <c r="AH41" s="29" t="n">
        <v>11468.92</v>
      </c>
      <c r="AI41" s="29" t="n">
        <v>17007.63</v>
      </c>
      <c r="AJ41" s="30">
        <f>subQ!AJ40</f>
        <v/>
      </c>
      <c r="AK41" s="29" t="n">
        <v>22909.76</v>
      </c>
      <c r="AL41" s="29" t="n">
        <v>28807.24</v>
      </c>
      <c r="AM41" s="29" t="n">
        <v>34331.99</v>
      </c>
      <c r="AN41" s="29" t="n">
        <v>39115.96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0.140604211</v>
      </c>
      <c r="AD42" s="31" t="n">
        <v>0.140904313</v>
      </c>
      <c r="AE42" s="25">
        <f>IFERROR(subQ!AE41/subQ!AE39,"")</f>
        <v/>
      </c>
      <c r="AF42" s="31" t="n">
        <v>0.140904353</v>
      </c>
      <c r="AG42" s="31" t="n">
        <v>0.140932826</v>
      </c>
      <c r="AH42" s="31" t="n">
        <v>0.141014916</v>
      </c>
      <c r="AI42" s="31" t="n">
        <v>0.141074931</v>
      </c>
      <c r="AJ42" s="25">
        <f>IFERROR(subQ!AJ41/subQ!AJ39,"")</f>
        <v/>
      </c>
      <c r="AK42" s="31" t="n">
        <v>0.141134874</v>
      </c>
      <c r="AL42" s="31" t="n">
        <v>0.141194946</v>
      </c>
      <c r="AM42" s="31" t="n">
        <v>0.141346592</v>
      </c>
      <c r="AN42" s="31" t="n">
        <v>0.141567682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0.140903986</v>
      </c>
      <c r="AE44" s="25">
        <f>IFERROR(subQ!AE44/subQ!AE43,"")</f>
        <v/>
      </c>
      <c r="AF44" s="31" t="n">
        <v>0.140903986</v>
      </c>
      <c r="AG44" s="31" t="n">
        <v>0.140932783</v>
      </c>
      <c r="AH44" s="31" t="n">
        <v>0.141014907</v>
      </c>
      <c r="AI44" s="31" t="n">
        <v>0.141074634</v>
      </c>
      <c r="AJ44" s="25">
        <f>IFERROR(subQ!AJ44/subQ!AJ43,"")</f>
        <v/>
      </c>
      <c r="AK44" s="31" t="n">
        <v>0.141135427</v>
      </c>
      <c r="AL44" s="31" t="n">
        <v>0.141195154</v>
      </c>
      <c r="AM44" s="31" t="n">
        <v>0.141346604</v>
      </c>
      <c r="AN44" s="31" t="n">
        <v>0.14156738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362000</v>
      </c>
      <c r="E47" s="2" t="inlineStr">
        <is>
          <t>원 — 네이버 정규장 종가(aik 확정종가 대조 · aik 400,000원)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20261012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0.2449401441054458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0.04875938473247325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0.9999997742827212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0.02472788069900983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0.1390141761350289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3000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E60" s="18" t="n">
        <v>536292.3100000001</v>
      </c>
      <c r="F60" s="37" t="n">
        <v>536292.3100000001</v>
      </c>
      <c r="G60" s="18" t="n">
        <v>844823</v>
      </c>
      <c r="H60" s="18" t="n">
        <v>885946</v>
      </c>
      <c r="I60" s="18" t="n">
        <v>956970</v>
      </c>
      <c r="J60" s="18" t="n">
        <v>873294</v>
      </c>
      <c r="K60" s="37" t="n">
        <v>873294</v>
      </c>
      <c r="L60" s="18" t="n">
        <v>391140</v>
      </c>
      <c r="M60" s="18" t="n">
        <v>643175</v>
      </c>
      <c r="N60" s="18" t="n">
        <v>652871</v>
      </c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E61" s="18" t="n">
        <v>845229.83</v>
      </c>
      <c r="F61" s="37" t="n">
        <v>845229.83</v>
      </c>
      <c r="G61" s="18" t="n">
        <v>1048626.73</v>
      </c>
      <c r="H61" s="18" t="n">
        <v>1514783.97</v>
      </c>
      <c r="I61" s="18" t="n">
        <v>1577253.75</v>
      </c>
      <c r="J61" s="18" t="n">
        <v>1226167.17</v>
      </c>
      <c r="K61" s="37" t="n">
        <v>1226167.17</v>
      </c>
      <c r="L61" s="18" t="n">
        <v>1143453.19</v>
      </c>
      <c r="M61" s="18" t="n">
        <v>666452.8100000001</v>
      </c>
      <c r="N61" s="18" t="n">
        <v>845029.23</v>
      </c>
      <c r="P61" s="9" t="n"/>
      <c r="T61" s="18" t="n">
        <v>371613.31</v>
      </c>
      <c r="U61" s="37" t="n">
        <v>371613.31</v>
      </c>
      <c r="V61" s="18" t="n">
        <v>386666.87</v>
      </c>
      <c r="W61" s="18" t="n">
        <v>332765.09</v>
      </c>
      <c r="X61" s="18" t="n">
        <v>255898.54</v>
      </c>
      <c r="Z61" s="9" t="n"/>
      <c r="AA61" s="18" t="n">
        <v>599939.45</v>
      </c>
      <c r="AB61" s="19" t="n">
        <v>520403.57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base(공시 상계)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1345.14</v>
      </c>
      <c r="S20" s="13" t="n">
        <v>1341.49</v>
      </c>
      <c r="T20" s="13" t="n">
        <v>1341.49</v>
      </c>
      <c r="U20" s="13" t="n">
        <v>1341.49</v>
      </c>
      <c r="V20" s="13" t="n">
        <v>1341.49</v>
      </c>
      <c r="W20" s="13" t="n">
        <v>1341.49</v>
      </c>
      <c r="X20" s="13" t="n">
        <v>1341.49</v>
      </c>
      <c r="Y20" s="13" t="n">
        <v>1341.49</v>
      </c>
      <c r="Z20" s="13" t="n">
        <v>1341.49</v>
      </c>
      <c r="AA20" s="13" t="n">
        <v>1341.49</v>
      </c>
      <c r="AB20" s="13" t="n">
        <v>1341.49</v>
      </c>
      <c r="AC20" s="13" t="n">
        <v>1341.49</v>
      </c>
      <c r="AD20" s="13" t="n">
        <v>1341.49</v>
      </c>
      <c r="AE20" s="13" t="n">
        <v>1341.49</v>
      </c>
      <c r="AF20" s="13" t="n">
        <v>1341.49</v>
      </c>
      <c r="AG20" s="13" t="n">
        <v>1341.49</v>
      </c>
      <c r="AH20" s="13" t="n">
        <v>1341.49</v>
      </c>
      <c r="AI20" s="13" t="n">
        <v>1341.49</v>
      </c>
      <c r="AJ20" s="13" t="n">
        <v>1341.49</v>
      </c>
      <c r="AK20" s="13" t="n">
        <v>1341.49</v>
      </c>
      <c r="AL20" s="13" t="n">
        <v>1341.49</v>
      </c>
      <c r="AM20" s="13" t="n">
        <v>1341.49</v>
      </c>
      <c r="AN20" s="13" t="n">
        <v>1341.49</v>
      </c>
      <c r="AO20" s="13" t="n">
        <v>1341.49</v>
      </c>
      <c r="AP20" s="13" t="n">
        <v>1341.49</v>
      </c>
      <c r="AQ20" s="13" t="n">
        <v>1341.49</v>
      </c>
      <c r="AR20" s="13" t="n">
        <v>1341.49</v>
      </c>
      <c r="AS20" s="13" t="n">
        <v>1341.49</v>
      </c>
      <c r="AT20" s="13" t="n">
        <v>1341.49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1416.67</v>
      </c>
      <c r="S21" s="13" t="n">
        <v>1415.57</v>
      </c>
      <c r="T21" s="13" t="n">
        <v>1417.35</v>
      </c>
      <c r="U21" s="13" t="n">
        <v>1421.93</v>
      </c>
      <c r="V21" s="13" t="n">
        <v>1423.59</v>
      </c>
      <c r="W21" s="13" t="n">
        <v>1424.68</v>
      </c>
      <c r="X21" s="13" t="n">
        <v>1426.47</v>
      </c>
      <c r="Y21" s="13" t="n">
        <v>1426.51</v>
      </c>
      <c r="Z21" s="13" t="n">
        <v>1428.39</v>
      </c>
      <c r="AA21" s="13" t="n">
        <v>1434.83</v>
      </c>
      <c r="AB21" s="13" t="n">
        <v>1432.66</v>
      </c>
      <c r="AC21" s="13" t="n">
        <v>1432.47</v>
      </c>
      <c r="AD21" s="13" t="n">
        <v>1424.05</v>
      </c>
      <c r="AE21" s="13" t="n">
        <v>1420.79</v>
      </c>
      <c r="AF21" s="13" t="n">
        <v>1424.98</v>
      </c>
      <c r="AG21" s="13" t="n">
        <v>1412.49</v>
      </c>
      <c r="AH21" s="13" t="n">
        <v>1397.54</v>
      </c>
      <c r="AI21" s="13" t="n">
        <v>1387.08</v>
      </c>
      <c r="AJ21" s="13" t="n">
        <v>1407.26</v>
      </c>
      <c r="AK21" s="13" t="n">
        <v>1416.88</v>
      </c>
      <c r="AL21" s="13" t="n">
        <v>1416.88</v>
      </c>
      <c r="AM21" s="13" t="n">
        <v>1416.88</v>
      </c>
      <c r="AN21" s="13" t="n">
        <v>1416.88</v>
      </c>
      <c r="AO21" s="13" t="n">
        <v>1416.88</v>
      </c>
      <c r="AP21" s="13" t="n">
        <v>1416.88</v>
      </c>
      <c r="AQ21" s="13" t="n">
        <v>1416.88</v>
      </c>
      <c r="AR21" s="13" t="n">
        <v>1416.88</v>
      </c>
      <c r="AS21" s="13" t="n">
        <v>1416.88</v>
      </c>
      <c r="AT21" s="13" t="n">
        <v>1416.88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2280448</v>
      </c>
      <c r="S22" s="18" t="n">
        <v>2229148.7</v>
      </c>
      <c r="T22" s="18" t="n">
        <v>2214115</v>
      </c>
      <c r="U22" s="18" t="n">
        <v>2132636.4</v>
      </c>
      <c r="V22" s="18" t="n">
        <v>2057600.7</v>
      </c>
      <c r="W22" s="18" t="n">
        <v>1966478.6</v>
      </c>
      <c r="X22" s="18" t="n">
        <v>1902455.2</v>
      </c>
      <c r="Y22" s="18" t="n">
        <v>1770478.9</v>
      </c>
      <c r="Z22" s="18" t="n">
        <v>1592215.5</v>
      </c>
      <c r="AA22" s="18" t="n">
        <v>1052330.6</v>
      </c>
      <c r="AB22" s="18" t="n">
        <v>824328.8</v>
      </c>
      <c r="AC22" s="18" t="n">
        <v>675455.2</v>
      </c>
      <c r="AD22" s="18" t="n">
        <v>427571.7</v>
      </c>
      <c r="AE22" s="18" t="n">
        <v>247446.2</v>
      </c>
      <c r="AF22" s="18" t="n">
        <v>215218.2</v>
      </c>
      <c r="AG22" s="18" t="n">
        <v>93016.7</v>
      </c>
      <c r="AH22" s="18" t="n">
        <v>47414.2</v>
      </c>
      <c r="AI22" s="18" t="n">
        <v>38802.7</v>
      </c>
      <c r="AJ22" s="18" t="n">
        <v>17624.6</v>
      </c>
      <c r="AK22" s="18" t="n">
        <v>14177.1</v>
      </c>
      <c r="AL22" s="18" t="n">
        <v>14177.1</v>
      </c>
      <c r="AM22" s="18" t="n">
        <v>14023</v>
      </c>
      <c r="AN22" s="18" t="n">
        <v>14023</v>
      </c>
      <c r="AO22" s="18" t="n">
        <v>14177.1</v>
      </c>
      <c r="AP22" s="18" t="n">
        <v>14177.1</v>
      </c>
      <c r="AQ22" s="18" t="n">
        <v>13868.9</v>
      </c>
      <c r="AR22" s="18" t="n">
        <v>14023</v>
      </c>
      <c r="AS22" s="18" t="n">
        <v>14177.1</v>
      </c>
      <c r="AT22" s="18" t="n">
        <v>12482.1</v>
      </c>
      <c r="AU22" s="18" t="n">
        <v>251181.4</v>
      </c>
      <c r="AV22" s="18" t="n">
        <v>692104.4</v>
      </c>
      <c r="AW22" s="18" t="n">
        <v>2596376.9</v>
      </c>
      <c r="AX22" s="18" t="n">
        <v>7675400.2</v>
      </c>
      <c r="AY22" s="18" t="n">
        <v>8633500.800000001</v>
      </c>
      <c r="AZ22" s="18" t="n">
        <v>7231628.2</v>
      </c>
      <c r="BA22" s="18" t="n">
        <v>2979686.3</v>
      </c>
      <c r="BB22" s="18" t="n">
        <v>603095.3</v>
      </c>
      <c r="BC22" s="18" t="n">
        <v>84781.5</v>
      </c>
      <c r="BD22" s="18" t="n">
        <v>56400.2</v>
      </c>
      <c r="BE22" s="18" t="n">
        <v>54551.1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2186925.2</v>
      </c>
      <c r="S23" s="18" t="n">
        <v>2137729.7</v>
      </c>
      <c r="T23" s="18" t="n">
        <v>2121680.3</v>
      </c>
      <c r="U23" s="18" t="n">
        <v>2039185.9</v>
      </c>
      <c r="V23" s="18" t="n">
        <v>1964150.2</v>
      </c>
      <c r="W23" s="18" t="n">
        <v>1874043.9</v>
      </c>
      <c r="X23" s="18" t="n">
        <v>1810020.5</v>
      </c>
      <c r="Y23" s="18" t="n">
        <v>1677028.4</v>
      </c>
      <c r="Z23" s="18" t="n">
        <v>1498765</v>
      </c>
      <c r="AA23" s="18" t="n">
        <v>960911.7</v>
      </c>
      <c r="AB23" s="18" t="n">
        <v>731894</v>
      </c>
      <c r="AC23" s="18" t="n">
        <v>582004.7</v>
      </c>
      <c r="AD23" s="18" t="n">
        <v>334121.2</v>
      </c>
      <c r="AE23" s="18" t="n">
        <v>156027.3</v>
      </c>
      <c r="AF23" s="18" t="n">
        <v>122783.5</v>
      </c>
      <c r="AG23" s="18" t="n">
        <v>39665</v>
      </c>
      <c r="AH23" s="18" t="n">
        <v>39665</v>
      </c>
      <c r="AI23" s="18" t="n">
        <v>38802.7</v>
      </c>
      <c r="AJ23" s="18" t="n">
        <v>17624.6</v>
      </c>
      <c r="AK23" s="18" t="n">
        <v>14177.1</v>
      </c>
      <c r="AL23" s="18" t="n">
        <v>14177.1</v>
      </c>
      <c r="AM23" s="18" t="n">
        <v>14023</v>
      </c>
      <c r="AN23" s="18" t="n">
        <v>14023</v>
      </c>
      <c r="AO23" s="18" t="n">
        <v>14177.1</v>
      </c>
      <c r="AP23" s="18" t="n">
        <v>14177.1</v>
      </c>
      <c r="AQ23" s="18" t="n">
        <v>13868.9</v>
      </c>
      <c r="AR23" s="18" t="n">
        <v>14023</v>
      </c>
      <c r="AS23" s="18" t="n">
        <v>14177.1</v>
      </c>
      <c r="AT23" s="18" t="n">
        <v>12482.1</v>
      </c>
      <c r="AU23" s="18" t="n">
        <v>251181.4</v>
      </c>
      <c r="AV23" s="18" t="n">
        <v>692104.4</v>
      </c>
      <c r="AW23" s="18" t="n">
        <v>2596376.9</v>
      </c>
      <c r="AX23" s="18" t="n">
        <v>7484158.5</v>
      </c>
      <c r="AY23" s="18" t="n">
        <v>8262746.1</v>
      </c>
      <c r="AZ23" s="18" t="n">
        <v>6859857.8</v>
      </c>
      <c r="BA23" s="18" t="n">
        <v>2608931.6</v>
      </c>
      <c r="BB23" s="18" t="n">
        <v>358140.8</v>
      </c>
      <c r="BC23" s="18" t="n">
        <v>84781.5</v>
      </c>
      <c r="BD23" s="18" t="n">
        <v>56400.2</v>
      </c>
      <c r="BE23" s="18" t="n">
        <v>54551.1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2086364.2</v>
      </c>
      <c r="S24" s="18" t="n">
        <v>2039432</v>
      </c>
      <c r="T24" s="18" t="n">
        <v>2022290.3</v>
      </c>
      <c r="U24" s="18" t="n">
        <v>1938703.8</v>
      </c>
      <c r="V24" s="18" t="n">
        <v>1863668</v>
      </c>
      <c r="W24" s="18" t="n">
        <v>1774653.9</v>
      </c>
      <c r="X24" s="18" t="n">
        <v>1710630.5</v>
      </c>
      <c r="Y24" s="18" t="n">
        <v>1576546.2</v>
      </c>
      <c r="Z24" s="18" t="n">
        <v>1398282.9</v>
      </c>
      <c r="AA24" s="18" t="n">
        <v>862613.9</v>
      </c>
      <c r="AB24" s="18" t="n">
        <v>632504.1</v>
      </c>
      <c r="AC24" s="18" t="n">
        <v>520571.8</v>
      </c>
      <c r="AD24" s="18" t="n">
        <v>281473</v>
      </c>
      <c r="AE24" s="18" t="n">
        <v>121434.2</v>
      </c>
      <c r="AF24" s="18" t="n">
        <v>122783.5</v>
      </c>
      <c r="AG24" s="18" t="n">
        <v>39665</v>
      </c>
      <c r="AH24" s="18" t="n">
        <v>39665</v>
      </c>
      <c r="AI24" s="18" t="n">
        <v>38802.7</v>
      </c>
      <c r="AJ24" s="18" t="n">
        <v>17624.6</v>
      </c>
      <c r="AK24" s="18" t="n">
        <v>14177.1</v>
      </c>
      <c r="AL24" s="18" t="n">
        <v>14177.1</v>
      </c>
      <c r="AM24" s="18" t="n">
        <v>14023</v>
      </c>
      <c r="AN24" s="18" t="n">
        <v>14023</v>
      </c>
      <c r="AO24" s="18" t="n">
        <v>14177.1</v>
      </c>
      <c r="AP24" s="18" t="n">
        <v>14177.1</v>
      </c>
      <c r="AQ24" s="18" t="n">
        <v>13868.9</v>
      </c>
      <c r="AR24" s="18" t="n">
        <v>14023</v>
      </c>
      <c r="AS24" s="18" t="n">
        <v>14177.1</v>
      </c>
      <c r="AT24" s="18" t="n">
        <v>12482.1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100561</v>
      </c>
      <c r="S25" s="18" t="n">
        <v>98297.8</v>
      </c>
      <c r="T25" s="18" t="n">
        <v>99389.89999999999</v>
      </c>
      <c r="U25" s="18" t="n">
        <v>100482.1</v>
      </c>
      <c r="V25" s="18" t="n">
        <v>100482.1</v>
      </c>
      <c r="W25" s="18" t="n">
        <v>99389.89999999999</v>
      </c>
      <c r="X25" s="18" t="n">
        <v>99389.89999999999</v>
      </c>
      <c r="Y25" s="18" t="n">
        <v>100482.1</v>
      </c>
      <c r="Z25" s="18" t="n">
        <v>100482.1</v>
      </c>
      <c r="AA25" s="18" t="n">
        <v>98297.8</v>
      </c>
      <c r="AB25" s="18" t="n">
        <v>99389.89999999999</v>
      </c>
      <c r="AC25" s="18" t="n">
        <v>61433</v>
      </c>
      <c r="AD25" s="18" t="n">
        <v>52648.1</v>
      </c>
      <c r="AE25" s="18" t="n">
        <v>34593.1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원/달러(평균)",환율,MATCH(R$1,변수H,0),0),1345.14)</f>
        <v/>
      </c>
      <c r="S31" s="13">
        <f>IFERROR(VLOOKUP(" 원/달러(평균)",환율,MATCH(S$1,변수H,0),0),1341.49)</f>
        <v/>
      </c>
      <c r="T31" s="13">
        <f>IFERROR(VLOOKUP(" 원/달러(평균)",환율,MATCH(T$1,변수H,0),0),1341.49)</f>
        <v/>
      </c>
      <c r="U31" s="13">
        <f>IFERROR(VLOOKUP(" 원/달러(평균)",환율,MATCH(U$1,변수H,0),0),1341.49)</f>
        <v/>
      </c>
      <c r="V31" s="13">
        <f>IFERROR(VLOOKUP(" 원/달러(평균)",환율,MATCH(V$1,변수H,0),0),1341.49)</f>
        <v/>
      </c>
      <c r="W31" s="13">
        <f>IFERROR(VLOOKUP(" 원/달러(평균)",환율,MATCH(W$1,변수H,0),0),1341.49)</f>
        <v/>
      </c>
      <c r="X31" s="13">
        <f>IFERROR(VLOOKUP(" 원/달러(평균)",환율,MATCH(X$1,변수H,0),0),1341.49)</f>
        <v/>
      </c>
      <c r="Y31" s="13">
        <f>IFERROR(VLOOKUP(" 원/달러(평균)",환율,MATCH(Y$1,변수H,0),0),1341.49)</f>
        <v/>
      </c>
      <c r="Z31" s="13">
        <f>IFERROR(VLOOKUP(" 원/달러(평균)",환율,MATCH(Z$1,변수H,0),0),1341.49)</f>
        <v/>
      </c>
      <c r="AA31" s="13">
        <f>IFERROR(VLOOKUP(" 원/달러(평균)",환율,MATCH(AA$1,변수H,0),0),1341.49)</f>
        <v/>
      </c>
      <c r="AB31" s="13">
        <f>IFERROR(VLOOKUP(" 원/달러(평균)",환율,MATCH(AB$1,변수H,0),0),1341.49)</f>
        <v/>
      </c>
      <c r="AC31" s="13">
        <f>IFERROR(VLOOKUP(" 원/달러(평균)",환율,MATCH(AC$1,변수H,0),0),1341.49)</f>
        <v/>
      </c>
      <c r="AD31" s="13">
        <f>IFERROR(VLOOKUP(" 원/달러(평균)",환율,MATCH(AD$1,변수H,0),0),1341.49)</f>
        <v/>
      </c>
      <c r="AE31" s="13">
        <f>IFERROR(VLOOKUP(" 원/달러(평균)",환율,MATCH(AE$1,변수H,0),0),1341.49)</f>
        <v/>
      </c>
      <c r="AF31" s="13">
        <f>IFERROR(VLOOKUP(" 원/달러(평균)",환율,MATCH(AF$1,변수H,0),0),1341.49)</f>
        <v/>
      </c>
      <c r="AG31" s="13">
        <f>IFERROR(VLOOKUP(" 원/달러(평균)",환율,MATCH(AG$1,변수H,0),0),1341.49)</f>
        <v/>
      </c>
      <c r="AH31" s="13">
        <f>IFERROR(VLOOKUP(" 원/달러(평균)",환율,MATCH(AH$1,변수H,0),0),1341.49)</f>
        <v/>
      </c>
      <c r="AI31" s="13">
        <f>IFERROR(VLOOKUP(" 원/달러(평균)",환율,MATCH(AI$1,변수H,0),0),1341.49)</f>
        <v/>
      </c>
      <c r="AJ31" s="13">
        <f>IFERROR(VLOOKUP(" 원/달러(평균)",환율,MATCH(AJ$1,변수H,0),0),1341.49)</f>
        <v/>
      </c>
      <c r="AK31" s="13">
        <f>IFERROR(VLOOKUP(" 원/달러(평균)",환율,MATCH(AK$1,변수H,0),0),1341.49)</f>
        <v/>
      </c>
      <c r="AL31" s="13">
        <f>IFERROR(VLOOKUP(" 원/달러(평균)",환율,MATCH(AL$1,변수H,0),0),1341.49)</f>
        <v/>
      </c>
      <c r="AM31" s="13">
        <f>IFERROR(VLOOKUP(" 원/달러(평균)",환율,MATCH(AM$1,변수H,0),0),1341.49)</f>
        <v/>
      </c>
      <c r="AN31" s="13">
        <f>IFERROR(VLOOKUP(" 원/달러(평균)",환율,MATCH(AN$1,변수H,0),0),1341.49)</f>
        <v/>
      </c>
      <c r="AO31" s="13">
        <f>IFERROR(VLOOKUP(" 원/달러(평균)",환율,MATCH(AO$1,변수H,0),0),1341.49)</f>
        <v/>
      </c>
      <c r="AP31" s="13">
        <f>IFERROR(VLOOKUP(" 원/달러(평균)",환율,MATCH(AP$1,변수H,0),0),1341.49)</f>
        <v/>
      </c>
      <c r="AQ31" s="13">
        <f>IFERROR(VLOOKUP(" 원/달러(평균)",환율,MATCH(AQ$1,변수H,0),0),1341.49)</f>
        <v/>
      </c>
      <c r="AR31" s="13">
        <f>IFERROR(VLOOKUP(" 원/달러(평균)",환율,MATCH(AR$1,변수H,0),0),1341.49)</f>
        <v/>
      </c>
      <c r="AS31" s="13">
        <f>IFERROR(VLOOKUP(" 원/달러(평균)",환율,MATCH(AS$1,변수H,0),0),1341.49)</f>
        <v/>
      </c>
      <c r="AT31" s="13">
        <f>IFERROR(VLOOKUP(" 원/달러(평균)",환율,MATCH(AT$1,변수H,0),0),1341.49)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436.04</v>
      </c>
      <c r="G18" s="20">
        <f>SUM(E18:F18)</f>
        <v/>
      </c>
      <c r="H18" s="34" t="n">
        <v>1912.08</v>
      </c>
      <c r="I18" s="34" t="n">
        <v>4473.45</v>
      </c>
      <c r="J18" s="34" t="n">
        <v>7855.15</v>
      </c>
      <c r="K18" s="34" t="n">
        <v>11792.16</v>
      </c>
      <c r="L18" s="20">
        <f>SUM(H18:K18)</f>
        <v/>
      </c>
      <c r="M18" s="34" t="n">
        <v>16019.47</v>
      </c>
      <c r="N18" s="34" t="n">
        <v>20272.08</v>
      </c>
      <c r="O18" s="34" t="n">
        <v>24284.98</v>
      </c>
      <c r="P18" s="34" t="n">
        <v>27793.15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1250.25</v>
      </c>
      <c r="G24" s="20">
        <f>SUM(E24:F24)</f>
        <v/>
      </c>
      <c r="H24" s="34" t="n">
        <v>4965.7</v>
      </c>
      <c r="I24" s="34" t="n">
        <v>10888.12</v>
      </c>
      <c r="J24" s="34" t="n">
        <v>18450.7</v>
      </c>
      <c r="K24" s="34" t="n">
        <v>27086.66</v>
      </c>
      <c r="L24" s="20">
        <f>SUM(H24:K24)</f>
        <v/>
      </c>
      <c r="M24" s="34" t="n">
        <v>36229.2</v>
      </c>
      <c r="N24" s="34" t="n">
        <v>45311.53</v>
      </c>
      <c r="O24" s="34" t="n">
        <v>53766.84</v>
      </c>
      <c r="P24" s="34" t="n">
        <v>61028.36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28652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12.63</v>
      </c>
    </row>
    <row r="32">
      <c r="C32" s="2" t="inlineStr">
        <is>
          <t>pbr_now</t>
        </is>
      </c>
      <c r="D32" t="n">
        <v>3.6</v>
      </c>
    </row>
    <row r="33">
      <c r="C33" s="2" t="inlineStr">
        <is>
          <t>roe_fwd</t>
        </is>
      </c>
      <c r="D33" t="n">
        <v>0.2852</v>
      </c>
    </row>
    <row r="34">
      <c r="C34" s="2" t="inlineStr">
        <is>
          <t>fair_pbr</t>
        </is>
      </c>
      <c r="D34" t="n">
        <v>3.17</v>
      </c>
    </row>
    <row r="35">
      <c r="C35" s="2" t="inlineStr">
        <is>
          <t>fair_value_pbr</t>
        </is>
      </c>
      <c r="D35" t="n">
        <v>318500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9.35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