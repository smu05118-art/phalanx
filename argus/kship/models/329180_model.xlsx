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20906억(sls.by_quarter.marine_hedged_krw_m_signed_by_origin(헤지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1008억 제외(패널 신규에 포함으로 봄)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20424억(sls.by_quarter.marine_hedged_krw_m_signed_by_origin(헤지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984억 제외(패널 신규에 포함으로 봄)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20252억(sls.by_quarter.marine_hedged_krw_m_signed_by_origin(헤지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995억 제외(패널 신규에 포함으로 봄)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19415억(sls.by_quarter.marine_hedged_krw_m_signed_by_origin(헤지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1006억 제외(패널 신규에 포함으로 봄)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18663억(sls.by_quarter.marine_hedged_krw_m_signed_by_origin(헤지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1006억 제외(패널 신규에 포함으로 봄)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17772억(sls.by_quarter.marine_hedged_krw_m_signed_by_origin(헤지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995억 제외(패널 신규에 포함으로 봄)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17131억(sls.by_quarter.marine_hedged_krw_m_signed_by_origin(헤지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995억 제외(패널 신규에 포함으로 봄)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15788억(sls.by_quarter.marine_hedged_krw_m_signed_by_origin(헤지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1006억 제외(패널 신규에 포함으로 봄)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14003억(sls.by_quarter.marine_hedged_krw_m_signed_by_origin(헤지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1006억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D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F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G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H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I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K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L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M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N9" authorId="0" shapeId="0">
      <text>
        <t>추정: 매출액 × OPM(SLS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C10" authorId="0" shapeId="0">
      <text>
        <t>추정: 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D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F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G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H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I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K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L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M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N10" authorId="0" shapeId="0">
      <text>
        <t>추정: 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73228억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80382억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87800억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89724억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98041억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106918억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116368억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120470억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130952억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73228억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80382억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87800억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89724억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98041억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106918억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116368억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120470억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130952억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
[sls_link]</t>
      </text>
    </comment>
    <comment ref="AD39" authorId="0" shapeId="0">
      <text>
        <t>추정: SLS 해양 원화 20906억(sls.by_quarter.marine_hedged_krw_m_signed_by_origin(헤지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1008억 제외(패널 신규에 포함으로 봄)
[sls_link]</t>
      </text>
    </comment>
    <comment ref="AF39" authorId="0" shapeId="0">
      <text>
        <t>추정: SLS 해양 원화 20424억(sls.by_quarter.marine_hedged_krw_m_signed_by_origin(헤지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984억 제외(패널 신규에 포함으로 봄)
[sls_link]</t>
      </text>
    </comment>
    <comment ref="AG39" authorId="0" shapeId="0">
      <text>
        <t>추정: SLS 해양 원화 20252억(sls.by_quarter.marine_hedged_krw_m_signed_by_origin(헤지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995억 제외(패널 신규에 포함으로 봄)
[sls_link]</t>
      </text>
    </comment>
    <comment ref="AH39" authorId="0" shapeId="0">
      <text>
        <t>추정: SLS 해양 원화 19415억(sls.by_quarter.marine_hedged_krw_m_signed_by_origin(헤지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1006억 제외(패널 신규에 포함으로 봄)
[sls_link]</t>
      </text>
    </comment>
    <comment ref="AI39" authorId="0" shapeId="0">
      <text>
        <t>추정: SLS 해양 원화 18663억(sls.by_quarter.marine_hedged_krw_m_signed_by_origin(헤지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1006억 제외(패널 신규에 포함으로 봄)
[sls_link]</t>
      </text>
    </comment>
    <comment ref="AK39" authorId="0" shapeId="0">
      <text>
        <t>추정: SLS 해양 원화 17772억(sls.by_quarter.marine_hedged_krw_m_signed_by_origin(헤지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995억 제외(패널 신규에 포함으로 봄)
[sls_link]</t>
      </text>
    </comment>
    <comment ref="AL39" authorId="0" shapeId="0">
      <text>
        <t>추정: SLS 해양 원화 17131억(sls.by_quarter.marine_hedged_krw_m_signed_by_origin(헤지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995억 제외(패널 신규에 포함으로 봄)
[sls_link]</t>
      </text>
    </comment>
    <comment ref="AM39" authorId="0" shapeId="0">
      <text>
        <t>추정: SLS 해양 원화 15788억(sls.by_quarter.marine_hedged_krw_m_signed_by_origin(헤지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1006억 제외(패널 신규에 포함으로 봄)
[sls_link]</t>
      </text>
    </comment>
    <comment ref="AN39" authorId="0" shapeId="0">
      <text>
        <t>추정: SLS 해양 원화 14003억(sls.by_quarter.marine_hedged_krw_m_signed_by_origin(헤지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1006억 제외(패널 신규에 포함으로 봄)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8.1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15.0% 상수(코호트 모드 reference_anchor); 경로 변화는 등급 없는 비중의 실측 중위 14.0% 채움에서만, 추정 구간 타겟 14.96%→14.93%) / 추정 매출조선 = 2026Q2 기준 잔고 소진분 + forecast_panel base 신규수주 매출(미보정 book-value proxy, status partial; FY합 175,212억) — 보수/낙관은 scenarios 블록(합산 안 함) / origin 이후 공시 수주 3건 13,215억은 패널 신규에 포함된 것으로 보아 기존 SLS 에서 제외 — 추정 창 SLS −9,559억(2026 1,563억 · 2027 3,992억 · 2028 4,003억)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제외 SLS vs 패널 base 신규 매출: 2026 1,563억 vs 989억 · 2027 3,992억 vs 42,994억 · 2028 4,003억 vs 131,229억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426000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420500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429000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-0.004400469</v>
      </c>
      <c r="AD30" s="29" t="n">
        <v>0.008435646</v>
      </c>
      <c r="AE30" s="30" t="n"/>
      <c r="AF30" s="29" t="n">
        <v>0.008385864999999999</v>
      </c>
      <c r="AG30" s="29" t="n">
        <v>5940.239177688</v>
      </c>
      <c r="AH30" s="29" t="n">
        <v>0.008346742000000001</v>
      </c>
      <c r="AI30" s="29" t="n">
        <v>0.012736213</v>
      </c>
      <c r="AJ30" s="30" t="n"/>
      <c r="AK30" s="29" t="n">
        <v>-0.002680009</v>
      </c>
      <c r="AL30" s="29" t="n">
        <v>5940.251172834</v>
      </c>
      <c r="AM30" s="29" t="n">
        <v>0.002488923</v>
      </c>
      <c r="AN30" s="29" t="n">
        <v>0.003923036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0.002999531</v>
      </c>
      <c r="AD31" s="29" t="n">
        <v>-0.001564354</v>
      </c>
      <c r="AE31" s="30" t="n"/>
      <c r="AF31" s="29" t="n">
        <v>0.008385864999999999</v>
      </c>
      <c r="AG31" s="29" t="n">
        <v>5940.249177688</v>
      </c>
      <c r="AH31" s="29" t="n">
        <v>-0.001653258</v>
      </c>
      <c r="AI31" s="29" t="n">
        <v>0.012736213</v>
      </c>
      <c r="AJ31" s="30" t="n"/>
      <c r="AK31" s="29" t="n">
        <v>0.007319991</v>
      </c>
      <c r="AL31" s="29" t="n">
        <v>5940.241172834</v>
      </c>
      <c r="AM31" s="29" t="n">
        <v>0.012488923</v>
      </c>
      <c r="AN31" s="29" t="n">
        <v>0.003923036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0.117933641</v>
      </c>
      <c r="AD33" s="31" t="n">
        <v>0.105598445</v>
      </c>
      <c r="AE33" s="25" t="n"/>
      <c r="AF33" s="31" t="n">
        <v>0.099052616</v>
      </c>
      <c r="AG33" s="31" t="n">
        <v>0.023370318</v>
      </c>
      <c r="AH33" s="31" t="n">
        <v>0.098742735</v>
      </c>
      <c r="AI33" s="31" t="n">
        <v>0.095907176</v>
      </c>
      <c r="AJ33" s="25" t="n"/>
      <c r="AK33" s="31" t="n">
        <v>0.09317342000000001</v>
      </c>
      <c r="AL33" s="31" t="n">
        <v>0.036993179</v>
      </c>
      <c r="AM33" s="31" t="n">
        <v>0.091169744</v>
      </c>
      <c r="AN33" s="31" t="n">
        <v>0.086211326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0.108137514</v>
      </c>
      <c r="AD34" s="31" t="n">
        <v>0.09768289600000001</v>
      </c>
      <c r="AE34" s="25" t="n"/>
      <c r="AF34" s="31" t="n">
        <v>0.09228847599999999</v>
      </c>
      <c r="AG34" s="31" t="n">
        <v>0.021909238</v>
      </c>
      <c r="AH34" s="31" t="n">
        <v>0.092701829</v>
      </c>
      <c r="AI34" s="31" t="n">
        <v>0.090537521</v>
      </c>
      <c r="AJ34" s="25" t="n"/>
      <c r="AK34" s="31" t="n">
        <v>0.08838991</v>
      </c>
      <c r="AL34" s="31" t="n">
        <v>0.035248193</v>
      </c>
      <c r="AM34" s="31" t="n">
        <v>0.087015649</v>
      </c>
      <c r="AN34" s="31" t="n">
        <v>0.082597608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34829.474339</v>
      </c>
      <c r="AD40" s="29" t="n">
        <v>34829.475578</v>
      </c>
      <c r="AE40" s="30" t="n"/>
      <c r="AF40" s="29" t="n">
        <v>34829.484298</v>
      </c>
      <c r="AG40" s="29" t="n">
        <v>34829.502342</v>
      </c>
      <c r="AH40" s="29" t="n">
        <v>34829.43187</v>
      </c>
      <c r="AI40" s="29" t="n">
        <v>34829.4931</v>
      </c>
      <c r="AJ40" s="30" t="n"/>
      <c r="AK40" s="29" t="n">
        <v>34829.429217</v>
      </c>
      <c r="AL40" s="29" t="n">
        <v>34829.435563</v>
      </c>
      <c r="AM40" s="29" t="n">
        <v>34829.48665</v>
      </c>
      <c r="AN40" s="29" t="n">
        <v>34829.557384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989.3</v>
      </c>
      <c r="AE41" s="30">
        <f>subQ!AE40</f>
        <v/>
      </c>
      <c r="AF41" s="29" t="n">
        <v>3711.83</v>
      </c>
      <c r="AG41" s="29" t="n">
        <v>7799.52</v>
      </c>
      <c r="AH41" s="29" t="n">
        <v>12884.3</v>
      </c>
      <c r="AI41" s="29" t="n">
        <v>18598.11</v>
      </c>
      <c r="AJ41" s="30">
        <f>subQ!AJ40</f>
        <v/>
      </c>
      <c r="AK41" s="29" t="n">
        <v>24572.88</v>
      </c>
      <c r="AL41" s="29" t="n">
        <v>30440.54</v>
      </c>
      <c r="AM41" s="29" t="n">
        <v>35833.03</v>
      </c>
      <c r="AN41" s="29" t="n">
        <v>40382.27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0.139251906</v>
      </c>
      <c r="AD42" s="31" t="n">
        <v>0.13915298</v>
      </c>
      <c r="AE42" s="25">
        <f>IFERROR(subQ!AE41/subQ!AE39,"")</f>
        <v/>
      </c>
      <c r="AF42" s="31" t="n">
        <v>0.139153005</v>
      </c>
      <c r="AG42" s="31" t="n">
        <v>0.139143594</v>
      </c>
      <c r="AH42" s="31" t="n">
        <v>0.139116495</v>
      </c>
      <c r="AI42" s="31" t="n">
        <v>0.139096751</v>
      </c>
      <c r="AJ42" s="25">
        <f>IFERROR(subQ!AJ41/subQ!AJ39,"")</f>
        <v/>
      </c>
      <c r="AK42" s="31" t="n">
        <v>0.139076865</v>
      </c>
      <c r="AL42" s="31" t="n">
        <v>0.139057176</v>
      </c>
      <c r="AM42" s="31" t="n">
        <v>0.139007174</v>
      </c>
      <c r="AN42" s="31" t="n">
        <v>0.138934301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0.139251901</v>
      </c>
      <c r="AD44" s="31" t="n">
        <v>0.139152712</v>
      </c>
      <c r="AE44" s="25">
        <f>IFERROR(subQ!AE44/subQ!AE43,"")</f>
        <v/>
      </c>
      <c r="AF44" s="31" t="n">
        <v>0.139152712</v>
      </c>
      <c r="AG44" s="31" t="n">
        <v>0.139143113</v>
      </c>
      <c r="AH44" s="31" t="n">
        <v>0.139116449</v>
      </c>
      <c r="AI44" s="31" t="n">
        <v>0.139097251</v>
      </c>
      <c r="AJ44" s="25">
        <f>IFERROR(subQ!AJ44/subQ!AJ43,"")</f>
        <v/>
      </c>
      <c r="AK44" s="31" t="n">
        <v>0.139076987</v>
      </c>
      <c r="AL44" s="31" t="n">
        <v>0.139056722</v>
      </c>
      <c r="AM44" s="31" t="n">
        <v>0.139007661</v>
      </c>
      <c r="AN44" s="31" t="n">
        <v>0.138934069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426000</v>
      </c>
      <c r="E47" s="2" t="inlineStr">
        <is>
          <t>원 — 네이버 정규장 종가(aik 확정종가 대조 · aik 431,500원)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20261002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0.2449400659720531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0.04875938992436118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0.02472798170159547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0.1390168016479711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유동성장기부채</t>
        </is>
      </c>
      <c r="E60" s="18" t="n">
        <v>845229.83</v>
      </c>
      <c r="F60" s="37" t="n">
        <v>845229.83</v>
      </c>
      <c r="G60" s="18" t="n">
        <v>1048626.73</v>
      </c>
      <c r="H60" s="18" t="n">
        <v>1514783.97</v>
      </c>
      <c r="I60" s="18" t="n">
        <v>1577253.75</v>
      </c>
      <c r="J60" s="18" t="n">
        <v>1226167.17</v>
      </c>
      <c r="K60" s="37" t="n">
        <v>1226167.17</v>
      </c>
      <c r="L60" s="18" t="n">
        <v>1143453.19</v>
      </c>
      <c r="M60" s="18" t="n">
        <v>666452.8100000001</v>
      </c>
      <c r="N60" s="18" t="n">
        <v>845029.23</v>
      </c>
      <c r="P60" s="9" t="n"/>
      <c r="T60" s="18" t="n">
        <v>371613.31</v>
      </c>
      <c r="U60" s="37" t="n">
        <v>371613.31</v>
      </c>
      <c r="V60" s="18" t="n">
        <v>386666.87</v>
      </c>
      <c r="W60" s="18" t="n">
        <v>332765.09</v>
      </c>
      <c r="X60" s="18" t="n">
        <v>255898.54</v>
      </c>
      <c r="Z60" s="9" t="n"/>
      <c r="AA60" s="18" t="n">
        <v>599939.45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사채</t>
        </is>
      </c>
      <c r="E61" s="18" t="n">
        <v>536292.3100000001</v>
      </c>
      <c r="F61" s="37" t="n">
        <v>536292.3100000001</v>
      </c>
      <c r="G61" s="18" t="n">
        <v>844823</v>
      </c>
      <c r="H61" s="18" t="n">
        <v>885946</v>
      </c>
      <c r="I61" s="18" t="n">
        <v>956970</v>
      </c>
      <c r="J61" s="18" t="n">
        <v>873294</v>
      </c>
      <c r="K61" s="37" t="n">
        <v>873294</v>
      </c>
      <c r="L61" s="18" t="n">
        <v>391140</v>
      </c>
      <c r="M61" s="18" t="n">
        <v>643175</v>
      </c>
      <c r="N61" s="18" t="n">
        <v>652871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19" t="n">
        <v>523403.57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1354.78</v>
      </c>
      <c r="S20" s="13" t="n">
        <v>1348.28</v>
      </c>
      <c r="T20" s="13" t="n">
        <v>1348.28</v>
      </c>
      <c r="U20" s="13" t="n">
        <v>1348.28</v>
      </c>
      <c r="V20" s="13" t="n">
        <v>1348.28</v>
      </c>
      <c r="W20" s="13" t="n">
        <v>1348.28</v>
      </c>
      <c r="X20" s="13" t="n">
        <v>1348.28</v>
      </c>
      <c r="Y20" s="13" t="n">
        <v>1348.28</v>
      </c>
      <c r="Z20" s="13" t="n">
        <v>1348.28</v>
      </c>
      <c r="AA20" s="13" t="n">
        <v>1348.28</v>
      </c>
      <c r="AB20" s="13" t="n">
        <v>1348.28</v>
      </c>
      <c r="AC20" s="13" t="n">
        <v>1348.28</v>
      </c>
      <c r="AD20" s="13" t="n">
        <v>1348.28</v>
      </c>
      <c r="AE20" s="13" t="n">
        <v>1348.28</v>
      </c>
      <c r="AF20" s="13" t="n">
        <v>1348.28</v>
      </c>
      <c r="AG20" s="13" t="n">
        <v>1348.28</v>
      </c>
      <c r="AH20" s="13" t="n">
        <v>1348.28</v>
      </c>
      <c r="AI20" s="13" t="n">
        <v>1348.28</v>
      </c>
      <c r="AJ20" s="13" t="n">
        <v>1348.28</v>
      </c>
      <c r="AK20" s="13" t="n">
        <v>1348.28</v>
      </c>
      <c r="AL20" s="13" t="n">
        <v>1348.28</v>
      </c>
      <c r="AM20" s="13" t="n">
        <v>1348.28</v>
      </c>
      <c r="AN20" s="13" t="n">
        <v>1348.28</v>
      </c>
      <c r="AO20" s="13" t="n">
        <v>1348.28</v>
      </c>
      <c r="AP20" s="13" t="n">
        <v>1348.28</v>
      </c>
      <c r="AQ20" s="13" t="n">
        <v>1348.28</v>
      </c>
      <c r="AR20" s="13" t="n">
        <v>1348.28</v>
      </c>
      <c r="AS20" s="13" t="n">
        <v>1348.28</v>
      </c>
      <c r="AT20" s="13" t="n">
        <v>1348.28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1419.56</v>
      </c>
      <c r="S21" s="13" t="n">
        <v>1417.61</v>
      </c>
      <c r="T21" s="13" t="n">
        <v>1419.38</v>
      </c>
      <c r="U21" s="13" t="n">
        <v>1423.97</v>
      </c>
      <c r="V21" s="13" t="n">
        <v>1425.62</v>
      </c>
      <c r="W21" s="13" t="n">
        <v>1426.71</v>
      </c>
      <c r="X21" s="13" t="n">
        <v>1428.51</v>
      </c>
      <c r="Y21" s="13" t="n">
        <v>1428.55</v>
      </c>
      <c r="Z21" s="13" t="n">
        <v>1430.42</v>
      </c>
      <c r="AA21" s="13" t="n">
        <v>1436.87</v>
      </c>
      <c r="AB21" s="13" t="n">
        <v>1434.7</v>
      </c>
      <c r="AC21" s="13" t="n">
        <v>1434.51</v>
      </c>
      <c r="AD21" s="13" t="n">
        <v>1426.09</v>
      </c>
      <c r="AE21" s="13" t="n">
        <v>1422.83</v>
      </c>
      <c r="AF21" s="13" t="n">
        <v>1427.01</v>
      </c>
      <c r="AG21" s="13" t="n">
        <v>1414.52</v>
      </c>
      <c r="AH21" s="13" t="n">
        <v>1399.58</v>
      </c>
      <c r="AI21" s="13" t="n">
        <v>1389.11</v>
      </c>
      <c r="AJ21" s="13" t="n">
        <v>1409.3</v>
      </c>
      <c r="AK21" s="13" t="n">
        <v>1418.92</v>
      </c>
      <c r="AL21" s="13" t="n">
        <v>1418.92</v>
      </c>
      <c r="AM21" s="13" t="n">
        <v>1418.92</v>
      </c>
      <c r="AN21" s="13" t="n">
        <v>1418.92</v>
      </c>
      <c r="AO21" s="13" t="n">
        <v>1418.92</v>
      </c>
      <c r="AP21" s="13" t="n">
        <v>1418.92</v>
      </c>
      <c r="AQ21" s="13" t="n">
        <v>1418.92</v>
      </c>
      <c r="AR21" s="13" t="n">
        <v>1418.92</v>
      </c>
      <c r="AS21" s="13" t="n">
        <v>1418.92</v>
      </c>
      <c r="AT21" s="13" t="n">
        <v>1418.92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2285103.3</v>
      </c>
      <c r="S22" s="18" t="n">
        <v>2232356.4</v>
      </c>
      <c r="T22" s="18" t="n">
        <v>2217297.1</v>
      </c>
      <c r="U22" s="18" t="n">
        <v>2135691.5</v>
      </c>
      <c r="V22" s="18" t="n">
        <v>2060544.9</v>
      </c>
      <c r="W22" s="18" t="n">
        <v>1969290.3</v>
      </c>
      <c r="X22" s="18" t="n">
        <v>1905171.9</v>
      </c>
      <c r="Y22" s="18" t="n">
        <v>1773007.1</v>
      </c>
      <c r="Z22" s="18" t="n">
        <v>1594486.2</v>
      </c>
      <c r="AA22" s="18" t="n">
        <v>1053824.6</v>
      </c>
      <c r="AB22" s="18" t="n">
        <v>825500.8</v>
      </c>
      <c r="AC22" s="18" t="n">
        <v>676415.8</v>
      </c>
      <c r="AD22" s="18" t="n">
        <v>428183.3</v>
      </c>
      <c r="AE22" s="18" t="n">
        <v>247801</v>
      </c>
      <c r="AF22" s="18" t="n">
        <v>215525.9</v>
      </c>
      <c r="AG22" s="18" t="n">
        <v>93150.8</v>
      </c>
      <c r="AH22" s="18" t="n">
        <v>47483.3</v>
      </c>
      <c r="AI22" s="18" t="n">
        <v>38859.7</v>
      </c>
      <c r="AJ22" s="18" t="n">
        <v>17650.1</v>
      </c>
      <c r="AK22" s="18" t="n">
        <v>14197.5</v>
      </c>
      <c r="AL22" s="18" t="n">
        <v>14197.5</v>
      </c>
      <c r="AM22" s="18" t="n">
        <v>14043.2</v>
      </c>
      <c r="AN22" s="18" t="n">
        <v>14043.2</v>
      </c>
      <c r="AO22" s="18" t="n">
        <v>14197.5</v>
      </c>
      <c r="AP22" s="18" t="n">
        <v>14197.5</v>
      </c>
      <c r="AQ22" s="18" t="n">
        <v>13888.9</v>
      </c>
      <c r="AR22" s="18" t="n">
        <v>14043.2</v>
      </c>
      <c r="AS22" s="18" t="n">
        <v>14197.5</v>
      </c>
      <c r="AT22" s="18" t="n">
        <v>12500</v>
      </c>
      <c r="AU22" s="18" t="n">
        <v>251181.4</v>
      </c>
      <c r="AV22" s="18" t="n">
        <v>692104.4</v>
      </c>
      <c r="AW22" s="18" t="n">
        <v>2596376.9</v>
      </c>
      <c r="AX22" s="18" t="n">
        <v>7680055.5</v>
      </c>
      <c r="AY22" s="18" t="n">
        <v>8645889.9</v>
      </c>
      <c r="AZ22" s="18" t="n">
        <v>7241955.5</v>
      </c>
      <c r="BA22" s="18" t="n">
        <v>2983924.5</v>
      </c>
      <c r="BB22" s="18" t="n">
        <v>603961</v>
      </c>
      <c r="BC22" s="18" t="n">
        <v>84904.8</v>
      </c>
      <c r="BD22" s="18" t="n">
        <v>56481.4</v>
      </c>
      <c r="BE22" s="18" t="n">
        <v>54629.6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2191389.7</v>
      </c>
      <c r="S23" s="18" t="n">
        <v>2140805.9</v>
      </c>
      <c r="T23" s="18" t="n">
        <v>2124729.4</v>
      </c>
      <c r="U23" s="18" t="n">
        <v>2042106.6</v>
      </c>
      <c r="V23" s="18" t="n">
        <v>1966959.9</v>
      </c>
      <c r="W23" s="18" t="n">
        <v>1876722.6</v>
      </c>
      <c r="X23" s="18" t="n">
        <v>1812604.2</v>
      </c>
      <c r="Y23" s="18" t="n">
        <v>1679422.1</v>
      </c>
      <c r="Z23" s="18" t="n">
        <v>1500901.2</v>
      </c>
      <c r="AA23" s="18" t="n">
        <v>962274.1</v>
      </c>
      <c r="AB23" s="18" t="n">
        <v>732933.1</v>
      </c>
      <c r="AC23" s="18" t="n">
        <v>582830.8</v>
      </c>
      <c r="AD23" s="18" t="n">
        <v>334598.4</v>
      </c>
      <c r="AE23" s="18" t="n">
        <v>156250.5</v>
      </c>
      <c r="AF23" s="18" t="n">
        <v>122958.2</v>
      </c>
      <c r="AG23" s="18" t="n">
        <v>39723.2</v>
      </c>
      <c r="AH23" s="18" t="n">
        <v>39723.2</v>
      </c>
      <c r="AI23" s="18" t="n">
        <v>38859.7</v>
      </c>
      <c r="AJ23" s="18" t="n">
        <v>17650.1</v>
      </c>
      <c r="AK23" s="18" t="n">
        <v>14197.5</v>
      </c>
      <c r="AL23" s="18" t="n">
        <v>14197.5</v>
      </c>
      <c r="AM23" s="18" t="n">
        <v>14043.2</v>
      </c>
      <c r="AN23" s="18" t="n">
        <v>14043.2</v>
      </c>
      <c r="AO23" s="18" t="n">
        <v>14197.5</v>
      </c>
      <c r="AP23" s="18" t="n">
        <v>14197.5</v>
      </c>
      <c r="AQ23" s="18" t="n">
        <v>13888.9</v>
      </c>
      <c r="AR23" s="18" t="n">
        <v>14043.2</v>
      </c>
      <c r="AS23" s="18" t="n">
        <v>14197.5</v>
      </c>
      <c r="AT23" s="18" t="n">
        <v>12500</v>
      </c>
      <c r="AU23" s="18" t="n">
        <v>251181.4</v>
      </c>
      <c r="AV23" s="18" t="n">
        <v>692104.4</v>
      </c>
      <c r="AW23" s="18" t="n">
        <v>2596376.9</v>
      </c>
      <c r="AX23" s="18" t="n">
        <v>7488623</v>
      </c>
      <c r="AY23" s="18" t="n">
        <v>8274601.8</v>
      </c>
      <c r="AZ23" s="18" t="n">
        <v>6869650.1</v>
      </c>
      <c r="BA23" s="18" t="n">
        <v>2612636.4</v>
      </c>
      <c r="BB23" s="18" t="n">
        <v>358655.1</v>
      </c>
      <c r="BC23" s="18" t="n">
        <v>84904.8</v>
      </c>
      <c r="BD23" s="18" t="n">
        <v>56481.4</v>
      </c>
      <c r="BE23" s="18" t="n">
        <v>54629.6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2090620.5</v>
      </c>
      <c r="S24" s="18" t="n">
        <v>2042364.7</v>
      </c>
      <c r="T24" s="18" t="n">
        <v>2025194.4</v>
      </c>
      <c r="U24" s="18" t="n">
        <v>1941477.8</v>
      </c>
      <c r="V24" s="18" t="n">
        <v>1866331.1</v>
      </c>
      <c r="W24" s="18" t="n">
        <v>1777187.6</v>
      </c>
      <c r="X24" s="18" t="n">
        <v>1713069.2</v>
      </c>
      <c r="Y24" s="18" t="n">
        <v>1578793.3</v>
      </c>
      <c r="Z24" s="18" t="n">
        <v>1400272.4</v>
      </c>
      <c r="AA24" s="18" t="n">
        <v>863832.9</v>
      </c>
      <c r="AB24" s="18" t="n">
        <v>633398.1</v>
      </c>
      <c r="AC24" s="18" t="n">
        <v>521308.2</v>
      </c>
      <c r="AD24" s="18" t="n">
        <v>281873.4</v>
      </c>
      <c r="AE24" s="18" t="n">
        <v>121607</v>
      </c>
      <c r="AF24" s="18" t="n">
        <v>122958.2</v>
      </c>
      <c r="AG24" s="18" t="n">
        <v>39723.2</v>
      </c>
      <c r="AH24" s="18" t="n">
        <v>39723.2</v>
      </c>
      <c r="AI24" s="18" t="n">
        <v>38859.7</v>
      </c>
      <c r="AJ24" s="18" t="n">
        <v>17650.1</v>
      </c>
      <c r="AK24" s="18" t="n">
        <v>14197.5</v>
      </c>
      <c r="AL24" s="18" t="n">
        <v>14197.5</v>
      </c>
      <c r="AM24" s="18" t="n">
        <v>14043.2</v>
      </c>
      <c r="AN24" s="18" t="n">
        <v>14043.2</v>
      </c>
      <c r="AO24" s="18" t="n">
        <v>14197.5</v>
      </c>
      <c r="AP24" s="18" t="n">
        <v>14197.5</v>
      </c>
      <c r="AQ24" s="18" t="n">
        <v>13888.9</v>
      </c>
      <c r="AR24" s="18" t="n">
        <v>14043.2</v>
      </c>
      <c r="AS24" s="18" t="n">
        <v>14197.5</v>
      </c>
      <c r="AT24" s="18" t="n">
        <v>12500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100769.2</v>
      </c>
      <c r="S25" s="18" t="n">
        <v>98441.2</v>
      </c>
      <c r="T25" s="18" t="n">
        <v>99535</v>
      </c>
      <c r="U25" s="18" t="n">
        <v>100628.8</v>
      </c>
      <c r="V25" s="18" t="n">
        <v>100628.8</v>
      </c>
      <c r="W25" s="18" t="n">
        <v>99535</v>
      </c>
      <c r="X25" s="18" t="n">
        <v>99535</v>
      </c>
      <c r="Y25" s="18" t="n">
        <v>100628.8</v>
      </c>
      <c r="Z25" s="18" t="n">
        <v>100628.8</v>
      </c>
      <c r="AA25" s="18" t="n">
        <v>98441.2</v>
      </c>
      <c r="AB25" s="18" t="n">
        <v>99535</v>
      </c>
      <c r="AC25" s="18" t="n">
        <v>61522.7</v>
      </c>
      <c r="AD25" s="18" t="n">
        <v>52725</v>
      </c>
      <c r="AE25" s="18" t="n">
        <v>34643.6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0.15</v>
      </c>
      <c r="F26" s="21" t="n">
        <v>0.15</v>
      </c>
      <c r="G26" s="21" t="n">
        <v>0.15</v>
      </c>
      <c r="H26" s="21" t="n">
        <v>0.15</v>
      </c>
      <c r="I26" s="21" t="n">
        <v>0.15</v>
      </c>
      <c r="J26" s="21" t="n">
        <v>0.15</v>
      </c>
      <c r="K26" s="21" t="n">
        <v>0.15</v>
      </c>
      <c r="L26" s="21" t="n">
        <v>0.15</v>
      </c>
      <c r="M26" s="21" t="n">
        <v>0.15</v>
      </c>
      <c r="N26" s="21" t="n">
        <v>0.15</v>
      </c>
      <c r="O26" s="21" t="n">
        <v>0.15</v>
      </c>
      <c r="P26" s="21" t="n">
        <v>0.15</v>
      </c>
      <c r="Q26" s="21" t="n">
        <v>0.15</v>
      </c>
      <c r="R26" s="21" t="n">
        <v>0.15</v>
      </c>
      <c r="S26" s="21" t="n">
        <v>0.15</v>
      </c>
      <c r="T26" s="21" t="n">
        <v>0.15</v>
      </c>
      <c r="U26" s="21" t="n">
        <v>0.15</v>
      </c>
      <c r="V26" s="21" t="n">
        <v>0.15</v>
      </c>
      <c r="W26" s="21" t="n">
        <v>0.15</v>
      </c>
      <c r="X26" s="21" t="n">
        <v>0.15</v>
      </c>
      <c r="Y26" s="21" t="n">
        <v>0.15</v>
      </c>
      <c r="Z26" s="21" t="n">
        <v>0.15</v>
      </c>
      <c r="AA26" s="21" t="n">
        <v>0.15</v>
      </c>
      <c r="AB26" s="21" t="n">
        <v>0.15</v>
      </c>
      <c r="AC26" s="21" t="n">
        <v>0.15</v>
      </c>
      <c r="AD26" s="21" t="n">
        <v>0.15</v>
      </c>
      <c r="AE26" s="21" t="n">
        <v>0.15</v>
      </c>
      <c r="AF26" s="21" t="n">
        <v>0.15</v>
      </c>
      <c r="AG26" s="21" t="n">
        <v>0.15</v>
      </c>
      <c r="AH26" s="21" t="n">
        <v>0.15</v>
      </c>
      <c r="AI26" s="21" t="n">
        <v>0.15</v>
      </c>
      <c r="AJ26" s="21" t="n">
        <v>0.15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원/달러(평균)",환율,MATCH(R$1,변수H,0),0),1354.78)</f>
        <v/>
      </c>
      <c r="S31" s="13">
        <f>IFERROR(VLOOKUP(" 원/달러(평균)",환율,MATCH(S$1,변수H,0),0),1348.28)</f>
        <v/>
      </c>
      <c r="T31" s="13">
        <f>IFERROR(VLOOKUP(" 원/달러(평균)",환율,MATCH(T$1,변수H,0),0),1348.28)</f>
        <v/>
      </c>
      <c r="U31" s="13">
        <f>IFERROR(VLOOKUP(" 원/달러(평균)",환율,MATCH(U$1,변수H,0),0),1348.28)</f>
        <v/>
      </c>
      <c r="V31" s="13">
        <f>IFERROR(VLOOKUP(" 원/달러(평균)",환율,MATCH(V$1,변수H,0),0),1348.28)</f>
        <v/>
      </c>
      <c r="W31" s="13">
        <f>IFERROR(VLOOKUP(" 원/달러(평균)",환율,MATCH(W$1,변수H,0),0),1348.28)</f>
        <v/>
      </c>
      <c r="X31" s="13">
        <f>IFERROR(VLOOKUP(" 원/달러(평균)",환율,MATCH(X$1,변수H,0),0),1348.28)</f>
        <v/>
      </c>
      <c r="Y31" s="13">
        <f>IFERROR(VLOOKUP(" 원/달러(평균)",환율,MATCH(Y$1,변수H,0),0),1348.28)</f>
        <v/>
      </c>
      <c r="Z31" s="13">
        <f>IFERROR(VLOOKUP(" 원/달러(평균)",환율,MATCH(Z$1,변수H,0),0),1348.28)</f>
        <v/>
      </c>
      <c r="AA31" s="13">
        <f>IFERROR(VLOOKUP(" 원/달러(평균)",환율,MATCH(AA$1,변수H,0),0),1348.28)</f>
        <v/>
      </c>
      <c r="AB31" s="13">
        <f>IFERROR(VLOOKUP(" 원/달러(평균)",환율,MATCH(AB$1,변수H,0),0),1348.28)</f>
        <v/>
      </c>
      <c r="AC31" s="13">
        <f>IFERROR(VLOOKUP(" 원/달러(평균)",환율,MATCH(AC$1,변수H,0),0),1348.28)</f>
        <v/>
      </c>
      <c r="AD31" s="13">
        <f>IFERROR(VLOOKUP(" 원/달러(평균)",환율,MATCH(AD$1,변수H,0),0),1348.28)</f>
        <v/>
      </c>
      <c r="AE31" s="13">
        <f>IFERROR(VLOOKUP(" 원/달러(평균)",환율,MATCH(AE$1,변수H,0),0),1348.28)</f>
        <v/>
      </c>
      <c r="AF31" s="13">
        <f>IFERROR(VLOOKUP(" 원/달러(평균)",환율,MATCH(AF$1,변수H,0),0),1348.28)</f>
        <v/>
      </c>
      <c r="AG31" s="13">
        <f>IFERROR(VLOOKUP(" 원/달러(평균)",환율,MATCH(AG$1,변수H,0),0),1348.28)</f>
        <v/>
      </c>
      <c r="AH31" s="13">
        <f>IFERROR(VLOOKUP(" 원/달러(평균)",환율,MATCH(AH$1,변수H,0),0),1348.28)</f>
        <v/>
      </c>
      <c r="AI31" s="13">
        <f>IFERROR(VLOOKUP(" 원/달러(평균)",환율,MATCH(AI$1,변수H,0),0),1348.28)</f>
        <v/>
      </c>
      <c r="AJ31" s="13">
        <f>IFERROR(VLOOKUP(" 원/달러(평균)",환율,MATCH(AJ$1,변수H,0),0),1348.28)</f>
        <v/>
      </c>
      <c r="AK31" s="13">
        <f>IFERROR(VLOOKUP(" 원/달러(평균)",환율,MATCH(AK$1,변수H,0),0),1348.28)</f>
        <v/>
      </c>
      <c r="AL31" s="13">
        <f>IFERROR(VLOOKUP(" 원/달러(평균)",환율,MATCH(AL$1,변수H,0),0),1348.28)</f>
        <v/>
      </c>
      <c r="AM31" s="13">
        <f>IFERROR(VLOOKUP(" 원/달러(평균)",환율,MATCH(AM$1,변수H,0),0),1348.28)</f>
        <v/>
      </c>
      <c r="AN31" s="13">
        <f>IFERROR(VLOOKUP(" 원/달러(평균)",환율,MATCH(AN$1,변수H,0),0),1348.28)</f>
        <v/>
      </c>
      <c r="AO31" s="13">
        <f>IFERROR(VLOOKUP(" 원/달러(평균)",환율,MATCH(AO$1,변수H,0),0),1348.28)</f>
        <v/>
      </c>
      <c r="AP31" s="13">
        <f>IFERROR(VLOOKUP(" 원/달러(평균)",환율,MATCH(AP$1,변수H,0),0),1348.28)</f>
        <v/>
      </c>
      <c r="AQ31" s="13">
        <f>IFERROR(VLOOKUP(" 원/달러(평균)",환율,MATCH(AQ$1,변수H,0),0),1348.28)</f>
        <v/>
      </c>
      <c r="AR31" s="13">
        <f>IFERROR(VLOOKUP(" 원/달러(평균)",환율,MATCH(AR$1,변수H,0),0),1348.28)</f>
        <v/>
      </c>
      <c r="AS31" s="13">
        <f>IFERROR(VLOOKUP(" 원/달러(평균)",환율,MATCH(AS$1,변수H,0),0),1348.28)</f>
        <v/>
      </c>
      <c r="AT31" s="13">
        <f>IFERROR(VLOOKUP(" 원/달러(평균)",환율,MATCH(AT$1,변수H,0),0),1348.28)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712.14</v>
      </c>
      <c r="G18" s="20">
        <f>SUM(E18:F18)</f>
        <v/>
      </c>
      <c r="H18" s="34" t="n">
        <v>2671.87</v>
      </c>
      <c r="I18" s="34" t="n">
        <v>5614.2</v>
      </c>
      <c r="J18" s="34" t="n">
        <v>9274.1</v>
      </c>
      <c r="K18" s="34" t="n">
        <v>13386.58</v>
      </c>
      <c r="L18" s="20">
        <f>SUM(H18:K18)</f>
        <v/>
      </c>
      <c r="M18" s="34" t="n">
        <v>17686.61</v>
      </c>
      <c r="N18" s="34" t="n">
        <v>21909.19</v>
      </c>
      <c r="O18" s="34" t="n">
        <v>25789.31</v>
      </c>
      <c r="P18" s="34" t="n">
        <v>29061.97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1524.78</v>
      </c>
      <c r="G24" s="20">
        <f>SUM(E24:F24)</f>
        <v/>
      </c>
      <c r="H24" s="34" t="n">
        <v>5721.28</v>
      </c>
      <c r="I24" s="34" t="n">
        <v>12022.68</v>
      </c>
      <c r="J24" s="34" t="n">
        <v>19862.2</v>
      </c>
      <c r="K24" s="34" t="n">
        <v>28673.04</v>
      </c>
      <c r="L24" s="20">
        <f>SUM(H24:K24)</f>
        <v/>
      </c>
      <c r="M24" s="34" t="n">
        <v>37888.42</v>
      </c>
      <c r="N24" s="34" t="n">
        <v>46941.53</v>
      </c>
      <c r="O24" s="34" t="n">
        <v>55265.58</v>
      </c>
      <c r="P24" s="34" t="n">
        <v>62293.78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28190.8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15.11</v>
      </c>
    </row>
    <row r="32">
      <c r="C32" s="2" t="inlineStr">
        <is>
          <t>pbr_now</t>
        </is>
      </c>
      <c r="D32" t="n">
        <v>4.24</v>
      </c>
    </row>
    <row r="33">
      <c r="C33" s="2" t="inlineStr">
        <is>
          <t>roe_fwd</t>
        </is>
      </c>
      <c r="D33" t="n">
        <v>0.2806</v>
      </c>
    </row>
    <row r="34">
      <c r="C34" s="2" t="inlineStr">
        <is>
          <t>fair_pbr</t>
        </is>
      </c>
      <c r="D34" t="n">
        <v>3.12</v>
      </c>
    </row>
    <row r="35">
      <c r="C35" s="2" t="inlineStr">
        <is>
          <t>fair_value_pbr</t>
        </is>
      </c>
      <c r="D35" t="n">
        <v>313500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4.78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